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filterPrivacy="1" defaultThemeVersion="124226"/>
  <xr:revisionPtr revIDLastSave="0" documentId="13_ncr:1_{3771BA22-3262-4F6C-8DEA-FDD51F86C3B9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Total de Trabajadores " sheetId="1" r:id="rId1"/>
    <sheet name="adjunto" sheetId="2" r:id="rId2"/>
    <sheet name="Fuerza de Trabajo" sheetId="5" r:id="rId3"/>
    <sheet name="Pago Guardia" sheetId="13" r:id="rId4"/>
  </sheets>
  <externalReferences>
    <externalReference r:id="rId5"/>
  </externalReferences>
  <definedNames>
    <definedName name="coA">[1]TablaComparativa!$K$1</definedName>
    <definedName name="coC">[1]TablaComparativa!$G$1</definedName>
    <definedName name="coO">[1]TablaComparativa!$L$1</definedName>
    <definedName name="coS">[1]TablaComparativa!$M$1</definedName>
    <definedName name="coTNB">[1]TablaComparativa!$J$1</definedName>
    <definedName name="coTNM">[1]TablaComparativa!$I$1</definedName>
    <definedName name="coTNS">[1]TablaComparativa!$H$1</definedName>
    <definedName name="pfLTS">[1]TablaComparativa!$A$8</definedName>
    <definedName name="pfTF">[1]TablaComparativa!$A$15</definedName>
    <definedName name="ranAgRTS">[1]RTS!$L:$L</definedName>
    <definedName name="ranCatOcup">[1]RTS!$K:$K</definedName>
    <definedName name="ranLstMcpios">[1]Modelo241!$BT$8</definedName>
    <definedName name="ranPerfilTM">[1]RTS!$M:$M</definedName>
    <definedName name="ranPiel">[1]RTS!$F:$F</definedName>
    <definedName name="ranProf241">[1]RTS!$O:$O</definedName>
    <definedName name="ranProvincias">[1]Modelo241!$BJ$2:$BJ$17</definedName>
    <definedName name="ranSexo">[1]RTS!$E:$E</definedName>
    <definedName name="ranTrabajador">[1]RTS!$C:$C</definedName>
  </definedNames>
  <calcPr calcId="191029"/>
</workbook>
</file>

<file path=xl/calcChain.xml><?xml version="1.0" encoding="utf-8"?>
<calcChain xmlns="http://schemas.openxmlformats.org/spreadsheetml/2006/main">
  <c r="D22" i="5" l="1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5" i="5"/>
  <c r="C22" i="5"/>
  <c r="E22" i="5"/>
  <c r="B22" i="5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B21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6" i="2"/>
  <c r="B10" i="2"/>
  <c r="B11" i="2"/>
  <c r="B12" i="2"/>
  <c r="B13" i="2"/>
  <c r="B14" i="2"/>
  <c r="B15" i="2"/>
  <c r="B16" i="2"/>
  <c r="B17" i="2"/>
  <c r="B18" i="2"/>
  <c r="B19" i="2"/>
  <c r="B20" i="2"/>
  <c r="N15" i="1"/>
  <c r="M15" i="1"/>
  <c r="H14" i="13"/>
  <c r="F14" i="13"/>
  <c r="G15" i="13"/>
  <c r="D15" i="13"/>
  <c r="E15" i="13"/>
  <c r="C15" i="13"/>
  <c r="H8" i="13"/>
  <c r="F8" i="13"/>
  <c r="AA50" i="1"/>
  <c r="M27" i="1"/>
  <c r="AB27" i="1"/>
  <c r="AA27" i="1"/>
  <c r="M35" i="1" s="1"/>
  <c r="N35" i="1"/>
  <c r="N27" i="1" s="1"/>
  <c r="N16" i="1"/>
  <c r="M16" i="1"/>
  <c r="BN23" i="1"/>
  <c r="BN24" i="1"/>
  <c r="BN26" i="1"/>
  <c r="S6" i="2"/>
  <c r="R6" i="2"/>
  <c r="H6" i="2"/>
  <c r="B9" i="2"/>
  <c r="AB50" i="1"/>
  <c r="H9" i="13"/>
  <c r="H13" i="13"/>
  <c r="F13" i="13"/>
  <c r="H12" i="13"/>
  <c r="F12" i="13"/>
  <c r="H11" i="13"/>
  <c r="F11" i="13"/>
  <c r="H10" i="13"/>
  <c r="F10" i="13"/>
  <c r="F9" i="13"/>
  <c r="H15" i="13" l="1"/>
  <c r="F15" i="13"/>
  <c r="B8" i="2" l="1"/>
  <c r="B7" i="2"/>
  <c r="N6" i="2"/>
  <c r="B6" i="2"/>
  <c r="K6" i="2" l="1"/>
  <c r="Q6" i="2" s="1"/>
  <c r="BN172" i="1" l="1"/>
  <c r="BN171" i="1"/>
  <c r="BN170" i="1"/>
  <c r="BN169" i="1"/>
  <c r="BN168" i="1"/>
  <c r="BN167" i="1"/>
  <c r="BN166" i="1"/>
  <c r="BN165" i="1"/>
  <c r="BN164" i="1"/>
  <c r="BN163" i="1"/>
  <c r="BN162" i="1"/>
  <c r="BN161" i="1"/>
  <c r="BN160" i="1"/>
  <c r="BN159" i="1"/>
  <c r="BN158" i="1"/>
  <c r="BN157" i="1"/>
  <c r="BN156" i="1"/>
  <c r="BN155" i="1"/>
  <c r="BN154" i="1"/>
  <c r="BN153" i="1"/>
  <c r="BN152" i="1"/>
  <c r="BN151" i="1"/>
  <c r="BN150" i="1"/>
  <c r="BN149" i="1"/>
  <c r="BN148" i="1"/>
  <c r="BN147" i="1"/>
  <c r="BN146" i="1"/>
  <c r="BN145" i="1"/>
  <c r="BN144" i="1"/>
  <c r="BN143" i="1"/>
  <c r="BN142" i="1"/>
  <c r="BN141" i="1"/>
  <c r="BN140" i="1"/>
  <c r="BN139" i="1"/>
  <c r="BN138" i="1"/>
  <c r="BN137" i="1"/>
  <c r="BN136" i="1"/>
  <c r="BN135" i="1"/>
  <c r="BN134" i="1"/>
  <c r="BN133" i="1"/>
  <c r="BN132" i="1"/>
  <c r="BN131" i="1"/>
  <c r="BN130" i="1"/>
  <c r="BN129" i="1"/>
  <c r="BN128" i="1"/>
  <c r="BN127" i="1"/>
  <c r="BN126" i="1"/>
  <c r="BN125" i="1"/>
  <c r="BN124" i="1"/>
  <c r="BN123" i="1"/>
  <c r="BN122" i="1"/>
  <c r="BN121" i="1"/>
  <c r="BN120" i="1"/>
  <c r="BN119" i="1"/>
  <c r="BN118" i="1"/>
  <c r="BN117" i="1"/>
  <c r="BN116" i="1"/>
  <c r="BN115" i="1"/>
  <c r="BN114" i="1"/>
  <c r="BN113" i="1"/>
  <c r="BN112" i="1"/>
  <c r="BN111" i="1"/>
  <c r="BN110" i="1"/>
  <c r="BN109" i="1"/>
  <c r="BN108" i="1"/>
  <c r="BN107" i="1"/>
  <c r="BN106" i="1"/>
  <c r="BN105" i="1"/>
  <c r="BN104" i="1"/>
  <c r="BN103" i="1"/>
  <c r="BN102" i="1"/>
  <c r="BN101" i="1"/>
  <c r="BN100" i="1"/>
  <c r="BN99" i="1"/>
  <c r="BN98" i="1"/>
  <c r="BN97" i="1"/>
  <c r="BN96" i="1"/>
  <c r="BN95" i="1"/>
  <c r="BN94" i="1"/>
  <c r="BN93" i="1"/>
  <c r="BN92" i="1"/>
  <c r="BN91" i="1"/>
  <c r="BN90" i="1"/>
  <c r="BN89" i="1"/>
  <c r="BN88" i="1"/>
  <c r="BN87" i="1"/>
  <c r="BN86" i="1"/>
  <c r="BN85" i="1"/>
  <c r="BN84" i="1"/>
  <c r="BN83" i="1"/>
  <c r="BN82" i="1"/>
  <c r="BN81" i="1"/>
  <c r="BN80" i="1"/>
  <c r="BN79" i="1"/>
  <c r="BN78" i="1"/>
  <c r="BN77" i="1"/>
  <c r="BN76" i="1"/>
  <c r="BN75" i="1"/>
  <c r="BN74" i="1"/>
  <c r="BN73" i="1"/>
  <c r="BN72" i="1"/>
  <c r="BN71" i="1"/>
  <c r="BN70" i="1"/>
  <c r="BN69" i="1"/>
  <c r="BN68" i="1"/>
  <c r="BN67" i="1"/>
  <c r="BN66" i="1"/>
  <c r="BN65" i="1"/>
  <c r="BN64" i="1"/>
  <c r="BN63" i="1"/>
  <c r="BN62" i="1"/>
  <c r="BN61" i="1"/>
  <c r="BN60" i="1"/>
  <c r="BN59" i="1"/>
  <c r="BN58" i="1"/>
  <c r="D58" i="1"/>
  <c r="BN57" i="1"/>
  <c r="BN56" i="1"/>
  <c r="BN55" i="1"/>
  <c r="BN54" i="1"/>
  <c r="BN53" i="1"/>
  <c r="BN52" i="1"/>
  <c r="BN51" i="1"/>
  <c r="BN50" i="1"/>
  <c r="BN49" i="1"/>
  <c r="BN48" i="1"/>
  <c r="BN47" i="1"/>
  <c r="BN46" i="1"/>
  <c r="BN45" i="1"/>
  <c r="BN44" i="1"/>
  <c r="BN43" i="1"/>
  <c r="BN42" i="1"/>
  <c r="BN41" i="1"/>
  <c r="BN40" i="1"/>
  <c r="BN39" i="1"/>
  <c r="BN38" i="1"/>
  <c r="BN37" i="1"/>
  <c r="BN36" i="1"/>
  <c r="BN35" i="1"/>
  <c r="BN34" i="1"/>
  <c r="BN33" i="1"/>
  <c r="BN32" i="1"/>
  <c r="BN31" i="1"/>
  <c r="BN30" i="1"/>
  <c r="BN25" i="1"/>
  <c r="BN22" i="1"/>
  <c r="BX21" i="1"/>
  <c r="BN21" i="1"/>
  <c r="BX20" i="1"/>
  <c r="BN20" i="1"/>
  <c r="BX19" i="1"/>
  <c r="BN19" i="1"/>
  <c r="BX18" i="1"/>
  <c r="BN18" i="1"/>
  <c r="BX17" i="1"/>
  <c r="BN17" i="1"/>
  <c r="BX16" i="1"/>
  <c r="BN16" i="1"/>
  <c r="DG15" i="1"/>
  <c r="DF15" i="1"/>
  <c r="BX15" i="1"/>
  <c r="BN15" i="1"/>
  <c r="BX14" i="1"/>
  <c r="BN14" i="1"/>
  <c r="BX13" i="1"/>
  <c r="BN13" i="1"/>
  <c r="DR12" i="1"/>
  <c r="DQ12" i="1"/>
  <c r="DP12" i="1"/>
  <c r="DO12" i="1"/>
  <c r="DN12" i="1"/>
  <c r="DM12" i="1"/>
  <c r="DL12" i="1"/>
  <c r="DK12" i="1"/>
  <c r="DJ12" i="1"/>
  <c r="DI12" i="1"/>
  <c r="DH12" i="1"/>
  <c r="DG12" i="1"/>
  <c r="DF12" i="1"/>
  <c r="DE12" i="1"/>
  <c r="DS12" i="1" s="1"/>
  <c r="DD12" i="1"/>
  <c r="DC12" i="1"/>
  <c r="BX12" i="1"/>
  <c r="BN12" i="1"/>
  <c r="BF12" i="1"/>
  <c r="BX11" i="1"/>
  <c r="BT11" i="1"/>
  <c r="BN11" i="1"/>
  <c r="BF11" i="1"/>
  <c r="DT10" i="1"/>
  <c r="DT13" i="1" s="1"/>
  <c r="BX10" i="1"/>
  <c r="BN10" i="1"/>
  <c r="BF10" i="1"/>
  <c r="DR9" i="1"/>
  <c r="DQ9" i="1"/>
  <c r="DP9" i="1"/>
  <c r="DO9" i="1"/>
  <c r="DN9" i="1"/>
  <c r="DM9" i="1"/>
  <c r="DL9" i="1"/>
  <c r="DK9" i="1"/>
  <c r="DJ9" i="1"/>
  <c r="DI9" i="1"/>
  <c r="DH9" i="1"/>
  <c r="DG9" i="1"/>
  <c r="DF9" i="1"/>
  <c r="DE9" i="1"/>
  <c r="DS9" i="1" s="1"/>
  <c r="DD9" i="1"/>
  <c r="DC9" i="1"/>
  <c r="DB9" i="1"/>
  <c r="BX9" i="1"/>
  <c r="BN9" i="1"/>
  <c r="BF9" i="1"/>
  <c r="DR8" i="1"/>
  <c r="DQ8" i="1"/>
  <c r="DP8" i="1"/>
  <c r="DO8" i="1"/>
  <c r="DN8" i="1"/>
  <c r="DM8" i="1"/>
  <c r="DL8" i="1"/>
  <c r="DK8" i="1"/>
  <c r="DJ8" i="1"/>
  <c r="DI8" i="1"/>
  <c r="DH8" i="1"/>
  <c r="DG8" i="1"/>
  <c r="DF8" i="1"/>
  <c r="DE8" i="1"/>
  <c r="DS8" i="1" s="1"/>
  <c r="DD8" i="1"/>
  <c r="DC8" i="1"/>
  <c r="DB8" i="1"/>
  <c r="BX8" i="1"/>
  <c r="BN8" i="1"/>
  <c r="BF8" i="1"/>
  <c r="BB8" i="1"/>
  <c r="DR7" i="1"/>
  <c r="DQ7" i="1"/>
  <c r="DP7" i="1"/>
  <c r="DO7" i="1"/>
  <c r="DN7" i="1"/>
  <c r="DM7" i="1"/>
  <c r="DL7" i="1"/>
  <c r="DK7" i="1"/>
  <c r="DJ7" i="1"/>
  <c r="DI7" i="1"/>
  <c r="DH7" i="1"/>
  <c r="DG7" i="1"/>
  <c r="DF7" i="1"/>
  <c r="DE7" i="1"/>
  <c r="DS7" i="1" s="1"/>
  <c r="DD7" i="1"/>
  <c r="DC7" i="1"/>
  <c r="DB7" i="1"/>
  <c r="BX7" i="1"/>
  <c r="BN7" i="1"/>
  <c r="BF7" i="1"/>
  <c r="BB7" i="1"/>
  <c r="DR6" i="1"/>
  <c r="DQ6" i="1"/>
  <c r="DP6" i="1"/>
  <c r="DO6" i="1"/>
  <c r="DN6" i="1"/>
  <c r="DM6" i="1"/>
  <c r="DL6" i="1"/>
  <c r="DK6" i="1"/>
  <c r="DJ6" i="1"/>
  <c r="DI6" i="1"/>
  <c r="DH6" i="1"/>
  <c r="DG6" i="1"/>
  <c r="DF6" i="1"/>
  <c r="DE6" i="1"/>
  <c r="DS6" i="1" s="1"/>
  <c r="DD6" i="1"/>
  <c r="DC6" i="1"/>
  <c r="DB6" i="1"/>
  <c r="BX6" i="1"/>
  <c r="BN6" i="1"/>
  <c r="BF6" i="1"/>
  <c r="BB6" i="1"/>
  <c r="DR5" i="1"/>
  <c r="DQ5" i="1"/>
  <c r="DP5" i="1"/>
  <c r="DO5" i="1"/>
  <c r="DN5" i="1"/>
  <c r="DM5" i="1"/>
  <c r="DL5" i="1"/>
  <c r="DK5" i="1"/>
  <c r="DJ5" i="1"/>
  <c r="DI5" i="1"/>
  <c r="DH5" i="1"/>
  <c r="DG5" i="1"/>
  <c r="DF5" i="1"/>
  <c r="DE5" i="1"/>
  <c r="DS5" i="1" s="1"/>
  <c r="DD5" i="1"/>
  <c r="DC5" i="1"/>
  <c r="DB5" i="1"/>
  <c r="BX5" i="1"/>
  <c r="BN5" i="1"/>
  <c r="BF5" i="1"/>
  <c r="BB5" i="1"/>
  <c r="BA5" i="1" s="1"/>
  <c r="DR4" i="1"/>
  <c r="DQ4" i="1"/>
  <c r="DP4" i="1"/>
  <c r="DO4" i="1"/>
  <c r="DN4" i="1"/>
  <c r="DM4" i="1"/>
  <c r="DL4" i="1"/>
  <c r="DK4" i="1"/>
  <c r="DJ4" i="1"/>
  <c r="DI4" i="1"/>
  <c r="DH4" i="1"/>
  <c r="DG4" i="1"/>
  <c r="DF4" i="1"/>
  <c r="DE4" i="1"/>
  <c r="DS4" i="1" s="1"/>
  <c r="DD4" i="1"/>
  <c r="DC4" i="1"/>
  <c r="DB4" i="1"/>
  <c r="BX4" i="1"/>
  <c r="BN4" i="1"/>
  <c r="BF4" i="1"/>
  <c r="BB4" i="1"/>
  <c r="DR3" i="1"/>
  <c r="DQ3" i="1"/>
  <c r="DP3" i="1"/>
  <c r="DO3" i="1"/>
  <c r="DN3" i="1"/>
  <c r="DM3" i="1"/>
  <c r="DL3" i="1"/>
  <c r="DK3" i="1"/>
  <c r="DJ3" i="1"/>
  <c r="DI3" i="1"/>
  <c r="DH3" i="1"/>
  <c r="DG3" i="1"/>
  <c r="DF3" i="1"/>
  <c r="DE3" i="1"/>
  <c r="DS3" i="1" s="1"/>
  <c r="DD3" i="1"/>
  <c r="DC3" i="1"/>
  <c r="DB3" i="1"/>
  <c r="BX3" i="1"/>
  <c r="BN3" i="1"/>
  <c r="BF3" i="1"/>
  <c r="BB3" i="1"/>
  <c r="BA3" i="1" s="1"/>
  <c r="AZ3" i="1" s="1"/>
  <c r="DR2" i="1"/>
  <c r="DR10" i="1" s="1"/>
  <c r="DR13" i="1" s="1"/>
  <c r="DQ2" i="1"/>
  <c r="DQ10" i="1" s="1"/>
  <c r="DP2" i="1"/>
  <c r="DP10" i="1" s="1"/>
  <c r="DP13" i="1" s="1"/>
  <c r="DO2" i="1"/>
  <c r="DO10" i="1" s="1"/>
  <c r="DN2" i="1"/>
  <c r="DN10" i="1" s="1"/>
  <c r="DN13" i="1" s="1"/>
  <c r="DM2" i="1"/>
  <c r="DM10" i="1" s="1"/>
  <c r="DL2" i="1"/>
  <c r="DL10" i="1" s="1"/>
  <c r="DL13" i="1" s="1"/>
  <c r="DK2" i="1"/>
  <c r="DK10" i="1" s="1"/>
  <c r="DJ2" i="1"/>
  <c r="DJ10" i="1" s="1"/>
  <c r="DJ13" i="1" s="1"/>
  <c r="DI2" i="1"/>
  <c r="DI10" i="1" s="1"/>
  <c r="DH2" i="1"/>
  <c r="DH10" i="1" s="1"/>
  <c r="DH13" i="1" s="1"/>
  <c r="DG2" i="1"/>
  <c r="DG10" i="1" s="1"/>
  <c r="DF2" i="1"/>
  <c r="DF10" i="1" s="1"/>
  <c r="DE2" i="1"/>
  <c r="DE10" i="1" s="1"/>
  <c r="DD2" i="1"/>
  <c r="DD10" i="1" s="1"/>
  <c r="DC2" i="1"/>
  <c r="DC10" i="1" s="1"/>
  <c r="DB2" i="1"/>
  <c r="BT2" i="1"/>
  <c r="BN2" i="1"/>
  <c r="BF2" i="1"/>
  <c r="BB2" i="1"/>
  <c r="BA2" i="1" s="1"/>
  <c r="AT2" i="1"/>
  <c r="AS2" i="1"/>
  <c r="DQ1" i="1"/>
  <c r="DO1" i="1"/>
  <c r="DM1" i="1"/>
  <c r="DK1" i="1"/>
  <c r="DI1" i="1"/>
  <c r="DB1" i="1"/>
  <c r="AQ1" i="1"/>
  <c r="AQ2" i="1" s="1"/>
  <c r="AQ3" i="1" s="1"/>
  <c r="AQ4" i="1" s="1"/>
  <c r="AQ5" i="1" s="1"/>
  <c r="AQ6" i="1" s="1"/>
  <c r="CU23" i="1" l="1"/>
  <c r="CT23" i="1"/>
  <c r="CQ23" i="1"/>
  <c r="CO23" i="1" s="1"/>
  <c r="CP23" i="1"/>
  <c r="CN23" i="1" s="1"/>
  <c r="CR23" i="1"/>
  <c r="CS23" i="1"/>
  <c r="CY23" i="1"/>
  <c r="CX24" i="1"/>
  <c r="CY24" i="1"/>
  <c r="CX23" i="1"/>
  <c r="CV23" i="1"/>
  <c r="CW23" i="1"/>
  <c r="CV24" i="1"/>
  <c r="CW24" i="1"/>
  <c r="CX26" i="1"/>
  <c r="CY26" i="1"/>
  <c r="CU3" i="1"/>
  <c r="CW26" i="1"/>
  <c r="CV26" i="1"/>
  <c r="DK13" i="1"/>
  <c r="DO13" i="1"/>
  <c r="CP3" i="1"/>
  <c r="CF2" i="1"/>
  <c r="CE2" i="1"/>
  <c r="CQ2" i="1"/>
  <c r="CT2" i="1"/>
  <c r="BA4" i="1"/>
  <c r="CT3" i="1"/>
  <c r="CA2" i="1"/>
  <c r="CJ2" i="1"/>
  <c r="CU2" i="1"/>
  <c r="CX2" i="1"/>
  <c r="CQ3" i="1"/>
  <c r="AV4" i="1"/>
  <c r="CB2" i="1"/>
  <c r="CP2" i="1"/>
  <c r="CY2" i="1"/>
  <c r="AW4" i="1"/>
  <c r="AZ4" i="1"/>
  <c r="AY2" i="1"/>
  <c r="AX3" i="1"/>
  <c r="AX4" i="1"/>
  <c r="AZ2" i="1"/>
  <c r="CC2" i="1"/>
  <c r="CI2" i="1"/>
  <c r="CR2" i="1"/>
  <c r="CR3" i="1"/>
  <c r="AY4" i="1"/>
  <c r="CD2" i="1"/>
  <c r="CS2" i="1"/>
  <c r="DE13" i="1"/>
  <c r="DI13" i="1"/>
  <c r="DM13" i="1"/>
  <c r="DQ13" i="1"/>
  <c r="CS3" i="1"/>
  <c r="CJ3" i="1"/>
  <c r="CJ4" i="1"/>
  <c r="CJ5" i="1"/>
  <c r="CJ6" i="1"/>
  <c r="CJ7" i="1"/>
  <c r="CJ8" i="1"/>
  <c r="CJ9" i="1"/>
  <c r="CJ10" i="1"/>
  <c r="CJ11" i="1"/>
  <c r="CJ12" i="1"/>
  <c r="CJ13" i="1"/>
  <c r="CJ14" i="1"/>
  <c r="CJ15" i="1"/>
  <c r="CJ16" i="1"/>
  <c r="CJ17" i="1"/>
  <c r="CJ18" i="1"/>
  <c r="CJ19" i="1"/>
  <c r="CJ20" i="1"/>
  <c r="CJ21" i="1"/>
  <c r="AQ7" i="1"/>
  <c r="AQ8" i="1" s="1"/>
  <c r="AQ9" i="1" s="1"/>
  <c r="AQ10" i="1" s="1"/>
  <c r="AQ11" i="1" s="1"/>
  <c r="AQ12" i="1" s="1"/>
  <c r="AQ13" i="1" s="1"/>
  <c r="AO1" i="1"/>
  <c r="AN1" i="1" s="1"/>
  <c r="DC13" i="1"/>
  <c r="DD13" i="1"/>
  <c r="DF13" i="1"/>
  <c r="DF17" i="1" s="1"/>
  <c r="DG13" i="1"/>
  <c r="DG17" i="1" s="1"/>
  <c r="CW130" i="1"/>
  <c r="CV130" i="1"/>
  <c r="CW129" i="1"/>
  <c r="CV129" i="1"/>
  <c r="CW128" i="1"/>
  <c r="CV128" i="1"/>
  <c r="CW127" i="1"/>
  <c r="CV127" i="1"/>
  <c r="CW126" i="1"/>
  <c r="CV126" i="1"/>
  <c r="CW125" i="1"/>
  <c r="CV125" i="1"/>
  <c r="CW124" i="1"/>
  <c r="CV124" i="1"/>
  <c r="CW123" i="1"/>
  <c r="CV123" i="1"/>
  <c r="CW122" i="1"/>
  <c r="CV122" i="1"/>
  <c r="CW121" i="1"/>
  <c r="CV121" i="1"/>
  <c r="CW120" i="1"/>
  <c r="CV120" i="1"/>
  <c r="CW119" i="1"/>
  <c r="CV119" i="1"/>
  <c r="CW118" i="1"/>
  <c r="CV118" i="1"/>
  <c r="CW117" i="1"/>
  <c r="CV117" i="1"/>
  <c r="CW116" i="1"/>
  <c r="CV116" i="1"/>
  <c r="CW115" i="1"/>
  <c r="CV115" i="1"/>
  <c r="CW114" i="1"/>
  <c r="CV114" i="1"/>
  <c r="CW113" i="1"/>
  <c r="CV113" i="1"/>
  <c r="CW112" i="1"/>
  <c r="CV112" i="1"/>
  <c r="CW111" i="1"/>
  <c r="CV111" i="1"/>
  <c r="CW110" i="1"/>
  <c r="CV110" i="1"/>
  <c r="CW109" i="1"/>
  <c r="CV109" i="1"/>
  <c r="CW108" i="1"/>
  <c r="CV108" i="1"/>
  <c r="CW107" i="1"/>
  <c r="CV107" i="1"/>
  <c r="CW106" i="1"/>
  <c r="CV106" i="1"/>
  <c r="CW105" i="1"/>
  <c r="CV105" i="1"/>
  <c r="CW104" i="1"/>
  <c r="CV104" i="1"/>
  <c r="CW103" i="1"/>
  <c r="CV103" i="1"/>
  <c r="CW102" i="1"/>
  <c r="CV102" i="1"/>
  <c r="CW101" i="1"/>
  <c r="CV101" i="1"/>
  <c r="CW100" i="1"/>
  <c r="CV100" i="1"/>
  <c r="CW99" i="1"/>
  <c r="CV99" i="1"/>
  <c r="CW98" i="1"/>
  <c r="CV98" i="1"/>
  <c r="CW97" i="1"/>
  <c r="CV97" i="1"/>
  <c r="CW96" i="1"/>
  <c r="CV96" i="1"/>
  <c r="CW95" i="1"/>
  <c r="CV95" i="1"/>
  <c r="CW94" i="1"/>
  <c r="CV94" i="1"/>
  <c r="CW93" i="1"/>
  <c r="CV93" i="1"/>
  <c r="CW92" i="1"/>
  <c r="CV92" i="1"/>
  <c r="CW91" i="1"/>
  <c r="CV91" i="1"/>
  <c r="CW90" i="1"/>
  <c r="CV90" i="1"/>
  <c r="CW89" i="1"/>
  <c r="CV89" i="1"/>
  <c r="CW88" i="1"/>
  <c r="CV88" i="1"/>
  <c r="CW87" i="1"/>
  <c r="CV87" i="1"/>
  <c r="CW86" i="1"/>
  <c r="CV86" i="1"/>
  <c r="CW85" i="1"/>
  <c r="CV85" i="1"/>
  <c r="CW84" i="1"/>
  <c r="CV84" i="1"/>
  <c r="CW83" i="1"/>
  <c r="CV83" i="1"/>
  <c r="CW82" i="1"/>
  <c r="CV82" i="1"/>
  <c r="CW81" i="1"/>
  <c r="CV81" i="1"/>
  <c r="CW80" i="1"/>
  <c r="CV80" i="1"/>
  <c r="CW79" i="1"/>
  <c r="CV79" i="1"/>
  <c r="CW78" i="1"/>
  <c r="CV78" i="1"/>
  <c r="CW77" i="1"/>
  <c r="CV77" i="1"/>
  <c r="CW76" i="1"/>
  <c r="CV76" i="1"/>
  <c r="CW75" i="1"/>
  <c r="CV75" i="1"/>
  <c r="CW74" i="1"/>
  <c r="CV74" i="1"/>
  <c r="CW73" i="1"/>
  <c r="CV73" i="1"/>
  <c r="CW72" i="1"/>
  <c r="CV72" i="1"/>
  <c r="CW71" i="1"/>
  <c r="CV71" i="1"/>
  <c r="CW70" i="1"/>
  <c r="CV70" i="1"/>
  <c r="CW69" i="1"/>
  <c r="CV69" i="1"/>
  <c r="CW68" i="1"/>
  <c r="CV68" i="1"/>
  <c r="CW67" i="1"/>
  <c r="CV67" i="1"/>
  <c r="CW66" i="1"/>
  <c r="CV66" i="1"/>
  <c r="CW65" i="1"/>
  <c r="CV65" i="1"/>
  <c r="CW63" i="1"/>
  <c r="CV63" i="1"/>
  <c r="CW62" i="1"/>
  <c r="CV62" i="1"/>
  <c r="CW61" i="1"/>
  <c r="CV61" i="1"/>
  <c r="CW60" i="1"/>
  <c r="CV60" i="1"/>
  <c r="CW59" i="1"/>
  <c r="CV59" i="1"/>
  <c r="CW58" i="1"/>
  <c r="CV58" i="1"/>
  <c r="CY130" i="1"/>
  <c r="CX130" i="1"/>
  <c r="CY129" i="1"/>
  <c r="CX129" i="1"/>
  <c r="CY128" i="1"/>
  <c r="CX128" i="1"/>
  <c r="CY127" i="1"/>
  <c r="CX127" i="1"/>
  <c r="CY126" i="1"/>
  <c r="CX126" i="1"/>
  <c r="CY125" i="1"/>
  <c r="CX125" i="1"/>
  <c r="CY124" i="1"/>
  <c r="CX124" i="1"/>
  <c r="CY123" i="1"/>
  <c r="CX123" i="1"/>
  <c r="CY122" i="1"/>
  <c r="CX122" i="1"/>
  <c r="CY121" i="1"/>
  <c r="CX121" i="1"/>
  <c r="CY120" i="1"/>
  <c r="CX120" i="1"/>
  <c r="CY119" i="1"/>
  <c r="CX119" i="1"/>
  <c r="CY118" i="1"/>
  <c r="CX118" i="1"/>
  <c r="CY117" i="1"/>
  <c r="CX117" i="1"/>
  <c r="CY116" i="1"/>
  <c r="CX116" i="1"/>
  <c r="CY115" i="1"/>
  <c r="CX115" i="1"/>
  <c r="CY114" i="1"/>
  <c r="CX114" i="1"/>
  <c r="CY113" i="1"/>
  <c r="CX113" i="1"/>
  <c r="CY112" i="1"/>
  <c r="CX112" i="1"/>
  <c r="CY111" i="1"/>
  <c r="CX111" i="1"/>
  <c r="CY110" i="1"/>
  <c r="CX110" i="1"/>
  <c r="CY109" i="1"/>
  <c r="CX109" i="1"/>
  <c r="CY108" i="1"/>
  <c r="CX108" i="1"/>
  <c r="CY107" i="1"/>
  <c r="CX107" i="1"/>
  <c r="CY106" i="1"/>
  <c r="CX106" i="1"/>
  <c r="CY105" i="1"/>
  <c r="CX105" i="1"/>
  <c r="CY104" i="1"/>
  <c r="CX104" i="1"/>
  <c r="CY103" i="1"/>
  <c r="CX103" i="1"/>
  <c r="CY102" i="1"/>
  <c r="CX102" i="1"/>
  <c r="CY101" i="1"/>
  <c r="CX101" i="1"/>
  <c r="CY100" i="1"/>
  <c r="CX100" i="1"/>
  <c r="CY99" i="1"/>
  <c r="CX99" i="1"/>
  <c r="CY98" i="1"/>
  <c r="CX98" i="1"/>
  <c r="CY97" i="1"/>
  <c r="CX97" i="1"/>
  <c r="CY96" i="1"/>
  <c r="CX96" i="1"/>
  <c r="CY95" i="1"/>
  <c r="CX95" i="1"/>
  <c r="CY94" i="1"/>
  <c r="CX94" i="1"/>
  <c r="CY93" i="1"/>
  <c r="CX93" i="1"/>
  <c r="CY92" i="1"/>
  <c r="CX92" i="1"/>
  <c r="CY91" i="1"/>
  <c r="CX91" i="1"/>
  <c r="CY90" i="1"/>
  <c r="CX90" i="1"/>
  <c r="CY89" i="1"/>
  <c r="CX89" i="1"/>
  <c r="CY88" i="1"/>
  <c r="CX88" i="1"/>
  <c r="CY87" i="1"/>
  <c r="CX87" i="1"/>
  <c r="CY86" i="1"/>
  <c r="CX86" i="1"/>
  <c r="CY85" i="1"/>
  <c r="CX85" i="1"/>
  <c r="CY84" i="1"/>
  <c r="CX84" i="1"/>
  <c r="CY83" i="1"/>
  <c r="CX83" i="1"/>
  <c r="CY82" i="1"/>
  <c r="CX82" i="1"/>
  <c r="CY81" i="1"/>
  <c r="CX81" i="1"/>
  <c r="CY80" i="1"/>
  <c r="CX80" i="1"/>
  <c r="CY79" i="1"/>
  <c r="CX79" i="1"/>
  <c r="CY78" i="1"/>
  <c r="CX78" i="1"/>
  <c r="CY77" i="1"/>
  <c r="CX77" i="1"/>
  <c r="CY76" i="1"/>
  <c r="CX76" i="1"/>
  <c r="CY75" i="1"/>
  <c r="CX75" i="1"/>
  <c r="CY74" i="1"/>
  <c r="CX74" i="1"/>
  <c r="CY73" i="1"/>
  <c r="CX73" i="1"/>
  <c r="CY72" i="1"/>
  <c r="CX72" i="1"/>
  <c r="CY71" i="1"/>
  <c r="CX71" i="1"/>
  <c r="CY70" i="1"/>
  <c r="CX70" i="1"/>
  <c r="CY69" i="1"/>
  <c r="CX69" i="1"/>
  <c r="CY68" i="1"/>
  <c r="CX68" i="1"/>
  <c r="CY67" i="1"/>
  <c r="CX67" i="1"/>
  <c r="CY66" i="1"/>
  <c r="CX66" i="1"/>
  <c r="CY65" i="1"/>
  <c r="CX65" i="1"/>
  <c r="CY63" i="1"/>
  <c r="CX63" i="1"/>
  <c r="CY62" i="1"/>
  <c r="CX62" i="1"/>
  <c r="CY61" i="1"/>
  <c r="CX61" i="1"/>
  <c r="CY60" i="1"/>
  <c r="CX60" i="1"/>
  <c r="CY59" i="1"/>
  <c r="CX59" i="1"/>
  <c r="CY58" i="1"/>
  <c r="CX58" i="1"/>
  <c r="CS130" i="1"/>
  <c r="CR130" i="1"/>
  <c r="CS129" i="1"/>
  <c r="CR129" i="1"/>
  <c r="CS128" i="1"/>
  <c r="CR128" i="1"/>
  <c r="CS127" i="1"/>
  <c r="CR127" i="1"/>
  <c r="CS126" i="1"/>
  <c r="CR126" i="1"/>
  <c r="CS125" i="1"/>
  <c r="CR125" i="1"/>
  <c r="CS124" i="1"/>
  <c r="CR124" i="1"/>
  <c r="CS123" i="1"/>
  <c r="CR123" i="1"/>
  <c r="CS122" i="1"/>
  <c r="CR122" i="1"/>
  <c r="CS121" i="1"/>
  <c r="CR121" i="1"/>
  <c r="CS120" i="1"/>
  <c r="CR120" i="1"/>
  <c r="CS119" i="1"/>
  <c r="CR119" i="1"/>
  <c r="CS118" i="1"/>
  <c r="CR118" i="1"/>
  <c r="CS117" i="1"/>
  <c r="CR117" i="1"/>
  <c r="CS116" i="1"/>
  <c r="CR116" i="1"/>
  <c r="CS115" i="1"/>
  <c r="CR115" i="1"/>
  <c r="CS114" i="1"/>
  <c r="CR114" i="1"/>
  <c r="CS113" i="1"/>
  <c r="CR113" i="1"/>
  <c r="CS111" i="1"/>
  <c r="CR111" i="1"/>
  <c r="CS110" i="1"/>
  <c r="CR110" i="1"/>
  <c r="CS108" i="1"/>
  <c r="CR108" i="1"/>
  <c r="CS106" i="1"/>
  <c r="CR106" i="1"/>
  <c r="CS104" i="1"/>
  <c r="CR104" i="1"/>
  <c r="CS102" i="1"/>
  <c r="CR102" i="1"/>
  <c r="CS101" i="1"/>
  <c r="CR101" i="1"/>
  <c r="CS100" i="1"/>
  <c r="CR100" i="1"/>
  <c r="CS99" i="1"/>
  <c r="CR99" i="1"/>
  <c r="CS98" i="1"/>
  <c r="CR98" i="1"/>
  <c r="CS97" i="1"/>
  <c r="CR97" i="1"/>
  <c r="CS96" i="1"/>
  <c r="CR96" i="1"/>
  <c r="CS95" i="1"/>
  <c r="CR95" i="1"/>
  <c r="CS94" i="1"/>
  <c r="CR94" i="1"/>
  <c r="CS93" i="1"/>
  <c r="CR93" i="1"/>
  <c r="CS92" i="1"/>
  <c r="CR92" i="1"/>
  <c r="CS91" i="1"/>
  <c r="CR91" i="1"/>
  <c r="CS90" i="1"/>
  <c r="CR90" i="1"/>
  <c r="CS89" i="1"/>
  <c r="CR89" i="1"/>
  <c r="CS88" i="1"/>
  <c r="CR88" i="1"/>
  <c r="CS86" i="1"/>
  <c r="CR86" i="1"/>
  <c r="CS85" i="1"/>
  <c r="CR85" i="1"/>
  <c r="CS84" i="1"/>
  <c r="CR84" i="1"/>
  <c r="CS82" i="1"/>
  <c r="CR82" i="1"/>
  <c r="CS81" i="1"/>
  <c r="CR81" i="1"/>
  <c r="CS79" i="1"/>
  <c r="CR79" i="1"/>
  <c r="CS78" i="1"/>
  <c r="CR78" i="1"/>
  <c r="CS77" i="1"/>
  <c r="CR77" i="1"/>
  <c r="CS75" i="1"/>
  <c r="CR75" i="1"/>
  <c r="CS74" i="1"/>
  <c r="CR74" i="1"/>
  <c r="CS73" i="1"/>
  <c r="CR73" i="1"/>
  <c r="CS71" i="1"/>
  <c r="CR71" i="1"/>
  <c r="CS70" i="1"/>
  <c r="CR70" i="1"/>
  <c r="CS69" i="1"/>
  <c r="CR69" i="1"/>
  <c r="CS68" i="1"/>
  <c r="CR68" i="1"/>
  <c r="CS66" i="1"/>
  <c r="CR66" i="1"/>
  <c r="CS65" i="1"/>
  <c r="CR65" i="1"/>
  <c r="CS64" i="1"/>
  <c r="CR64" i="1"/>
  <c r="CS63" i="1"/>
  <c r="CR63" i="1"/>
  <c r="CS62" i="1"/>
  <c r="CR62" i="1"/>
  <c r="CS60" i="1"/>
  <c r="CR60" i="1"/>
  <c r="CS59" i="1"/>
  <c r="CR59" i="1"/>
  <c r="CU130" i="1"/>
  <c r="CT130" i="1"/>
  <c r="CU129" i="1"/>
  <c r="CT129" i="1"/>
  <c r="CU128" i="1"/>
  <c r="CT128" i="1"/>
  <c r="CU127" i="1"/>
  <c r="CT127" i="1"/>
  <c r="CU126" i="1"/>
  <c r="CT126" i="1"/>
  <c r="CU125" i="1"/>
  <c r="CT125" i="1"/>
  <c r="CU124" i="1"/>
  <c r="CT124" i="1"/>
  <c r="CU123" i="1"/>
  <c r="CT123" i="1"/>
  <c r="CU122" i="1"/>
  <c r="CT122" i="1"/>
  <c r="CU121" i="1"/>
  <c r="CT121" i="1"/>
  <c r="CU120" i="1"/>
  <c r="CT120" i="1"/>
  <c r="CU119" i="1"/>
  <c r="CT119" i="1"/>
  <c r="CU118" i="1"/>
  <c r="CT118" i="1"/>
  <c r="CU117" i="1"/>
  <c r="CT117" i="1"/>
  <c r="CU116" i="1"/>
  <c r="CT116" i="1"/>
  <c r="CU115" i="1"/>
  <c r="CT115" i="1"/>
  <c r="CU114" i="1"/>
  <c r="CT114" i="1"/>
  <c r="CU113" i="1"/>
  <c r="CT113" i="1"/>
  <c r="CU111" i="1"/>
  <c r="CT111" i="1"/>
  <c r="CU110" i="1"/>
  <c r="CT110" i="1"/>
  <c r="CU108" i="1"/>
  <c r="CT108" i="1"/>
  <c r="CU106" i="1"/>
  <c r="CT106" i="1"/>
  <c r="CU104" i="1"/>
  <c r="CT104" i="1"/>
  <c r="CU102" i="1"/>
  <c r="CT102" i="1"/>
  <c r="CU101" i="1"/>
  <c r="CT101" i="1"/>
  <c r="CU100" i="1"/>
  <c r="CT100" i="1"/>
  <c r="CU99" i="1"/>
  <c r="CT99" i="1"/>
  <c r="CU98" i="1"/>
  <c r="CT98" i="1"/>
  <c r="CU97" i="1"/>
  <c r="CT97" i="1"/>
  <c r="CU96" i="1"/>
  <c r="CT96" i="1"/>
  <c r="CU95" i="1"/>
  <c r="CT95" i="1"/>
  <c r="CU94" i="1"/>
  <c r="CT94" i="1"/>
  <c r="CU93" i="1"/>
  <c r="CT93" i="1"/>
  <c r="CU92" i="1"/>
  <c r="CT92" i="1"/>
  <c r="CU91" i="1"/>
  <c r="CT91" i="1"/>
  <c r="CU90" i="1"/>
  <c r="CT90" i="1"/>
  <c r="CU89" i="1"/>
  <c r="CT89" i="1"/>
  <c r="CU88" i="1"/>
  <c r="CT88" i="1"/>
  <c r="CU86" i="1"/>
  <c r="CT86" i="1"/>
  <c r="CU85" i="1"/>
  <c r="CT85" i="1"/>
  <c r="CU84" i="1"/>
  <c r="CT84" i="1"/>
  <c r="CU82" i="1"/>
  <c r="CT82" i="1"/>
  <c r="CU81" i="1"/>
  <c r="CT81" i="1"/>
  <c r="CU79" i="1"/>
  <c r="CT79" i="1"/>
  <c r="CU78" i="1"/>
  <c r="CT78" i="1"/>
  <c r="CU77" i="1"/>
  <c r="CT77" i="1"/>
  <c r="CU75" i="1"/>
  <c r="CT75" i="1"/>
  <c r="CU74" i="1"/>
  <c r="CT74" i="1"/>
  <c r="CU73" i="1"/>
  <c r="CT73" i="1"/>
  <c r="CU71" i="1"/>
  <c r="CT71" i="1"/>
  <c r="CU70" i="1"/>
  <c r="CT70" i="1"/>
  <c r="CU69" i="1"/>
  <c r="CT69" i="1"/>
  <c r="CU68" i="1"/>
  <c r="CT68" i="1"/>
  <c r="CU66" i="1"/>
  <c r="CT66" i="1"/>
  <c r="CU65" i="1"/>
  <c r="CT65" i="1"/>
  <c r="CU64" i="1"/>
  <c r="CT64" i="1"/>
  <c r="CU63" i="1"/>
  <c r="CT63" i="1"/>
  <c r="CU62" i="1"/>
  <c r="CT62" i="1"/>
  <c r="CU60" i="1"/>
  <c r="CT60" i="1"/>
  <c r="CU59" i="1"/>
  <c r="CT59" i="1"/>
  <c r="CQ130" i="1"/>
  <c r="CO130" i="1" s="1"/>
  <c r="CP130" i="1"/>
  <c r="CN130" i="1" s="1"/>
  <c r="CQ129" i="1"/>
  <c r="CO129" i="1" s="1"/>
  <c r="CP129" i="1"/>
  <c r="CN129" i="1" s="1"/>
  <c r="CQ128" i="1"/>
  <c r="CO128" i="1" s="1"/>
  <c r="CP128" i="1"/>
  <c r="CN128" i="1" s="1"/>
  <c r="CQ127" i="1"/>
  <c r="CO127" i="1" s="1"/>
  <c r="CP127" i="1"/>
  <c r="CN127" i="1" s="1"/>
  <c r="CQ126" i="1"/>
  <c r="CO126" i="1" s="1"/>
  <c r="CP126" i="1"/>
  <c r="CN126" i="1" s="1"/>
  <c r="CQ125" i="1"/>
  <c r="CO125" i="1" s="1"/>
  <c r="CP125" i="1"/>
  <c r="CN125" i="1" s="1"/>
  <c r="CQ124" i="1"/>
  <c r="CO124" i="1" s="1"/>
  <c r="CP124" i="1"/>
  <c r="CN124" i="1" s="1"/>
  <c r="CQ123" i="1"/>
  <c r="CO123" i="1" s="1"/>
  <c r="CP123" i="1"/>
  <c r="CN123" i="1" s="1"/>
  <c r="CQ122" i="1"/>
  <c r="CO122" i="1" s="1"/>
  <c r="CP122" i="1"/>
  <c r="CN122" i="1" s="1"/>
  <c r="CQ121" i="1"/>
  <c r="CO121" i="1" s="1"/>
  <c r="CP121" i="1"/>
  <c r="CN121" i="1" s="1"/>
  <c r="CQ120" i="1"/>
  <c r="CO120" i="1" s="1"/>
  <c r="CP120" i="1"/>
  <c r="CN120" i="1" s="1"/>
  <c r="CQ119" i="1"/>
  <c r="CO119" i="1" s="1"/>
  <c r="CP119" i="1"/>
  <c r="CN119" i="1" s="1"/>
  <c r="CQ118" i="1"/>
  <c r="CO118" i="1" s="1"/>
  <c r="CP118" i="1"/>
  <c r="CN118" i="1" s="1"/>
  <c r="CQ117" i="1"/>
  <c r="CO117" i="1" s="1"/>
  <c r="CP117" i="1"/>
  <c r="CN117" i="1" s="1"/>
  <c r="CQ116" i="1"/>
  <c r="CO116" i="1" s="1"/>
  <c r="CP116" i="1"/>
  <c r="CN116" i="1" s="1"/>
  <c r="CQ115" i="1"/>
  <c r="CO115" i="1" s="1"/>
  <c r="CP115" i="1"/>
  <c r="CN115" i="1" s="1"/>
  <c r="CQ114" i="1"/>
  <c r="CO114" i="1" s="1"/>
  <c r="CP114" i="1"/>
  <c r="CN114" i="1" s="1"/>
  <c r="CQ113" i="1"/>
  <c r="CO113" i="1" s="1"/>
  <c r="CP113" i="1"/>
  <c r="CN113" i="1" s="1"/>
  <c r="CQ111" i="1"/>
  <c r="CO111" i="1" s="1"/>
  <c r="CP111" i="1"/>
  <c r="CN111" i="1" s="1"/>
  <c r="CQ110" i="1"/>
  <c r="CO110" i="1" s="1"/>
  <c r="CP110" i="1"/>
  <c r="CN110" i="1" s="1"/>
  <c r="CQ108" i="1"/>
  <c r="CO108" i="1" s="1"/>
  <c r="CP108" i="1"/>
  <c r="CN108" i="1" s="1"/>
  <c r="CQ106" i="1"/>
  <c r="CO106" i="1" s="1"/>
  <c r="CP106" i="1"/>
  <c r="CN106" i="1" s="1"/>
  <c r="CQ104" i="1"/>
  <c r="CO104" i="1" s="1"/>
  <c r="CP104" i="1"/>
  <c r="CN104" i="1" s="1"/>
  <c r="CQ102" i="1"/>
  <c r="CO102" i="1" s="1"/>
  <c r="CP102" i="1"/>
  <c r="CN102" i="1" s="1"/>
  <c r="CQ101" i="1"/>
  <c r="CO101" i="1" s="1"/>
  <c r="CP101" i="1"/>
  <c r="CN101" i="1" s="1"/>
  <c r="CQ100" i="1"/>
  <c r="CO100" i="1" s="1"/>
  <c r="CP100" i="1"/>
  <c r="CN100" i="1" s="1"/>
  <c r="CQ99" i="1"/>
  <c r="CO99" i="1" s="1"/>
  <c r="CP99" i="1"/>
  <c r="CN99" i="1" s="1"/>
  <c r="CQ98" i="1"/>
  <c r="CO98" i="1" s="1"/>
  <c r="CP98" i="1"/>
  <c r="CN98" i="1" s="1"/>
  <c r="CQ97" i="1"/>
  <c r="CO97" i="1" s="1"/>
  <c r="CP97" i="1"/>
  <c r="CN97" i="1" s="1"/>
  <c r="CQ96" i="1"/>
  <c r="CO96" i="1" s="1"/>
  <c r="CP96" i="1"/>
  <c r="CN96" i="1" s="1"/>
  <c r="CQ95" i="1"/>
  <c r="CO95" i="1" s="1"/>
  <c r="CP95" i="1"/>
  <c r="CN95" i="1" s="1"/>
  <c r="CQ94" i="1"/>
  <c r="CO94" i="1" s="1"/>
  <c r="CP94" i="1"/>
  <c r="CN94" i="1" s="1"/>
  <c r="CQ93" i="1"/>
  <c r="CO93" i="1" s="1"/>
  <c r="CP93" i="1"/>
  <c r="CN93" i="1" s="1"/>
  <c r="CQ92" i="1"/>
  <c r="CO92" i="1" s="1"/>
  <c r="CP92" i="1"/>
  <c r="CN92" i="1" s="1"/>
  <c r="CQ91" i="1"/>
  <c r="CO91" i="1" s="1"/>
  <c r="CP91" i="1"/>
  <c r="CN91" i="1" s="1"/>
  <c r="CQ90" i="1"/>
  <c r="CO90" i="1" s="1"/>
  <c r="CP90" i="1"/>
  <c r="CN90" i="1" s="1"/>
  <c r="CQ89" i="1"/>
  <c r="CO89" i="1" s="1"/>
  <c r="CP89" i="1"/>
  <c r="CN89" i="1" s="1"/>
  <c r="CQ88" i="1"/>
  <c r="CO88" i="1" s="1"/>
  <c r="CP88" i="1"/>
  <c r="CN88" i="1" s="1"/>
  <c r="CQ86" i="1"/>
  <c r="CO86" i="1" s="1"/>
  <c r="CP86" i="1"/>
  <c r="CN86" i="1" s="1"/>
  <c r="CQ85" i="1"/>
  <c r="CO85" i="1" s="1"/>
  <c r="CP85" i="1"/>
  <c r="CN85" i="1" s="1"/>
  <c r="CQ84" i="1"/>
  <c r="CO84" i="1" s="1"/>
  <c r="CP84" i="1"/>
  <c r="CN84" i="1" s="1"/>
  <c r="CQ82" i="1"/>
  <c r="CO82" i="1" s="1"/>
  <c r="CP82" i="1"/>
  <c r="CN82" i="1" s="1"/>
  <c r="CQ81" i="1"/>
  <c r="CO81" i="1" s="1"/>
  <c r="CP81" i="1"/>
  <c r="CN81" i="1" s="1"/>
  <c r="CQ79" i="1"/>
  <c r="CO79" i="1" s="1"/>
  <c r="CP79" i="1"/>
  <c r="CN79" i="1" s="1"/>
  <c r="CQ78" i="1"/>
  <c r="CO78" i="1" s="1"/>
  <c r="CP78" i="1"/>
  <c r="CN78" i="1" s="1"/>
  <c r="CQ77" i="1"/>
  <c r="CO77" i="1" s="1"/>
  <c r="CP77" i="1"/>
  <c r="CN77" i="1" s="1"/>
  <c r="CQ75" i="1"/>
  <c r="CO75" i="1" s="1"/>
  <c r="CP75" i="1"/>
  <c r="CN75" i="1" s="1"/>
  <c r="CQ74" i="1"/>
  <c r="CO74" i="1" s="1"/>
  <c r="CP74" i="1"/>
  <c r="CN74" i="1" s="1"/>
  <c r="CQ73" i="1"/>
  <c r="CO73" i="1" s="1"/>
  <c r="CP73" i="1"/>
  <c r="CN73" i="1" s="1"/>
  <c r="CQ71" i="1"/>
  <c r="CO71" i="1" s="1"/>
  <c r="CP71" i="1"/>
  <c r="CN71" i="1" s="1"/>
  <c r="CQ70" i="1"/>
  <c r="CO70" i="1" s="1"/>
  <c r="CP70" i="1"/>
  <c r="CN70" i="1" s="1"/>
  <c r="CQ69" i="1"/>
  <c r="CO69" i="1" s="1"/>
  <c r="CP69" i="1"/>
  <c r="CN69" i="1" s="1"/>
  <c r="CQ68" i="1"/>
  <c r="CO68" i="1" s="1"/>
  <c r="CP68" i="1"/>
  <c r="CN68" i="1" s="1"/>
  <c r="CQ66" i="1"/>
  <c r="CO66" i="1" s="1"/>
  <c r="CP66" i="1"/>
  <c r="CN66" i="1" s="1"/>
  <c r="CQ65" i="1"/>
  <c r="CO65" i="1" s="1"/>
  <c r="CP65" i="1"/>
  <c r="CN65" i="1" s="1"/>
  <c r="CQ64" i="1"/>
  <c r="CO64" i="1" s="1"/>
  <c r="CP64" i="1"/>
  <c r="CN64" i="1" s="1"/>
  <c r="CQ63" i="1"/>
  <c r="CO63" i="1" s="1"/>
  <c r="CP63" i="1"/>
  <c r="CN63" i="1" s="1"/>
  <c r="CQ62" i="1"/>
  <c r="CO62" i="1" s="1"/>
  <c r="CP62" i="1"/>
  <c r="CN62" i="1" s="1"/>
  <c r="CQ60" i="1"/>
  <c r="CO60" i="1" s="1"/>
  <c r="CP60" i="1"/>
  <c r="CN60" i="1" s="1"/>
  <c r="CQ59" i="1"/>
  <c r="CO59" i="1" s="1"/>
  <c r="CP59" i="1"/>
  <c r="CN59" i="1" s="1"/>
  <c r="CG2" i="1"/>
  <c r="CH2" i="1"/>
  <c r="CV2" i="1"/>
  <c r="CW2" i="1"/>
  <c r="CO2" i="1" s="1"/>
  <c r="DS2" i="1"/>
  <c r="DS10" i="1" s="1"/>
  <c r="DS13" i="1" s="1"/>
  <c r="BU3" i="1"/>
  <c r="BU5" i="1" s="1"/>
  <c r="CA3" i="1"/>
  <c r="CB3" i="1"/>
  <c r="CC3" i="1"/>
  <c r="CD3" i="1"/>
  <c r="CE3" i="1"/>
  <c r="CF3" i="1"/>
  <c r="CG3" i="1"/>
  <c r="CH3" i="1"/>
  <c r="CI3" i="1"/>
  <c r="CV3" i="1"/>
  <c r="CW3" i="1"/>
  <c r="CX3" i="1"/>
  <c r="CY3" i="1"/>
  <c r="BU4" i="1"/>
  <c r="CA4" i="1"/>
  <c r="CB4" i="1"/>
  <c r="CC4" i="1"/>
  <c r="CD4" i="1"/>
  <c r="CE4" i="1"/>
  <c r="CF4" i="1"/>
  <c r="CG4" i="1"/>
  <c r="CH4" i="1"/>
  <c r="CI4" i="1"/>
  <c r="CV4" i="1"/>
  <c r="CW4" i="1"/>
  <c r="CX4" i="1"/>
  <c r="CY4" i="1"/>
  <c r="CA5" i="1"/>
  <c r="CB5" i="1"/>
  <c r="CC5" i="1"/>
  <c r="CD5" i="1"/>
  <c r="CE5" i="1"/>
  <c r="CF5" i="1"/>
  <c r="CG5" i="1"/>
  <c r="CH5" i="1"/>
  <c r="CI5" i="1"/>
  <c r="CP5" i="1"/>
  <c r="CQ5" i="1"/>
  <c r="CR5" i="1"/>
  <c r="CS5" i="1"/>
  <c r="CT5" i="1"/>
  <c r="CU5" i="1"/>
  <c r="CV5" i="1"/>
  <c r="CW5" i="1"/>
  <c r="CX5" i="1"/>
  <c r="CY5" i="1"/>
  <c r="CA6" i="1"/>
  <c r="CB6" i="1"/>
  <c r="CC6" i="1"/>
  <c r="CD6" i="1"/>
  <c r="CE6" i="1"/>
  <c r="CF6" i="1"/>
  <c r="CG6" i="1"/>
  <c r="CH6" i="1"/>
  <c r="CI6" i="1"/>
  <c r="CP6" i="1"/>
  <c r="CQ6" i="1"/>
  <c r="CR6" i="1"/>
  <c r="CS6" i="1"/>
  <c r="CT6" i="1"/>
  <c r="CU6" i="1"/>
  <c r="CV6" i="1"/>
  <c r="CW6" i="1"/>
  <c r="CX6" i="1"/>
  <c r="CY6" i="1"/>
  <c r="CG7" i="1"/>
  <c r="CH7" i="1"/>
  <c r="CI7" i="1"/>
  <c r="CP7" i="1"/>
  <c r="CQ7" i="1"/>
  <c r="CR7" i="1"/>
  <c r="CS7" i="1"/>
  <c r="CT7" i="1"/>
  <c r="CU7" i="1"/>
  <c r="CV7" i="1"/>
  <c r="CW7" i="1"/>
  <c r="CX7" i="1"/>
  <c r="CY7" i="1"/>
  <c r="CG8" i="1"/>
  <c r="CH8" i="1"/>
  <c r="CI8" i="1"/>
  <c r="CP8" i="1"/>
  <c r="CQ8" i="1"/>
  <c r="CR8" i="1"/>
  <c r="CS8" i="1"/>
  <c r="CT8" i="1"/>
  <c r="CU8" i="1"/>
  <c r="CV8" i="1"/>
  <c r="CW8" i="1"/>
  <c r="CX8" i="1"/>
  <c r="CY8" i="1"/>
  <c r="CA9" i="1"/>
  <c r="CB9" i="1"/>
  <c r="CC9" i="1"/>
  <c r="CD9" i="1"/>
  <c r="CE9" i="1"/>
  <c r="CF9" i="1"/>
  <c r="CG9" i="1"/>
  <c r="CH9" i="1"/>
  <c r="CI9" i="1"/>
  <c r="CP9" i="1"/>
  <c r="CQ9" i="1"/>
  <c r="CR9" i="1"/>
  <c r="CS9" i="1"/>
  <c r="CT9" i="1"/>
  <c r="CU9" i="1"/>
  <c r="CV9" i="1"/>
  <c r="CW9" i="1"/>
  <c r="CX9" i="1"/>
  <c r="CY9" i="1"/>
  <c r="CA10" i="1"/>
  <c r="CB10" i="1"/>
  <c r="CC10" i="1"/>
  <c r="CD10" i="1"/>
  <c r="CE10" i="1"/>
  <c r="CF10" i="1"/>
  <c r="CG10" i="1"/>
  <c r="CH10" i="1"/>
  <c r="CI10" i="1"/>
  <c r="CP10" i="1"/>
  <c r="CQ10" i="1"/>
  <c r="CR10" i="1"/>
  <c r="CS10" i="1"/>
  <c r="CT10" i="1"/>
  <c r="CU10" i="1"/>
  <c r="CV10" i="1"/>
  <c r="CW10" i="1"/>
  <c r="CX10" i="1"/>
  <c r="CY10" i="1"/>
  <c r="CA11" i="1"/>
  <c r="CB11" i="1"/>
  <c r="CC11" i="1"/>
  <c r="CD11" i="1"/>
  <c r="CE11" i="1"/>
  <c r="CF11" i="1"/>
  <c r="CG11" i="1"/>
  <c r="CH11" i="1"/>
  <c r="CI11" i="1"/>
  <c r="CV11" i="1"/>
  <c r="CW11" i="1"/>
  <c r="CX11" i="1"/>
  <c r="CY11" i="1"/>
  <c r="BU12" i="1"/>
  <c r="BU14" i="1" s="1"/>
  <c r="CA12" i="1"/>
  <c r="CB12" i="1"/>
  <c r="CC12" i="1"/>
  <c r="CD12" i="1"/>
  <c r="CE12" i="1"/>
  <c r="CF12" i="1"/>
  <c r="CG12" i="1"/>
  <c r="CH12" i="1"/>
  <c r="CI12" i="1"/>
  <c r="CP12" i="1"/>
  <c r="CQ12" i="1"/>
  <c r="CR12" i="1"/>
  <c r="CS12" i="1"/>
  <c r="CT12" i="1"/>
  <c r="CU12" i="1"/>
  <c r="CV12" i="1"/>
  <c r="CW12" i="1"/>
  <c r="CX12" i="1"/>
  <c r="CY12" i="1"/>
  <c r="DB12" i="1"/>
  <c r="DB13" i="1" s="1"/>
  <c r="BU13" i="1"/>
  <c r="CA13" i="1"/>
  <c r="CB13" i="1"/>
  <c r="CC13" i="1"/>
  <c r="CD13" i="1"/>
  <c r="CE13" i="1"/>
  <c r="CF13" i="1"/>
  <c r="CG13" i="1"/>
  <c r="CH13" i="1"/>
  <c r="CI13" i="1"/>
  <c r="CV13" i="1"/>
  <c r="CW13" i="1"/>
  <c r="CX13" i="1"/>
  <c r="CY13" i="1"/>
  <c r="CA14" i="1"/>
  <c r="CB14" i="1"/>
  <c r="CC14" i="1"/>
  <c r="CD14" i="1"/>
  <c r="CE14" i="1"/>
  <c r="CF14" i="1"/>
  <c r="CG14" i="1"/>
  <c r="CH14" i="1"/>
  <c r="CI14" i="1"/>
  <c r="CP14" i="1"/>
  <c r="CQ14" i="1"/>
  <c r="CR14" i="1"/>
  <c r="CS14" i="1"/>
  <c r="CT14" i="1"/>
  <c r="CU14" i="1"/>
  <c r="CV14" i="1"/>
  <c r="CW14" i="1"/>
  <c r="CX14" i="1"/>
  <c r="CY14" i="1"/>
  <c r="CA15" i="1"/>
  <c r="CB15" i="1"/>
  <c r="CC15" i="1"/>
  <c r="CD15" i="1"/>
  <c r="CE15" i="1"/>
  <c r="CF15" i="1"/>
  <c r="CG15" i="1"/>
  <c r="CH15" i="1"/>
  <c r="CI15" i="1"/>
  <c r="CP15" i="1"/>
  <c r="CQ15" i="1"/>
  <c r="CR15" i="1"/>
  <c r="CS15" i="1"/>
  <c r="CT15" i="1"/>
  <c r="CU15" i="1"/>
  <c r="CV15" i="1"/>
  <c r="CW15" i="1"/>
  <c r="CX15" i="1"/>
  <c r="CY15" i="1"/>
  <c r="DB15" i="1"/>
  <c r="CG16" i="1"/>
  <c r="CH16" i="1"/>
  <c r="CI16" i="1"/>
  <c r="CP16" i="1"/>
  <c r="CQ16" i="1"/>
  <c r="CR16" i="1"/>
  <c r="CS16" i="1"/>
  <c r="CT16" i="1"/>
  <c r="CU16" i="1"/>
  <c r="CV16" i="1"/>
  <c r="CW16" i="1"/>
  <c r="CX16" i="1"/>
  <c r="CY16" i="1"/>
  <c r="CA17" i="1"/>
  <c r="CB17" i="1"/>
  <c r="CC17" i="1"/>
  <c r="CD17" i="1"/>
  <c r="CE17" i="1"/>
  <c r="CF17" i="1"/>
  <c r="CG17" i="1"/>
  <c r="CH17" i="1"/>
  <c r="CI17" i="1"/>
  <c r="CV17" i="1"/>
  <c r="CW17" i="1"/>
  <c r="CX17" i="1"/>
  <c r="CY17" i="1"/>
  <c r="CA18" i="1"/>
  <c r="CB18" i="1"/>
  <c r="CC18" i="1"/>
  <c r="CD18" i="1"/>
  <c r="CE18" i="1"/>
  <c r="CF18" i="1"/>
  <c r="CG18" i="1"/>
  <c r="CH18" i="1"/>
  <c r="CI18" i="1"/>
  <c r="CP18" i="1"/>
  <c r="CQ18" i="1"/>
  <c r="CR18" i="1"/>
  <c r="CS18" i="1"/>
  <c r="CT18" i="1"/>
  <c r="CU18" i="1"/>
  <c r="CV18" i="1"/>
  <c r="CW18" i="1"/>
  <c r="CX18" i="1"/>
  <c r="CY18" i="1"/>
  <c r="CA19" i="1"/>
  <c r="CB19" i="1"/>
  <c r="CC19" i="1"/>
  <c r="CD19" i="1"/>
  <c r="CE19" i="1"/>
  <c r="CF19" i="1"/>
  <c r="CG19" i="1"/>
  <c r="CH19" i="1"/>
  <c r="CI19" i="1"/>
  <c r="CP19" i="1"/>
  <c r="CQ19" i="1"/>
  <c r="CR19" i="1"/>
  <c r="CS19" i="1"/>
  <c r="CT19" i="1"/>
  <c r="CU19" i="1"/>
  <c r="CV19" i="1"/>
  <c r="CW19" i="1"/>
  <c r="CX19" i="1"/>
  <c r="CY19" i="1"/>
  <c r="CA20" i="1"/>
  <c r="CB20" i="1"/>
  <c r="CC20" i="1"/>
  <c r="CD20" i="1"/>
  <c r="CE20" i="1"/>
  <c r="CF20" i="1"/>
  <c r="CG20" i="1"/>
  <c r="CH20" i="1"/>
  <c r="CI20" i="1"/>
  <c r="CP20" i="1"/>
  <c r="CQ20" i="1"/>
  <c r="CR20" i="1"/>
  <c r="CS20" i="1"/>
  <c r="CT20" i="1"/>
  <c r="CU20" i="1"/>
  <c r="CV20" i="1"/>
  <c r="CW20" i="1"/>
  <c r="CX20" i="1"/>
  <c r="CY20" i="1"/>
  <c r="CA21" i="1"/>
  <c r="CB21" i="1"/>
  <c r="CC21" i="1"/>
  <c r="CD21" i="1"/>
  <c r="CE21" i="1"/>
  <c r="CF21" i="1"/>
  <c r="CG21" i="1"/>
  <c r="CH21" i="1"/>
  <c r="CI21" i="1"/>
  <c r="CP21" i="1"/>
  <c r="CQ21" i="1"/>
  <c r="CR21" i="1"/>
  <c r="CS21" i="1"/>
  <c r="CT21" i="1"/>
  <c r="CU21" i="1"/>
  <c r="CV21" i="1"/>
  <c r="CW21" i="1"/>
  <c r="CX21" i="1"/>
  <c r="CY21" i="1"/>
  <c r="CP22" i="1"/>
  <c r="CQ22" i="1"/>
  <c r="CR22" i="1"/>
  <c r="CS22" i="1"/>
  <c r="CT22" i="1"/>
  <c r="CU22" i="1"/>
  <c r="CV22" i="1"/>
  <c r="CW22" i="1"/>
  <c r="CX22" i="1"/>
  <c r="CY22" i="1"/>
  <c r="CP25" i="1"/>
  <c r="CQ25" i="1"/>
  <c r="CR25" i="1"/>
  <c r="CS25" i="1"/>
  <c r="CT25" i="1"/>
  <c r="CU25" i="1"/>
  <c r="CV25" i="1"/>
  <c r="CW25" i="1"/>
  <c r="CX25" i="1"/>
  <c r="CY25" i="1"/>
  <c r="CP30" i="1"/>
  <c r="CQ30" i="1"/>
  <c r="CR30" i="1"/>
  <c r="CS30" i="1"/>
  <c r="CT30" i="1"/>
  <c r="CU30" i="1"/>
  <c r="CV30" i="1"/>
  <c r="CW30" i="1"/>
  <c r="CX30" i="1"/>
  <c r="CY30" i="1"/>
  <c r="CP31" i="1"/>
  <c r="CQ31" i="1"/>
  <c r="CR31" i="1"/>
  <c r="CS31" i="1"/>
  <c r="CT31" i="1"/>
  <c r="CU31" i="1"/>
  <c r="CV31" i="1"/>
  <c r="CW31" i="1"/>
  <c r="CX31" i="1"/>
  <c r="CY31" i="1"/>
  <c r="CP32" i="1"/>
  <c r="CQ32" i="1"/>
  <c r="CR32" i="1"/>
  <c r="CS32" i="1"/>
  <c r="CT32" i="1"/>
  <c r="CU32" i="1"/>
  <c r="CV32" i="1"/>
  <c r="CW32" i="1"/>
  <c r="CX32" i="1"/>
  <c r="CY32" i="1"/>
  <c r="CP33" i="1"/>
  <c r="CQ33" i="1"/>
  <c r="CR33" i="1"/>
  <c r="CS33" i="1"/>
  <c r="CT33" i="1"/>
  <c r="CU33" i="1"/>
  <c r="CV33" i="1"/>
  <c r="CW33" i="1"/>
  <c r="CX33" i="1"/>
  <c r="CY33" i="1"/>
  <c r="CP34" i="1"/>
  <c r="CQ34" i="1"/>
  <c r="CR34" i="1"/>
  <c r="CS34" i="1"/>
  <c r="CT34" i="1"/>
  <c r="CU34" i="1"/>
  <c r="CV34" i="1"/>
  <c r="CW34" i="1"/>
  <c r="CX34" i="1"/>
  <c r="CY34" i="1"/>
  <c r="CP35" i="1"/>
  <c r="CQ35" i="1"/>
  <c r="CR35" i="1"/>
  <c r="CS35" i="1"/>
  <c r="CT35" i="1"/>
  <c r="CU35" i="1"/>
  <c r="CV35" i="1"/>
  <c r="CW35" i="1"/>
  <c r="CX35" i="1"/>
  <c r="CY35" i="1"/>
  <c r="CP36" i="1"/>
  <c r="CQ36" i="1"/>
  <c r="CR36" i="1"/>
  <c r="CS36" i="1"/>
  <c r="CT36" i="1"/>
  <c r="CU36" i="1"/>
  <c r="CV36" i="1"/>
  <c r="CW36" i="1"/>
  <c r="CX36" i="1"/>
  <c r="CY36" i="1"/>
  <c r="CV37" i="1"/>
  <c r="CW37" i="1"/>
  <c r="CX37" i="1"/>
  <c r="CY37" i="1"/>
  <c r="CP38" i="1"/>
  <c r="CQ38" i="1"/>
  <c r="CR38" i="1"/>
  <c r="CS38" i="1"/>
  <c r="CT38" i="1"/>
  <c r="CU38" i="1"/>
  <c r="CV38" i="1"/>
  <c r="CW38" i="1"/>
  <c r="CX38" i="1"/>
  <c r="CY38" i="1"/>
  <c r="CP39" i="1"/>
  <c r="CQ39" i="1"/>
  <c r="CR39" i="1"/>
  <c r="CS39" i="1"/>
  <c r="CT39" i="1"/>
  <c r="CU39" i="1"/>
  <c r="CV39" i="1"/>
  <c r="CW39" i="1"/>
  <c r="CX39" i="1"/>
  <c r="CY39" i="1"/>
  <c r="CP40" i="1"/>
  <c r="CQ40" i="1"/>
  <c r="CR40" i="1"/>
  <c r="CS40" i="1"/>
  <c r="CT40" i="1"/>
  <c r="CU40" i="1"/>
  <c r="CV40" i="1"/>
  <c r="CW40" i="1"/>
  <c r="CX40" i="1"/>
  <c r="CY40" i="1"/>
  <c r="CP41" i="1"/>
  <c r="CQ41" i="1"/>
  <c r="CR41" i="1"/>
  <c r="CS41" i="1"/>
  <c r="CT41" i="1"/>
  <c r="CU41" i="1"/>
  <c r="CV41" i="1"/>
  <c r="CW41" i="1"/>
  <c r="CX41" i="1"/>
  <c r="CY41" i="1"/>
  <c r="CP42" i="1"/>
  <c r="CQ42" i="1"/>
  <c r="CR42" i="1"/>
  <c r="CS42" i="1"/>
  <c r="CT42" i="1"/>
  <c r="CU42" i="1"/>
  <c r="CV42" i="1"/>
  <c r="CW42" i="1"/>
  <c r="CX42" i="1"/>
  <c r="CY42" i="1"/>
  <c r="CV43" i="1"/>
  <c r="CW43" i="1"/>
  <c r="CX43" i="1"/>
  <c r="CY43" i="1"/>
  <c r="CP44" i="1"/>
  <c r="CQ44" i="1"/>
  <c r="CR44" i="1"/>
  <c r="CS44" i="1"/>
  <c r="CT44" i="1"/>
  <c r="CU44" i="1"/>
  <c r="CV44" i="1"/>
  <c r="CW44" i="1"/>
  <c r="CX44" i="1"/>
  <c r="CY44" i="1"/>
  <c r="CP45" i="1"/>
  <c r="CQ45" i="1"/>
  <c r="CR45" i="1"/>
  <c r="CS45" i="1"/>
  <c r="CT45" i="1"/>
  <c r="CU45" i="1"/>
  <c r="CV45" i="1"/>
  <c r="CW45" i="1"/>
  <c r="CX45" i="1"/>
  <c r="CY45" i="1"/>
  <c r="CP46" i="1"/>
  <c r="CQ46" i="1"/>
  <c r="CR46" i="1"/>
  <c r="CS46" i="1"/>
  <c r="CT46" i="1"/>
  <c r="CU46" i="1"/>
  <c r="CV46" i="1"/>
  <c r="CW46" i="1"/>
  <c r="CX46" i="1"/>
  <c r="CY46" i="1"/>
  <c r="CP47" i="1"/>
  <c r="CQ47" i="1"/>
  <c r="CR47" i="1"/>
  <c r="CS47" i="1"/>
  <c r="CT47" i="1"/>
  <c r="CU47" i="1"/>
  <c r="CV47" i="1"/>
  <c r="CW47" i="1"/>
  <c r="CX47" i="1"/>
  <c r="CY47" i="1"/>
  <c r="CV48" i="1"/>
  <c r="CW48" i="1"/>
  <c r="CX48" i="1"/>
  <c r="CY48" i="1"/>
  <c r="CP49" i="1"/>
  <c r="CQ49" i="1"/>
  <c r="CR49" i="1"/>
  <c r="CS49" i="1"/>
  <c r="CT49" i="1"/>
  <c r="CU49" i="1"/>
  <c r="CV49" i="1"/>
  <c r="CW49" i="1"/>
  <c r="CX49" i="1"/>
  <c r="CY49" i="1"/>
  <c r="CV50" i="1"/>
  <c r="CW50" i="1"/>
  <c r="CX50" i="1"/>
  <c r="CY50" i="1"/>
  <c r="CP51" i="1"/>
  <c r="CQ51" i="1"/>
  <c r="CR51" i="1"/>
  <c r="CS51" i="1"/>
  <c r="CT51" i="1"/>
  <c r="CU51" i="1"/>
  <c r="CV51" i="1"/>
  <c r="CW51" i="1"/>
  <c r="CX51" i="1"/>
  <c r="CY51" i="1"/>
  <c r="CV52" i="1"/>
  <c r="CW52" i="1"/>
  <c r="CX52" i="1"/>
  <c r="CY52" i="1"/>
  <c r="CP53" i="1"/>
  <c r="CQ53" i="1"/>
  <c r="CR53" i="1"/>
  <c r="CS53" i="1"/>
  <c r="CT53" i="1"/>
  <c r="CU53" i="1"/>
  <c r="CV53" i="1"/>
  <c r="CW53" i="1"/>
  <c r="CX53" i="1"/>
  <c r="CY53" i="1"/>
  <c r="CV54" i="1"/>
  <c r="CW54" i="1"/>
  <c r="CX54" i="1"/>
  <c r="CY54" i="1"/>
  <c r="CP55" i="1"/>
  <c r="CQ55" i="1"/>
  <c r="CR55" i="1"/>
  <c r="CS55" i="1"/>
  <c r="CT55" i="1"/>
  <c r="CU55" i="1"/>
  <c r="CV55" i="1"/>
  <c r="CW55" i="1"/>
  <c r="CX55" i="1"/>
  <c r="CY55" i="1"/>
  <c r="CP56" i="1"/>
  <c r="CQ56" i="1"/>
  <c r="CR56" i="1"/>
  <c r="CS56" i="1"/>
  <c r="CT56" i="1"/>
  <c r="CU56" i="1"/>
  <c r="CV56" i="1"/>
  <c r="CW56" i="1"/>
  <c r="CX56" i="1"/>
  <c r="CY56" i="1"/>
  <c r="CP57" i="1"/>
  <c r="CQ57" i="1"/>
  <c r="CR57" i="1"/>
  <c r="CS57" i="1"/>
  <c r="CT57" i="1"/>
  <c r="CU57" i="1"/>
  <c r="CV57" i="1"/>
  <c r="CW57" i="1"/>
  <c r="CX57" i="1"/>
  <c r="CY57" i="1"/>
  <c r="CP58" i="1"/>
  <c r="CQ58" i="1"/>
  <c r="CR58" i="1"/>
  <c r="CS58" i="1"/>
  <c r="CT58" i="1"/>
  <c r="CU58" i="1"/>
  <c r="BU7" i="1" l="1"/>
  <c r="BU16" i="1"/>
  <c r="BT17" i="1" s="1"/>
  <c r="CN2" i="1"/>
  <c r="CO58" i="1"/>
  <c r="CN58" i="1"/>
  <c r="CO57" i="1"/>
  <c r="CN57" i="1"/>
  <c r="CO56" i="1"/>
  <c r="CN56" i="1"/>
  <c r="CO55" i="1"/>
  <c r="CN55" i="1"/>
  <c r="CO53" i="1"/>
  <c r="CN53" i="1"/>
  <c r="CO51" i="1"/>
  <c r="CN51" i="1"/>
  <c r="CO49" i="1"/>
  <c r="CN49" i="1"/>
  <c r="CO47" i="1"/>
  <c r="CN47" i="1"/>
  <c r="CO46" i="1"/>
  <c r="CN46" i="1"/>
  <c r="CO45" i="1"/>
  <c r="BZ13" i="1" s="1"/>
  <c r="CN45" i="1"/>
  <c r="BY13" i="1" s="1"/>
  <c r="CO44" i="1"/>
  <c r="CN44" i="1"/>
  <c r="CO42" i="1"/>
  <c r="CN42" i="1"/>
  <c r="CO41" i="1"/>
  <c r="BZ12" i="1" s="1"/>
  <c r="CN41" i="1"/>
  <c r="BY12" i="1" s="1"/>
  <c r="CO40" i="1"/>
  <c r="CN40" i="1"/>
  <c r="CO39" i="1"/>
  <c r="CN39" i="1"/>
  <c r="CO38" i="1"/>
  <c r="CN38" i="1"/>
  <c r="CO36" i="1"/>
  <c r="CN36" i="1"/>
  <c r="CO35" i="1"/>
  <c r="BZ11" i="1" s="1"/>
  <c r="CN35" i="1"/>
  <c r="BY11" i="1" s="1"/>
  <c r="CO34" i="1"/>
  <c r="CN34" i="1"/>
  <c r="CO33" i="1"/>
  <c r="CN33" i="1"/>
  <c r="CO32" i="1"/>
  <c r="BZ10" i="1" s="1"/>
  <c r="CN32" i="1"/>
  <c r="BY10" i="1" s="1"/>
  <c r="CO31" i="1"/>
  <c r="CN31" i="1"/>
  <c r="CO30" i="1"/>
  <c r="CN30" i="1"/>
  <c r="CO25" i="1"/>
  <c r="CN25" i="1"/>
  <c r="CO22" i="1"/>
  <c r="BZ9" i="1" s="1"/>
  <c r="CN22" i="1"/>
  <c r="BY9" i="1" s="1"/>
  <c r="CO21" i="1"/>
  <c r="BZ8" i="1" s="1"/>
  <c r="CN21" i="1"/>
  <c r="BY8" i="1" s="1"/>
  <c r="CO20" i="1"/>
  <c r="BZ7" i="1" s="1"/>
  <c r="CN20" i="1"/>
  <c r="BY7" i="1" s="1"/>
  <c r="CO19" i="1"/>
  <c r="CN19" i="1"/>
  <c r="CO18" i="1"/>
  <c r="CN18" i="1"/>
  <c r="CO16" i="1"/>
  <c r="CN16" i="1"/>
  <c r="CO15" i="1"/>
  <c r="BZ6" i="1" s="1"/>
  <c r="CN15" i="1"/>
  <c r="BY6" i="1" s="1"/>
  <c r="CO14" i="1"/>
  <c r="CN14" i="1"/>
  <c r="BZ14" i="1"/>
  <c r="BY14" i="1"/>
  <c r="CO12" i="1"/>
  <c r="CN12" i="1"/>
  <c r="CO10" i="1"/>
  <c r="BZ5" i="1" s="1"/>
  <c r="CN10" i="1"/>
  <c r="BY5" i="1" s="1"/>
  <c r="CO9" i="1"/>
  <c r="CN9" i="1"/>
  <c r="CO8" i="1"/>
  <c r="CN8" i="1"/>
  <c r="CO7" i="1"/>
  <c r="CN7" i="1"/>
  <c r="CO6" i="1"/>
  <c r="CN6" i="1"/>
  <c r="CO5" i="1"/>
  <c r="CN5" i="1"/>
  <c r="BZ4" i="1"/>
  <c r="BY4" i="1"/>
  <c r="CO3" i="1"/>
  <c r="BZ3" i="1" s="1"/>
  <c r="CN3" i="1"/>
  <c r="BY3" i="1" s="1"/>
  <c r="BY15" i="1"/>
  <c r="BZ15" i="1"/>
  <c r="BY16" i="1"/>
  <c r="BZ16" i="1"/>
  <c r="BY17" i="1"/>
  <c r="BZ17" i="1"/>
  <c r="BY18" i="1"/>
  <c r="BZ18" i="1"/>
  <c r="BY19" i="1"/>
  <c r="BZ19" i="1"/>
  <c r="BY20" i="1"/>
  <c r="BZ20" i="1"/>
  <c r="BY21" i="1"/>
  <c r="BZ21" i="1"/>
  <c r="BT8" i="1"/>
  <c r="AT3" i="1" l="1"/>
  <c r="AY8" i="1"/>
  <c r="AY3" i="1" l="1"/>
  <c r="AS3" i="1" l="1"/>
</calcChain>
</file>

<file path=xl/sharedStrings.xml><?xml version="1.0" encoding="utf-8"?>
<sst xmlns="http://schemas.openxmlformats.org/spreadsheetml/2006/main" count="969" uniqueCount="691">
  <si>
    <t>Informe del Período:</t>
  </si>
  <si>
    <t>PÁGINA 1 DE 1</t>
  </si>
  <si>
    <t>I TRIMESTRE</t>
  </si>
  <si>
    <t>PERIODICIDAD:</t>
  </si>
  <si>
    <t>II TRIMESTRE</t>
  </si>
  <si>
    <t>Trimestral</t>
  </si>
  <si>
    <t>UNIDAD DE MEDIDA</t>
  </si>
  <si>
    <t>IV TRIMESTRE</t>
  </si>
  <si>
    <t>UNO</t>
  </si>
  <si>
    <t>COD</t>
  </si>
  <si>
    <t>CONCEPTO</t>
  </si>
  <si>
    <t>Fila</t>
  </si>
  <si>
    <t>Total</t>
  </si>
  <si>
    <t>De ello: Mujeres</t>
  </si>
  <si>
    <t xml:space="preserve">A </t>
  </si>
  <si>
    <t>B</t>
  </si>
  <si>
    <t>A</t>
  </si>
  <si>
    <t>TOTAL DE TRABAJADORES</t>
  </si>
  <si>
    <t>De ello:  (continuación)</t>
  </si>
  <si>
    <t>Enfermero</t>
  </si>
  <si>
    <t>De ello:</t>
  </si>
  <si>
    <t>Médicos</t>
  </si>
  <si>
    <t>Trabajador social de la Salud</t>
  </si>
  <si>
    <t>Estomatólogos</t>
  </si>
  <si>
    <t>Licenciados en Enfermería</t>
  </si>
  <si>
    <t>Licenciados en Tecnología de la Salud</t>
  </si>
  <si>
    <t>Dietética</t>
  </si>
  <si>
    <t>Licenciados en Psicología de la Salud</t>
  </si>
  <si>
    <t>Ergoterapia psiquiátrica</t>
  </si>
  <si>
    <t>Otros licenciados de la Salud</t>
  </si>
  <si>
    <t>Psicometría</t>
  </si>
  <si>
    <t>Atención estomatológica y prótesis dental</t>
  </si>
  <si>
    <t>Estadística de Salud</t>
  </si>
  <si>
    <t>Universitarios comunes</t>
  </si>
  <si>
    <t>Farmacia dispensarial e industrial</t>
  </si>
  <si>
    <t>Médicina física y rehabilitación. Fisioterapia</t>
  </si>
  <si>
    <t>Laboratorio clínico, microbiológico</t>
  </si>
  <si>
    <t>De ello: Enfermero</t>
  </si>
  <si>
    <t>Banco de sangre</t>
  </si>
  <si>
    <r>
      <t>Técnico</t>
    </r>
    <r>
      <rPr>
        <sz val="10"/>
        <rFont val="Arial"/>
        <family val="2"/>
      </rPr>
      <t xml:space="preserve"> de nivel medio superior común</t>
    </r>
  </si>
  <si>
    <t>Rayos X</t>
  </si>
  <si>
    <t>Higiene y epidemiología</t>
  </si>
  <si>
    <t>Oftalmología</t>
  </si>
  <si>
    <t>Logopedia y Foniatría</t>
  </si>
  <si>
    <t>Radiofísica médica</t>
  </si>
  <si>
    <t>Citohistopatología</t>
  </si>
  <si>
    <t>Podología</t>
  </si>
  <si>
    <t>Otros técnicos</t>
  </si>
  <si>
    <t>TRABAJADORES SEGÚN:</t>
  </si>
  <si>
    <t>GRUPOS DE EDAD</t>
  </si>
  <si>
    <t>Hasta 30 años</t>
  </si>
  <si>
    <t>De 31 a 50 años</t>
  </si>
  <si>
    <t>De 51 a 60 años</t>
  </si>
  <si>
    <t>Mayores de 60 años</t>
  </si>
  <si>
    <t>SUMA CONTROL</t>
  </si>
  <si>
    <t>OBSERVACIONES:</t>
  </si>
  <si>
    <t>Certificamos que los datos contenidos en este modelo se corresponden con los anotados en nuestros registros primarios de acuerdo a las instrucciones vigentes para la elaboración del mismo.</t>
  </si>
  <si>
    <t>Nombre y Apellidos</t>
  </si>
  <si>
    <t>Firma</t>
  </si>
  <si>
    <t>Mes</t>
  </si>
  <si>
    <t>Año</t>
  </si>
  <si>
    <t xml:space="preserve">TOTAL DE TRABAJADORES </t>
  </si>
  <si>
    <t xml:space="preserve">CATEGORIAS </t>
  </si>
  <si>
    <t xml:space="preserve">DE ELLOS: </t>
  </si>
  <si>
    <t xml:space="preserve">TOTAL </t>
  </si>
  <si>
    <t xml:space="preserve">MUJERES </t>
  </si>
  <si>
    <t xml:space="preserve">HOMBRES </t>
  </si>
  <si>
    <t xml:space="preserve">cuño </t>
  </si>
  <si>
    <t xml:space="preserve">Aprobada </t>
  </si>
  <si>
    <t xml:space="preserve">Cubierta </t>
  </si>
  <si>
    <t xml:space="preserve">Vacantes </t>
  </si>
  <si>
    <t xml:space="preserve">Total </t>
  </si>
  <si>
    <t>Categoria Ocupacional</t>
  </si>
  <si>
    <t xml:space="preserve"> </t>
  </si>
  <si>
    <t xml:space="preserve">Confeccinado por: </t>
  </si>
  <si>
    <t xml:space="preserve">                           </t>
  </si>
  <si>
    <t xml:space="preserve">                                                 </t>
  </si>
  <si>
    <t>TOTAL</t>
  </si>
  <si>
    <t>Abril</t>
  </si>
  <si>
    <t>F</t>
  </si>
  <si>
    <t>Total Trab</t>
  </si>
  <si>
    <t>Cat.Ocup.</t>
  </si>
  <si>
    <t>Color de la Piel</t>
  </si>
  <si>
    <t>Profesión</t>
  </si>
  <si>
    <t>Contrato</t>
  </si>
  <si>
    <t>Provincias</t>
  </si>
  <si>
    <t>Abrev</t>
  </si>
  <si>
    <t>Cod</t>
  </si>
  <si>
    <t>Provincia</t>
  </si>
  <si>
    <t>Código</t>
  </si>
  <si>
    <t>MunicipiosCuba</t>
  </si>
  <si>
    <t>CodProv</t>
  </si>
  <si>
    <t>Seleccionar Lugar</t>
  </si>
  <si>
    <t>Perfil</t>
  </si>
  <si>
    <t>tot</t>
  </si>
  <si>
    <t>tf</t>
  </si>
  <si>
    <t>lt</t>
  </si>
  <si>
    <t>tscc</t>
  </si>
  <si>
    <t>me</t>
  </si>
  <si>
    <t>es</t>
  </si>
  <si>
    <t>Especialidad de Graduación</t>
  </si>
  <si>
    <t>t</t>
  </si>
  <si>
    <t>Cuadro</t>
  </si>
  <si>
    <t>Si</t>
  </si>
  <si>
    <t>Técnico Superior</t>
  </si>
  <si>
    <t>RTS</t>
  </si>
  <si>
    <t>Enero</t>
  </si>
  <si>
    <t>blanca</t>
  </si>
  <si>
    <t>Determinado</t>
  </si>
  <si>
    <t>Artemisa</t>
  </si>
  <si>
    <t>ART</t>
  </si>
  <si>
    <t>01</t>
  </si>
  <si>
    <t>Sandino</t>
  </si>
  <si>
    <t>SND</t>
  </si>
  <si>
    <t>Seleccione Provincia</t>
  </si>
  <si>
    <t>Enfermería</t>
  </si>
  <si>
    <t>Téc Sup. en Enfermería</t>
  </si>
  <si>
    <t>AÑO *</t>
  </si>
  <si>
    <t>Febrero</t>
  </si>
  <si>
    <t>negra</t>
  </si>
  <si>
    <t>Adiestramiento</t>
  </si>
  <si>
    <t>Camaguey</t>
  </si>
  <si>
    <t>CMG</t>
  </si>
  <si>
    <t>02</t>
  </si>
  <si>
    <t>Mantua</t>
  </si>
  <si>
    <t>MNT</t>
  </si>
  <si>
    <t>cant</t>
  </si>
  <si>
    <t>Perfil Rehabilitación Social y Ocupacional</t>
  </si>
  <si>
    <t>Marzo</t>
  </si>
  <si>
    <t>mestiza</t>
  </si>
  <si>
    <t>Ciego de Avila</t>
  </si>
  <si>
    <t>CAV</t>
  </si>
  <si>
    <t>03</t>
  </si>
  <si>
    <t>Minas de Matahambre</t>
  </si>
  <si>
    <t>MMH</t>
  </si>
  <si>
    <t>inicio</t>
  </si>
  <si>
    <t>MES *</t>
  </si>
  <si>
    <t>amarilla</t>
  </si>
  <si>
    <t>Cienfuegos</t>
  </si>
  <si>
    <t>CFG</t>
  </si>
  <si>
    <t>04</t>
  </si>
  <si>
    <t>Viñales</t>
  </si>
  <si>
    <t>VÑL</t>
  </si>
  <si>
    <t>fin</t>
  </si>
  <si>
    <t>Téc Sup. en Terapia Ocupacional</t>
  </si>
  <si>
    <t>Mayo</t>
  </si>
  <si>
    <t>Granma</t>
  </si>
  <si>
    <t>GRM</t>
  </si>
  <si>
    <t>05</t>
  </si>
  <si>
    <t>La Palma</t>
  </si>
  <si>
    <t>LPM</t>
  </si>
  <si>
    <t>Téc Sup. en Trabajo Social en Salud</t>
  </si>
  <si>
    <t>Junio</t>
  </si>
  <si>
    <t>Guantánamo</t>
  </si>
  <si>
    <t>GTM</t>
  </si>
  <si>
    <t>06</t>
  </si>
  <si>
    <t>Los Palacios</t>
  </si>
  <si>
    <t>LPC</t>
  </si>
  <si>
    <t>Técnico en Rehabilitación Social y Ocupacional</t>
  </si>
  <si>
    <t>CENTRO INFORMANTE O ESTABLECIMIENTO *</t>
  </si>
  <si>
    <t>Julio</t>
  </si>
  <si>
    <t>Holguín</t>
  </si>
  <si>
    <t>HLG</t>
  </si>
  <si>
    <t>07</t>
  </si>
  <si>
    <t>Consolación del Sur</t>
  </si>
  <si>
    <t>CNS</t>
  </si>
  <si>
    <t>Terapia Ocupacional</t>
  </si>
  <si>
    <t>Agosto</t>
  </si>
  <si>
    <t>Isla de la Juventud</t>
  </si>
  <si>
    <t>IJV</t>
  </si>
  <si>
    <t>08</t>
  </si>
  <si>
    <t>Pinar del Río</t>
  </si>
  <si>
    <t>PRI</t>
  </si>
  <si>
    <t>Trabajo Social</t>
  </si>
  <si>
    <t>PROVINCIA *</t>
  </si>
  <si>
    <t>Septiembre</t>
  </si>
  <si>
    <t>La Habana</t>
  </si>
  <si>
    <t>HAB</t>
  </si>
  <si>
    <t>09</t>
  </si>
  <si>
    <t>San Luis</t>
  </si>
  <si>
    <t>SLP</t>
  </si>
  <si>
    <t>Perfíl Ortoprótesis</t>
  </si>
  <si>
    <t>Santiago de Cuba</t>
  </si>
  <si>
    <t>Songo-La Maya</t>
  </si>
  <si>
    <t>Octubre</t>
  </si>
  <si>
    <t>Las Tunas</t>
  </si>
  <si>
    <t>TUN</t>
  </si>
  <si>
    <t>10</t>
  </si>
  <si>
    <t>San Juan y Martínez</t>
  </si>
  <si>
    <t>SJM</t>
  </si>
  <si>
    <t>Seleccione Municipio</t>
  </si>
  <si>
    <t>ols c</t>
  </si>
  <si>
    <t>ols c f</t>
  </si>
  <si>
    <t>ols c rts</t>
  </si>
  <si>
    <t>ols t-ns</t>
  </si>
  <si>
    <t>ols t-ns f</t>
  </si>
  <si>
    <t>ols t-ns rts</t>
  </si>
  <si>
    <t>Noviembre</t>
  </si>
  <si>
    <t>Matanzas</t>
  </si>
  <si>
    <t>MTZ</t>
  </si>
  <si>
    <t>11</t>
  </si>
  <si>
    <t>Guane</t>
  </si>
  <si>
    <t>GNE</t>
  </si>
  <si>
    <t>Perfil Protesis Ortesis y Bandaje Ortopédico</t>
  </si>
  <si>
    <t>Diciembre</t>
  </si>
  <si>
    <t>Mayabeque</t>
  </si>
  <si>
    <t>MAY</t>
  </si>
  <si>
    <t>Bahía Honda</t>
  </si>
  <si>
    <t>BHO</t>
  </si>
  <si>
    <t>Mariel</t>
  </si>
  <si>
    <t>MRL</t>
  </si>
  <si>
    <t>Técnico en Ortoprótesis</t>
  </si>
  <si>
    <t>;ranSexo;$AF$15)</t>
  </si>
  <si>
    <t>Sancti Spiritus</t>
  </si>
  <si>
    <t>SSP</t>
  </si>
  <si>
    <t>Guanajay</t>
  </si>
  <si>
    <t>GNJ</t>
  </si>
  <si>
    <t>Lic. Nutrición</t>
  </si>
  <si>
    <t>SCU</t>
  </si>
  <si>
    <t>Caimito</t>
  </si>
  <si>
    <t>CMT</t>
  </si>
  <si>
    <t>Nombre Unidad RTS</t>
  </si>
  <si>
    <t>Perfil Nutrición y Dietética</t>
  </si>
  <si>
    <t>Villa Clara</t>
  </si>
  <si>
    <t>VCL</t>
  </si>
  <si>
    <t>Bauta</t>
  </si>
  <si>
    <t>BAU</t>
  </si>
  <si>
    <t>(LTS - OLS + TFS) coTS</t>
  </si>
  <si>
    <t>San Antonio de los Baños</t>
  </si>
  <si>
    <t>SAB</t>
  </si>
  <si>
    <t>Téc. Sup.en Nutrición y Dietética</t>
  </si>
  <si>
    <t>Guira de Melena</t>
  </si>
  <si>
    <t>GMN</t>
  </si>
  <si>
    <t>Técnico en Nutrición y Dietética</t>
  </si>
  <si>
    <t>Alquizar</t>
  </si>
  <si>
    <t>ALQ</t>
  </si>
  <si>
    <t>Ergoterapia Psiquiátrica</t>
  </si>
  <si>
    <t>Candelaria</t>
  </si>
  <si>
    <t>CND</t>
  </si>
  <si>
    <t>Asistente Dental</t>
  </si>
  <si>
    <t>San Cristóbal</t>
  </si>
  <si>
    <t>SCT</t>
  </si>
  <si>
    <t>Lic. Bioanálisis Clínico</t>
  </si>
  <si>
    <t>Perfil Atención Estomatológica</t>
  </si>
  <si>
    <t>Playa</t>
  </si>
  <si>
    <t>PLY</t>
  </si>
  <si>
    <t>Lic. Optometría y Óptica</t>
  </si>
  <si>
    <t>Plaza de la Revolución</t>
  </si>
  <si>
    <t>PZR</t>
  </si>
  <si>
    <t>Lic. Rehabilitación en Salud</t>
  </si>
  <si>
    <t>Perfil Prótesis</t>
  </si>
  <si>
    <t>Centro Habana</t>
  </si>
  <si>
    <t>CHA</t>
  </si>
  <si>
    <t>Lic. Higiene y Epidemiología</t>
  </si>
  <si>
    <t>Habana Vieja</t>
  </si>
  <si>
    <t>HVJ</t>
  </si>
  <si>
    <t>Lic. Sistema Información Salud</t>
  </si>
  <si>
    <t>Téc. Sup.en Prótesis Estomatológica</t>
  </si>
  <si>
    <t>Regla</t>
  </si>
  <si>
    <t>REG</t>
  </si>
  <si>
    <t>Lic. Imagenología y Radiofísica Médica</t>
  </si>
  <si>
    <t>Técnico en Atención Estomatológica</t>
  </si>
  <si>
    <t>Habana del Este</t>
  </si>
  <si>
    <t>HES</t>
  </si>
  <si>
    <t>Lic. Logofonoaudiología</t>
  </si>
  <si>
    <t>Estadisticas de Salud</t>
  </si>
  <si>
    <t>Guanabacoa</t>
  </si>
  <si>
    <t>GBC</t>
  </si>
  <si>
    <t>Registros Médicos</t>
  </si>
  <si>
    <t>San Miguel del Padrón</t>
  </si>
  <si>
    <t>SMP</t>
  </si>
  <si>
    <t>Técnico en Estadística de Salud</t>
  </si>
  <si>
    <t>10 de Octubre</t>
  </si>
  <si>
    <t>DOC</t>
  </si>
  <si>
    <t>Farmacia Dispensarial</t>
  </si>
  <si>
    <t>Cerro</t>
  </si>
  <si>
    <t>CRR</t>
  </si>
  <si>
    <t>Perfil de Servicios Farmaceúticos</t>
  </si>
  <si>
    <t>Marianao</t>
  </si>
  <si>
    <t>MRN</t>
  </si>
  <si>
    <t>12</t>
  </si>
  <si>
    <t>La Lisa</t>
  </si>
  <si>
    <t>LLS</t>
  </si>
  <si>
    <t>Téc. Sup.en Servicios Farmacéuticos</t>
  </si>
  <si>
    <t>13</t>
  </si>
  <si>
    <t>Boyeros</t>
  </si>
  <si>
    <t>BOY</t>
  </si>
  <si>
    <t>Técnico en Farmacia Industrial</t>
  </si>
  <si>
    <t>14</t>
  </si>
  <si>
    <t>Arroyo Naranjo</t>
  </si>
  <si>
    <t>ANJ</t>
  </si>
  <si>
    <t>Técnico en Servicios Farmacéuticos</t>
  </si>
  <si>
    <t>15</t>
  </si>
  <si>
    <t>Cotorro</t>
  </si>
  <si>
    <t>COT</t>
  </si>
  <si>
    <t>Bejucal</t>
  </si>
  <si>
    <t>BJC</t>
  </si>
  <si>
    <t>Perfil Terapia Física y Rehabilitación</t>
  </si>
  <si>
    <t>San José de Las Lajas</t>
  </si>
  <si>
    <t>SJL</t>
  </si>
  <si>
    <t>Jaruco</t>
  </si>
  <si>
    <t>JRC</t>
  </si>
  <si>
    <t>Téc Sup. en Rehabilitación Física</t>
  </si>
  <si>
    <t>Santa Cruz del Norte</t>
  </si>
  <si>
    <t>SCN</t>
  </si>
  <si>
    <t>Bioanálisis Clínico</t>
  </si>
  <si>
    <t>Madruga</t>
  </si>
  <si>
    <t>MDG</t>
  </si>
  <si>
    <t>Nueva Paz</t>
  </si>
  <si>
    <t>NPZ</t>
  </si>
  <si>
    <t>Perfil Laboratorio Clínico</t>
  </si>
  <si>
    <t>San Nicolás</t>
  </si>
  <si>
    <t>SNB</t>
  </si>
  <si>
    <t>Guines</t>
  </si>
  <si>
    <t>GIN</t>
  </si>
  <si>
    <t>Perfil Laboratorio Clínico y Banco de Sangre</t>
  </si>
  <si>
    <t>Melena del Sur</t>
  </si>
  <si>
    <t>MLS</t>
  </si>
  <si>
    <t>Batabanó</t>
  </si>
  <si>
    <t>BTB</t>
  </si>
  <si>
    <t>Perfil Medicina Transfusional</t>
  </si>
  <si>
    <t>Quivicán</t>
  </si>
  <si>
    <t>QVC</t>
  </si>
  <si>
    <t>Perfil Microbiología</t>
  </si>
  <si>
    <t>Cárdenas</t>
  </si>
  <si>
    <t>CRD</t>
  </si>
  <si>
    <t>Martí</t>
  </si>
  <si>
    <t>MRT</t>
  </si>
  <si>
    <t>Téc Sup. en Análisis Clínico y Medicina Transfusio</t>
  </si>
  <si>
    <t>Colón</t>
  </si>
  <si>
    <t>CLN</t>
  </si>
  <si>
    <t>Técnico en Laboratorio Clínico</t>
  </si>
  <si>
    <t>Perico</t>
  </si>
  <si>
    <t>PRC</t>
  </si>
  <si>
    <t>Técnico en Medicina Transfusional</t>
  </si>
  <si>
    <t>Jovellanos</t>
  </si>
  <si>
    <t>JVN</t>
  </si>
  <si>
    <t>Técnico en Microbiología</t>
  </si>
  <si>
    <t>Pedro Betancourt</t>
  </si>
  <si>
    <t>PBT</t>
  </si>
  <si>
    <t>Imagenología</t>
  </si>
  <si>
    <t>Limonar</t>
  </si>
  <si>
    <t>LMN</t>
  </si>
  <si>
    <t>Perfil Imagenología</t>
  </si>
  <si>
    <t>Unión de Reyes</t>
  </si>
  <si>
    <t>URY</t>
  </si>
  <si>
    <t>Ciénaga de Zapata</t>
  </si>
  <si>
    <t>CGZ</t>
  </si>
  <si>
    <t>Téc. Sup. en Radiología</t>
  </si>
  <si>
    <t>Jaguey Grande</t>
  </si>
  <si>
    <t>JGD</t>
  </si>
  <si>
    <t>Técnico en Imagenología</t>
  </si>
  <si>
    <t>Calimete</t>
  </si>
  <si>
    <t>CLM</t>
  </si>
  <si>
    <t>Higiene y Epidemiología</t>
  </si>
  <si>
    <t>Los Arabos</t>
  </si>
  <si>
    <t>LAR</t>
  </si>
  <si>
    <t>Corralillo</t>
  </si>
  <si>
    <t>CRL</t>
  </si>
  <si>
    <t>Perfil Higiene y Epidemiología</t>
  </si>
  <si>
    <t>Quemados de Guines</t>
  </si>
  <si>
    <t>QDG</t>
  </si>
  <si>
    <t>Sagua La Grande</t>
  </si>
  <si>
    <t>SGD</t>
  </si>
  <si>
    <t>Téc. Sup.en Higiene y Epidemiología</t>
  </si>
  <si>
    <t>Encrucijada</t>
  </si>
  <si>
    <t>ECJ</t>
  </si>
  <si>
    <t>Técnico en Higiene y Epidemiología</t>
  </si>
  <si>
    <t>Camajuaní</t>
  </si>
  <si>
    <t>CMJ</t>
  </si>
  <si>
    <t>Caibarién</t>
  </si>
  <si>
    <t>CBR</t>
  </si>
  <si>
    <t>Perfil Optometría y Óptica</t>
  </si>
  <si>
    <t>Remedios</t>
  </si>
  <si>
    <t>RMD</t>
  </si>
  <si>
    <t>Placetas</t>
  </si>
  <si>
    <t>PLC</t>
  </si>
  <si>
    <t>Téc. Sup.en Optica y Optometría</t>
  </si>
  <si>
    <t>Santa Clara</t>
  </si>
  <si>
    <t>SCL</t>
  </si>
  <si>
    <t>Cifuentes</t>
  </si>
  <si>
    <t>CFT</t>
  </si>
  <si>
    <t>Perfil Logopedia Foniatría y Audiología</t>
  </si>
  <si>
    <t>Santo Domingo</t>
  </si>
  <si>
    <t>STD</t>
  </si>
  <si>
    <t>Ranchuelo</t>
  </si>
  <si>
    <t>RNC</t>
  </si>
  <si>
    <t>Téc. Sup.en Logofonoaudiología</t>
  </si>
  <si>
    <t>Manicaragua</t>
  </si>
  <si>
    <t>MNC</t>
  </si>
  <si>
    <t>Técnico en Logofonoaudiología</t>
  </si>
  <si>
    <t>Aguada de Pasajeros</t>
  </si>
  <si>
    <t>AGP</t>
  </si>
  <si>
    <t>Perfil Radiofísica Médica</t>
  </si>
  <si>
    <t>Rodas</t>
  </si>
  <si>
    <t>RDS</t>
  </si>
  <si>
    <t>Palmira</t>
  </si>
  <si>
    <t>PMR</t>
  </si>
  <si>
    <t>Técnico en Radiofisica Médica</t>
  </si>
  <si>
    <t>Lajas</t>
  </si>
  <si>
    <t>LJS</t>
  </si>
  <si>
    <t>Perfil Citohistopatología</t>
  </si>
  <si>
    <t>Cruces</t>
  </si>
  <si>
    <t>CRC</t>
  </si>
  <si>
    <t>Cumanayagua</t>
  </si>
  <si>
    <t>CMY</t>
  </si>
  <si>
    <t>Téc. Sup. en Citohistopatología</t>
  </si>
  <si>
    <t>Tëcnico en Citohistopatología</t>
  </si>
  <si>
    <t>Abreus</t>
  </si>
  <si>
    <t>ABR</t>
  </si>
  <si>
    <t>Perfil Podología</t>
  </si>
  <si>
    <t>Yaguajay</t>
  </si>
  <si>
    <t>YGJ</t>
  </si>
  <si>
    <t>Jatibonico</t>
  </si>
  <si>
    <t>JTB</t>
  </si>
  <si>
    <t>Técnico en Podología</t>
  </si>
  <si>
    <t>Taguasco</t>
  </si>
  <si>
    <t>TGC</t>
  </si>
  <si>
    <t>--</t>
  </si>
  <si>
    <t>Cabaiguán</t>
  </si>
  <si>
    <t>CBG</t>
  </si>
  <si>
    <t>Anatomia Patológica</t>
  </si>
  <si>
    <t>Fomento</t>
  </si>
  <si>
    <t>FMT</t>
  </si>
  <si>
    <t>Anestesia</t>
  </si>
  <si>
    <t>Trinidad</t>
  </si>
  <si>
    <t>TND</t>
  </si>
  <si>
    <t>Biología Clínica</t>
  </si>
  <si>
    <t>Gastroenterología</t>
  </si>
  <si>
    <t>La Sierpe</t>
  </si>
  <si>
    <t>LSP</t>
  </si>
  <si>
    <t>Gestion Informacion de Salud</t>
  </si>
  <si>
    <t>Chambas</t>
  </si>
  <si>
    <t>CHB</t>
  </si>
  <si>
    <t>Iconopatografia</t>
  </si>
  <si>
    <t>Morón</t>
  </si>
  <si>
    <t>MOR</t>
  </si>
  <si>
    <t>Inmunohematologia</t>
  </si>
  <si>
    <t>Bolivia</t>
  </si>
  <si>
    <t>BOL</t>
  </si>
  <si>
    <t>1ro de Enero</t>
  </si>
  <si>
    <t>PEN</t>
  </si>
  <si>
    <t>Ciro Redondo</t>
  </si>
  <si>
    <t>CIR</t>
  </si>
  <si>
    <t>Neurofisiologia</t>
  </si>
  <si>
    <t>Florencia</t>
  </si>
  <si>
    <t>FLO</t>
  </si>
  <si>
    <t>No definida</t>
  </si>
  <si>
    <t>Majagua</t>
  </si>
  <si>
    <t>MJG</t>
  </si>
  <si>
    <t>Oxigenación Hiperbárica</t>
  </si>
  <si>
    <t>Perfil de Administración y Economía</t>
  </si>
  <si>
    <t>Venezuela</t>
  </si>
  <si>
    <t>VEN</t>
  </si>
  <si>
    <t>Baraguá</t>
  </si>
  <si>
    <t>BRG</t>
  </si>
  <si>
    <t>Perfil de Gestión de Infor Informática y E. Salud</t>
  </si>
  <si>
    <t>Carlos Manuel de Céspedes</t>
  </si>
  <si>
    <t>CMC</t>
  </si>
  <si>
    <t>Esmeralda</t>
  </si>
  <si>
    <t>EMD</t>
  </si>
  <si>
    <t>Perfil Electromedicina</t>
  </si>
  <si>
    <t>Sierra de Cubitas</t>
  </si>
  <si>
    <t>SCB</t>
  </si>
  <si>
    <t>Minas</t>
  </si>
  <si>
    <t>MIN</t>
  </si>
  <si>
    <t>Perfil Imagenología y Radiofísica Médica</t>
  </si>
  <si>
    <t>Nuevitas</t>
  </si>
  <si>
    <t>NVT</t>
  </si>
  <si>
    <t>Guáimaro</t>
  </si>
  <si>
    <t>GMR</t>
  </si>
  <si>
    <t>Perfil Psicología de Salud</t>
  </si>
  <si>
    <t>Sibanicú</t>
  </si>
  <si>
    <t>SBC</t>
  </si>
  <si>
    <t>Perfil Traumatología</t>
  </si>
  <si>
    <t>Florida</t>
  </si>
  <si>
    <t>FRD</t>
  </si>
  <si>
    <t>Téc. Sup. en Electromedicina</t>
  </si>
  <si>
    <t>Vertiente</t>
  </si>
  <si>
    <t>VRT</t>
  </si>
  <si>
    <t>Téc. Sup. en Neurofisiología Clínica</t>
  </si>
  <si>
    <t>Jimaguayú</t>
  </si>
  <si>
    <t>JMG</t>
  </si>
  <si>
    <t>Téc. Sup. en Vigilancia y Lucha Antiventorial</t>
  </si>
  <si>
    <t>Najasa</t>
  </si>
  <si>
    <t>NJS</t>
  </si>
  <si>
    <t>Téc. Sup.en Biofísica Médica</t>
  </si>
  <si>
    <t>Santa Cruz del Sur</t>
  </si>
  <si>
    <t>SCS</t>
  </si>
  <si>
    <t>Técnico en Atención a Pacientes</t>
  </si>
  <si>
    <t>Manatí</t>
  </si>
  <si>
    <t>MAN</t>
  </si>
  <si>
    <t>Técnico en Electromedicina</t>
  </si>
  <si>
    <t>Puerto Padre</t>
  </si>
  <si>
    <t>PPD</t>
  </si>
  <si>
    <t>Técnico en Fisiología Humana e Inmunoalergia</t>
  </si>
  <si>
    <t>Jesús Menéndez</t>
  </si>
  <si>
    <t>JMD</t>
  </si>
  <si>
    <t>Técnico en Procesos Biologicos</t>
  </si>
  <si>
    <t>Majibacoa</t>
  </si>
  <si>
    <t>MJB</t>
  </si>
  <si>
    <t>Técnico en Química Analista</t>
  </si>
  <si>
    <t>LTU</t>
  </si>
  <si>
    <t>Técnico en Química Industria</t>
  </si>
  <si>
    <t>Jobabo</t>
  </si>
  <si>
    <t>JBB</t>
  </si>
  <si>
    <t>Técnico en Quimica Organica</t>
  </si>
  <si>
    <t>Colombia</t>
  </si>
  <si>
    <t>COL</t>
  </si>
  <si>
    <t>Técnico en Salvamento Acuático</t>
  </si>
  <si>
    <t>Amansio Rodríguez</t>
  </si>
  <si>
    <t>ARD</t>
  </si>
  <si>
    <t>Técnico en Tanatología</t>
  </si>
  <si>
    <t>Jibara</t>
  </si>
  <si>
    <t>JBR</t>
  </si>
  <si>
    <t>Técnico en Traumatología</t>
  </si>
  <si>
    <t>Rafael Freyre</t>
  </si>
  <si>
    <t>RFR</t>
  </si>
  <si>
    <t>Técnico en Vigilancia y Lucha Antivectorial</t>
  </si>
  <si>
    <t>Banes</t>
  </si>
  <si>
    <t>BAN</t>
  </si>
  <si>
    <t>Tecnología de los Alimentos</t>
  </si>
  <si>
    <t>Antillas</t>
  </si>
  <si>
    <t>ANT</t>
  </si>
  <si>
    <t>Toxicología</t>
  </si>
  <si>
    <t>Báguanos</t>
  </si>
  <si>
    <t>BGN</t>
  </si>
  <si>
    <t>HOL</t>
  </si>
  <si>
    <t>Calixto García</t>
  </si>
  <si>
    <t>CXG</t>
  </si>
  <si>
    <t>Cacocúm</t>
  </si>
  <si>
    <t>CCN</t>
  </si>
  <si>
    <t>Urbano Noris</t>
  </si>
  <si>
    <t>UBN</t>
  </si>
  <si>
    <t>Cueto</t>
  </si>
  <si>
    <t>CTO</t>
  </si>
  <si>
    <t>Mayarí</t>
  </si>
  <si>
    <t>Frank País</t>
  </si>
  <si>
    <t>FPA</t>
  </si>
  <si>
    <t>Sagua de Tánamo</t>
  </si>
  <si>
    <t>SGT</t>
  </si>
  <si>
    <t>Moa</t>
  </si>
  <si>
    <t>MOA</t>
  </si>
  <si>
    <t>Río Cauto</t>
  </si>
  <si>
    <t>RC</t>
  </si>
  <si>
    <t>Cauto Cristo</t>
  </si>
  <si>
    <t>CC</t>
  </si>
  <si>
    <t>Jiguaní</t>
  </si>
  <si>
    <t>JI</t>
  </si>
  <si>
    <t>Bayamo</t>
  </si>
  <si>
    <t>BY</t>
  </si>
  <si>
    <t>Yara</t>
  </si>
  <si>
    <t>YR</t>
  </si>
  <si>
    <t>Manzanillo</t>
  </si>
  <si>
    <t>MZ</t>
  </si>
  <si>
    <t>Campechuela</t>
  </si>
  <si>
    <t>CP</t>
  </si>
  <si>
    <t>Media Luna</t>
  </si>
  <si>
    <t>ML</t>
  </si>
  <si>
    <t>Niquero</t>
  </si>
  <si>
    <t>NI</t>
  </si>
  <si>
    <t>Pilón</t>
  </si>
  <si>
    <t>PI</t>
  </si>
  <si>
    <t>Bartolomé Masó</t>
  </si>
  <si>
    <t>BM</t>
  </si>
  <si>
    <t>Buey Arriba</t>
  </si>
  <si>
    <t>BA</t>
  </si>
  <si>
    <t>Guisa</t>
  </si>
  <si>
    <t>GU</t>
  </si>
  <si>
    <t>Contramaestre</t>
  </si>
  <si>
    <t>CTM</t>
  </si>
  <si>
    <t>Mella</t>
  </si>
  <si>
    <t>MLL</t>
  </si>
  <si>
    <t>SLS</t>
  </si>
  <si>
    <t>II Frente</t>
  </si>
  <si>
    <t>SFT</t>
  </si>
  <si>
    <t>SMY</t>
  </si>
  <si>
    <t>Palma Soriano</t>
  </si>
  <si>
    <t>PSR</t>
  </si>
  <si>
    <t>III Frente</t>
  </si>
  <si>
    <t>TFT</t>
  </si>
  <si>
    <t>Guamá</t>
  </si>
  <si>
    <t>GMA</t>
  </si>
  <si>
    <t>El Salvador</t>
  </si>
  <si>
    <t>ESV</t>
  </si>
  <si>
    <t>Manuel Tames</t>
  </si>
  <si>
    <t>MTN</t>
  </si>
  <si>
    <t>Yateras</t>
  </si>
  <si>
    <t>YTR</t>
  </si>
  <si>
    <t>Baracoa</t>
  </si>
  <si>
    <t>BRC</t>
  </si>
  <si>
    <t>Maisi</t>
  </si>
  <si>
    <t>MAI</t>
  </si>
  <si>
    <t>Imias</t>
  </si>
  <si>
    <t>IMI</t>
  </si>
  <si>
    <t>San Antonio del Sur</t>
  </si>
  <si>
    <t>SAS</t>
  </si>
  <si>
    <t>Caimanera</t>
  </si>
  <si>
    <t>CMN</t>
  </si>
  <si>
    <t>Guantanamo</t>
  </si>
  <si>
    <t>Niceto Perez</t>
  </si>
  <si>
    <t>NCP</t>
  </si>
  <si>
    <t>Por Categoría Ocupacional y Funciones.</t>
  </si>
  <si>
    <t>Trabajadores (Uno)</t>
  </si>
  <si>
    <t>% de los  Benficiados</t>
  </si>
  <si>
    <t xml:space="preserve"> Costo (pesos)</t>
  </si>
  <si>
    <t>Cuantía media mensual Pagada (Pesos)</t>
  </si>
  <si>
    <t>Abarcados</t>
  </si>
  <si>
    <t>Beneficiados</t>
  </si>
  <si>
    <t>4=3/2*100</t>
  </si>
  <si>
    <t>6=(5/3)</t>
  </si>
  <si>
    <t>Estomatologos</t>
  </si>
  <si>
    <t>Enfermeros</t>
  </si>
  <si>
    <t xml:space="preserve">Instructivo del modelo: </t>
  </si>
  <si>
    <r>
      <rPr>
        <b/>
        <sz val="12"/>
        <color indexed="8"/>
        <rFont val="Arial"/>
        <family val="2"/>
      </rPr>
      <t xml:space="preserve">Columna 2: </t>
    </r>
    <r>
      <rPr>
        <sz val="12"/>
        <color indexed="8"/>
        <rFont val="Arial"/>
        <family val="2"/>
      </rPr>
      <t>Abarcados;  es la  plantilla cubierta de los cargos aprobados en la columna 1</t>
    </r>
  </si>
  <si>
    <t>Realización de los Calculos:</t>
  </si>
  <si>
    <r>
      <rPr>
        <b/>
        <sz val="12"/>
        <color indexed="8"/>
        <rFont val="Arial"/>
        <family val="2"/>
      </rPr>
      <t>Columna 4</t>
    </r>
    <r>
      <rPr>
        <sz val="12"/>
        <color indexed="8"/>
        <rFont val="Arial"/>
        <family val="2"/>
      </rPr>
      <t xml:space="preserve">: Es el porciento (%),   de la operación de dividir la columna 3 entre la columna 2 y se multiplica por 100.                                            </t>
    </r>
  </si>
  <si>
    <r>
      <rPr>
        <b/>
        <sz val="12"/>
        <color indexed="8"/>
        <rFont val="Arial"/>
        <family val="2"/>
      </rPr>
      <t>Columna 6</t>
    </r>
    <r>
      <rPr>
        <sz val="12"/>
        <color indexed="8"/>
        <rFont val="Arial"/>
        <family val="2"/>
      </rPr>
      <t>: Cuantia media mensual; es el resultado del costo entre los beneficiados y entre los tres meses trabajado.</t>
    </r>
  </si>
  <si>
    <t xml:space="preserve">                       (Columna 5 entre Columna 3 entre los 3 meses)</t>
  </si>
  <si>
    <t xml:space="preserve">MODELO ADJUNTO  TRABAJADORES DEL SISTEMA NACIONAL DE SANIDAD. </t>
  </si>
  <si>
    <t xml:space="preserve">UNIDAD: </t>
  </si>
  <si>
    <t xml:space="preserve">Fecha: </t>
  </si>
  <si>
    <t>PERSONAL SUBALTERNO</t>
  </si>
  <si>
    <t>A1</t>
  </si>
  <si>
    <t>B1</t>
  </si>
  <si>
    <t>C1</t>
  </si>
  <si>
    <t>MUJERES</t>
  </si>
  <si>
    <t>HOMBRES</t>
  </si>
  <si>
    <t xml:space="preserve">NOMBRADOS, DESIGNADOS O FUNCIONARIOS  </t>
  </si>
  <si>
    <t xml:space="preserve">Director:                                                                                                                                              Nombres y Apellidos:_________________________________________                                                                                                       Firma </t>
  </si>
  <si>
    <t xml:space="preserve">Jefe de RR HH o Administrador:                                                               Nombres y Apellidos:___________________________                                   Firma </t>
  </si>
  <si>
    <t xml:space="preserve">PLANTILLA CUBIERTA </t>
  </si>
  <si>
    <t>MINISTERIO DE SANIDAD</t>
  </si>
  <si>
    <t>Y BIENESTAR SOCIAL</t>
  </si>
  <si>
    <t>MODELO TOTAL DE TRAB</t>
  </si>
  <si>
    <t>DELEGACIÓN DISTRITAL *</t>
  </si>
  <si>
    <t>PROV-DIST</t>
  </si>
  <si>
    <t>CODIGO ENTIDAD</t>
  </si>
  <si>
    <t>TRABAJADORES DEL SISTEMA NACIONAL DE SANIDAD</t>
  </si>
  <si>
    <t>CATEGORÍA DIRECTIVOS</t>
  </si>
  <si>
    <r>
      <t>Técnico</t>
    </r>
    <r>
      <rPr>
        <b/>
        <sz val="10"/>
        <color indexed="40"/>
        <rFont val="Arial"/>
        <family val="2"/>
      </rPr>
      <t xml:space="preserve"> </t>
    </r>
    <r>
      <rPr>
        <b/>
        <sz val="10"/>
        <rFont val="Arial"/>
        <family val="2"/>
      </rPr>
      <t>de nivel medio superior formado en el sector</t>
    </r>
  </si>
  <si>
    <t>Técnico de nivel medio superior formados en el Sector</t>
  </si>
  <si>
    <t>CATEGORÍA DESIGNADOS Y FUNCIONARIOS</t>
  </si>
  <si>
    <t>CATEGORÍA PERSONAL SUBALTERNO</t>
  </si>
  <si>
    <t>Jefe Dpto. Rec. Humanos o Administrador</t>
  </si>
  <si>
    <t xml:space="preserve">Director </t>
  </si>
  <si>
    <t xml:space="preserve">Día </t>
  </si>
  <si>
    <t xml:space="preserve">Etnias </t>
  </si>
  <si>
    <t xml:space="preserve">Expatriados </t>
  </si>
  <si>
    <t xml:space="preserve">Extrangeros </t>
  </si>
  <si>
    <t xml:space="preserve">OBSERVACIONES: Tiene que coincidir con el numero que esta en modelo total de trabajadores </t>
  </si>
  <si>
    <t xml:space="preserve">MINISTERIO DE SANIDAD Y BIENESTAR SOCIAL </t>
  </si>
  <si>
    <t xml:space="preserve">Aprobado por: </t>
  </si>
  <si>
    <t xml:space="preserve">Nota: La columna aprobada va a coincidir con las plantillas aprobadas para cada entidad, y la cubierta conel modelo  total de trabajadores, la diferencia es la cantidad de cargos vacantes con que cuenta el sistema al cierre de cada información:  </t>
  </si>
  <si>
    <t xml:space="preserve">REG,PROV Y DIST: </t>
  </si>
  <si>
    <t>Entidad:</t>
  </si>
  <si>
    <t xml:space="preserve">           CÁLCULO ECONÓMICO PARA EL PAGO DE LA GUARDIA MEDICA</t>
  </si>
  <si>
    <t>Otros Técnicos</t>
  </si>
  <si>
    <t xml:space="preserve">Personal Subalterno </t>
  </si>
  <si>
    <t>Total Plazas Aprobadas Plantilla.</t>
  </si>
  <si>
    <r>
      <rPr>
        <b/>
        <sz val="12"/>
        <color indexed="8"/>
        <rFont val="Arial"/>
        <family val="2"/>
      </rPr>
      <t>Columna 1</t>
    </r>
    <r>
      <rPr>
        <sz val="12"/>
        <color indexed="8"/>
        <rFont val="Arial"/>
        <family val="2"/>
      </rPr>
      <t>:Total plazas aprobadas en la plantilla</t>
    </r>
  </si>
  <si>
    <r>
      <rPr>
        <b/>
        <sz val="12"/>
        <color indexed="8"/>
        <rFont val="Arial"/>
        <family val="2"/>
      </rPr>
      <t>Columna 3</t>
    </r>
    <r>
      <rPr>
        <sz val="12"/>
        <color indexed="8"/>
        <rFont val="Arial"/>
        <family val="2"/>
      </rPr>
      <t xml:space="preserve">: Beneficiados;  son los trabajadores  que recibieron el pago por realizar guardia médica. </t>
    </r>
  </si>
  <si>
    <r>
      <rPr>
        <b/>
        <sz val="12"/>
        <color indexed="8"/>
        <rFont val="Arial"/>
        <family val="2"/>
      </rPr>
      <t>Columna 5</t>
    </r>
    <r>
      <rPr>
        <sz val="12"/>
        <color indexed="8"/>
        <rFont val="Arial"/>
        <family val="2"/>
      </rPr>
      <t>: Costo es el monto pagado por este concepto en el trimestre (3 meses)</t>
    </r>
  </si>
  <si>
    <t>Directivos</t>
  </si>
  <si>
    <t>Meritorio</t>
  </si>
  <si>
    <t>MERITORIO</t>
  </si>
  <si>
    <t>PERSONAL MERITORIO</t>
  </si>
  <si>
    <t xml:space="preserve">Auxiliares </t>
  </si>
  <si>
    <t>De ello: Auxiliares de Enfermería</t>
  </si>
  <si>
    <t xml:space="preserve">Otros Auxiliares </t>
  </si>
  <si>
    <t>A2</t>
  </si>
  <si>
    <t>A3</t>
  </si>
  <si>
    <t>A4</t>
  </si>
  <si>
    <t>A5</t>
  </si>
  <si>
    <t>B2</t>
  </si>
  <si>
    <t>B3</t>
  </si>
  <si>
    <t>B4</t>
  </si>
  <si>
    <t>B5</t>
  </si>
  <si>
    <t>C2</t>
  </si>
  <si>
    <t>C3</t>
  </si>
  <si>
    <t>C4</t>
  </si>
  <si>
    <t>C5</t>
  </si>
  <si>
    <t>DIRECTIVOS MINSABS</t>
  </si>
  <si>
    <t xml:space="preserve">DIRECTIVOS INSTITUCIONES </t>
  </si>
  <si>
    <t>Directivo MINSABS</t>
  </si>
  <si>
    <t xml:space="preserve">Directivos Instituciones </t>
  </si>
  <si>
    <t>20__</t>
  </si>
  <si>
    <t xml:space="preserve">FUERZA DE TRABAJO POR CATEGORÍAS </t>
  </si>
  <si>
    <r>
      <rPr>
        <b/>
        <sz val="12"/>
        <color indexed="8"/>
        <rFont val="Arial"/>
        <family val="2"/>
      </rPr>
      <t>Nota</t>
    </r>
    <r>
      <rPr>
        <sz val="12"/>
        <color indexed="8"/>
        <rFont val="Arial"/>
        <family val="2"/>
      </rPr>
      <t xml:space="preserve">: En el total de plazas aprobadas  de la columna 1,  se incluye la categoría directivos de las instituciones de salud que no incluye MINSABS </t>
    </r>
  </si>
  <si>
    <t>ORGANISMO: MINSABS</t>
  </si>
  <si>
    <t>ACTIVIDAD FUNDAMENTAL: SANIDAD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</si>
</sst>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16"/>
      <name val="Arial"/>
      <family val="2"/>
    </font>
    <font>
      <b/>
      <sz val="8"/>
      <color rgb="FFFF0000"/>
      <name val="Arial"/>
      <family val="2"/>
    </font>
    <font>
      <sz val="8"/>
      <name val="Arial"/>
      <family val="2"/>
    </font>
    <font>
      <b/>
      <i/>
      <sz val="8"/>
      <name val="Arial"/>
      <family val="2"/>
    </font>
    <font>
      <sz val="8"/>
      <color rgb="FFFF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1"/>
      <name val="Calibri"/>
      <family val="2"/>
    </font>
    <font>
      <b/>
      <sz val="10"/>
      <color rgb="FFFF0000"/>
      <name val="Arial"/>
      <family val="2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2"/>
      <color indexed="8"/>
      <name val="Calibri"/>
      <family val="2"/>
    </font>
    <font>
      <sz val="12"/>
      <color indexed="8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1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sz val="12"/>
      <color theme="1"/>
      <name val="Calibri"/>
      <family val="2"/>
    </font>
    <font>
      <b/>
      <sz val="12"/>
      <color indexed="8"/>
      <name val="Calibri"/>
      <family val="2"/>
    </font>
    <font>
      <sz val="12"/>
      <color theme="1"/>
      <name val="Calibri"/>
      <family val="2"/>
      <scheme val="minor"/>
    </font>
    <font>
      <b/>
      <sz val="10"/>
      <color indexed="40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8"/>
      <name val="Calibri"/>
      <family val="2"/>
      <scheme val="minor"/>
    </font>
    <font>
      <b/>
      <sz val="10"/>
      <name val="Tahoma"/>
      <family val="2"/>
    </font>
    <font>
      <b/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7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13" fillId="0" borderId="0"/>
    <xf numFmtId="0" fontId="9" fillId="0" borderId="0"/>
  </cellStyleXfs>
  <cellXfs count="554">
    <xf numFmtId="0" fontId="0" fillId="0" borderId="0" xfId="0"/>
    <xf numFmtId="0" fontId="4" fillId="0" borderId="0" xfId="0" applyFont="1"/>
    <xf numFmtId="0" fontId="6" fillId="0" borderId="0" xfId="0" applyFont="1" applyAlignment="1">
      <alignment vertical="center"/>
    </xf>
    <xf numFmtId="0" fontId="6" fillId="2" borderId="0" xfId="0" applyFont="1" applyFill="1"/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/>
    <xf numFmtId="0" fontId="1" fillId="2" borderId="15" xfId="0" applyFont="1" applyFill="1" applyBorder="1"/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0" fillId="0" borderId="52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0" fontId="7" fillId="0" borderId="28" xfId="0" applyFont="1" applyBorder="1" applyAlignment="1">
      <alignment horizontal="center"/>
    </xf>
    <xf numFmtId="0" fontId="9" fillId="0" borderId="0" xfId="0" applyFont="1"/>
    <xf numFmtId="0" fontId="7" fillId="0" borderId="20" xfId="0" applyFont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9" fillId="4" borderId="48" xfId="0" applyFont="1" applyFill="1" applyBorder="1" applyAlignment="1">
      <alignment horizontal="center" vertical="center"/>
    </xf>
    <xf numFmtId="0" fontId="9" fillId="4" borderId="55" xfId="0" applyFont="1" applyFill="1" applyBorder="1" applyAlignment="1">
      <alignment horizontal="center" vertical="center"/>
    </xf>
    <xf numFmtId="0" fontId="9" fillId="4" borderId="33" xfId="0" applyFont="1" applyFill="1" applyBorder="1" applyAlignment="1">
      <alignment horizontal="center" vertical="center"/>
    </xf>
    <xf numFmtId="0" fontId="6" fillId="0" borderId="0" xfId="0" applyFont="1"/>
    <xf numFmtId="0" fontId="21" fillId="0" borderId="0" xfId="0" applyFont="1"/>
    <xf numFmtId="0" fontId="23" fillId="0" borderId="0" xfId="0" applyFont="1"/>
    <xf numFmtId="0" fontId="23" fillId="8" borderId="0" xfId="0" applyFont="1" applyFill="1"/>
    <xf numFmtId="14" fontId="23" fillId="0" borderId="0" xfId="0" applyNumberFormat="1" applyFont="1"/>
    <xf numFmtId="0" fontId="23" fillId="0" borderId="43" xfId="0" applyFont="1" applyBorder="1"/>
    <xf numFmtId="49" fontId="23" fillId="0" borderId="0" xfId="0" applyNumberFormat="1" applyFont="1"/>
    <xf numFmtId="0" fontId="23" fillId="0" borderId="63" xfId="0" applyFont="1" applyBorder="1"/>
    <xf numFmtId="0" fontId="23" fillId="0" borderId="10" xfId="0" applyFont="1" applyBorder="1"/>
    <xf numFmtId="0" fontId="23" fillId="8" borderId="10" xfId="0" applyFont="1" applyFill="1" applyBorder="1"/>
    <xf numFmtId="0" fontId="23" fillId="9" borderId="10" xfId="0" applyFont="1" applyFill="1" applyBorder="1"/>
    <xf numFmtId="0" fontId="23" fillId="10" borderId="10" xfId="0" applyFont="1" applyFill="1" applyBorder="1"/>
    <xf numFmtId="0" fontId="23" fillId="0" borderId="64" xfId="0" applyFont="1" applyBorder="1"/>
    <xf numFmtId="0" fontId="23" fillId="0" borderId="38" xfId="0" applyFont="1" applyBorder="1"/>
    <xf numFmtId="49" fontId="23" fillId="0" borderId="37" xfId="0" applyNumberFormat="1" applyFont="1" applyBorder="1"/>
    <xf numFmtId="49" fontId="23" fillId="8" borderId="37" xfId="0" applyNumberFormat="1" applyFont="1" applyFill="1" applyBorder="1"/>
    <xf numFmtId="49" fontId="23" fillId="9" borderId="37" xfId="0" applyNumberFormat="1" applyFont="1" applyFill="1" applyBorder="1"/>
    <xf numFmtId="49" fontId="23" fillId="10" borderId="37" xfId="0" applyNumberFormat="1" applyFont="1" applyFill="1" applyBorder="1"/>
    <xf numFmtId="49" fontId="23" fillId="0" borderId="54" xfId="0" applyNumberFormat="1" applyFont="1" applyBorder="1"/>
    <xf numFmtId="0" fontId="23" fillId="0" borderId="54" xfId="0" applyFont="1" applyBorder="1"/>
    <xf numFmtId="0" fontId="23" fillId="0" borderId="37" xfId="0" applyFont="1" applyBorder="1"/>
    <xf numFmtId="49" fontId="23" fillId="8" borderId="20" xfId="0" applyNumberFormat="1" applyFont="1" applyFill="1" applyBorder="1"/>
    <xf numFmtId="0" fontId="23" fillId="0" borderId="16" xfId="0" applyFont="1" applyBorder="1"/>
    <xf numFmtId="0" fontId="23" fillId="0" borderId="17" xfId="0" applyFont="1" applyBorder="1"/>
    <xf numFmtId="0" fontId="23" fillId="0" borderId="18" xfId="0" applyFont="1" applyBorder="1"/>
    <xf numFmtId="3" fontId="23" fillId="0" borderId="28" xfId="0" applyNumberFormat="1" applyFont="1" applyBorder="1"/>
    <xf numFmtId="0" fontId="23" fillId="0" borderId="34" xfId="0" applyFont="1" applyBorder="1"/>
    <xf numFmtId="0" fontId="23" fillId="0" borderId="34" xfId="0" applyFont="1" applyBorder="1" applyAlignment="1">
      <alignment vertical="center"/>
    </xf>
    <xf numFmtId="0" fontId="23" fillId="0" borderId="12" xfId="0" applyFont="1" applyBorder="1"/>
    <xf numFmtId="0" fontId="23" fillId="0" borderId="65" xfId="0" applyFont="1" applyBorder="1"/>
    <xf numFmtId="0" fontId="23" fillId="9" borderId="0" xfId="0" applyFont="1" applyFill="1"/>
    <xf numFmtId="0" fontId="23" fillId="10" borderId="0" xfId="0" applyFont="1" applyFill="1"/>
    <xf numFmtId="0" fontId="23" fillId="8" borderId="45" xfId="0" applyFont="1" applyFill="1" applyBorder="1"/>
    <xf numFmtId="0" fontId="23" fillId="0" borderId="27" xfId="0" applyFont="1" applyBorder="1" applyAlignment="1">
      <alignment vertical="center"/>
    </xf>
    <xf numFmtId="0" fontId="23" fillId="0" borderId="28" xfId="0" applyFont="1" applyBorder="1" applyAlignment="1">
      <alignment vertical="center"/>
    </xf>
    <xf numFmtId="0" fontId="23" fillId="0" borderId="29" xfId="0" applyFont="1" applyBorder="1" applyAlignment="1">
      <alignment vertical="center"/>
    </xf>
    <xf numFmtId="0" fontId="23" fillId="0" borderId="27" xfId="0" applyFont="1" applyBorder="1"/>
    <xf numFmtId="0" fontId="23" fillId="0" borderId="28" xfId="0" applyFont="1" applyBorder="1"/>
    <xf numFmtId="0" fontId="23" fillId="0" borderId="29" xfId="0" applyFont="1" applyBorder="1"/>
    <xf numFmtId="0" fontId="24" fillId="2" borderId="4" xfId="0" applyFont="1" applyFill="1" applyBorder="1"/>
    <xf numFmtId="0" fontId="24" fillId="0" borderId="34" xfId="0" applyFont="1" applyBorder="1" applyProtection="1">
      <protection locked="0"/>
    </xf>
    <xf numFmtId="0" fontId="24" fillId="2" borderId="5" xfId="0" applyFont="1" applyFill="1" applyBorder="1"/>
    <xf numFmtId="3" fontId="23" fillId="0" borderId="32" xfId="0" applyNumberFormat="1" applyFont="1" applyBorder="1"/>
    <xf numFmtId="3" fontId="23" fillId="0" borderId="31" xfId="0" applyNumberFormat="1" applyFont="1" applyBorder="1"/>
    <xf numFmtId="0" fontId="23" fillId="0" borderId="43" xfId="0" applyFont="1" applyBorder="1" applyAlignment="1">
      <alignment vertical="center"/>
    </xf>
    <xf numFmtId="0" fontId="23" fillId="0" borderId="63" xfId="0" applyFont="1" applyBorder="1" applyAlignment="1">
      <alignment vertical="center"/>
    </xf>
    <xf numFmtId="0" fontId="23" fillId="0" borderId="10" xfId="0" applyFont="1" applyBorder="1" applyAlignment="1">
      <alignment vertical="center"/>
    </xf>
    <xf numFmtId="0" fontId="23" fillId="0" borderId="64" xfId="0" applyFont="1" applyBorder="1" applyAlignment="1">
      <alignment vertical="center"/>
    </xf>
    <xf numFmtId="0" fontId="23" fillId="0" borderId="12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3" fillId="0" borderId="33" xfId="0" applyFont="1" applyBorder="1" applyAlignment="1">
      <alignment vertical="center"/>
    </xf>
    <xf numFmtId="0" fontId="23" fillId="0" borderId="35" xfId="0" applyFont="1" applyBorder="1" applyAlignment="1">
      <alignment vertical="center"/>
    </xf>
    <xf numFmtId="0" fontId="23" fillId="0" borderId="33" xfId="0" applyFont="1" applyBorder="1"/>
    <xf numFmtId="0" fontId="23" fillId="0" borderId="35" xfId="0" applyFont="1" applyBorder="1"/>
    <xf numFmtId="0" fontId="24" fillId="2" borderId="5" xfId="0" applyFont="1" applyFill="1" applyBorder="1" applyAlignment="1">
      <alignment horizontal="left"/>
    </xf>
    <xf numFmtId="0" fontId="23" fillId="0" borderId="38" xfId="0" applyFont="1" applyBorder="1" applyAlignment="1">
      <alignment vertical="center"/>
    </xf>
    <xf numFmtId="0" fontId="23" fillId="0" borderId="37" xfId="0" applyFont="1" applyBorder="1" applyAlignment="1">
      <alignment vertical="center"/>
    </xf>
    <xf numFmtId="0" fontId="23" fillId="0" borderId="54" xfId="0" applyFont="1" applyBorder="1" applyAlignment="1">
      <alignment vertical="center"/>
    </xf>
    <xf numFmtId="0" fontId="23" fillId="8" borderId="65" xfId="0" applyFont="1" applyFill="1" applyBorder="1"/>
    <xf numFmtId="0" fontId="24" fillId="2" borderId="5" xfId="0" applyFont="1" applyFill="1" applyBorder="1" applyAlignment="1">
      <alignment horizontal="center" vertical="center"/>
    </xf>
    <xf numFmtId="0" fontId="23" fillId="0" borderId="40" xfId="0" applyFont="1" applyBorder="1" applyAlignment="1">
      <alignment vertical="center"/>
    </xf>
    <xf numFmtId="0" fontId="23" fillId="0" borderId="44" xfId="0" applyFont="1" applyBorder="1" applyAlignment="1">
      <alignment vertical="center"/>
    </xf>
    <xf numFmtId="0" fontId="23" fillId="0" borderId="40" xfId="0" applyFont="1" applyBorder="1"/>
    <xf numFmtId="0" fontId="23" fillId="0" borderId="44" xfId="0" applyFont="1" applyBorder="1"/>
    <xf numFmtId="0" fontId="26" fillId="8" borderId="20" xfId="0" applyFont="1" applyFill="1" applyBorder="1"/>
    <xf numFmtId="0" fontId="26" fillId="0" borderId="16" xfId="0" applyFont="1" applyBorder="1"/>
    <xf numFmtId="0" fontId="26" fillId="0" borderId="17" xfId="0" applyFont="1" applyBorder="1"/>
    <xf numFmtId="0" fontId="26" fillId="0" borderId="18" xfId="0" applyFont="1" applyBorder="1"/>
    <xf numFmtId="0" fontId="23" fillId="0" borderId="42" xfId="0" applyFont="1" applyBorder="1"/>
    <xf numFmtId="0" fontId="23" fillId="0" borderId="61" xfId="0" applyFont="1" applyBorder="1"/>
    <xf numFmtId="0" fontId="23" fillId="0" borderId="62" xfId="0" applyFont="1" applyBorder="1"/>
    <xf numFmtId="0" fontId="23" fillId="8" borderId="69" xfId="0" applyFont="1" applyFill="1" applyBorder="1"/>
    <xf numFmtId="0" fontId="7" fillId="0" borderId="20" xfId="0" applyFont="1" applyBorder="1" applyAlignment="1">
      <alignment horizontal="center" vertical="center" wrapText="1"/>
    </xf>
    <xf numFmtId="0" fontId="27" fillId="8" borderId="20" xfId="0" applyFont="1" applyFill="1" applyBorder="1" applyAlignment="1">
      <alignment vertical="center" wrapText="1"/>
    </xf>
    <xf numFmtId="0" fontId="28" fillId="0" borderId="16" xfId="0" applyFont="1" applyBorder="1" applyAlignment="1">
      <alignment vertical="center"/>
    </xf>
    <xf numFmtId="0" fontId="28" fillId="0" borderId="17" xfId="0" applyFont="1" applyBorder="1" applyAlignment="1">
      <alignment vertical="center"/>
    </xf>
    <xf numFmtId="0" fontId="28" fillId="0" borderId="18" xfId="0" applyFont="1" applyBorder="1" applyAlignment="1">
      <alignment vertical="center"/>
    </xf>
    <xf numFmtId="0" fontId="7" fillId="0" borderId="25" xfId="0" applyFont="1" applyBorder="1" applyAlignment="1">
      <alignment horizontal="center" vertical="center" wrapText="1"/>
    </xf>
    <xf numFmtId="49" fontId="23" fillId="8" borderId="0" xfId="0" applyNumberFormat="1" applyFont="1" applyFill="1"/>
    <xf numFmtId="0" fontId="9" fillId="0" borderId="54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23" fillId="8" borderId="0" xfId="0" applyFont="1" applyFill="1" applyAlignment="1">
      <alignment vertical="center"/>
    </xf>
    <xf numFmtId="0" fontId="23" fillId="8" borderId="0" xfId="0" applyFont="1" applyFill="1" applyAlignment="1">
      <alignment vertical="center" wrapText="1"/>
    </xf>
    <xf numFmtId="0" fontId="9" fillId="0" borderId="33" xfId="0" applyFont="1" applyBorder="1" applyAlignment="1">
      <alignment horizontal="center" vertical="center"/>
    </xf>
    <xf numFmtId="49" fontId="23" fillId="0" borderId="0" xfId="0" applyNumberFormat="1" applyFont="1" applyAlignment="1">
      <alignment vertical="center"/>
    </xf>
    <xf numFmtId="0" fontId="23" fillId="0" borderId="32" xfId="0" applyFont="1" applyBorder="1"/>
    <xf numFmtId="0" fontId="23" fillId="0" borderId="7" xfId="0" applyFont="1" applyBorder="1"/>
    <xf numFmtId="0" fontId="23" fillId="0" borderId="7" xfId="0" applyFont="1" applyBorder="1" applyAlignment="1">
      <alignment vertical="center"/>
    </xf>
    <xf numFmtId="0" fontId="23" fillId="0" borderId="31" xfId="0" applyFont="1" applyBorder="1"/>
    <xf numFmtId="0" fontId="9" fillId="0" borderId="33" xfId="0" applyFont="1" applyBorder="1" applyAlignment="1" applyProtection="1">
      <alignment horizontal="center" vertical="center"/>
      <protection locked="0"/>
    </xf>
    <xf numFmtId="0" fontId="23" fillId="0" borderId="32" xfId="0" applyFont="1" applyBorder="1" applyAlignment="1">
      <alignment vertical="center"/>
    </xf>
    <xf numFmtId="0" fontId="9" fillId="0" borderId="64" xfId="0" applyFont="1" applyBorder="1" applyAlignment="1">
      <alignment horizontal="center" vertical="center"/>
    </xf>
    <xf numFmtId="0" fontId="9" fillId="0" borderId="6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9" fillId="4" borderId="52" xfId="0" applyFont="1" applyFill="1" applyBorder="1" applyAlignment="1">
      <alignment horizontal="center" vertical="center"/>
    </xf>
    <xf numFmtId="0" fontId="9" fillId="4" borderId="36" xfId="0" applyFont="1" applyFill="1" applyBorder="1" applyAlignment="1">
      <alignment horizontal="center" vertical="center"/>
    </xf>
    <xf numFmtId="0" fontId="9" fillId="0" borderId="58" xfId="0" applyFont="1" applyBorder="1" applyAlignment="1">
      <alignment horizontal="center" vertical="center"/>
    </xf>
    <xf numFmtId="0" fontId="9" fillId="4" borderId="60" xfId="0" applyFont="1" applyFill="1" applyBorder="1" applyAlignment="1">
      <alignment horizontal="center" vertical="center"/>
    </xf>
    <xf numFmtId="0" fontId="9" fillId="0" borderId="5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top"/>
    </xf>
    <xf numFmtId="0" fontId="9" fillId="5" borderId="5" xfId="0" applyFont="1" applyFill="1" applyBorder="1"/>
    <xf numFmtId="0" fontId="7" fillId="5" borderId="5" xfId="0" applyFont="1" applyFill="1" applyBorder="1" applyAlignment="1">
      <alignment horizontal="center" vertical="top"/>
    </xf>
    <xf numFmtId="0" fontId="7" fillId="5" borderId="7" xfId="0" applyFont="1" applyFill="1" applyBorder="1" applyAlignment="1">
      <alignment horizontal="center" vertical="top"/>
    </xf>
    <xf numFmtId="0" fontId="9" fillId="2" borderId="20" xfId="0" applyFont="1" applyFill="1" applyBorder="1" applyAlignment="1" applyProtection="1">
      <alignment horizontal="center"/>
      <protection locked="0"/>
    </xf>
    <xf numFmtId="0" fontId="9" fillId="2" borderId="20" xfId="0" applyFont="1" applyFill="1" applyBorder="1" applyAlignment="1">
      <alignment horizontal="center"/>
    </xf>
    <xf numFmtId="0" fontId="7" fillId="5" borderId="13" xfId="0" applyFont="1" applyFill="1" applyBorder="1" applyAlignment="1">
      <alignment horizontal="center" vertical="top"/>
    </xf>
    <xf numFmtId="0" fontId="7" fillId="5" borderId="14" xfId="0" applyFont="1" applyFill="1" applyBorder="1" applyAlignment="1">
      <alignment horizontal="center" vertical="top"/>
    </xf>
    <xf numFmtId="0" fontId="9" fillId="5" borderId="15" xfId="0" applyFont="1" applyFill="1" applyBorder="1"/>
    <xf numFmtId="0" fontId="7" fillId="5" borderId="15" xfId="0" applyFont="1" applyFill="1" applyBorder="1" applyAlignment="1">
      <alignment horizontal="center" vertical="top"/>
    </xf>
    <xf numFmtId="0" fontId="23" fillId="8" borderId="7" xfId="0" applyFont="1" applyFill="1" applyBorder="1"/>
    <xf numFmtId="0" fontId="23" fillId="8" borderId="31" xfId="0" applyFont="1" applyFill="1" applyBorder="1"/>
    <xf numFmtId="0" fontId="23" fillId="0" borderId="28" xfId="0" applyFont="1" applyBorder="1" applyAlignment="1">
      <alignment horizontal="center"/>
    </xf>
    <xf numFmtId="0" fontId="16" fillId="0" borderId="34" xfId="0" applyFont="1" applyBorder="1" applyAlignment="1" applyProtection="1">
      <alignment horizontal="center"/>
      <protection locked="0"/>
    </xf>
    <xf numFmtId="0" fontId="30" fillId="0" borderId="27" xfId="0" applyFont="1" applyBorder="1" applyAlignment="1">
      <alignment horizontal="left"/>
    </xf>
    <xf numFmtId="0" fontId="16" fillId="0" borderId="28" xfId="0" applyFont="1" applyBorder="1" applyAlignment="1" applyProtection="1">
      <alignment horizontal="center"/>
      <protection locked="0"/>
    </xf>
    <xf numFmtId="0" fontId="30" fillId="0" borderId="33" xfId="0" applyFont="1" applyBorder="1" applyAlignment="1">
      <alignment horizontal="left"/>
    </xf>
    <xf numFmtId="0" fontId="19" fillId="0" borderId="0" xfId="0" applyFont="1" applyAlignment="1">
      <alignment horizontal="left"/>
    </xf>
    <xf numFmtId="0" fontId="16" fillId="0" borderId="0" xfId="0" applyFont="1"/>
    <xf numFmtId="0" fontId="17" fillId="0" borderId="0" xfId="0" applyFont="1" applyAlignment="1">
      <alignment horizontal="left"/>
    </xf>
    <xf numFmtId="0" fontId="17" fillId="0" borderId="0" xfId="1" applyFont="1" applyAlignment="1">
      <alignment horizontal="center"/>
    </xf>
    <xf numFmtId="0" fontId="7" fillId="0" borderId="14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2" fillId="0" borderId="67" xfId="0" applyFont="1" applyBorder="1" applyAlignment="1">
      <alignment horizontal="center"/>
    </xf>
    <xf numFmtId="0" fontId="23" fillId="0" borderId="29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23" fillId="0" borderId="34" xfId="0" applyFont="1" applyBorder="1" applyAlignment="1">
      <alignment horizontal="center"/>
    </xf>
    <xf numFmtId="0" fontId="7" fillId="6" borderId="20" xfId="0" applyFont="1" applyFill="1" applyBorder="1" applyAlignment="1">
      <alignment vertical="center"/>
    </xf>
    <xf numFmtId="0" fontId="9" fillId="0" borderId="39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36" xfId="0" applyFont="1" applyBorder="1" applyAlignment="1" applyProtection="1">
      <alignment horizontal="center" vertical="center"/>
      <protection locked="0"/>
    </xf>
    <xf numFmtId="0" fontId="23" fillId="0" borderId="45" xfId="0" applyFont="1" applyBorder="1" applyAlignment="1">
      <alignment vertical="center"/>
    </xf>
    <xf numFmtId="0" fontId="9" fillId="0" borderId="30" xfId="0" applyFont="1" applyBorder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0" fontId="9" fillId="0" borderId="39" xfId="0" applyFont="1" applyBorder="1" applyAlignment="1" applyProtection="1">
      <alignment horizontal="center" vertical="center"/>
      <protection locked="0"/>
    </xf>
    <xf numFmtId="0" fontId="23" fillId="0" borderId="36" xfId="0" applyFont="1" applyBorder="1" applyAlignment="1">
      <alignment vertical="center"/>
    </xf>
    <xf numFmtId="0" fontId="9" fillId="0" borderId="69" xfId="0" applyFont="1" applyBorder="1" applyAlignment="1" applyProtection="1">
      <alignment horizontal="center" vertical="center"/>
      <protection locked="0"/>
    </xf>
    <xf numFmtId="0" fontId="23" fillId="0" borderId="39" xfId="0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9" fillId="0" borderId="11" xfId="0" applyFont="1" applyBorder="1" applyAlignment="1" applyProtection="1">
      <alignment horizontal="center" vertical="center"/>
      <protection locked="0"/>
    </xf>
    <xf numFmtId="0" fontId="23" fillId="0" borderId="52" xfId="0" applyFont="1" applyBorder="1" applyAlignment="1">
      <alignment vertical="center"/>
    </xf>
    <xf numFmtId="0" fontId="23" fillId="0" borderId="5" xfId="0" applyFont="1" applyBorder="1" applyAlignment="1">
      <alignment vertical="center"/>
    </xf>
    <xf numFmtId="0" fontId="7" fillId="3" borderId="20" xfId="0" applyFont="1" applyFill="1" applyBorder="1" applyAlignment="1">
      <alignment vertical="center" wrapText="1"/>
    </xf>
    <xf numFmtId="0" fontId="9" fillId="0" borderId="20" xfId="0" applyFont="1" applyBorder="1" applyAlignment="1">
      <alignment horizontal="center" vertical="center" wrapText="1"/>
    </xf>
    <xf numFmtId="0" fontId="23" fillId="0" borderId="36" xfId="0" applyFont="1" applyBorder="1" applyAlignment="1">
      <alignment horizontal="center" vertical="center"/>
    </xf>
    <xf numFmtId="0" fontId="19" fillId="8" borderId="21" xfId="1" applyFont="1" applyFill="1" applyBorder="1" applyAlignment="1">
      <alignment horizontal="center" vertical="center"/>
    </xf>
    <xf numFmtId="0" fontId="19" fillId="0" borderId="20" xfId="1" applyFont="1" applyBorder="1"/>
    <xf numFmtId="49" fontId="18" fillId="0" borderId="20" xfId="0" applyNumberFormat="1" applyFont="1" applyBorder="1" applyAlignment="1">
      <alignment horizontal="left"/>
    </xf>
    <xf numFmtId="2" fontId="16" fillId="0" borderId="49" xfId="0" applyNumberFormat="1" applyFont="1" applyBorder="1" applyAlignment="1">
      <alignment horizontal="center"/>
    </xf>
    <xf numFmtId="4" fontId="31" fillId="0" borderId="34" xfId="0" applyNumberFormat="1" applyFont="1" applyBorder="1" applyAlignment="1" applyProtection="1">
      <alignment horizontal="center"/>
      <protection locked="0"/>
    </xf>
    <xf numFmtId="2" fontId="16" fillId="0" borderId="51" xfId="0" applyNumberFormat="1" applyFont="1" applyBorder="1" applyAlignment="1">
      <alignment horizontal="center"/>
    </xf>
    <xf numFmtId="0" fontId="30" fillId="0" borderId="0" xfId="0" applyFont="1" applyAlignment="1">
      <alignment horizontal="left"/>
    </xf>
    <xf numFmtId="0" fontId="32" fillId="0" borderId="0" xfId="0" applyFont="1" applyAlignment="1">
      <alignment horizontal="center"/>
    </xf>
    <xf numFmtId="2" fontId="32" fillId="0" borderId="0" xfId="0" applyNumberFormat="1" applyFont="1" applyAlignment="1">
      <alignment horizontal="center"/>
    </xf>
    <xf numFmtId="4" fontId="32" fillId="0" borderId="0" xfId="0" applyNumberFormat="1" applyFont="1" applyAlignment="1">
      <alignment horizontal="center"/>
    </xf>
    <xf numFmtId="2" fontId="16" fillId="0" borderId="28" xfId="0" applyNumberFormat="1" applyFont="1" applyBorder="1" applyAlignment="1">
      <alignment horizontal="center"/>
    </xf>
    <xf numFmtId="4" fontId="31" fillId="0" borderId="28" xfId="0" applyNumberFormat="1" applyFont="1" applyBorder="1" applyAlignment="1" applyProtection="1">
      <alignment horizontal="center"/>
      <protection locked="0"/>
    </xf>
    <xf numFmtId="2" fontId="16" fillId="0" borderId="29" xfId="0" applyNumberFormat="1" applyFont="1" applyBorder="1" applyAlignment="1">
      <alignment horizontal="center"/>
    </xf>
    <xf numFmtId="0" fontId="20" fillId="0" borderId="34" xfId="2" applyFont="1" applyBorder="1" applyAlignment="1">
      <alignment horizontal="center" vertical="center" wrapText="1"/>
    </xf>
    <xf numFmtId="0" fontId="19" fillId="0" borderId="1" xfId="0" applyFont="1" applyBorder="1"/>
    <xf numFmtId="0" fontId="19" fillId="0" borderId="2" xfId="0" applyFont="1" applyBorder="1"/>
    <xf numFmtId="0" fontId="33" fillId="0" borderId="2" xfId="0" applyFont="1" applyBorder="1" applyAlignment="1">
      <alignment wrapText="1"/>
    </xf>
    <xf numFmtId="0" fontId="33" fillId="0" borderId="2" xfId="0" applyFont="1" applyBorder="1"/>
    <xf numFmtId="0" fontId="33" fillId="0" borderId="3" xfId="0" applyFont="1" applyBorder="1"/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3" xfId="0" applyBorder="1"/>
    <xf numFmtId="0" fontId="20" fillId="0" borderId="35" xfId="2" applyFont="1" applyBorder="1" applyAlignment="1">
      <alignment horizontal="center" vertical="center" wrapText="1"/>
    </xf>
    <xf numFmtId="0" fontId="30" fillId="0" borderId="55" xfId="0" applyFont="1" applyBorder="1" applyAlignment="1">
      <alignment horizontal="left"/>
    </xf>
    <xf numFmtId="0" fontId="30" fillId="0" borderId="22" xfId="0" applyFont="1" applyBorder="1" applyAlignment="1">
      <alignment horizontal="left"/>
    </xf>
    <xf numFmtId="0" fontId="32" fillId="0" borderId="26" xfId="0" applyFont="1" applyBorder="1" applyAlignment="1">
      <alignment horizontal="center"/>
    </xf>
    <xf numFmtId="2" fontId="32" fillId="0" borderId="23" xfId="0" applyNumberFormat="1" applyFont="1" applyBorder="1" applyAlignment="1">
      <alignment horizontal="center"/>
    </xf>
    <xf numFmtId="4" fontId="32" fillId="0" borderId="26" xfId="0" applyNumberFormat="1" applyFont="1" applyBorder="1" applyAlignment="1">
      <alignment horizontal="center"/>
    </xf>
    <xf numFmtId="2" fontId="32" fillId="0" borderId="24" xfId="0" applyNumberFormat="1" applyFont="1" applyBorder="1" applyAlignment="1">
      <alignment horizontal="center"/>
    </xf>
    <xf numFmtId="0" fontId="16" fillId="0" borderId="56" xfId="0" applyFont="1" applyBorder="1" applyAlignment="1" applyProtection="1">
      <alignment horizontal="center"/>
      <protection locked="0"/>
    </xf>
    <xf numFmtId="2" fontId="16" fillId="0" borderId="17" xfId="0" applyNumberFormat="1" applyFont="1" applyBorder="1" applyAlignment="1">
      <alignment horizontal="center"/>
    </xf>
    <xf numFmtId="4" fontId="31" fillId="0" borderId="56" xfId="0" applyNumberFormat="1" applyFont="1" applyBorder="1" applyAlignment="1" applyProtection="1">
      <alignment horizontal="center"/>
      <protection locked="0"/>
    </xf>
    <xf numFmtId="2" fontId="16" fillId="0" borderId="18" xfId="0" applyNumberFormat="1" applyFont="1" applyBorder="1" applyAlignment="1">
      <alignment horizontal="center"/>
    </xf>
    <xf numFmtId="0" fontId="16" fillId="0" borderId="26" xfId="0" applyFont="1" applyBorder="1" applyAlignment="1" applyProtection="1">
      <alignment horizontal="center"/>
      <protection locked="0"/>
    </xf>
    <xf numFmtId="4" fontId="31" fillId="0" borderId="26" xfId="0" applyNumberFormat="1" applyFont="1" applyBorder="1" applyAlignment="1" applyProtection="1">
      <alignment horizontal="center"/>
      <protection locked="0"/>
    </xf>
    <xf numFmtId="0" fontId="7" fillId="0" borderId="21" xfId="0" applyFont="1" applyBorder="1" applyAlignment="1">
      <alignment horizontal="center" vertical="center" wrapText="1"/>
    </xf>
    <xf numFmtId="0" fontId="7" fillId="0" borderId="65" xfId="0" applyFont="1" applyBorder="1" applyAlignment="1">
      <alignment horizontal="center"/>
    </xf>
    <xf numFmtId="0" fontId="7" fillId="0" borderId="61" xfId="0" applyFont="1" applyBorder="1" applyAlignment="1">
      <alignment horizontal="center"/>
    </xf>
    <xf numFmtId="0" fontId="7" fillId="0" borderId="62" xfId="0" applyFont="1" applyBorder="1" applyAlignment="1">
      <alignment horizontal="center"/>
    </xf>
    <xf numFmtId="0" fontId="17" fillId="0" borderId="34" xfId="1" applyFont="1" applyBorder="1" applyAlignment="1">
      <alignment horizontal="center"/>
    </xf>
    <xf numFmtId="0" fontId="17" fillId="0" borderId="56" xfId="1" applyFont="1" applyBorder="1" applyAlignment="1">
      <alignment horizontal="center"/>
    </xf>
    <xf numFmtId="0" fontId="17" fillId="0" borderId="46" xfId="1" applyFont="1" applyBorder="1" applyAlignment="1">
      <alignment horizontal="center"/>
    </xf>
    <xf numFmtId="0" fontId="17" fillId="0" borderId="47" xfId="1" applyFont="1" applyBorder="1" applyAlignment="1">
      <alignment horizontal="center"/>
    </xf>
    <xf numFmtId="0" fontId="17" fillId="0" borderId="35" xfId="1" applyFont="1" applyBorder="1" applyAlignment="1">
      <alignment horizontal="center"/>
    </xf>
    <xf numFmtId="0" fontId="17" fillId="0" borderId="57" xfId="1" applyFont="1" applyBorder="1" applyAlignment="1">
      <alignment horizontal="center"/>
    </xf>
    <xf numFmtId="0" fontId="19" fillId="8" borderId="67" xfId="1" applyFont="1" applyFill="1" applyBorder="1" applyAlignment="1">
      <alignment horizontal="center" vertical="center"/>
    </xf>
    <xf numFmtId="0" fontId="19" fillId="8" borderId="46" xfId="1" applyFont="1" applyFill="1" applyBorder="1" applyAlignment="1">
      <alignment horizontal="center"/>
    </xf>
    <xf numFmtId="0" fontId="19" fillId="0" borderId="28" xfId="1" applyFont="1" applyBorder="1" applyAlignment="1">
      <alignment horizontal="center"/>
    </xf>
    <xf numFmtId="0" fontId="19" fillId="0" borderId="34" xfId="1" applyFont="1" applyBorder="1" applyAlignment="1">
      <alignment horizontal="center"/>
    </xf>
    <xf numFmtId="0" fontId="19" fillId="0" borderId="61" xfId="1" applyFont="1" applyBorder="1" applyAlignment="1">
      <alignment horizontal="center"/>
    </xf>
    <xf numFmtId="0" fontId="23" fillId="0" borderId="35" xfId="0" applyFont="1" applyBorder="1" applyAlignment="1">
      <alignment horizontal="center"/>
    </xf>
    <xf numFmtId="0" fontId="23" fillId="0" borderId="56" xfId="0" applyFont="1" applyBorder="1" applyAlignment="1">
      <alignment horizontal="center"/>
    </xf>
    <xf numFmtId="0" fontId="23" fillId="0" borderId="57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38" fillId="0" borderId="27" xfId="0" applyFont="1" applyBorder="1" applyAlignment="1">
      <alignment horizontal="center"/>
    </xf>
    <xf numFmtId="0" fontId="38" fillId="0" borderId="22" xfId="0" applyFont="1" applyBorder="1" applyAlignment="1">
      <alignment horizontal="center"/>
    </xf>
    <xf numFmtId="0" fontId="26" fillId="0" borderId="27" xfId="0" applyFont="1" applyBorder="1" applyAlignment="1">
      <alignment horizontal="center"/>
    </xf>
    <xf numFmtId="0" fontId="26" fillId="0" borderId="33" xfId="0" applyFont="1" applyBorder="1" applyAlignment="1">
      <alignment horizontal="center"/>
    </xf>
    <xf numFmtId="0" fontId="26" fillId="0" borderId="55" xfId="0" applyFont="1" applyBorder="1" applyAlignment="1">
      <alignment horizontal="center"/>
    </xf>
    <xf numFmtId="0" fontId="38" fillId="0" borderId="33" xfId="0" applyFont="1" applyBorder="1" applyAlignment="1">
      <alignment horizontal="center"/>
    </xf>
    <xf numFmtId="0" fontId="38" fillId="0" borderId="55" xfId="0" applyFont="1" applyBorder="1" applyAlignment="1">
      <alignment horizontal="center"/>
    </xf>
    <xf numFmtId="0" fontId="39" fillId="0" borderId="30" xfId="0" applyFont="1" applyBorder="1" applyAlignment="1">
      <alignment horizontal="center"/>
    </xf>
    <xf numFmtId="0" fontId="39" fillId="0" borderId="36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7" fillId="0" borderId="69" xfId="0" applyFont="1" applyBorder="1" applyAlignment="1">
      <alignment horizontal="center"/>
    </xf>
    <xf numFmtId="0" fontId="7" fillId="0" borderId="60" xfId="0" applyFont="1" applyBorder="1" applyAlignment="1">
      <alignment horizontal="center"/>
    </xf>
    <xf numFmtId="0" fontId="19" fillId="0" borderId="41" xfId="1" applyFont="1" applyBorder="1" applyAlignment="1">
      <alignment horizontal="left"/>
    </xf>
    <xf numFmtId="0" fontId="19" fillId="0" borderId="33" xfId="1" applyFont="1" applyBorder="1" applyAlignment="1">
      <alignment horizontal="center"/>
    </xf>
    <xf numFmtId="0" fontId="19" fillId="0" borderId="55" xfId="1" applyFont="1" applyBorder="1" applyAlignment="1">
      <alignment horizontal="center"/>
    </xf>
    <xf numFmtId="0" fontId="19" fillId="0" borderId="16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19" fillId="0" borderId="70" xfId="1" applyFont="1" applyBorder="1" applyAlignment="1">
      <alignment horizontal="center"/>
    </xf>
    <xf numFmtId="0" fontId="19" fillId="0" borderId="20" xfId="1" applyFont="1" applyBorder="1" applyAlignment="1">
      <alignment horizontal="center"/>
    </xf>
    <xf numFmtId="0" fontId="19" fillId="0" borderId="67" xfId="1" applyFont="1" applyBorder="1" applyAlignment="1">
      <alignment horizontal="center"/>
    </xf>
    <xf numFmtId="0" fontId="7" fillId="0" borderId="34" xfId="2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textRotation="90"/>
    </xf>
    <xf numFmtId="0" fontId="9" fillId="4" borderId="2" xfId="0" applyFont="1" applyFill="1" applyBorder="1" applyAlignment="1">
      <alignment horizontal="center" vertical="center" textRotation="90"/>
    </xf>
    <xf numFmtId="0" fontId="9" fillId="4" borderId="3" xfId="0" applyFont="1" applyFill="1" applyBorder="1" applyAlignment="1">
      <alignment horizontal="center" vertical="center" textRotation="90"/>
    </xf>
    <xf numFmtId="0" fontId="9" fillId="4" borderId="13" xfId="0" applyFont="1" applyFill="1" applyBorder="1" applyAlignment="1">
      <alignment horizontal="center" vertical="center" textRotation="90"/>
    </xf>
    <xf numFmtId="0" fontId="9" fillId="4" borderId="14" xfId="0" applyFont="1" applyFill="1" applyBorder="1" applyAlignment="1">
      <alignment horizontal="center" vertical="center" textRotation="90"/>
    </xf>
    <xf numFmtId="0" fontId="9" fillId="4" borderId="15" xfId="0" applyFont="1" applyFill="1" applyBorder="1" applyAlignment="1">
      <alignment horizontal="center" vertical="center" textRotation="90"/>
    </xf>
    <xf numFmtId="0" fontId="9" fillId="0" borderId="41" xfId="0" applyFont="1" applyBorder="1" applyAlignment="1">
      <alignment horizontal="center" vertical="center" textRotation="90"/>
    </xf>
    <xf numFmtId="0" fontId="9" fillId="0" borderId="42" xfId="0" applyFont="1" applyBorder="1" applyAlignment="1">
      <alignment horizontal="center" vertical="center" textRotation="90"/>
    </xf>
    <xf numFmtId="0" fontId="9" fillId="0" borderId="27" xfId="0" applyFont="1" applyBorder="1" applyAlignment="1">
      <alignment horizontal="center" vertical="center" textRotation="90"/>
    </xf>
    <xf numFmtId="0" fontId="9" fillId="0" borderId="32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9" fillId="0" borderId="38" xfId="0" applyFont="1" applyBorder="1" applyAlignment="1">
      <alignment horizontal="left" vertical="center"/>
    </xf>
    <xf numFmtId="0" fontId="9" fillId="0" borderId="37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 textRotation="90"/>
    </xf>
    <xf numFmtId="0" fontId="9" fillId="0" borderId="0" xfId="0" applyFont="1" applyAlignment="1">
      <alignment horizontal="center" vertical="center" textRotation="90"/>
    </xf>
    <xf numFmtId="0" fontId="9" fillId="0" borderId="34" xfId="0" applyFont="1" applyBorder="1" applyAlignment="1">
      <alignment horizontal="left" vertical="center" wrapText="1"/>
    </xf>
    <xf numFmtId="0" fontId="9" fillId="0" borderId="38" xfId="0" applyFont="1" applyBorder="1" applyAlignment="1">
      <alignment horizontal="left" vertical="center" wrapText="1"/>
    </xf>
    <xf numFmtId="0" fontId="9" fillId="0" borderId="37" xfId="0" applyFont="1" applyBorder="1" applyAlignment="1">
      <alignment horizontal="left" vertical="center" wrapText="1"/>
    </xf>
    <xf numFmtId="0" fontId="9" fillId="0" borderId="39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43" xfId="0" applyFont="1" applyBorder="1" applyAlignment="1">
      <alignment horizontal="left" vertical="center" wrapText="1"/>
    </xf>
    <xf numFmtId="0" fontId="9" fillId="0" borderId="63" xfId="0" applyFont="1" applyBorder="1" applyAlignment="1">
      <alignment horizontal="left" vertical="center" wrapText="1"/>
    </xf>
    <xf numFmtId="0" fontId="9" fillId="0" borderId="44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indent="1"/>
    </xf>
    <xf numFmtId="0" fontId="9" fillId="0" borderId="29" xfId="0" applyFont="1" applyBorder="1" applyAlignment="1">
      <alignment horizontal="left" vertical="center" indent="1"/>
    </xf>
    <xf numFmtId="0" fontId="9" fillId="0" borderId="43" xfId="0" applyFont="1" applyBorder="1" applyAlignment="1">
      <alignment horizontal="center" vertical="center" textRotation="90"/>
    </xf>
    <xf numFmtId="0" fontId="9" fillId="0" borderId="61" xfId="0" applyFont="1" applyBorder="1" applyAlignment="1">
      <alignment horizontal="center" vertical="center" textRotation="90"/>
    </xf>
    <xf numFmtId="0" fontId="9" fillId="0" borderId="4" xfId="0" applyFont="1" applyBorder="1" applyAlignment="1">
      <alignment horizontal="center" vertical="center" textRotation="90"/>
    </xf>
    <xf numFmtId="0" fontId="7" fillId="4" borderId="21" xfId="0" applyFont="1" applyFill="1" applyBorder="1" applyAlignment="1">
      <alignment horizontal="left" vertical="center" wrapText="1"/>
    </xf>
    <xf numFmtId="0" fontId="7" fillId="4" borderId="17" xfId="0" applyFont="1" applyFill="1" applyBorder="1" applyAlignment="1">
      <alignment horizontal="left" vertical="center" wrapText="1"/>
    </xf>
    <xf numFmtId="0" fontId="7" fillId="4" borderId="18" xfId="0" applyFont="1" applyFill="1" applyBorder="1" applyAlignment="1">
      <alignment horizontal="left" vertical="center" wrapText="1"/>
    </xf>
    <xf numFmtId="0" fontId="7" fillId="4" borderId="68" xfId="0" applyFont="1" applyFill="1" applyBorder="1" applyAlignment="1">
      <alignment horizontal="left" vertical="center" wrapText="1"/>
    </xf>
    <xf numFmtId="0" fontId="7" fillId="4" borderId="46" xfId="0" applyFont="1" applyFill="1" applyBorder="1" applyAlignment="1">
      <alignment horizontal="left" vertical="center" wrapText="1"/>
    </xf>
    <xf numFmtId="0" fontId="7" fillId="4" borderId="47" xfId="0" applyFont="1" applyFill="1" applyBorder="1" applyAlignment="1">
      <alignment horizontal="left" vertical="center" wrapText="1"/>
    </xf>
    <xf numFmtId="0" fontId="9" fillId="0" borderId="34" xfId="0" applyFont="1" applyBorder="1" applyAlignment="1">
      <alignment horizontal="left" vertical="center"/>
    </xf>
    <xf numFmtId="0" fontId="9" fillId="0" borderId="35" xfId="0" applyFont="1" applyBorder="1" applyAlignment="1">
      <alignment horizontal="left" vertical="center"/>
    </xf>
    <xf numFmtId="0" fontId="7" fillId="0" borderId="41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 wrapText="1"/>
    </xf>
    <xf numFmtId="0" fontId="10" fillId="0" borderId="51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10" fillId="0" borderId="55" xfId="0" applyFont="1" applyBorder="1" applyAlignment="1">
      <alignment horizontal="center" vertical="center" wrapText="1"/>
    </xf>
    <xf numFmtId="0" fontId="10" fillId="0" borderId="56" xfId="0" applyFont="1" applyBorder="1" applyAlignment="1">
      <alignment horizontal="center" vertical="center" wrapText="1"/>
    </xf>
    <xf numFmtId="0" fontId="10" fillId="0" borderId="57" xfId="0" applyFont="1" applyBorder="1" applyAlignment="1">
      <alignment horizontal="center" vertical="center" wrapText="1"/>
    </xf>
    <xf numFmtId="0" fontId="10" fillId="5" borderId="53" xfId="0" applyFont="1" applyFill="1" applyBorder="1" applyAlignment="1">
      <alignment vertical="center"/>
    </xf>
    <xf numFmtId="0" fontId="10" fillId="5" borderId="49" xfId="0" applyFont="1" applyFill="1" applyBorder="1" applyAlignment="1">
      <alignment vertical="center"/>
    </xf>
    <xf numFmtId="0" fontId="10" fillId="5" borderId="50" xfId="0" applyFont="1" applyFill="1" applyBorder="1" applyAlignment="1">
      <alignment vertical="center"/>
    </xf>
    <xf numFmtId="0" fontId="10" fillId="5" borderId="54" xfId="0" applyFont="1" applyFill="1" applyBorder="1" applyAlignment="1">
      <alignment vertical="center"/>
    </xf>
    <xf numFmtId="0" fontId="10" fillId="5" borderId="34" xfId="0" applyFont="1" applyFill="1" applyBorder="1" applyAlignment="1">
      <alignment vertical="center"/>
    </xf>
    <xf numFmtId="0" fontId="10" fillId="5" borderId="38" xfId="0" applyFont="1" applyFill="1" applyBorder="1" applyAlignment="1">
      <alignment vertical="center"/>
    </xf>
    <xf numFmtId="0" fontId="10" fillId="5" borderId="58" xfId="0" applyFont="1" applyFill="1" applyBorder="1" applyAlignment="1">
      <alignment vertical="center"/>
    </xf>
    <xf numFmtId="0" fontId="10" fillId="5" borderId="56" xfId="0" applyFont="1" applyFill="1" applyBorder="1" applyAlignment="1">
      <alignment vertical="center"/>
    </xf>
    <xf numFmtId="0" fontId="10" fillId="5" borderId="59" xfId="0" applyFont="1" applyFill="1" applyBorder="1" applyAlignment="1">
      <alignment vertical="center"/>
    </xf>
    <xf numFmtId="0" fontId="1" fillId="0" borderId="48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59" xfId="0" applyFont="1" applyBorder="1" applyAlignment="1">
      <alignment horizontal="center" vertical="center" wrapText="1"/>
    </xf>
    <xf numFmtId="0" fontId="10" fillId="5" borderId="48" xfId="0" applyFont="1" applyFill="1" applyBorder="1" applyAlignment="1">
      <alignment vertical="center"/>
    </xf>
    <xf numFmtId="0" fontId="10" fillId="5" borderId="51" xfId="0" applyFont="1" applyFill="1" applyBorder="1" applyAlignment="1">
      <alignment vertical="center"/>
    </xf>
    <xf numFmtId="0" fontId="10" fillId="5" borderId="33" xfId="0" applyFont="1" applyFill="1" applyBorder="1" applyAlignment="1">
      <alignment vertical="center"/>
    </xf>
    <xf numFmtId="0" fontId="10" fillId="5" borderId="35" xfId="0" applyFont="1" applyFill="1" applyBorder="1" applyAlignment="1">
      <alignment vertical="center"/>
    </xf>
    <xf numFmtId="0" fontId="10" fillId="5" borderId="55" xfId="0" applyFont="1" applyFill="1" applyBorder="1" applyAlignment="1">
      <alignment vertical="center"/>
    </xf>
    <xf numFmtId="0" fontId="10" fillId="5" borderId="57" xfId="0" applyFont="1" applyFill="1" applyBorder="1" applyAlignment="1">
      <alignment vertical="center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12" fillId="0" borderId="1" xfId="0" applyFont="1" applyBorder="1" applyAlignment="1">
      <alignment vertical="top"/>
    </xf>
    <xf numFmtId="0" fontId="12" fillId="0" borderId="2" xfId="0" applyFont="1" applyBorder="1" applyAlignment="1">
      <alignment vertical="top"/>
    </xf>
    <xf numFmtId="0" fontId="12" fillId="0" borderId="3" xfId="0" applyFont="1" applyBorder="1" applyAlignment="1">
      <alignment vertical="top"/>
    </xf>
    <xf numFmtId="0" fontId="7" fillId="0" borderId="1" xfId="0" applyFont="1" applyBorder="1" applyAlignment="1">
      <alignment horizontal="center" vertical="center" textRotation="90" wrapText="1"/>
    </xf>
    <xf numFmtId="0" fontId="7" fillId="0" borderId="3" xfId="0" applyFont="1" applyBorder="1" applyAlignment="1">
      <alignment horizontal="center" vertical="center" textRotation="90" wrapText="1"/>
    </xf>
    <xf numFmtId="0" fontId="7" fillId="0" borderId="4" xfId="0" applyFont="1" applyBorder="1" applyAlignment="1">
      <alignment horizontal="center" vertical="center" textRotation="90" wrapText="1"/>
    </xf>
    <xf numFmtId="0" fontId="7" fillId="0" borderId="5" xfId="0" applyFont="1" applyBorder="1" applyAlignment="1">
      <alignment horizontal="center" vertical="center" textRotation="90" wrapText="1"/>
    </xf>
    <xf numFmtId="0" fontId="7" fillId="0" borderId="13" xfId="0" applyFont="1" applyBorder="1" applyAlignment="1">
      <alignment horizontal="center" vertical="center" textRotation="90" wrapText="1"/>
    </xf>
    <xf numFmtId="0" fontId="7" fillId="0" borderId="15" xfId="0" applyFont="1" applyBorder="1" applyAlignment="1">
      <alignment horizontal="center" vertical="center" textRotation="90" wrapText="1"/>
    </xf>
    <xf numFmtId="0" fontId="7" fillId="0" borderId="1" xfId="0" applyFont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" xfId="0" applyFont="1" applyBorder="1" applyAlignment="1">
      <alignment vertical="top"/>
    </xf>
    <xf numFmtId="0" fontId="7" fillId="0" borderId="13" xfId="0" applyFont="1" applyBorder="1" applyAlignment="1" applyProtection="1">
      <alignment vertical="top"/>
      <protection locked="0"/>
    </xf>
    <xf numFmtId="0" fontId="7" fillId="0" borderId="14" xfId="0" applyFont="1" applyBorder="1" applyAlignment="1" applyProtection="1">
      <alignment vertical="top"/>
      <protection locked="0"/>
    </xf>
    <xf numFmtId="0" fontId="7" fillId="0" borderId="15" xfId="0" applyFont="1" applyBorder="1" applyAlignment="1" applyProtection="1">
      <alignment vertical="top"/>
      <protection locked="0"/>
    </xf>
    <xf numFmtId="0" fontId="7" fillId="0" borderId="1" xfId="0" applyFont="1" applyBorder="1" applyAlignment="1">
      <alignment horizontal="left" vertical="top"/>
    </xf>
    <xf numFmtId="0" fontId="7" fillId="0" borderId="3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/>
    </xf>
    <xf numFmtId="0" fontId="7" fillId="0" borderId="15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7" fillId="0" borderId="14" xfId="0" applyFont="1" applyBorder="1" applyAlignment="1">
      <alignment horizontal="left" vertical="top"/>
    </xf>
    <xf numFmtId="0" fontId="7" fillId="0" borderId="1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7" fillId="0" borderId="13" xfId="0" applyFont="1" applyBorder="1" applyAlignment="1">
      <alignment horizontal="center" vertical="top"/>
    </xf>
    <xf numFmtId="0" fontId="7" fillId="0" borderId="14" xfId="0" applyFont="1" applyBorder="1" applyAlignment="1">
      <alignment horizontal="center" vertical="top"/>
    </xf>
    <xf numFmtId="0" fontId="7" fillId="0" borderId="15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left"/>
    </xf>
    <xf numFmtId="0" fontId="1" fillId="2" borderId="2" xfId="0" quotePrefix="1" applyFont="1" applyFill="1" applyBorder="1" applyAlignment="1">
      <alignment horizontal="left"/>
    </xf>
    <xf numFmtId="0" fontId="1" fillId="2" borderId="3" xfId="0" quotePrefix="1" applyFont="1" applyFill="1" applyBorder="1" applyAlignment="1">
      <alignment horizontal="left"/>
    </xf>
    <xf numFmtId="0" fontId="1" fillId="2" borderId="6" xfId="0" quotePrefix="1" applyFont="1" applyFill="1" applyBorder="1" applyAlignment="1">
      <alignment horizontal="right"/>
    </xf>
    <xf numFmtId="0" fontId="1" fillId="2" borderId="7" xfId="0" quotePrefix="1" applyFont="1" applyFill="1" applyBorder="1" applyAlignment="1">
      <alignment horizontal="right"/>
    </xf>
    <xf numFmtId="0" fontId="1" fillId="2" borderId="8" xfId="0" quotePrefix="1" applyFont="1" applyFill="1" applyBorder="1" applyAlignment="1">
      <alignment horizontal="right"/>
    </xf>
    <xf numFmtId="0" fontId="6" fillId="0" borderId="4" xfId="0" applyFon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1" fillId="2" borderId="9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25" fillId="0" borderId="4" xfId="0" applyFont="1" applyBorder="1" applyAlignment="1" applyProtection="1">
      <alignment horizontal="center" vertical="top"/>
      <protection locked="0"/>
    </xf>
    <xf numFmtId="0" fontId="25" fillId="0" borderId="5" xfId="0" applyFont="1" applyBorder="1" applyAlignment="1" applyProtection="1">
      <alignment horizontal="center" vertical="top"/>
      <protection locked="0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5" fillId="0" borderId="4" xfId="0" applyFont="1" applyBorder="1" applyAlignment="1" applyProtection="1">
      <alignment horizontal="center" vertical="center"/>
      <protection locked="0"/>
    </xf>
    <xf numFmtId="0" fontId="25" fillId="0" borderId="5" xfId="0" applyFont="1" applyBorder="1" applyAlignment="1" applyProtection="1">
      <alignment horizontal="center" vertical="center"/>
      <protection locked="0"/>
    </xf>
    <xf numFmtId="0" fontId="25" fillId="0" borderId="13" xfId="0" applyFont="1" applyBorder="1" applyAlignment="1" applyProtection="1">
      <alignment horizontal="center" vertical="center"/>
      <protection locked="0"/>
    </xf>
    <xf numFmtId="0" fontId="25" fillId="0" borderId="15" xfId="0" applyFont="1" applyBorder="1" applyAlignment="1" applyProtection="1">
      <alignment horizontal="center" vertical="center"/>
      <protection locked="0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4" fillId="2" borderId="13" xfId="0" applyFont="1" applyFill="1" applyBorder="1" applyAlignment="1">
      <alignment horizontal="center"/>
    </xf>
    <xf numFmtId="0" fontId="24" fillId="2" borderId="14" xfId="0" applyFont="1" applyFill="1" applyBorder="1" applyAlignment="1">
      <alignment horizontal="center"/>
    </xf>
    <xf numFmtId="0" fontId="24" fillId="2" borderId="15" xfId="0" applyFont="1" applyFill="1" applyBorder="1" applyAlignment="1">
      <alignment horizontal="center"/>
    </xf>
    <xf numFmtId="0" fontId="9" fillId="0" borderId="35" xfId="0" applyFont="1" applyBorder="1" applyAlignment="1">
      <alignment horizontal="left" vertical="center" wrapText="1"/>
    </xf>
    <xf numFmtId="0" fontId="7" fillId="3" borderId="16" xfId="0" applyFont="1" applyFill="1" applyBorder="1" applyAlignment="1">
      <alignment horizontal="left" vertical="center" wrapText="1"/>
    </xf>
    <xf numFmtId="0" fontId="7" fillId="3" borderId="17" xfId="0" applyFont="1" applyFill="1" applyBorder="1" applyAlignment="1">
      <alignment horizontal="left" vertical="center" wrapText="1"/>
    </xf>
    <xf numFmtId="0" fontId="7" fillId="3" borderId="70" xfId="0" applyFont="1" applyFill="1" applyBorder="1" applyAlignment="1">
      <alignment horizontal="left"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7" fillId="3" borderId="22" xfId="0" applyFont="1" applyFill="1" applyBorder="1" applyAlignment="1">
      <alignment horizontal="left" vertical="center" wrapText="1"/>
    </xf>
    <xf numFmtId="0" fontId="7" fillId="3" borderId="23" xfId="0" applyFont="1" applyFill="1" applyBorder="1" applyAlignment="1">
      <alignment horizontal="left" vertical="center" wrapText="1"/>
    </xf>
    <xf numFmtId="0" fontId="7" fillId="3" borderId="18" xfId="0" applyFont="1" applyFill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/>
    </xf>
    <xf numFmtId="0" fontId="9" fillId="0" borderId="29" xfId="0" applyFont="1" applyBorder="1" applyAlignment="1">
      <alignment horizontal="left" vertical="center"/>
    </xf>
    <xf numFmtId="0" fontId="7" fillId="3" borderId="24" xfId="0" applyFont="1" applyFill="1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9" fillId="0" borderId="34" xfId="0" applyFont="1" applyBorder="1" applyAlignment="1">
      <alignment horizontal="left" vertical="center" indent="1"/>
    </xf>
    <xf numFmtId="0" fontId="9" fillId="0" borderId="35" xfId="0" applyFont="1" applyBorder="1" applyAlignment="1">
      <alignment horizontal="left" vertical="center" indent="1"/>
    </xf>
    <xf numFmtId="0" fontId="7" fillId="0" borderId="34" xfId="0" applyFont="1" applyBorder="1" applyAlignment="1">
      <alignment horizontal="left" vertical="center" wrapText="1"/>
    </xf>
    <xf numFmtId="0" fontId="7" fillId="0" borderId="35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textRotation="90"/>
    </xf>
    <xf numFmtId="0" fontId="9" fillId="0" borderId="3" xfId="0" applyFont="1" applyBorder="1" applyAlignment="1">
      <alignment horizontal="center" vertical="center" textRotation="90"/>
    </xf>
    <xf numFmtId="0" fontId="9" fillId="0" borderId="5" xfId="0" applyFont="1" applyBorder="1" applyAlignment="1">
      <alignment horizontal="center" vertical="center" textRotation="90"/>
    </xf>
    <xf numFmtId="0" fontId="9" fillId="0" borderId="13" xfId="0" applyFont="1" applyBorder="1" applyAlignment="1">
      <alignment horizontal="center" vertical="center" textRotation="90"/>
    </xf>
    <xf numFmtId="0" fontId="9" fillId="0" borderId="14" xfId="0" applyFont="1" applyBorder="1" applyAlignment="1">
      <alignment horizontal="center" vertical="center" textRotation="90"/>
    </xf>
    <xf numFmtId="0" fontId="9" fillId="0" borderId="15" xfId="0" applyFont="1" applyBorder="1" applyAlignment="1">
      <alignment horizontal="center" vertical="center" textRotation="90"/>
    </xf>
    <xf numFmtId="0" fontId="7" fillId="0" borderId="27" xfId="0" applyFont="1" applyBorder="1" applyAlignment="1">
      <alignment horizontal="left" vertical="top" wrapText="1"/>
    </xf>
    <xf numFmtId="0" fontId="7" fillId="0" borderId="28" xfId="0" applyFont="1" applyBorder="1" applyAlignment="1">
      <alignment horizontal="left" vertical="top" wrapText="1"/>
    </xf>
    <xf numFmtId="0" fontId="7" fillId="0" borderId="29" xfId="0" applyFont="1" applyBorder="1" applyAlignment="1">
      <alignment horizontal="left" vertical="top" wrapText="1"/>
    </xf>
    <xf numFmtId="0" fontId="7" fillId="0" borderId="42" xfId="0" applyFont="1" applyBorder="1" applyAlignment="1">
      <alignment horizontal="left" vertical="top" wrapText="1"/>
    </xf>
    <xf numFmtId="0" fontId="7" fillId="0" borderId="61" xfId="0" applyFont="1" applyBorder="1" applyAlignment="1">
      <alignment horizontal="left" vertical="top" wrapText="1"/>
    </xf>
    <xf numFmtId="0" fontId="7" fillId="0" borderId="62" xfId="0" applyFont="1" applyBorder="1" applyAlignment="1">
      <alignment horizontal="left" vertical="top" wrapText="1"/>
    </xf>
    <xf numFmtId="0" fontId="7" fillId="0" borderId="55" xfId="0" applyFont="1" applyBorder="1" applyAlignment="1">
      <alignment horizontal="left" vertical="top" wrapText="1"/>
    </xf>
    <xf numFmtId="0" fontId="7" fillId="0" borderId="56" xfId="0" applyFont="1" applyBorder="1" applyAlignment="1">
      <alignment horizontal="left" vertical="top" wrapText="1"/>
    </xf>
    <xf numFmtId="0" fontId="7" fillId="0" borderId="57" xfId="0" applyFont="1" applyBorder="1" applyAlignment="1">
      <alignment horizontal="left" vertical="top" wrapText="1"/>
    </xf>
    <xf numFmtId="0" fontId="7" fillId="5" borderId="4" xfId="0" applyFont="1" applyFill="1" applyBorder="1" applyAlignment="1">
      <alignment horizontal="center" vertical="top"/>
    </xf>
    <xf numFmtId="0" fontId="7" fillId="5" borderId="0" xfId="0" applyFont="1" applyFill="1" applyAlignment="1">
      <alignment horizontal="center" vertical="top"/>
    </xf>
    <xf numFmtId="0" fontId="7" fillId="5" borderId="5" xfId="0" applyFont="1" applyFill="1" applyBorder="1" applyAlignment="1">
      <alignment horizontal="center" vertical="top"/>
    </xf>
    <xf numFmtId="0" fontId="9" fillId="2" borderId="4" xfId="0" applyFont="1" applyFill="1" applyBorder="1"/>
    <xf numFmtId="0" fontId="9" fillId="2" borderId="5" xfId="0" applyFont="1" applyFill="1" applyBorder="1"/>
    <xf numFmtId="0" fontId="9" fillId="2" borderId="13" xfId="0" applyFont="1" applyFill="1" applyBorder="1"/>
    <xf numFmtId="0" fontId="9" fillId="2" borderId="15" xfId="0" applyFont="1" applyFill="1" applyBorder="1"/>
    <xf numFmtId="0" fontId="9" fillId="2" borderId="4" xfId="0" applyFont="1" applyFill="1" applyBorder="1" applyAlignment="1">
      <alignment horizontal="left" vertical="justify" wrapText="1"/>
    </xf>
    <xf numFmtId="0" fontId="9" fillId="2" borderId="0" xfId="0" applyFont="1" applyFill="1" applyAlignment="1">
      <alignment horizontal="left" vertical="justify" wrapText="1"/>
    </xf>
    <xf numFmtId="0" fontId="9" fillId="2" borderId="5" xfId="0" applyFont="1" applyFill="1" applyBorder="1" applyAlignment="1">
      <alignment horizontal="left" vertical="justify" wrapText="1"/>
    </xf>
    <xf numFmtId="0" fontId="7" fillId="5" borderId="7" xfId="0" applyFont="1" applyFill="1" applyBorder="1" applyAlignment="1" applyProtection="1">
      <alignment horizontal="center" vertical="top"/>
      <protection locked="0"/>
    </xf>
    <xf numFmtId="0" fontId="9" fillId="2" borderId="4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0" fontId="9" fillId="2" borderId="14" xfId="0" applyFont="1" applyFill="1" applyBorder="1" applyAlignment="1">
      <alignment horizontal="center"/>
    </xf>
    <xf numFmtId="0" fontId="9" fillId="2" borderId="15" xfId="0" applyFont="1" applyFill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4" xfId="0" applyFont="1" applyBorder="1" applyAlignment="1" applyProtection="1">
      <alignment horizontal="center" vertical="center" wrapText="1"/>
      <protection locked="0"/>
    </xf>
    <xf numFmtId="0" fontId="7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8" borderId="66" xfId="0" applyFont="1" applyFill="1" applyBorder="1" applyAlignment="1">
      <alignment horizontal="center" vertical="center" wrapText="1"/>
    </xf>
    <xf numFmtId="0" fontId="7" fillId="8" borderId="19" xfId="0" applyFont="1" applyFill="1" applyBorder="1" applyAlignment="1">
      <alignment horizontal="center" vertical="center" wrapText="1"/>
    </xf>
    <xf numFmtId="0" fontId="7" fillId="8" borderId="67" xfId="0" applyFont="1" applyFill="1" applyBorder="1" applyAlignment="1">
      <alignment horizontal="center" vertical="center" wrapText="1"/>
    </xf>
    <xf numFmtId="0" fontId="7" fillId="6" borderId="66" xfId="0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/>
    </xf>
    <xf numFmtId="0" fontId="7" fillId="6" borderId="67" xfId="0" applyFont="1" applyFill="1" applyBorder="1" applyAlignment="1">
      <alignment horizontal="center" vertical="center"/>
    </xf>
    <xf numFmtId="0" fontId="0" fillId="0" borderId="7" xfId="0" applyBorder="1" applyAlignment="1">
      <alignment vertical="top" wrapText="1"/>
    </xf>
    <xf numFmtId="0" fontId="0" fillId="0" borderId="63" xfId="0" applyBorder="1" applyAlignment="1" applyProtection="1">
      <alignment horizontal="left" vertical="top" wrapText="1"/>
      <protection locked="0"/>
    </xf>
    <xf numFmtId="0" fontId="0" fillId="0" borderId="10" xfId="0" applyBorder="1" applyAlignment="1" applyProtection="1">
      <alignment horizontal="left" vertical="top" wrapText="1"/>
      <protection locked="0"/>
    </xf>
    <xf numFmtId="0" fontId="0" fillId="0" borderId="64" xfId="0" applyBorder="1" applyAlignment="1" applyProtection="1">
      <alignment horizontal="left" vertical="top" wrapText="1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0" fillId="0" borderId="65" xfId="0" applyBorder="1" applyAlignment="1" applyProtection="1">
      <alignment horizontal="left" vertical="top" wrapText="1"/>
      <protection locked="0"/>
    </xf>
    <xf numFmtId="0" fontId="0" fillId="0" borderId="6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7" fillId="0" borderId="52" xfId="0" applyFont="1" applyBorder="1" applyAlignment="1">
      <alignment horizontal="center" vertical="center" wrapText="1"/>
    </xf>
    <xf numFmtId="0" fontId="7" fillId="0" borderId="60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35" fillId="0" borderId="66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0" fontId="35" fillId="0" borderId="67" xfId="0" applyFont="1" applyBorder="1" applyAlignment="1">
      <alignment horizontal="center" vertical="center"/>
    </xf>
    <xf numFmtId="0" fontId="19" fillId="0" borderId="13" xfId="1" applyFont="1" applyBorder="1" applyAlignment="1">
      <alignment horizontal="left" wrapText="1"/>
    </xf>
    <xf numFmtId="0" fontId="19" fillId="0" borderId="14" xfId="1" applyFont="1" applyBorder="1" applyAlignment="1">
      <alignment horizontal="left" wrapText="1"/>
    </xf>
    <xf numFmtId="0" fontId="14" fillId="0" borderId="66" xfId="1" applyFont="1" applyBorder="1" applyAlignment="1">
      <alignment horizontal="left"/>
    </xf>
    <xf numFmtId="0" fontId="14" fillId="0" borderId="67" xfId="1" applyFont="1" applyBorder="1" applyAlignment="1">
      <alignment horizontal="left"/>
    </xf>
    <xf numFmtId="0" fontId="9" fillId="0" borderId="66" xfId="0" applyFont="1" applyBorder="1" applyAlignment="1">
      <alignment horizontal="left"/>
    </xf>
    <xf numFmtId="0" fontId="9" fillId="0" borderId="19" xfId="0" applyFont="1" applyBorder="1" applyAlignment="1">
      <alignment horizontal="left"/>
    </xf>
    <xf numFmtId="0" fontId="9" fillId="0" borderId="67" xfId="0" applyFont="1" applyBorder="1" applyAlignment="1">
      <alignment horizontal="left"/>
    </xf>
    <xf numFmtId="0" fontId="0" fillId="0" borderId="66" xfId="0" applyBorder="1" applyAlignment="1">
      <alignment horizontal="left"/>
    </xf>
    <xf numFmtId="0" fontId="0" fillId="0" borderId="67" xfId="0" applyBorder="1" applyAlignment="1">
      <alignment horizontal="left"/>
    </xf>
    <xf numFmtId="0" fontId="15" fillId="0" borderId="1" xfId="1" applyFont="1" applyBorder="1" applyAlignment="1">
      <alignment horizontal="left" vertical="top" wrapText="1"/>
    </xf>
    <xf numFmtId="0" fontId="15" fillId="0" borderId="2" xfId="1" applyFont="1" applyBorder="1" applyAlignment="1">
      <alignment horizontal="left" vertical="top" wrapText="1"/>
    </xf>
    <xf numFmtId="0" fontId="15" fillId="0" borderId="3" xfId="1" applyFont="1" applyBorder="1" applyAlignment="1">
      <alignment horizontal="left" vertical="top" wrapText="1"/>
    </xf>
    <xf numFmtId="0" fontId="15" fillId="0" borderId="13" xfId="1" applyFont="1" applyBorder="1" applyAlignment="1">
      <alignment horizontal="left" vertical="top" wrapText="1"/>
    </xf>
    <xf numFmtId="0" fontId="15" fillId="0" borderId="14" xfId="1" applyFont="1" applyBorder="1" applyAlignment="1">
      <alignment horizontal="left" vertical="top" wrapText="1"/>
    </xf>
    <xf numFmtId="0" fontId="15" fillId="0" borderId="15" xfId="1" applyFont="1" applyBorder="1" applyAlignment="1">
      <alignment horizontal="left" vertical="top" wrapText="1"/>
    </xf>
    <xf numFmtId="0" fontId="36" fillId="0" borderId="0" xfId="0" applyFont="1" applyAlignment="1">
      <alignment horizontal="left"/>
    </xf>
    <xf numFmtId="0" fontId="7" fillId="0" borderId="51" xfId="2" applyFont="1" applyBorder="1" applyAlignment="1">
      <alignment horizontal="center" vertical="top" wrapText="1"/>
    </xf>
    <xf numFmtId="0" fontId="7" fillId="0" borderId="35" xfId="2" applyFont="1" applyBorder="1" applyAlignment="1">
      <alignment horizontal="center" vertical="top" wrapText="1"/>
    </xf>
    <xf numFmtId="17" fontId="29" fillId="0" borderId="1" xfId="0" applyNumberFormat="1" applyFont="1" applyBorder="1" applyAlignment="1" applyProtection="1">
      <alignment horizontal="justify"/>
      <protection locked="0"/>
    </xf>
    <xf numFmtId="0" fontId="29" fillId="0" borderId="2" xfId="0" applyFont="1" applyBorder="1" applyAlignment="1" applyProtection="1">
      <alignment horizontal="justify"/>
      <protection locked="0"/>
    </xf>
    <xf numFmtId="0" fontId="19" fillId="0" borderId="48" xfId="0" applyFont="1" applyBorder="1" applyAlignment="1">
      <alignment horizontal="center" vertical="center" wrapText="1"/>
    </xf>
    <xf numFmtId="0" fontId="19" fillId="0" borderId="33" xfId="0" applyFont="1" applyBorder="1" applyAlignment="1">
      <alignment horizontal="center" vertical="center" wrapText="1"/>
    </xf>
    <xf numFmtId="0" fontId="7" fillId="0" borderId="49" xfId="2" applyFont="1" applyBorder="1" applyAlignment="1">
      <alignment horizontal="center" vertical="center"/>
    </xf>
    <xf numFmtId="0" fontId="7" fillId="0" borderId="34" xfId="2" applyFont="1" applyBorder="1" applyAlignment="1">
      <alignment horizontal="center" vertical="center"/>
    </xf>
    <xf numFmtId="0" fontId="7" fillId="0" borderId="49" xfId="2" applyFont="1" applyBorder="1" applyAlignment="1">
      <alignment horizontal="center" vertical="center" wrapText="1"/>
    </xf>
    <xf numFmtId="0" fontId="7" fillId="0" borderId="34" xfId="2" applyFont="1" applyBorder="1" applyAlignment="1">
      <alignment horizontal="center" vertical="center" wrapText="1"/>
    </xf>
    <xf numFmtId="0" fontId="7" fillId="0" borderId="4" xfId="0" applyFont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 applyProtection="1">
      <alignment horizontal="left" vertical="top" wrapText="1"/>
      <protection locked="0"/>
    </xf>
    <xf numFmtId="0" fontId="0" fillId="0" borderId="11" xfId="0" applyBorder="1" applyAlignment="1" applyProtection="1">
      <alignment horizontal="left" vertical="top" wrapText="1"/>
      <protection locked="0"/>
    </xf>
    <xf numFmtId="0" fontId="0" fillId="0" borderId="4" xfId="0" applyBorder="1" applyAlignment="1" applyProtection="1">
      <alignment horizontal="left" vertical="top" wrapText="1"/>
      <protection locked="0"/>
    </xf>
    <xf numFmtId="0" fontId="0" fillId="0" borderId="0" xfId="0" applyBorder="1" applyAlignment="1" applyProtection="1">
      <alignment horizontal="left" vertical="top" wrapText="1"/>
      <protection locked="0"/>
    </xf>
    <xf numFmtId="0" fontId="0" fillId="0" borderId="0" xfId="0" applyBorder="1" applyAlignment="1">
      <alignment horizontal="center" vertical="center" wrapText="1"/>
    </xf>
    <xf numFmtId="0" fontId="0" fillId="0" borderId="5" xfId="0" applyBorder="1" applyAlignment="1" applyProtection="1">
      <alignment horizontal="left" vertical="top" wrapText="1"/>
      <protection locked="0"/>
    </xf>
    <xf numFmtId="0" fontId="0" fillId="0" borderId="13" xfId="0" applyBorder="1" applyAlignment="1" applyProtection="1">
      <alignment horizontal="left" vertical="top" wrapText="1"/>
      <protection locked="0"/>
    </xf>
    <xf numFmtId="0" fontId="0" fillId="0" borderId="14" xfId="0" applyBorder="1" applyAlignment="1" applyProtection="1">
      <alignment horizontal="left" vertical="top" wrapText="1"/>
      <protection locked="0"/>
    </xf>
    <xf numFmtId="0" fontId="0" fillId="0" borderId="26" xfId="0" applyBorder="1" applyAlignment="1" applyProtection="1">
      <alignment horizontal="left" vertical="top" wrapText="1"/>
      <protection locked="0"/>
    </xf>
    <xf numFmtId="0" fontId="0" fillId="0" borderId="7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71" xfId="0" applyBorder="1" applyAlignment="1" applyProtection="1">
      <alignment horizontal="left" vertical="top" wrapText="1"/>
      <protection locked="0"/>
    </xf>
    <xf numFmtId="0" fontId="0" fillId="0" borderId="15" xfId="0" applyBorder="1" applyAlignment="1" applyProtection="1">
      <alignment horizontal="left" vertical="top" wrapText="1"/>
      <protection locked="0"/>
    </xf>
  </cellXfs>
  <cellStyles count="3">
    <cellStyle name="Normal" xfId="0" builtinId="0"/>
    <cellStyle name="Normal 2" xfId="2" xr:uid="{00000000-0005-0000-0000-000001000000}"/>
    <cellStyle name="Normal_Hoja1" xfId="1" xr:uid="{00000000-0005-0000-0000-000003000000}"/>
  </cellStyles>
  <dxfs count="11">
    <dxf>
      <font>
        <color rgb="FF9C0006"/>
      </font>
      <fill>
        <patternFill>
          <bgColor rgb="FFFFC7CE"/>
        </patternFill>
      </fill>
    </dxf>
    <dxf>
      <border>
        <bottom style="dashDotDot">
          <color auto="1"/>
        </bottom>
        <vertical/>
        <horizontal/>
      </border>
    </dxf>
    <dxf>
      <border>
        <bottom style="dashDotDot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47625</xdr:colOff>
          <xdr:row>1</xdr:row>
          <xdr:rowOff>47625</xdr:rowOff>
        </xdr:from>
        <xdr:to>
          <xdr:col>6</xdr:col>
          <xdr:colOff>266700</xdr:colOff>
          <xdr:row>5</xdr:row>
          <xdr:rowOff>85725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RHumano\Escritorio\Actualizado%20Modelos%20Mayo%20241-RTS%202023\Trabajado%20SONGO%20LA%20MAYA%20Mayo%20Final%20Modelo%20241-Plantilla-RTS%20(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o241"/>
      <sheetName val="RTS"/>
      <sheetName val="TablaComparativa"/>
      <sheetName val="Anexo 1"/>
      <sheetName val="Anexo 2"/>
      <sheetName val="Unidades"/>
      <sheetName val="TipoUdad"/>
    </sheetNames>
    <sheetDataSet>
      <sheetData sheetId="0">
        <row r="2">
          <cell r="BJ2" t="str">
            <v>Artemisa</v>
          </cell>
        </row>
        <row r="3">
          <cell r="BJ3" t="str">
            <v>Camaguey</v>
          </cell>
        </row>
        <row r="4">
          <cell r="BJ4" t="str">
            <v>Ciego de Avila</v>
          </cell>
        </row>
        <row r="5">
          <cell r="BJ5" t="str">
            <v>Cienfuegos</v>
          </cell>
        </row>
        <row r="6">
          <cell r="BJ6" t="str">
            <v>Granma</v>
          </cell>
        </row>
        <row r="7">
          <cell r="BJ7" t="str">
            <v>Guantánamo</v>
          </cell>
        </row>
        <row r="8">
          <cell r="BJ8" t="str">
            <v>Holguín</v>
          </cell>
          <cell r="BT8" t="str">
            <v>Modelo241!$BP$150:$BP$158</v>
          </cell>
        </row>
        <row r="9">
          <cell r="BJ9" t="str">
            <v>Isla de la Juventud</v>
          </cell>
        </row>
        <row r="10">
          <cell r="BJ10" t="str">
            <v>La Habana</v>
          </cell>
        </row>
        <row r="11">
          <cell r="BJ11" t="str">
            <v>Las Tunas</v>
          </cell>
        </row>
        <row r="12">
          <cell r="BJ12" t="str">
            <v>Matanzas</v>
          </cell>
        </row>
        <row r="13">
          <cell r="BJ13" t="str">
            <v>Mayabeque</v>
          </cell>
        </row>
        <row r="14">
          <cell r="BJ14" t="str">
            <v>Pinar del Río</v>
          </cell>
        </row>
        <row r="15">
          <cell r="BJ15" t="str">
            <v>Sancti Spiritus</v>
          </cell>
        </row>
        <row r="16">
          <cell r="BJ16" t="str">
            <v>Santiago de Cuba</v>
          </cell>
        </row>
        <row r="17">
          <cell r="BJ17" t="str">
            <v>Villa Clara</v>
          </cell>
        </row>
      </sheetData>
      <sheetData sheetId="1">
        <row r="1">
          <cell r="C1" t="str">
            <v>Nombre y Apellidos</v>
          </cell>
          <cell r="E1" t="str">
            <v>Sexo</v>
          </cell>
          <cell r="F1" t="str">
            <v>Color de la Piel</v>
          </cell>
          <cell r="K1" t="str">
            <v>Cat.Ocup.</v>
          </cell>
          <cell r="L1" t="str">
            <v>RTS</v>
          </cell>
          <cell r="M1" t="str">
            <v>Especialidad o Perfil</v>
          </cell>
          <cell r="O1" t="str">
            <v>Profesión</v>
          </cell>
        </row>
        <row r="2">
          <cell r="C2" t="str">
            <v>Greisy Delgado Carrión</v>
          </cell>
          <cell r="E2" t="str">
            <v>F</v>
          </cell>
          <cell r="F2" t="str">
            <v>mestiza</v>
          </cell>
          <cell r="K2" t="str">
            <v>Servicio</v>
          </cell>
          <cell r="L2" t="str">
            <v>Si</v>
          </cell>
          <cell r="O2" t="str">
            <v>Otros No Técnicos</v>
          </cell>
        </row>
        <row r="3">
          <cell r="C3" t="str">
            <v>Amarilis Medina Cardero</v>
          </cell>
          <cell r="E3" t="str">
            <v>F</v>
          </cell>
          <cell r="F3" t="str">
            <v>mestiza</v>
          </cell>
          <cell r="K3" t="str">
            <v>Técnico Superior</v>
          </cell>
          <cell r="L3" t="str">
            <v>Si</v>
          </cell>
          <cell r="O3" t="str">
            <v>Lic. en Tecnología de la Salud</v>
          </cell>
        </row>
        <row r="4">
          <cell r="C4" t="str">
            <v>Marileysi Castillo  Gonzalez</v>
          </cell>
          <cell r="E4" t="str">
            <v>F</v>
          </cell>
          <cell r="F4" t="str">
            <v>negra</v>
          </cell>
          <cell r="K4" t="str">
            <v>Servicio</v>
          </cell>
          <cell r="L4" t="str">
            <v>Si</v>
          </cell>
          <cell r="O4" t="str">
            <v>Otros No Técnicos</v>
          </cell>
        </row>
        <row r="5">
          <cell r="C5" t="str">
            <v>Adrian Centray David</v>
          </cell>
          <cell r="E5" t="str">
            <v>M</v>
          </cell>
          <cell r="F5" t="str">
            <v>Negra</v>
          </cell>
          <cell r="K5" t="str">
            <v>Operario</v>
          </cell>
          <cell r="L5" t="str">
            <v>No</v>
          </cell>
          <cell r="O5" t="str">
            <v>Otros No Técnicos</v>
          </cell>
        </row>
        <row r="6">
          <cell r="C6" t="str">
            <v>Iliana Virtudes Mayeta Santos</v>
          </cell>
          <cell r="E6" t="str">
            <v>F</v>
          </cell>
          <cell r="F6" t="str">
            <v>mestiza</v>
          </cell>
          <cell r="K6" t="str">
            <v>Operario</v>
          </cell>
          <cell r="L6" t="str">
            <v>No</v>
          </cell>
          <cell r="O6" t="str">
            <v>Otros No Técnicos</v>
          </cell>
        </row>
        <row r="7">
          <cell r="C7" t="str">
            <v>Daily Planche Deliz</v>
          </cell>
          <cell r="E7" t="str">
            <v>F</v>
          </cell>
          <cell r="F7" t="str">
            <v>negra</v>
          </cell>
          <cell r="K7" t="str">
            <v>Servicio</v>
          </cell>
          <cell r="L7" t="str">
            <v>No</v>
          </cell>
          <cell r="O7" t="str">
            <v>Otros No Técnicos</v>
          </cell>
        </row>
        <row r="8">
          <cell r="C8" t="str">
            <v>Albis María Almenares Plutin</v>
          </cell>
          <cell r="E8" t="str">
            <v>F</v>
          </cell>
          <cell r="F8" t="str">
            <v>mestiza</v>
          </cell>
          <cell r="K8" t="str">
            <v>Técnico Superior</v>
          </cell>
          <cell r="L8" t="str">
            <v>Si</v>
          </cell>
          <cell r="O8" t="str">
            <v>Lic. en Tecnología de la Salud</v>
          </cell>
        </row>
        <row r="9">
          <cell r="C9" t="str">
            <v>Annias Mojena Castillo</v>
          </cell>
          <cell r="E9" t="str">
            <v>F</v>
          </cell>
          <cell r="F9" t="str">
            <v>mestiza</v>
          </cell>
          <cell r="K9" t="str">
            <v>Técnico Superior</v>
          </cell>
          <cell r="L9" t="str">
            <v>Si</v>
          </cell>
          <cell r="O9" t="str">
            <v>Lic. en Tecnología de la Salud</v>
          </cell>
        </row>
        <row r="10">
          <cell r="C10" t="str">
            <v>Caridad De Lourdes Suarez Gonzales</v>
          </cell>
          <cell r="E10" t="str">
            <v>F</v>
          </cell>
          <cell r="F10" t="str">
            <v>blanca</v>
          </cell>
          <cell r="K10" t="str">
            <v>Técnico Superior</v>
          </cell>
          <cell r="L10" t="str">
            <v>Si</v>
          </cell>
          <cell r="O10" t="str">
            <v>Lic. en Tecnología de la Salud</v>
          </cell>
        </row>
        <row r="11">
          <cell r="C11" t="str">
            <v>Carlos Felix Limonta Vinent</v>
          </cell>
          <cell r="E11" t="str">
            <v>M</v>
          </cell>
          <cell r="F11" t="str">
            <v>mestiza</v>
          </cell>
          <cell r="K11" t="str">
            <v>Técnico Superior</v>
          </cell>
          <cell r="L11" t="str">
            <v>Si</v>
          </cell>
          <cell r="O11" t="str">
            <v>Lic. en Tecnología de la Salud</v>
          </cell>
        </row>
        <row r="12">
          <cell r="C12" t="str">
            <v>Dayana Prieto Sanchez</v>
          </cell>
          <cell r="E12" t="str">
            <v>F</v>
          </cell>
          <cell r="F12" t="str">
            <v>mestiza</v>
          </cell>
          <cell r="K12" t="str">
            <v>Técnico Superior</v>
          </cell>
          <cell r="L12" t="str">
            <v>Si</v>
          </cell>
          <cell r="O12" t="str">
            <v>Lic. en Tecnología de la Salud</v>
          </cell>
        </row>
        <row r="13">
          <cell r="C13" t="str">
            <v>Delfina Guerra Gonzalez</v>
          </cell>
          <cell r="E13" t="str">
            <v>F</v>
          </cell>
          <cell r="F13" t="str">
            <v>mestiza</v>
          </cell>
          <cell r="K13" t="str">
            <v>Técnico Superior</v>
          </cell>
          <cell r="L13" t="str">
            <v>Si</v>
          </cell>
          <cell r="O13" t="str">
            <v>Lic. en Tecnología de la Salud</v>
          </cell>
        </row>
        <row r="14">
          <cell r="C14" t="str">
            <v>Esmerio Cala Lahera</v>
          </cell>
          <cell r="E14" t="str">
            <v>M</v>
          </cell>
          <cell r="F14" t="str">
            <v>mestiza</v>
          </cell>
          <cell r="K14" t="str">
            <v>Cuadro</v>
          </cell>
          <cell r="L14" t="str">
            <v>Si</v>
          </cell>
          <cell r="O14" t="str">
            <v>Lic. en Tecnología de la Salud</v>
          </cell>
        </row>
        <row r="15">
          <cell r="C15" t="str">
            <v>Genni Reñe Oliva</v>
          </cell>
          <cell r="E15" t="str">
            <v>F</v>
          </cell>
          <cell r="F15" t="str">
            <v>mestiza</v>
          </cell>
          <cell r="K15" t="str">
            <v>Técnico Superior</v>
          </cell>
          <cell r="L15" t="str">
            <v>Si</v>
          </cell>
          <cell r="O15" t="str">
            <v>Lic. en Tecnología de la Salud</v>
          </cell>
        </row>
        <row r="16">
          <cell r="C16" t="str">
            <v>Hermes Martinez Quintero</v>
          </cell>
          <cell r="E16" t="str">
            <v>M</v>
          </cell>
          <cell r="F16" t="str">
            <v>mestiza</v>
          </cell>
          <cell r="K16" t="str">
            <v>Técnico Superior</v>
          </cell>
          <cell r="L16" t="str">
            <v>Si</v>
          </cell>
          <cell r="O16" t="str">
            <v>Lic. en Tecnología de la Salud</v>
          </cell>
        </row>
        <row r="17">
          <cell r="C17" t="str">
            <v>Joaquin Martinez Planas</v>
          </cell>
          <cell r="E17" t="str">
            <v>M</v>
          </cell>
          <cell r="F17" t="str">
            <v>negra</v>
          </cell>
          <cell r="K17" t="str">
            <v>Cuadro</v>
          </cell>
          <cell r="L17" t="str">
            <v>Si</v>
          </cell>
          <cell r="O17" t="str">
            <v>Lic. en Tecnología de la Salud</v>
          </cell>
        </row>
        <row r="18">
          <cell r="C18" t="str">
            <v>Jose Mario Vispo Torrez</v>
          </cell>
          <cell r="E18" t="str">
            <v>M</v>
          </cell>
          <cell r="F18" t="str">
            <v>blanca</v>
          </cell>
          <cell r="K18" t="str">
            <v>Técnico Superior</v>
          </cell>
          <cell r="L18" t="str">
            <v>Si</v>
          </cell>
          <cell r="O18" t="str">
            <v>Lic. en Tecnología de la Salud</v>
          </cell>
        </row>
        <row r="19">
          <cell r="C19" t="str">
            <v>Juana Ibis Riquelme Terazon</v>
          </cell>
          <cell r="E19" t="str">
            <v>F</v>
          </cell>
          <cell r="F19" t="str">
            <v>negra</v>
          </cell>
          <cell r="K19" t="str">
            <v>Técnico Superior</v>
          </cell>
          <cell r="L19" t="str">
            <v>Si</v>
          </cell>
          <cell r="O19" t="str">
            <v>Lic. en Tecnología de la Salud</v>
          </cell>
        </row>
        <row r="20">
          <cell r="C20" t="str">
            <v>Katerine Veranes Del Río</v>
          </cell>
          <cell r="E20" t="str">
            <v>F</v>
          </cell>
          <cell r="F20" t="str">
            <v>negra</v>
          </cell>
          <cell r="K20" t="str">
            <v>Técnico Superior</v>
          </cell>
          <cell r="L20" t="str">
            <v>Si</v>
          </cell>
          <cell r="O20" t="str">
            <v>Lic. en Tecnología de la Salud</v>
          </cell>
        </row>
        <row r="21">
          <cell r="C21" t="str">
            <v>Kenia Godinez Moreno</v>
          </cell>
          <cell r="E21" t="str">
            <v>F</v>
          </cell>
          <cell r="F21" t="str">
            <v>mestiza</v>
          </cell>
          <cell r="K21" t="str">
            <v>Técnico Superior</v>
          </cell>
          <cell r="L21" t="str">
            <v>Si</v>
          </cell>
          <cell r="O21" t="str">
            <v>Lic. en Tecnología de la Salud</v>
          </cell>
        </row>
        <row r="22">
          <cell r="C22" t="str">
            <v>Leudis Carrion Gomez</v>
          </cell>
          <cell r="E22" t="str">
            <v>M</v>
          </cell>
          <cell r="F22" t="str">
            <v>blanca</v>
          </cell>
          <cell r="K22" t="str">
            <v>Cuadro</v>
          </cell>
          <cell r="L22" t="str">
            <v>Si</v>
          </cell>
          <cell r="O22" t="str">
            <v>Lic. en Tecnología de la Salud</v>
          </cell>
        </row>
        <row r="23">
          <cell r="C23" t="str">
            <v>Licelis  Beatriz Pacheco Aliaga</v>
          </cell>
          <cell r="E23" t="str">
            <v>F</v>
          </cell>
          <cell r="F23" t="str">
            <v>blanca</v>
          </cell>
          <cell r="K23" t="str">
            <v>Técnico Superior</v>
          </cell>
          <cell r="L23" t="str">
            <v>Si</v>
          </cell>
          <cell r="O23" t="str">
            <v>Lic. en Tecnología de la Salud</v>
          </cell>
        </row>
        <row r="24">
          <cell r="C24" t="str">
            <v>Mabel Casternaux Martinez</v>
          </cell>
          <cell r="E24" t="str">
            <v>F</v>
          </cell>
          <cell r="F24" t="str">
            <v>mestiza</v>
          </cell>
          <cell r="K24" t="str">
            <v>Técnico Superior</v>
          </cell>
          <cell r="L24" t="str">
            <v>Si</v>
          </cell>
          <cell r="O24" t="str">
            <v>Lic. en Tecnología de la Salud</v>
          </cell>
        </row>
        <row r="25">
          <cell r="C25" t="str">
            <v>Mailin Vicente Cobas</v>
          </cell>
          <cell r="E25" t="str">
            <v>F</v>
          </cell>
          <cell r="F25" t="str">
            <v>mestiza</v>
          </cell>
          <cell r="K25" t="str">
            <v>Cuadro</v>
          </cell>
          <cell r="L25" t="str">
            <v>Si</v>
          </cell>
          <cell r="O25" t="str">
            <v>Lic. en Tecnología de la Salud</v>
          </cell>
        </row>
        <row r="26">
          <cell r="C26" t="str">
            <v>Marianela Martinez Plutin</v>
          </cell>
          <cell r="E26" t="str">
            <v>F</v>
          </cell>
          <cell r="F26" t="str">
            <v>mestiza</v>
          </cell>
          <cell r="K26" t="str">
            <v>Técnico Superior</v>
          </cell>
          <cell r="L26" t="str">
            <v>Si</v>
          </cell>
          <cell r="O26" t="str">
            <v>Lic. en Tecnología de la Salud</v>
          </cell>
        </row>
        <row r="27">
          <cell r="C27" t="str">
            <v>Marileivis Diaz Creahg</v>
          </cell>
          <cell r="E27" t="str">
            <v>F</v>
          </cell>
          <cell r="F27" t="str">
            <v>blanca</v>
          </cell>
          <cell r="K27" t="str">
            <v>Técnico Superior</v>
          </cell>
          <cell r="L27" t="str">
            <v>Si</v>
          </cell>
          <cell r="O27" t="str">
            <v>Lic. en Tecnología de la Salud</v>
          </cell>
        </row>
        <row r="28">
          <cell r="C28" t="str">
            <v>Maritza Cardero Guevara</v>
          </cell>
          <cell r="E28" t="str">
            <v>F</v>
          </cell>
          <cell r="F28" t="str">
            <v>mestiza</v>
          </cell>
          <cell r="K28" t="str">
            <v>Técnico Superior</v>
          </cell>
          <cell r="L28" t="str">
            <v>Si</v>
          </cell>
          <cell r="O28" t="str">
            <v>Lic. en Tecnología de la Salud</v>
          </cell>
        </row>
        <row r="29">
          <cell r="C29" t="str">
            <v>Mayelin Santo Hechavarria</v>
          </cell>
          <cell r="E29" t="str">
            <v>F</v>
          </cell>
          <cell r="F29" t="str">
            <v>negra</v>
          </cell>
          <cell r="K29" t="str">
            <v>Técnico Superior</v>
          </cell>
          <cell r="L29" t="str">
            <v>Si</v>
          </cell>
          <cell r="O29" t="str">
            <v>Lic. en Tecnología de la Salud</v>
          </cell>
        </row>
        <row r="30">
          <cell r="C30" t="str">
            <v>Mirian Esther Mesa Gomez</v>
          </cell>
          <cell r="E30" t="str">
            <v>F</v>
          </cell>
          <cell r="F30" t="str">
            <v>mestiza</v>
          </cell>
          <cell r="K30" t="str">
            <v>Técnico Superior</v>
          </cell>
          <cell r="L30" t="str">
            <v>Si</v>
          </cell>
          <cell r="O30" t="str">
            <v>Lic. en Tecnología de la Salud</v>
          </cell>
        </row>
        <row r="31">
          <cell r="C31" t="str">
            <v>Nazlia Maceira Soto</v>
          </cell>
          <cell r="E31" t="str">
            <v>F</v>
          </cell>
          <cell r="F31" t="str">
            <v>mestiza</v>
          </cell>
          <cell r="K31" t="str">
            <v>Técnico Superior</v>
          </cell>
          <cell r="L31" t="str">
            <v>Si</v>
          </cell>
          <cell r="O31" t="str">
            <v>Lic. en Tecnología de la Salud</v>
          </cell>
        </row>
        <row r="32">
          <cell r="C32" t="str">
            <v>Neurbelis Garcia Romero</v>
          </cell>
          <cell r="E32" t="str">
            <v>F</v>
          </cell>
          <cell r="F32" t="str">
            <v>negra</v>
          </cell>
          <cell r="K32" t="str">
            <v>Técnico Superior</v>
          </cell>
          <cell r="L32" t="str">
            <v>Si</v>
          </cell>
          <cell r="O32" t="str">
            <v>Lic. en Tecnología de la Salud</v>
          </cell>
        </row>
        <row r="33">
          <cell r="C33" t="str">
            <v>Olga Lidia Bueno Hernandez</v>
          </cell>
          <cell r="E33" t="str">
            <v>F</v>
          </cell>
          <cell r="F33" t="str">
            <v>negra</v>
          </cell>
          <cell r="K33" t="str">
            <v>Técnico Superior</v>
          </cell>
          <cell r="L33" t="str">
            <v>Si</v>
          </cell>
          <cell r="O33" t="str">
            <v>Lic. en Tecnología de la Salud</v>
          </cell>
        </row>
        <row r="34">
          <cell r="C34" t="str">
            <v>Orlando Reyes Mustelier</v>
          </cell>
          <cell r="E34" t="str">
            <v>M</v>
          </cell>
          <cell r="F34" t="str">
            <v>mestiza</v>
          </cell>
          <cell r="K34" t="str">
            <v>Técnico Superior</v>
          </cell>
          <cell r="L34" t="str">
            <v>Si</v>
          </cell>
          <cell r="O34" t="str">
            <v>Lic. en Tecnología de la Salud</v>
          </cell>
        </row>
        <row r="35">
          <cell r="C35" t="str">
            <v>Paula Veranes Fernandez</v>
          </cell>
          <cell r="E35" t="str">
            <v>F</v>
          </cell>
          <cell r="F35" t="str">
            <v>negra</v>
          </cell>
          <cell r="K35" t="str">
            <v>Técnico Superior</v>
          </cell>
          <cell r="L35" t="str">
            <v>Si</v>
          </cell>
          <cell r="O35" t="str">
            <v>Lic. en Tecnología de la Salud</v>
          </cell>
        </row>
        <row r="36">
          <cell r="C36" t="str">
            <v>Roberto Tamayo Castillo</v>
          </cell>
          <cell r="E36" t="str">
            <v>M</v>
          </cell>
          <cell r="F36" t="str">
            <v>mestiza</v>
          </cell>
          <cell r="K36" t="str">
            <v>Técnico Superior</v>
          </cell>
          <cell r="L36" t="str">
            <v>Si</v>
          </cell>
          <cell r="O36" t="str">
            <v>Lic. en Tecnología de la Salud</v>
          </cell>
        </row>
        <row r="37">
          <cell r="C37" t="str">
            <v>Sulema Gonzalez Martínez</v>
          </cell>
          <cell r="E37" t="str">
            <v>F</v>
          </cell>
          <cell r="F37" t="str">
            <v>mestiza</v>
          </cell>
          <cell r="K37" t="str">
            <v>Técnico Superior</v>
          </cell>
          <cell r="L37" t="str">
            <v>Si</v>
          </cell>
          <cell r="M37" t="str">
            <v>Lic. Bioanálisis Clínico</v>
          </cell>
          <cell r="O37" t="str">
            <v>Lic. en Tecnología de la Salud</v>
          </cell>
        </row>
        <row r="38">
          <cell r="C38" t="str">
            <v>Sulema Saname Moye</v>
          </cell>
          <cell r="E38" t="str">
            <v>F</v>
          </cell>
          <cell r="F38" t="str">
            <v>mestiza</v>
          </cell>
          <cell r="K38" t="str">
            <v>Técnico Superior</v>
          </cell>
          <cell r="L38" t="str">
            <v>Si</v>
          </cell>
          <cell r="O38" t="str">
            <v>Lic. en Tecnología de la Salud</v>
          </cell>
        </row>
        <row r="39">
          <cell r="C39" t="str">
            <v>Ulices Suarez Arce</v>
          </cell>
          <cell r="E39" t="str">
            <v>M</v>
          </cell>
          <cell r="F39" t="str">
            <v>mestiza</v>
          </cell>
          <cell r="K39" t="str">
            <v>Técnico Superior</v>
          </cell>
          <cell r="L39" t="str">
            <v>Si</v>
          </cell>
          <cell r="O39" t="str">
            <v>Lic. en Tecnología de la Salud</v>
          </cell>
        </row>
        <row r="40">
          <cell r="C40" t="str">
            <v>Virleidys Castillo Labacena</v>
          </cell>
          <cell r="E40" t="str">
            <v>F</v>
          </cell>
          <cell r="F40" t="str">
            <v>mestiza</v>
          </cell>
          <cell r="K40" t="str">
            <v>Técnico Superior</v>
          </cell>
          <cell r="L40" t="str">
            <v>Si</v>
          </cell>
          <cell r="O40" t="str">
            <v>Lic. en Tecnología de la Salud</v>
          </cell>
        </row>
        <row r="41">
          <cell r="C41" t="str">
            <v>Yadieska Vispo Silega</v>
          </cell>
          <cell r="E41" t="str">
            <v>F</v>
          </cell>
          <cell r="F41" t="str">
            <v>mestiza</v>
          </cell>
          <cell r="K41" t="str">
            <v>Cuadro</v>
          </cell>
          <cell r="L41" t="str">
            <v>Si</v>
          </cell>
          <cell r="M41" t="str">
            <v>Lic. Bioanálisis Clínico</v>
          </cell>
          <cell r="O41" t="str">
            <v>Lic. en Tecnología de la Salud</v>
          </cell>
        </row>
        <row r="42">
          <cell r="C42" t="str">
            <v>Yaennys Vicet Rondon</v>
          </cell>
          <cell r="E42" t="str">
            <v>F</v>
          </cell>
          <cell r="F42" t="str">
            <v>mestiza</v>
          </cell>
          <cell r="K42" t="str">
            <v>Técnico Superior</v>
          </cell>
          <cell r="L42" t="str">
            <v>Si</v>
          </cell>
          <cell r="O42" t="str">
            <v>Lic. en Tecnología de la Salud</v>
          </cell>
        </row>
        <row r="43">
          <cell r="C43" t="str">
            <v>Yamaris Gracial Tame</v>
          </cell>
          <cell r="E43" t="str">
            <v>F</v>
          </cell>
          <cell r="F43" t="str">
            <v>mestiza</v>
          </cell>
          <cell r="K43" t="str">
            <v>Técnico Superior</v>
          </cell>
          <cell r="L43" t="str">
            <v>Si</v>
          </cell>
          <cell r="O43" t="str">
            <v>Lic. en Tecnología de la Salud</v>
          </cell>
        </row>
        <row r="44">
          <cell r="C44" t="str">
            <v>Yanaris Fernandez Delis</v>
          </cell>
          <cell r="E44" t="str">
            <v>F</v>
          </cell>
          <cell r="F44" t="str">
            <v>negra</v>
          </cell>
          <cell r="K44" t="str">
            <v>Técnico Superior</v>
          </cell>
          <cell r="L44" t="str">
            <v>Si</v>
          </cell>
          <cell r="O44" t="str">
            <v>Lic. en Tecnología de la Salud</v>
          </cell>
        </row>
        <row r="45">
          <cell r="C45" t="str">
            <v>Yaneisi Ramirez Vizcay</v>
          </cell>
          <cell r="E45" t="str">
            <v>F</v>
          </cell>
          <cell r="F45" t="str">
            <v>negra</v>
          </cell>
          <cell r="K45" t="str">
            <v>Cuadro</v>
          </cell>
          <cell r="L45" t="str">
            <v>Si</v>
          </cell>
          <cell r="O45" t="str">
            <v>Lic. en Tecnología de la Salud</v>
          </cell>
        </row>
        <row r="46">
          <cell r="C46" t="str">
            <v>Yanet Torres Torres</v>
          </cell>
          <cell r="E46" t="str">
            <v>F</v>
          </cell>
          <cell r="F46" t="str">
            <v>mestiza</v>
          </cell>
          <cell r="K46" t="str">
            <v>Técnico Superior</v>
          </cell>
          <cell r="L46" t="str">
            <v>Si</v>
          </cell>
          <cell r="O46" t="str">
            <v>Lic. en Tecnología de la Salud</v>
          </cell>
        </row>
        <row r="47">
          <cell r="C47" t="str">
            <v>Yankiel Bravo Silva</v>
          </cell>
          <cell r="E47" t="str">
            <v>M</v>
          </cell>
          <cell r="F47" t="str">
            <v>negra</v>
          </cell>
          <cell r="K47" t="str">
            <v>Técnico Superior</v>
          </cell>
          <cell r="L47" t="str">
            <v>Si</v>
          </cell>
          <cell r="O47" t="str">
            <v>Lic. en Tecnología de la Salud</v>
          </cell>
        </row>
        <row r="48">
          <cell r="C48" t="str">
            <v>Yoandra Cruzata Senteno</v>
          </cell>
          <cell r="E48" t="str">
            <v>F</v>
          </cell>
          <cell r="F48" t="str">
            <v>mestiza</v>
          </cell>
          <cell r="K48" t="str">
            <v>Técnico Superior</v>
          </cell>
          <cell r="L48" t="str">
            <v>Si</v>
          </cell>
          <cell r="O48" t="str">
            <v>Lic. en Tecnología de la Salud</v>
          </cell>
        </row>
        <row r="49">
          <cell r="C49" t="str">
            <v>Yoelkis Carbonell Rodriguez</v>
          </cell>
          <cell r="E49" t="str">
            <v>M</v>
          </cell>
          <cell r="F49" t="str">
            <v>mestiza</v>
          </cell>
          <cell r="K49" t="str">
            <v>Cuadro</v>
          </cell>
          <cell r="L49" t="str">
            <v>Si</v>
          </cell>
          <cell r="O49" t="str">
            <v>Lic. en Tecnología de la Salud</v>
          </cell>
        </row>
        <row r="50">
          <cell r="C50" t="str">
            <v>Yolaine Urquia Hurtado</v>
          </cell>
          <cell r="E50" t="str">
            <v>F</v>
          </cell>
          <cell r="F50" t="str">
            <v>mestiza</v>
          </cell>
          <cell r="K50" t="str">
            <v>Técnico Superior</v>
          </cell>
          <cell r="L50" t="str">
            <v>Si</v>
          </cell>
          <cell r="O50" t="str">
            <v>Lic. en Tecnología de la Salud</v>
          </cell>
        </row>
        <row r="51">
          <cell r="C51" t="str">
            <v>Yulidis Caballero Falcon</v>
          </cell>
          <cell r="E51" t="str">
            <v>F</v>
          </cell>
          <cell r="F51" t="str">
            <v>mestiza</v>
          </cell>
          <cell r="K51" t="str">
            <v>Técnico Superior</v>
          </cell>
          <cell r="L51" t="str">
            <v>Si</v>
          </cell>
          <cell r="O51" t="str">
            <v>Lic. en Tecnología de la Salud</v>
          </cell>
        </row>
        <row r="52">
          <cell r="C52" t="str">
            <v>Yulien Hardy Carvajal</v>
          </cell>
          <cell r="E52" t="str">
            <v>F</v>
          </cell>
          <cell r="F52" t="str">
            <v>mestiza</v>
          </cell>
          <cell r="K52" t="str">
            <v>Administrativo</v>
          </cell>
          <cell r="L52" t="str">
            <v>Si</v>
          </cell>
          <cell r="O52" t="str">
            <v>Lic. en Tecnología de la Salud</v>
          </cell>
        </row>
        <row r="53">
          <cell r="C53" t="str">
            <v>Yumila Montoya Fernandez</v>
          </cell>
          <cell r="E53" t="str">
            <v>F</v>
          </cell>
          <cell r="F53" t="str">
            <v>blanca</v>
          </cell>
          <cell r="K53" t="str">
            <v>Cuadro</v>
          </cell>
          <cell r="L53" t="str">
            <v>Si</v>
          </cell>
          <cell r="O53" t="str">
            <v>Lic. en Tecnología de la Salud</v>
          </cell>
        </row>
        <row r="54">
          <cell r="C54" t="str">
            <v>Yuselis Prades Daromán</v>
          </cell>
          <cell r="E54" t="str">
            <v>F</v>
          </cell>
          <cell r="F54" t="str">
            <v>mestiza</v>
          </cell>
          <cell r="K54" t="str">
            <v>Técnico Superior</v>
          </cell>
          <cell r="L54" t="str">
            <v>Si</v>
          </cell>
          <cell r="O54" t="str">
            <v>Lic. en Tecnología de la Salud</v>
          </cell>
        </row>
        <row r="55">
          <cell r="C55" t="str">
            <v>Sonia Azcanio Rivera</v>
          </cell>
          <cell r="E55" t="str">
            <v>F</v>
          </cell>
          <cell r="F55" t="str">
            <v>mestiza</v>
          </cell>
          <cell r="K55" t="str">
            <v>Técnico Superior</v>
          </cell>
          <cell r="L55" t="str">
            <v>Si</v>
          </cell>
          <cell r="O55" t="str">
            <v>Lic. en Tecnología de la Salud</v>
          </cell>
        </row>
        <row r="56">
          <cell r="C56" t="str">
            <v>Yuleidis Sola Torres</v>
          </cell>
          <cell r="E56" t="str">
            <v>F</v>
          </cell>
          <cell r="F56" t="str">
            <v>blanca</v>
          </cell>
          <cell r="K56" t="str">
            <v>Técnico Superior</v>
          </cell>
          <cell r="L56" t="str">
            <v>No</v>
          </cell>
          <cell r="O56" t="str">
            <v>Lic. en Tecnología de la Salud</v>
          </cell>
        </row>
        <row r="57">
          <cell r="C57" t="str">
            <v>Yanelis Medina Argote</v>
          </cell>
          <cell r="E57" t="str">
            <v>F</v>
          </cell>
          <cell r="F57" t="str">
            <v>Mestiza</v>
          </cell>
          <cell r="K57" t="str">
            <v>Técnico Superior</v>
          </cell>
          <cell r="L57" t="str">
            <v>Si</v>
          </cell>
          <cell r="O57" t="str">
            <v>Lic. en Tecnología de la Salud</v>
          </cell>
        </row>
        <row r="58">
          <cell r="C58" t="str">
            <v>Adrian Dacal Leonar</v>
          </cell>
          <cell r="E58" t="str">
            <v>M</v>
          </cell>
          <cell r="F58" t="str">
            <v>mestiza</v>
          </cell>
          <cell r="K58" t="str">
            <v>Cuadro</v>
          </cell>
          <cell r="L58" t="str">
            <v>Si</v>
          </cell>
          <cell r="O58" t="str">
            <v>Lic. en Tecnología de la Salud</v>
          </cell>
        </row>
        <row r="59">
          <cell r="C59" t="str">
            <v>Sara Vera Bonne</v>
          </cell>
          <cell r="E59" t="str">
            <v>F</v>
          </cell>
          <cell r="F59" t="str">
            <v>mestiza</v>
          </cell>
          <cell r="K59" t="str">
            <v>Técnico Superior</v>
          </cell>
          <cell r="L59" t="str">
            <v>Si</v>
          </cell>
          <cell r="O59" t="str">
            <v>Lic. Enfermería</v>
          </cell>
        </row>
        <row r="60">
          <cell r="C60" t="str">
            <v>Lisset Venero Hidalgo</v>
          </cell>
          <cell r="E60" t="str">
            <v>F</v>
          </cell>
          <cell r="F60" t="str">
            <v>negra</v>
          </cell>
          <cell r="K60" t="str">
            <v>Técnico Superior</v>
          </cell>
          <cell r="L60" t="str">
            <v>Si</v>
          </cell>
          <cell r="O60" t="str">
            <v>Médico</v>
          </cell>
        </row>
        <row r="61">
          <cell r="C61" t="str">
            <v>Meiby Aranda Hechavarría</v>
          </cell>
          <cell r="E61" t="str">
            <v>F</v>
          </cell>
          <cell r="F61" t="str">
            <v>mestiza</v>
          </cell>
          <cell r="K61" t="str">
            <v>Técnico Superior</v>
          </cell>
          <cell r="L61" t="str">
            <v>Si</v>
          </cell>
          <cell r="O61" t="str">
            <v>Médico</v>
          </cell>
        </row>
        <row r="62">
          <cell r="C62" t="str">
            <v>Lianne Santos Lescay</v>
          </cell>
          <cell r="E62" t="str">
            <v>F</v>
          </cell>
          <cell r="F62" t="str">
            <v>negra</v>
          </cell>
          <cell r="K62" t="str">
            <v>Técnico Superior</v>
          </cell>
          <cell r="L62" t="str">
            <v>Si</v>
          </cell>
          <cell r="O62" t="str">
            <v>Médico</v>
          </cell>
        </row>
        <row r="63">
          <cell r="C63" t="str">
            <v>WALTER VELAZQUEZ ACOSTA</v>
          </cell>
          <cell r="E63" t="str">
            <v>M</v>
          </cell>
          <cell r="F63" t="str">
            <v>mestiza</v>
          </cell>
          <cell r="K63" t="str">
            <v>Servicio</v>
          </cell>
          <cell r="L63" t="str">
            <v>Si</v>
          </cell>
          <cell r="O63" t="str">
            <v>Otros Profesionales y Especialidades</v>
          </cell>
        </row>
        <row r="64">
          <cell r="C64" t="str">
            <v>Yamile Medina Ferrer</v>
          </cell>
          <cell r="E64" t="str">
            <v>F</v>
          </cell>
          <cell r="F64" t="str">
            <v>mestiza</v>
          </cell>
          <cell r="K64" t="str">
            <v>Técnico Superior</v>
          </cell>
          <cell r="L64" t="str">
            <v>Si</v>
          </cell>
          <cell r="O64" t="str">
            <v>Otros Profesionales y Especialidades</v>
          </cell>
        </row>
        <row r="65">
          <cell r="C65" t="str">
            <v>YOHENDRIS ROJAS MARTINEZ</v>
          </cell>
          <cell r="E65" t="str">
            <v>M</v>
          </cell>
          <cell r="F65" t="str">
            <v>mestiza</v>
          </cell>
          <cell r="K65" t="str">
            <v>Operario</v>
          </cell>
          <cell r="L65" t="str">
            <v>Si</v>
          </cell>
          <cell r="O65" t="str">
            <v>Otros Profesionales y Especialidades</v>
          </cell>
        </row>
        <row r="66">
          <cell r="C66" t="str">
            <v>Ziomara Serrano León</v>
          </cell>
          <cell r="E66" t="str">
            <v>F</v>
          </cell>
          <cell r="F66" t="str">
            <v>negra</v>
          </cell>
          <cell r="K66" t="str">
            <v>Técnico Superior</v>
          </cell>
          <cell r="L66" t="str">
            <v>Si</v>
          </cell>
          <cell r="O66" t="str">
            <v>Otros Profesionales y Especialidades</v>
          </cell>
        </row>
        <row r="67">
          <cell r="C67" t="str">
            <v>Yanet Batiz Ivar</v>
          </cell>
          <cell r="E67" t="str">
            <v>F</v>
          </cell>
          <cell r="F67" t="str">
            <v>mestiza</v>
          </cell>
          <cell r="K67" t="str">
            <v>Técnico Superior</v>
          </cell>
          <cell r="L67" t="str">
            <v>No</v>
          </cell>
          <cell r="O67" t="str">
            <v>Otros Profesionales y Especialidades</v>
          </cell>
        </row>
        <row r="68">
          <cell r="C68" t="str">
            <v>Kihusttin Girón Medina</v>
          </cell>
          <cell r="E68" t="str">
            <v>M</v>
          </cell>
          <cell r="F68" t="str">
            <v>Negra</v>
          </cell>
          <cell r="K68" t="str">
            <v>Cuadro</v>
          </cell>
          <cell r="L68" t="str">
            <v>Si</v>
          </cell>
          <cell r="O68" t="str">
            <v>Otros Profesionales y Especialidades</v>
          </cell>
        </row>
        <row r="69">
          <cell r="C69" t="str">
            <v>Niurvis Palma Riveri</v>
          </cell>
          <cell r="E69" t="str">
            <v>F</v>
          </cell>
          <cell r="F69" t="str">
            <v>mestiza</v>
          </cell>
          <cell r="K69" t="str">
            <v>Técnico Superior</v>
          </cell>
          <cell r="L69" t="str">
            <v>No</v>
          </cell>
          <cell r="O69" t="str">
            <v>Otros Profesionales y Especialidades</v>
          </cell>
        </row>
        <row r="70">
          <cell r="C70" t="str">
            <v>Elaine De La Caridad Vicente Tabera</v>
          </cell>
          <cell r="E70" t="str">
            <v>F</v>
          </cell>
          <cell r="F70" t="str">
            <v>mestiza</v>
          </cell>
          <cell r="K70" t="str">
            <v>Técnico Superior</v>
          </cell>
          <cell r="L70" t="str">
            <v>Si</v>
          </cell>
          <cell r="O70" t="str">
            <v>Otros Profesionales y Especialidades</v>
          </cell>
        </row>
        <row r="71">
          <cell r="C71" t="str">
            <v>Lizandra Azcanio Fuentes</v>
          </cell>
          <cell r="E71" t="str">
            <v>F</v>
          </cell>
          <cell r="F71" t="str">
            <v>blanca</v>
          </cell>
          <cell r="K71" t="str">
            <v>Técnico Medio</v>
          </cell>
          <cell r="L71" t="str">
            <v>Si</v>
          </cell>
          <cell r="O71" t="str">
            <v>Otros Profesionales y Especialidades</v>
          </cell>
        </row>
        <row r="72">
          <cell r="C72" t="str">
            <v>Mirtha Escuredo Martinez</v>
          </cell>
          <cell r="E72" t="str">
            <v>F</v>
          </cell>
          <cell r="F72" t="str">
            <v>blanca</v>
          </cell>
          <cell r="K72" t="str">
            <v>Técnico Superior</v>
          </cell>
          <cell r="L72" t="str">
            <v>Si</v>
          </cell>
          <cell r="O72" t="str">
            <v>Otros Profesionales y Especialidades</v>
          </cell>
        </row>
        <row r="73">
          <cell r="C73" t="str">
            <v>Oleidis Vinent Crespo</v>
          </cell>
          <cell r="E73" t="str">
            <v>F</v>
          </cell>
          <cell r="F73" t="str">
            <v>mestiza</v>
          </cell>
          <cell r="K73" t="str">
            <v>Técnico Superior</v>
          </cell>
          <cell r="L73" t="str">
            <v>Si</v>
          </cell>
          <cell r="O73" t="str">
            <v>Otros Profesionales y Especialidades</v>
          </cell>
        </row>
        <row r="74">
          <cell r="C74" t="str">
            <v>Reynaldo Mora Leon</v>
          </cell>
          <cell r="E74" t="str">
            <v>M</v>
          </cell>
          <cell r="F74" t="str">
            <v>mestiza</v>
          </cell>
          <cell r="K74" t="str">
            <v>Técnico Superior</v>
          </cell>
          <cell r="L74" t="str">
            <v>Si</v>
          </cell>
          <cell r="O74" t="str">
            <v>Otros Profesionales y Especialidades</v>
          </cell>
        </row>
        <row r="75">
          <cell r="C75" t="str">
            <v>NORDIS ZAMORA BATISTA</v>
          </cell>
          <cell r="E75" t="str">
            <v>M</v>
          </cell>
          <cell r="F75" t="str">
            <v>mestiza</v>
          </cell>
          <cell r="K75" t="str">
            <v>Operario</v>
          </cell>
          <cell r="L75" t="str">
            <v>Si</v>
          </cell>
          <cell r="O75" t="str">
            <v>Técnico Formado Salud</v>
          </cell>
        </row>
        <row r="76">
          <cell r="C76" t="str">
            <v>Daniuska Rodriguez Serrano</v>
          </cell>
          <cell r="E76" t="str">
            <v>F</v>
          </cell>
          <cell r="F76" t="str">
            <v>negra</v>
          </cell>
          <cell r="K76" t="str">
            <v>Técnico Medio</v>
          </cell>
          <cell r="L76" t="str">
            <v>Si</v>
          </cell>
          <cell r="M76" t="str">
            <v>Laboratorio clínico, microbiológico</v>
          </cell>
          <cell r="O76" t="str">
            <v>Técnico Formado Salud</v>
          </cell>
        </row>
        <row r="77">
          <cell r="C77" t="str">
            <v>Yordalis Ortiz Leon</v>
          </cell>
          <cell r="E77" t="str">
            <v>F</v>
          </cell>
          <cell r="F77" t="str">
            <v>mestiza</v>
          </cell>
          <cell r="K77" t="str">
            <v>Técnico Medio</v>
          </cell>
          <cell r="L77" t="str">
            <v>Si</v>
          </cell>
          <cell r="M77" t="str">
            <v>Farmacia dispensarial e industrial</v>
          </cell>
          <cell r="O77" t="str">
            <v>Técnico Formado Salud</v>
          </cell>
        </row>
        <row r="78">
          <cell r="C78" t="str">
            <v>Denis Lescaille Columbie</v>
          </cell>
          <cell r="E78" t="str">
            <v>M</v>
          </cell>
          <cell r="F78" t="str">
            <v>mestiza</v>
          </cell>
          <cell r="K78" t="str">
            <v>Técnico Medio</v>
          </cell>
          <cell r="L78" t="str">
            <v>No</v>
          </cell>
          <cell r="O78" t="str">
            <v>Técnico No Formado Salud</v>
          </cell>
        </row>
        <row r="79">
          <cell r="C79" t="str">
            <v>Blanca Esther Zayas Kindelán</v>
          </cell>
          <cell r="E79" t="str">
            <v>F</v>
          </cell>
          <cell r="F79" t="str">
            <v>mestiza</v>
          </cell>
          <cell r="K79" t="str">
            <v>Servicio</v>
          </cell>
          <cell r="L79" t="str">
            <v>Si</v>
          </cell>
          <cell r="O79" t="str">
            <v>Otros No Técnicos</v>
          </cell>
        </row>
        <row r="80">
          <cell r="C80" t="str">
            <v>Caridad Montoya Lahera</v>
          </cell>
          <cell r="E80" t="str">
            <v>F</v>
          </cell>
          <cell r="F80" t="str">
            <v>mestiza</v>
          </cell>
          <cell r="K80" t="str">
            <v>Servicio</v>
          </cell>
          <cell r="L80" t="str">
            <v>Si</v>
          </cell>
          <cell r="O80" t="str">
            <v>Otros No Técnicos</v>
          </cell>
        </row>
        <row r="81">
          <cell r="C81" t="str">
            <v>DANIEL FERNANDEZ DELIS</v>
          </cell>
          <cell r="E81" t="str">
            <v>M</v>
          </cell>
          <cell r="F81" t="str">
            <v>mestiza</v>
          </cell>
          <cell r="K81" t="str">
            <v>Operario</v>
          </cell>
          <cell r="L81" t="str">
            <v>Si</v>
          </cell>
          <cell r="O81" t="str">
            <v>Otros No Técnicos</v>
          </cell>
        </row>
        <row r="82">
          <cell r="C82" t="str">
            <v>Emilia Sánchez Nohay</v>
          </cell>
          <cell r="E82" t="str">
            <v>F</v>
          </cell>
          <cell r="F82" t="str">
            <v>negra</v>
          </cell>
          <cell r="K82" t="str">
            <v>Servicio</v>
          </cell>
          <cell r="L82" t="str">
            <v>Si</v>
          </cell>
          <cell r="O82" t="str">
            <v>Otros No Técnicos</v>
          </cell>
        </row>
        <row r="83">
          <cell r="C83" t="str">
            <v>Enoide Medina Mustelier</v>
          </cell>
          <cell r="E83" t="str">
            <v>M</v>
          </cell>
          <cell r="F83" t="str">
            <v>mestiza</v>
          </cell>
          <cell r="K83" t="str">
            <v>Servicio</v>
          </cell>
          <cell r="L83" t="str">
            <v>Si</v>
          </cell>
          <cell r="O83" t="str">
            <v>Otros No Técnicos</v>
          </cell>
        </row>
        <row r="84">
          <cell r="C84" t="str">
            <v>Hector Garcia Carvajal</v>
          </cell>
          <cell r="E84" t="str">
            <v>M</v>
          </cell>
          <cell r="F84" t="str">
            <v>mestiza</v>
          </cell>
          <cell r="K84" t="str">
            <v>Operario</v>
          </cell>
          <cell r="L84" t="str">
            <v>Si</v>
          </cell>
          <cell r="O84" t="str">
            <v>Otros No Técnicos</v>
          </cell>
        </row>
        <row r="85">
          <cell r="C85" t="str">
            <v>HECTOR ORTIZ TAMAYO</v>
          </cell>
          <cell r="E85" t="str">
            <v>M</v>
          </cell>
          <cell r="F85" t="str">
            <v>mestiza</v>
          </cell>
          <cell r="K85" t="str">
            <v>Operario</v>
          </cell>
          <cell r="L85" t="str">
            <v>Si</v>
          </cell>
          <cell r="O85" t="str">
            <v>Otros No Técnicos</v>
          </cell>
        </row>
        <row r="86">
          <cell r="C86" t="str">
            <v>Inalvis Valenciano Tumbarell</v>
          </cell>
          <cell r="E86" t="str">
            <v>F</v>
          </cell>
          <cell r="F86" t="str">
            <v>negra</v>
          </cell>
          <cell r="K86" t="str">
            <v>Servicio</v>
          </cell>
          <cell r="L86" t="str">
            <v>Si</v>
          </cell>
          <cell r="O86" t="str">
            <v>Otros No Técnicos</v>
          </cell>
        </row>
        <row r="87">
          <cell r="C87" t="str">
            <v>JUAN KINDELAN CARDONA</v>
          </cell>
          <cell r="E87" t="str">
            <v>M</v>
          </cell>
          <cell r="F87" t="str">
            <v>mestiza</v>
          </cell>
          <cell r="K87" t="str">
            <v>Operario</v>
          </cell>
          <cell r="L87" t="str">
            <v>Si</v>
          </cell>
          <cell r="O87" t="str">
            <v>Otros No Técnicos</v>
          </cell>
        </row>
        <row r="88">
          <cell r="C88" t="str">
            <v>Juana Nariño Cuevas</v>
          </cell>
          <cell r="E88" t="str">
            <v>F</v>
          </cell>
          <cell r="F88" t="str">
            <v>mestiza</v>
          </cell>
          <cell r="K88" t="str">
            <v>Operario</v>
          </cell>
          <cell r="L88" t="str">
            <v>Si</v>
          </cell>
          <cell r="O88" t="str">
            <v>Otros No Técnicos</v>
          </cell>
        </row>
        <row r="89">
          <cell r="C89" t="str">
            <v>Luis Enrique Cardó Savigne</v>
          </cell>
          <cell r="E89" t="str">
            <v>M</v>
          </cell>
          <cell r="F89" t="str">
            <v>mestiza</v>
          </cell>
          <cell r="K89" t="str">
            <v>Servicio</v>
          </cell>
          <cell r="L89" t="str">
            <v>Si</v>
          </cell>
          <cell r="O89" t="str">
            <v>Otros No Técnicos</v>
          </cell>
        </row>
        <row r="90">
          <cell r="C90" t="str">
            <v>Niuris González Maturell</v>
          </cell>
          <cell r="E90" t="str">
            <v>F</v>
          </cell>
          <cell r="F90" t="str">
            <v>mestiza</v>
          </cell>
          <cell r="K90" t="str">
            <v>Servicio</v>
          </cell>
          <cell r="L90" t="str">
            <v>Si</v>
          </cell>
          <cell r="O90" t="str">
            <v>Otros No Técnicos</v>
          </cell>
        </row>
        <row r="91">
          <cell r="C91" t="str">
            <v>Coralia Gonzáles Sesé</v>
          </cell>
          <cell r="E91" t="str">
            <v>F</v>
          </cell>
          <cell r="F91" t="str">
            <v>mestiza</v>
          </cell>
          <cell r="K91" t="str">
            <v>Operario</v>
          </cell>
          <cell r="L91" t="str">
            <v>Si</v>
          </cell>
          <cell r="O91" t="str">
            <v>Otros No Técnicos</v>
          </cell>
        </row>
        <row r="92">
          <cell r="C92" t="str">
            <v>Orlendis Ibonet Montañe</v>
          </cell>
          <cell r="E92" t="str">
            <v>M</v>
          </cell>
          <cell r="F92" t="str">
            <v>negra</v>
          </cell>
          <cell r="K92" t="str">
            <v>Servicio</v>
          </cell>
          <cell r="L92" t="str">
            <v>Si</v>
          </cell>
          <cell r="O92" t="str">
            <v>Otros No Técnicos</v>
          </cell>
        </row>
        <row r="93">
          <cell r="C93" t="str">
            <v>Pura Esther Fernández Gracial</v>
          </cell>
          <cell r="E93" t="str">
            <v>F</v>
          </cell>
          <cell r="F93" t="str">
            <v>negra</v>
          </cell>
          <cell r="K93" t="str">
            <v>Servicio</v>
          </cell>
          <cell r="L93" t="str">
            <v>Si</v>
          </cell>
          <cell r="O93" t="str">
            <v>Otros No Técnicos</v>
          </cell>
        </row>
        <row r="94">
          <cell r="C94" t="str">
            <v>RAMÓN CASTILLO DEL RIO</v>
          </cell>
          <cell r="E94" t="str">
            <v>M</v>
          </cell>
          <cell r="F94" t="str">
            <v>negra</v>
          </cell>
          <cell r="K94" t="str">
            <v>Servicio</v>
          </cell>
          <cell r="L94" t="str">
            <v>Si</v>
          </cell>
          <cell r="O94" t="str">
            <v>Otros No Técnicos</v>
          </cell>
        </row>
        <row r="95">
          <cell r="C95" t="str">
            <v>Reynaldo Fabart del Río</v>
          </cell>
          <cell r="E95" t="str">
            <v>M</v>
          </cell>
          <cell r="F95" t="str">
            <v>mestiza</v>
          </cell>
          <cell r="K95" t="str">
            <v>Servicio</v>
          </cell>
          <cell r="L95" t="str">
            <v>Si</v>
          </cell>
          <cell r="O95" t="str">
            <v>Otros No Técnicos</v>
          </cell>
        </row>
        <row r="96">
          <cell r="C96" t="str">
            <v>Vismar Bonne Castillo</v>
          </cell>
          <cell r="E96" t="str">
            <v>M</v>
          </cell>
          <cell r="F96" t="str">
            <v>mestiza</v>
          </cell>
          <cell r="K96" t="str">
            <v>Servicio</v>
          </cell>
          <cell r="L96" t="str">
            <v>Si</v>
          </cell>
          <cell r="O96" t="str">
            <v>Otros No Técnicos</v>
          </cell>
        </row>
        <row r="97">
          <cell r="C97" t="str">
            <v>Yarisbel Mustelier Sánchez</v>
          </cell>
          <cell r="E97" t="str">
            <v>F</v>
          </cell>
          <cell r="F97" t="str">
            <v>mestiza</v>
          </cell>
          <cell r="K97" t="str">
            <v>Operario</v>
          </cell>
          <cell r="L97" t="str">
            <v>Si</v>
          </cell>
          <cell r="O97" t="str">
            <v>Otros No Técnicos</v>
          </cell>
        </row>
        <row r="98">
          <cell r="C98" t="str">
            <v>Yaritza Calás González</v>
          </cell>
          <cell r="E98" t="str">
            <v>F</v>
          </cell>
          <cell r="F98" t="str">
            <v>mestiza</v>
          </cell>
          <cell r="K98" t="str">
            <v>Operario</v>
          </cell>
          <cell r="L98" t="str">
            <v>Si</v>
          </cell>
          <cell r="O98" t="str">
            <v>Otros No Técnicos</v>
          </cell>
        </row>
        <row r="99">
          <cell r="C99" t="str">
            <v>Yolendris Caballero Blanco</v>
          </cell>
          <cell r="E99" t="str">
            <v>M</v>
          </cell>
          <cell r="F99" t="str">
            <v>mestiza</v>
          </cell>
          <cell r="K99" t="str">
            <v>Operario</v>
          </cell>
          <cell r="L99" t="str">
            <v>Si</v>
          </cell>
          <cell r="O99" t="str">
            <v>Otros No Técnicos</v>
          </cell>
        </row>
        <row r="100">
          <cell r="C100" t="str">
            <v>Diuver Arencibia Osorio</v>
          </cell>
          <cell r="E100" t="str">
            <v>M</v>
          </cell>
          <cell r="F100" t="str">
            <v>mestiza</v>
          </cell>
          <cell r="K100" t="str">
            <v>Operario</v>
          </cell>
          <cell r="L100" t="str">
            <v>No</v>
          </cell>
          <cell r="O100" t="str">
            <v>Otros No Técnicos</v>
          </cell>
        </row>
        <row r="101">
          <cell r="C101" t="str">
            <v>Adrian Almeida López</v>
          </cell>
          <cell r="E101" t="str">
            <v>M</v>
          </cell>
          <cell r="F101" t="str">
            <v>blanca</v>
          </cell>
          <cell r="K101" t="str">
            <v>Operario</v>
          </cell>
          <cell r="L101" t="str">
            <v>Si</v>
          </cell>
          <cell r="O101" t="str">
            <v>Otros No Técnicos</v>
          </cell>
        </row>
        <row r="102">
          <cell r="C102" t="str">
            <v>ADRIAN GUTIERREZ ORTIZ</v>
          </cell>
          <cell r="E102" t="str">
            <v>M</v>
          </cell>
          <cell r="F102" t="str">
            <v>mestiza</v>
          </cell>
          <cell r="K102" t="str">
            <v>Operario</v>
          </cell>
          <cell r="L102" t="str">
            <v>Si</v>
          </cell>
          <cell r="O102" t="str">
            <v>Otros No Técnicos</v>
          </cell>
        </row>
        <row r="103">
          <cell r="C103" t="str">
            <v>Aleida Manforrol Serrano</v>
          </cell>
          <cell r="E103" t="str">
            <v>F</v>
          </cell>
          <cell r="F103" t="str">
            <v>negra</v>
          </cell>
          <cell r="K103" t="str">
            <v>Servicio</v>
          </cell>
          <cell r="L103" t="str">
            <v>Si</v>
          </cell>
          <cell r="O103" t="str">
            <v>Otros No Técnicos</v>
          </cell>
        </row>
        <row r="104">
          <cell r="C104" t="str">
            <v>Angela Acosta Cuello</v>
          </cell>
          <cell r="E104" t="str">
            <v>F</v>
          </cell>
          <cell r="F104" t="str">
            <v>mestiza</v>
          </cell>
          <cell r="K104" t="str">
            <v>Operario</v>
          </cell>
          <cell r="L104" t="str">
            <v>Si</v>
          </cell>
          <cell r="O104" t="str">
            <v>Otros No Técnicos</v>
          </cell>
        </row>
        <row r="105">
          <cell r="C105" t="str">
            <v>Basiliza Fuentes Romero</v>
          </cell>
          <cell r="E105" t="str">
            <v>F</v>
          </cell>
          <cell r="F105" t="str">
            <v>mestiza</v>
          </cell>
          <cell r="K105" t="str">
            <v>Operario</v>
          </cell>
          <cell r="L105" t="str">
            <v>Si</v>
          </cell>
          <cell r="O105" t="str">
            <v>Otros No Técnicos</v>
          </cell>
        </row>
        <row r="106">
          <cell r="C106" t="str">
            <v>Aneida García Gómez</v>
          </cell>
          <cell r="E106" t="str">
            <v>F</v>
          </cell>
          <cell r="F106" t="str">
            <v>mestiza</v>
          </cell>
          <cell r="K106" t="str">
            <v>Técnico Medio</v>
          </cell>
          <cell r="L106" t="str">
            <v>No</v>
          </cell>
          <cell r="O106" t="str">
            <v>Otros No Técnicos</v>
          </cell>
        </row>
        <row r="107">
          <cell r="C107" t="str">
            <v>Dionisio Batista del Valle</v>
          </cell>
          <cell r="E107" t="str">
            <v>M</v>
          </cell>
          <cell r="F107" t="str">
            <v>mestiza</v>
          </cell>
          <cell r="K107" t="str">
            <v>Servicio</v>
          </cell>
          <cell r="L107" t="str">
            <v>No</v>
          </cell>
          <cell r="O107" t="str">
            <v>Otros No Técnicos</v>
          </cell>
        </row>
        <row r="108">
          <cell r="C108" t="str">
            <v>Adonis Ruiz tamayo</v>
          </cell>
          <cell r="E108" t="str">
            <v>M</v>
          </cell>
          <cell r="F108" t="str">
            <v>negra</v>
          </cell>
          <cell r="K108" t="str">
            <v>Servicio</v>
          </cell>
          <cell r="L108" t="str">
            <v>Si</v>
          </cell>
          <cell r="O108" t="str">
            <v>Otros No Técnicos</v>
          </cell>
        </row>
        <row r="109">
          <cell r="C109" t="str">
            <v>Noemis Ramos Gutierrez</v>
          </cell>
          <cell r="E109" t="str">
            <v>F</v>
          </cell>
          <cell r="F109" t="str">
            <v>mestiza</v>
          </cell>
          <cell r="K109" t="str">
            <v>Operario</v>
          </cell>
          <cell r="L109" t="str">
            <v>No</v>
          </cell>
          <cell r="O109" t="str">
            <v>Otros No Técnicos</v>
          </cell>
        </row>
        <row r="110">
          <cell r="C110" t="str">
            <v>Alexei Oliver Dominguez</v>
          </cell>
          <cell r="E110" t="str">
            <v>M</v>
          </cell>
          <cell r="F110" t="str">
            <v>mestiza</v>
          </cell>
          <cell r="K110" t="str">
            <v>Operario</v>
          </cell>
          <cell r="L110" t="str">
            <v>Si</v>
          </cell>
          <cell r="O110" t="str">
            <v>Otros No Técnicos</v>
          </cell>
        </row>
        <row r="111">
          <cell r="C111" t="str">
            <v xml:space="preserve">Osmani Muñoz Medina </v>
          </cell>
          <cell r="E111" t="str">
            <v>M</v>
          </cell>
          <cell r="F111" t="str">
            <v>mestiza</v>
          </cell>
          <cell r="K111" t="str">
            <v>Operario</v>
          </cell>
          <cell r="L111" t="str">
            <v>Si</v>
          </cell>
          <cell r="O111" t="str">
            <v>Otros No Técnicos</v>
          </cell>
        </row>
        <row r="112">
          <cell r="C112" t="str">
            <v>Mirnellis Bell Ramirez</v>
          </cell>
          <cell r="E112" t="str">
            <v>F</v>
          </cell>
          <cell r="F112" t="str">
            <v>negra</v>
          </cell>
          <cell r="K112" t="str">
            <v>Técnico Medio</v>
          </cell>
          <cell r="L112" t="str">
            <v>No</v>
          </cell>
          <cell r="O112" t="str">
            <v>Otros No Técnicos</v>
          </cell>
        </row>
        <row r="113">
          <cell r="C113" t="str">
            <v>Fraimer Odelin Regueiferos</v>
          </cell>
          <cell r="E113" t="str">
            <v>M</v>
          </cell>
          <cell r="F113" t="str">
            <v>blanca</v>
          </cell>
          <cell r="K113" t="str">
            <v>Técnico Superior</v>
          </cell>
          <cell r="L113" t="str">
            <v>Si</v>
          </cell>
          <cell r="O113" t="str">
            <v>Estomatólogo</v>
          </cell>
        </row>
        <row r="114">
          <cell r="C114" t="str">
            <v>Maricela Oliu Moraga</v>
          </cell>
          <cell r="E114" t="str">
            <v>F</v>
          </cell>
          <cell r="F114" t="str">
            <v>blanca</v>
          </cell>
          <cell r="K114" t="str">
            <v>Técnico Superior</v>
          </cell>
          <cell r="L114" t="str">
            <v>Si</v>
          </cell>
          <cell r="O114" t="str">
            <v>Estomatólogo</v>
          </cell>
        </row>
        <row r="115">
          <cell r="C115" t="str">
            <v>Idalia Heredia Cardona</v>
          </cell>
          <cell r="E115" t="str">
            <v>F</v>
          </cell>
          <cell r="F115" t="str">
            <v>negra</v>
          </cell>
          <cell r="K115" t="str">
            <v>Técnico Superior</v>
          </cell>
          <cell r="L115" t="str">
            <v>Si</v>
          </cell>
          <cell r="O115" t="str">
            <v>Lic. en Tecnología de la Salud</v>
          </cell>
        </row>
        <row r="116">
          <cell r="C116" t="str">
            <v>Irena Cedeño Almeida</v>
          </cell>
          <cell r="E116" t="str">
            <v>F</v>
          </cell>
          <cell r="F116" t="str">
            <v>mestiza</v>
          </cell>
          <cell r="K116" t="str">
            <v>Técnico Superior</v>
          </cell>
          <cell r="L116" t="str">
            <v>Si</v>
          </cell>
          <cell r="O116" t="str">
            <v>Lic. en Tecnología de la Salud</v>
          </cell>
        </row>
        <row r="117">
          <cell r="C117" t="str">
            <v>Isnaidis Figuerola Brizo</v>
          </cell>
          <cell r="E117" t="str">
            <v>F</v>
          </cell>
          <cell r="F117" t="str">
            <v>negra</v>
          </cell>
          <cell r="K117" t="str">
            <v>Cuadro</v>
          </cell>
          <cell r="L117" t="str">
            <v>Si</v>
          </cell>
          <cell r="O117" t="str">
            <v>Lic. en Tecnología de la Salud</v>
          </cell>
        </row>
        <row r="118">
          <cell r="C118" t="str">
            <v>Kenia Montañez Gonzalez</v>
          </cell>
          <cell r="E118" t="str">
            <v>F</v>
          </cell>
          <cell r="F118" t="str">
            <v>mestiza</v>
          </cell>
          <cell r="K118" t="str">
            <v>Técnico Superior</v>
          </cell>
          <cell r="L118" t="str">
            <v>Si</v>
          </cell>
          <cell r="O118" t="str">
            <v>Lic. en Tecnología de la Salud</v>
          </cell>
        </row>
        <row r="119">
          <cell r="C119" t="str">
            <v>Leidy Rodriguez Tumbarell</v>
          </cell>
          <cell r="E119" t="str">
            <v>F</v>
          </cell>
          <cell r="F119" t="str">
            <v>mestiza</v>
          </cell>
          <cell r="K119" t="str">
            <v>Técnico Superior</v>
          </cell>
          <cell r="L119" t="str">
            <v>Si</v>
          </cell>
          <cell r="O119" t="str">
            <v>Lic. en Tecnología de la Salud</v>
          </cell>
        </row>
        <row r="120">
          <cell r="C120" t="str">
            <v>Leonellis Sánchez Sánchez</v>
          </cell>
          <cell r="E120" t="str">
            <v>F</v>
          </cell>
          <cell r="F120" t="str">
            <v>negra</v>
          </cell>
          <cell r="K120" t="str">
            <v>Técnico Superior</v>
          </cell>
          <cell r="L120" t="str">
            <v>Si</v>
          </cell>
          <cell r="O120" t="str">
            <v>Lic. en Tecnología de la Salud</v>
          </cell>
        </row>
        <row r="121">
          <cell r="C121" t="str">
            <v>Liset Vinent Hechavarria</v>
          </cell>
          <cell r="E121" t="str">
            <v>F</v>
          </cell>
          <cell r="F121" t="str">
            <v>mestiza</v>
          </cell>
          <cell r="K121" t="str">
            <v>Técnico Superior</v>
          </cell>
          <cell r="L121" t="str">
            <v>Si</v>
          </cell>
          <cell r="O121" t="str">
            <v>Lic. en Tecnología de la Salud</v>
          </cell>
        </row>
        <row r="122">
          <cell r="C122" t="str">
            <v>Margiolis Vaillant Marte</v>
          </cell>
          <cell r="E122" t="str">
            <v>F</v>
          </cell>
          <cell r="F122" t="str">
            <v>mestiza</v>
          </cell>
          <cell r="K122" t="str">
            <v>Técnico Superior</v>
          </cell>
          <cell r="L122" t="str">
            <v>Si</v>
          </cell>
          <cell r="O122" t="str">
            <v>Lic. en Tecnología de la Salud</v>
          </cell>
        </row>
        <row r="123">
          <cell r="C123" t="str">
            <v>Maria De Los Angeles Ruiz Moya</v>
          </cell>
          <cell r="E123" t="str">
            <v>F</v>
          </cell>
          <cell r="F123" t="str">
            <v>mestiza</v>
          </cell>
          <cell r="K123" t="str">
            <v>Técnico Superior</v>
          </cell>
          <cell r="L123" t="str">
            <v>Si</v>
          </cell>
          <cell r="O123" t="str">
            <v>Lic. en Tecnología de la Salud</v>
          </cell>
        </row>
        <row r="124">
          <cell r="C124" t="str">
            <v>MARIA ELENA RAMOS ESTRADA</v>
          </cell>
          <cell r="E124" t="str">
            <v>F</v>
          </cell>
          <cell r="F124" t="str">
            <v>blanca</v>
          </cell>
          <cell r="K124" t="str">
            <v>Técnico Superior</v>
          </cell>
          <cell r="L124" t="str">
            <v>Si</v>
          </cell>
          <cell r="O124" t="str">
            <v>Lic. en Tecnología de la Salud</v>
          </cell>
        </row>
        <row r="125">
          <cell r="C125" t="str">
            <v>Mariano Zamora Riviaux</v>
          </cell>
          <cell r="E125" t="str">
            <v>M</v>
          </cell>
          <cell r="F125" t="str">
            <v>mestiza</v>
          </cell>
          <cell r="K125" t="str">
            <v>Técnico Superior</v>
          </cell>
          <cell r="L125" t="str">
            <v>Si</v>
          </cell>
          <cell r="O125" t="str">
            <v>Lic. en Tecnología de la Salud</v>
          </cell>
        </row>
        <row r="126">
          <cell r="C126" t="str">
            <v>Marilin Carrillo Cambell</v>
          </cell>
          <cell r="E126" t="str">
            <v>F</v>
          </cell>
          <cell r="F126" t="str">
            <v>mestiza</v>
          </cell>
          <cell r="K126" t="str">
            <v>Técnico Superior</v>
          </cell>
          <cell r="L126" t="str">
            <v>Si</v>
          </cell>
          <cell r="O126" t="str">
            <v>Lic. en Tecnología de la Salud</v>
          </cell>
        </row>
        <row r="127">
          <cell r="C127" t="str">
            <v>Mayelin Isaac García</v>
          </cell>
          <cell r="E127" t="str">
            <v>F</v>
          </cell>
          <cell r="F127" t="str">
            <v>mestiza</v>
          </cell>
          <cell r="K127" t="str">
            <v>Técnico Superior</v>
          </cell>
          <cell r="L127" t="str">
            <v>Si</v>
          </cell>
          <cell r="O127" t="str">
            <v>Lic. en Tecnología de la Salud</v>
          </cell>
        </row>
        <row r="128">
          <cell r="C128" t="str">
            <v>Mercedes Velazquez Rosillo</v>
          </cell>
          <cell r="E128" t="str">
            <v>F</v>
          </cell>
          <cell r="F128" t="str">
            <v>mestiza</v>
          </cell>
          <cell r="K128" t="str">
            <v>Técnico Superior</v>
          </cell>
          <cell r="L128" t="str">
            <v>Si</v>
          </cell>
          <cell r="O128" t="str">
            <v>Lic. en Tecnología de la Salud</v>
          </cell>
        </row>
        <row r="129">
          <cell r="C129" t="str">
            <v>Niobis Romero Pérez</v>
          </cell>
          <cell r="E129" t="str">
            <v>F</v>
          </cell>
          <cell r="F129" t="str">
            <v>negra</v>
          </cell>
          <cell r="K129" t="str">
            <v>Técnico Superior</v>
          </cell>
          <cell r="L129" t="str">
            <v>Si</v>
          </cell>
          <cell r="O129" t="str">
            <v>Lic. en Tecnología de la Salud</v>
          </cell>
        </row>
        <row r="130">
          <cell r="C130" t="str">
            <v>Nurelis Medina Martinez</v>
          </cell>
          <cell r="E130" t="str">
            <v>F</v>
          </cell>
          <cell r="F130" t="str">
            <v>negra</v>
          </cell>
          <cell r="K130" t="str">
            <v>Técnico Superior</v>
          </cell>
          <cell r="L130" t="str">
            <v>Si</v>
          </cell>
          <cell r="O130" t="str">
            <v>Lic. en Tecnología de la Salud</v>
          </cell>
        </row>
        <row r="131">
          <cell r="C131" t="str">
            <v>Yalexis Gonzalez Santos</v>
          </cell>
          <cell r="E131" t="str">
            <v>F</v>
          </cell>
          <cell r="F131" t="str">
            <v>mestiza</v>
          </cell>
          <cell r="K131" t="str">
            <v>Cuadro</v>
          </cell>
          <cell r="L131" t="str">
            <v>Si</v>
          </cell>
          <cell r="O131" t="str">
            <v>Lic. en Tecnología de la Salud</v>
          </cell>
        </row>
        <row r="132">
          <cell r="C132" t="str">
            <v>Yamilaimy Ferrer Ojeda</v>
          </cell>
          <cell r="E132" t="str">
            <v>F</v>
          </cell>
          <cell r="F132" t="str">
            <v>mestiza</v>
          </cell>
          <cell r="K132" t="str">
            <v>Técnico Superior</v>
          </cell>
          <cell r="L132" t="str">
            <v>Si</v>
          </cell>
          <cell r="O132" t="str">
            <v>Lic. en Tecnología de la Salud</v>
          </cell>
        </row>
        <row r="133">
          <cell r="C133" t="str">
            <v>Yaritza Cajigal Kindelan</v>
          </cell>
          <cell r="E133" t="str">
            <v>F</v>
          </cell>
          <cell r="F133" t="str">
            <v>negra</v>
          </cell>
          <cell r="K133" t="str">
            <v>Técnico Superior</v>
          </cell>
          <cell r="L133" t="str">
            <v>Si</v>
          </cell>
          <cell r="O133" t="str">
            <v>Lic. en Tecnología de la Salud</v>
          </cell>
        </row>
        <row r="134">
          <cell r="C134" t="str">
            <v>Yaritza Sabournin Puentes</v>
          </cell>
          <cell r="E134" t="str">
            <v>F</v>
          </cell>
          <cell r="F134" t="str">
            <v>negra</v>
          </cell>
          <cell r="K134" t="str">
            <v>Técnico Superior</v>
          </cell>
          <cell r="L134" t="str">
            <v>Si</v>
          </cell>
          <cell r="O134" t="str">
            <v>Lic. en Tecnología de la Salud</v>
          </cell>
        </row>
        <row r="135">
          <cell r="C135" t="str">
            <v>Edith Zayas Acosta</v>
          </cell>
          <cell r="E135" t="str">
            <v>F</v>
          </cell>
          <cell r="F135" t="str">
            <v>mestiza</v>
          </cell>
          <cell r="K135" t="str">
            <v>Técnico Superior</v>
          </cell>
          <cell r="L135" t="str">
            <v>Si</v>
          </cell>
          <cell r="O135" t="str">
            <v>Lic. en Tecnología de la Salud</v>
          </cell>
        </row>
        <row r="136">
          <cell r="C136" t="str">
            <v>YOHENDRIS DEL RIO FERNANDEZ</v>
          </cell>
          <cell r="E136" t="str">
            <v>M</v>
          </cell>
          <cell r="F136" t="str">
            <v>negra</v>
          </cell>
          <cell r="K136" t="str">
            <v>Técnico Superior</v>
          </cell>
          <cell r="L136" t="str">
            <v>Si</v>
          </cell>
          <cell r="O136" t="str">
            <v>Lic. en Tecnología de la Salud</v>
          </cell>
        </row>
        <row r="137">
          <cell r="C137" t="str">
            <v>Yudenia Fuente Lachataneray</v>
          </cell>
          <cell r="E137" t="str">
            <v>F</v>
          </cell>
          <cell r="F137" t="str">
            <v>mestiza</v>
          </cell>
          <cell r="K137" t="str">
            <v>Técnico Superior</v>
          </cell>
          <cell r="L137" t="str">
            <v>Si</v>
          </cell>
          <cell r="O137" t="str">
            <v>Lic. en Tecnología de la Salud</v>
          </cell>
        </row>
        <row r="138">
          <cell r="C138" t="str">
            <v>Yuleisy Hernández Días</v>
          </cell>
          <cell r="E138" t="str">
            <v>F</v>
          </cell>
          <cell r="F138" t="str">
            <v>mestiza</v>
          </cell>
          <cell r="K138" t="str">
            <v>Técnico Superior</v>
          </cell>
          <cell r="L138" t="str">
            <v>Si</v>
          </cell>
          <cell r="O138" t="str">
            <v>Lic. en Tecnología de la Salud</v>
          </cell>
        </row>
        <row r="139">
          <cell r="C139" t="str">
            <v>Yusnaiky Cobas Pérez</v>
          </cell>
          <cell r="E139" t="str">
            <v>F</v>
          </cell>
          <cell r="F139" t="str">
            <v>mestiza</v>
          </cell>
          <cell r="K139" t="str">
            <v>Técnico Superior</v>
          </cell>
          <cell r="L139" t="str">
            <v>Si</v>
          </cell>
          <cell r="O139" t="str">
            <v>Lic. en Tecnología de la Salud</v>
          </cell>
        </row>
        <row r="140">
          <cell r="C140" t="str">
            <v>Niurvis Serrano Almenarez</v>
          </cell>
          <cell r="E140" t="str">
            <v>F</v>
          </cell>
          <cell r="F140" t="str">
            <v>negra</v>
          </cell>
          <cell r="K140" t="str">
            <v>Cuadro</v>
          </cell>
          <cell r="L140" t="str">
            <v>No</v>
          </cell>
          <cell r="O140" t="str">
            <v>Lic. en Tecnología de la Salud</v>
          </cell>
        </row>
        <row r="141">
          <cell r="C141" t="str">
            <v>Liena Debrosse Serrano</v>
          </cell>
          <cell r="E141" t="str">
            <v>F</v>
          </cell>
          <cell r="F141" t="str">
            <v>Negra</v>
          </cell>
          <cell r="K141" t="str">
            <v>Técnico Superior</v>
          </cell>
          <cell r="L141" t="str">
            <v>No</v>
          </cell>
          <cell r="O141" t="str">
            <v>Lic. en Tecnología de la Salud</v>
          </cell>
        </row>
        <row r="142">
          <cell r="C142" t="str">
            <v>ADIS MIRZA GARCIA SOLAS</v>
          </cell>
          <cell r="E142" t="str">
            <v>F</v>
          </cell>
          <cell r="F142" t="str">
            <v>mestiza</v>
          </cell>
          <cell r="K142" t="str">
            <v>Técnico Superior</v>
          </cell>
          <cell r="L142" t="str">
            <v>Si</v>
          </cell>
          <cell r="O142" t="str">
            <v>Lic. Enfermería</v>
          </cell>
        </row>
        <row r="143">
          <cell r="C143" t="str">
            <v>Dalia Hernandez Montoya</v>
          </cell>
          <cell r="E143" t="str">
            <v>F</v>
          </cell>
          <cell r="F143" t="str">
            <v>blanca</v>
          </cell>
          <cell r="K143" t="str">
            <v>Técnico Superior</v>
          </cell>
          <cell r="L143" t="str">
            <v>Si</v>
          </cell>
          <cell r="O143" t="str">
            <v>Lic. Enfermería</v>
          </cell>
        </row>
        <row r="144">
          <cell r="C144" t="str">
            <v>Felipe Fonseca Valdes</v>
          </cell>
          <cell r="E144" t="str">
            <v>M</v>
          </cell>
          <cell r="F144" t="str">
            <v>mestiza</v>
          </cell>
          <cell r="K144" t="str">
            <v>Técnico Superior</v>
          </cell>
          <cell r="L144" t="str">
            <v>Si</v>
          </cell>
          <cell r="O144" t="str">
            <v>Lic. Enfermería</v>
          </cell>
        </row>
        <row r="145">
          <cell r="C145" t="str">
            <v>Geanni Muñoz Heredía</v>
          </cell>
          <cell r="E145" t="str">
            <v>M</v>
          </cell>
          <cell r="F145" t="str">
            <v>mestiza</v>
          </cell>
          <cell r="K145" t="str">
            <v>Técnico Superior</v>
          </cell>
          <cell r="L145" t="str">
            <v>Si</v>
          </cell>
          <cell r="O145" t="str">
            <v>Lic. Enfermería</v>
          </cell>
        </row>
        <row r="146">
          <cell r="C146" t="str">
            <v>Haydee Acebedo Palacio</v>
          </cell>
          <cell r="E146" t="str">
            <v>F</v>
          </cell>
          <cell r="F146" t="str">
            <v>blanca</v>
          </cell>
          <cell r="K146" t="str">
            <v>Técnico Superior</v>
          </cell>
          <cell r="L146" t="str">
            <v>Si</v>
          </cell>
          <cell r="O146" t="str">
            <v>Lic. Enfermería</v>
          </cell>
        </row>
        <row r="147">
          <cell r="C147" t="str">
            <v>Idalmis Columbiet Matamoros</v>
          </cell>
          <cell r="E147" t="str">
            <v>F</v>
          </cell>
          <cell r="F147" t="str">
            <v>mestiza</v>
          </cell>
          <cell r="K147" t="str">
            <v>Técnico Superior</v>
          </cell>
          <cell r="L147" t="str">
            <v>Si</v>
          </cell>
          <cell r="O147" t="str">
            <v>Lic. Enfermería</v>
          </cell>
        </row>
        <row r="148">
          <cell r="C148" t="str">
            <v>Juana Mirian Falcon Santana</v>
          </cell>
          <cell r="E148" t="str">
            <v>F</v>
          </cell>
          <cell r="F148" t="str">
            <v>blanca</v>
          </cell>
          <cell r="K148" t="str">
            <v>Técnico Superior</v>
          </cell>
          <cell r="L148" t="str">
            <v>Si</v>
          </cell>
          <cell r="O148" t="str">
            <v>Lic. Enfermería</v>
          </cell>
        </row>
        <row r="149">
          <cell r="C149" t="str">
            <v>Julio Cesar Cintra Dominguez</v>
          </cell>
          <cell r="E149" t="str">
            <v>M</v>
          </cell>
          <cell r="F149" t="str">
            <v>blanca</v>
          </cell>
          <cell r="K149" t="str">
            <v>Técnico Superior</v>
          </cell>
          <cell r="L149" t="str">
            <v>Si</v>
          </cell>
          <cell r="O149" t="str">
            <v>Lic. Enfermería</v>
          </cell>
        </row>
        <row r="150">
          <cell r="C150" t="str">
            <v>marioles fayat medina</v>
          </cell>
          <cell r="E150" t="str">
            <v>F</v>
          </cell>
          <cell r="F150" t="str">
            <v>blanca</v>
          </cell>
          <cell r="K150" t="str">
            <v>Técnico Superior</v>
          </cell>
          <cell r="L150" t="str">
            <v>Si</v>
          </cell>
          <cell r="O150" t="str">
            <v>Lic. Enfermería</v>
          </cell>
        </row>
        <row r="151">
          <cell r="C151" t="str">
            <v>Merquis Manual Castellanos</v>
          </cell>
          <cell r="E151" t="str">
            <v>F</v>
          </cell>
          <cell r="F151" t="str">
            <v>negra</v>
          </cell>
          <cell r="K151" t="str">
            <v>Técnico Superior</v>
          </cell>
          <cell r="L151" t="str">
            <v>Si</v>
          </cell>
          <cell r="O151" t="str">
            <v>Lic. Enfermería</v>
          </cell>
        </row>
        <row r="152">
          <cell r="C152" t="str">
            <v>Miladis Samé Elias</v>
          </cell>
          <cell r="E152" t="str">
            <v>F</v>
          </cell>
          <cell r="F152" t="str">
            <v>mestiza</v>
          </cell>
          <cell r="K152" t="str">
            <v>Técnico Superior</v>
          </cell>
          <cell r="L152" t="str">
            <v>Si</v>
          </cell>
          <cell r="O152" t="str">
            <v>Lic. Enfermería</v>
          </cell>
        </row>
        <row r="153">
          <cell r="C153" t="str">
            <v>Mileidis Elias Perez</v>
          </cell>
          <cell r="E153" t="str">
            <v>F</v>
          </cell>
          <cell r="F153" t="str">
            <v>blanca</v>
          </cell>
          <cell r="K153" t="str">
            <v>Técnico Superior</v>
          </cell>
          <cell r="L153" t="str">
            <v>Si</v>
          </cell>
          <cell r="O153" t="str">
            <v>Lic. Enfermería</v>
          </cell>
        </row>
        <row r="154">
          <cell r="C154" t="str">
            <v>Alina Sanchez Del Canto</v>
          </cell>
          <cell r="E154" t="str">
            <v>F</v>
          </cell>
          <cell r="F154" t="str">
            <v>blanca</v>
          </cell>
          <cell r="K154" t="str">
            <v>Técnico Superior</v>
          </cell>
          <cell r="L154" t="str">
            <v>Si</v>
          </cell>
          <cell r="O154" t="str">
            <v>Lic. Enfermería</v>
          </cell>
        </row>
        <row r="155">
          <cell r="C155" t="str">
            <v>Nury Rivera Arvelo</v>
          </cell>
          <cell r="E155" t="str">
            <v>F</v>
          </cell>
          <cell r="F155" t="str">
            <v>blanca</v>
          </cell>
          <cell r="K155" t="str">
            <v>Técnico Superior</v>
          </cell>
          <cell r="L155" t="str">
            <v>Si</v>
          </cell>
          <cell r="O155" t="str">
            <v>Lic. Enfermería</v>
          </cell>
        </row>
        <row r="156">
          <cell r="C156" t="str">
            <v>Omara Vega Morris</v>
          </cell>
          <cell r="E156" t="str">
            <v>F</v>
          </cell>
          <cell r="F156" t="str">
            <v>mestiza</v>
          </cell>
          <cell r="K156" t="str">
            <v>Técnico Superior</v>
          </cell>
          <cell r="L156" t="str">
            <v>Si</v>
          </cell>
          <cell r="O156" t="str">
            <v>Lic. Enfermería</v>
          </cell>
        </row>
        <row r="157">
          <cell r="C157" t="str">
            <v>Orlenia Ferrer Soler</v>
          </cell>
          <cell r="E157" t="str">
            <v>F</v>
          </cell>
          <cell r="F157" t="str">
            <v>negra</v>
          </cell>
          <cell r="K157" t="str">
            <v>Técnico Superior</v>
          </cell>
          <cell r="L157" t="str">
            <v>Si</v>
          </cell>
          <cell r="O157" t="str">
            <v>Lic. Enfermería</v>
          </cell>
        </row>
        <row r="158">
          <cell r="C158" t="str">
            <v>Ramón De La Cruz Aría</v>
          </cell>
          <cell r="E158" t="str">
            <v>M</v>
          </cell>
          <cell r="F158" t="str">
            <v>blanca</v>
          </cell>
          <cell r="K158" t="str">
            <v>Técnico Superior</v>
          </cell>
          <cell r="L158" t="str">
            <v>Si</v>
          </cell>
          <cell r="O158" t="str">
            <v>Lic. Enfermería</v>
          </cell>
        </row>
        <row r="159">
          <cell r="C159" t="str">
            <v>yanelis guerra campo</v>
          </cell>
          <cell r="E159" t="str">
            <v>F</v>
          </cell>
          <cell r="F159" t="str">
            <v>negra</v>
          </cell>
          <cell r="K159" t="str">
            <v>Técnico Superior</v>
          </cell>
          <cell r="L159" t="str">
            <v>Si</v>
          </cell>
          <cell r="O159" t="str">
            <v>Lic. Enfermería</v>
          </cell>
        </row>
        <row r="160">
          <cell r="C160" t="str">
            <v>Yannay Dominico Torres</v>
          </cell>
          <cell r="E160" t="str">
            <v>F</v>
          </cell>
          <cell r="F160" t="str">
            <v>mestiza</v>
          </cell>
          <cell r="K160" t="str">
            <v>Técnico Superior</v>
          </cell>
          <cell r="L160" t="str">
            <v>Si</v>
          </cell>
          <cell r="O160" t="str">
            <v>Lic. Enfermería</v>
          </cell>
        </row>
        <row r="161">
          <cell r="C161" t="str">
            <v>YARLENIS MESTRE GARCIA</v>
          </cell>
          <cell r="E161" t="str">
            <v>F</v>
          </cell>
          <cell r="F161" t="str">
            <v>mestiza</v>
          </cell>
          <cell r="K161" t="str">
            <v>Técnico Superior</v>
          </cell>
          <cell r="L161" t="str">
            <v>Si</v>
          </cell>
          <cell r="O161" t="str">
            <v>Lic. Enfermería</v>
          </cell>
        </row>
        <row r="162">
          <cell r="C162" t="str">
            <v>Yoandris Elias Fis</v>
          </cell>
          <cell r="E162" t="str">
            <v>M</v>
          </cell>
          <cell r="F162" t="str">
            <v>negra</v>
          </cell>
          <cell r="K162" t="str">
            <v>Técnico Superior</v>
          </cell>
          <cell r="L162" t="str">
            <v>Si</v>
          </cell>
          <cell r="O162" t="str">
            <v>Lic. Enfermería</v>
          </cell>
        </row>
        <row r="163">
          <cell r="C163" t="str">
            <v>Yordani Lora Deliz</v>
          </cell>
          <cell r="E163" t="str">
            <v>F</v>
          </cell>
          <cell r="F163" t="str">
            <v>mestiza</v>
          </cell>
          <cell r="K163" t="str">
            <v>Técnico Superior</v>
          </cell>
          <cell r="L163" t="str">
            <v>Si</v>
          </cell>
          <cell r="O163" t="str">
            <v>Lic. Enfermería</v>
          </cell>
        </row>
        <row r="164">
          <cell r="C164" t="str">
            <v>Zaimara Chic Vega</v>
          </cell>
          <cell r="E164" t="str">
            <v>F</v>
          </cell>
          <cell r="F164" t="str">
            <v>mestiza</v>
          </cell>
          <cell r="K164" t="str">
            <v>Técnico Superior</v>
          </cell>
          <cell r="L164" t="str">
            <v>Si</v>
          </cell>
          <cell r="O164" t="str">
            <v>Lic. Enfermería</v>
          </cell>
        </row>
        <row r="165">
          <cell r="C165" t="str">
            <v>alina diaz fernandez</v>
          </cell>
          <cell r="E165" t="str">
            <v>F</v>
          </cell>
          <cell r="F165" t="str">
            <v>mestiza</v>
          </cell>
          <cell r="K165" t="str">
            <v>Técnico Superior</v>
          </cell>
          <cell r="L165" t="str">
            <v>Si</v>
          </cell>
          <cell r="O165" t="str">
            <v>Lic. Enfermería</v>
          </cell>
        </row>
        <row r="166">
          <cell r="C166" t="str">
            <v>Arisleis Laboy Matos</v>
          </cell>
          <cell r="E166" t="str">
            <v>F</v>
          </cell>
          <cell r="F166" t="str">
            <v>mestiza</v>
          </cell>
          <cell r="K166" t="str">
            <v>Técnico Superior</v>
          </cell>
          <cell r="L166" t="str">
            <v>Si</v>
          </cell>
          <cell r="O166" t="str">
            <v>Médico</v>
          </cell>
        </row>
        <row r="167">
          <cell r="C167" t="str">
            <v>Edel San Emeterio Milán</v>
          </cell>
          <cell r="E167" t="str">
            <v>M</v>
          </cell>
          <cell r="F167" t="str">
            <v>blanca</v>
          </cell>
          <cell r="K167" t="str">
            <v>Técnico Superior</v>
          </cell>
          <cell r="L167" t="str">
            <v>Si</v>
          </cell>
          <cell r="O167" t="str">
            <v>Médico</v>
          </cell>
        </row>
        <row r="168">
          <cell r="C168" t="str">
            <v>Elba Luiza Borrero Rodriguez</v>
          </cell>
          <cell r="E168" t="str">
            <v>F</v>
          </cell>
          <cell r="F168" t="str">
            <v>mestiza</v>
          </cell>
          <cell r="K168" t="str">
            <v>Cuadro</v>
          </cell>
          <cell r="L168" t="str">
            <v>Si</v>
          </cell>
          <cell r="O168" t="str">
            <v>Médico</v>
          </cell>
        </row>
        <row r="169">
          <cell r="C169" t="str">
            <v>Idalmis Parra Mora</v>
          </cell>
          <cell r="E169" t="str">
            <v>F</v>
          </cell>
          <cell r="F169" t="str">
            <v>blanca</v>
          </cell>
          <cell r="K169" t="str">
            <v>Técnico Superior</v>
          </cell>
          <cell r="L169" t="str">
            <v>Si</v>
          </cell>
          <cell r="O169" t="str">
            <v>Médico</v>
          </cell>
        </row>
        <row r="170">
          <cell r="C170" t="str">
            <v>ALBERTO CARBONELL CASTILLO</v>
          </cell>
          <cell r="E170" t="str">
            <v>M</v>
          </cell>
          <cell r="F170" t="str">
            <v>negra</v>
          </cell>
          <cell r="K170" t="str">
            <v>Técnico Superior</v>
          </cell>
          <cell r="L170" t="str">
            <v>Si</v>
          </cell>
          <cell r="O170" t="str">
            <v>Médico</v>
          </cell>
        </row>
        <row r="171">
          <cell r="C171" t="str">
            <v>Rafael Medardo Giralde Morán</v>
          </cell>
          <cell r="E171" t="str">
            <v>M</v>
          </cell>
          <cell r="F171" t="str">
            <v>blanca</v>
          </cell>
          <cell r="K171" t="str">
            <v>Técnico Superior</v>
          </cell>
          <cell r="L171" t="str">
            <v>Si</v>
          </cell>
          <cell r="O171" t="str">
            <v>Médico</v>
          </cell>
        </row>
        <row r="172">
          <cell r="C172" t="str">
            <v>Raisa López Castillo</v>
          </cell>
          <cell r="E172" t="str">
            <v>F</v>
          </cell>
          <cell r="F172" t="str">
            <v>mestiza</v>
          </cell>
          <cell r="K172" t="str">
            <v>Técnico Superior</v>
          </cell>
          <cell r="L172" t="str">
            <v>Si</v>
          </cell>
          <cell r="O172" t="str">
            <v>Médico</v>
          </cell>
        </row>
        <row r="173">
          <cell r="C173" t="str">
            <v>Yaimet Ramos Isaac</v>
          </cell>
          <cell r="E173" t="str">
            <v>F</v>
          </cell>
          <cell r="F173" t="str">
            <v>mestiza</v>
          </cell>
          <cell r="K173" t="str">
            <v>Cuadro</v>
          </cell>
          <cell r="L173" t="str">
            <v>Si</v>
          </cell>
          <cell r="O173" t="str">
            <v>Médico</v>
          </cell>
        </row>
        <row r="174">
          <cell r="C174" t="str">
            <v>Frank Caraballo Rondón</v>
          </cell>
          <cell r="E174" t="str">
            <v>M</v>
          </cell>
          <cell r="F174" t="str">
            <v>mestiza</v>
          </cell>
          <cell r="K174" t="str">
            <v>Técnico Superior</v>
          </cell>
          <cell r="L174" t="str">
            <v>Si</v>
          </cell>
          <cell r="O174" t="str">
            <v>Médico</v>
          </cell>
        </row>
        <row r="175">
          <cell r="C175" t="str">
            <v xml:space="preserve">Irina Velazquez Cedeño </v>
          </cell>
          <cell r="E175" t="str">
            <v>F</v>
          </cell>
          <cell r="F175" t="str">
            <v>negra</v>
          </cell>
          <cell r="K175" t="str">
            <v>Cuadro</v>
          </cell>
          <cell r="L175" t="str">
            <v>Si</v>
          </cell>
          <cell r="O175" t="str">
            <v>Médico</v>
          </cell>
        </row>
        <row r="176">
          <cell r="C176" t="str">
            <v>Yaniel Regueifero Rosado</v>
          </cell>
          <cell r="E176" t="str">
            <v>M</v>
          </cell>
          <cell r="F176" t="str">
            <v>negra</v>
          </cell>
          <cell r="K176" t="str">
            <v>Técnico Superior</v>
          </cell>
          <cell r="L176" t="str">
            <v>Si</v>
          </cell>
          <cell r="O176" t="str">
            <v>Médico</v>
          </cell>
        </row>
        <row r="177">
          <cell r="C177" t="str">
            <v>Luis Masso Mustelier</v>
          </cell>
          <cell r="E177" t="str">
            <v>M</v>
          </cell>
          <cell r="F177" t="str">
            <v>negra</v>
          </cell>
          <cell r="K177" t="str">
            <v>Cuadro</v>
          </cell>
          <cell r="L177" t="str">
            <v>No</v>
          </cell>
          <cell r="O177" t="str">
            <v>Médico</v>
          </cell>
        </row>
        <row r="178">
          <cell r="C178" t="str">
            <v>JAVIER PREMIER CARBONELL</v>
          </cell>
          <cell r="E178" t="str">
            <v>M</v>
          </cell>
          <cell r="F178" t="str">
            <v>negra</v>
          </cell>
          <cell r="K178" t="str">
            <v>Cuadro</v>
          </cell>
          <cell r="L178" t="str">
            <v>Si</v>
          </cell>
          <cell r="O178" t="str">
            <v>Médico</v>
          </cell>
        </row>
        <row r="179">
          <cell r="C179" t="str">
            <v>Adelaida Valenciano Vega</v>
          </cell>
          <cell r="E179" t="str">
            <v>F</v>
          </cell>
          <cell r="F179" t="str">
            <v>mestiza</v>
          </cell>
          <cell r="K179" t="str">
            <v>Técnico Superior</v>
          </cell>
          <cell r="L179" t="str">
            <v>Si</v>
          </cell>
          <cell r="O179" t="str">
            <v>Médico</v>
          </cell>
        </row>
        <row r="180">
          <cell r="C180" t="str">
            <v>Yuraimi Garcia LaO</v>
          </cell>
          <cell r="E180" t="str">
            <v>F</v>
          </cell>
          <cell r="F180" t="str">
            <v>negra</v>
          </cell>
          <cell r="K180" t="str">
            <v>Técnico Superior</v>
          </cell>
          <cell r="L180" t="str">
            <v>No</v>
          </cell>
          <cell r="O180" t="str">
            <v>Otros Profesionales y Especialidades</v>
          </cell>
        </row>
        <row r="181">
          <cell r="C181" t="str">
            <v>Anays Peña Guerra</v>
          </cell>
          <cell r="E181" t="str">
            <v>F</v>
          </cell>
          <cell r="F181" t="str">
            <v>blanca</v>
          </cell>
          <cell r="K181" t="str">
            <v>Técnico Superior</v>
          </cell>
          <cell r="L181" t="str">
            <v>Si</v>
          </cell>
          <cell r="O181" t="str">
            <v>Otros Profesionales y Especialidades</v>
          </cell>
        </row>
        <row r="182">
          <cell r="C182" t="str">
            <v>Donis Gendris Gónzalez</v>
          </cell>
          <cell r="E182" t="str">
            <v>M</v>
          </cell>
          <cell r="F182" t="str">
            <v>mestiza</v>
          </cell>
          <cell r="K182" t="str">
            <v>Técnico Superior</v>
          </cell>
          <cell r="L182" t="str">
            <v>Si</v>
          </cell>
          <cell r="O182" t="str">
            <v>Otros Profesionales y Especialidades</v>
          </cell>
        </row>
        <row r="183">
          <cell r="C183" t="str">
            <v>Javier Montero Beltrandis</v>
          </cell>
          <cell r="E183" t="str">
            <v>M</v>
          </cell>
          <cell r="F183" t="str">
            <v>mestiza</v>
          </cell>
          <cell r="K183" t="str">
            <v>Técnico Superior</v>
          </cell>
          <cell r="L183" t="str">
            <v>Si</v>
          </cell>
          <cell r="O183" t="str">
            <v>Otros Profesionales y Especialidades</v>
          </cell>
        </row>
        <row r="184">
          <cell r="C184" t="str">
            <v>Yohendris Charles Leon</v>
          </cell>
          <cell r="E184" t="str">
            <v>M</v>
          </cell>
          <cell r="F184" t="str">
            <v>mestiza</v>
          </cell>
          <cell r="K184" t="str">
            <v>Técnico Superior</v>
          </cell>
          <cell r="L184" t="str">
            <v>Si</v>
          </cell>
          <cell r="O184" t="str">
            <v>Otros Profesionales y Especialidades</v>
          </cell>
        </row>
        <row r="185">
          <cell r="C185" t="str">
            <v>Maria De Los Angeles Salazar Cobas</v>
          </cell>
          <cell r="E185" t="str">
            <v>F</v>
          </cell>
          <cell r="F185" t="str">
            <v>mestiza</v>
          </cell>
          <cell r="K185" t="str">
            <v>Técnico Superior</v>
          </cell>
          <cell r="L185" t="str">
            <v>Si</v>
          </cell>
          <cell r="O185" t="str">
            <v>Otros Profesionales y Especialidades</v>
          </cell>
        </row>
        <row r="186">
          <cell r="C186" t="str">
            <v>MARTHA ROSADO ESTRADA</v>
          </cell>
          <cell r="E186" t="str">
            <v>F</v>
          </cell>
          <cell r="F186" t="str">
            <v>negra</v>
          </cell>
          <cell r="K186" t="str">
            <v>Servicio</v>
          </cell>
          <cell r="L186" t="str">
            <v>Si</v>
          </cell>
          <cell r="O186" t="str">
            <v>Otros Profesionales y Especialidades</v>
          </cell>
        </row>
        <row r="187">
          <cell r="C187" t="str">
            <v>Neuwel González Andrial</v>
          </cell>
          <cell r="E187" t="str">
            <v>M</v>
          </cell>
          <cell r="F187" t="str">
            <v>mestiza</v>
          </cell>
          <cell r="K187" t="str">
            <v>Técnico Superior</v>
          </cell>
          <cell r="L187" t="str">
            <v>Si</v>
          </cell>
          <cell r="O187" t="str">
            <v>Otros Profesionales y Especialidades</v>
          </cell>
        </row>
        <row r="188">
          <cell r="C188" t="str">
            <v>Reynier Reyes Savón</v>
          </cell>
          <cell r="E188" t="str">
            <v>M</v>
          </cell>
          <cell r="F188" t="str">
            <v>blanca</v>
          </cell>
          <cell r="K188" t="str">
            <v>Operario</v>
          </cell>
          <cell r="L188" t="str">
            <v>Si</v>
          </cell>
          <cell r="O188" t="str">
            <v>Otros Profesionales y Especialidades</v>
          </cell>
        </row>
        <row r="189">
          <cell r="C189" t="str">
            <v>ROSA CAJIGAL MENDOZA</v>
          </cell>
          <cell r="E189" t="str">
            <v>F</v>
          </cell>
          <cell r="F189" t="str">
            <v>mestiza</v>
          </cell>
          <cell r="K189" t="str">
            <v>Técnico Superior</v>
          </cell>
          <cell r="L189" t="str">
            <v>Si</v>
          </cell>
          <cell r="O189" t="str">
            <v>Otros Profesionales y Especialidades</v>
          </cell>
        </row>
        <row r="190">
          <cell r="C190" t="str">
            <v>Téofilo Danilo Céspede Guillén</v>
          </cell>
          <cell r="E190" t="str">
            <v>M</v>
          </cell>
          <cell r="F190" t="str">
            <v>mestiza</v>
          </cell>
          <cell r="K190" t="str">
            <v>Operario</v>
          </cell>
          <cell r="L190" t="str">
            <v>Si</v>
          </cell>
          <cell r="O190" t="str">
            <v>Otros Profesionales y Especialidades</v>
          </cell>
        </row>
        <row r="191">
          <cell r="C191" t="str">
            <v>Yanida Sosa Vaillant</v>
          </cell>
          <cell r="E191" t="str">
            <v>F</v>
          </cell>
          <cell r="F191" t="str">
            <v>negra</v>
          </cell>
          <cell r="K191" t="str">
            <v>Técnico Superior</v>
          </cell>
          <cell r="L191" t="str">
            <v>Si</v>
          </cell>
          <cell r="O191" t="str">
            <v>Otros Profesionales y Especialidades</v>
          </cell>
        </row>
        <row r="192">
          <cell r="C192" t="str">
            <v>Yoandra Correoso González</v>
          </cell>
          <cell r="E192" t="str">
            <v>F</v>
          </cell>
          <cell r="F192" t="str">
            <v>mestiza</v>
          </cell>
          <cell r="K192" t="str">
            <v>Técnico Superior</v>
          </cell>
          <cell r="L192" t="str">
            <v>Si</v>
          </cell>
          <cell r="O192" t="str">
            <v>Otros Profesionales y Especialidades</v>
          </cell>
        </row>
        <row r="193">
          <cell r="C193" t="str">
            <v>Yoel Santana Boloy</v>
          </cell>
          <cell r="E193" t="str">
            <v>M</v>
          </cell>
          <cell r="F193" t="str">
            <v>mestiza</v>
          </cell>
          <cell r="K193" t="str">
            <v>Técnico Superior</v>
          </cell>
          <cell r="L193" t="str">
            <v>Si</v>
          </cell>
          <cell r="O193" t="str">
            <v>Otros Profesionales y Especialidades</v>
          </cell>
        </row>
        <row r="194">
          <cell r="C194" t="str">
            <v>Yunisleydis Alcantara Mercantety</v>
          </cell>
          <cell r="E194" t="str">
            <v>F</v>
          </cell>
          <cell r="F194" t="str">
            <v>mestiza</v>
          </cell>
          <cell r="K194" t="str">
            <v>Técnico Superior</v>
          </cell>
          <cell r="L194" t="str">
            <v>Si</v>
          </cell>
          <cell r="O194" t="str">
            <v>Otros Profesionales y Especialidades</v>
          </cell>
        </row>
        <row r="195">
          <cell r="C195" t="str">
            <v>Yulexy Padrón Sánchez</v>
          </cell>
          <cell r="E195" t="str">
            <v>F</v>
          </cell>
          <cell r="F195" t="str">
            <v>blanca</v>
          </cell>
          <cell r="K195" t="str">
            <v>Cuadro</v>
          </cell>
          <cell r="L195" t="str">
            <v>Si</v>
          </cell>
          <cell r="O195" t="str">
            <v>Otros Profesionales y Especialidades</v>
          </cell>
        </row>
        <row r="196">
          <cell r="C196" t="str">
            <v>Adriannis Azcanio Gómez</v>
          </cell>
          <cell r="E196" t="str">
            <v>M</v>
          </cell>
          <cell r="F196" t="str">
            <v>mestiza</v>
          </cell>
          <cell r="K196" t="str">
            <v>Técnico Superior</v>
          </cell>
          <cell r="L196" t="str">
            <v>No</v>
          </cell>
          <cell r="O196" t="str">
            <v>Otros Profesionales y Especialidades</v>
          </cell>
        </row>
        <row r="197">
          <cell r="C197" t="str">
            <v>Yordanis Rodolfo Arguelles Fonseca</v>
          </cell>
          <cell r="E197" t="str">
            <v>M</v>
          </cell>
          <cell r="F197" t="str">
            <v>blanca</v>
          </cell>
          <cell r="K197" t="str">
            <v>Técnico Superior</v>
          </cell>
          <cell r="L197" t="str">
            <v>No</v>
          </cell>
          <cell r="O197" t="str">
            <v>Otros Profesionales y Especialidades</v>
          </cell>
        </row>
        <row r="198">
          <cell r="C198" t="str">
            <v>Anisley Batista Carreño</v>
          </cell>
          <cell r="E198" t="str">
            <v>F</v>
          </cell>
          <cell r="F198" t="str">
            <v>mestiza</v>
          </cell>
          <cell r="K198" t="str">
            <v>Técnico Superior</v>
          </cell>
          <cell r="L198" t="str">
            <v>No</v>
          </cell>
          <cell r="O198" t="str">
            <v>Otros Profesionales y Especialidades</v>
          </cell>
        </row>
        <row r="199">
          <cell r="C199" t="str">
            <v>Iris Esther Gutierrez Orozco</v>
          </cell>
          <cell r="E199" t="str">
            <v>F</v>
          </cell>
          <cell r="F199" t="str">
            <v>negra</v>
          </cell>
          <cell r="K199" t="str">
            <v>Técnico Superior</v>
          </cell>
          <cell r="L199" t="str">
            <v>Si</v>
          </cell>
          <cell r="O199" t="str">
            <v>Otros Profesionales y Especialidades</v>
          </cell>
        </row>
        <row r="200">
          <cell r="C200" t="str">
            <v>Adis Lisis Castro López</v>
          </cell>
          <cell r="E200" t="str">
            <v>F</v>
          </cell>
          <cell r="F200" t="str">
            <v>blanca</v>
          </cell>
          <cell r="K200" t="str">
            <v>Técnico Superior</v>
          </cell>
          <cell r="L200" t="str">
            <v>Si</v>
          </cell>
          <cell r="O200" t="str">
            <v>Otros Profesionales y Especialidades</v>
          </cell>
        </row>
        <row r="201">
          <cell r="C201" t="str">
            <v>Elayne Rizo Garbey</v>
          </cell>
          <cell r="E201" t="str">
            <v>F</v>
          </cell>
          <cell r="F201" t="str">
            <v>negra</v>
          </cell>
          <cell r="K201" t="str">
            <v>Cuadro</v>
          </cell>
          <cell r="L201" t="str">
            <v>Si</v>
          </cell>
          <cell r="O201" t="str">
            <v>Otros Profesionales y Especialidades</v>
          </cell>
        </row>
        <row r="202">
          <cell r="C202" t="str">
            <v>Daimi Masso Padilla</v>
          </cell>
          <cell r="E202" t="str">
            <v>F</v>
          </cell>
          <cell r="F202" t="str">
            <v>negra</v>
          </cell>
          <cell r="K202" t="str">
            <v>Técnico Superior</v>
          </cell>
          <cell r="L202" t="str">
            <v>No</v>
          </cell>
          <cell r="O202" t="str">
            <v>Otros Profesionales y Especialidades</v>
          </cell>
        </row>
        <row r="203">
          <cell r="C203" t="str">
            <v>Niraldo LaO Veranes</v>
          </cell>
          <cell r="E203" t="str">
            <v>M</v>
          </cell>
          <cell r="F203" t="str">
            <v>negra</v>
          </cell>
          <cell r="K203" t="str">
            <v>Operario</v>
          </cell>
          <cell r="L203" t="str">
            <v>Si</v>
          </cell>
          <cell r="O203" t="str">
            <v>Otros Profesionales y Especialidades</v>
          </cell>
        </row>
        <row r="204">
          <cell r="C204" t="str">
            <v>Odelkis Moya Elis</v>
          </cell>
          <cell r="E204" t="str">
            <v>M</v>
          </cell>
          <cell r="F204" t="str">
            <v>mestiza</v>
          </cell>
          <cell r="K204" t="str">
            <v>Operario</v>
          </cell>
          <cell r="L204" t="str">
            <v>Si</v>
          </cell>
          <cell r="O204" t="str">
            <v>Otros Profesionales y Especialidades</v>
          </cell>
        </row>
        <row r="205">
          <cell r="C205" t="str">
            <v>Yulieser Contador Magaña</v>
          </cell>
          <cell r="E205" t="str">
            <v>M</v>
          </cell>
          <cell r="F205" t="str">
            <v>blanca</v>
          </cell>
          <cell r="K205" t="str">
            <v>Servicio</v>
          </cell>
          <cell r="L205" t="str">
            <v>Si</v>
          </cell>
          <cell r="O205" t="str">
            <v>Técnico No Formado Salud</v>
          </cell>
        </row>
        <row r="206">
          <cell r="C206" t="str">
            <v>Pedro Antonio Saavedra Alcedo</v>
          </cell>
          <cell r="E206" t="str">
            <v>M</v>
          </cell>
          <cell r="F206" t="str">
            <v>mestiza</v>
          </cell>
          <cell r="K206" t="str">
            <v>Operario</v>
          </cell>
          <cell r="L206" t="str">
            <v>No</v>
          </cell>
          <cell r="O206" t="str">
            <v>Técnico No Formado Salud</v>
          </cell>
        </row>
        <row r="207">
          <cell r="C207" t="str">
            <v>Yendris Pérez Roque</v>
          </cell>
          <cell r="E207" t="str">
            <v>M</v>
          </cell>
          <cell r="F207" t="str">
            <v>mestiza</v>
          </cell>
          <cell r="K207" t="str">
            <v>Técnico Medio</v>
          </cell>
          <cell r="L207" t="str">
            <v>No</v>
          </cell>
          <cell r="O207" t="str">
            <v>Técnico No Formado Salud</v>
          </cell>
        </row>
        <row r="208">
          <cell r="C208" t="str">
            <v>Malvis Aylin Charón Díaz</v>
          </cell>
          <cell r="E208" t="str">
            <v>F</v>
          </cell>
          <cell r="F208" t="str">
            <v>mestiza</v>
          </cell>
          <cell r="K208" t="str">
            <v>Técnico Medio</v>
          </cell>
          <cell r="L208" t="str">
            <v>No</v>
          </cell>
          <cell r="O208" t="str">
            <v>Técnico Formado Salud</v>
          </cell>
        </row>
        <row r="209">
          <cell r="C209" t="str">
            <v>Inaidis Agramonte Fis</v>
          </cell>
          <cell r="E209" t="str">
            <v>F</v>
          </cell>
          <cell r="F209" t="str">
            <v>mestiza</v>
          </cell>
          <cell r="K209" t="str">
            <v>Técnico Medio</v>
          </cell>
          <cell r="L209" t="str">
            <v>No</v>
          </cell>
          <cell r="O209" t="str">
            <v>Técnico No Formado Salud</v>
          </cell>
        </row>
        <row r="210">
          <cell r="C210" t="str">
            <v>Lismaris Lescay Durruty</v>
          </cell>
          <cell r="E210" t="str">
            <v>F</v>
          </cell>
          <cell r="F210" t="str">
            <v>mestiza</v>
          </cell>
          <cell r="K210" t="str">
            <v>Técnico Medio</v>
          </cell>
          <cell r="L210" t="str">
            <v>No</v>
          </cell>
          <cell r="O210" t="str">
            <v>Técnico No Formado Salud</v>
          </cell>
        </row>
        <row r="211">
          <cell r="C211" t="str">
            <v>Martha Rodriguez Vinent</v>
          </cell>
          <cell r="E211" t="str">
            <v>F</v>
          </cell>
          <cell r="F211" t="str">
            <v>negra</v>
          </cell>
          <cell r="K211" t="str">
            <v>Técnico Medio</v>
          </cell>
          <cell r="L211" t="str">
            <v>Si</v>
          </cell>
          <cell r="O211" t="str">
            <v>Técnico No Formado Salud</v>
          </cell>
        </row>
        <row r="212">
          <cell r="C212" t="str">
            <v>Liduska Rodriguez Rodriguez</v>
          </cell>
          <cell r="E212" t="str">
            <v>F</v>
          </cell>
          <cell r="F212" t="str">
            <v>blanca</v>
          </cell>
          <cell r="K212" t="str">
            <v>Técnico Medio</v>
          </cell>
          <cell r="L212" t="str">
            <v>Si</v>
          </cell>
          <cell r="O212" t="str">
            <v>Técnico No Formado Salud</v>
          </cell>
        </row>
        <row r="213">
          <cell r="C213" t="str">
            <v>Yadira Palacio Cascaret</v>
          </cell>
          <cell r="E213" t="str">
            <v>F</v>
          </cell>
          <cell r="F213" t="str">
            <v>mestiza</v>
          </cell>
          <cell r="K213" t="str">
            <v>Técnico Medio</v>
          </cell>
          <cell r="L213" t="str">
            <v>Si</v>
          </cell>
          <cell r="O213" t="str">
            <v>Técnico No Formado Salud</v>
          </cell>
        </row>
        <row r="214">
          <cell r="C214" t="str">
            <v>Yuney Real Thaureaux</v>
          </cell>
          <cell r="E214" t="str">
            <v>F</v>
          </cell>
          <cell r="F214" t="str">
            <v>mestiza</v>
          </cell>
          <cell r="K214" t="str">
            <v>Técnico Superior</v>
          </cell>
          <cell r="L214" t="str">
            <v>Si</v>
          </cell>
          <cell r="O214" t="str">
            <v>Técnico No Formado Salud</v>
          </cell>
        </row>
        <row r="215">
          <cell r="C215" t="str">
            <v>Rolando Martinez Aguilar</v>
          </cell>
          <cell r="E215" t="str">
            <v>M</v>
          </cell>
          <cell r="F215" t="str">
            <v>blanca</v>
          </cell>
          <cell r="K215" t="str">
            <v>Técnico Medio</v>
          </cell>
          <cell r="L215" t="str">
            <v>No</v>
          </cell>
          <cell r="O215" t="str">
            <v>Técnico No Formado Salud</v>
          </cell>
        </row>
        <row r="216">
          <cell r="C216" t="str">
            <v>Armelis Chavez Lao</v>
          </cell>
          <cell r="E216" t="str">
            <v>F</v>
          </cell>
          <cell r="F216" t="str">
            <v>mestiza</v>
          </cell>
          <cell r="K216" t="str">
            <v>Técnico Medio</v>
          </cell>
          <cell r="L216" t="str">
            <v>Si</v>
          </cell>
          <cell r="O216" t="str">
            <v>Técnico No Formado Salud</v>
          </cell>
        </row>
        <row r="217">
          <cell r="C217" t="str">
            <v>Niuvis Rodriguez Diaz</v>
          </cell>
          <cell r="E217" t="str">
            <v>F</v>
          </cell>
          <cell r="F217" t="str">
            <v>mestiza</v>
          </cell>
          <cell r="K217" t="str">
            <v>Técnico Medio</v>
          </cell>
          <cell r="L217" t="str">
            <v>No</v>
          </cell>
          <cell r="O217" t="str">
            <v>Técnico No Formado Salud</v>
          </cell>
        </row>
        <row r="218">
          <cell r="C218" t="str">
            <v>Amarilis la Montaña Izaguirre</v>
          </cell>
          <cell r="E218" t="str">
            <v>F</v>
          </cell>
          <cell r="F218" t="str">
            <v>negra</v>
          </cell>
          <cell r="K218" t="str">
            <v>Servicio</v>
          </cell>
          <cell r="L218" t="str">
            <v>Si</v>
          </cell>
          <cell r="O218" t="str">
            <v>Otros No Técnicos</v>
          </cell>
        </row>
        <row r="219">
          <cell r="C219" t="str">
            <v>Arquimedes del Río Téllez</v>
          </cell>
          <cell r="E219" t="str">
            <v>M</v>
          </cell>
          <cell r="F219" t="str">
            <v>negra</v>
          </cell>
          <cell r="K219" t="str">
            <v>Operario</v>
          </cell>
          <cell r="L219" t="str">
            <v>Si</v>
          </cell>
          <cell r="O219" t="str">
            <v>Otros No Técnicos</v>
          </cell>
        </row>
        <row r="220">
          <cell r="C220" t="str">
            <v>Carlos Calas Campo</v>
          </cell>
          <cell r="E220" t="str">
            <v>M</v>
          </cell>
          <cell r="F220" t="str">
            <v>blanca</v>
          </cell>
          <cell r="K220" t="str">
            <v>Operario</v>
          </cell>
          <cell r="L220" t="str">
            <v>Si</v>
          </cell>
          <cell r="O220" t="str">
            <v>Otros No Técnicos</v>
          </cell>
        </row>
        <row r="221">
          <cell r="C221" t="str">
            <v>Dannielis Bles Delás</v>
          </cell>
          <cell r="E221" t="str">
            <v>F</v>
          </cell>
          <cell r="F221" t="str">
            <v>blanca</v>
          </cell>
          <cell r="K221" t="str">
            <v>Técnico Medio</v>
          </cell>
          <cell r="L221" t="str">
            <v>Si</v>
          </cell>
          <cell r="O221" t="str">
            <v>Otros No Técnicos</v>
          </cell>
        </row>
        <row r="222">
          <cell r="C222" t="str">
            <v>DENIS DEBROT CARRION</v>
          </cell>
          <cell r="E222" t="str">
            <v>M</v>
          </cell>
          <cell r="F222" t="str">
            <v>negra</v>
          </cell>
          <cell r="K222" t="str">
            <v>Servicio</v>
          </cell>
          <cell r="L222" t="str">
            <v>Si</v>
          </cell>
          <cell r="O222" t="str">
            <v>Otros No Técnicos</v>
          </cell>
        </row>
        <row r="223">
          <cell r="C223" t="str">
            <v>Dianisbel Mendoza Rodicio</v>
          </cell>
          <cell r="E223" t="str">
            <v>F</v>
          </cell>
          <cell r="F223" t="str">
            <v>blanca</v>
          </cell>
          <cell r="K223" t="str">
            <v>Técnico Medio</v>
          </cell>
          <cell r="L223" t="str">
            <v>Si</v>
          </cell>
          <cell r="O223" t="str">
            <v>Otros No Técnicos</v>
          </cell>
        </row>
        <row r="224">
          <cell r="C224" t="str">
            <v>Dignora Merencio Martinez</v>
          </cell>
          <cell r="E224" t="str">
            <v>F</v>
          </cell>
          <cell r="F224" t="str">
            <v>mestiza</v>
          </cell>
          <cell r="K224" t="str">
            <v>Servicio</v>
          </cell>
          <cell r="L224" t="str">
            <v>Si</v>
          </cell>
          <cell r="O224" t="str">
            <v>Otros No Técnicos</v>
          </cell>
        </row>
        <row r="225">
          <cell r="C225" t="str">
            <v>Dilbenis Ortega Massó</v>
          </cell>
          <cell r="E225" t="str">
            <v>M</v>
          </cell>
          <cell r="F225" t="str">
            <v>negra</v>
          </cell>
          <cell r="K225" t="str">
            <v>Técnico Medio</v>
          </cell>
          <cell r="L225" t="str">
            <v>Si</v>
          </cell>
          <cell r="O225" t="str">
            <v>Otros No Técnicos</v>
          </cell>
        </row>
        <row r="226">
          <cell r="C226" t="str">
            <v>Doranelly Domínguez Ricardo</v>
          </cell>
          <cell r="E226" t="str">
            <v>F</v>
          </cell>
          <cell r="F226" t="str">
            <v>blanca</v>
          </cell>
          <cell r="K226" t="str">
            <v>Técnico Medio</v>
          </cell>
          <cell r="L226" t="str">
            <v>Si</v>
          </cell>
          <cell r="O226" t="str">
            <v>Otros No Técnicos</v>
          </cell>
        </row>
        <row r="227">
          <cell r="C227" t="str">
            <v>Yaneisys Rodriguez Arroyo</v>
          </cell>
          <cell r="E227" t="str">
            <v>F</v>
          </cell>
          <cell r="F227" t="str">
            <v>negra</v>
          </cell>
          <cell r="K227" t="str">
            <v>Técnico Medio</v>
          </cell>
          <cell r="L227" t="str">
            <v>No</v>
          </cell>
          <cell r="O227" t="str">
            <v>Otros No Técnicos</v>
          </cell>
        </row>
        <row r="228">
          <cell r="C228" t="str">
            <v>Eduardo Soler Veranes</v>
          </cell>
          <cell r="E228" t="str">
            <v>M</v>
          </cell>
          <cell r="F228" t="str">
            <v>negra</v>
          </cell>
          <cell r="K228" t="str">
            <v>Operario</v>
          </cell>
          <cell r="L228" t="str">
            <v>Si</v>
          </cell>
          <cell r="O228" t="str">
            <v>Otros No Técnicos</v>
          </cell>
        </row>
        <row r="229">
          <cell r="C229" t="str">
            <v>Elia Zuzel Columbié Castellanos</v>
          </cell>
          <cell r="E229" t="str">
            <v>F</v>
          </cell>
          <cell r="F229" t="str">
            <v>negra</v>
          </cell>
          <cell r="K229" t="str">
            <v>Servicio</v>
          </cell>
          <cell r="L229" t="str">
            <v>Si</v>
          </cell>
          <cell r="O229" t="str">
            <v>Otros No Técnicos</v>
          </cell>
        </row>
        <row r="230">
          <cell r="C230" t="str">
            <v>Elsa María Cauriaux Cadete</v>
          </cell>
          <cell r="E230" t="str">
            <v>F</v>
          </cell>
          <cell r="F230" t="str">
            <v>mestiza</v>
          </cell>
          <cell r="K230" t="str">
            <v>Técnico Medio</v>
          </cell>
          <cell r="L230" t="str">
            <v>Si</v>
          </cell>
          <cell r="O230" t="str">
            <v>Otros No Técnicos</v>
          </cell>
        </row>
        <row r="231">
          <cell r="C231" t="str">
            <v>Esmeraldo Brito Gimeno</v>
          </cell>
          <cell r="E231" t="str">
            <v>M</v>
          </cell>
          <cell r="F231" t="str">
            <v>mestiza</v>
          </cell>
          <cell r="K231" t="str">
            <v>Operario</v>
          </cell>
          <cell r="L231" t="str">
            <v>Si</v>
          </cell>
          <cell r="O231" t="str">
            <v>Otros No Técnicos</v>
          </cell>
        </row>
        <row r="232">
          <cell r="C232" t="str">
            <v>GILBERTO RODRIGUEZ MONTES DE OCA</v>
          </cell>
          <cell r="E232" t="str">
            <v>M</v>
          </cell>
          <cell r="F232" t="str">
            <v>mestiza</v>
          </cell>
          <cell r="K232" t="str">
            <v>Operario</v>
          </cell>
          <cell r="L232" t="str">
            <v>Si</v>
          </cell>
          <cell r="O232" t="str">
            <v>Otros No Técnicos</v>
          </cell>
        </row>
        <row r="233">
          <cell r="C233" t="str">
            <v>Gina León Soto</v>
          </cell>
          <cell r="E233" t="str">
            <v>F</v>
          </cell>
          <cell r="F233" t="str">
            <v>mestiza</v>
          </cell>
          <cell r="K233" t="str">
            <v>Técnico Medio</v>
          </cell>
          <cell r="L233" t="str">
            <v>Si</v>
          </cell>
          <cell r="O233" t="str">
            <v>Otros No Técnicos</v>
          </cell>
        </row>
        <row r="234">
          <cell r="C234" t="str">
            <v>Héctor Elias Pérez</v>
          </cell>
          <cell r="E234" t="str">
            <v>M</v>
          </cell>
          <cell r="F234" t="str">
            <v>mestiza</v>
          </cell>
          <cell r="K234" t="str">
            <v>Operario</v>
          </cell>
          <cell r="L234" t="str">
            <v>Si</v>
          </cell>
          <cell r="O234" t="str">
            <v>Otros No Técnicos</v>
          </cell>
        </row>
        <row r="235">
          <cell r="C235" t="str">
            <v>Hector Ochoa Pérez</v>
          </cell>
          <cell r="E235" t="str">
            <v>M</v>
          </cell>
          <cell r="F235" t="str">
            <v>blanca</v>
          </cell>
          <cell r="K235" t="str">
            <v>Operario</v>
          </cell>
          <cell r="L235" t="str">
            <v>Si</v>
          </cell>
          <cell r="O235" t="str">
            <v>Otros No Técnicos</v>
          </cell>
        </row>
        <row r="236">
          <cell r="C236" t="str">
            <v>Joel Garbey Borrero</v>
          </cell>
          <cell r="E236" t="str">
            <v>M</v>
          </cell>
          <cell r="F236" t="str">
            <v>negra</v>
          </cell>
          <cell r="K236" t="str">
            <v>Servicio</v>
          </cell>
          <cell r="L236" t="str">
            <v>Si</v>
          </cell>
          <cell r="O236" t="str">
            <v>Otros No Técnicos</v>
          </cell>
        </row>
        <row r="237">
          <cell r="C237" t="str">
            <v>jorge aurelio perdomo  vernhes</v>
          </cell>
          <cell r="E237" t="str">
            <v>M</v>
          </cell>
          <cell r="F237" t="str">
            <v>mestiza</v>
          </cell>
          <cell r="K237" t="str">
            <v>Operario</v>
          </cell>
          <cell r="L237" t="str">
            <v>Si</v>
          </cell>
          <cell r="O237" t="str">
            <v>Otros No Técnicos</v>
          </cell>
        </row>
        <row r="238">
          <cell r="C238" t="str">
            <v>JORGE ENRIQUE BOLOY CARDERO</v>
          </cell>
          <cell r="E238" t="str">
            <v>M</v>
          </cell>
          <cell r="F238" t="str">
            <v>mestiza</v>
          </cell>
          <cell r="K238" t="str">
            <v>Operario</v>
          </cell>
          <cell r="L238" t="str">
            <v>Si</v>
          </cell>
          <cell r="O238" t="str">
            <v>Otros No Técnicos</v>
          </cell>
        </row>
        <row r="239">
          <cell r="C239" t="str">
            <v>Jorge Luis Hernández Sánchez</v>
          </cell>
          <cell r="E239" t="str">
            <v>M</v>
          </cell>
          <cell r="F239" t="str">
            <v>mestiza</v>
          </cell>
          <cell r="K239" t="str">
            <v>Técnico Medio</v>
          </cell>
          <cell r="L239" t="str">
            <v>Si</v>
          </cell>
          <cell r="O239" t="str">
            <v>Otros No Técnicos</v>
          </cell>
        </row>
        <row r="240">
          <cell r="C240" t="str">
            <v>JORGE LUIS ISSAC GARCIA</v>
          </cell>
          <cell r="E240" t="str">
            <v>M</v>
          </cell>
          <cell r="F240" t="str">
            <v>mestiza</v>
          </cell>
          <cell r="K240" t="str">
            <v>Operario</v>
          </cell>
          <cell r="L240" t="str">
            <v>Si</v>
          </cell>
          <cell r="O240" t="str">
            <v>Otros No Técnicos</v>
          </cell>
        </row>
        <row r="241">
          <cell r="C241" t="str">
            <v>Jorge Luis Vinent Games</v>
          </cell>
          <cell r="E241" t="str">
            <v>M</v>
          </cell>
          <cell r="F241" t="str">
            <v>negra</v>
          </cell>
          <cell r="K241" t="str">
            <v>Operario</v>
          </cell>
          <cell r="L241" t="str">
            <v>Si</v>
          </cell>
          <cell r="O241" t="str">
            <v>Otros No Técnicos</v>
          </cell>
        </row>
        <row r="242">
          <cell r="C242" t="str">
            <v>José Carlos Garcia Pérez</v>
          </cell>
          <cell r="E242" t="str">
            <v>M</v>
          </cell>
          <cell r="F242" t="str">
            <v>blanca</v>
          </cell>
          <cell r="K242" t="str">
            <v>Operario</v>
          </cell>
          <cell r="L242" t="str">
            <v>Si</v>
          </cell>
          <cell r="O242" t="str">
            <v>Otros No Técnicos</v>
          </cell>
        </row>
        <row r="243">
          <cell r="C243" t="str">
            <v>KIORBIS CHARLES GONZALEZ</v>
          </cell>
          <cell r="E243" t="str">
            <v>M</v>
          </cell>
          <cell r="F243" t="str">
            <v>mestiza</v>
          </cell>
          <cell r="K243" t="str">
            <v>Servicio</v>
          </cell>
          <cell r="L243" t="str">
            <v>Si</v>
          </cell>
          <cell r="O243" t="str">
            <v>Otros No Técnicos</v>
          </cell>
        </row>
        <row r="244">
          <cell r="C244" t="str">
            <v>Liubal Anaya Boloy</v>
          </cell>
          <cell r="E244" t="str">
            <v>M</v>
          </cell>
          <cell r="F244" t="str">
            <v>negra</v>
          </cell>
          <cell r="K244" t="str">
            <v>Operario</v>
          </cell>
          <cell r="L244" t="str">
            <v>Si</v>
          </cell>
          <cell r="O244" t="str">
            <v>Otros No Técnicos</v>
          </cell>
        </row>
        <row r="245">
          <cell r="C245" t="str">
            <v>María Magdalena Oliva Nalce</v>
          </cell>
          <cell r="E245" t="str">
            <v>F</v>
          </cell>
          <cell r="F245" t="str">
            <v>negra</v>
          </cell>
          <cell r="K245" t="str">
            <v>Servicio</v>
          </cell>
          <cell r="L245" t="str">
            <v>Si</v>
          </cell>
          <cell r="O245" t="str">
            <v>Otros No Técnicos</v>
          </cell>
        </row>
        <row r="246">
          <cell r="C246" t="str">
            <v>Marielis Quiala Aguilera</v>
          </cell>
          <cell r="E246" t="str">
            <v>F</v>
          </cell>
          <cell r="F246" t="str">
            <v>negra</v>
          </cell>
          <cell r="K246" t="str">
            <v>Servicio</v>
          </cell>
          <cell r="L246" t="str">
            <v>Si</v>
          </cell>
          <cell r="O246" t="str">
            <v>Otros No Técnicos</v>
          </cell>
        </row>
        <row r="247">
          <cell r="C247" t="str">
            <v>Michel Rosales Rosado</v>
          </cell>
          <cell r="E247" t="str">
            <v>M</v>
          </cell>
          <cell r="F247" t="str">
            <v>mestiza</v>
          </cell>
          <cell r="K247" t="str">
            <v>Servicio</v>
          </cell>
          <cell r="L247" t="str">
            <v>Si</v>
          </cell>
          <cell r="O247" t="str">
            <v>Otros No Técnicos</v>
          </cell>
        </row>
        <row r="248">
          <cell r="C248" t="str">
            <v>Mileydis Delis Izaguirre</v>
          </cell>
          <cell r="E248" t="str">
            <v>F</v>
          </cell>
          <cell r="F248" t="str">
            <v>negra</v>
          </cell>
          <cell r="K248" t="str">
            <v>Técnico Medio</v>
          </cell>
          <cell r="L248" t="str">
            <v>Si</v>
          </cell>
          <cell r="O248" t="str">
            <v>Otros No Técnicos</v>
          </cell>
        </row>
        <row r="249">
          <cell r="C249" t="str">
            <v>Norka Fontanal Hurtado</v>
          </cell>
          <cell r="E249" t="str">
            <v>F</v>
          </cell>
          <cell r="F249" t="str">
            <v>mestiza</v>
          </cell>
          <cell r="K249" t="str">
            <v>Servicio</v>
          </cell>
          <cell r="L249" t="str">
            <v>Si</v>
          </cell>
          <cell r="O249" t="str">
            <v>Otros No Técnicos</v>
          </cell>
        </row>
        <row r="250">
          <cell r="C250" t="str">
            <v>Oscar Tamayo Cabrera</v>
          </cell>
          <cell r="E250" t="str">
            <v>M</v>
          </cell>
          <cell r="F250" t="str">
            <v>negra</v>
          </cell>
          <cell r="K250" t="str">
            <v>Operario</v>
          </cell>
          <cell r="L250" t="str">
            <v>Si</v>
          </cell>
          <cell r="O250" t="str">
            <v>Otros No Técnicos</v>
          </cell>
        </row>
        <row r="251">
          <cell r="C251" t="str">
            <v>Osvaldo Pérez Pupo</v>
          </cell>
          <cell r="E251" t="str">
            <v>M</v>
          </cell>
          <cell r="F251" t="str">
            <v>mestiza</v>
          </cell>
          <cell r="K251" t="str">
            <v>Operario</v>
          </cell>
          <cell r="L251" t="str">
            <v>Si</v>
          </cell>
          <cell r="O251" t="str">
            <v>Otros No Técnicos</v>
          </cell>
        </row>
        <row r="252">
          <cell r="C252" t="str">
            <v>Pastor Walfrido Arocha Campos</v>
          </cell>
          <cell r="E252" t="str">
            <v>M</v>
          </cell>
          <cell r="F252" t="str">
            <v>mestiza</v>
          </cell>
          <cell r="K252" t="str">
            <v>Operario</v>
          </cell>
          <cell r="L252" t="str">
            <v>Si</v>
          </cell>
          <cell r="O252" t="str">
            <v>Otros No Técnicos</v>
          </cell>
        </row>
        <row r="253">
          <cell r="C253" t="str">
            <v>PEDRO JESUS PERDOMO VERNHE</v>
          </cell>
          <cell r="E253" t="str">
            <v>M</v>
          </cell>
          <cell r="F253" t="str">
            <v>mestiza</v>
          </cell>
          <cell r="K253" t="str">
            <v>Operario</v>
          </cell>
          <cell r="L253" t="str">
            <v>Si</v>
          </cell>
          <cell r="O253" t="str">
            <v>Otros No Técnicos</v>
          </cell>
        </row>
        <row r="254">
          <cell r="C254" t="str">
            <v>Sobeida Peña Lopez.</v>
          </cell>
          <cell r="E254" t="str">
            <v>F</v>
          </cell>
          <cell r="F254" t="str">
            <v>mestiza</v>
          </cell>
          <cell r="K254" t="str">
            <v>Servicio</v>
          </cell>
          <cell r="L254" t="str">
            <v>No</v>
          </cell>
        </row>
        <row r="255">
          <cell r="C255" t="str">
            <v>René Alberto Rodriguez Herrera</v>
          </cell>
          <cell r="E255" t="str">
            <v>M</v>
          </cell>
          <cell r="F255" t="str">
            <v>mestiza</v>
          </cell>
          <cell r="K255" t="str">
            <v>Operario</v>
          </cell>
          <cell r="L255" t="str">
            <v>Si</v>
          </cell>
          <cell r="O255" t="str">
            <v>Otros No Técnicos</v>
          </cell>
        </row>
        <row r="256">
          <cell r="C256" t="str">
            <v>Severo Argelio Fuentes Martinez</v>
          </cell>
          <cell r="E256" t="str">
            <v>M</v>
          </cell>
          <cell r="F256" t="str">
            <v>mestiza</v>
          </cell>
          <cell r="K256" t="str">
            <v>Servicio</v>
          </cell>
          <cell r="L256" t="str">
            <v>Si</v>
          </cell>
          <cell r="O256" t="str">
            <v>Otros No Técnicos</v>
          </cell>
        </row>
        <row r="257">
          <cell r="C257" t="str">
            <v>Virgen Milagros Casero Ferrer</v>
          </cell>
          <cell r="E257" t="str">
            <v>F</v>
          </cell>
          <cell r="F257" t="str">
            <v>negra</v>
          </cell>
          <cell r="K257" t="str">
            <v>Servicio</v>
          </cell>
          <cell r="L257" t="str">
            <v>Si</v>
          </cell>
          <cell r="O257" t="str">
            <v>Otros No Técnicos</v>
          </cell>
        </row>
        <row r="258">
          <cell r="C258" t="str">
            <v>YOANDRIS REVILLA CALÁS</v>
          </cell>
          <cell r="E258" t="str">
            <v>M</v>
          </cell>
          <cell r="F258" t="str">
            <v>negra</v>
          </cell>
          <cell r="K258" t="str">
            <v>Operario</v>
          </cell>
          <cell r="L258" t="str">
            <v>Si</v>
          </cell>
          <cell r="O258" t="str">
            <v>Otros No Técnicos</v>
          </cell>
        </row>
        <row r="259">
          <cell r="C259" t="str">
            <v>Yordis Alvarez Bazán</v>
          </cell>
          <cell r="E259" t="str">
            <v>M</v>
          </cell>
          <cell r="F259" t="str">
            <v>blanca</v>
          </cell>
          <cell r="K259" t="str">
            <v>Operario</v>
          </cell>
          <cell r="L259" t="str">
            <v>Si</v>
          </cell>
          <cell r="O259" t="str">
            <v>Otros No Técnicos</v>
          </cell>
        </row>
        <row r="260">
          <cell r="C260" t="str">
            <v>Yordis Torres Vallant</v>
          </cell>
          <cell r="E260" t="str">
            <v>M</v>
          </cell>
          <cell r="F260" t="str">
            <v>mestiza</v>
          </cell>
          <cell r="K260" t="str">
            <v>Servicio</v>
          </cell>
          <cell r="L260" t="str">
            <v>Si</v>
          </cell>
          <cell r="O260" t="str">
            <v>Otros No Técnicos</v>
          </cell>
        </row>
        <row r="261">
          <cell r="C261" t="str">
            <v>Graciela Vicente Tabera</v>
          </cell>
          <cell r="E261" t="str">
            <v>F</v>
          </cell>
          <cell r="F261" t="str">
            <v>Mestiza</v>
          </cell>
          <cell r="K261" t="str">
            <v>Cuadro</v>
          </cell>
          <cell r="L261" t="str">
            <v>Si</v>
          </cell>
          <cell r="O261" t="str">
            <v>Otros Profesionales y Especialidades</v>
          </cell>
        </row>
        <row r="262">
          <cell r="C262" t="str">
            <v>Yunier Herrera Montoya</v>
          </cell>
          <cell r="E262" t="str">
            <v>M</v>
          </cell>
          <cell r="F262" t="str">
            <v>mestiza</v>
          </cell>
          <cell r="K262" t="str">
            <v>Operario</v>
          </cell>
          <cell r="L262" t="str">
            <v>Si</v>
          </cell>
          <cell r="O262" t="str">
            <v>Otros No Técnicos</v>
          </cell>
        </row>
        <row r="263">
          <cell r="C263" t="str">
            <v>Alexander Ferrer Pardo</v>
          </cell>
          <cell r="E263" t="str">
            <v>M</v>
          </cell>
          <cell r="F263" t="str">
            <v>negra</v>
          </cell>
          <cell r="K263" t="str">
            <v>Operario</v>
          </cell>
          <cell r="L263" t="str">
            <v>Si</v>
          </cell>
          <cell r="O263" t="str">
            <v>Otros No Técnicos</v>
          </cell>
        </row>
        <row r="264">
          <cell r="C264" t="str">
            <v>Yoel Lago Caballero</v>
          </cell>
          <cell r="E264" t="str">
            <v>M</v>
          </cell>
          <cell r="F264" t="str">
            <v>mestiza</v>
          </cell>
          <cell r="K264" t="str">
            <v>Operario</v>
          </cell>
          <cell r="L264" t="str">
            <v>No</v>
          </cell>
          <cell r="O264" t="str">
            <v>Otros No Técnicos</v>
          </cell>
        </row>
        <row r="265">
          <cell r="C265" t="str">
            <v>Cosme Tamayo Garcia</v>
          </cell>
          <cell r="E265" t="str">
            <v>M</v>
          </cell>
          <cell r="F265" t="str">
            <v>mestiza</v>
          </cell>
          <cell r="K265" t="str">
            <v>Operario</v>
          </cell>
          <cell r="L265" t="str">
            <v>Si</v>
          </cell>
          <cell r="O265" t="str">
            <v>Otros No Técnicos</v>
          </cell>
        </row>
        <row r="266">
          <cell r="C266" t="str">
            <v>Israel Medina Cardero</v>
          </cell>
          <cell r="E266" t="str">
            <v>M</v>
          </cell>
          <cell r="F266" t="str">
            <v>negra</v>
          </cell>
          <cell r="K266" t="str">
            <v>Operario</v>
          </cell>
          <cell r="L266" t="str">
            <v>No</v>
          </cell>
          <cell r="O266" t="str">
            <v>Otros No Técnicos</v>
          </cell>
        </row>
        <row r="267">
          <cell r="C267" t="str">
            <v>Yuri Sánchez Martinez</v>
          </cell>
          <cell r="E267" t="str">
            <v>M</v>
          </cell>
          <cell r="F267" t="str">
            <v>mestiza</v>
          </cell>
          <cell r="K267" t="str">
            <v>Operario</v>
          </cell>
          <cell r="L267" t="str">
            <v>Si</v>
          </cell>
          <cell r="O267" t="str">
            <v>Otros No Técnicos</v>
          </cell>
        </row>
        <row r="268">
          <cell r="C268" t="str">
            <v>Miguel González Mendoza</v>
          </cell>
          <cell r="E268" t="str">
            <v>M</v>
          </cell>
          <cell r="F268" t="str">
            <v>negra</v>
          </cell>
          <cell r="K268" t="str">
            <v>Servicio</v>
          </cell>
          <cell r="L268" t="str">
            <v>No</v>
          </cell>
          <cell r="O268" t="str">
            <v>Otros No Técnicos</v>
          </cell>
        </row>
        <row r="269">
          <cell r="C269" t="str">
            <v>Andres Semanat Gónzalez</v>
          </cell>
          <cell r="E269" t="str">
            <v>M</v>
          </cell>
          <cell r="F269" t="str">
            <v>mestiza</v>
          </cell>
          <cell r="K269" t="str">
            <v>Servicio</v>
          </cell>
          <cell r="L269" t="str">
            <v>No</v>
          </cell>
          <cell r="O269" t="str">
            <v>Otros No Técnicos</v>
          </cell>
        </row>
        <row r="270">
          <cell r="C270" t="str">
            <v>Luis Miguel Gonzalez Martinez</v>
          </cell>
          <cell r="E270" t="str">
            <v>M</v>
          </cell>
          <cell r="F270" t="str">
            <v>mestiza</v>
          </cell>
          <cell r="K270" t="str">
            <v>Operario</v>
          </cell>
          <cell r="L270" t="str">
            <v>No</v>
          </cell>
          <cell r="O270" t="str">
            <v>Otros No Técnicos</v>
          </cell>
        </row>
        <row r="271">
          <cell r="C271" t="str">
            <v>Julio Alberto Batista Ramirez</v>
          </cell>
          <cell r="E271" t="str">
            <v>M</v>
          </cell>
          <cell r="F271" t="str">
            <v>mestiza</v>
          </cell>
          <cell r="K271" t="str">
            <v>Servicio</v>
          </cell>
          <cell r="L271" t="str">
            <v>No</v>
          </cell>
          <cell r="O271" t="str">
            <v>Otros No Técnicos</v>
          </cell>
        </row>
        <row r="272">
          <cell r="C272" t="str">
            <v>Radiel Beltran Carlo</v>
          </cell>
          <cell r="E272" t="str">
            <v>M</v>
          </cell>
          <cell r="F272" t="str">
            <v>mestiza</v>
          </cell>
          <cell r="K272" t="str">
            <v>Servicio</v>
          </cell>
          <cell r="L272" t="str">
            <v>No</v>
          </cell>
          <cell r="O272" t="str">
            <v>Otros No Técnicos</v>
          </cell>
        </row>
        <row r="273">
          <cell r="C273" t="str">
            <v>Niurkis Casero Agüero</v>
          </cell>
          <cell r="E273" t="str">
            <v>F</v>
          </cell>
          <cell r="F273" t="str">
            <v>negra</v>
          </cell>
          <cell r="K273" t="str">
            <v>Servicio</v>
          </cell>
          <cell r="L273" t="str">
            <v>No</v>
          </cell>
          <cell r="O273" t="str">
            <v>Otros No Técnicos</v>
          </cell>
        </row>
        <row r="274">
          <cell r="C274" t="str">
            <v>Odalis Perdomo Vernes</v>
          </cell>
          <cell r="E274" t="str">
            <v>F</v>
          </cell>
          <cell r="F274" t="str">
            <v>mestiza</v>
          </cell>
          <cell r="K274" t="str">
            <v>Técnico Medio</v>
          </cell>
          <cell r="L274" t="str">
            <v>Si</v>
          </cell>
          <cell r="O274" t="str">
            <v>Enfermería</v>
          </cell>
        </row>
        <row r="275">
          <cell r="C275" t="str">
            <v xml:space="preserve">Onelis Estrada Martinez </v>
          </cell>
          <cell r="E275" t="str">
            <v>F</v>
          </cell>
          <cell r="F275" t="str">
            <v>negra</v>
          </cell>
          <cell r="K275" t="str">
            <v>Técnico Medio</v>
          </cell>
          <cell r="L275" t="str">
            <v>Si</v>
          </cell>
          <cell r="O275" t="str">
            <v>Enfermería</v>
          </cell>
        </row>
        <row r="276">
          <cell r="C276" t="str">
            <v>Dianne Ferrer Benitez</v>
          </cell>
          <cell r="E276" t="str">
            <v>F</v>
          </cell>
          <cell r="F276" t="str">
            <v>Negra</v>
          </cell>
          <cell r="K276" t="str">
            <v>Técnico Medio</v>
          </cell>
          <cell r="L276" t="str">
            <v>No</v>
          </cell>
          <cell r="O276" t="str">
            <v>Enfermería</v>
          </cell>
        </row>
        <row r="277">
          <cell r="C277" t="str">
            <v>María Mercedez Delgado Muxac</v>
          </cell>
          <cell r="E277" t="str">
            <v>F</v>
          </cell>
          <cell r="F277" t="str">
            <v>mestiza</v>
          </cell>
          <cell r="K277" t="str">
            <v>Técnico Medio</v>
          </cell>
          <cell r="L277" t="str">
            <v>No</v>
          </cell>
          <cell r="O277" t="str">
            <v>Enfermería</v>
          </cell>
        </row>
        <row r="278">
          <cell r="C278" t="str">
            <v>Aida Elena Carrión Román</v>
          </cell>
          <cell r="E278" t="str">
            <v>F</v>
          </cell>
          <cell r="F278" t="str">
            <v>mestiza</v>
          </cell>
          <cell r="K278" t="str">
            <v>Técnico Superior</v>
          </cell>
          <cell r="L278" t="str">
            <v>Si</v>
          </cell>
          <cell r="O278" t="str">
            <v>Lic. en Tecnología de la Salud</v>
          </cell>
        </row>
        <row r="279">
          <cell r="C279" t="str">
            <v>Alain Denis Vargas</v>
          </cell>
          <cell r="E279" t="str">
            <v>M</v>
          </cell>
          <cell r="F279" t="str">
            <v>mestiza</v>
          </cell>
          <cell r="K279" t="str">
            <v>Técnico Superior</v>
          </cell>
          <cell r="L279" t="str">
            <v>Si</v>
          </cell>
          <cell r="O279" t="str">
            <v>Lic. en Tecnología de la Salud</v>
          </cell>
        </row>
        <row r="280">
          <cell r="C280" t="str">
            <v>Aliuska Gonzalez Suñol</v>
          </cell>
          <cell r="E280" t="str">
            <v>F</v>
          </cell>
          <cell r="F280" t="str">
            <v>blanca</v>
          </cell>
          <cell r="K280" t="str">
            <v>Técnico Superior</v>
          </cell>
          <cell r="L280" t="str">
            <v>Si</v>
          </cell>
          <cell r="O280" t="str">
            <v>Lic. en Tecnología de la Salud</v>
          </cell>
        </row>
        <row r="281">
          <cell r="C281" t="str">
            <v>Annia Carbonell Lescay</v>
          </cell>
          <cell r="E281" t="str">
            <v>F</v>
          </cell>
          <cell r="F281" t="str">
            <v>mestiza</v>
          </cell>
          <cell r="K281" t="str">
            <v>Técnico Superior</v>
          </cell>
          <cell r="L281" t="str">
            <v>Si</v>
          </cell>
          <cell r="O281" t="str">
            <v>Lic. en Tecnología de la Salud</v>
          </cell>
        </row>
        <row r="282">
          <cell r="C282" t="str">
            <v xml:space="preserve">Areidis Tamayo Jimenez </v>
          </cell>
          <cell r="E282" t="str">
            <v>F</v>
          </cell>
          <cell r="F282" t="str">
            <v>blanca</v>
          </cell>
          <cell r="K282" t="str">
            <v>Técnico Superior</v>
          </cell>
          <cell r="L282" t="str">
            <v>Si</v>
          </cell>
          <cell r="O282" t="str">
            <v>Lic. en Tecnología de la Salud</v>
          </cell>
        </row>
        <row r="283">
          <cell r="C283" t="str">
            <v>Dailin Guerra Delis</v>
          </cell>
          <cell r="E283" t="str">
            <v>F</v>
          </cell>
          <cell r="F283" t="str">
            <v>mestiza</v>
          </cell>
          <cell r="K283" t="str">
            <v>Técnico Superior</v>
          </cell>
          <cell r="L283" t="str">
            <v>Si</v>
          </cell>
          <cell r="O283" t="str">
            <v>Lic. en Tecnología de la Salud</v>
          </cell>
        </row>
        <row r="284">
          <cell r="C284" t="str">
            <v>Daliuska Gonzalez Martínez</v>
          </cell>
          <cell r="E284" t="str">
            <v>F</v>
          </cell>
          <cell r="F284" t="str">
            <v>mestiza</v>
          </cell>
          <cell r="K284" t="str">
            <v>Técnico Superior</v>
          </cell>
          <cell r="L284" t="str">
            <v>Si</v>
          </cell>
          <cell r="M284" t="str">
            <v>Lic. Bioanálisis Clínico</v>
          </cell>
          <cell r="O284" t="str">
            <v>Lic. en Tecnología de la Salud</v>
          </cell>
        </row>
        <row r="285">
          <cell r="C285" t="str">
            <v>Daniellis González Nariño</v>
          </cell>
          <cell r="E285" t="str">
            <v>F</v>
          </cell>
          <cell r="F285" t="str">
            <v>negra</v>
          </cell>
          <cell r="K285" t="str">
            <v>Técnico Superior</v>
          </cell>
          <cell r="L285" t="str">
            <v>Si</v>
          </cell>
          <cell r="O285" t="str">
            <v>Lic. en Tecnología de la Salud</v>
          </cell>
        </row>
        <row r="286">
          <cell r="C286" t="str">
            <v>Dayamis Leonard Ortíz</v>
          </cell>
          <cell r="E286" t="str">
            <v>F</v>
          </cell>
          <cell r="F286" t="str">
            <v>mestiza</v>
          </cell>
          <cell r="K286" t="str">
            <v>Técnico Superior</v>
          </cell>
          <cell r="L286" t="str">
            <v>Si</v>
          </cell>
          <cell r="O286" t="str">
            <v>Lic. en Tecnología de la Salud</v>
          </cell>
        </row>
        <row r="287">
          <cell r="C287" t="str">
            <v>Doralys Negret Ferrer</v>
          </cell>
          <cell r="E287" t="str">
            <v>F</v>
          </cell>
          <cell r="F287" t="str">
            <v>mestiza</v>
          </cell>
          <cell r="K287" t="str">
            <v>Técnico Superior</v>
          </cell>
          <cell r="L287" t="str">
            <v>Si</v>
          </cell>
          <cell r="O287" t="str">
            <v>Lic. en Tecnología de la Salud</v>
          </cell>
        </row>
        <row r="288">
          <cell r="C288" t="str">
            <v>Idelbis Delgado Fernandez</v>
          </cell>
          <cell r="E288" t="str">
            <v>F</v>
          </cell>
          <cell r="F288" t="str">
            <v>blanca</v>
          </cell>
          <cell r="K288" t="str">
            <v>Técnico Superior</v>
          </cell>
          <cell r="L288" t="str">
            <v>Si</v>
          </cell>
          <cell r="O288" t="str">
            <v>Lic. en Tecnología de la Salud</v>
          </cell>
        </row>
        <row r="289">
          <cell r="C289" t="str">
            <v>Isabel Maria Rodríguez García</v>
          </cell>
          <cell r="E289" t="str">
            <v>F</v>
          </cell>
          <cell r="F289" t="str">
            <v>blanca</v>
          </cell>
          <cell r="K289" t="str">
            <v>Técnico Superior</v>
          </cell>
          <cell r="L289" t="str">
            <v>Si</v>
          </cell>
          <cell r="O289" t="str">
            <v>Lic. en Tecnología de la Salud</v>
          </cell>
        </row>
        <row r="290">
          <cell r="C290" t="str">
            <v>Ismelis Orozco Fernandez</v>
          </cell>
          <cell r="E290" t="str">
            <v>F</v>
          </cell>
          <cell r="F290" t="str">
            <v>mestiza</v>
          </cell>
          <cell r="K290" t="str">
            <v>Técnico Superior</v>
          </cell>
          <cell r="L290" t="str">
            <v>Si</v>
          </cell>
          <cell r="O290" t="str">
            <v>Lic. en Tecnología de la Salud</v>
          </cell>
        </row>
        <row r="291">
          <cell r="C291" t="str">
            <v>Leisimeidis Escudero Perez</v>
          </cell>
          <cell r="E291" t="str">
            <v>F</v>
          </cell>
          <cell r="F291" t="str">
            <v>blanca</v>
          </cell>
          <cell r="K291" t="str">
            <v>Técnico Superior</v>
          </cell>
          <cell r="L291" t="str">
            <v>Si</v>
          </cell>
          <cell r="O291" t="str">
            <v>Lic. en Tecnología de la Salud</v>
          </cell>
        </row>
        <row r="292">
          <cell r="C292" t="str">
            <v>Licet Pineda Fernández</v>
          </cell>
          <cell r="E292" t="str">
            <v>F</v>
          </cell>
          <cell r="F292" t="str">
            <v>mestiza</v>
          </cell>
          <cell r="K292" t="str">
            <v>Técnico Superior</v>
          </cell>
          <cell r="L292" t="str">
            <v>Si</v>
          </cell>
          <cell r="O292" t="str">
            <v>Lic. en Tecnología de la Salud</v>
          </cell>
        </row>
        <row r="293">
          <cell r="C293" t="str">
            <v>LIENS LOPEZ MARTINEZ</v>
          </cell>
          <cell r="E293" t="str">
            <v>F</v>
          </cell>
          <cell r="F293" t="str">
            <v>mestiza</v>
          </cell>
          <cell r="K293" t="str">
            <v>Técnico Superior</v>
          </cell>
          <cell r="L293" t="str">
            <v>Si</v>
          </cell>
          <cell r="O293" t="str">
            <v>Lic. en Tecnología de la Salud</v>
          </cell>
        </row>
        <row r="294">
          <cell r="C294" t="str">
            <v>Marialina Ochoa Rizo</v>
          </cell>
          <cell r="E294" t="str">
            <v>F</v>
          </cell>
          <cell r="F294" t="str">
            <v>mestiza</v>
          </cell>
          <cell r="K294" t="str">
            <v>Técnico Superior</v>
          </cell>
          <cell r="L294" t="str">
            <v>Si</v>
          </cell>
          <cell r="O294" t="str">
            <v>Lic. en Tecnología de la Salud</v>
          </cell>
        </row>
        <row r="295">
          <cell r="C295" t="str">
            <v>Marileidis Fonseca Carbonell</v>
          </cell>
          <cell r="E295" t="str">
            <v>F</v>
          </cell>
          <cell r="F295" t="str">
            <v>mestiza</v>
          </cell>
          <cell r="K295" t="str">
            <v>Técnico Superior</v>
          </cell>
          <cell r="L295" t="str">
            <v>Si</v>
          </cell>
          <cell r="O295" t="str">
            <v>Lic. en Tecnología de la Salud</v>
          </cell>
        </row>
        <row r="296">
          <cell r="C296" t="str">
            <v>Mileidis Sardiñas Revé</v>
          </cell>
          <cell r="E296" t="str">
            <v>F</v>
          </cell>
          <cell r="F296" t="str">
            <v>negra</v>
          </cell>
          <cell r="K296" t="str">
            <v>Técnico Superior</v>
          </cell>
          <cell r="L296" t="str">
            <v>Si</v>
          </cell>
          <cell r="O296" t="str">
            <v>Lic. en Tecnología de la Salud</v>
          </cell>
        </row>
        <row r="297">
          <cell r="C297" t="str">
            <v>Odalis Delgado Cedeno</v>
          </cell>
          <cell r="E297" t="str">
            <v>F</v>
          </cell>
          <cell r="F297" t="str">
            <v>mestiza</v>
          </cell>
          <cell r="K297" t="str">
            <v>Técnico Superior</v>
          </cell>
          <cell r="L297" t="str">
            <v>Si</v>
          </cell>
          <cell r="O297" t="str">
            <v>Lic. en Tecnología de la Salud</v>
          </cell>
        </row>
        <row r="298">
          <cell r="C298" t="str">
            <v>Osmel Nariño Beltrán</v>
          </cell>
          <cell r="E298" t="str">
            <v>F</v>
          </cell>
          <cell r="F298" t="str">
            <v>negra</v>
          </cell>
          <cell r="K298" t="str">
            <v>Técnico Superior</v>
          </cell>
          <cell r="L298" t="str">
            <v>Si</v>
          </cell>
          <cell r="O298" t="str">
            <v>Lic. en Tecnología de la Salud</v>
          </cell>
        </row>
        <row r="299">
          <cell r="C299" t="str">
            <v>Raquel Fernández Cumbá</v>
          </cell>
          <cell r="E299" t="str">
            <v>F</v>
          </cell>
          <cell r="F299" t="str">
            <v>negra</v>
          </cell>
          <cell r="K299" t="str">
            <v>Técnico Superior</v>
          </cell>
          <cell r="L299" t="str">
            <v>Si</v>
          </cell>
          <cell r="O299" t="str">
            <v>Lic. en Tecnología de la Salud</v>
          </cell>
        </row>
        <row r="300">
          <cell r="C300" t="str">
            <v>Reyna Reyes Carrión</v>
          </cell>
          <cell r="E300" t="str">
            <v>F</v>
          </cell>
          <cell r="F300" t="str">
            <v>mestiza</v>
          </cell>
          <cell r="K300" t="str">
            <v>Técnico Superior</v>
          </cell>
          <cell r="L300" t="str">
            <v>Si</v>
          </cell>
          <cell r="O300" t="str">
            <v>Lic. en Tecnología de la Salud</v>
          </cell>
        </row>
        <row r="301">
          <cell r="C301" t="str">
            <v>Tania Guilarte Perez</v>
          </cell>
          <cell r="E301" t="str">
            <v>F</v>
          </cell>
          <cell r="F301" t="str">
            <v>mestiza</v>
          </cell>
          <cell r="K301" t="str">
            <v>Técnico Superior</v>
          </cell>
          <cell r="L301" t="str">
            <v>Si</v>
          </cell>
          <cell r="O301" t="str">
            <v>Lic. en Tecnología de la Salud</v>
          </cell>
        </row>
        <row r="302">
          <cell r="C302" t="str">
            <v>Yadenis Ojeda Mayet</v>
          </cell>
          <cell r="E302" t="str">
            <v>F</v>
          </cell>
          <cell r="F302" t="str">
            <v>mestiza</v>
          </cell>
          <cell r="K302" t="str">
            <v>Técnico Superior</v>
          </cell>
          <cell r="L302" t="str">
            <v>Si</v>
          </cell>
          <cell r="O302" t="str">
            <v>Lic. en Tecnología de la Salud</v>
          </cell>
        </row>
        <row r="303">
          <cell r="C303" t="str">
            <v>Yanka Regueiferos Caballero</v>
          </cell>
          <cell r="E303" t="str">
            <v>F</v>
          </cell>
          <cell r="F303" t="str">
            <v>mestiza</v>
          </cell>
          <cell r="K303" t="str">
            <v>Técnico Superior</v>
          </cell>
          <cell r="L303" t="str">
            <v>Si</v>
          </cell>
          <cell r="O303" t="str">
            <v>Lic. en Tecnología de la Salud</v>
          </cell>
        </row>
        <row r="304">
          <cell r="C304" t="str">
            <v>Yanuris Giró Luna</v>
          </cell>
          <cell r="E304" t="str">
            <v>F</v>
          </cell>
          <cell r="F304" t="str">
            <v>negra</v>
          </cell>
          <cell r="K304" t="str">
            <v>Técnico Superior</v>
          </cell>
          <cell r="L304" t="str">
            <v>Si</v>
          </cell>
          <cell r="O304" t="str">
            <v>Lic. en Tecnología de la Salud</v>
          </cell>
        </row>
        <row r="305">
          <cell r="C305" t="str">
            <v>Yaramí Pérez García</v>
          </cell>
          <cell r="E305" t="str">
            <v>F</v>
          </cell>
          <cell r="F305" t="str">
            <v>blanca</v>
          </cell>
          <cell r="K305" t="str">
            <v>Técnico Superior</v>
          </cell>
          <cell r="L305" t="str">
            <v>Si</v>
          </cell>
          <cell r="O305" t="str">
            <v>Lic. en Tecnología de la Salud</v>
          </cell>
        </row>
        <row r="306">
          <cell r="C306" t="str">
            <v>Yaritza Ojeda Cajigal</v>
          </cell>
          <cell r="E306" t="str">
            <v>F</v>
          </cell>
          <cell r="F306" t="str">
            <v>mestiza</v>
          </cell>
          <cell r="K306" t="str">
            <v>Técnico Superior</v>
          </cell>
          <cell r="L306" t="str">
            <v>Si</v>
          </cell>
          <cell r="O306" t="str">
            <v>Lic. en Tecnología de la Salud</v>
          </cell>
        </row>
        <row r="307">
          <cell r="C307" t="str">
            <v>Yuduleymi Castillo Sanchez</v>
          </cell>
          <cell r="E307" t="str">
            <v>F</v>
          </cell>
          <cell r="F307" t="str">
            <v>negra</v>
          </cell>
          <cell r="K307" t="str">
            <v>Cuadro</v>
          </cell>
          <cell r="L307" t="str">
            <v>Si</v>
          </cell>
          <cell r="O307" t="str">
            <v>Lic. en Tecnología de la Salud</v>
          </cell>
        </row>
        <row r="308">
          <cell r="C308" t="str">
            <v>Yuliet Medina López</v>
          </cell>
          <cell r="E308" t="str">
            <v>F</v>
          </cell>
          <cell r="F308" t="str">
            <v>mestiza</v>
          </cell>
          <cell r="K308" t="str">
            <v>Técnico Superior</v>
          </cell>
          <cell r="L308" t="str">
            <v>Si</v>
          </cell>
          <cell r="O308" t="str">
            <v>Lic. en Tecnología de la Salud</v>
          </cell>
        </row>
        <row r="309">
          <cell r="C309" t="str">
            <v>Yuneikis León Zamora</v>
          </cell>
          <cell r="E309" t="str">
            <v>F</v>
          </cell>
          <cell r="F309" t="str">
            <v>negra</v>
          </cell>
          <cell r="K309" t="str">
            <v>Técnico Superior</v>
          </cell>
          <cell r="L309" t="str">
            <v>Si</v>
          </cell>
          <cell r="O309" t="str">
            <v>Lic. en Tecnología de la Salud</v>
          </cell>
        </row>
        <row r="310">
          <cell r="C310" t="str">
            <v>Zaida  Barbara Garcia Perez</v>
          </cell>
          <cell r="E310" t="str">
            <v>F</v>
          </cell>
          <cell r="F310" t="str">
            <v>blanca</v>
          </cell>
          <cell r="K310" t="str">
            <v>Técnico Superior</v>
          </cell>
          <cell r="L310" t="str">
            <v>Si</v>
          </cell>
          <cell r="O310" t="str">
            <v>Lic. en Tecnología de la Salud</v>
          </cell>
        </row>
        <row r="311">
          <cell r="C311" t="str">
            <v>Imirsi Vargas Medina</v>
          </cell>
          <cell r="E311" t="str">
            <v>F</v>
          </cell>
          <cell r="F311" t="str">
            <v>mestiza</v>
          </cell>
          <cell r="K311" t="str">
            <v>Técnico Superior</v>
          </cell>
          <cell r="L311" t="str">
            <v>Si</v>
          </cell>
          <cell r="O311" t="str">
            <v>Lic. en Tecnología de la Salud</v>
          </cell>
        </row>
        <row r="312">
          <cell r="C312" t="str">
            <v>Lilian Santana Sanchez</v>
          </cell>
          <cell r="E312" t="str">
            <v>F</v>
          </cell>
          <cell r="F312" t="str">
            <v>blanca</v>
          </cell>
          <cell r="K312" t="str">
            <v>Técnico Superior</v>
          </cell>
          <cell r="L312" t="str">
            <v>Si</v>
          </cell>
          <cell r="O312" t="str">
            <v>Lic. en Tecnología de la Salud</v>
          </cell>
        </row>
        <row r="313">
          <cell r="C313" t="str">
            <v>Celia  Barbara Torres Tamayo</v>
          </cell>
          <cell r="E313" t="str">
            <v>F</v>
          </cell>
          <cell r="F313" t="str">
            <v>negra</v>
          </cell>
          <cell r="K313" t="str">
            <v>Técnico Superior</v>
          </cell>
          <cell r="L313" t="str">
            <v>Si</v>
          </cell>
          <cell r="O313" t="str">
            <v>Lic. en Tecnología de la Salud</v>
          </cell>
        </row>
        <row r="314">
          <cell r="C314" t="str">
            <v>MAIKEL ODIO GONZALEZ</v>
          </cell>
          <cell r="E314" t="str">
            <v>M</v>
          </cell>
          <cell r="F314" t="str">
            <v>negra</v>
          </cell>
          <cell r="K314" t="str">
            <v>Servicio</v>
          </cell>
          <cell r="L314" t="str">
            <v>Si</v>
          </cell>
          <cell r="O314" t="str">
            <v>Lic. en Tecnología de la Salud</v>
          </cell>
        </row>
        <row r="315">
          <cell r="C315" t="str">
            <v>Maikel Perez Montoya</v>
          </cell>
          <cell r="E315" t="str">
            <v>M</v>
          </cell>
          <cell r="F315" t="str">
            <v>mestiza</v>
          </cell>
          <cell r="K315" t="str">
            <v>Técnico Superior</v>
          </cell>
          <cell r="L315" t="str">
            <v>Si</v>
          </cell>
          <cell r="O315" t="str">
            <v>Lic. en Tecnología de la Salud</v>
          </cell>
        </row>
        <row r="316">
          <cell r="C316" t="str">
            <v>Osmay Castillo Tumbarell</v>
          </cell>
          <cell r="E316" t="str">
            <v>M</v>
          </cell>
          <cell r="F316" t="str">
            <v>negra</v>
          </cell>
          <cell r="K316" t="str">
            <v>Técnico Superior</v>
          </cell>
          <cell r="L316" t="str">
            <v>Si</v>
          </cell>
          <cell r="O316" t="str">
            <v>Lic. en Tecnología de la Salud</v>
          </cell>
        </row>
        <row r="317">
          <cell r="C317" t="str">
            <v>Jose Antonio Roja Cutiño</v>
          </cell>
          <cell r="E317" t="str">
            <v>M</v>
          </cell>
          <cell r="F317" t="str">
            <v>mestiza</v>
          </cell>
          <cell r="K317" t="str">
            <v>Técnico Superior</v>
          </cell>
          <cell r="L317" t="str">
            <v>Si</v>
          </cell>
          <cell r="O317" t="str">
            <v>Lic. en Tecnología de la Salud</v>
          </cell>
        </row>
        <row r="318">
          <cell r="C318" t="str">
            <v>ALIOCHA CARVAJAL NEGRET</v>
          </cell>
          <cell r="E318" t="str">
            <v>M</v>
          </cell>
          <cell r="F318" t="str">
            <v>mestiza</v>
          </cell>
          <cell r="K318" t="str">
            <v>Técnico Superior</v>
          </cell>
          <cell r="L318" t="str">
            <v>Si</v>
          </cell>
          <cell r="O318" t="str">
            <v>Lic. en Tecnología de la Salud</v>
          </cell>
        </row>
        <row r="319">
          <cell r="C319" t="str">
            <v>Asiel Magaña Monier</v>
          </cell>
          <cell r="E319" t="str">
            <v>M</v>
          </cell>
          <cell r="F319" t="str">
            <v>mestiza</v>
          </cell>
          <cell r="K319" t="str">
            <v>Técnico Superior</v>
          </cell>
          <cell r="L319" t="str">
            <v>Si</v>
          </cell>
          <cell r="O319" t="str">
            <v>Lic. en Tecnología de la Salud</v>
          </cell>
        </row>
        <row r="320">
          <cell r="C320" t="str">
            <v>Bladis Antonio Delgado Muxart</v>
          </cell>
          <cell r="E320" t="str">
            <v>M</v>
          </cell>
          <cell r="F320" t="str">
            <v>mestiza</v>
          </cell>
          <cell r="K320" t="str">
            <v>Técnico Superior</v>
          </cell>
          <cell r="L320" t="str">
            <v>Si</v>
          </cell>
          <cell r="O320" t="str">
            <v>Lic. en Tecnología de la Salud</v>
          </cell>
        </row>
        <row r="321">
          <cell r="C321" t="str">
            <v>Elkis García Perez</v>
          </cell>
          <cell r="E321" t="str">
            <v>M</v>
          </cell>
          <cell r="F321" t="str">
            <v>blanca</v>
          </cell>
          <cell r="K321" t="str">
            <v>Técnico Superior</v>
          </cell>
          <cell r="L321" t="str">
            <v>Si</v>
          </cell>
          <cell r="O321" t="str">
            <v>Lic. en Tecnología de la Salud</v>
          </cell>
        </row>
        <row r="322">
          <cell r="C322" t="str">
            <v>Jose  Ramon Isaac Acosta</v>
          </cell>
          <cell r="E322" t="str">
            <v>M</v>
          </cell>
          <cell r="F322" t="str">
            <v>mestiza</v>
          </cell>
          <cell r="K322" t="str">
            <v>Técnico Superior</v>
          </cell>
          <cell r="L322" t="str">
            <v>Si</v>
          </cell>
          <cell r="O322" t="str">
            <v>Lic. en Tecnología de la Salud</v>
          </cell>
        </row>
        <row r="323">
          <cell r="C323" t="str">
            <v>LEONEL ALEJANDRO MONTOYA</v>
          </cell>
          <cell r="E323" t="str">
            <v>M</v>
          </cell>
          <cell r="F323" t="str">
            <v>mestiza</v>
          </cell>
          <cell r="K323" t="str">
            <v>Técnico Superior</v>
          </cell>
          <cell r="L323" t="str">
            <v>Si</v>
          </cell>
          <cell r="O323" t="str">
            <v>Lic. en Tecnología de la Salud</v>
          </cell>
        </row>
        <row r="324">
          <cell r="C324" t="str">
            <v>Pascual Perez Carrión</v>
          </cell>
          <cell r="E324" t="str">
            <v>M</v>
          </cell>
          <cell r="F324" t="str">
            <v>mestiza</v>
          </cell>
          <cell r="K324" t="str">
            <v>Técnico Superior</v>
          </cell>
          <cell r="L324" t="str">
            <v>Si</v>
          </cell>
          <cell r="O324" t="str">
            <v>Lic. en Tecnología de la Salud</v>
          </cell>
        </row>
        <row r="325">
          <cell r="C325" t="str">
            <v>Rigoberto Silva Videaux</v>
          </cell>
          <cell r="E325" t="str">
            <v>M</v>
          </cell>
          <cell r="F325" t="str">
            <v>mestiza</v>
          </cell>
          <cell r="K325" t="str">
            <v>Técnico Superior</v>
          </cell>
          <cell r="L325" t="str">
            <v>Si</v>
          </cell>
          <cell r="O325" t="str">
            <v>Lic. en Tecnología de la Salud</v>
          </cell>
        </row>
        <row r="326">
          <cell r="C326" t="str">
            <v>Rudi Hidalgo Mayet</v>
          </cell>
          <cell r="E326" t="str">
            <v>M</v>
          </cell>
          <cell r="F326" t="str">
            <v>mestiza</v>
          </cell>
          <cell r="K326" t="str">
            <v>Técnico Superior</v>
          </cell>
          <cell r="L326" t="str">
            <v>Si</v>
          </cell>
          <cell r="O326" t="str">
            <v>Lic. en Tecnología de la Salud</v>
          </cell>
        </row>
        <row r="327">
          <cell r="C327" t="str">
            <v>YOERLANDIS MONFORROL HERNANDEZ</v>
          </cell>
          <cell r="E327" t="str">
            <v>M</v>
          </cell>
          <cell r="F327" t="str">
            <v>negra</v>
          </cell>
          <cell r="K327" t="str">
            <v>Técnico Superior</v>
          </cell>
          <cell r="L327" t="str">
            <v>Si</v>
          </cell>
          <cell r="M327" t="str">
            <v>Lic. Bioanálisis Clínico</v>
          </cell>
          <cell r="O327" t="str">
            <v>Lic. en Tecnología de la Salud</v>
          </cell>
        </row>
        <row r="328">
          <cell r="C328" t="str">
            <v>YUNIER ARENCIBIA MASSO</v>
          </cell>
          <cell r="E328" t="str">
            <v>M</v>
          </cell>
          <cell r="F328" t="str">
            <v>mestiza</v>
          </cell>
          <cell r="K328" t="str">
            <v>Técnico Superior</v>
          </cell>
          <cell r="L328" t="str">
            <v>Si</v>
          </cell>
          <cell r="O328" t="str">
            <v>Lic. en Tecnología de la Salud</v>
          </cell>
        </row>
        <row r="329">
          <cell r="C329" t="str">
            <v>Yorlandy Navarro Tablada</v>
          </cell>
          <cell r="E329" t="str">
            <v>M</v>
          </cell>
          <cell r="F329" t="str">
            <v>mestiza</v>
          </cell>
          <cell r="K329" t="str">
            <v>Técnico Superior</v>
          </cell>
          <cell r="L329" t="str">
            <v>Si</v>
          </cell>
          <cell r="O329" t="str">
            <v>Lic. en Tecnología de la Salud</v>
          </cell>
        </row>
        <row r="330">
          <cell r="C330" t="str">
            <v>Ismael Ramos Torres</v>
          </cell>
          <cell r="E330" t="str">
            <v>M</v>
          </cell>
          <cell r="F330" t="str">
            <v>mestiza</v>
          </cell>
          <cell r="K330" t="str">
            <v>Servicio</v>
          </cell>
          <cell r="L330" t="str">
            <v>Si</v>
          </cell>
          <cell r="O330" t="str">
            <v>Lic. en Tecnología de la Salud</v>
          </cell>
        </row>
        <row r="331">
          <cell r="C331" t="str">
            <v>Ailin Heredia Baez</v>
          </cell>
          <cell r="E331" t="str">
            <v>F</v>
          </cell>
          <cell r="F331" t="str">
            <v>mestiza</v>
          </cell>
          <cell r="K331" t="str">
            <v>Técnico Superior</v>
          </cell>
          <cell r="L331" t="str">
            <v>Si</v>
          </cell>
          <cell r="O331" t="str">
            <v>Lic. Enfermería</v>
          </cell>
        </row>
        <row r="332">
          <cell r="C332" t="str">
            <v>alina leon kindelan</v>
          </cell>
          <cell r="E332" t="str">
            <v>F</v>
          </cell>
          <cell r="F332" t="str">
            <v>negra</v>
          </cell>
          <cell r="K332" t="str">
            <v>Técnico Superior</v>
          </cell>
          <cell r="L332" t="str">
            <v>Si</v>
          </cell>
          <cell r="O332" t="str">
            <v>Lic. Enfermería</v>
          </cell>
        </row>
        <row r="333">
          <cell r="C333" t="str">
            <v>Ana  Miriam Sagarra Fernandez</v>
          </cell>
          <cell r="E333" t="str">
            <v>F</v>
          </cell>
          <cell r="F333" t="str">
            <v>negra</v>
          </cell>
          <cell r="K333" t="str">
            <v>Técnico Superior</v>
          </cell>
          <cell r="L333" t="str">
            <v>Si</v>
          </cell>
          <cell r="O333" t="str">
            <v>Lic. Enfermería</v>
          </cell>
        </row>
        <row r="334">
          <cell r="C334" t="str">
            <v>Ana Elmilia Plana Perera</v>
          </cell>
          <cell r="E334" t="str">
            <v>F</v>
          </cell>
          <cell r="F334" t="str">
            <v>negra</v>
          </cell>
          <cell r="K334" t="str">
            <v>Técnico Superior</v>
          </cell>
          <cell r="L334" t="str">
            <v>Si</v>
          </cell>
          <cell r="O334" t="str">
            <v>Lic. Enfermería</v>
          </cell>
        </row>
        <row r="335">
          <cell r="C335" t="str">
            <v>Ana María Garlobo Beltrán</v>
          </cell>
          <cell r="E335" t="str">
            <v>F</v>
          </cell>
          <cell r="F335" t="str">
            <v>mestiza</v>
          </cell>
          <cell r="K335" t="str">
            <v>Técnico Superior</v>
          </cell>
          <cell r="L335" t="str">
            <v>Si</v>
          </cell>
          <cell r="O335" t="str">
            <v>Lic. Enfermería</v>
          </cell>
        </row>
        <row r="336">
          <cell r="C336" t="str">
            <v>Ana Melisa Domínguez Casero</v>
          </cell>
          <cell r="E336" t="str">
            <v>F</v>
          </cell>
          <cell r="F336" t="str">
            <v>mestiza</v>
          </cell>
          <cell r="K336" t="str">
            <v>Técnico Superior</v>
          </cell>
          <cell r="L336" t="str">
            <v>Si</v>
          </cell>
          <cell r="O336" t="str">
            <v>Lic. Enfermería</v>
          </cell>
        </row>
        <row r="337">
          <cell r="C337" t="str">
            <v>Candida Santos Mustelier</v>
          </cell>
          <cell r="E337" t="str">
            <v>F</v>
          </cell>
          <cell r="F337" t="str">
            <v>negra</v>
          </cell>
          <cell r="K337" t="str">
            <v>Técnico Superior</v>
          </cell>
          <cell r="L337" t="str">
            <v>Si</v>
          </cell>
          <cell r="O337" t="str">
            <v>Lic. Enfermería</v>
          </cell>
        </row>
        <row r="338">
          <cell r="C338" t="str">
            <v>Daniskeilan Tumbarell Victorero</v>
          </cell>
          <cell r="E338" t="str">
            <v>F</v>
          </cell>
          <cell r="F338" t="str">
            <v>mestiza</v>
          </cell>
          <cell r="K338" t="str">
            <v>Técnico Superior</v>
          </cell>
          <cell r="L338" t="str">
            <v>Si</v>
          </cell>
          <cell r="O338" t="str">
            <v>Lic. Enfermería</v>
          </cell>
        </row>
        <row r="339">
          <cell r="C339" t="str">
            <v>Daylin Noa Cobas</v>
          </cell>
          <cell r="E339" t="str">
            <v>F</v>
          </cell>
          <cell r="F339" t="str">
            <v>mestiza</v>
          </cell>
          <cell r="K339" t="str">
            <v>Técnico Superior</v>
          </cell>
          <cell r="L339" t="str">
            <v>Si</v>
          </cell>
          <cell r="O339" t="str">
            <v>Lic. Enfermería</v>
          </cell>
        </row>
        <row r="340">
          <cell r="C340" t="str">
            <v>Denia Carbonel Batiz</v>
          </cell>
          <cell r="E340" t="str">
            <v>F</v>
          </cell>
          <cell r="F340" t="str">
            <v>mestiza</v>
          </cell>
          <cell r="K340" t="str">
            <v>Técnico Superior</v>
          </cell>
          <cell r="L340" t="str">
            <v>Si</v>
          </cell>
          <cell r="O340" t="str">
            <v>Lic. Enfermería</v>
          </cell>
        </row>
        <row r="341">
          <cell r="C341" t="str">
            <v>Elibeth Nadieyi López Fernández</v>
          </cell>
          <cell r="E341" t="str">
            <v>F</v>
          </cell>
          <cell r="F341" t="str">
            <v>mestiza</v>
          </cell>
          <cell r="K341" t="str">
            <v>Técnico Superior</v>
          </cell>
          <cell r="L341" t="str">
            <v>Si</v>
          </cell>
          <cell r="O341" t="str">
            <v>Lic. Enfermería</v>
          </cell>
        </row>
        <row r="342">
          <cell r="C342" t="str">
            <v>Eylen Puente Lescay</v>
          </cell>
          <cell r="E342" t="str">
            <v>F</v>
          </cell>
          <cell r="F342" t="str">
            <v>mestiza</v>
          </cell>
          <cell r="K342" t="str">
            <v>Técnico Superior</v>
          </cell>
          <cell r="L342" t="str">
            <v>Si</v>
          </cell>
          <cell r="O342" t="str">
            <v>Lic. Enfermería</v>
          </cell>
        </row>
        <row r="343">
          <cell r="C343" t="str">
            <v>Ibis Casero Pacheco</v>
          </cell>
          <cell r="E343" t="str">
            <v>F</v>
          </cell>
          <cell r="F343" t="str">
            <v>mestiza</v>
          </cell>
          <cell r="K343" t="str">
            <v>Técnico Superior</v>
          </cell>
          <cell r="L343" t="str">
            <v>Si</v>
          </cell>
          <cell r="O343" t="str">
            <v>Lic. Enfermería</v>
          </cell>
        </row>
        <row r="344">
          <cell r="C344" t="str">
            <v>Idalgis Sarmiento García</v>
          </cell>
          <cell r="E344" t="str">
            <v>F</v>
          </cell>
          <cell r="F344" t="str">
            <v>blanca</v>
          </cell>
          <cell r="K344" t="str">
            <v>Técnico Superior</v>
          </cell>
          <cell r="L344" t="str">
            <v>Si</v>
          </cell>
          <cell r="O344" t="str">
            <v>Lic. Enfermería</v>
          </cell>
        </row>
        <row r="345">
          <cell r="C345" t="str">
            <v>Katia Derribal García</v>
          </cell>
          <cell r="E345" t="str">
            <v>F</v>
          </cell>
          <cell r="F345" t="str">
            <v>mestiza</v>
          </cell>
          <cell r="K345" t="str">
            <v>Técnico Superior</v>
          </cell>
          <cell r="L345" t="str">
            <v>Si</v>
          </cell>
          <cell r="O345" t="str">
            <v>Lic. Enfermería</v>
          </cell>
        </row>
        <row r="346">
          <cell r="C346" t="str">
            <v>Katiana Gomez Muñoz</v>
          </cell>
          <cell r="E346" t="str">
            <v>F</v>
          </cell>
          <cell r="F346" t="str">
            <v>mestiza</v>
          </cell>
          <cell r="K346" t="str">
            <v>Técnico Superior</v>
          </cell>
          <cell r="L346" t="str">
            <v>Si</v>
          </cell>
          <cell r="O346" t="str">
            <v>Lic. Enfermería</v>
          </cell>
        </row>
        <row r="347">
          <cell r="C347" t="str">
            <v>Lidennis Rivero González</v>
          </cell>
          <cell r="E347" t="str">
            <v>F</v>
          </cell>
          <cell r="F347" t="str">
            <v>blanca</v>
          </cell>
          <cell r="K347" t="str">
            <v>Técnico Superior</v>
          </cell>
          <cell r="L347" t="str">
            <v>Si</v>
          </cell>
          <cell r="O347" t="str">
            <v>Lic. Enfermería</v>
          </cell>
        </row>
        <row r="348">
          <cell r="C348" t="str">
            <v>Lisandra Calzado Ortiz</v>
          </cell>
          <cell r="E348" t="str">
            <v>F</v>
          </cell>
          <cell r="F348" t="str">
            <v>mestiza</v>
          </cell>
          <cell r="K348" t="str">
            <v>Técnico Superior</v>
          </cell>
          <cell r="L348" t="str">
            <v>Si</v>
          </cell>
          <cell r="O348" t="str">
            <v>Lic. Enfermería</v>
          </cell>
        </row>
        <row r="349">
          <cell r="C349" t="str">
            <v>Lisandra Rosell Boloy</v>
          </cell>
          <cell r="E349" t="str">
            <v>F</v>
          </cell>
          <cell r="F349" t="str">
            <v>mestiza</v>
          </cell>
          <cell r="K349" t="str">
            <v>Técnico Superior</v>
          </cell>
          <cell r="L349" t="str">
            <v>Si</v>
          </cell>
          <cell r="O349" t="str">
            <v>Lic. Enfermería</v>
          </cell>
        </row>
        <row r="350">
          <cell r="C350" t="str">
            <v>Madelaisis Escalona Cajigal</v>
          </cell>
          <cell r="E350" t="str">
            <v>F</v>
          </cell>
          <cell r="F350" t="str">
            <v>blanca</v>
          </cell>
          <cell r="K350" t="str">
            <v>Técnico Superior</v>
          </cell>
          <cell r="L350" t="str">
            <v>Si</v>
          </cell>
          <cell r="O350" t="str">
            <v>Lic. Enfermería</v>
          </cell>
        </row>
        <row r="351">
          <cell r="C351" t="str">
            <v>Maria Dolores Elias Romero</v>
          </cell>
          <cell r="E351" t="str">
            <v>F</v>
          </cell>
          <cell r="F351" t="str">
            <v>mestiza</v>
          </cell>
          <cell r="K351" t="str">
            <v>Técnico Superior</v>
          </cell>
          <cell r="L351" t="str">
            <v>Si</v>
          </cell>
          <cell r="O351" t="str">
            <v>Lic. Enfermería</v>
          </cell>
        </row>
        <row r="352">
          <cell r="C352" t="str">
            <v>Mariolis Matamoros Echavarría</v>
          </cell>
          <cell r="E352" t="str">
            <v>F</v>
          </cell>
          <cell r="F352" t="str">
            <v>mestiza</v>
          </cell>
          <cell r="K352" t="str">
            <v>Técnico Superior</v>
          </cell>
          <cell r="L352" t="str">
            <v>Si</v>
          </cell>
          <cell r="O352" t="str">
            <v>Lic. Enfermería</v>
          </cell>
        </row>
        <row r="353">
          <cell r="C353" t="str">
            <v>Moraima Castillo Cutino</v>
          </cell>
          <cell r="E353" t="str">
            <v>F</v>
          </cell>
          <cell r="F353" t="str">
            <v>negra</v>
          </cell>
          <cell r="K353" t="str">
            <v>Técnico Superior</v>
          </cell>
          <cell r="L353" t="str">
            <v>Si</v>
          </cell>
          <cell r="O353" t="str">
            <v>Lic. Enfermería</v>
          </cell>
        </row>
        <row r="354">
          <cell r="C354" t="str">
            <v>Moraima Delis Bueno</v>
          </cell>
          <cell r="E354" t="str">
            <v>F</v>
          </cell>
          <cell r="F354" t="str">
            <v>negra</v>
          </cell>
          <cell r="K354" t="str">
            <v>Técnico Superior</v>
          </cell>
          <cell r="L354" t="str">
            <v>Si</v>
          </cell>
          <cell r="O354" t="str">
            <v>Lic. Enfermería</v>
          </cell>
        </row>
        <row r="355">
          <cell r="C355" t="str">
            <v>Nelvis Rivero Figueroa</v>
          </cell>
          <cell r="E355" t="str">
            <v>F</v>
          </cell>
          <cell r="F355" t="str">
            <v>blanca</v>
          </cell>
          <cell r="K355" t="str">
            <v>Técnico Superior</v>
          </cell>
          <cell r="L355" t="str">
            <v>Si</v>
          </cell>
          <cell r="O355" t="str">
            <v>Lic. Enfermería</v>
          </cell>
        </row>
        <row r="356">
          <cell r="C356" t="str">
            <v>Niurvis García Moreno</v>
          </cell>
          <cell r="E356" t="str">
            <v>F</v>
          </cell>
          <cell r="F356" t="str">
            <v>blanca</v>
          </cell>
          <cell r="K356" t="str">
            <v>Técnico Superior</v>
          </cell>
          <cell r="L356" t="str">
            <v>Si</v>
          </cell>
          <cell r="O356" t="str">
            <v>Lic. Enfermería</v>
          </cell>
        </row>
        <row r="357">
          <cell r="C357" t="str">
            <v>Oneida Cuello Guevara</v>
          </cell>
          <cell r="E357" t="str">
            <v>F</v>
          </cell>
          <cell r="F357" t="str">
            <v>mestiza</v>
          </cell>
          <cell r="K357" t="str">
            <v>Técnico Superior</v>
          </cell>
          <cell r="L357" t="str">
            <v>Si</v>
          </cell>
          <cell r="O357" t="str">
            <v>Lic. Enfermería</v>
          </cell>
        </row>
        <row r="358">
          <cell r="C358" t="str">
            <v>Rosa Lidis Godines Aguilar</v>
          </cell>
          <cell r="E358" t="str">
            <v>F</v>
          </cell>
          <cell r="F358" t="str">
            <v>mestiza</v>
          </cell>
          <cell r="K358" t="str">
            <v>Técnico Superior</v>
          </cell>
          <cell r="L358" t="str">
            <v>Si</v>
          </cell>
          <cell r="O358" t="str">
            <v>Lic. Enfermería</v>
          </cell>
        </row>
        <row r="359">
          <cell r="C359" t="str">
            <v>Tamara Masso Orozco</v>
          </cell>
          <cell r="E359" t="str">
            <v>F</v>
          </cell>
          <cell r="F359" t="str">
            <v>negra</v>
          </cell>
          <cell r="K359" t="str">
            <v>Técnico Superior</v>
          </cell>
          <cell r="L359" t="str">
            <v>Si</v>
          </cell>
          <cell r="O359" t="str">
            <v>Lic. Enfermería</v>
          </cell>
        </row>
        <row r="360">
          <cell r="C360" t="str">
            <v>tania mengana rodriguez</v>
          </cell>
          <cell r="E360" t="str">
            <v>F</v>
          </cell>
          <cell r="F360" t="str">
            <v>blanca</v>
          </cell>
          <cell r="K360" t="str">
            <v>Técnico Superior</v>
          </cell>
          <cell r="L360" t="str">
            <v>Si</v>
          </cell>
          <cell r="O360" t="str">
            <v>Lic. Enfermería</v>
          </cell>
        </row>
        <row r="361">
          <cell r="C361" t="str">
            <v>vilmaris asin verdecia</v>
          </cell>
          <cell r="E361" t="str">
            <v>F</v>
          </cell>
          <cell r="F361" t="str">
            <v>blanca</v>
          </cell>
          <cell r="K361" t="str">
            <v>Técnico Superior</v>
          </cell>
          <cell r="L361" t="str">
            <v>Si</v>
          </cell>
          <cell r="O361" t="str">
            <v>Lic. Enfermería</v>
          </cell>
        </row>
        <row r="362">
          <cell r="C362" t="str">
            <v>Yanelis Pico García</v>
          </cell>
          <cell r="E362" t="str">
            <v>F</v>
          </cell>
          <cell r="F362" t="str">
            <v>mestiza</v>
          </cell>
          <cell r="K362" t="str">
            <v>Técnico Superior</v>
          </cell>
          <cell r="L362" t="str">
            <v>Si</v>
          </cell>
          <cell r="O362" t="str">
            <v>Lic. Enfermería</v>
          </cell>
        </row>
        <row r="363">
          <cell r="C363" t="str">
            <v>Yanelis Sosa RODRIGUEZ</v>
          </cell>
          <cell r="E363" t="str">
            <v>F</v>
          </cell>
          <cell r="F363" t="str">
            <v>mestiza</v>
          </cell>
          <cell r="K363" t="str">
            <v>Cuadro</v>
          </cell>
          <cell r="L363" t="str">
            <v>Si</v>
          </cell>
          <cell r="O363" t="str">
            <v>Lic. Enfermería</v>
          </cell>
        </row>
        <row r="364">
          <cell r="C364" t="str">
            <v>Yanet Cece Hernández</v>
          </cell>
          <cell r="E364" t="str">
            <v>F</v>
          </cell>
          <cell r="F364" t="str">
            <v>mestiza</v>
          </cell>
          <cell r="K364" t="str">
            <v>Técnico Superior</v>
          </cell>
          <cell r="L364" t="str">
            <v>Si</v>
          </cell>
          <cell r="O364" t="str">
            <v>Lic. Enfermería</v>
          </cell>
        </row>
        <row r="365">
          <cell r="C365" t="str">
            <v>YARINA MONTESINO FIGUEROA</v>
          </cell>
          <cell r="E365" t="str">
            <v>F</v>
          </cell>
          <cell r="F365" t="str">
            <v>mestiza</v>
          </cell>
          <cell r="K365" t="str">
            <v>Técnico Superior</v>
          </cell>
          <cell r="L365" t="str">
            <v>Si</v>
          </cell>
          <cell r="O365" t="str">
            <v>Lic. Enfermería</v>
          </cell>
        </row>
        <row r="366">
          <cell r="C366" t="str">
            <v>Yasmania Chacón Fernández</v>
          </cell>
          <cell r="E366" t="str">
            <v>F</v>
          </cell>
          <cell r="F366" t="str">
            <v>mestiza</v>
          </cell>
          <cell r="K366" t="str">
            <v>Técnico Superior</v>
          </cell>
          <cell r="L366" t="str">
            <v>Si</v>
          </cell>
          <cell r="O366" t="str">
            <v>Lic. Enfermería</v>
          </cell>
        </row>
        <row r="367">
          <cell r="C367" t="str">
            <v>Yelennis Suares Perdomo</v>
          </cell>
          <cell r="E367" t="str">
            <v>F</v>
          </cell>
          <cell r="F367" t="str">
            <v>mestiza</v>
          </cell>
          <cell r="K367" t="str">
            <v>Técnico Superior</v>
          </cell>
          <cell r="L367" t="str">
            <v>Si</v>
          </cell>
          <cell r="O367" t="str">
            <v>Lic. Enfermería</v>
          </cell>
        </row>
        <row r="368">
          <cell r="C368" t="str">
            <v>Yenisley Delgado Romero</v>
          </cell>
          <cell r="E368" t="str">
            <v>F</v>
          </cell>
          <cell r="F368" t="str">
            <v>mestiza</v>
          </cell>
          <cell r="K368" t="str">
            <v>Técnico Superior</v>
          </cell>
          <cell r="L368" t="str">
            <v>Si</v>
          </cell>
          <cell r="O368" t="str">
            <v>Lic. Enfermería</v>
          </cell>
        </row>
        <row r="369">
          <cell r="C369" t="str">
            <v>Yisel Pileta Caballero</v>
          </cell>
          <cell r="E369" t="str">
            <v>F</v>
          </cell>
          <cell r="F369" t="str">
            <v>blanca</v>
          </cell>
          <cell r="K369" t="str">
            <v>Técnico Superior</v>
          </cell>
          <cell r="L369" t="str">
            <v>Si</v>
          </cell>
          <cell r="O369" t="str">
            <v>Lic. Enfermería</v>
          </cell>
        </row>
        <row r="370">
          <cell r="C370" t="str">
            <v xml:space="preserve">Yordanis Garmuri Vidal </v>
          </cell>
          <cell r="E370" t="str">
            <v>F</v>
          </cell>
          <cell r="F370" t="str">
            <v>negra</v>
          </cell>
          <cell r="K370" t="str">
            <v>Técnico Superior</v>
          </cell>
          <cell r="L370" t="str">
            <v>Si</v>
          </cell>
          <cell r="O370" t="str">
            <v>Lic. Enfermería</v>
          </cell>
        </row>
        <row r="371">
          <cell r="C371" t="str">
            <v>Yordanka Cajigal Lopez</v>
          </cell>
          <cell r="E371" t="str">
            <v>F</v>
          </cell>
          <cell r="F371" t="str">
            <v>blanca</v>
          </cell>
          <cell r="K371" t="str">
            <v>Técnico Superior</v>
          </cell>
          <cell r="L371" t="str">
            <v>Si</v>
          </cell>
          <cell r="O371" t="str">
            <v>Lic. Enfermería</v>
          </cell>
        </row>
        <row r="372">
          <cell r="C372" t="str">
            <v>Yuneysy Carrión Jaca</v>
          </cell>
          <cell r="E372" t="str">
            <v>F</v>
          </cell>
          <cell r="F372" t="str">
            <v>negra</v>
          </cell>
          <cell r="K372" t="str">
            <v>Técnico Superior</v>
          </cell>
          <cell r="L372" t="str">
            <v>Si</v>
          </cell>
          <cell r="O372" t="str">
            <v>Lic. Enfermería</v>
          </cell>
        </row>
        <row r="373">
          <cell r="C373" t="str">
            <v>Yunia Maturell Alberteri</v>
          </cell>
          <cell r="E373" t="str">
            <v>F</v>
          </cell>
          <cell r="F373" t="str">
            <v>blanca</v>
          </cell>
          <cell r="K373" t="str">
            <v>Técnico Superior</v>
          </cell>
          <cell r="L373" t="str">
            <v>Si</v>
          </cell>
          <cell r="O373" t="str">
            <v>Lic. Enfermería</v>
          </cell>
        </row>
        <row r="374">
          <cell r="C374" t="str">
            <v>Consuelo Pérez Palmero</v>
          </cell>
          <cell r="E374" t="str">
            <v>F</v>
          </cell>
          <cell r="F374" t="str">
            <v>Mestiza</v>
          </cell>
          <cell r="K374" t="str">
            <v>Técnico Superior</v>
          </cell>
          <cell r="L374" t="str">
            <v>No</v>
          </cell>
          <cell r="O374" t="str">
            <v>Lic. Enfermería</v>
          </cell>
        </row>
        <row r="375">
          <cell r="C375" t="str">
            <v>Norlaiden Hechavarría Mustelier</v>
          </cell>
          <cell r="E375" t="str">
            <v>F</v>
          </cell>
          <cell r="F375" t="str">
            <v>Mestiza</v>
          </cell>
          <cell r="K375" t="str">
            <v>Técnico Superior</v>
          </cell>
          <cell r="L375" t="str">
            <v>No</v>
          </cell>
          <cell r="O375" t="str">
            <v>Lic. Enfermería</v>
          </cell>
        </row>
        <row r="376">
          <cell r="C376" t="str">
            <v>Niurvis Barrientos Vazquez</v>
          </cell>
          <cell r="E376" t="str">
            <v>F</v>
          </cell>
          <cell r="F376" t="str">
            <v>mestiza</v>
          </cell>
          <cell r="K376" t="str">
            <v>Técnico Superior</v>
          </cell>
          <cell r="L376" t="str">
            <v>No</v>
          </cell>
          <cell r="O376" t="str">
            <v>Lic. Enfermería</v>
          </cell>
        </row>
        <row r="377">
          <cell r="C377" t="str">
            <v>Alexy Despaine Garbey</v>
          </cell>
          <cell r="E377" t="str">
            <v>M</v>
          </cell>
          <cell r="F377" t="str">
            <v>Negra</v>
          </cell>
          <cell r="K377" t="str">
            <v>Técnico Superior</v>
          </cell>
          <cell r="L377" t="str">
            <v>No</v>
          </cell>
          <cell r="O377" t="str">
            <v>Lic. Enfermería</v>
          </cell>
        </row>
        <row r="378">
          <cell r="C378" t="str">
            <v>Marinolvis Rodriguez Escalante</v>
          </cell>
          <cell r="E378" t="str">
            <v>F</v>
          </cell>
          <cell r="F378" t="str">
            <v>Mestiza</v>
          </cell>
          <cell r="K378" t="str">
            <v>Técnico Superior</v>
          </cell>
          <cell r="L378" t="str">
            <v>No</v>
          </cell>
          <cell r="O378" t="str">
            <v>Lic. Enfermería</v>
          </cell>
        </row>
        <row r="379">
          <cell r="C379" t="str">
            <v>Marilin Aguilera Santos</v>
          </cell>
          <cell r="E379" t="str">
            <v>F</v>
          </cell>
          <cell r="F379" t="str">
            <v>mestiza</v>
          </cell>
          <cell r="K379" t="str">
            <v>Técnico Superior</v>
          </cell>
          <cell r="L379" t="str">
            <v>No</v>
          </cell>
          <cell r="O379" t="str">
            <v>Lic. Enfermería</v>
          </cell>
        </row>
        <row r="380">
          <cell r="C380" t="str">
            <v>Maidelin Gónzalez Oliva</v>
          </cell>
          <cell r="E380" t="str">
            <v>F</v>
          </cell>
          <cell r="F380" t="str">
            <v>mestiza</v>
          </cell>
          <cell r="K380" t="str">
            <v>Técnico Superior</v>
          </cell>
          <cell r="L380" t="str">
            <v>No</v>
          </cell>
          <cell r="O380" t="str">
            <v>Lic. Enfermería</v>
          </cell>
        </row>
        <row r="381">
          <cell r="C381" t="str">
            <v>Liuska Alvarez Lahera</v>
          </cell>
          <cell r="E381" t="str">
            <v xml:space="preserve">F </v>
          </cell>
          <cell r="F381" t="str">
            <v>Mestiza</v>
          </cell>
          <cell r="K381" t="str">
            <v>Técnico Superior</v>
          </cell>
          <cell r="L381" t="str">
            <v>No</v>
          </cell>
          <cell r="O381" t="str">
            <v>Lic. Enfermería</v>
          </cell>
        </row>
        <row r="382">
          <cell r="C382" t="str">
            <v>Yureisy Nariño Beltran</v>
          </cell>
          <cell r="E382" t="str">
            <v>F</v>
          </cell>
          <cell r="F382" t="str">
            <v>Negra</v>
          </cell>
          <cell r="K382" t="str">
            <v>Técnico Superior</v>
          </cell>
          <cell r="L382" t="str">
            <v>No</v>
          </cell>
          <cell r="O382" t="str">
            <v>Lic. Enfermería</v>
          </cell>
        </row>
        <row r="383">
          <cell r="C383" t="str">
            <v>Katerine Quiñones Sánchez</v>
          </cell>
          <cell r="E383" t="str">
            <v>F</v>
          </cell>
          <cell r="F383" t="str">
            <v>mestiza</v>
          </cell>
          <cell r="K383" t="str">
            <v>Técnico Superior</v>
          </cell>
          <cell r="L383" t="str">
            <v>No</v>
          </cell>
          <cell r="O383" t="str">
            <v>Lic. Enfermería</v>
          </cell>
        </row>
        <row r="384">
          <cell r="C384" t="str">
            <v>Adrian Eduardo Casanova Matamoro</v>
          </cell>
          <cell r="E384" t="str">
            <v>M</v>
          </cell>
          <cell r="F384" t="str">
            <v>blanca</v>
          </cell>
          <cell r="K384" t="str">
            <v>Técnico Superior</v>
          </cell>
          <cell r="L384" t="str">
            <v>Si</v>
          </cell>
          <cell r="O384" t="str">
            <v>Médico</v>
          </cell>
        </row>
        <row r="385">
          <cell r="C385" t="str">
            <v>Aliuska Perez Perez</v>
          </cell>
          <cell r="E385" t="str">
            <v>F</v>
          </cell>
          <cell r="F385" t="str">
            <v>mestiza</v>
          </cell>
          <cell r="K385" t="str">
            <v>Técnico Superior</v>
          </cell>
          <cell r="L385" t="str">
            <v>Si</v>
          </cell>
          <cell r="O385" t="str">
            <v>Médico</v>
          </cell>
        </row>
        <row r="386">
          <cell r="C386" t="str">
            <v>Ana Isabel Montes De Oca Fernández</v>
          </cell>
          <cell r="E386" t="str">
            <v>F</v>
          </cell>
          <cell r="F386" t="str">
            <v>blanca</v>
          </cell>
          <cell r="K386" t="str">
            <v>Técnico Superior</v>
          </cell>
          <cell r="L386" t="str">
            <v>Si</v>
          </cell>
          <cell r="O386" t="str">
            <v>Médico</v>
          </cell>
        </row>
        <row r="387">
          <cell r="C387" t="str">
            <v>Natacha Ibañez Boloy</v>
          </cell>
          <cell r="E387" t="str">
            <v>F</v>
          </cell>
          <cell r="F387" t="str">
            <v>mestiza</v>
          </cell>
          <cell r="K387" t="str">
            <v>Técnico Superior</v>
          </cell>
          <cell r="L387" t="str">
            <v>Si</v>
          </cell>
          <cell r="O387" t="str">
            <v>Médico</v>
          </cell>
        </row>
        <row r="388">
          <cell r="C388" t="str">
            <v>Arturo Guzmán Moral</v>
          </cell>
          <cell r="E388" t="str">
            <v>M</v>
          </cell>
          <cell r="F388" t="str">
            <v>mestiza</v>
          </cell>
          <cell r="K388" t="str">
            <v>Técnico Superior</v>
          </cell>
          <cell r="L388" t="str">
            <v>Si</v>
          </cell>
          <cell r="O388" t="str">
            <v>Médico</v>
          </cell>
        </row>
        <row r="389">
          <cell r="C389" t="str">
            <v>CARLOS ENRIQUE MARTINEZ BORY</v>
          </cell>
          <cell r="E389" t="str">
            <v>M</v>
          </cell>
          <cell r="F389" t="str">
            <v>blanca</v>
          </cell>
          <cell r="K389" t="str">
            <v>Técnico Superior</v>
          </cell>
          <cell r="L389" t="str">
            <v>Si</v>
          </cell>
          <cell r="O389" t="str">
            <v>Médico</v>
          </cell>
        </row>
        <row r="390">
          <cell r="C390" t="str">
            <v>Dayana Amador Yis</v>
          </cell>
          <cell r="E390" t="str">
            <v>F</v>
          </cell>
          <cell r="F390" t="str">
            <v>mestiza</v>
          </cell>
          <cell r="K390" t="str">
            <v>Cuadro</v>
          </cell>
          <cell r="L390" t="str">
            <v>Si</v>
          </cell>
          <cell r="O390" t="str">
            <v>Médico</v>
          </cell>
        </row>
        <row r="391">
          <cell r="C391" t="str">
            <v>Francisco Hodelín Mustelier</v>
          </cell>
          <cell r="E391" t="str">
            <v>M</v>
          </cell>
          <cell r="F391" t="str">
            <v>blanca</v>
          </cell>
          <cell r="K391" t="str">
            <v>Técnico Superior</v>
          </cell>
          <cell r="L391" t="str">
            <v>Si</v>
          </cell>
          <cell r="O391" t="str">
            <v>Médico</v>
          </cell>
        </row>
        <row r="392">
          <cell r="C392" t="str">
            <v>Isis Rivero Vaquero</v>
          </cell>
          <cell r="E392" t="str">
            <v>F</v>
          </cell>
          <cell r="F392" t="str">
            <v>blanca</v>
          </cell>
          <cell r="K392" t="str">
            <v>Técnico Superior</v>
          </cell>
          <cell r="L392" t="str">
            <v>Si</v>
          </cell>
          <cell r="O392" t="str">
            <v>Médico</v>
          </cell>
        </row>
        <row r="393">
          <cell r="C393" t="str">
            <v>Lisandra Caridad Saumell Leon</v>
          </cell>
          <cell r="E393" t="str">
            <v>F</v>
          </cell>
          <cell r="F393" t="str">
            <v>mestiza</v>
          </cell>
          <cell r="K393" t="str">
            <v>Técnico Superior</v>
          </cell>
          <cell r="L393" t="str">
            <v>Si</v>
          </cell>
          <cell r="O393" t="str">
            <v>Médico</v>
          </cell>
        </row>
        <row r="394">
          <cell r="C394" t="str">
            <v>Maibelis Bustamante Proenza</v>
          </cell>
          <cell r="E394" t="str">
            <v>F</v>
          </cell>
          <cell r="F394" t="str">
            <v>mestiza</v>
          </cell>
          <cell r="K394" t="str">
            <v>Técnico Superior</v>
          </cell>
          <cell r="L394" t="str">
            <v>Si</v>
          </cell>
          <cell r="O394" t="str">
            <v>Médico</v>
          </cell>
        </row>
        <row r="395">
          <cell r="C395" t="str">
            <v>MARIUSKA Boris Castañeda</v>
          </cell>
          <cell r="E395" t="str">
            <v>F</v>
          </cell>
          <cell r="F395" t="str">
            <v>mestiza</v>
          </cell>
          <cell r="K395" t="str">
            <v>Cuadro</v>
          </cell>
          <cell r="L395" t="str">
            <v>Si</v>
          </cell>
          <cell r="O395" t="str">
            <v>Médico</v>
          </cell>
        </row>
        <row r="396">
          <cell r="C396" t="str">
            <v>Mercedes Miravet Peña</v>
          </cell>
          <cell r="E396" t="str">
            <v>F</v>
          </cell>
          <cell r="F396" t="str">
            <v>blanca</v>
          </cell>
          <cell r="K396" t="str">
            <v>Técnico Superior</v>
          </cell>
          <cell r="L396" t="str">
            <v>Si</v>
          </cell>
          <cell r="O396" t="str">
            <v>Médico</v>
          </cell>
        </row>
        <row r="397">
          <cell r="C397" t="str">
            <v>Oscar Rosales Tabares</v>
          </cell>
          <cell r="E397" t="str">
            <v>M</v>
          </cell>
          <cell r="F397" t="str">
            <v>blanca</v>
          </cell>
          <cell r="K397" t="str">
            <v>Técnico Superior</v>
          </cell>
          <cell r="L397" t="str">
            <v>Si</v>
          </cell>
          <cell r="O397" t="str">
            <v>Médico</v>
          </cell>
        </row>
        <row r="398">
          <cell r="C398" t="str">
            <v>Purisima Concepción Mestre Castellanos</v>
          </cell>
          <cell r="E398" t="str">
            <v>F</v>
          </cell>
          <cell r="F398" t="str">
            <v>mestiza</v>
          </cell>
          <cell r="K398" t="str">
            <v>Técnico Superior</v>
          </cell>
          <cell r="L398" t="str">
            <v>Si</v>
          </cell>
          <cell r="O398" t="str">
            <v>Médico</v>
          </cell>
        </row>
        <row r="399">
          <cell r="C399" t="str">
            <v>Roberto Despaigne Sani</v>
          </cell>
          <cell r="E399" t="str">
            <v>M</v>
          </cell>
          <cell r="F399" t="str">
            <v>negra</v>
          </cell>
          <cell r="K399" t="str">
            <v>Técnico Superior</v>
          </cell>
          <cell r="L399" t="str">
            <v>Si</v>
          </cell>
          <cell r="O399" t="str">
            <v>Médico</v>
          </cell>
        </row>
        <row r="400">
          <cell r="C400" t="str">
            <v>Suilberto Heredia Yis</v>
          </cell>
          <cell r="E400" t="str">
            <v>M</v>
          </cell>
          <cell r="F400" t="str">
            <v>blanca</v>
          </cell>
          <cell r="K400" t="str">
            <v>Técnico Superior</v>
          </cell>
          <cell r="L400" t="str">
            <v>Si</v>
          </cell>
          <cell r="O400" t="str">
            <v>Médico</v>
          </cell>
        </row>
        <row r="401">
          <cell r="C401" t="str">
            <v>Yarisleidys Palencia Romero</v>
          </cell>
          <cell r="E401" t="str">
            <v>F</v>
          </cell>
          <cell r="F401" t="str">
            <v>blanca</v>
          </cell>
          <cell r="K401" t="str">
            <v>Cuadro</v>
          </cell>
          <cell r="L401" t="str">
            <v>Si</v>
          </cell>
          <cell r="O401" t="str">
            <v>Médico</v>
          </cell>
        </row>
        <row r="402">
          <cell r="C402" t="str">
            <v>Yudey Beltran Torres</v>
          </cell>
          <cell r="E402" t="str">
            <v>F</v>
          </cell>
          <cell r="F402" t="str">
            <v>blanca</v>
          </cell>
          <cell r="K402" t="str">
            <v>Técnico Superior</v>
          </cell>
          <cell r="L402" t="str">
            <v>Si</v>
          </cell>
          <cell r="O402" t="str">
            <v>Médico</v>
          </cell>
        </row>
        <row r="403">
          <cell r="C403" t="str">
            <v>Elisa Valverde Martinez</v>
          </cell>
          <cell r="E403" t="str">
            <v>F</v>
          </cell>
          <cell r="F403" t="str">
            <v>blanca</v>
          </cell>
          <cell r="K403" t="str">
            <v>Técnico Superior</v>
          </cell>
          <cell r="L403" t="str">
            <v>No</v>
          </cell>
          <cell r="O403" t="str">
            <v>Médico</v>
          </cell>
        </row>
        <row r="404">
          <cell r="C404" t="str">
            <v>Yuneisi Díaz Berenguer</v>
          </cell>
          <cell r="E404" t="str">
            <v>F</v>
          </cell>
          <cell r="F404" t="str">
            <v>blanca</v>
          </cell>
          <cell r="K404" t="str">
            <v>Técnico Superior</v>
          </cell>
          <cell r="L404" t="str">
            <v>Si</v>
          </cell>
          <cell r="O404" t="str">
            <v>Médico</v>
          </cell>
        </row>
        <row r="405">
          <cell r="C405" t="str">
            <v xml:space="preserve">Elsy Ortiz Esquivel </v>
          </cell>
          <cell r="E405" t="str">
            <v>F</v>
          </cell>
          <cell r="F405" t="str">
            <v>blanca</v>
          </cell>
          <cell r="K405" t="str">
            <v>Técnico Superior</v>
          </cell>
          <cell r="L405" t="str">
            <v>Si</v>
          </cell>
          <cell r="O405" t="str">
            <v>Médico</v>
          </cell>
        </row>
        <row r="406">
          <cell r="C406" t="str">
            <v>Emilio Silega Larrea</v>
          </cell>
          <cell r="E406" t="str">
            <v>M</v>
          </cell>
          <cell r="F406" t="str">
            <v>negra</v>
          </cell>
          <cell r="K406" t="str">
            <v>Técnico Superior</v>
          </cell>
          <cell r="L406" t="str">
            <v>Si</v>
          </cell>
          <cell r="O406" t="str">
            <v>Médico</v>
          </cell>
        </row>
        <row r="407">
          <cell r="C407" t="str">
            <v>Claudia Bringuez Napolez</v>
          </cell>
          <cell r="E407" t="str">
            <v>F</v>
          </cell>
          <cell r="F407" t="str">
            <v>mestiza</v>
          </cell>
          <cell r="K407" t="str">
            <v>Técnico Superior</v>
          </cell>
          <cell r="L407" t="str">
            <v>No</v>
          </cell>
          <cell r="O407" t="str">
            <v>Técnico Superior de Ciclo Corto</v>
          </cell>
        </row>
        <row r="408">
          <cell r="C408" t="str">
            <v>Yamileidys Mustelier Salcedo</v>
          </cell>
          <cell r="E408" t="str">
            <v>F</v>
          </cell>
          <cell r="F408" t="str">
            <v>negra</v>
          </cell>
          <cell r="K408" t="str">
            <v>Técnico Superior</v>
          </cell>
          <cell r="L408" t="str">
            <v>Si</v>
          </cell>
          <cell r="M408" t="str">
            <v>Téc Sup. en Enfermería</v>
          </cell>
          <cell r="O408" t="str">
            <v>Técnico Superior de Ciclo Corto</v>
          </cell>
        </row>
        <row r="409">
          <cell r="C409" t="str">
            <v>Yanet Mora Graña</v>
          </cell>
          <cell r="E409" t="str">
            <v>F</v>
          </cell>
          <cell r="F409" t="str">
            <v>Mestiza</v>
          </cell>
          <cell r="K409" t="str">
            <v>Técnico Superior</v>
          </cell>
          <cell r="L409" t="str">
            <v>Si</v>
          </cell>
          <cell r="O409" t="str">
            <v>Psicólogo de la Salud</v>
          </cell>
        </row>
        <row r="410">
          <cell r="C410" t="str">
            <v>Ana Elsy Sánchez Rivero</v>
          </cell>
          <cell r="E410" t="str">
            <v>F</v>
          </cell>
          <cell r="F410" t="str">
            <v>mestiza</v>
          </cell>
          <cell r="K410" t="str">
            <v>Técnico Medio</v>
          </cell>
          <cell r="L410" t="str">
            <v>Si</v>
          </cell>
          <cell r="M410" t="str">
            <v>Estadística de Salud</v>
          </cell>
          <cell r="O410" t="str">
            <v>Técnico Formado Salud</v>
          </cell>
        </row>
        <row r="411">
          <cell r="C411" t="str">
            <v>Gladys Hernández Nuñez</v>
          </cell>
          <cell r="E411" t="str">
            <v>F</v>
          </cell>
          <cell r="F411" t="str">
            <v>mestiza</v>
          </cell>
          <cell r="K411" t="str">
            <v>Técnico Medio</v>
          </cell>
          <cell r="L411" t="str">
            <v>Si</v>
          </cell>
          <cell r="M411" t="str">
            <v>Farmacia dispensarial e industrial</v>
          </cell>
          <cell r="O411" t="str">
            <v>Técnico Formado Salud</v>
          </cell>
        </row>
        <row r="412">
          <cell r="C412" t="str">
            <v>Lilibet Andreu Campos</v>
          </cell>
          <cell r="E412" t="str">
            <v>F</v>
          </cell>
          <cell r="F412" t="str">
            <v>blanca</v>
          </cell>
          <cell r="K412" t="str">
            <v>Técnico Medio</v>
          </cell>
          <cell r="L412" t="str">
            <v>Si</v>
          </cell>
          <cell r="M412" t="str">
            <v>Laboratorio clínico, microbiológico</v>
          </cell>
          <cell r="O412" t="str">
            <v>Técnico Formado Salud</v>
          </cell>
        </row>
        <row r="413">
          <cell r="C413" t="str">
            <v>Yaritza Laurencio Colás</v>
          </cell>
          <cell r="E413" t="str">
            <v>F</v>
          </cell>
          <cell r="F413" t="str">
            <v>mestiza</v>
          </cell>
          <cell r="K413" t="str">
            <v>Técnico Medio</v>
          </cell>
          <cell r="L413" t="str">
            <v>Si</v>
          </cell>
          <cell r="M413" t="str">
            <v>Farmacia dispensarial e industrial</v>
          </cell>
          <cell r="O413" t="str">
            <v>Técnico Formado Salud</v>
          </cell>
        </row>
        <row r="414">
          <cell r="C414" t="str">
            <v>Yoelmi Ruiz Martinez</v>
          </cell>
          <cell r="E414" t="str">
            <v>M</v>
          </cell>
          <cell r="F414" t="str">
            <v>mestiza</v>
          </cell>
          <cell r="K414" t="str">
            <v>Operario</v>
          </cell>
          <cell r="L414" t="str">
            <v>Si</v>
          </cell>
          <cell r="O414" t="str">
            <v>Técnico Formado Salud</v>
          </cell>
        </row>
        <row r="415">
          <cell r="C415" t="str">
            <v>Yuleymi Figueroa Barroso</v>
          </cell>
          <cell r="E415" t="str">
            <v>F</v>
          </cell>
          <cell r="F415" t="str">
            <v>mestiza</v>
          </cell>
          <cell r="K415" t="str">
            <v>Técnico Medio</v>
          </cell>
          <cell r="L415" t="str">
            <v>No</v>
          </cell>
          <cell r="M415" t="str">
            <v>Banco de sangre</v>
          </cell>
          <cell r="O415" t="str">
            <v>Técnico Formado Salud</v>
          </cell>
        </row>
        <row r="416">
          <cell r="C416" t="str">
            <v>Rafaela Miranda Franco</v>
          </cell>
          <cell r="E416" t="str">
            <v>F</v>
          </cell>
          <cell r="F416" t="str">
            <v>blanca</v>
          </cell>
          <cell r="K416" t="str">
            <v>Técnico Medio</v>
          </cell>
          <cell r="L416" t="str">
            <v>No</v>
          </cell>
          <cell r="M416" t="str">
            <v>Laboratorio clínico, microbiológico</v>
          </cell>
          <cell r="O416" t="str">
            <v>Técnico Formado Salud</v>
          </cell>
        </row>
        <row r="417">
          <cell r="C417" t="str">
            <v>Yudith de las Mercedes Correoso Perdomo</v>
          </cell>
          <cell r="E417" t="str">
            <v>F</v>
          </cell>
          <cell r="F417" t="str">
            <v>mestiza</v>
          </cell>
          <cell r="K417" t="str">
            <v>Servicio</v>
          </cell>
          <cell r="L417" t="str">
            <v>Si</v>
          </cell>
          <cell r="O417" t="str">
            <v>Técnico Formado Salud</v>
          </cell>
        </row>
        <row r="418">
          <cell r="C418" t="str">
            <v>Linier Martinez Torres</v>
          </cell>
          <cell r="E418" t="str">
            <v>M</v>
          </cell>
          <cell r="F418" t="str">
            <v>blanca</v>
          </cell>
          <cell r="K418" t="str">
            <v>Servicio</v>
          </cell>
          <cell r="L418" t="str">
            <v>Si</v>
          </cell>
          <cell r="O418" t="str">
            <v>Técnico Formado Salud</v>
          </cell>
        </row>
        <row r="419">
          <cell r="C419" t="str">
            <v>Inés Yaumara Alvarez Ortiz</v>
          </cell>
          <cell r="E419" t="str">
            <v>F</v>
          </cell>
          <cell r="F419" t="str">
            <v>mestiza</v>
          </cell>
          <cell r="K419" t="str">
            <v>Técnico Básico</v>
          </cell>
          <cell r="L419" t="str">
            <v>No</v>
          </cell>
          <cell r="O419" t="str">
            <v>Enfermería</v>
          </cell>
        </row>
        <row r="420">
          <cell r="C420" t="str">
            <v>Yaidis Yasmin Montesino Barrientos</v>
          </cell>
          <cell r="E420" t="str">
            <v>F</v>
          </cell>
          <cell r="F420" t="str">
            <v>mestiza</v>
          </cell>
          <cell r="K420" t="str">
            <v>Técnico Básico</v>
          </cell>
          <cell r="L420" t="str">
            <v>No</v>
          </cell>
          <cell r="O420" t="str">
            <v>Enfermería</v>
          </cell>
        </row>
        <row r="421">
          <cell r="C421" t="str">
            <v>ALBERTO CASTILLO REYES</v>
          </cell>
          <cell r="E421" t="str">
            <v>M</v>
          </cell>
          <cell r="F421" t="str">
            <v>mestiza</v>
          </cell>
          <cell r="K421" t="str">
            <v>Servicio</v>
          </cell>
          <cell r="L421" t="str">
            <v>Si</v>
          </cell>
          <cell r="O421" t="str">
            <v>Técnico No Formado Salud</v>
          </cell>
        </row>
        <row r="422">
          <cell r="C422" t="str">
            <v>BENEDICTO HERNANDEZ CORRIOSO</v>
          </cell>
          <cell r="E422" t="str">
            <v>M</v>
          </cell>
          <cell r="F422" t="str">
            <v>negra</v>
          </cell>
          <cell r="K422" t="str">
            <v>Servicio</v>
          </cell>
          <cell r="L422" t="str">
            <v>Si</v>
          </cell>
          <cell r="O422" t="str">
            <v>Técnico No Formado Salud</v>
          </cell>
        </row>
        <row r="423">
          <cell r="C423" t="str">
            <v>Danais Despeine Bravo</v>
          </cell>
          <cell r="E423" t="str">
            <v>F</v>
          </cell>
          <cell r="F423" t="str">
            <v>mestiza</v>
          </cell>
          <cell r="K423" t="str">
            <v>Técnico Medio</v>
          </cell>
          <cell r="L423" t="str">
            <v>Si</v>
          </cell>
          <cell r="O423" t="str">
            <v>Técnico No Formado Salud</v>
          </cell>
        </row>
        <row r="424">
          <cell r="C424" t="str">
            <v>Daumara Cuello Agramonte</v>
          </cell>
          <cell r="E424" t="str">
            <v>F</v>
          </cell>
          <cell r="F424" t="str">
            <v>mestiza</v>
          </cell>
          <cell r="K424" t="str">
            <v>Servicio</v>
          </cell>
          <cell r="L424" t="str">
            <v>Si</v>
          </cell>
          <cell r="O424" t="str">
            <v>Técnico No Formado Salud</v>
          </cell>
        </row>
        <row r="425">
          <cell r="C425" t="str">
            <v>Elbi Sánchez Bell</v>
          </cell>
          <cell r="E425" t="str">
            <v>F</v>
          </cell>
          <cell r="F425" t="str">
            <v>mestiza</v>
          </cell>
          <cell r="K425" t="str">
            <v>Servicio</v>
          </cell>
          <cell r="L425" t="str">
            <v>Si</v>
          </cell>
          <cell r="O425" t="str">
            <v>Técnico No Formado Salud</v>
          </cell>
        </row>
        <row r="426">
          <cell r="C426" t="str">
            <v>Georgina Odio Ramirez</v>
          </cell>
          <cell r="E426" t="str">
            <v>F</v>
          </cell>
          <cell r="F426" t="str">
            <v>blanca</v>
          </cell>
          <cell r="K426" t="str">
            <v>Servicio</v>
          </cell>
          <cell r="L426" t="str">
            <v>Si</v>
          </cell>
          <cell r="O426" t="str">
            <v>Técnico No Formado Salud</v>
          </cell>
        </row>
        <row r="427">
          <cell r="C427" t="str">
            <v>Lisandra Santa Cruz Pacheco</v>
          </cell>
          <cell r="E427" t="str">
            <v>F</v>
          </cell>
          <cell r="F427" t="str">
            <v>blanca</v>
          </cell>
          <cell r="K427" t="str">
            <v>Administrativo</v>
          </cell>
          <cell r="L427" t="str">
            <v>Si</v>
          </cell>
          <cell r="O427" t="str">
            <v>Técnico No Formado Salud</v>
          </cell>
        </row>
        <row r="428">
          <cell r="C428" t="str">
            <v>María Elena Alejo Martinez</v>
          </cell>
          <cell r="E428" t="str">
            <v>F</v>
          </cell>
          <cell r="F428" t="str">
            <v>blanca</v>
          </cell>
          <cell r="K428" t="str">
            <v>Administrativo</v>
          </cell>
          <cell r="L428" t="str">
            <v>Si</v>
          </cell>
          <cell r="O428" t="str">
            <v>Técnico No Formado Salud</v>
          </cell>
        </row>
        <row r="429">
          <cell r="C429" t="str">
            <v>María Nela León  Carrión</v>
          </cell>
          <cell r="E429" t="str">
            <v>F</v>
          </cell>
          <cell r="F429" t="str">
            <v>mestiza</v>
          </cell>
          <cell r="K429" t="str">
            <v>Técnico Medio</v>
          </cell>
          <cell r="L429" t="str">
            <v>Si</v>
          </cell>
          <cell r="O429" t="str">
            <v>Técnico No Formado Salud</v>
          </cell>
        </row>
        <row r="430">
          <cell r="C430" t="str">
            <v>Nilda Nelia Gámez Vinent</v>
          </cell>
          <cell r="E430" t="str">
            <v>F</v>
          </cell>
          <cell r="F430" t="str">
            <v>negra</v>
          </cell>
          <cell r="K430" t="str">
            <v>Operario</v>
          </cell>
          <cell r="L430" t="str">
            <v>Si</v>
          </cell>
          <cell r="O430" t="str">
            <v>Técnico No Formado Salud</v>
          </cell>
        </row>
        <row r="431">
          <cell r="C431" t="str">
            <v>Odalis Fuentes Delas</v>
          </cell>
          <cell r="E431" t="str">
            <v>F</v>
          </cell>
          <cell r="F431" t="str">
            <v>mestiza</v>
          </cell>
          <cell r="K431" t="str">
            <v>Servicio</v>
          </cell>
          <cell r="L431" t="str">
            <v>Si</v>
          </cell>
          <cell r="O431" t="str">
            <v>Técnico No Formado Salud</v>
          </cell>
        </row>
        <row r="432">
          <cell r="C432" t="str">
            <v>Pablo Arce Jaens</v>
          </cell>
          <cell r="E432" t="str">
            <v>M</v>
          </cell>
          <cell r="F432" t="str">
            <v>mestiza</v>
          </cell>
          <cell r="K432" t="str">
            <v>Operario</v>
          </cell>
          <cell r="L432" t="str">
            <v>Si</v>
          </cell>
          <cell r="O432" t="str">
            <v>Técnico No Formado Salud</v>
          </cell>
        </row>
        <row r="433">
          <cell r="C433" t="str">
            <v>PEDRO TORRES GONZALEZ</v>
          </cell>
          <cell r="E433" t="str">
            <v>M</v>
          </cell>
          <cell r="F433" t="str">
            <v>mestiza</v>
          </cell>
          <cell r="K433" t="str">
            <v>Operario</v>
          </cell>
          <cell r="L433" t="str">
            <v>Si</v>
          </cell>
          <cell r="O433" t="str">
            <v>Técnico No Formado Salud</v>
          </cell>
        </row>
        <row r="434">
          <cell r="C434" t="str">
            <v>Robier Borges Pérez</v>
          </cell>
          <cell r="E434" t="str">
            <v>M</v>
          </cell>
          <cell r="F434" t="str">
            <v>blanca</v>
          </cell>
          <cell r="K434" t="str">
            <v>Servicio</v>
          </cell>
          <cell r="L434" t="str">
            <v>Si</v>
          </cell>
          <cell r="O434" t="str">
            <v>Técnico No Formado Salud</v>
          </cell>
        </row>
        <row r="435">
          <cell r="C435" t="str">
            <v>Rodolfo Darroman López</v>
          </cell>
          <cell r="E435" t="str">
            <v>M</v>
          </cell>
          <cell r="F435" t="str">
            <v>mestiza</v>
          </cell>
          <cell r="K435" t="str">
            <v>Servicio</v>
          </cell>
          <cell r="L435" t="str">
            <v>Si</v>
          </cell>
          <cell r="O435" t="str">
            <v>Técnico No Formado Salud</v>
          </cell>
        </row>
        <row r="436">
          <cell r="C436" t="str">
            <v>Yadanis Lobayna Morales</v>
          </cell>
          <cell r="E436" t="str">
            <v>F</v>
          </cell>
          <cell r="F436" t="str">
            <v>blanca</v>
          </cell>
          <cell r="K436" t="str">
            <v>Técnico Medio</v>
          </cell>
          <cell r="L436" t="str">
            <v>Si</v>
          </cell>
          <cell r="O436" t="str">
            <v>Técnico No Formado Salud</v>
          </cell>
        </row>
        <row r="437">
          <cell r="C437" t="str">
            <v>Aida Roja Tito</v>
          </cell>
          <cell r="E437" t="str">
            <v>F</v>
          </cell>
          <cell r="F437" t="str">
            <v>blanca</v>
          </cell>
          <cell r="K437" t="str">
            <v>Técnico Medio</v>
          </cell>
          <cell r="L437" t="str">
            <v>No</v>
          </cell>
          <cell r="O437" t="str">
            <v>Técnico No Formado Salud</v>
          </cell>
        </row>
        <row r="438">
          <cell r="C438" t="str">
            <v>Yilian Clara Moraga Cobas</v>
          </cell>
          <cell r="E438" t="str">
            <v>F</v>
          </cell>
          <cell r="F438" t="str">
            <v>mestiza</v>
          </cell>
          <cell r="K438" t="str">
            <v>Servicio</v>
          </cell>
          <cell r="L438" t="str">
            <v>Si</v>
          </cell>
          <cell r="O438" t="str">
            <v>Técnico No Formado Salud</v>
          </cell>
        </row>
        <row r="439">
          <cell r="C439" t="str">
            <v>María Moya Millares</v>
          </cell>
          <cell r="E439" t="str">
            <v>F</v>
          </cell>
          <cell r="F439" t="str">
            <v>mestiza</v>
          </cell>
          <cell r="K439" t="str">
            <v>Servicio</v>
          </cell>
          <cell r="L439" t="str">
            <v>Si</v>
          </cell>
          <cell r="O439" t="str">
            <v>Técnico No Formado Salud</v>
          </cell>
        </row>
        <row r="440">
          <cell r="C440" t="str">
            <v>Dasyolkis Arce Jaens</v>
          </cell>
          <cell r="E440" t="str">
            <v>F</v>
          </cell>
          <cell r="F440" t="str">
            <v>mestiza</v>
          </cell>
          <cell r="K440" t="str">
            <v>Técnico Medio</v>
          </cell>
          <cell r="L440" t="str">
            <v>Si</v>
          </cell>
          <cell r="O440" t="str">
            <v>Otros Profesionales y Especialidades</v>
          </cell>
        </row>
        <row r="441">
          <cell r="C441" t="str">
            <v>José Antonio Griñan Guibert</v>
          </cell>
          <cell r="E441" t="str">
            <v>M</v>
          </cell>
          <cell r="F441" t="str">
            <v>mestiza</v>
          </cell>
          <cell r="K441" t="str">
            <v>Técnico Superior</v>
          </cell>
          <cell r="L441" t="str">
            <v>Si</v>
          </cell>
          <cell r="O441" t="str">
            <v>Otros Profesionales y Especialidades</v>
          </cell>
        </row>
        <row r="442">
          <cell r="C442" t="str">
            <v>José Antonio Poumier Guilarte</v>
          </cell>
          <cell r="E442" t="str">
            <v>M</v>
          </cell>
          <cell r="F442" t="str">
            <v>mestiza</v>
          </cell>
          <cell r="K442" t="str">
            <v>Técnico Superior</v>
          </cell>
          <cell r="L442" t="str">
            <v>Si</v>
          </cell>
          <cell r="O442" t="str">
            <v>Otros Profesionales y Especialidades</v>
          </cell>
        </row>
        <row r="443">
          <cell r="C443" t="str">
            <v>Juan Alfredo Moso Mustelier</v>
          </cell>
          <cell r="E443" t="str">
            <v>M</v>
          </cell>
          <cell r="F443" t="str">
            <v>negra</v>
          </cell>
          <cell r="K443" t="str">
            <v>Operario</v>
          </cell>
          <cell r="L443" t="str">
            <v>Si</v>
          </cell>
          <cell r="O443" t="str">
            <v>Otros Profesionales y Especialidades</v>
          </cell>
        </row>
        <row r="444">
          <cell r="C444" t="str">
            <v>Leonardo Kindelan Gutierrez</v>
          </cell>
          <cell r="E444" t="str">
            <v>M</v>
          </cell>
          <cell r="F444" t="str">
            <v>mestiza</v>
          </cell>
          <cell r="K444" t="str">
            <v>Cuadro</v>
          </cell>
          <cell r="L444" t="str">
            <v>Si</v>
          </cell>
          <cell r="O444" t="str">
            <v>Otros Profesionales y Especialidades</v>
          </cell>
        </row>
        <row r="445">
          <cell r="C445" t="str">
            <v>Mariellis Ibañez Benitez</v>
          </cell>
          <cell r="E445" t="str">
            <v>F</v>
          </cell>
          <cell r="F445" t="str">
            <v>mestiza</v>
          </cell>
          <cell r="K445" t="str">
            <v>Técnico Superior</v>
          </cell>
          <cell r="L445" t="str">
            <v>Si</v>
          </cell>
          <cell r="O445" t="str">
            <v>Otros Profesionales y Especialidades</v>
          </cell>
        </row>
        <row r="446">
          <cell r="C446" t="str">
            <v>Mayra Vera Cuevas</v>
          </cell>
          <cell r="E446" t="str">
            <v>F</v>
          </cell>
          <cell r="F446" t="str">
            <v>mestiza</v>
          </cell>
          <cell r="K446" t="str">
            <v>Técnico Superior</v>
          </cell>
          <cell r="L446" t="str">
            <v>Si</v>
          </cell>
          <cell r="O446" t="str">
            <v>Otros Profesionales y Especialidades</v>
          </cell>
        </row>
        <row r="447">
          <cell r="C447" t="str">
            <v>Milagros Areas Cuestas</v>
          </cell>
          <cell r="E447" t="str">
            <v>F</v>
          </cell>
          <cell r="F447" t="str">
            <v>mestiza</v>
          </cell>
          <cell r="K447" t="str">
            <v>Cuadro</v>
          </cell>
          <cell r="L447" t="str">
            <v>Si</v>
          </cell>
          <cell r="O447" t="str">
            <v>Otros Profesionales y Especialidades</v>
          </cell>
        </row>
        <row r="448">
          <cell r="C448" t="str">
            <v>Oraida Cala Medina</v>
          </cell>
          <cell r="E448" t="str">
            <v>F</v>
          </cell>
          <cell r="F448" t="str">
            <v>mestiza</v>
          </cell>
          <cell r="K448" t="str">
            <v>Técnico Superior</v>
          </cell>
          <cell r="L448" t="str">
            <v>Si</v>
          </cell>
          <cell r="O448" t="str">
            <v>Otros Profesionales y Especialidades</v>
          </cell>
        </row>
        <row r="449">
          <cell r="C449" t="str">
            <v>Oveida Zamora Parra</v>
          </cell>
          <cell r="E449" t="str">
            <v>F</v>
          </cell>
          <cell r="F449" t="str">
            <v>mestiza</v>
          </cell>
          <cell r="K449" t="str">
            <v>Técnico Superior</v>
          </cell>
          <cell r="L449" t="str">
            <v>Si</v>
          </cell>
          <cell r="O449" t="str">
            <v>Otros Profesionales y Especialidades</v>
          </cell>
        </row>
        <row r="450">
          <cell r="C450" t="str">
            <v>Sidelcy Téllez Bermúdez</v>
          </cell>
          <cell r="E450" t="str">
            <v>M</v>
          </cell>
          <cell r="F450" t="str">
            <v>mestiza</v>
          </cell>
          <cell r="K450" t="str">
            <v>Técnico Superior</v>
          </cell>
          <cell r="L450" t="str">
            <v>Si</v>
          </cell>
          <cell r="O450" t="str">
            <v>Otros Profesionales y Especialidades</v>
          </cell>
        </row>
        <row r="451">
          <cell r="C451" t="str">
            <v>Yuleydis Hodelin Figueredo</v>
          </cell>
          <cell r="E451" t="str">
            <v>F</v>
          </cell>
          <cell r="F451" t="str">
            <v>mestiza</v>
          </cell>
          <cell r="K451" t="str">
            <v>Técnico Superior</v>
          </cell>
          <cell r="L451" t="str">
            <v>Si</v>
          </cell>
          <cell r="O451" t="str">
            <v>Otros Profesionales y Especialidades</v>
          </cell>
        </row>
        <row r="452">
          <cell r="C452" t="str">
            <v>Yulieka Romero Rodriguez</v>
          </cell>
          <cell r="E452" t="str">
            <v>F</v>
          </cell>
          <cell r="F452" t="str">
            <v>mestiza</v>
          </cell>
          <cell r="K452" t="str">
            <v>Técnico Superior</v>
          </cell>
          <cell r="L452" t="str">
            <v>Si</v>
          </cell>
          <cell r="O452" t="str">
            <v>Otros Profesionales y Especialidades</v>
          </cell>
        </row>
        <row r="453">
          <cell r="C453" t="str">
            <v>Jannier Jimenez Bueste</v>
          </cell>
          <cell r="E453" t="str">
            <v>M</v>
          </cell>
          <cell r="F453" t="str">
            <v>mestiza</v>
          </cell>
          <cell r="K453" t="str">
            <v>Técnico Superior</v>
          </cell>
          <cell r="L453" t="str">
            <v>No</v>
          </cell>
          <cell r="O453" t="str">
            <v>Otros Profesionales y Especialidades</v>
          </cell>
        </row>
        <row r="454">
          <cell r="C454" t="str">
            <v>Leticia Tamayo Cuello,</v>
          </cell>
          <cell r="E454" t="str">
            <v>F</v>
          </cell>
          <cell r="F454" t="str">
            <v>mestiza</v>
          </cell>
          <cell r="K454" t="str">
            <v>Técnico Superior</v>
          </cell>
          <cell r="L454" t="str">
            <v>No</v>
          </cell>
          <cell r="O454" t="str">
            <v>Otros Profesionales y Especialidades</v>
          </cell>
        </row>
        <row r="455">
          <cell r="C455" t="str">
            <v>Lucia Geralde Santos</v>
          </cell>
          <cell r="E455" t="str">
            <v>F</v>
          </cell>
          <cell r="F455" t="str">
            <v>blanca</v>
          </cell>
          <cell r="K455" t="str">
            <v>Operario</v>
          </cell>
          <cell r="L455" t="str">
            <v>Si</v>
          </cell>
          <cell r="O455" t="str">
            <v>Otros Profesionales y Especialidades</v>
          </cell>
        </row>
        <row r="456">
          <cell r="C456" t="str">
            <v>Yilian Fuentes Despaigne</v>
          </cell>
          <cell r="E456" t="str">
            <v>F</v>
          </cell>
          <cell r="F456" t="str">
            <v>mestiza</v>
          </cell>
          <cell r="K456" t="str">
            <v>Técnico Superior</v>
          </cell>
          <cell r="L456" t="str">
            <v>No</v>
          </cell>
          <cell r="O456" t="str">
            <v>Otros Profesionales y Especialidades</v>
          </cell>
        </row>
        <row r="457">
          <cell r="C457" t="str">
            <v>Mercedes Alcolea Dussac</v>
          </cell>
          <cell r="E457" t="str">
            <v>F</v>
          </cell>
          <cell r="F457" t="str">
            <v>mestiza</v>
          </cell>
          <cell r="K457" t="str">
            <v>Administrativo</v>
          </cell>
          <cell r="L457" t="str">
            <v>No</v>
          </cell>
          <cell r="O457" t="str">
            <v>Otros Profesionales y Especialidades</v>
          </cell>
        </row>
        <row r="458">
          <cell r="C458" t="str">
            <v>Aglay Casternaux Quintana</v>
          </cell>
          <cell r="E458" t="str">
            <v>F</v>
          </cell>
          <cell r="F458" t="str">
            <v>mestiza</v>
          </cell>
          <cell r="K458" t="str">
            <v>Servicio</v>
          </cell>
          <cell r="L458" t="str">
            <v>Si</v>
          </cell>
          <cell r="O458" t="str">
            <v>Otros No Técnicos</v>
          </cell>
        </row>
        <row r="459">
          <cell r="C459" t="str">
            <v xml:space="preserve">Ambar Irina Bueno Lastre </v>
          </cell>
          <cell r="E459" t="str">
            <v>F</v>
          </cell>
          <cell r="F459" t="str">
            <v>mestiza</v>
          </cell>
          <cell r="K459" t="str">
            <v>Servicio</v>
          </cell>
          <cell r="L459" t="str">
            <v>Si</v>
          </cell>
          <cell r="O459" t="str">
            <v>Otros No Técnicos</v>
          </cell>
        </row>
        <row r="460">
          <cell r="C460" t="str">
            <v>Ana Delvis Téllez Tamayo</v>
          </cell>
          <cell r="E460" t="str">
            <v>F</v>
          </cell>
          <cell r="F460" t="str">
            <v>mestiza</v>
          </cell>
          <cell r="K460" t="str">
            <v>Servicio</v>
          </cell>
          <cell r="L460" t="str">
            <v>Si</v>
          </cell>
          <cell r="O460" t="str">
            <v>Otros No Técnicos</v>
          </cell>
        </row>
        <row r="461">
          <cell r="C461" t="str">
            <v>Ana María Pérez Bonne</v>
          </cell>
          <cell r="E461" t="str">
            <v>F</v>
          </cell>
          <cell r="F461" t="str">
            <v>negra</v>
          </cell>
          <cell r="K461" t="str">
            <v>Servicio</v>
          </cell>
          <cell r="L461" t="str">
            <v>Si</v>
          </cell>
          <cell r="O461" t="str">
            <v>Otros No Técnicos</v>
          </cell>
        </row>
        <row r="462">
          <cell r="C462" t="str">
            <v>Ana Virgen Gámez Vinent</v>
          </cell>
          <cell r="E462" t="str">
            <v>F</v>
          </cell>
          <cell r="F462" t="str">
            <v>mestiza</v>
          </cell>
          <cell r="K462" t="str">
            <v>Servicio</v>
          </cell>
          <cell r="L462" t="str">
            <v>Si</v>
          </cell>
          <cell r="O462" t="str">
            <v>Otros No Técnicos</v>
          </cell>
        </row>
        <row r="463">
          <cell r="C463" t="str">
            <v>Andres Fermin Cuello Rodriguez</v>
          </cell>
          <cell r="E463" t="str">
            <v>M</v>
          </cell>
          <cell r="F463" t="str">
            <v>mestiza</v>
          </cell>
          <cell r="K463" t="str">
            <v>Operario</v>
          </cell>
          <cell r="L463" t="str">
            <v>Si</v>
          </cell>
          <cell r="O463" t="str">
            <v>Otros No Técnicos</v>
          </cell>
        </row>
        <row r="464">
          <cell r="C464" t="str">
            <v>Alberto Lozada Quevedo</v>
          </cell>
          <cell r="E464" t="str">
            <v>M</v>
          </cell>
          <cell r="F464" t="str">
            <v>blanca</v>
          </cell>
          <cell r="K464" t="str">
            <v>Servicio</v>
          </cell>
          <cell r="L464" t="str">
            <v>No</v>
          </cell>
          <cell r="O464" t="str">
            <v>Otros No Técnicos</v>
          </cell>
        </row>
        <row r="465">
          <cell r="C465" t="str">
            <v>Arcenio Ramos González</v>
          </cell>
          <cell r="E465" t="str">
            <v>M</v>
          </cell>
          <cell r="F465" t="str">
            <v>mestiza</v>
          </cell>
          <cell r="K465" t="str">
            <v>Servicio</v>
          </cell>
          <cell r="L465" t="str">
            <v>Si</v>
          </cell>
          <cell r="O465" t="str">
            <v>Otros No Técnicos</v>
          </cell>
        </row>
        <row r="466">
          <cell r="C466" t="str">
            <v>Argelio Bell Pérez</v>
          </cell>
          <cell r="E466" t="str">
            <v>M</v>
          </cell>
          <cell r="F466" t="str">
            <v>negra</v>
          </cell>
          <cell r="K466" t="str">
            <v>Servicio</v>
          </cell>
          <cell r="L466" t="str">
            <v>Si</v>
          </cell>
          <cell r="O466" t="str">
            <v>Otros No Técnicos</v>
          </cell>
        </row>
        <row r="467">
          <cell r="C467" t="str">
            <v>Aymé Tamara Zayas Masso</v>
          </cell>
          <cell r="E467" t="str">
            <v>F</v>
          </cell>
          <cell r="F467" t="str">
            <v>negra</v>
          </cell>
          <cell r="K467" t="str">
            <v>Servicio</v>
          </cell>
          <cell r="L467" t="str">
            <v>Si</v>
          </cell>
          <cell r="O467" t="str">
            <v>Otros No Técnicos</v>
          </cell>
        </row>
        <row r="468">
          <cell r="C468" t="str">
            <v>Barbara Díaz Consuegra</v>
          </cell>
          <cell r="E468" t="str">
            <v>F</v>
          </cell>
          <cell r="F468" t="str">
            <v>blanca</v>
          </cell>
          <cell r="K468" t="str">
            <v>Servicio</v>
          </cell>
          <cell r="L468" t="str">
            <v>Si</v>
          </cell>
          <cell r="O468" t="str">
            <v>Otros No Técnicos</v>
          </cell>
        </row>
        <row r="469">
          <cell r="C469" t="str">
            <v>Esperanza Rodriguez González</v>
          </cell>
          <cell r="E469" t="str">
            <v>F</v>
          </cell>
          <cell r="F469" t="str">
            <v>mestiza</v>
          </cell>
          <cell r="K469" t="str">
            <v>Servicio</v>
          </cell>
          <cell r="L469" t="str">
            <v>No</v>
          </cell>
          <cell r="O469" t="str">
            <v>Otros No Técnicos</v>
          </cell>
        </row>
        <row r="470">
          <cell r="C470" t="str">
            <v>Dagneris Pérez Masso</v>
          </cell>
          <cell r="E470" t="str">
            <v>F</v>
          </cell>
          <cell r="F470" t="str">
            <v>mestiza</v>
          </cell>
          <cell r="K470" t="str">
            <v>Servicio</v>
          </cell>
          <cell r="L470" t="str">
            <v>Si</v>
          </cell>
          <cell r="O470" t="str">
            <v>Otros No Técnicos</v>
          </cell>
        </row>
        <row r="471">
          <cell r="C471" t="str">
            <v>Dainelis Molla Laborde</v>
          </cell>
          <cell r="E471" t="str">
            <v>F</v>
          </cell>
          <cell r="F471" t="str">
            <v>mestiza</v>
          </cell>
          <cell r="K471" t="str">
            <v>Servicio</v>
          </cell>
          <cell r="L471" t="str">
            <v>Si</v>
          </cell>
          <cell r="O471" t="str">
            <v>Otros No Técnicos</v>
          </cell>
        </row>
        <row r="472">
          <cell r="C472" t="str">
            <v>Daliana Vidal Téllez</v>
          </cell>
          <cell r="E472" t="str">
            <v>F</v>
          </cell>
          <cell r="F472" t="str">
            <v>mestiza</v>
          </cell>
          <cell r="K472" t="str">
            <v>Servicio</v>
          </cell>
          <cell r="L472" t="str">
            <v>Si</v>
          </cell>
          <cell r="O472" t="str">
            <v>Otros No Técnicos</v>
          </cell>
        </row>
        <row r="473">
          <cell r="C473" t="str">
            <v>Damaso Vicente García</v>
          </cell>
          <cell r="E473" t="str">
            <v>M</v>
          </cell>
          <cell r="F473" t="str">
            <v>mestiza</v>
          </cell>
          <cell r="K473" t="str">
            <v>Técnico Medio</v>
          </cell>
          <cell r="L473" t="str">
            <v>Si</v>
          </cell>
          <cell r="O473" t="str">
            <v>Otros No Técnicos</v>
          </cell>
        </row>
        <row r="474">
          <cell r="C474" t="str">
            <v>Danelis Mendoza Zamora</v>
          </cell>
          <cell r="E474" t="str">
            <v>F</v>
          </cell>
          <cell r="F474" t="str">
            <v>mestiza</v>
          </cell>
          <cell r="K474" t="str">
            <v>Servicio</v>
          </cell>
          <cell r="L474" t="str">
            <v>Si</v>
          </cell>
          <cell r="O474" t="str">
            <v>Otros No Técnicos</v>
          </cell>
        </row>
        <row r="475">
          <cell r="C475" t="str">
            <v>DENNY MARTINEZ CASTILLO</v>
          </cell>
          <cell r="E475" t="str">
            <v>M</v>
          </cell>
          <cell r="F475" t="str">
            <v>negra</v>
          </cell>
          <cell r="K475" t="str">
            <v>Servicio</v>
          </cell>
          <cell r="L475" t="str">
            <v>Si</v>
          </cell>
          <cell r="O475" t="str">
            <v>Otros No Técnicos</v>
          </cell>
        </row>
        <row r="476">
          <cell r="C476" t="str">
            <v>Dlianne Figuerola Silega</v>
          </cell>
          <cell r="E476" t="str">
            <v>F</v>
          </cell>
          <cell r="F476" t="str">
            <v>mestiza</v>
          </cell>
          <cell r="K476" t="str">
            <v>Servicio</v>
          </cell>
          <cell r="L476" t="str">
            <v>Si</v>
          </cell>
          <cell r="O476" t="str">
            <v>Otros No Técnicos</v>
          </cell>
        </row>
        <row r="477">
          <cell r="C477" t="str">
            <v>Edecio Fernández Ochoa</v>
          </cell>
          <cell r="E477" t="str">
            <v>M</v>
          </cell>
          <cell r="F477" t="str">
            <v>blanca</v>
          </cell>
          <cell r="K477" t="str">
            <v>Operario</v>
          </cell>
          <cell r="L477" t="str">
            <v>Si</v>
          </cell>
          <cell r="O477" t="str">
            <v>Otros No Técnicos</v>
          </cell>
        </row>
        <row r="478">
          <cell r="C478" t="str">
            <v>Lianet Boloy Ramirez</v>
          </cell>
          <cell r="E478" t="str">
            <v>F</v>
          </cell>
          <cell r="F478" t="str">
            <v>mestiza</v>
          </cell>
          <cell r="K478" t="str">
            <v>Servicio</v>
          </cell>
          <cell r="L478" t="str">
            <v>No</v>
          </cell>
          <cell r="O478" t="str">
            <v>Otros No Técnicos</v>
          </cell>
        </row>
        <row r="479">
          <cell r="C479" t="str">
            <v>Elba Rosa Portuondo Rosario</v>
          </cell>
          <cell r="E479" t="str">
            <v>F</v>
          </cell>
          <cell r="F479" t="str">
            <v>mestiza</v>
          </cell>
          <cell r="K479" t="str">
            <v>Servicio</v>
          </cell>
          <cell r="L479" t="str">
            <v>Si</v>
          </cell>
          <cell r="O479" t="str">
            <v>Otros No Técnicos</v>
          </cell>
        </row>
        <row r="480">
          <cell r="C480" t="str">
            <v>Enrique Rivero Alarcón</v>
          </cell>
          <cell r="E480" t="str">
            <v>M</v>
          </cell>
          <cell r="F480" t="str">
            <v>mestiza</v>
          </cell>
          <cell r="K480" t="str">
            <v>Servicio</v>
          </cell>
          <cell r="L480" t="str">
            <v>Si</v>
          </cell>
          <cell r="O480" t="str">
            <v>Otros No Técnicos</v>
          </cell>
        </row>
        <row r="481">
          <cell r="C481" t="str">
            <v>Ernesto Geralde Anaya</v>
          </cell>
          <cell r="E481" t="str">
            <v>M</v>
          </cell>
          <cell r="F481" t="str">
            <v>blanca</v>
          </cell>
          <cell r="K481" t="str">
            <v>Servicio</v>
          </cell>
          <cell r="L481" t="str">
            <v>Si</v>
          </cell>
          <cell r="O481" t="str">
            <v>Otros No Técnicos</v>
          </cell>
        </row>
        <row r="482">
          <cell r="C482" t="str">
            <v>Francisco Barsaga González</v>
          </cell>
          <cell r="E482" t="str">
            <v>M</v>
          </cell>
          <cell r="F482" t="str">
            <v>mestiza</v>
          </cell>
          <cell r="K482" t="str">
            <v>Operario</v>
          </cell>
          <cell r="L482" t="str">
            <v>Si</v>
          </cell>
          <cell r="O482" t="str">
            <v>Otros No Técnicos</v>
          </cell>
        </row>
        <row r="483">
          <cell r="C483" t="str">
            <v>Freider Quiala Betancourt</v>
          </cell>
          <cell r="E483" t="str">
            <v>M</v>
          </cell>
          <cell r="F483" t="str">
            <v>mestiza</v>
          </cell>
          <cell r="K483" t="str">
            <v>Servicio</v>
          </cell>
          <cell r="L483" t="str">
            <v>Si</v>
          </cell>
          <cell r="O483" t="str">
            <v>Otros No Técnicos</v>
          </cell>
        </row>
        <row r="484">
          <cell r="C484" t="str">
            <v>Georgina Arrollo Sánchez</v>
          </cell>
          <cell r="E484" t="str">
            <v>F</v>
          </cell>
          <cell r="F484" t="str">
            <v>mestiza</v>
          </cell>
          <cell r="K484" t="str">
            <v>Operario</v>
          </cell>
          <cell r="L484" t="str">
            <v>Si</v>
          </cell>
          <cell r="O484" t="str">
            <v>Otros No Técnicos</v>
          </cell>
        </row>
        <row r="485">
          <cell r="C485" t="str">
            <v>Gladis Glasial Colás</v>
          </cell>
          <cell r="E485" t="str">
            <v>F</v>
          </cell>
          <cell r="F485" t="str">
            <v>mestiza</v>
          </cell>
          <cell r="K485" t="str">
            <v>Servicio</v>
          </cell>
          <cell r="L485" t="str">
            <v>Si</v>
          </cell>
          <cell r="O485" t="str">
            <v>Otros No Técnicos</v>
          </cell>
        </row>
        <row r="486">
          <cell r="C486" t="str">
            <v>Graciela Cobas Delgado</v>
          </cell>
          <cell r="E486" t="str">
            <v>F</v>
          </cell>
          <cell r="F486" t="str">
            <v>mestiza</v>
          </cell>
          <cell r="K486" t="str">
            <v>Servicio</v>
          </cell>
          <cell r="L486" t="str">
            <v>Si</v>
          </cell>
          <cell r="O486" t="str">
            <v>Otros No Técnicos</v>
          </cell>
        </row>
        <row r="487">
          <cell r="C487" t="str">
            <v>Gretel Isac Guibey</v>
          </cell>
          <cell r="E487" t="str">
            <v>F</v>
          </cell>
          <cell r="F487" t="str">
            <v>mestiza</v>
          </cell>
          <cell r="K487" t="str">
            <v>Administrativo</v>
          </cell>
          <cell r="L487" t="str">
            <v>Si</v>
          </cell>
          <cell r="O487" t="str">
            <v>Otros No Técnicos</v>
          </cell>
        </row>
        <row r="488">
          <cell r="C488" t="str">
            <v>Guillermo Antonio Ibañez González</v>
          </cell>
          <cell r="E488" t="str">
            <v>M</v>
          </cell>
          <cell r="F488" t="str">
            <v>mestiza</v>
          </cell>
          <cell r="K488" t="str">
            <v>Operario</v>
          </cell>
          <cell r="L488" t="str">
            <v>Si</v>
          </cell>
          <cell r="O488" t="str">
            <v>Otros No Técnicos</v>
          </cell>
        </row>
        <row r="489">
          <cell r="C489" t="str">
            <v>Imilsi González Pomier</v>
          </cell>
          <cell r="E489" t="str">
            <v>F</v>
          </cell>
          <cell r="F489" t="str">
            <v>mestiza</v>
          </cell>
          <cell r="K489" t="str">
            <v>Operario</v>
          </cell>
          <cell r="L489" t="str">
            <v>Si</v>
          </cell>
          <cell r="O489" t="str">
            <v>Otros No Técnicos</v>
          </cell>
        </row>
        <row r="490">
          <cell r="C490" t="str">
            <v>Imilsis Santos Bautista</v>
          </cell>
          <cell r="E490" t="str">
            <v>F</v>
          </cell>
          <cell r="F490" t="str">
            <v>blanca</v>
          </cell>
          <cell r="K490" t="str">
            <v>Servicio</v>
          </cell>
          <cell r="L490" t="str">
            <v>Si</v>
          </cell>
          <cell r="O490" t="str">
            <v>Otros No Técnicos</v>
          </cell>
        </row>
        <row r="491">
          <cell r="C491" t="str">
            <v>Iraida Tamayo del Pino</v>
          </cell>
          <cell r="E491" t="str">
            <v>F</v>
          </cell>
          <cell r="F491" t="str">
            <v>mestiza</v>
          </cell>
          <cell r="K491" t="str">
            <v>Operario</v>
          </cell>
          <cell r="L491" t="str">
            <v>Si</v>
          </cell>
          <cell r="O491" t="str">
            <v>Otros No Técnicos</v>
          </cell>
        </row>
        <row r="492">
          <cell r="C492" t="str">
            <v>IRAN BOZA MASSO</v>
          </cell>
          <cell r="E492" t="str">
            <v>M</v>
          </cell>
          <cell r="F492" t="str">
            <v>negra</v>
          </cell>
          <cell r="K492" t="str">
            <v>Servicio</v>
          </cell>
          <cell r="L492" t="str">
            <v>Si</v>
          </cell>
          <cell r="O492" t="str">
            <v>Otros No Técnicos</v>
          </cell>
        </row>
        <row r="493">
          <cell r="C493" t="str">
            <v>Irenia Carbonell Sid</v>
          </cell>
          <cell r="E493" t="str">
            <v>F</v>
          </cell>
          <cell r="F493" t="str">
            <v>mestiza</v>
          </cell>
          <cell r="K493" t="str">
            <v>Administrativo</v>
          </cell>
          <cell r="L493" t="str">
            <v>Si</v>
          </cell>
          <cell r="O493" t="str">
            <v>Otros No Técnicos</v>
          </cell>
        </row>
        <row r="494">
          <cell r="C494" t="str">
            <v>Ismael Castillo Donatien</v>
          </cell>
          <cell r="E494" t="str">
            <v>M</v>
          </cell>
          <cell r="F494" t="str">
            <v>mestiza</v>
          </cell>
          <cell r="K494" t="str">
            <v>Servicio</v>
          </cell>
          <cell r="L494" t="str">
            <v>Si</v>
          </cell>
          <cell r="O494" t="str">
            <v>Otros No Técnicos</v>
          </cell>
        </row>
        <row r="495">
          <cell r="C495" t="str">
            <v>José Carlos Plutin Gutierrez</v>
          </cell>
          <cell r="E495" t="str">
            <v>M</v>
          </cell>
          <cell r="F495" t="str">
            <v>mestiza</v>
          </cell>
          <cell r="K495" t="str">
            <v>Servicio</v>
          </cell>
          <cell r="L495" t="str">
            <v>Si</v>
          </cell>
          <cell r="O495" t="str">
            <v>Otros No Técnicos</v>
          </cell>
        </row>
        <row r="496">
          <cell r="C496" t="str">
            <v>José Santana Orozco</v>
          </cell>
          <cell r="E496" t="str">
            <v>M</v>
          </cell>
          <cell r="F496" t="str">
            <v>mestiza</v>
          </cell>
          <cell r="K496" t="str">
            <v>Servicio</v>
          </cell>
          <cell r="L496" t="str">
            <v>Si</v>
          </cell>
          <cell r="O496" t="str">
            <v>Otros No Técnicos</v>
          </cell>
        </row>
        <row r="497">
          <cell r="C497" t="str">
            <v>Lenier Tablada Hechavarría</v>
          </cell>
          <cell r="E497" t="str">
            <v>M</v>
          </cell>
          <cell r="F497" t="str">
            <v>mestiza</v>
          </cell>
          <cell r="K497" t="str">
            <v>Servicio</v>
          </cell>
          <cell r="L497" t="str">
            <v>Si</v>
          </cell>
          <cell r="O497" t="str">
            <v>Otros No Técnicos</v>
          </cell>
        </row>
        <row r="498">
          <cell r="C498" t="str">
            <v>Leonarda López Maturell</v>
          </cell>
          <cell r="E498" t="str">
            <v>F</v>
          </cell>
          <cell r="F498" t="str">
            <v>mestiza</v>
          </cell>
          <cell r="K498" t="str">
            <v>Servicio</v>
          </cell>
          <cell r="L498" t="str">
            <v>Si</v>
          </cell>
          <cell r="O498" t="str">
            <v>Otros No Técnicos</v>
          </cell>
        </row>
        <row r="499">
          <cell r="C499" t="str">
            <v>LUIS ENRIQUE GODINEZ DELAS</v>
          </cell>
          <cell r="E499" t="str">
            <v>M</v>
          </cell>
          <cell r="F499" t="str">
            <v>mestiza</v>
          </cell>
          <cell r="K499" t="str">
            <v>Servicio</v>
          </cell>
          <cell r="L499" t="str">
            <v>Si</v>
          </cell>
          <cell r="O499" t="str">
            <v>Otros No Técnicos</v>
          </cell>
        </row>
        <row r="500">
          <cell r="C500" t="str">
            <v>LUIS ROMERO VARGAS</v>
          </cell>
          <cell r="E500" t="str">
            <v>M</v>
          </cell>
          <cell r="F500" t="str">
            <v>mestiza</v>
          </cell>
          <cell r="K500" t="str">
            <v>Servicio</v>
          </cell>
          <cell r="L500" t="str">
            <v>Si</v>
          </cell>
          <cell r="O500" t="str">
            <v>Otros No Técnicos</v>
          </cell>
        </row>
        <row r="501">
          <cell r="C501" t="str">
            <v>Madelaine Mustelier Torres</v>
          </cell>
          <cell r="E501" t="str">
            <v>F</v>
          </cell>
          <cell r="F501" t="str">
            <v>mestiza</v>
          </cell>
          <cell r="K501" t="str">
            <v>Administrativo</v>
          </cell>
          <cell r="L501" t="str">
            <v>Si</v>
          </cell>
          <cell r="O501" t="str">
            <v>Otros No Técnicos</v>
          </cell>
        </row>
        <row r="502">
          <cell r="C502" t="str">
            <v>Maikelin Torres Martínez</v>
          </cell>
          <cell r="E502" t="str">
            <v>F</v>
          </cell>
          <cell r="F502" t="str">
            <v>mestiza</v>
          </cell>
          <cell r="K502" t="str">
            <v>Servicio</v>
          </cell>
          <cell r="L502" t="str">
            <v>Si</v>
          </cell>
          <cell r="O502" t="str">
            <v>Otros No Técnicos</v>
          </cell>
        </row>
        <row r="503">
          <cell r="C503" t="str">
            <v>Margo Martinez Geralde</v>
          </cell>
          <cell r="E503" t="str">
            <v>F</v>
          </cell>
          <cell r="F503" t="str">
            <v>mestiza</v>
          </cell>
          <cell r="K503" t="str">
            <v>Servicio</v>
          </cell>
          <cell r="L503" t="str">
            <v>Si</v>
          </cell>
          <cell r="O503" t="str">
            <v>Otros No Técnicos</v>
          </cell>
        </row>
        <row r="504">
          <cell r="C504" t="str">
            <v>MARIA CARIDAD CARON GE</v>
          </cell>
          <cell r="E504" t="str">
            <v>F</v>
          </cell>
          <cell r="F504" t="str">
            <v>mestiza</v>
          </cell>
          <cell r="K504" t="str">
            <v>Servicio</v>
          </cell>
          <cell r="L504" t="str">
            <v>Si</v>
          </cell>
          <cell r="O504" t="str">
            <v>Otros No Técnicos</v>
          </cell>
        </row>
        <row r="505">
          <cell r="C505" t="str">
            <v>María Elizabet Téllez Peña</v>
          </cell>
          <cell r="E505" t="str">
            <v>F</v>
          </cell>
          <cell r="F505" t="str">
            <v>mestiza</v>
          </cell>
          <cell r="K505" t="str">
            <v>Servicio</v>
          </cell>
          <cell r="L505" t="str">
            <v>Si</v>
          </cell>
          <cell r="O505" t="str">
            <v>Otros No Técnicos</v>
          </cell>
        </row>
        <row r="506">
          <cell r="C506" t="str">
            <v>Mariela Mustelier Zapata</v>
          </cell>
          <cell r="E506" t="str">
            <v>F</v>
          </cell>
          <cell r="F506" t="str">
            <v>mestiza</v>
          </cell>
          <cell r="K506" t="str">
            <v>Servicio</v>
          </cell>
          <cell r="L506" t="str">
            <v>Si</v>
          </cell>
          <cell r="O506" t="str">
            <v>Otros No Técnicos</v>
          </cell>
        </row>
        <row r="507">
          <cell r="C507" t="str">
            <v>Mariela Sánchez Noay</v>
          </cell>
          <cell r="E507" t="str">
            <v>F</v>
          </cell>
          <cell r="F507" t="str">
            <v>negra</v>
          </cell>
          <cell r="K507" t="str">
            <v>Servicio</v>
          </cell>
          <cell r="L507" t="str">
            <v>Si</v>
          </cell>
          <cell r="O507" t="str">
            <v>Otros No Técnicos</v>
          </cell>
        </row>
        <row r="508">
          <cell r="C508" t="str">
            <v>Marina Téllez Peña</v>
          </cell>
          <cell r="E508" t="str">
            <v>F</v>
          </cell>
          <cell r="F508" t="str">
            <v>mestiza</v>
          </cell>
          <cell r="K508" t="str">
            <v>Servicio</v>
          </cell>
          <cell r="L508" t="str">
            <v>Si</v>
          </cell>
          <cell r="O508" t="str">
            <v>Otros No Técnicos</v>
          </cell>
        </row>
        <row r="509">
          <cell r="C509" t="str">
            <v>Martha Hernández López</v>
          </cell>
          <cell r="E509" t="str">
            <v>F</v>
          </cell>
          <cell r="F509" t="str">
            <v>blanca</v>
          </cell>
          <cell r="K509" t="str">
            <v>Servicio</v>
          </cell>
          <cell r="L509" t="str">
            <v>Si</v>
          </cell>
          <cell r="O509" t="str">
            <v>Otros No Técnicos</v>
          </cell>
        </row>
        <row r="510">
          <cell r="C510" t="str">
            <v>Martha Romero Balón</v>
          </cell>
          <cell r="E510" t="str">
            <v>F</v>
          </cell>
          <cell r="F510" t="str">
            <v>negra</v>
          </cell>
          <cell r="K510" t="str">
            <v>Servicio</v>
          </cell>
          <cell r="L510" t="str">
            <v>Si</v>
          </cell>
          <cell r="O510" t="str">
            <v>Otros No Técnicos</v>
          </cell>
        </row>
        <row r="511">
          <cell r="C511" t="str">
            <v>Mayenqui Cedeño Garcia</v>
          </cell>
          <cell r="E511" t="str">
            <v>F</v>
          </cell>
          <cell r="F511" t="str">
            <v>blanca</v>
          </cell>
          <cell r="K511" t="str">
            <v>Servicio</v>
          </cell>
          <cell r="L511" t="str">
            <v>Si</v>
          </cell>
          <cell r="O511" t="str">
            <v>Otros No Técnicos</v>
          </cell>
        </row>
        <row r="512">
          <cell r="C512" t="str">
            <v>MIGUEL ANGEL BRAvO THOMAS</v>
          </cell>
          <cell r="E512" t="str">
            <v>M</v>
          </cell>
          <cell r="F512" t="str">
            <v>mestiza</v>
          </cell>
          <cell r="K512" t="str">
            <v>Operario</v>
          </cell>
          <cell r="L512" t="str">
            <v>Si</v>
          </cell>
          <cell r="O512" t="str">
            <v>Otros No Técnicos</v>
          </cell>
        </row>
        <row r="513">
          <cell r="C513" t="str">
            <v>MIGUEL ANGEL SAVIGNE TELLEZ</v>
          </cell>
          <cell r="E513" t="str">
            <v>M</v>
          </cell>
          <cell r="F513" t="str">
            <v>mestiza</v>
          </cell>
          <cell r="K513" t="str">
            <v>Servicio</v>
          </cell>
          <cell r="L513" t="str">
            <v>Si</v>
          </cell>
          <cell r="O513" t="str">
            <v>Otros No Técnicos</v>
          </cell>
        </row>
        <row r="514">
          <cell r="C514" t="str">
            <v>Yanelis de la Cruz Tamayo</v>
          </cell>
          <cell r="E514" t="str">
            <v>F</v>
          </cell>
          <cell r="F514" t="str">
            <v>mestiza</v>
          </cell>
          <cell r="K514" t="str">
            <v>Operario</v>
          </cell>
          <cell r="L514" t="str">
            <v>No</v>
          </cell>
          <cell r="O514" t="str">
            <v>Otros No Técnicos</v>
          </cell>
        </row>
        <row r="515">
          <cell r="C515" t="str">
            <v>Milena Yulie Férnandez Prado</v>
          </cell>
          <cell r="E515" t="str">
            <v>F</v>
          </cell>
          <cell r="F515" t="str">
            <v>blanca</v>
          </cell>
          <cell r="K515" t="str">
            <v>Técnico Medio</v>
          </cell>
          <cell r="L515" t="str">
            <v>Si</v>
          </cell>
          <cell r="O515" t="str">
            <v>Otros No Técnicos</v>
          </cell>
        </row>
        <row r="516">
          <cell r="C516" t="str">
            <v>MIRELIS LEYVA POMIER</v>
          </cell>
          <cell r="E516" t="str">
            <v>F</v>
          </cell>
          <cell r="F516" t="str">
            <v>mestiza</v>
          </cell>
          <cell r="K516" t="str">
            <v>Operario</v>
          </cell>
          <cell r="L516" t="str">
            <v>Si</v>
          </cell>
          <cell r="O516" t="str">
            <v>Otros No Técnicos</v>
          </cell>
        </row>
        <row r="517">
          <cell r="C517" t="str">
            <v>Mirulgia Hechavarría Despaigne</v>
          </cell>
          <cell r="E517" t="str">
            <v>F</v>
          </cell>
          <cell r="F517" t="str">
            <v>mestiza</v>
          </cell>
          <cell r="K517" t="str">
            <v>Servicio</v>
          </cell>
          <cell r="L517" t="str">
            <v>Si</v>
          </cell>
          <cell r="O517" t="str">
            <v>Otros No Técnicos</v>
          </cell>
        </row>
        <row r="518">
          <cell r="C518" t="str">
            <v>Naudris Castañeda Blanco</v>
          </cell>
          <cell r="E518" t="str">
            <v>F</v>
          </cell>
          <cell r="F518" t="str">
            <v>mestiza</v>
          </cell>
          <cell r="K518" t="str">
            <v>Servicio</v>
          </cell>
          <cell r="L518" t="str">
            <v>Si</v>
          </cell>
          <cell r="O518" t="str">
            <v>Otros No Técnicos</v>
          </cell>
        </row>
        <row r="519">
          <cell r="C519" t="str">
            <v>Nilvia Aguero calunga</v>
          </cell>
          <cell r="E519" t="str">
            <v>F</v>
          </cell>
          <cell r="F519" t="str">
            <v>mestiza</v>
          </cell>
          <cell r="K519" t="str">
            <v>Servicio</v>
          </cell>
          <cell r="L519" t="str">
            <v>Si</v>
          </cell>
          <cell r="O519" t="str">
            <v>Otros No Técnicos</v>
          </cell>
        </row>
        <row r="520">
          <cell r="C520" t="str">
            <v>Noleidis Contreras Pérez</v>
          </cell>
          <cell r="E520" t="str">
            <v>F</v>
          </cell>
          <cell r="F520" t="str">
            <v>blanca</v>
          </cell>
          <cell r="K520" t="str">
            <v>Administrativo</v>
          </cell>
          <cell r="L520" t="str">
            <v>Si</v>
          </cell>
          <cell r="O520" t="str">
            <v>Otros No Técnicos</v>
          </cell>
        </row>
        <row r="521">
          <cell r="C521" t="str">
            <v>Noralis Laborde Fernández</v>
          </cell>
          <cell r="E521" t="str">
            <v>F</v>
          </cell>
          <cell r="F521" t="str">
            <v>mestiza</v>
          </cell>
          <cell r="K521" t="str">
            <v>Servicio</v>
          </cell>
          <cell r="L521" t="str">
            <v>Si</v>
          </cell>
          <cell r="O521" t="str">
            <v>Otros No Técnicos</v>
          </cell>
        </row>
        <row r="522">
          <cell r="C522" t="str">
            <v>Onelia Alayo Portes</v>
          </cell>
          <cell r="E522" t="str">
            <v>F</v>
          </cell>
          <cell r="F522" t="str">
            <v>negra</v>
          </cell>
          <cell r="K522" t="str">
            <v>Administrativo</v>
          </cell>
          <cell r="L522" t="str">
            <v>Si</v>
          </cell>
          <cell r="O522" t="str">
            <v>Otros No Técnicos</v>
          </cell>
        </row>
        <row r="523">
          <cell r="C523" t="str">
            <v>Onelia Calunga Ge</v>
          </cell>
          <cell r="E523" t="str">
            <v>F</v>
          </cell>
          <cell r="F523" t="str">
            <v>mestiza</v>
          </cell>
          <cell r="K523" t="str">
            <v>Operario</v>
          </cell>
          <cell r="L523" t="str">
            <v>Si</v>
          </cell>
          <cell r="O523" t="str">
            <v>Otros No Técnicos</v>
          </cell>
        </row>
        <row r="524">
          <cell r="C524" t="str">
            <v>OSCAR BARRIENTOS SERRANO</v>
          </cell>
          <cell r="E524" t="str">
            <v>M</v>
          </cell>
          <cell r="F524" t="str">
            <v>mestiza</v>
          </cell>
          <cell r="K524" t="str">
            <v>Servicio</v>
          </cell>
          <cell r="L524" t="str">
            <v>Si</v>
          </cell>
          <cell r="O524" t="str">
            <v>Otros No Técnicos</v>
          </cell>
        </row>
        <row r="525">
          <cell r="C525" t="str">
            <v>Osmar Martinez Almenares</v>
          </cell>
          <cell r="E525" t="str">
            <v>M</v>
          </cell>
          <cell r="F525" t="str">
            <v>mestiza</v>
          </cell>
          <cell r="K525" t="str">
            <v>Servicio</v>
          </cell>
          <cell r="L525" t="str">
            <v>Si</v>
          </cell>
          <cell r="O525" t="str">
            <v>Otros No Técnicos</v>
          </cell>
        </row>
        <row r="526">
          <cell r="C526" t="str">
            <v>Osvaldo Arce Cumba</v>
          </cell>
          <cell r="E526" t="str">
            <v>M</v>
          </cell>
          <cell r="F526" t="str">
            <v>mestiza</v>
          </cell>
          <cell r="K526" t="str">
            <v>Operario</v>
          </cell>
          <cell r="L526" t="str">
            <v>Si</v>
          </cell>
          <cell r="O526" t="str">
            <v>Otros No Técnicos</v>
          </cell>
        </row>
        <row r="527">
          <cell r="C527" t="str">
            <v>Radame Cumba Gámez</v>
          </cell>
          <cell r="E527" t="str">
            <v>M</v>
          </cell>
          <cell r="F527" t="str">
            <v>mestiza</v>
          </cell>
          <cell r="K527" t="str">
            <v>Operario</v>
          </cell>
          <cell r="L527" t="str">
            <v>Si</v>
          </cell>
          <cell r="O527" t="str">
            <v>Otros No Técnicos</v>
          </cell>
        </row>
        <row r="528">
          <cell r="C528" t="str">
            <v xml:space="preserve">Rafael David Roos López </v>
          </cell>
          <cell r="E528" t="str">
            <v>M</v>
          </cell>
          <cell r="F528" t="str">
            <v>blanca</v>
          </cell>
          <cell r="K528" t="str">
            <v>Servicio</v>
          </cell>
          <cell r="L528" t="str">
            <v>Si</v>
          </cell>
          <cell r="O528" t="str">
            <v>Otros No Técnicos</v>
          </cell>
        </row>
        <row r="529">
          <cell r="C529" t="str">
            <v xml:space="preserve">Raquel Cervantes de Armas </v>
          </cell>
          <cell r="E529" t="str">
            <v>F</v>
          </cell>
          <cell r="F529" t="str">
            <v>blanca</v>
          </cell>
          <cell r="K529" t="str">
            <v>Servicio</v>
          </cell>
          <cell r="L529" t="str">
            <v>Si</v>
          </cell>
          <cell r="O529" t="str">
            <v>Otros No Técnicos</v>
          </cell>
        </row>
        <row r="530">
          <cell r="C530" t="str">
            <v>Rosa Iris León Figuerola</v>
          </cell>
          <cell r="E530" t="str">
            <v>F</v>
          </cell>
          <cell r="F530" t="str">
            <v>mestiza</v>
          </cell>
          <cell r="K530" t="str">
            <v>Administrativo</v>
          </cell>
          <cell r="L530" t="str">
            <v>Si</v>
          </cell>
          <cell r="O530" t="str">
            <v>Otros No Técnicos</v>
          </cell>
        </row>
        <row r="531">
          <cell r="C531" t="str">
            <v>Sandra Ducto Rodriguez</v>
          </cell>
          <cell r="E531" t="str">
            <v>F</v>
          </cell>
          <cell r="F531" t="str">
            <v>negra</v>
          </cell>
          <cell r="K531" t="str">
            <v>Servicio</v>
          </cell>
          <cell r="L531" t="str">
            <v>Si</v>
          </cell>
          <cell r="O531" t="str">
            <v>Otros No Técnicos</v>
          </cell>
        </row>
        <row r="532">
          <cell r="C532" t="str">
            <v>Sudoli Vego Echavarría</v>
          </cell>
          <cell r="E532" t="str">
            <v>F</v>
          </cell>
          <cell r="F532" t="str">
            <v>mestiza</v>
          </cell>
          <cell r="K532" t="str">
            <v>Servicio</v>
          </cell>
          <cell r="L532" t="str">
            <v>Si</v>
          </cell>
          <cell r="O532" t="str">
            <v>Otros No Técnicos</v>
          </cell>
        </row>
        <row r="533">
          <cell r="C533" t="str">
            <v>Tania Delas Pérez</v>
          </cell>
          <cell r="E533" t="str">
            <v>F</v>
          </cell>
          <cell r="F533" t="str">
            <v>mestiza</v>
          </cell>
          <cell r="K533" t="str">
            <v>Servicio</v>
          </cell>
          <cell r="L533" t="str">
            <v>Si</v>
          </cell>
          <cell r="O533" t="str">
            <v>Otros No Técnicos</v>
          </cell>
        </row>
        <row r="534">
          <cell r="C534" t="str">
            <v>Virgen Dolores Castellanos Rosario</v>
          </cell>
          <cell r="E534" t="str">
            <v>F</v>
          </cell>
          <cell r="F534" t="str">
            <v>mestiza</v>
          </cell>
          <cell r="K534" t="str">
            <v>Servicio</v>
          </cell>
          <cell r="L534" t="str">
            <v>Si</v>
          </cell>
          <cell r="O534" t="str">
            <v>Otros No Técnicos</v>
          </cell>
        </row>
        <row r="535">
          <cell r="C535" t="str">
            <v>Yadira Lao Montero</v>
          </cell>
          <cell r="E535" t="str">
            <v>F</v>
          </cell>
          <cell r="F535" t="str">
            <v>mestiza</v>
          </cell>
          <cell r="K535" t="str">
            <v>Operario</v>
          </cell>
          <cell r="L535" t="str">
            <v>Si</v>
          </cell>
          <cell r="O535" t="str">
            <v>Otros No Técnicos</v>
          </cell>
        </row>
        <row r="536">
          <cell r="C536" t="str">
            <v>Yaneisi Chaveco Pomier</v>
          </cell>
          <cell r="E536" t="str">
            <v>F</v>
          </cell>
          <cell r="F536" t="str">
            <v>mestiza</v>
          </cell>
          <cell r="K536" t="str">
            <v>Servicio</v>
          </cell>
          <cell r="L536" t="str">
            <v>Si</v>
          </cell>
          <cell r="O536" t="str">
            <v>Otros No Técnicos</v>
          </cell>
        </row>
        <row r="537">
          <cell r="C537" t="str">
            <v>Yanelis Tamayo Zapata</v>
          </cell>
          <cell r="E537" t="str">
            <v>F</v>
          </cell>
          <cell r="F537" t="str">
            <v>mestiza</v>
          </cell>
          <cell r="K537" t="str">
            <v>Administrativo</v>
          </cell>
          <cell r="L537" t="str">
            <v>Si</v>
          </cell>
          <cell r="O537" t="str">
            <v>Otros No Técnicos</v>
          </cell>
        </row>
        <row r="538">
          <cell r="C538" t="str">
            <v>Yenisleydis Cause Pérez</v>
          </cell>
          <cell r="E538" t="str">
            <v>F</v>
          </cell>
          <cell r="F538" t="str">
            <v>negra</v>
          </cell>
          <cell r="K538" t="str">
            <v>Servicio</v>
          </cell>
          <cell r="L538" t="str">
            <v>Si</v>
          </cell>
          <cell r="O538" t="str">
            <v>Otros No Técnicos</v>
          </cell>
        </row>
        <row r="539">
          <cell r="C539" t="str">
            <v>YENNYS GUEVARRA RAMIREZ</v>
          </cell>
          <cell r="E539" t="str">
            <v>F</v>
          </cell>
          <cell r="F539" t="str">
            <v>mestiza</v>
          </cell>
          <cell r="K539" t="str">
            <v>Administrativo</v>
          </cell>
          <cell r="L539" t="str">
            <v>Si</v>
          </cell>
          <cell r="O539" t="str">
            <v>Otros No Técnicos</v>
          </cell>
        </row>
        <row r="540">
          <cell r="C540" t="str">
            <v>Yoendris Garbey Melendez</v>
          </cell>
          <cell r="E540" t="str">
            <v>M</v>
          </cell>
          <cell r="F540" t="str">
            <v>mestiza</v>
          </cell>
          <cell r="K540" t="str">
            <v>Servicio</v>
          </cell>
          <cell r="L540" t="str">
            <v>Si</v>
          </cell>
          <cell r="O540" t="str">
            <v>Otros No Técnicos</v>
          </cell>
        </row>
        <row r="541">
          <cell r="C541" t="str">
            <v>Yorney de La Cruz Tamayo</v>
          </cell>
          <cell r="E541" t="str">
            <v>M</v>
          </cell>
          <cell r="F541" t="str">
            <v>mestiza</v>
          </cell>
          <cell r="K541" t="str">
            <v>Operario</v>
          </cell>
          <cell r="L541" t="str">
            <v>Si</v>
          </cell>
          <cell r="O541" t="str">
            <v>Otros No Técnicos</v>
          </cell>
        </row>
        <row r="542">
          <cell r="C542" t="str">
            <v xml:space="preserve">Yulia Pérez Peña </v>
          </cell>
          <cell r="E542" t="str">
            <v>F</v>
          </cell>
          <cell r="F542" t="str">
            <v>mestiza</v>
          </cell>
          <cell r="K542" t="str">
            <v>Servicio</v>
          </cell>
          <cell r="L542" t="str">
            <v>Si</v>
          </cell>
          <cell r="O542" t="str">
            <v>Otros No Técnicos</v>
          </cell>
        </row>
        <row r="543">
          <cell r="C543" t="str">
            <v>Eugenio Rene Michel</v>
          </cell>
          <cell r="E543" t="str">
            <v>M</v>
          </cell>
          <cell r="F543" t="str">
            <v>Mestiza</v>
          </cell>
          <cell r="K543" t="str">
            <v>Servicio</v>
          </cell>
          <cell r="L543" t="str">
            <v>No</v>
          </cell>
          <cell r="O543" t="str">
            <v>Otros No Técnicos</v>
          </cell>
        </row>
        <row r="544">
          <cell r="C544" t="str">
            <v>Jendri Rodriguez area</v>
          </cell>
          <cell r="E544" t="str">
            <v>M</v>
          </cell>
          <cell r="F544" t="str">
            <v>blanca</v>
          </cell>
          <cell r="K544" t="str">
            <v>Operario</v>
          </cell>
          <cell r="L544" t="str">
            <v>No</v>
          </cell>
          <cell r="O544" t="str">
            <v>Otros No Técnicos</v>
          </cell>
        </row>
        <row r="545">
          <cell r="C545" t="str">
            <v>Noel Pérez Sarmiento,</v>
          </cell>
          <cell r="E545" t="str">
            <v>M</v>
          </cell>
          <cell r="F545" t="str">
            <v>mestiza</v>
          </cell>
          <cell r="K545" t="str">
            <v>Servicio</v>
          </cell>
          <cell r="L545" t="str">
            <v>No</v>
          </cell>
          <cell r="O545" t="str">
            <v>Otros No Técnicos</v>
          </cell>
        </row>
        <row r="546">
          <cell r="C546" t="str">
            <v xml:space="preserve">Yordanis Guerra Campusano </v>
          </cell>
          <cell r="E546" t="str">
            <v>M</v>
          </cell>
          <cell r="F546" t="str">
            <v>mestiza</v>
          </cell>
          <cell r="K546" t="str">
            <v>Servicio</v>
          </cell>
          <cell r="L546" t="str">
            <v>No</v>
          </cell>
          <cell r="O546" t="str">
            <v>Otros No Técnicos</v>
          </cell>
        </row>
        <row r="547">
          <cell r="C547" t="str">
            <v>Yaneisi Frometa Torres,</v>
          </cell>
          <cell r="E547" t="str">
            <v>F</v>
          </cell>
          <cell r="F547" t="str">
            <v>mestiza</v>
          </cell>
          <cell r="K547" t="str">
            <v>Servicio</v>
          </cell>
          <cell r="L547" t="str">
            <v>No</v>
          </cell>
          <cell r="O547" t="str">
            <v>Otros No Técnicos</v>
          </cell>
        </row>
        <row r="548">
          <cell r="C548" t="str">
            <v>Leyanis Revilla López,</v>
          </cell>
          <cell r="E548" t="str">
            <v>F</v>
          </cell>
          <cell r="F548" t="str">
            <v>mestiza</v>
          </cell>
          <cell r="K548" t="str">
            <v>Servicio</v>
          </cell>
          <cell r="L548" t="str">
            <v>No</v>
          </cell>
          <cell r="O548" t="str">
            <v>Otros No Técnicos</v>
          </cell>
        </row>
        <row r="549">
          <cell r="C549" t="str">
            <v>Disney Barrientos Blanco,</v>
          </cell>
          <cell r="E549" t="str">
            <v>F</v>
          </cell>
          <cell r="F549" t="str">
            <v>Negra</v>
          </cell>
          <cell r="K549" t="str">
            <v>Servicio</v>
          </cell>
          <cell r="L549" t="str">
            <v>No</v>
          </cell>
          <cell r="O549" t="str">
            <v>Otros No Técnicos</v>
          </cell>
        </row>
        <row r="550">
          <cell r="C550" t="str">
            <v>Yudelkis Romero Zamora</v>
          </cell>
          <cell r="E550" t="str">
            <v>M</v>
          </cell>
          <cell r="F550" t="str">
            <v>mestiza</v>
          </cell>
          <cell r="K550" t="str">
            <v>Servicio</v>
          </cell>
          <cell r="L550" t="str">
            <v>No</v>
          </cell>
          <cell r="O550" t="str">
            <v>Otros No Técnicos</v>
          </cell>
        </row>
        <row r="551">
          <cell r="C551" t="str">
            <v>Yulennis Vargas Osorio,</v>
          </cell>
          <cell r="E551" t="str">
            <v>F</v>
          </cell>
          <cell r="F551" t="str">
            <v>Negra</v>
          </cell>
          <cell r="K551" t="str">
            <v>Servicio</v>
          </cell>
          <cell r="L551" t="str">
            <v>No</v>
          </cell>
          <cell r="O551" t="str">
            <v>Otros No Técnicos</v>
          </cell>
        </row>
        <row r="552">
          <cell r="C552" t="str">
            <v xml:space="preserve">Juana Gónzalez Candeaux </v>
          </cell>
          <cell r="E552" t="str">
            <v>F</v>
          </cell>
          <cell r="F552" t="str">
            <v>mestiza</v>
          </cell>
          <cell r="K552" t="str">
            <v>Servicio</v>
          </cell>
          <cell r="L552" t="str">
            <v>No</v>
          </cell>
          <cell r="O552" t="str">
            <v>Otros No Técnicos</v>
          </cell>
        </row>
        <row r="553">
          <cell r="C553" t="str">
            <v>Dalianna Amador Yis,</v>
          </cell>
          <cell r="E553" t="str">
            <v>F</v>
          </cell>
          <cell r="F553" t="str">
            <v>Blanca</v>
          </cell>
          <cell r="K553" t="str">
            <v>Administrativo</v>
          </cell>
          <cell r="L553" t="str">
            <v>No</v>
          </cell>
          <cell r="O553" t="str">
            <v>Otros No Técnicos</v>
          </cell>
        </row>
        <row r="554">
          <cell r="C554" t="str">
            <v>Yumileydis Lescay Alayo</v>
          </cell>
          <cell r="E554" t="str">
            <v>F</v>
          </cell>
          <cell r="F554" t="str">
            <v>negra</v>
          </cell>
          <cell r="K554" t="str">
            <v>Servicio</v>
          </cell>
          <cell r="L554" t="str">
            <v>No</v>
          </cell>
          <cell r="O554" t="str">
            <v>Otros No Técnicos</v>
          </cell>
        </row>
        <row r="555">
          <cell r="C555" t="str">
            <v>Marbelis Pérez Sardiña</v>
          </cell>
          <cell r="E555" t="str">
            <v>F</v>
          </cell>
          <cell r="F555" t="str">
            <v>mestiza</v>
          </cell>
          <cell r="K555" t="str">
            <v>Servicio</v>
          </cell>
          <cell r="L555" t="str">
            <v>No</v>
          </cell>
          <cell r="O555" t="str">
            <v>Otros No Técnicos</v>
          </cell>
        </row>
        <row r="556">
          <cell r="C556" t="str">
            <v>Yunia Pérez Zalazar</v>
          </cell>
          <cell r="E556" t="str">
            <v>F</v>
          </cell>
          <cell r="F556" t="str">
            <v>mestiza</v>
          </cell>
          <cell r="K556" t="str">
            <v>Servicio</v>
          </cell>
          <cell r="L556" t="str">
            <v>No</v>
          </cell>
          <cell r="O556" t="str">
            <v>Otros No Técnicos</v>
          </cell>
        </row>
        <row r="557">
          <cell r="C557" t="str">
            <v>Sonia Sánchez Hernández</v>
          </cell>
          <cell r="E557" t="str">
            <v>F</v>
          </cell>
          <cell r="F557" t="str">
            <v>Blanca</v>
          </cell>
          <cell r="K557" t="str">
            <v>Servicio</v>
          </cell>
          <cell r="L557" t="str">
            <v>Si</v>
          </cell>
          <cell r="O557" t="str">
            <v>Otros No Técnicos</v>
          </cell>
        </row>
        <row r="558">
          <cell r="C558" t="str">
            <v>Olga Lidia Mengana Bavastro</v>
          </cell>
          <cell r="E558" t="str">
            <v>F</v>
          </cell>
          <cell r="F558" t="str">
            <v>negra</v>
          </cell>
          <cell r="K558" t="str">
            <v>Servicio</v>
          </cell>
          <cell r="L558" t="str">
            <v>No</v>
          </cell>
          <cell r="O558" t="str">
            <v>Otros No Técnicos</v>
          </cell>
        </row>
        <row r="559">
          <cell r="C559" t="str">
            <v>Gretel Guzman Alvarez</v>
          </cell>
          <cell r="E559" t="str">
            <v>F</v>
          </cell>
          <cell r="F559" t="str">
            <v>Blanca</v>
          </cell>
          <cell r="K559" t="str">
            <v>Técnico Medio</v>
          </cell>
          <cell r="L559" t="str">
            <v>No</v>
          </cell>
          <cell r="O559" t="str">
            <v>Otros No Técnicos</v>
          </cell>
        </row>
        <row r="560">
          <cell r="C560" t="str">
            <v>Luis Odelkis Vinent Saldivar</v>
          </cell>
          <cell r="E560" t="str">
            <v>M</v>
          </cell>
          <cell r="F560" t="str">
            <v>negra</v>
          </cell>
          <cell r="K560" t="str">
            <v>Operario</v>
          </cell>
          <cell r="L560" t="str">
            <v>No</v>
          </cell>
          <cell r="O560" t="str">
            <v>Otros No Técnicos</v>
          </cell>
        </row>
        <row r="561">
          <cell r="C561" t="str">
            <v>Raidel Pérez Zapata</v>
          </cell>
          <cell r="E561" t="str">
            <v>M</v>
          </cell>
          <cell r="F561" t="str">
            <v>mestiza</v>
          </cell>
          <cell r="K561" t="str">
            <v>Operario</v>
          </cell>
          <cell r="L561" t="str">
            <v>No</v>
          </cell>
          <cell r="O561" t="str">
            <v>Otros No Técnicos</v>
          </cell>
        </row>
        <row r="562">
          <cell r="C562" t="str">
            <v>Thaillanis Garcia Gonzalez</v>
          </cell>
          <cell r="E562" t="str">
            <v>F</v>
          </cell>
          <cell r="F562" t="str">
            <v>mestiza</v>
          </cell>
          <cell r="K562" t="str">
            <v>Servicio</v>
          </cell>
          <cell r="L562" t="str">
            <v>No</v>
          </cell>
          <cell r="O562" t="str">
            <v>Otros No Técnicos</v>
          </cell>
        </row>
        <row r="563">
          <cell r="C563" t="str">
            <v>Arnaldo de Jesús Gómez Bueno</v>
          </cell>
          <cell r="E563" t="str">
            <v>M</v>
          </cell>
          <cell r="F563" t="str">
            <v>mestiza</v>
          </cell>
          <cell r="K563" t="str">
            <v>Servicio</v>
          </cell>
          <cell r="L563" t="str">
            <v>No</v>
          </cell>
          <cell r="O563" t="str">
            <v>Otros No Técnicos</v>
          </cell>
        </row>
        <row r="564">
          <cell r="C564" t="str">
            <v>Noelkis Monteagut Artola</v>
          </cell>
          <cell r="E564" t="str">
            <v>M</v>
          </cell>
          <cell r="F564" t="str">
            <v>blanca</v>
          </cell>
          <cell r="K564" t="str">
            <v>Servicio</v>
          </cell>
          <cell r="L564" t="str">
            <v>Si</v>
          </cell>
          <cell r="O564" t="str">
            <v>Otros No Técnicos</v>
          </cell>
        </row>
        <row r="565">
          <cell r="C565" t="str">
            <v>Gonzalos Rodriguez Chaveco</v>
          </cell>
          <cell r="E565" t="str">
            <v>M</v>
          </cell>
          <cell r="F565" t="str">
            <v>mestiza</v>
          </cell>
          <cell r="K565" t="str">
            <v>Servicio</v>
          </cell>
          <cell r="L565" t="str">
            <v>No</v>
          </cell>
          <cell r="O565" t="str">
            <v>Otros No Técnicos</v>
          </cell>
        </row>
        <row r="566">
          <cell r="C566" t="str">
            <v>Yoilán Satorres Martinez</v>
          </cell>
          <cell r="E566" t="str">
            <v>M</v>
          </cell>
          <cell r="F566" t="str">
            <v>mestiza</v>
          </cell>
          <cell r="K566" t="str">
            <v>Servicio</v>
          </cell>
          <cell r="L566" t="str">
            <v>No</v>
          </cell>
          <cell r="O566" t="str">
            <v>Otros No Técnicos</v>
          </cell>
        </row>
        <row r="567">
          <cell r="C567" t="str">
            <v>Yaritza Garlobo Pérez</v>
          </cell>
          <cell r="E567" t="str">
            <v>F</v>
          </cell>
          <cell r="F567" t="str">
            <v>mestiza</v>
          </cell>
          <cell r="K567" t="str">
            <v>Servicio</v>
          </cell>
          <cell r="L567" t="str">
            <v>No</v>
          </cell>
          <cell r="O567" t="str">
            <v>Otros No Técnicos</v>
          </cell>
        </row>
        <row r="568">
          <cell r="C568" t="str">
            <v>Katiuska Hechavarría Cuello</v>
          </cell>
          <cell r="E568" t="str">
            <v>F</v>
          </cell>
          <cell r="F568" t="str">
            <v>mestiza</v>
          </cell>
          <cell r="K568" t="str">
            <v>Servicio</v>
          </cell>
          <cell r="L568" t="str">
            <v>No</v>
          </cell>
          <cell r="O568" t="str">
            <v>Otros No Técnicos</v>
          </cell>
        </row>
        <row r="569">
          <cell r="C569" t="str">
            <v>Dilianis Figueredo Duany</v>
          </cell>
          <cell r="E569" t="str">
            <v>F</v>
          </cell>
          <cell r="F569" t="str">
            <v>mestiza</v>
          </cell>
          <cell r="K569" t="str">
            <v>Servicio</v>
          </cell>
          <cell r="L569" t="str">
            <v>No</v>
          </cell>
          <cell r="O569" t="str">
            <v>Otros No Técnicos</v>
          </cell>
        </row>
        <row r="570">
          <cell r="C570" t="str">
            <v>Albania Ibañez Suñol</v>
          </cell>
          <cell r="E570" t="str">
            <v>F</v>
          </cell>
          <cell r="F570" t="str">
            <v>mestiza</v>
          </cell>
          <cell r="K570" t="str">
            <v>Servicio</v>
          </cell>
          <cell r="L570" t="str">
            <v>No</v>
          </cell>
          <cell r="O570" t="str">
            <v>Otros No Técnicos</v>
          </cell>
        </row>
        <row r="571">
          <cell r="C571" t="str">
            <v>Milayda Gongora Cardona</v>
          </cell>
          <cell r="E571" t="str">
            <v>F</v>
          </cell>
          <cell r="F571" t="str">
            <v>mestiza</v>
          </cell>
          <cell r="K571" t="str">
            <v>Servicio</v>
          </cell>
          <cell r="L571" t="str">
            <v>No</v>
          </cell>
          <cell r="O571" t="str">
            <v>Otros No Técnicos</v>
          </cell>
        </row>
        <row r="572">
          <cell r="C572" t="str">
            <v>Danis Zamora Carmenate</v>
          </cell>
          <cell r="E572" t="str">
            <v>F</v>
          </cell>
          <cell r="F572" t="str">
            <v>blanca</v>
          </cell>
          <cell r="K572" t="str">
            <v>Técnico Medio</v>
          </cell>
          <cell r="L572" t="str">
            <v>No</v>
          </cell>
          <cell r="O572" t="str">
            <v>Otros No Técnicos</v>
          </cell>
        </row>
        <row r="573">
          <cell r="C573" t="str">
            <v>Walquidea Lao Zayas</v>
          </cell>
          <cell r="E573" t="str">
            <v>F</v>
          </cell>
          <cell r="F573" t="str">
            <v>mestiza</v>
          </cell>
          <cell r="K573" t="str">
            <v>Técnico Medio</v>
          </cell>
          <cell r="L573" t="str">
            <v>No</v>
          </cell>
          <cell r="M573" t="str">
            <v>Enfermería</v>
          </cell>
          <cell r="O573" t="str">
            <v>Enfermería</v>
          </cell>
        </row>
        <row r="574">
          <cell r="C574" t="str">
            <v>Jaime Rodriguez Suarez</v>
          </cell>
          <cell r="E574" t="str">
            <v>M</v>
          </cell>
          <cell r="F574" t="str">
            <v>mestiza</v>
          </cell>
          <cell r="K574" t="str">
            <v>Técnico Superior</v>
          </cell>
          <cell r="L574" t="str">
            <v>Si</v>
          </cell>
          <cell r="O574" t="str">
            <v>Estomatólogo</v>
          </cell>
        </row>
        <row r="575">
          <cell r="C575" t="str">
            <v>Katiuska Dip Muñoz</v>
          </cell>
          <cell r="E575" t="str">
            <v>F</v>
          </cell>
          <cell r="F575" t="str">
            <v>mestiza</v>
          </cell>
          <cell r="K575" t="str">
            <v>Técnico Superior</v>
          </cell>
          <cell r="L575" t="str">
            <v>Si</v>
          </cell>
          <cell r="O575" t="str">
            <v>Estomatólogo</v>
          </cell>
        </row>
        <row r="576">
          <cell r="C576" t="str">
            <v>LEONEL CARVAJAL MENGANA</v>
          </cell>
          <cell r="E576" t="str">
            <v>M</v>
          </cell>
          <cell r="F576" t="str">
            <v>mestiza</v>
          </cell>
          <cell r="K576" t="str">
            <v>Técnico Superior</v>
          </cell>
          <cell r="L576" t="str">
            <v>Si</v>
          </cell>
          <cell r="O576" t="str">
            <v>Estomatólogo</v>
          </cell>
        </row>
        <row r="577">
          <cell r="C577" t="str">
            <v>Magdalena Roman Campos</v>
          </cell>
          <cell r="E577" t="str">
            <v>F</v>
          </cell>
          <cell r="F577" t="str">
            <v>mestiza</v>
          </cell>
          <cell r="K577" t="str">
            <v>Técnico Superior</v>
          </cell>
          <cell r="L577" t="str">
            <v>Si</v>
          </cell>
          <cell r="O577" t="str">
            <v>Estomatólogo</v>
          </cell>
        </row>
        <row r="578">
          <cell r="C578" t="str">
            <v>Marlen Tablada Jardines</v>
          </cell>
          <cell r="E578" t="str">
            <v>F</v>
          </cell>
          <cell r="F578" t="str">
            <v>mestiza</v>
          </cell>
          <cell r="K578" t="str">
            <v>Técnico Superior</v>
          </cell>
          <cell r="L578" t="str">
            <v>Si</v>
          </cell>
          <cell r="O578" t="str">
            <v>Estomatólogo</v>
          </cell>
        </row>
        <row r="579">
          <cell r="C579" t="str">
            <v>Reynier Domecq Labrada</v>
          </cell>
          <cell r="E579" t="str">
            <v>M</v>
          </cell>
          <cell r="F579" t="str">
            <v>blanca</v>
          </cell>
          <cell r="K579" t="str">
            <v>Técnico Superior</v>
          </cell>
          <cell r="L579" t="str">
            <v>Si</v>
          </cell>
          <cell r="O579" t="str">
            <v>Estomatólogo</v>
          </cell>
        </row>
        <row r="580">
          <cell r="C580" t="str">
            <v>Yainer Noblet Viscay</v>
          </cell>
          <cell r="E580" t="str">
            <v>M</v>
          </cell>
          <cell r="F580" t="str">
            <v>negra</v>
          </cell>
          <cell r="K580" t="str">
            <v>Técnico Superior</v>
          </cell>
          <cell r="L580" t="str">
            <v>Si</v>
          </cell>
          <cell r="O580" t="str">
            <v>Estomatólogo</v>
          </cell>
        </row>
        <row r="581">
          <cell r="C581" t="str">
            <v>Adalberto Regueiferos Lescay</v>
          </cell>
          <cell r="E581" t="str">
            <v>M</v>
          </cell>
          <cell r="F581" t="str">
            <v>mestiza</v>
          </cell>
          <cell r="K581" t="str">
            <v>Cuadro</v>
          </cell>
          <cell r="L581" t="str">
            <v>Si</v>
          </cell>
          <cell r="O581" t="str">
            <v>Lic. en Tecnología de la Salud</v>
          </cell>
        </row>
        <row r="582">
          <cell r="C582" t="str">
            <v>Aloima Cabrera Guerrero</v>
          </cell>
          <cell r="E582" t="str">
            <v>F</v>
          </cell>
          <cell r="F582" t="str">
            <v>mestiza</v>
          </cell>
          <cell r="K582" t="str">
            <v>Técnico Superior</v>
          </cell>
          <cell r="L582" t="str">
            <v>Si</v>
          </cell>
          <cell r="O582" t="str">
            <v>Lic. en Tecnología de la Salud</v>
          </cell>
        </row>
        <row r="583">
          <cell r="C583" t="str">
            <v>Ania Nuñez Garcia</v>
          </cell>
          <cell r="E583" t="str">
            <v>F</v>
          </cell>
          <cell r="F583" t="str">
            <v>mestiza</v>
          </cell>
          <cell r="K583" t="str">
            <v>Técnico Superior</v>
          </cell>
          <cell r="L583" t="str">
            <v>Si</v>
          </cell>
          <cell r="M583" t="str">
            <v>Lic. Bioanálisis Clínico</v>
          </cell>
          <cell r="O583" t="str">
            <v>Lic. en Tecnología de la Salud</v>
          </cell>
        </row>
        <row r="584">
          <cell r="C584" t="str">
            <v>Anolandis Gonzalez Del Rio</v>
          </cell>
          <cell r="E584" t="str">
            <v>F</v>
          </cell>
          <cell r="F584" t="str">
            <v>mestiza</v>
          </cell>
          <cell r="K584" t="str">
            <v>Técnico Superior</v>
          </cell>
          <cell r="L584" t="str">
            <v>Si</v>
          </cell>
          <cell r="O584" t="str">
            <v>Lic. en Tecnología de la Salud</v>
          </cell>
        </row>
        <row r="585">
          <cell r="C585" t="str">
            <v>Dagniellis Arce Sarmiento</v>
          </cell>
          <cell r="E585" t="str">
            <v>F</v>
          </cell>
          <cell r="F585" t="str">
            <v>negra</v>
          </cell>
          <cell r="K585" t="str">
            <v>Técnico Superior</v>
          </cell>
          <cell r="L585" t="str">
            <v>Si</v>
          </cell>
          <cell r="O585" t="str">
            <v>Lic. en Tecnología de la Salud</v>
          </cell>
        </row>
        <row r="586">
          <cell r="C586" t="str">
            <v>Eddy Albelo Bello</v>
          </cell>
          <cell r="E586" t="str">
            <v>M</v>
          </cell>
          <cell r="F586" t="str">
            <v>blanca</v>
          </cell>
          <cell r="K586" t="str">
            <v>Técnico Superior</v>
          </cell>
          <cell r="L586" t="str">
            <v>Si</v>
          </cell>
          <cell r="O586" t="str">
            <v>Lic. en Tecnología de la Salud</v>
          </cell>
        </row>
        <row r="587">
          <cell r="C587" t="str">
            <v>ELIANNY HIDALGO PARDO</v>
          </cell>
          <cell r="E587" t="str">
            <v>M</v>
          </cell>
          <cell r="F587" t="str">
            <v>mestiza</v>
          </cell>
          <cell r="K587" t="str">
            <v>Técnico Superior</v>
          </cell>
          <cell r="L587" t="str">
            <v>Si</v>
          </cell>
          <cell r="O587" t="str">
            <v>Lic. en Tecnología de la Salud</v>
          </cell>
        </row>
        <row r="588">
          <cell r="C588" t="str">
            <v>Elizabeth Cornier Cobas</v>
          </cell>
          <cell r="E588" t="str">
            <v>F</v>
          </cell>
          <cell r="F588" t="str">
            <v>negra</v>
          </cell>
          <cell r="K588" t="str">
            <v>Técnico Superior</v>
          </cell>
          <cell r="L588" t="str">
            <v>Si</v>
          </cell>
          <cell r="O588" t="str">
            <v>Lic. en Tecnología de la Salud</v>
          </cell>
        </row>
        <row r="589">
          <cell r="C589" t="str">
            <v>Ellideli Sanregre Ramirez</v>
          </cell>
          <cell r="E589" t="str">
            <v>F</v>
          </cell>
          <cell r="F589" t="str">
            <v>mestiza</v>
          </cell>
          <cell r="K589" t="str">
            <v>Técnico Superior</v>
          </cell>
          <cell r="L589" t="str">
            <v>Si</v>
          </cell>
          <cell r="O589" t="str">
            <v>Lic. en Tecnología de la Salud</v>
          </cell>
        </row>
        <row r="590">
          <cell r="C590" t="str">
            <v>Erlis Angel Asin Mora</v>
          </cell>
          <cell r="E590" t="str">
            <v>M</v>
          </cell>
          <cell r="F590" t="str">
            <v>mestiza</v>
          </cell>
          <cell r="K590" t="str">
            <v>Técnico Superior</v>
          </cell>
          <cell r="L590" t="str">
            <v>Si</v>
          </cell>
          <cell r="O590" t="str">
            <v>Lic. en Tecnología de la Salud</v>
          </cell>
        </row>
        <row r="591">
          <cell r="C591" t="str">
            <v>Humberto Tamayo Perez</v>
          </cell>
          <cell r="E591" t="str">
            <v>M</v>
          </cell>
          <cell r="F591" t="str">
            <v>mestiza</v>
          </cell>
          <cell r="K591" t="str">
            <v>Técnico Superior</v>
          </cell>
          <cell r="L591" t="str">
            <v>Si</v>
          </cell>
          <cell r="O591" t="str">
            <v>Lic. en Tecnología de la Salud</v>
          </cell>
        </row>
        <row r="592">
          <cell r="C592" t="str">
            <v>Isabel Limonta Sarmiento</v>
          </cell>
          <cell r="E592" t="str">
            <v>F</v>
          </cell>
          <cell r="F592" t="str">
            <v>mestiza</v>
          </cell>
          <cell r="K592" t="str">
            <v>Técnico Superior</v>
          </cell>
          <cell r="L592" t="str">
            <v>Si</v>
          </cell>
          <cell r="O592" t="str">
            <v>Lic. en Tecnología de la Salud</v>
          </cell>
        </row>
        <row r="593">
          <cell r="C593" t="str">
            <v>Kenia López Cisnero</v>
          </cell>
          <cell r="E593" t="str">
            <v>F</v>
          </cell>
          <cell r="F593" t="str">
            <v>negra</v>
          </cell>
          <cell r="K593" t="str">
            <v>Técnico Superior</v>
          </cell>
          <cell r="L593" t="str">
            <v>Si</v>
          </cell>
          <cell r="O593" t="str">
            <v>Lic. en Tecnología de la Salud</v>
          </cell>
        </row>
        <row r="594">
          <cell r="C594" t="str">
            <v>Lenia Pompa Mengana</v>
          </cell>
          <cell r="E594" t="str">
            <v>F</v>
          </cell>
          <cell r="F594" t="str">
            <v>blanca</v>
          </cell>
          <cell r="K594" t="str">
            <v>Técnico Superior</v>
          </cell>
          <cell r="L594" t="str">
            <v>Si</v>
          </cell>
          <cell r="O594" t="str">
            <v>Lic. en Tecnología de la Salud</v>
          </cell>
        </row>
        <row r="595">
          <cell r="C595" t="str">
            <v>Leomilde Borrero Corniel</v>
          </cell>
          <cell r="E595" t="str">
            <v>M</v>
          </cell>
          <cell r="F595" t="str">
            <v>negra</v>
          </cell>
          <cell r="K595" t="str">
            <v>Técnico Superior</v>
          </cell>
          <cell r="L595" t="str">
            <v>Si</v>
          </cell>
          <cell r="O595" t="str">
            <v>Lic. en Tecnología de la Salud</v>
          </cell>
        </row>
        <row r="596">
          <cell r="C596" t="str">
            <v>Leonel González Marrero</v>
          </cell>
          <cell r="E596" t="str">
            <v>M</v>
          </cell>
          <cell r="F596" t="str">
            <v>mestiza</v>
          </cell>
          <cell r="K596" t="str">
            <v>Técnico Superior</v>
          </cell>
          <cell r="L596" t="str">
            <v>Si</v>
          </cell>
          <cell r="O596" t="str">
            <v>Lic. en Tecnología de la Salud</v>
          </cell>
        </row>
        <row r="597">
          <cell r="C597" t="str">
            <v>Mariela Serrano González</v>
          </cell>
          <cell r="E597" t="str">
            <v>F</v>
          </cell>
          <cell r="F597" t="str">
            <v>mestiza</v>
          </cell>
          <cell r="K597" t="str">
            <v>Técnico Superior</v>
          </cell>
          <cell r="L597" t="str">
            <v>Si</v>
          </cell>
          <cell r="O597" t="str">
            <v>Lic. en Tecnología de la Salud</v>
          </cell>
        </row>
        <row r="598">
          <cell r="C598" t="str">
            <v>Merley Bravo Díaz</v>
          </cell>
          <cell r="E598" t="str">
            <v>F</v>
          </cell>
          <cell r="F598" t="str">
            <v>mestiza</v>
          </cell>
          <cell r="K598" t="str">
            <v>Técnico Superior</v>
          </cell>
          <cell r="L598" t="str">
            <v>Si</v>
          </cell>
          <cell r="O598" t="str">
            <v>Lic. en Tecnología de la Salud</v>
          </cell>
        </row>
        <row r="599">
          <cell r="C599" t="str">
            <v>Nury Lazo Carbonell</v>
          </cell>
          <cell r="E599" t="str">
            <v>F</v>
          </cell>
          <cell r="F599" t="str">
            <v>negra</v>
          </cell>
          <cell r="K599" t="str">
            <v>Técnico Superior</v>
          </cell>
          <cell r="L599" t="str">
            <v>Si</v>
          </cell>
          <cell r="O599" t="str">
            <v>Lic. en Tecnología de la Salud</v>
          </cell>
        </row>
        <row r="600">
          <cell r="C600" t="str">
            <v>ORLENIS ZAPATA CABRERA</v>
          </cell>
          <cell r="E600" t="str">
            <v>M</v>
          </cell>
          <cell r="F600" t="str">
            <v>mestiza</v>
          </cell>
          <cell r="K600" t="str">
            <v>Técnico Superior</v>
          </cell>
          <cell r="L600" t="str">
            <v>Si</v>
          </cell>
          <cell r="O600" t="str">
            <v>Lic. en Tecnología de la Salud</v>
          </cell>
        </row>
        <row r="601">
          <cell r="C601" t="str">
            <v>Rebeca Garcia Martinez</v>
          </cell>
          <cell r="E601" t="str">
            <v>F</v>
          </cell>
          <cell r="F601" t="str">
            <v>negra</v>
          </cell>
          <cell r="K601" t="str">
            <v>Técnico Superior</v>
          </cell>
          <cell r="L601" t="str">
            <v>Si</v>
          </cell>
          <cell r="O601" t="str">
            <v>Lic. en Tecnología de la Salud</v>
          </cell>
        </row>
        <row r="602">
          <cell r="C602" t="str">
            <v>Reynier Rodriguez Rodriguez</v>
          </cell>
          <cell r="E602" t="str">
            <v>M</v>
          </cell>
          <cell r="F602" t="str">
            <v>mestiza</v>
          </cell>
          <cell r="K602" t="str">
            <v>Técnico Superior</v>
          </cell>
          <cell r="L602" t="str">
            <v>Si</v>
          </cell>
          <cell r="O602" t="str">
            <v>Lic. en Tecnología de la Salud</v>
          </cell>
        </row>
        <row r="603">
          <cell r="C603" t="str">
            <v>Virginia Lazo Carbonell</v>
          </cell>
          <cell r="E603" t="str">
            <v>F</v>
          </cell>
          <cell r="F603" t="str">
            <v>negra</v>
          </cell>
          <cell r="K603" t="str">
            <v>Técnico Superior</v>
          </cell>
          <cell r="L603" t="str">
            <v>Si</v>
          </cell>
          <cell r="O603" t="str">
            <v>Lic. en Tecnología de la Salud</v>
          </cell>
        </row>
        <row r="604">
          <cell r="C604" t="str">
            <v>Yamile Montejo Vargas</v>
          </cell>
          <cell r="E604" t="str">
            <v>F</v>
          </cell>
          <cell r="F604" t="str">
            <v>negra</v>
          </cell>
          <cell r="K604" t="str">
            <v>Técnico Superior</v>
          </cell>
          <cell r="L604" t="str">
            <v>Si</v>
          </cell>
          <cell r="O604" t="str">
            <v>Lic. en Tecnología de la Salud</v>
          </cell>
        </row>
        <row r="605">
          <cell r="C605" t="str">
            <v>Yamilka Torres Moreno</v>
          </cell>
          <cell r="E605" t="str">
            <v>F</v>
          </cell>
          <cell r="F605" t="str">
            <v>mestiza</v>
          </cell>
          <cell r="K605" t="str">
            <v>Técnico Superior</v>
          </cell>
          <cell r="L605" t="str">
            <v>Si</v>
          </cell>
          <cell r="O605" t="str">
            <v>Lic. en Tecnología de la Salud</v>
          </cell>
        </row>
        <row r="606">
          <cell r="C606" t="str">
            <v>Yandreibis Ferrer Hardy</v>
          </cell>
          <cell r="E606" t="str">
            <v>M</v>
          </cell>
          <cell r="F606" t="str">
            <v>negra</v>
          </cell>
          <cell r="K606" t="str">
            <v>Técnico Superior</v>
          </cell>
          <cell r="L606" t="str">
            <v>Si</v>
          </cell>
          <cell r="O606" t="str">
            <v>Lic. en Tecnología de la Salud</v>
          </cell>
        </row>
        <row r="607">
          <cell r="C607" t="str">
            <v>Ramón Torres Masso</v>
          </cell>
          <cell r="E607" t="str">
            <v>M</v>
          </cell>
          <cell r="F607" t="str">
            <v>mestiza</v>
          </cell>
          <cell r="K607" t="str">
            <v>Técnico Superior</v>
          </cell>
          <cell r="L607" t="str">
            <v>No</v>
          </cell>
          <cell r="O607" t="str">
            <v>Lic. en Tecnología de la Salud</v>
          </cell>
        </row>
        <row r="608">
          <cell r="C608" t="str">
            <v>YANIVIS CABRERA CABRERA</v>
          </cell>
          <cell r="E608" t="str">
            <v>F</v>
          </cell>
          <cell r="F608" t="str">
            <v>mestiza</v>
          </cell>
          <cell r="K608" t="str">
            <v>Técnico Superior</v>
          </cell>
          <cell r="L608" t="str">
            <v>Si</v>
          </cell>
          <cell r="O608" t="str">
            <v>Lic. en Tecnología de la Salud</v>
          </cell>
        </row>
        <row r="609">
          <cell r="C609" t="str">
            <v>Yilian Guerra Tablada</v>
          </cell>
          <cell r="E609" t="str">
            <v>F</v>
          </cell>
          <cell r="F609" t="str">
            <v>blanca</v>
          </cell>
          <cell r="K609" t="str">
            <v>Técnico Superior</v>
          </cell>
          <cell r="L609" t="str">
            <v>Si</v>
          </cell>
          <cell r="O609" t="str">
            <v>Lic. en Tecnología de la Salud</v>
          </cell>
        </row>
        <row r="610">
          <cell r="C610" t="str">
            <v>Yolaida Neira Rodriguez</v>
          </cell>
          <cell r="E610" t="str">
            <v>F</v>
          </cell>
          <cell r="F610" t="str">
            <v>negra</v>
          </cell>
          <cell r="K610" t="str">
            <v>Técnico Superior</v>
          </cell>
          <cell r="L610" t="str">
            <v>Si</v>
          </cell>
          <cell r="O610" t="str">
            <v>Lic. en Tecnología de la Salud</v>
          </cell>
        </row>
        <row r="611">
          <cell r="C611" t="str">
            <v>Yudania Mustelier Maturell</v>
          </cell>
          <cell r="E611" t="str">
            <v>F</v>
          </cell>
          <cell r="F611" t="str">
            <v>negra</v>
          </cell>
          <cell r="K611" t="str">
            <v>Técnico Superior</v>
          </cell>
          <cell r="L611" t="str">
            <v>Si</v>
          </cell>
          <cell r="O611" t="str">
            <v>Lic. en Tecnología de la Salud</v>
          </cell>
        </row>
        <row r="612">
          <cell r="C612" t="str">
            <v>Yuleidis Ortiz Vidaburt</v>
          </cell>
          <cell r="E612" t="str">
            <v>F</v>
          </cell>
          <cell r="F612" t="str">
            <v>negra</v>
          </cell>
          <cell r="K612" t="str">
            <v>Cuadro</v>
          </cell>
          <cell r="L612" t="str">
            <v>Si</v>
          </cell>
          <cell r="O612" t="str">
            <v>Lic. en Tecnología de la Salud</v>
          </cell>
        </row>
        <row r="613">
          <cell r="C613" t="str">
            <v>Yuleimis Leyva Alvarez</v>
          </cell>
          <cell r="E613" t="str">
            <v>F</v>
          </cell>
          <cell r="F613" t="str">
            <v>mestiza</v>
          </cell>
          <cell r="K613" t="str">
            <v>Técnico Superior</v>
          </cell>
          <cell r="L613" t="str">
            <v>Si</v>
          </cell>
          <cell r="O613" t="str">
            <v>Lic. en Tecnología de la Salud</v>
          </cell>
        </row>
        <row r="614">
          <cell r="C614" t="str">
            <v>Yunielkis Hernandez Zapata</v>
          </cell>
          <cell r="E614" t="str">
            <v>M</v>
          </cell>
          <cell r="F614" t="str">
            <v>negra</v>
          </cell>
          <cell r="K614" t="str">
            <v>Técnico Superior</v>
          </cell>
          <cell r="L614" t="str">
            <v>Si</v>
          </cell>
          <cell r="O614" t="str">
            <v>Lic. en Tecnología de la Salud</v>
          </cell>
        </row>
        <row r="615">
          <cell r="C615" t="str">
            <v>Yurineisy Lopez Ramirez</v>
          </cell>
          <cell r="E615" t="str">
            <v>F</v>
          </cell>
          <cell r="F615" t="str">
            <v>mestiza</v>
          </cell>
          <cell r="K615" t="str">
            <v>Técnico Superior</v>
          </cell>
          <cell r="L615" t="str">
            <v>Si</v>
          </cell>
          <cell r="O615" t="str">
            <v>Lic. en Tecnología de la Salud</v>
          </cell>
        </row>
        <row r="616">
          <cell r="C616" t="str">
            <v>Zobeida Zayas Castañeda</v>
          </cell>
          <cell r="E616" t="str">
            <v>F</v>
          </cell>
          <cell r="F616" t="str">
            <v>negra</v>
          </cell>
          <cell r="K616" t="str">
            <v>Técnico Superior</v>
          </cell>
          <cell r="L616" t="str">
            <v>Si</v>
          </cell>
          <cell r="O616" t="str">
            <v>Lic. en Tecnología de la Salud</v>
          </cell>
        </row>
        <row r="617">
          <cell r="C617" t="str">
            <v>Zuleima Reyes Carrión</v>
          </cell>
          <cell r="E617" t="str">
            <v>F</v>
          </cell>
          <cell r="F617" t="str">
            <v>negra</v>
          </cell>
          <cell r="K617" t="str">
            <v>Técnico Superior</v>
          </cell>
          <cell r="L617" t="str">
            <v>Si</v>
          </cell>
          <cell r="O617" t="str">
            <v>Lic. en Tecnología de la Salud</v>
          </cell>
        </row>
        <row r="618">
          <cell r="C618" t="str">
            <v>Yaneisy Cardero Cisnero</v>
          </cell>
          <cell r="E618" t="str">
            <v>F</v>
          </cell>
          <cell r="F618" t="str">
            <v>blanca</v>
          </cell>
          <cell r="K618" t="str">
            <v>Técnico Superior</v>
          </cell>
          <cell r="L618" t="str">
            <v>No</v>
          </cell>
          <cell r="O618" t="str">
            <v>Lic. Enfermería</v>
          </cell>
        </row>
        <row r="619">
          <cell r="C619" t="str">
            <v xml:space="preserve">Aliuska Campitruz Castañeda </v>
          </cell>
          <cell r="E619" t="str">
            <v>F</v>
          </cell>
          <cell r="F619" t="str">
            <v>mestiza</v>
          </cell>
          <cell r="K619" t="str">
            <v>Técnico Superior</v>
          </cell>
          <cell r="L619" t="str">
            <v>Si</v>
          </cell>
          <cell r="O619" t="str">
            <v>Lic. Enfermería</v>
          </cell>
        </row>
        <row r="620">
          <cell r="C620" t="str">
            <v>Aliuska Elias Gonzalez</v>
          </cell>
          <cell r="E620" t="str">
            <v>F</v>
          </cell>
          <cell r="F620" t="str">
            <v>mestiza</v>
          </cell>
          <cell r="K620" t="str">
            <v>Técnico Superior</v>
          </cell>
          <cell r="L620" t="str">
            <v>Si</v>
          </cell>
          <cell r="O620" t="str">
            <v>Lic. Enfermería</v>
          </cell>
        </row>
        <row r="621">
          <cell r="C621" t="str">
            <v>Aniuska Alvarez Maturell</v>
          </cell>
          <cell r="E621" t="str">
            <v>F</v>
          </cell>
          <cell r="F621" t="str">
            <v>blanca</v>
          </cell>
          <cell r="K621" t="str">
            <v>Técnico Superior</v>
          </cell>
          <cell r="L621" t="str">
            <v>Si</v>
          </cell>
          <cell r="O621" t="str">
            <v>Lic. Enfermería</v>
          </cell>
        </row>
        <row r="622">
          <cell r="C622" t="str">
            <v>Arelis Montoya Almeida</v>
          </cell>
          <cell r="E622" t="str">
            <v>F</v>
          </cell>
          <cell r="F622" t="str">
            <v>negra</v>
          </cell>
          <cell r="K622" t="str">
            <v>Técnico Superior</v>
          </cell>
          <cell r="L622" t="str">
            <v>Si</v>
          </cell>
          <cell r="O622" t="str">
            <v>Lic. Enfermería</v>
          </cell>
        </row>
        <row r="623">
          <cell r="C623" t="str">
            <v>Arletis Gonzalez Gomez</v>
          </cell>
          <cell r="E623" t="str">
            <v>F</v>
          </cell>
          <cell r="F623" t="str">
            <v>mestiza</v>
          </cell>
          <cell r="K623" t="str">
            <v>Técnico Superior</v>
          </cell>
          <cell r="L623" t="str">
            <v>Si</v>
          </cell>
          <cell r="O623" t="str">
            <v>Lic. Enfermería</v>
          </cell>
        </row>
        <row r="624">
          <cell r="C624" t="str">
            <v>Damaris Aguilera Tamayo</v>
          </cell>
          <cell r="E624" t="str">
            <v>F</v>
          </cell>
          <cell r="F624" t="str">
            <v>negra</v>
          </cell>
          <cell r="K624" t="str">
            <v>Técnico Superior</v>
          </cell>
          <cell r="L624" t="str">
            <v>Si</v>
          </cell>
          <cell r="O624" t="str">
            <v>Lic. Enfermería</v>
          </cell>
        </row>
        <row r="625">
          <cell r="C625" t="str">
            <v>Dermis Aguilera Sarmiento</v>
          </cell>
          <cell r="E625" t="str">
            <v>F</v>
          </cell>
          <cell r="F625" t="str">
            <v>negra</v>
          </cell>
          <cell r="K625" t="str">
            <v>Técnico Superior</v>
          </cell>
          <cell r="L625" t="str">
            <v>Si</v>
          </cell>
          <cell r="O625" t="str">
            <v>Lic. Enfermería</v>
          </cell>
        </row>
        <row r="626">
          <cell r="C626" t="str">
            <v>Edenis Elias Acevedo</v>
          </cell>
          <cell r="E626" t="str">
            <v>F</v>
          </cell>
          <cell r="F626" t="str">
            <v>mestiza</v>
          </cell>
          <cell r="K626" t="str">
            <v>Técnico Superior</v>
          </cell>
          <cell r="L626" t="str">
            <v>Si</v>
          </cell>
          <cell r="O626" t="str">
            <v>Lic. Enfermería</v>
          </cell>
        </row>
        <row r="627">
          <cell r="C627" t="str">
            <v>Gearnelis Borrero Gomez</v>
          </cell>
          <cell r="E627" t="str">
            <v>F</v>
          </cell>
          <cell r="F627" t="str">
            <v>mestiza</v>
          </cell>
          <cell r="K627" t="str">
            <v>Técnico Superior</v>
          </cell>
          <cell r="L627" t="str">
            <v>Si</v>
          </cell>
          <cell r="O627" t="str">
            <v>Lic. Enfermería</v>
          </cell>
        </row>
        <row r="628">
          <cell r="C628" t="str">
            <v>Iraida Ruiz Peña</v>
          </cell>
          <cell r="E628" t="str">
            <v>F</v>
          </cell>
          <cell r="F628" t="str">
            <v>mestiza</v>
          </cell>
          <cell r="K628" t="str">
            <v>Técnico Superior</v>
          </cell>
          <cell r="L628" t="str">
            <v>Si</v>
          </cell>
          <cell r="O628" t="str">
            <v>Lic. Enfermería</v>
          </cell>
        </row>
        <row r="629">
          <cell r="C629" t="str">
            <v>Isabel Mayet Goulet</v>
          </cell>
          <cell r="E629" t="str">
            <v>F</v>
          </cell>
          <cell r="F629" t="str">
            <v>negra</v>
          </cell>
          <cell r="K629" t="str">
            <v>Técnico Superior</v>
          </cell>
          <cell r="L629" t="str">
            <v>Si</v>
          </cell>
          <cell r="O629" t="str">
            <v>Lic. Enfermería</v>
          </cell>
        </row>
        <row r="630">
          <cell r="C630" t="str">
            <v>Keylis Hechavarria Lopez</v>
          </cell>
          <cell r="E630" t="str">
            <v>F</v>
          </cell>
          <cell r="F630" t="str">
            <v>mestiza</v>
          </cell>
          <cell r="K630" t="str">
            <v>Técnico Superior</v>
          </cell>
          <cell r="L630" t="str">
            <v>Si</v>
          </cell>
          <cell r="O630" t="str">
            <v>Lic. Enfermería</v>
          </cell>
        </row>
        <row r="631">
          <cell r="C631" t="str">
            <v>Ledys Heredia A lvarez</v>
          </cell>
          <cell r="E631" t="str">
            <v>M</v>
          </cell>
          <cell r="F631" t="str">
            <v>negra</v>
          </cell>
          <cell r="K631" t="str">
            <v>Técnico Superior</v>
          </cell>
          <cell r="L631" t="str">
            <v>Si</v>
          </cell>
          <cell r="O631" t="str">
            <v>Lic. Enfermería</v>
          </cell>
        </row>
        <row r="632">
          <cell r="C632" t="str">
            <v>Leyanet Calderín Garcia</v>
          </cell>
          <cell r="E632" t="str">
            <v>F</v>
          </cell>
          <cell r="F632" t="str">
            <v>negra</v>
          </cell>
          <cell r="K632" t="str">
            <v>Técnico Superior</v>
          </cell>
          <cell r="L632" t="str">
            <v>Si</v>
          </cell>
          <cell r="O632" t="str">
            <v>Lic. Enfermería</v>
          </cell>
        </row>
        <row r="633">
          <cell r="C633" t="str">
            <v>luvia falagan barzaga</v>
          </cell>
          <cell r="E633" t="str">
            <v>F</v>
          </cell>
          <cell r="F633" t="str">
            <v>mestiza</v>
          </cell>
          <cell r="K633" t="str">
            <v>Técnico Superior</v>
          </cell>
          <cell r="L633" t="str">
            <v>Si</v>
          </cell>
          <cell r="O633" t="str">
            <v>Lic. Enfermería</v>
          </cell>
        </row>
        <row r="634">
          <cell r="C634" t="str">
            <v>Madelis Gonzalez Landa</v>
          </cell>
          <cell r="E634" t="str">
            <v>F</v>
          </cell>
          <cell r="F634" t="str">
            <v>negra</v>
          </cell>
          <cell r="K634" t="str">
            <v>Técnico Superior</v>
          </cell>
          <cell r="L634" t="str">
            <v>Si</v>
          </cell>
          <cell r="O634" t="str">
            <v>Lic. Enfermería</v>
          </cell>
        </row>
        <row r="635">
          <cell r="C635" t="str">
            <v>Maidelin Dangel Guzman</v>
          </cell>
          <cell r="E635" t="str">
            <v>F</v>
          </cell>
          <cell r="F635" t="str">
            <v>negra</v>
          </cell>
          <cell r="K635" t="str">
            <v>Técnico Superior</v>
          </cell>
          <cell r="L635" t="str">
            <v>Si</v>
          </cell>
          <cell r="O635" t="str">
            <v>Lic. Enfermería</v>
          </cell>
        </row>
        <row r="636">
          <cell r="C636" t="str">
            <v>Mailin Escalona Mejias</v>
          </cell>
          <cell r="E636" t="str">
            <v>F</v>
          </cell>
          <cell r="F636" t="str">
            <v>mestiza</v>
          </cell>
          <cell r="K636" t="str">
            <v>Técnico Superior</v>
          </cell>
          <cell r="L636" t="str">
            <v>Si</v>
          </cell>
          <cell r="O636" t="str">
            <v>Lic. Enfermería</v>
          </cell>
        </row>
        <row r="637">
          <cell r="C637" t="str">
            <v>Manuela Perdomo Vizcay</v>
          </cell>
          <cell r="E637" t="str">
            <v>F</v>
          </cell>
          <cell r="F637" t="str">
            <v>negra</v>
          </cell>
          <cell r="K637" t="str">
            <v>Técnico Superior</v>
          </cell>
          <cell r="L637" t="str">
            <v>Si</v>
          </cell>
          <cell r="O637" t="str">
            <v>Lic. Enfermería</v>
          </cell>
        </row>
        <row r="638">
          <cell r="C638" t="str">
            <v>Maritza Dominguez Quevedo</v>
          </cell>
          <cell r="E638" t="str">
            <v>F</v>
          </cell>
          <cell r="F638" t="str">
            <v>blanca</v>
          </cell>
          <cell r="K638" t="str">
            <v>Cuadro</v>
          </cell>
          <cell r="L638" t="str">
            <v>Si</v>
          </cell>
          <cell r="O638" t="str">
            <v>Lic. Enfermería</v>
          </cell>
        </row>
        <row r="639">
          <cell r="C639" t="str">
            <v>Maver Girón Sánchez</v>
          </cell>
          <cell r="E639" t="str">
            <v>F</v>
          </cell>
          <cell r="F639" t="str">
            <v>negra</v>
          </cell>
          <cell r="K639" t="str">
            <v>Técnico Superior</v>
          </cell>
          <cell r="L639" t="str">
            <v>Si</v>
          </cell>
          <cell r="O639" t="str">
            <v>Lic. Enfermería</v>
          </cell>
        </row>
        <row r="640">
          <cell r="C640" t="str">
            <v>Onel Correoso Verdecia</v>
          </cell>
          <cell r="E640" t="str">
            <v>M</v>
          </cell>
          <cell r="F640" t="str">
            <v>negra</v>
          </cell>
          <cell r="K640" t="str">
            <v>Técnico Superior</v>
          </cell>
          <cell r="L640" t="str">
            <v>Si</v>
          </cell>
          <cell r="O640" t="str">
            <v>Lic. Enfermería</v>
          </cell>
        </row>
        <row r="641">
          <cell r="C641" t="str">
            <v>Orlando Cardona Thaureaux</v>
          </cell>
          <cell r="E641" t="str">
            <v>M</v>
          </cell>
          <cell r="F641" t="str">
            <v>negra</v>
          </cell>
          <cell r="K641" t="str">
            <v>Técnico Superior</v>
          </cell>
          <cell r="L641" t="str">
            <v>Si</v>
          </cell>
          <cell r="O641" t="str">
            <v>Lic. Enfermería</v>
          </cell>
        </row>
        <row r="642">
          <cell r="C642" t="str">
            <v>Osnayra Palau Danger</v>
          </cell>
          <cell r="E642" t="str">
            <v>F</v>
          </cell>
          <cell r="F642" t="str">
            <v>negra</v>
          </cell>
          <cell r="K642" t="str">
            <v>Técnico Superior</v>
          </cell>
          <cell r="L642" t="str">
            <v>Si</v>
          </cell>
          <cell r="O642" t="str">
            <v>Lic. Enfermería</v>
          </cell>
        </row>
        <row r="643">
          <cell r="C643" t="str">
            <v>Rachel Rodriguez Romero</v>
          </cell>
          <cell r="E643" t="str">
            <v>F</v>
          </cell>
          <cell r="F643" t="str">
            <v>blanca</v>
          </cell>
          <cell r="K643" t="str">
            <v>Técnico Superior</v>
          </cell>
          <cell r="L643" t="str">
            <v>Si</v>
          </cell>
          <cell r="O643" t="str">
            <v>Lic. Enfermería</v>
          </cell>
        </row>
        <row r="644">
          <cell r="C644" t="str">
            <v>Sobeida Rizo Quiñones</v>
          </cell>
          <cell r="E644" t="str">
            <v>F</v>
          </cell>
          <cell r="F644" t="str">
            <v>mestiza</v>
          </cell>
          <cell r="K644" t="str">
            <v>Técnico Superior</v>
          </cell>
          <cell r="L644" t="str">
            <v>Si</v>
          </cell>
          <cell r="O644" t="str">
            <v>Lic. Enfermería</v>
          </cell>
        </row>
        <row r="645">
          <cell r="C645" t="str">
            <v>SORAIDA ZAYAS CASTAÑEDA</v>
          </cell>
          <cell r="E645" t="str">
            <v>F</v>
          </cell>
          <cell r="F645" t="str">
            <v>mestiza</v>
          </cell>
          <cell r="K645" t="str">
            <v>Técnico Superior</v>
          </cell>
          <cell r="L645" t="str">
            <v>Si</v>
          </cell>
          <cell r="O645" t="str">
            <v>Lic. Enfermería</v>
          </cell>
        </row>
        <row r="646">
          <cell r="C646" t="str">
            <v>Yadira Rabas Pupo</v>
          </cell>
          <cell r="E646" t="str">
            <v>F</v>
          </cell>
          <cell r="F646" t="str">
            <v>mestiza</v>
          </cell>
          <cell r="K646" t="str">
            <v>Técnico Superior</v>
          </cell>
          <cell r="L646" t="str">
            <v>Si</v>
          </cell>
          <cell r="O646" t="str">
            <v>Lic. Enfermería</v>
          </cell>
        </row>
        <row r="647">
          <cell r="C647" t="str">
            <v>Yadira Serrano Jaya</v>
          </cell>
          <cell r="E647" t="str">
            <v>F</v>
          </cell>
          <cell r="F647" t="str">
            <v>blanca</v>
          </cell>
          <cell r="K647" t="str">
            <v>Técnico Superior</v>
          </cell>
          <cell r="L647" t="str">
            <v>Si</v>
          </cell>
          <cell r="O647" t="str">
            <v>Lic. Enfermería</v>
          </cell>
        </row>
        <row r="648">
          <cell r="C648" t="str">
            <v>Nidia Caridad cala Cobas</v>
          </cell>
          <cell r="E648" t="str">
            <v>F</v>
          </cell>
          <cell r="F648" t="str">
            <v>Mestiza</v>
          </cell>
          <cell r="K648" t="str">
            <v>Técnico Superior</v>
          </cell>
          <cell r="L648" t="str">
            <v>No</v>
          </cell>
          <cell r="O648" t="str">
            <v>Lic. Enfermería</v>
          </cell>
        </row>
        <row r="649">
          <cell r="C649" t="str">
            <v>Yanet Savón Leyva</v>
          </cell>
          <cell r="E649" t="str">
            <v>F</v>
          </cell>
          <cell r="F649" t="str">
            <v>Mestiza</v>
          </cell>
          <cell r="K649" t="str">
            <v>Técnico Superior</v>
          </cell>
          <cell r="L649" t="str">
            <v>No</v>
          </cell>
          <cell r="O649" t="str">
            <v>Lic. Enfermería</v>
          </cell>
        </row>
        <row r="650">
          <cell r="C650" t="str">
            <v>Darlen Masó Portuondo</v>
          </cell>
          <cell r="E650" t="str">
            <v>F</v>
          </cell>
          <cell r="F650" t="str">
            <v>mestiza</v>
          </cell>
          <cell r="K650" t="str">
            <v>Técnico Superior</v>
          </cell>
          <cell r="L650" t="str">
            <v>No</v>
          </cell>
          <cell r="O650" t="str">
            <v>Lic. Enfermería</v>
          </cell>
        </row>
        <row r="651">
          <cell r="C651" t="str">
            <v>Adelmis Veranes Torres</v>
          </cell>
          <cell r="E651" t="str">
            <v>F</v>
          </cell>
          <cell r="F651" t="str">
            <v>mestiza</v>
          </cell>
          <cell r="K651" t="str">
            <v>Técnico Superior</v>
          </cell>
          <cell r="L651" t="str">
            <v>No</v>
          </cell>
          <cell r="O651" t="str">
            <v>Lic. Enfermería</v>
          </cell>
        </row>
        <row r="652">
          <cell r="C652" t="str">
            <v>ADRIELIS CARBONELL HERNANDEZ</v>
          </cell>
          <cell r="E652" t="str">
            <v>M</v>
          </cell>
          <cell r="F652" t="str">
            <v>negra</v>
          </cell>
          <cell r="K652" t="str">
            <v>Técnico Superior</v>
          </cell>
          <cell r="L652" t="str">
            <v>Si</v>
          </cell>
          <cell r="O652" t="str">
            <v>Médico</v>
          </cell>
        </row>
        <row r="653">
          <cell r="C653" t="str">
            <v>Alberto Prada Muñiz</v>
          </cell>
          <cell r="E653" t="str">
            <v>M</v>
          </cell>
          <cell r="F653" t="str">
            <v>mestiza</v>
          </cell>
          <cell r="K653" t="str">
            <v>Técnico Superior</v>
          </cell>
          <cell r="L653" t="str">
            <v>Si</v>
          </cell>
          <cell r="O653" t="str">
            <v>Médico</v>
          </cell>
        </row>
        <row r="654">
          <cell r="C654" t="str">
            <v>Anai Boloy La O</v>
          </cell>
          <cell r="E654" t="str">
            <v>F</v>
          </cell>
          <cell r="F654" t="str">
            <v>mestiza</v>
          </cell>
          <cell r="K654" t="str">
            <v>Técnico Superior</v>
          </cell>
          <cell r="L654" t="str">
            <v>Si</v>
          </cell>
          <cell r="O654" t="str">
            <v>Médico</v>
          </cell>
        </row>
        <row r="655">
          <cell r="C655" t="str">
            <v>Angel Dominguez Pérez</v>
          </cell>
          <cell r="E655" t="str">
            <v>M</v>
          </cell>
          <cell r="F655" t="str">
            <v>blanca</v>
          </cell>
          <cell r="K655" t="str">
            <v>Técnico Superior</v>
          </cell>
          <cell r="L655" t="str">
            <v>Si</v>
          </cell>
          <cell r="O655" t="str">
            <v>Médico</v>
          </cell>
        </row>
        <row r="656">
          <cell r="C656" t="str">
            <v>Arielvis Montes Vega</v>
          </cell>
          <cell r="E656" t="str">
            <v>F</v>
          </cell>
          <cell r="F656" t="str">
            <v>mestiza</v>
          </cell>
          <cell r="K656" t="str">
            <v>Técnico Superior</v>
          </cell>
          <cell r="L656" t="str">
            <v>Si</v>
          </cell>
          <cell r="O656" t="str">
            <v>Médico</v>
          </cell>
        </row>
        <row r="657">
          <cell r="C657" t="str">
            <v>Adria Arias Ramos</v>
          </cell>
          <cell r="E657" t="str">
            <v>F</v>
          </cell>
          <cell r="F657" t="str">
            <v>mestiza</v>
          </cell>
          <cell r="K657" t="str">
            <v>Técnico Superior</v>
          </cell>
          <cell r="L657" t="str">
            <v>Si</v>
          </cell>
          <cell r="O657" t="str">
            <v>Médico</v>
          </cell>
        </row>
        <row r="658">
          <cell r="C658" t="str">
            <v>Claudia Jimenez Gonzalez</v>
          </cell>
          <cell r="E658" t="str">
            <v>F</v>
          </cell>
          <cell r="F658" t="str">
            <v>mestiza</v>
          </cell>
          <cell r="K658" t="str">
            <v>Técnico Superior</v>
          </cell>
          <cell r="L658" t="str">
            <v>Si</v>
          </cell>
          <cell r="O658" t="str">
            <v>Médico</v>
          </cell>
        </row>
        <row r="659">
          <cell r="C659" t="str">
            <v>Claudia Rosales Portorrial</v>
          </cell>
          <cell r="E659" t="str">
            <v>F</v>
          </cell>
          <cell r="F659" t="str">
            <v>mestiza</v>
          </cell>
          <cell r="K659" t="str">
            <v>Técnico Superior</v>
          </cell>
          <cell r="L659" t="str">
            <v>Si</v>
          </cell>
          <cell r="O659" t="str">
            <v>Médico</v>
          </cell>
        </row>
        <row r="660">
          <cell r="C660" t="str">
            <v>Daimara Brugal Cobas</v>
          </cell>
          <cell r="E660" t="str">
            <v>F</v>
          </cell>
          <cell r="F660" t="str">
            <v>mestiza</v>
          </cell>
          <cell r="K660" t="str">
            <v>Técnico Superior</v>
          </cell>
          <cell r="L660" t="str">
            <v>Si</v>
          </cell>
          <cell r="O660" t="str">
            <v>Médico</v>
          </cell>
        </row>
        <row r="661">
          <cell r="C661" t="str">
            <v>Dariela Fernández Nuñez</v>
          </cell>
          <cell r="E661" t="str">
            <v>F</v>
          </cell>
          <cell r="F661" t="str">
            <v>mestiza</v>
          </cell>
          <cell r="K661" t="str">
            <v>Técnico Superior</v>
          </cell>
          <cell r="L661" t="str">
            <v>Si</v>
          </cell>
          <cell r="O661" t="str">
            <v>Médico</v>
          </cell>
        </row>
        <row r="662">
          <cell r="C662" t="str">
            <v>Daynier Diosmede Cobas Rodríguez</v>
          </cell>
          <cell r="E662" t="str">
            <v>M</v>
          </cell>
          <cell r="F662" t="str">
            <v>mestiza</v>
          </cell>
          <cell r="K662" t="str">
            <v>Técnico Superior</v>
          </cell>
          <cell r="L662" t="str">
            <v>Si</v>
          </cell>
          <cell r="O662" t="str">
            <v>Médico</v>
          </cell>
        </row>
        <row r="663">
          <cell r="C663" t="str">
            <v>Dianelis Migdalia López Hechavarría</v>
          </cell>
          <cell r="E663" t="str">
            <v>F</v>
          </cell>
          <cell r="F663" t="str">
            <v>mestiza</v>
          </cell>
          <cell r="K663" t="str">
            <v>Técnico Superior</v>
          </cell>
          <cell r="L663" t="str">
            <v>Si</v>
          </cell>
          <cell r="O663" t="str">
            <v>Médico</v>
          </cell>
        </row>
        <row r="664">
          <cell r="C664" t="str">
            <v>Diosbel Castillo Molina</v>
          </cell>
          <cell r="E664" t="str">
            <v>M</v>
          </cell>
          <cell r="F664" t="str">
            <v>mestiza</v>
          </cell>
          <cell r="K664" t="str">
            <v>Técnico Superior</v>
          </cell>
          <cell r="L664" t="str">
            <v>Si</v>
          </cell>
          <cell r="O664" t="str">
            <v>Médico</v>
          </cell>
        </row>
        <row r="665">
          <cell r="C665" t="str">
            <v>Danieska Kindelan Arroyo</v>
          </cell>
          <cell r="E665" t="str">
            <v>F</v>
          </cell>
          <cell r="F665" t="str">
            <v>mestiza</v>
          </cell>
          <cell r="K665" t="str">
            <v>Técnico Superior</v>
          </cell>
          <cell r="L665" t="str">
            <v>Si</v>
          </cell>
          <cell r="O665" t="str">
            <v>Médico</v>
          </cell>
        </row>
        <row r="666">
          <cell r="C666" t="str">
            <v>ELVIS GOULET MONTEJO</v>
          </cell>
          <cell r="E666" t="str">
            <v>F</v>
          </cell>
          <cell r="F666" t="str">
            <v>negra</v>
          </cell>
          <cell r="K666" t="str">
            <v>Técnico Superior</v>
          </cell>
          <cell r="L666" t="str">
            <v>Si</v>
          </cell>
          <cell r="O666" t="str">
            <v>Médico</v>
          </cell>
        </row>
        <row r="667">
          <cell r="C667" t="str">
            <v>Eliannis Mestre Martinez</v>
          </cell>
          <cell r="E667" t="str">
            <v>F</v>
          </cell>
          <cell r="F667" t="str">
            <v>negra</v>
          </cell>
          <cell r="K667" t="str">
            <v>Técnico Superior</v>
          </cell>
          <cell r="L667" t="str">
            <v>Si</v>
          </cell>
          <cell r="O667" t="str">
            <v>Médico</v>
          </cell>
        </row>
        <row r="668">
          <cell r="C668" t="str">
            <v>Frank Enrique Vidal Romero</v>
          </cell>
          <cell r="E668" t="str">
            <v>M</v>
          </cell>
          <cell r="F668" t="str">
            <v>mestiza</v>
          </cell>
          <cell r="K668" t="str">
            <v>Técnico Superior</v>
          </cell>
          <cell r="L668" t="str">
            <v>Si</v>
          </cell>
          <cell r="O668" t="str">
            <v>Médico</v>
          </cell>
        </row>
        <row r="669">
          <cell r="C669" t="str">
            <v>Gilberto Urgellez Díaz</v>
          </cell>
          <cell r="E669" t="str">
            <v>M</v>
          </cell>
          <cell r="F669" t="str">
            <v>mestiza</v>
          </cell>
          <cell r="K669" t="str">
            <v>Técnico Superior</v>
          </cell>
          <cell r="L669" t="str">
            <v>Si</v>
          </cell>
          <cell r="O669" t="str">
            <v>Médico</v>
          </cell>
        </row>
        <row r="670">
          <cell r="C670" t="str">
            <v>Idania Sarmiento Noa</v>
          </cell>
          <cell r="E670" t="str">
            <v>F</v>
          </cell>
          <cell r="F670" t="str">
            <v>negra</v>
          </cell>
          <cell r="K670" t="str">
            <v>Técnico Superior</v>
          </cell>
          <cell r="L670" t="str">
            <v>Si</v>
          </cell>
          <cell r="O670" t="str">
            <v>Médico</v>
          </cell>
        </row>
        <row r="671">
          <cell r="C671" t="str">
            <v>Lainet Fernández Gónzalez</v>
          </cell>
          <cell r="E671" t="str">
            <v>F</v>
          </cell>
          <cell r="F671" t="str">
            <v>mestiza</v>
          </cell>
          <cell r="K671" t="str">
            <v>Cuadro</v>
          </cell>
          <cell r="L671" t="str">
            <v>Si</v>
          </cell>
          <cell r="O671" t="str">
            <v>Médico</v>
          </cell>
        </row>
        <row r="672">
          <cell r="C672" t="str">
            <v>Laritza Betancourt González</v>
          </cell>
          <cell r="E672" t="str">
            <v>F</v>
          </cell>
          <cell r="F672" t="str">
            <v>mestiza</v>
          </cell>
          <cell r="K672" t="str">
            <v>Cuadro</v>
          </cell>
          <cell r="L672" t="str">
            <v>Si</v>
          </cell>
          <cell r="O672" t="str">
            <v>Médico</v>
          </cell>
        </row>
        <row r="673">
          <cell r="C673" t="str">
            <v>Leinet Cardona Venero</v>
          </cell>
          <cell r="E673" t="str">
            <v>F</v>
          </cell>
          <cell r="F673" t="str">
            <v>negra</v>
          </cell>
          <cell r="K673" t="str">
            <v>Técnico Superior</v>
          </cell>
          <cell r="L673" t="str">
            <v>Si</v>
          </cell>
          <cell r="O673" t="str">
            <v>Médico</v>
          </cell>
        </row>
        <row r="674">
          <cell r="C674" t="str">
            <v>Leslie David Franco Gómez</v>
          </cell>
          <cell r="E674" t="str">
            <v>M</v>
          </cell>
          <cell r="F674" t="str">
            <v>mestiza</v>
          </cell>
          <cell r="K674" t="str">
            <v>Técnico Superior</v>
          </cell>
          <cell r="L674" t="str">
            <v>Si</v>
          </cell>
          <cell r="O674" t="str">
            <v>Médico</v>
          </cell>
        </row>
        <row r="675">
          <cell r="C675" t="str">
            <v>Leticia Torres Téllez</v>
          </cell>
          <cell r="E675" t="str">
            <v>F</v>
          </cell>
          <cell r="F675" t="str">
            <v>mestiza</v>
          </cell>
          <cell r="K675" t="str">
            <v>Técnico Superior</v>
          </cell>
          <cell r="L675" t="str">
            <v>Si</v>
          </cell>
          <cell r="O675" t="str">
            <v>Médico</v>
          </cell>
        </row>
        <row r="676">
          <cell r="C676" t="str">
            <v>Leudis Rios Vargas</v>
          </cell>
          <cell r="E676" t="str">
            <v>M</v>
          </cell>
          <cell r="F676" t="str">
            <v>mestiza</v>
          </cell>
          <cell r="K676" t="str">
            <v>Técnico Superior</v>
          </cell>
          <cell r="L676" t="str">
            <v>Si</v>
          </cell>
          <cell r="O676" t="str">
            <v>Médico</v>
          </cell>
        </row>
        <row r="677">
          <cell r="C677" t="str">
            <v>Lidianne Bell Rodriguez</v>
          </cell>
          <cell r="E677" t="str">
            <v>F</v>
          </cell>
          <cell r="F677" t="str">
            <v>negra</v>
          </cell>
          <cell r="K677" t="str">
            <v>Técnico Superior</v>
          </cell>
          <cell r="L677" t="str">
            <v>Si</v>
          </cell>
          <cell r="O677" t="str">
            <v>Médico</v>
          </cell>
        </row>
        <row r="678">
          <cell r="C678" t="str">
            <v>Lisandra Victorero Sanchez</v>
          </cell>
          <cell r="E678" t="str">
            <v>F</v>
          </cell>
          <cell r="F678" t="str">
            <v>mestiza</v>
          </cell>
          <cell r="K678" t="str">
            <v>Técnico Superior</v>
          </cell>
          <cell r="L678" t="str">
            <v>Si</v>
          </cell>
          <cell r="O678" t="str">
            <v>Médico</v>
          </cell>
        </row>
        <row r="679">
          <cell r="C679" t="str">
            <v>Lisbet Taureaux Hurtado</v>
          </cell>
          <cell r="E679" t="str">
            <v>F</v>
          </cell>
          <cell r="F679" t="str">
            <v>mestiza</v>
          </cell>
          <cell r="K679" t="str">
            <v>Técnico Superior</v>
          </cell>
          <cell r="L679" t="str">
            <v>Si</v>
          </cell>
          <cell r="O679" t="str">
            <v>Médico</v>
          </cell>
        </row>
        <row r="680">
          <cell r="C680" t="str">
            <v>Mairelis Rodriguez Hernández</v>
          </cell>
          <cell r="E680" t="str">
            <v>F</v>
          </cell>
          <cell r="F680" t="str">
            <v>mestiza</v>
          </cell>
          <cell r="K680" t="str">
            <v>Técnico Superior</v>
          </cell>
          <cell r="L680" t="str">
            <v>Si</v>
          </cell>
          <cell r="O680" t="str">
            <v>Médico</v>
          </cell>
        </row>
        <row r="681">
          <cell r="C681" t="str">
            <v>Mariela Román Borras</v>
          </cell>
          <cell r="E681" t="str">
            <v>F</v>
          </cell>
          <cell r="F681" t="str">
            <v>mestiza</v>
          </cell>
          <cell r="K681" t="str">
            <v>Técnico Superior</v>
          </cell>
          <cell r="L681" t="str">
            <v>Si</v>
          </cell>
          <cell r="O681" t="str">
            <v>Médico</v>
          </cell>
        </row>
        <row r="682">
          <cell r="C682" t="str">
            <v>Merlis María Nuviola Salazar</v>
          </cell>
          <cell r="E682" t="str">
            <v>F</v>
          </cell>
          <cell r="F682" t="str">
            <v>mestiza</v>
          </cell>
          <cell r="K682" t="str">
            <v>Técnico Superior</v>
          </cell>
          <cell r="L682" t="str">
            <v>Si</v>
          </cell>
          <cell r="O682" t="str">
            <v>Médico</v>
          </cell>
        </row>
        <row r="683">
          <cell r="C683" t="str">
            <v>Maylin Correoso Ruíz</v>
          </cell>
          <cell r="E683" t="str">
            <v>F</v>
          </cell>
          <cell r="F683" t="str">
            <v>negra</v>
          </cell>
          <cell r="K683" t="str">
            <v>Técnico Superior</v>
          </cell>
          <cell r="L683" t="str">
            <v>Si</v>
          </cell>
          <cell r="O683" t="str">
            <v>Médico</v>
          </cell>
        </row>
        <row r="684">
          <cell r="C684" t="str">
            <v>Pedro Bueno Suárez</v>
          </cell>
          <cell r="E684" t="str">
            <v>M</v>
          </cell>
          <cell r="F684" t="str">
            <v>mestiza</v>
          </cell>
          <cell r="K684" t="str">
            <v>Técnico Superior</v>
          </cell>
          <cell r="L684" t="str">
            <v>Si</v>
          </cell>
          <cell r="O684" t="str">
            <v>Médico</v>
          </cell>
        </row>
        <row r="685">
          <cell r="C685" t="str">
            <v>Reyna Aurora Salina Miranda</v>
          </cell>
          <cell r="E685" t="str">
            <v>F</v>
          </cell>
          <cell r="F685" t="str">
            <v>negra</v>
          </cell>
          <cell r="K685" t="str">
            <v>Técnico Superior</v>
          </cell>
          <cell r="L685" t="str">
            <v>Si</v>
          </cell>
          <cell r="O685" t="str">
            <v>Médico</v>
          </cell>
        </row>
        <row r="686">
          <cell r="C686" t="str">
            <v>Rogelio Sánchez León</v>
          </cell>
          <cell r="E686" t="str">
            <v>M</v>
          </cell>
          <cell r="F686" t="str">
            <v>mestiza</v>
          </cell>
          <cell r="K686" t="str">
            <v>Técnico Superior</v>
          </cell>
          <cell r="L686" t="str">
            <v>Si</v>
          </cell>
          <cell r="O686" t="str">
            <v>Médico</v>
          </cell>
        </row>
        <row r="687">
          <cell r="C687" t="str">
            <v>Sergio Semitier Mustelier</v>
          </cell>
          <cell r="E687" t="str">
            <v>M</v>
          </cell>
          <cell r="F687" t="str">
            <v>negra</v>
          </cell>
          <cell r="K687" t="str">
            <v>Técnico Superior</v>
          </cell>
          <cell r="L687" t="str">
            <v>Si</v>
          </cell>
          <cell r="O687" t="str">
            <v>Médico</v>
          </cell>
        </row>
        <row r="688">
          <cell r="C688" t="str">
            <v>Yaniel Leon Martinez</v>
          </cell>
          <cell r="E688" t="str">
            <v>M</v>
          </cell>
          <cell r="F688" t="str">
            <v>mestiza</v>
          </cell>
          <cell r="K688" t="str">
            <v>Técnico Superior</v>
          </cell>
          <cell r="L688" t="str">
            <v>Si</v>
          </cell>
          <cell r="O688" t="str">
            <v>Médico</v>
          </cell>
        </row>
        <row r="689">
          <cell r="C689" t="str">
            <v>Yarisa Fernández Días</v>
          </cell>
          <cell r="E689" t="str">
            <v>F</v>
          </cell>
          <cell r="F689" t="str">
            <v>mestiza</v>
          </cell>
          <cell r="K689" t="str">
            <v>Técnico Superior</v>
          </cell>
          <cell r="L689" t="str">
            <v>Si</v>
          </cell>
          <cell r="O689" t="str">
            <v>Médico</v>
          </cell>
        </row>
        <row r="690">
          <cell r="C690" t="str">
            <v>Daineris Alvarez Montoya</v>
          </cell>
          <cell r="E690" t="str">
            <v>F</v>
          </cell>
          <cell r="F690" t="str">
            <v>Mestiza</v>
          </cell>
          <cell r="K690" t="str">
            <v>Técnico Superior</v>
          </cell>
          <cell r="L690" t="str">
            <v>Si</v>
          </cell>
          <cell r="O690" t="str">
            <v>Médico</v>
          </cell>
        </row>
        <row r="691">
          <cell r="C691" t="str">
            <v>Yeni Cristina Pérez Cisnero</v>
          </cell>
          <cell r="E691" t="str">
            <v>F</v>
          </cell>
          <cell r="F691" t="str">
            <v>negra</v>
          </cell>
          <cell r="K691" t="str">
            <v>Cuadro</v>
          </cell>
          <cell r="L691" t="str">
            <v>Si</v>
          </cell>
          <cell r="O691" t="str">
            <v>Médico</v>
          </cell>
        </row>
        <row r="692">
          <cell r="C692" t="str">
            <v>Yoel Rosales Salina</v>
          </cell>
          <cell r="E692" t="str">
            <v>M</v>
          </cell>
          <cell r="F692" t="str">
            <v>blanca</v>
          </cell>
          <cell r="K692" t="str">
            <v>Cuadro</v>
          </cell>
          <cell r="L692" t="str">
            <v>Si</v>
          </cell>
          <cell r="O692" t="str">
            <v>Médico</v>
          </cell>
        </row>
        <row r="693">
          <cell r="C693" t="str">
            <v>Yusnaika Pol Tamayo</v>
          </cell>
          <cell r="E693" t="str">
            <v>F</v>
          </cell>
          <cell r="F693" t="str">
            <v>negra</v>
          </cell>
          <cell r="K693" t="str">
            <v>Técnico Superior</v>
          </cell>
          <cell r="L693" t="str">
            <v>Si</v>
          </cell>
          <cell r="O693" t="str">
            <v>Médico</v>
          </cell>
        </row>
        <row r="694">
          <cell r="C694" t="str">
            <v>Ilianne Carrión Hayné</v>
          </cell>
          <cell r="E694" t="str">
            <v>F</v>
          </cell>
          <cell r="F694" t="str">
            <v>Mestiza</v>
          </cell>
          <cell r="K694" t="str">
            <v>Técnico Superior</v>
          </cell>
          <cell r="L694" t="str">
            <v>No</v>
          </cell>
          <cell r="O694" t="str">
            <v>Médico</v>
          </cell>
        </row>
        <row r="695">
          <cell r="C695" t="str">
            <v>Yohana Suárez González</v>
          </cell>
          <cell r="E695" t="str">
            <v>F</v>
          </cell>
          <cell r="F695" t="str">
            <v>Mestiza</v>
          </cell>
          <cell r="K695" t="str">
            <v>Técnico Superior</v>
          </cell>
          <cell r="L695" t="str">
            <v>No</v>
          </cell>
          <cell r="O695" t="str">
            <v>Médico</v>
          </cell>
        </row>
        <row r="696">
          <cell r="C696" t="str">
            <v>Oneida Echemendia Martinez</v>
          </cell>
          <cell r="E696" t="str">
            <v>F</v>
          </cell>
          <cell r="F696" t="str">
            <v>blanca</v>
          </cell>
          <cell r="K696" t="str">
            <v>Técnico Superior</v>
          </cell>
          <cell r="L696" t="str">
            <v>Si</v>
          </cell>
          <cell r="O696" t="str">
            <v>Médico</v>
          </cell>
        </row>
        <row r="697">
          <cell r="C697" t="str">
            <v>Ornabis Bell Luna</v>
          </cell>
          <cell r="E697" t="str">
            <v>M</v>
          </cell>
          <cell r="F697" t="str">
            <v>negra</v>
          </cell>
          <cell r="K697" t="str">
            <v>Técnico Superior</v>
          </cell>
          <cell r="L697" t="str">
            <v>Si</v>
          </cell>
          <cell r="O697" t="str">
            <v>Médico</v>
          </cell>
        </row>
        <row r="698">
          <cell r="C698" t="str">
            <v>Aniela Delis Lubin</v>
          </cell>
          <cell r="E698" t="str">
            <v>F</v>
          </cell>
          <cell r="F698" t="str">
            <v>mestiza</v>
          </cell>
          <cell r="K698" t="str">
            <v>Técnico Superior</v>
          </cell>
          <cell r="L698" t="str">
            <v>No</v>
          </cell>
          <cell r="O698" t="str">
            <v>Médico</v>
          </cell>
        </row>
        <row r="699">
          <cell r="C699" t="str">
            <v>Raidelis Piñeda Moya</v>
          </cell>
          <cell r="E699" t="str">
            <v>M</v>
          </cell>
          <cell r="F699" t="str">
            <v>mestiza</v>
          </cell>
          <cell r="K699" t="str">
            <v>Técnico Superior</v>
          </cell>
          <cell r="L699" t="str">
            <v>Si</v>
          </cell>
          <cell r="O699" t="str">
            <v>Psicólogo de la Salud</v>
          </cell>
        </row>
        <row r="700">
          <cell r="C700" t="str">
            <v>Yunieska Cantillo Elias</v>
          </cell>
          <cell r="E700" t="str">
            <v>F</v>
          </cell>
          <cell r="F700" t="str">
            <v>mestiza</v>
          </cell>
          <cell r="K700" t="str">
            <v>Técnico Superior</v>
          </cell>
          <cell r="L700" t="str">
            <v>Si</v>
          </cell>
          <cell r="O700" t="str">
            <v>Psicólogo de la Salud</v>
          </cell>
        </row>
        <row r="701">
          <cell r="C701" t="str">
            <v>Telmis Noblet Moya</v>
          </cell>
          <cell r="E701" t="str">
            <v>F</v>
          </cell>
          <cell r="F701" t="str">
            <v>negra</v>
          </cell>
          <cell r="K701" t="str">
            <v>Técnico Superior</v>
          </cell>
          <cell r="L701" t="str">
            <v>Si</v>
          </cell>
          <cell r="O701" t="str">
            <v>Técnico Superior de Ciclo Corto</v>
          </cell>
        </row>
        <row r="702">
          <cell r="C702" t="str">
            <v>Rachel Mariana Tamayo Anet</v>
          </cell>
          <cell r="E702" t="str">
            <v>F</v>
          </cell>
          <cell r="F702" t="str">
            <v>mestiza</v>
          </cell>
          <cell r="K702" t="str">
            <v>Técnico Superior</v>
          </cell>
          <cell r="L702" t="str">
            <v>No</v>
          </cell>
          <cell r="O702" t="str">
            <v>Técnico Superior de Ciclo Corto</v>
          </cell>
        </row>
        <row r="703">
          <cell r="C703" t="str">
            <v>Yuraimi Gonzalez Leyva</v>
          </cell>
          <cell r="E703" t="str">
            <v>F</v>
          </cell>
          <cell r="F703" t="str">
            <v>Mestiza</v>
          </cell>
          <cell r="K703" t="str">
            <v>Técnico Medio</v>
          </cell>
          <cell r="L703" t="str">
            <v>No</v>
          </cell>
          <cell r="M703" t="str">
            <v>Estadística de Salud</v>
          </cell>
          <cell r="O703" t="str">
            <v>Técnico Formado Salud</v>
          </cell>
        </row>
        <row r="704">
          <cell r="C704" t="str">
            <v>Damaris Roja Rizo</v>
          </cell>
          <cell r="E704" t="str">
            <v>F</v>
          </cell>
          <cell r="F704" t="str">
            <v>blanca</v>
          </cell>
          <cell r="K704" t="str">
            <v>Técnico Medio</v>
          </cell>
          <cell r="L704" t="str">
            <v>Si</v>
          </cell>
          <cell r="M704" t="str">
            <v>Laboratorio clínico, microbiológico</v>
          </cell>
          <cell r="O704" t="str">
            <v>Técnico Formado Salud</v>
          </cell>
        </row>
        <row r="705">
          <cell r="C705" t="str">
            <v>Luisa María Ruíz Ortiz</v>
          </cell>
          <cell r="E705" t="str">
            <v>F</v>
          </cell>
          <cell r="F705" t="str">
            <v>negra</v>
          </cell>
          <cell r="K705" t="str">
            <v>Técnico Medio</v>
          </cell>
          <cell r="L705" t="str">
            <v>Si</v>
          </cell>
          <cell r="M705" t="str">
            <v>Farmacia dispensarial e industrial</v>
          </cell>
          <cell r="O705" t="str">
            <v>Técnico Formado Salud</v>
          </cell>
        </row>
        <row r="706">
          <cell r="C706" t="str">
            <v>Tania Dominguez Reyes</v>
          </cell>
          <cell r="E706" t="str">
            <v>F</v>
          </cell>
          <cell r="F706" t="str">
            <v>mestiza</v>
          </cell>
          <cell r="K706" t="str">
            <v>Técnico Medio</v>
          </cell>
          <cell r="L706" t="str">
            <v>Si</v>
          </cell>
          <cell r="M706" t="str">
            <v>Médicina física y rehabilitación. Fisioterapia</v>
          </cell>
          <cell r="O706" t="str">
            <v>Técnico Formado Salud</v>
          </cell>
        </row>
        <row r="707">
          <cell r="C707" t="str">
            <v>Yarilian Mustelier Zamora</v>
          </cell>
          <cell r="E707" t="str">
            <v>F</v>
          </cell>
          <cell r="F707" t="str">
            <v>negra</v>
          </cell>
          <cell r="K707" t="str">
            <v>Técnico Medio</v>
          </cell>
          <cell r="L707" t="str">
            <v>Si</v>
          </cell>
          <cell r="M707" t="str">
            <v>Rayos X</v>
          </cell>
          <cell r="O707" t="str">
            <v>Técnico Formado Salud</v>
          </cell>
        </row>
        <row r="708">
          <cell r="C708" t="str">
            <v>Yariuska Torres Perdomo</v>
          </cell>
          <cell r="E708" t="str">
            <v>F</v>
          </cell>
          <cell r="F708" t="str">
            <v>negra</v>
          </cell>
          <cell r="K708" t="str">
            <v>Operario</v>
          </cell>
          <cell r="L708" t="str">
            <v>Si</v>
          </cell>
          <cell r="O708" t="str">
            <v>Técnico Formado Salud</v>
          </cell>
        </row>
        <row r="709">
          <cell r="C709" t="str">
            <v>Yulizandra Rivera Cuesta</v>
          </cell>
          <cell r="E709" t="str">
            <v>F</v>
          </cell>
          <cell r="F709" t="str">
            <v>negra</v>
          </cell>
          <cell r="K709" t="str">
            <v>Operario</v>
          </cell>
          <cell r="L709" t="str">
            <v>Si</v>
          </cell>
          <cell r="O709" t="str">
            <v>Técnico Formado Salud</v>
          </cell>
        </row>
        <row r="710">
          <cell r="C710" t="str">
            <v>Yurigma Lao Rodriguez</v>
          </cell>
          <cell r="E710" t="str">
            <v>F</v>
          </cell>
          <cell r="F710" t="str">
            <v>mestiza</v>
          </cell>
          <cell r="K710" t="str">
            <v>Técnico Medio</v>
          </cell>
          <cell r="L710" t="str">
            <v>Si</v>
          </cell>
          <cell r="M710" t="str">
            <v>Dietética</v>
          </cell>
          <cell r="O710" t="str">
            <v>Técnico Formado Salud</v>
          </cell>
        </row>
        <row r="711">
          <cell r="C711" t="str">
            <v>Yunaisi Blanco Méndez</v>
          </cell>
          <cell r="E711" t="str">
            <v>F</v>
          </cell>
          <cell r="F711" t="str">
            <v>mestiza</v>
          </cell>
          <cell r="K711" t="str">
            <v>Técnico Medio</v>
          </cell>
          <cell r="L711" t="str">
            <v>Si</v>
          </cell>
          <cell r="M711" t="str">
            <v>Médicina física y rehabilitación. Fisioterapia</v>
          </cell>
          <cell r="O711" t="str">
            <v>Técnico Formado Salud</v>
          </cell>
        </row>
        <row r="712">
          <cell r="C712" t="str">
            <v>ADRIEL SATOS CASTELLANOS</v>
          </cell>
          <cell r="E712" t="str">
            <v>M</v>
          </cell>
          <cell r="F712" t="str">
            <v>mestiza</v>
          </cell>
          <cell r="K712" t="str">
            <v>Técnico Superior</v>
          </cell>
          <cell r="L712" t="str">
            <v>Si</v>
          </cell>
          <cell r="O712" t="str">
            <v>Otros Profesionales y Especialidades</v>
          </cell>
        </row>
        <row r="713">
          <cell r="C713" t="str">
            <v>Catalino Borges Maceo</v>
          </cell>
          <cell r="E713" t="str">
            <v>M</v>
          </cell>
          <cell r="F713" t="str">
            <v>mestiza</v>
          </cell>
          <cell r="K713" t="str">
            <v>Técnico Superior</v>
          </cell>
          <cell r="L713" t="str">
            <v>Si</v>
          </cell>
          <cell r="O713" t="str">
            <v>Otros Profesionales y Especialidades</v>
          </cell>
        </row>
        <row r="714">
          <cell r="C714" t="str">
            <v>Leonardo Lazo Carbonell</v>
          </cell>
          <cell r="E714" t="str">
            <v>M</v>
          </cell>
          <cell r="F714" t="str">
            <v>negra</v>
          </cell>
          <cell r="K714" t="str">
            <v>Servicio</v>
          </cell>
          <cell r="L714" t="str">
            <v>Si</v>
          </cell>
          <cell r="O714" t="str">
            <v>Otros Profesionales y Especialidades</v>
          </cell>
        </row>
        <row r="715">
          <cell r="C715" t="str">
            <v>Lilian Lescay López</v>
          </cell>
          <cell r="E715" t="str">
            <v>F</v>
          </cell>
          <cell r="F715" t="str">
            <v>negra</v>
          </cell>
          <cell r="K715" t="str">
            <v>Técnico Medio</v>
          </cell>
          <cell r="L715" t="str">
            <v>No</v>
          </cell>
          <cell r="O715" t="str">
            <v>Técnico No Formado Salud</v>
          </cell>
        </row>
        <row r="716">
          <cell r="C716" t="str">
            <v>EBLIS SILVA MATOS</v>
          </cell>
          <cell r="E716" t="str">
            <v>F</v>
          </cell>
          <cell r="F716" t="str">
            <v>negra</v>
          </cell>
          <cell r="K716" t="str">
            <v>Técnico Medio</v>
          </cell>
          <cell r="L716" t="str">
            <v>Si</v>
          </cell>
          <cell r="O716" t="str">
            <v>Técnico No Formado Salud</v>
          </cell>
        </row>
        <row r="717">
          <cell r="C717" t="str">
            <v>Esther Téllez Rosabal</v>
          </cell>
          <cell r="E717" t="str">
            <v>F</v>
          </cell>
          <cell r="F717" t="str">
            <v>mestiza</v>
          </cell>
          <cell r="K717" t="str">
            <v>Técnico Medio</v>
          </cell>
          <cell r="L717" t="str">
            <v>Si</v>
          </cell>
          <cell r="O717" t="str">
            <v>Técnico No Formado Salud</v>
          </cell>
        </row>
        <row r="718">
          <cell r="C718" t="str">
            <v>Katiuska Moreno Paz</v>
          </cell>
          <cell r="E718" t="str">
            <v>F</v>
          </cell>
          <cell r="F718" t="str">
            <v>blanca</v>
          </cell>
          <cell r="K718" t="str">
            <v>Técnico Medio</v>
          </cell>
          <cell r="L718" t="str">
            <v>Si</v>
          </cell>
          <cell r="O718" t="str">
            <v>Técnico No Formado Salud</v>
          </cell>
        </row>
        <row r="719">
          <cell r="C719" t="str">
            <v>Leyannis Borruel Montoya</v>
          </cell>
          <cell r="E719" t="str">
            <v>F</v>
          </cell>
          <cell r="F719" t="str">
            <v>mestiza</v>
          </cell>
          <cell r="K719" t="str">
            <v>Técnico Medio</v>
          </cell>
          <cell r="L719" t="str">
            <v>Si</v>
          </cell>
          <cell r="O719" t="str">
            <v>Técnico No Formado Salud</v>
          </cell>
        </row>
        <row r="720">
          <cell r="C720" t="str">
            <v>María Tereza Ramos Fernández</v>
          </cell>
          <cell r="E720" t="str">
            <v>F</v>
          </cell>
          <cell r="F720" t="str">
            <v>mestiza</v>
          </cell>
          <cell r="K720" t="str">
            <v>Operario</v>
          </cell>
          <cell r="L720" t="str">
            <v>Si</v>
          </cell>
          <cell r="O720" t="str">
            <v>Técnico No Formado Salud</v>
          </cell>
        </row>
        <row r="721">
          <cell r="C721" t="str">
            <v>Niurka Mendoza González</v>
          </cell>
          <cell r="E721" t="str">
            <v>F</v>
          </cell>
          <cell r="F721" t="str">
            <v>mestiza</v>
          </cell>
          <cell r="K721" t="str">
            <v>Técnico Medio</v>
          </cell>
          <cell r="L721" t="str">
            <v>Si</v>
          </cell>
          <cell r="O721" t="str">
            <v>Técnico No Formado Salud</v>
          </cell>
        </row>
        <row r="722">
          <cell r="C722" t="str">
            <v>Samuel Tamayo Roja</v>
          </cell>
          <cell r="E722" t="str">
            <v>M</v>
          </cell>
          <cell r="F722" t="str">
            <v>mestiza</v>
          </cell>
          <cell r="K722" t="str">
            <v>Operario</v>
          </cell>
          <cell r="L722" t="str">
            <v>Si</v>
          </cell>
          <cell r="O722" t="str">
            <v>Técnico No Formado Salud</v>
          </cell>
        </row>
        <row r="723">
          <cell r="C723" t="str">
            <v>Yoelsy Miclin Herrera</v>
          </cell>
          <cell r="E723" t="str">
            <v>F</v>
          </cell>
          <cell r="F723" t="str">
            <v>negra</v>
          </cell>
          <cell r="K723" t="str">
            <v>Técnico Medio</v>
          </cell>
          <cell r="L723" t="str">
            <v>Si</v>
          </cell>
          <cell r="O723" t="str">
            <v>Técnico No Formado Salud</v>
          </cell>
        </row>
        <row r="724">
          <cell r="C724" t="str">
            <v>YOHANDRIS ORAMA FONSECA</v>
          </cell>
          <cell r="E724" t="str">
            <v>M</v>
          </cell>
          <cell r="F724" t="str">
            <v>blanca</v>
          </cell>
          <cell r="K724" t="str">
            <v>Técnico Medio</v>
          </cell>
          <cell r="L724" t="str">
            <v>Si</v>
          </cell>
          <cell r="O724" t="str">
            <v>Técnico No Formado Salud</v>
          </cell>
        </row>
        <row r="725">
          <cell r="C725" t="str">
            <v>Yuleinis Guibert Guerra</v>
          </cell>
          <cell r="E725" t="str">
            <v>F</v>
          </cell>
          <cell r="F725" t="str">
            <v>negra</v>
          </cell>
          <cell r="K725" t="str">
            <v>Técnico Medio</v>
          </cell>
          <cell r="L725" t="str">
            <v>Si</v>
          </cell>
          <cell r="O725" t="str">
            <v>Técnico No Formado Salud</v>
          </cell>
        </row>
        <row r="726">
          <cell r="C726" t="str">
            <v>Mildrey Pérez Mojena</v>
          </cell>
          <cell r="E726" t="str">
            <v>F</v>
          </cell>
          <cell r="F726" t="str">
            <v>negra</v>
          </cell>
          <cell r="K726" t="str">
            <v>Servicio</v>
          </cell>
          <cell r="L726" t="str">
            <v>Si</v>
          </cell>
          <cell r="O726" t="str">
            <v>Técnico No Formado Salud</v>
          </cell>
        </row>
        <row r="727">
          <cell r="C727" t="str">
            <v>Ada Iris González Peacok</v>
          </cell>
          <cell r="E727" t="str">
            <v>F</v>
          </cell>
          <cell r="F727" t="str">
            <v>negra</v>
          </cell>
          <cell r="K727" t="str">
            <v>Técnico Medio</v>
          </cell>
          <cell r="L727" t="str">
            <v>Si</v>
          </cell>
          <cell r="O727" t="str">
            <v>Técnico No Formado Salud</v>
          </cell>
        </row>
        <row r="728">
          <cell r="C728" t="str">
            <v>Lianelis Roman Mustelier</v>
          </cell>
          <cell r="E728" t="str">
            <v>F</v>
          </cell>
          <cell r="F728" t="str">
            <v>blanca</v>
          </cell>
          <cell r="K728" t="str">
            <v>Técnico Medio</v>
          </cell>
          <cell r="L728" t="str">
            <v>No</v>
          </cell>
          <cell r="O728" t="str">
            <v>Técnico No Formado Salud</v>
          </cell>
        </row>
        <row r="729">
          <cell r="C729" t="str">
            <v>Adonis Fiol González</v>
          </cell>
          <cell r="E729" t="str">
            <v>M</v>
          </cell>
          <cell r="F729" t="str">
            <v>negra</v>
          </cell>
          <cell r="K729" t="str">
            <v>Operario</v>
          </cell>
          <cell r="L729" t="str">
            <v>Si</v>
          </cell>
          <cell r="O729" t="str">
            <v>Otros No Técnicos</v>
          </cell>
        </row>
        <row r="730">
          <cell r="C730" t="str">
            <v>Aidel Blanco Ramirez</v>
          </cell>
          <cell r="E730" t="str">
            <v>M</v>
          </cell>
          <cell r="F730" t="str">
            <v>blanca</v>
          </cell>
          <cell r="K730" t="str">
            <v>Operario</v>
          </cell>
          <cell r="L730" t="str">
            <v>Si</v>
          </cell>
          <cell r="O730" t="str">
            <v>Otros No Técnicos</v>
          </cell>
        </row>
        <row r="731">
          <cell r="C731" t="str">
            <v>Alexis Alberto Padilla Gutierrez</v>
          </cell>
          <cell r="E731" t="str">
            <v>M</v>
          </cell>
          <cell r="F731" t="str">
            <v>mestiza</v>
          </cell>
          <cell r="K731" t="str">
            <v>Operario</v>
          </cell>
          <cell r="L731" t="str">
            <v>Si</v>
          </cell>
          <cell r="O731" t="str">
            <v>Otros No Técnicos</v>
          </cell>
        </row>
        <row r="732">
          <cell r="C732" t="str">
            <v>Alvis Soler Rodriguez</v>
          </cell>
          <cell r="E732" t="str">
            <v>F</v>
          </cell>
          <cell r="F732" t="str">
            <v>negra</v>
          </cell>
          <cell r="K732" t="str">
            <v>Servicio</v>
          </cell>
          <cell r="L732" t="str">
            <v>Si</v>
          </cell>
          <cell r="O732" t="str">
            <v>Otros No Técnicos</v>
          </cell>
        </row>
        <row r="733">
          <cell r="C733" t="str">
            <v>Ana Iris Rivera López</v>
          </cell>
          <cell r="E733" t="str">
            <v>F</v>
          </cell>
          <cell r="F733" t="str">
            <v>mestiza</v>
          </cell>
          <cell r="K733" t="str">
            <v>Servicio</v>
          </cell>
          <cell r="L733" t="str">
            <v>Si</v>
          </cell>
          <cell r="O733" t="str">
            <v>Otros No Técnicos</v>
          </cell>
        </row>
        <row r="734">
          <cell r="C734" t="str">
            <v>Ana Iris Rosales Fiol</v>
          </cell>
          <cell r="E734" t="str">
            <v>F</v>
          </cell>
          <cell r="F734" t="str">
            <v>blanca</v>
          </cell>
          <cell r="K734" t="str">
            <v>Servicio</v>
          </cell>
          <cell r="L734" t="str">
            <v>Si</v>
          </cell>
          <cell r="O734" t="str">
            <v>Otros No Técnicos</v>
          </cell>
        </row>
        <row r="735">
          <cell r="C735" t="str">
            <v>Ana Luisa Fiol González</v>
          </cell>
          <cell r="E735" t="str">
            <v>F</v>
          </cell>
          <cell r="F735" t="str">
            <v>negra</v>
          </cell>
          <cell r="K735" t="str">
            <v>Servicio</v>
          </cell>
          <cell r="L735" t="str">
            <v>Si</v>
          </cell>
          <cell r="O735" t="str">
            <v>Otros No Técnicos</v>
          </cell>
        </row>
        <row r="736">
          <cell r="C736" t="str">
            <v>Analbis González del Río</v>
          </cell>
          <cell r="E736" t="str">
            <v>F</v>
          </cell>
          <cell r="F736" t="str">
            <v>blanca</v>
          </cell>
          <cell r="K736" t="str">
            <v>Administrativo</v>
          </cell>
          <cell r="L736" t="str">
            <v>Si</v>
          </cell>
          <cell r="O736" t="str">
            <v>Otros No Técnicos</v>
          </cell>
        </row>
        <row r="737">
          <cell r="C737" t="str">
            <v>ARISBEL ROSALES FIOL</v>
          </cell>
          <cell r="E737" t="str">
            <v>F</v>
          </cell>
          <cell r="F737" t="str">
            <v>blanca</v>
          </cell>
          <cell r="K737" t="str">
            <v>Servicio</v>
          </cell>
          <cell r="L737" t="str">
            <v>Si</v>
          </cell>
          <cell r="O737" t="str">
            <v>Otros No Técnicos</v>
          </cell>
        </row>
        <row r="738">
          <cell r="C738" t="str">
            <v>Arlenis Guerra Neira</v>
          </cell>
          <cell r="E738" t="str">
            <v>F</v>
          </cell>
          <cell r="F738" t="str">
            <v>mestiza</v>
          </cell>
          <cell r="K738" t="str">
            <v>Operario</v>
          </cell>
          <cell r="L738" t="str">
            <v>Si</v>
          </cell>
          <cell r="O738" t="str">
            <v>Otros No Técnicos</v>
          </cell>
        </row>
        <row r="739">
          <cell r="C739" t="str">
            <v>Armando Lazo Carbonell</v>
          </cell>
          <cell r="E739" t="str">
            <v>M</v>
          </cell>
          <cell r="F739" t="str">
            <v>negra</v>
          </cell>
          <cell r="K739" t="str">
            <v>Operario</v>
          </cell>
          <cell r="L739" t="str">
            <v>Si</v>
          </cell>
          <cell r="O739" t="str">
            <v>Otros No Técnicos</v>
          </cell>
        </row>
        <row r="740">
          <cell r="C740" t="str">
            <v>ARMANDO MAREN ALMENARES</v>
          </cell>
          <cell r="E740" t="str">
            <v>M</v>
          </cell>
          <cell r="F740" t="str">
            <v>mestiza</v>
          </cell>
          <cell r="K740" t="str">
            <v>Servicio</v>
          </cell>
          <cell r="L740" t="str">
            <v>Si</v>
          </cell>
          <cell r="O740" t="str">
            <v>Otros No Técnicos</v>
          </cell>
        </row>
        <row r="741">
          <cell r="C741" t="str">
            <v>ARMANDO MAURE GONDRES</v>
          </cell>
          <cell r="E741" t="str">
            <v>M</v>
          </cell>
          <cell r="F741" t="str">
            <v>negra</v>
          </cell>
          <cell r="K741" t="str">
            <v>Operario</v>
          </cell>
          <cell r="L741" t="str">
            <v>Si</v>
          </cell>
          <cell r="O741" t="str">
            <v>Otros No Técnicos</v>
          </cell>
        </row>
        <row r="742">
          <cell r="C742" t="str">
            <v>Barbara Alvarez Calzado</v>
          </cell>
          <cell r="E742" t="str">
            <v>F</v>
          </cell>
          <cell r="F742" t="str">
            <v>mestiza</v>
          </cell>
          <cell r="K742" t="str">
            <v>Servicio</v>
          </cell>
          <cell r="L742" t="str">
            <v>Si</v>
          </cell>
          <cell r="O742" t="str">
            <v>Otros No Técnicos</v>
          </cell>
        </row>
        <row r="743">
          <cell r="C743" t="str">
            <v>Berna Iris Traba Muñoz</v>
          </cell>
          <cell r="E743" t="str">
            <v>F</v>
          </cell>
          <cell r="F743" t="str">
            <v>mestiza</v>
          </cell>
          <cell r="K743" t="str">
            <v>Operario</v>
          </cell>
          <cell r="L743" t="str">
            <v>Si</v>
          </cell>
          <cell r="O743" t="str">
            <v>Otros No Técnicos</v>
          </cell>
        </row>
        <row r="744">
          <cell r="C744" t="str">
            <v>Dania López Bell</v>
          </cell>
          <cell r="E744" t="str">
            <v>F</v>
          </cell>
          <cell r="F744" t="str">
            <v>mestiza</v>
          </cell>
          <cell r="K744" t="str">
            <v>Operario</v>
          </cell>
          <cell r="L744" t="str">
            <v>Si</v>
          </cell>
          <cell r="O744" t="str">
            <v>Otros No Técnicos</v>
          </cell>
        </row>
        <row r="745">
          <cell r="C745" t="str">
            <v>Diosmedes Bell Sánchez</v>
          </cell>
          <cell r="E745" t="str">
            <v>M</v>
          </cell>
          <cell r="F745" t="str">
            <v>negra</v>
          </cell>
          <cell r="K745" t="str">
            <v>Operario</v>
          </cell>
          <cell r="L745" t="str">
            <v>Si</v>
          </cell>
          <cell r="O745" t="str">
            <v>Otros No Técnicos</v>
          </cell>
        </row>
        <row r="746">
          <cell r="C746" t="str">
            <v>Edisleidis Dimet Torres</v>
          </cell>
          <cell r="E746" t="str">
            <v>F</v>
          </cell>
          <cell r="F746" t="str">
            <v>negra</v>
          </cell>
          <cell r="K746" t="str">
            <v>Servicio</v>
          </cell>
          <cell r="L746" t="str">
            <v>Si</v>
          </cell>
          <cell r="O746" t="str">
            <v>Otros No Técnicos</v>
          </cell>
        </row>
        <row r="747">
          <cell r="C747" t="str">
            <v>ELIADES MAREN ALMENARES</v>
          </cell>
          <cell r="E747" t="str">
            <v>M</v>
          </cell>
          <cell r="F747" t="str">
            <v>negra</v>
          </cell>
          <cell r="K747" t="str">
            <v>Operario</v>
          </cell>
          <cell r="L747" t="str">
            <v>Si</v>
          </cell>
          <cell r="O747" t="str">
            <v>Otros No Técnicos</v>
          </cell>
        </row>
        <row r="748">
          <cell r="C748" t="str">
            <v>Elsy Acevedo Gainza</v>
          </cell>
          <cell r="E748" t="str">
            <v>F</v>
          </cell>
          <cell r="F748" t="str">
            <v>mestiza</v>
          </cell>
          <cell r="K748" t="str">
            <v>Administrativo</v>
          </cell>
          <cell r="L748" t="str">
            <v>Si</v>
          </cell>
          <cell r="O748" t="str">
            <v>Otros No Técnicos</v>
          </cell>
        </row>
        <row r="749">
          <cell r="C749" t="str">
            <v>Fernando Ramirez Fernandez</v>
          </cell>
          <cell r="E749" t="str">
            <v>M</v>
          </cell>
          <cell r="F749" t="str">
            <v>blanca</v>
          </cell>
          <cell r="K749" t="str">
            <v>Servicio</v>
          </cell>
          <cell r="L749" t="str">
            <v>Si</v>
          </cell>
          <cell r="O749" t="str">
            <v>Otros No Técnicos</v>
          </cell>
        </row>
        <row r="750">
          <cell r="C750" t="str">
            <v>Geovanis Herrera Limonta</v>
          </cell>
          <cell r="E750" t="str">
            <v>M</v>
          </cell>
          <cell r="F750" t="str">
            <v>negra</v>
          </cell>
          <cell r="K750" t="str">
            <v>Operario</v>
          </cell>
          <cell r="L750" t="str">
            <v>Si</v>
          </cell>
          <cell r="O750" t="str">
            <v>Otros No Técnicos</v>
          </cell>
        </row>
        <row r="751">
          <cell r="C751" t="str">
            <v>Geovanis Rosales López</v>
          </cell>
          <cell r="E751" t="str">
            <v>M</v>
          </cell>
          <cell r="F751" t="str">
            <v>mestiza</v>
          </cell>
          <cell r="K751" t="str">
            <v>Operario</v>
          </cell>
          <cell r="L751" t="str">
            <v>Si</v>
          </cell>
          <cell r="O751" t="str">
            <v>Otros No Técnicos</v>
          </cell>
        </row>
        <row r="752">
          <cell r="C752" t="str">
            <v>Idalmis Napoles Ramirez</v>
          </cell>
          <cell r="E752" t="str">
            <v>F</v>
          </cell>
          <cell r="F752" t="str">
            <v>negra</v>
          </cell>
          <cell r="K752" t="str">
            <v>Servicio</v>
          </cell>
          <cell r="L752" t="str">
            <v>Si</v>
          </cell>
          <cell r="O752" t="str">
            <v>Otros No Técnicos</v>
          </cell>
        </row>
        <row r="753">
          <cell r="C753" t="str">
            <v>Idalmis Osorio Garcia</v>
          </cell>
          <cell r="E753" t="str">
            <v>F</v>
          </cell>
          <cell r="F753" t="str">
            <v>mestiza</v>
          </cell>
          <cell r="K753" t="str">
            <v>Servicio</v>
          </cell>
          <cell r="L753" t="str">
            <v>Si</v>
          </cell>
          <cell r="O753" t="str">
            <v>Otros No Técnicos</v>
          </cell>
        </row>
        <row r="754">
          <cell r="C754" t="str">
            <v>Iraida Montoya Cala</v>
          </cell>
          <cell r="E754" t="str">
            <v>F</v>
          </cell>
          <cell r="F754" t="str">
            <v>mestiza</v>
          </cell>
          <cell r="K754" t="str">
            <v>Servicio</v>
          </cell>
          <cell r="L754" t="str">
            <v>Si</v>
          </cell>
          <cell r="O754" t="str">
            <v>Otros No Técnicos</v>
          </cell>
        </row>
        <row r="755">
          <cell r="C755" t="str">
            <v>Irina Rosa Muñoz Hidalgo</v>
          </cell>
          <cell r="E755" t="str">
            <v>F</v>
          </cell>
          <cell r="F755" t="str">
            <v>negra</v>
          </cell>
          <cell r="K755" t="str">
            <v>Servicio</v>
          </cell>
          <cell r="L755" t="str">
            <v>Si</v>
          </cell>
          <cell r="O755" t="str">
            <v>Otros No Técnicos</v>
          </cell>
        </row>
        <row r="756">
          <cell r="C756" t="str">
            <v>Isarelis Ferrer Ruiz</v>
          </cell>
          <cell r="E756" t="str">
            <v>F</v>
          </cell>
          <cell r="F756" t="str">
            <v>negra</v>
          </cell>
          <cell r="K756" t="str">
            <v>Servicio</v>
          </cell>
          <cell r="L756" t="str">
            <v>Si</v>
          </cell>
          <cell r="O756" t="str">
            <v>Otros No Técnicos</v>
          </cell>
        </row>
        <row r="757">
          <cell r="C757" t="str">
            <v>Isis Martina Magaña Kindelan</v>
          </cell>
          <cell r="E757" t="str">
            <v>F</v>
          </cell>
          <cell r="F757" t="str">
            <v>negra</v>
          </cell>
          <cell r="K757" t="str">
            <v>Servicio</v>
          </cell>
          <cell r="L757" t="str">
            <v>Si</v>
          </cell>
          <cell r="O757" t="str">
            <v>Otros No Técnicos</v>
          </cell>
        </row>
        <row r="758">
          <cell r="C758" t="str">
            <v>Jesus Gutierrez Alvarez</v>
          </cell>
          <cell r="E758" t="str">
            <v>M</v>
          </cell>
          <cell r="F758" t="str">
            <v>mestiza</v>
          </cell>
          <cell r="K758" t="str">
            <v>Servicio</v>
          </cell>
          <cell r="L758" t="str">
            <v>Si</v>
          </cell>
          <cell r="O758" t="str">
            <v>Otros No Técnicos</v>
          </cell>
        </row>
        <row r="759">
          <cell r="C759" t="str">
            <v>Joerrit Lambert Romero</v>
          </cell>
          <cell r="E759" t="str">
            <v>M</v>
          </cell>
          <cell r="F759" t="str">
            <v>mestiza</v>
          </cell>
          <cell r="K759" t="str">
            <v>Operario</v>
          </cell>
          <cell r="L759" t="str">
            <v>Si</v>
          </cell>
          <cell r="O759" t="str">
            <v>Otros No Técnicos</v>
          </cell>
        </row>
        <row r="760">
          <cell r="C760" t="str">
            <v>José Antonio Bell Martinez</v>
          </cell>
          <cell r="E760" t="str">
            <v>M</v>
          </cell>
          <cell r="F760" t="str">
            <v>negra</v>
          </cell>
          <cell r="K760" t="str">
            <v>Operario</v>
          </cell>
          <cell r="L760" t="str">
            <v>Si</v>
          </cell>
          <cell r="O760" t="str">
            <v>Otros No Técnicos</v>
          </cell>
        </row>
        <row r="761">
          <cell r="C761" t="str">
            <v>Juan Miguel Román  Campos</v>
          </cell>
          <cell r="E761" t="str">
            <v>M</v>
          </cell>
          <cell r="F761" t="str">
            <v>mestiza</v>
          </cell>
          <cell r="K761" t="str">
            <v>Técnico Medio</v>
          </cell>
          <cell r="L761" t="str">
            <v>Si</v>
          </cell>
          <cell r="O761" t="str">
            <v>Otros No Técnicos</v>
          </cell>
        </row>
        <row r="762">
          <cell r="C762" t="str">
            <v>Juana Ilsa Fernández Gainza</v>
          </cell>
          <cell r="E762" t="str">
            <v>F</v>
          </cell>
          <cell r="F762" t="str">
            <v>mestiza</v>
          </cell>
          <cell r="K762" t="str">
            <v>Servicio</v>
          </cell>
          <cell r="L762" t="str">
            <v>Si</v>
          </cell>
          <cell r="O762" t="str">
            <v>Otros No Técnicos</v>
          </cell>
        </row>
        <row r="763">
          <cell r="C763" t="str">
            <v>Julian Martinez santiesteban</v>
          </cell>
          <cell r="E763" t="str">
            <v>F</v>
          </cell>
          <cell r="F763" t="str">
            <v>blanca</v>
          </cell>
          <cell r="K763" t="str">
            <v>Operario</v>
          </cell>
          <cell r="L763" t="str">
            <v>Si</v>
          </cell>
          <cell r="O763" t="str">
            <v>Otros No Técnicos</v>
          </cell>
        </row>
        <row r="764">
          <cell r="C764" t="str">
            <v>Karina Mejias Cisnero</v>
          </cell>
          <cell r="E764" t="str">
            <v>F</v>
          </cell>
          <cell r="F764" t="str">
            <v>mestiza</v>
          </cell>
          <cell r="K764" t="str">
            <v>Operario</v>
          </cell>
          <cell r="L764" t="str">
            <v>Si</v>
          </cell>
          <cell r="O764" t="str">
            <v>Otros No Técnicos</v>
          </cell>
        </row>
        <row r="765">
          <cell r="C765" t="str">
            <v>Karinelis Mauriño Ravelo</v>
          </cell>
          <cell r="E765" t="str">
            <v>F</v>
          </cell>
          <cell r="F765" t="str">
            <v>mestiza</v>
          </cell>
          <cell r="K765" t="str">
            <v>Servicio</v>
          </cell>
          <cell r="L765" t="str">
            <v>Si</v>
          </cell>
          <cell r="O765" t="str">
            <v>Otros No Técnicos</v>
          </cell>
        </row>
        <row r="766">
          <cell r="C766" t="str">
            <v>Laismel Torres Pardo</v>
          </cell>
          <cell r="E766" t="str">
            <v>M</v>
          </cell>
          <cell r="F766" t="str">
            <v>negra</v>
          </cell>
          <cell r="K766" t="str">
            <v>Servicio</v>
          </cell>
          <cell r="L766" t="str">
            <v>Si</v>
          </cell>
          <cell r="O766" t="str">
            <v>Otros No Técnicos</v>
          </cell>
        </row>
        <row r="767">
          <cell r="C767" t="str">
            <v>Lidania Guia Pérez</v>
          </cell>
          <cell r="E767" t="str">
            <v>F</v>
          </cell>
          <cell r="F767" t="str">
            <v>negra</v>
          </cell>
          <cell r="K767" t="str">
            <v>Servicio</v>
          </cell>
          <cell r="L767" t="str">
            <v>Si</v>
          </cell>
          <cell r="O767" t="str">
            <v>Otros No Técnicos</v>
          </cell>
        </row>
        <row r="768">
          <cell r="C768" t="str">
            <v>Lorenzo Montoya Vazquez</v>
          </cell>
          <cell r="E768" t="str">
            <v>M</v>
          </cell>
          <cell r="F768" t="str">
            <v>mestiza</v>
          </cell>
          <cell r="K768" t="str">
            <v>Operario</v>
          </cell>
          <cell r="L768" t="str">
            <v>Si</v>
          </cell>
          <cell r="O768" t="str">
            <v>Otros No Técnicos</v>
          </cell>
        </row>
        <row r="769">
          <cell r="C769" t="str">
            <v>Lorenzo Peña Guerrero</v>
          </cell>
          <cell r="E769" t="str">
            <v>M</v>
          </cell>
          <cell r="F769" t="str">
            <v>mestiza</v>
          </cell>
          <cell r="K769" t="str">
            <v>Operario</v>
          </cell>
          <cell r="L769" t="str">
            <v>Si</v>
          </cell>
          <cell r="O769" t="str">
            <v>Otros No Técnicos</v>
          </cell>
        </row>
        <row r="770">
          <cell r="C770" t="str">
            <v>Mairobis Cornier Portieles</v>
          </cell>
          <cell r="E770" t="str">
            <v>F</v>
          </cell>
          <cell r="F770" t="str">
            <v>negra</v>
          </cell>
          <cell r="K770" t="str">
            <v>Operario</v>
          </cell>
          <cell r="L770" t="str">
            <v>Si</v>
          </cell>
          <cell r="O770" t="str">
            <v>Otros No Técnicos</v>
          </cell>
        </row>
        <row r="771">
          <cell r="C771" t="str">
            <v>María Antonia Tito Torres</v>
          </cell>
          <cell r="E771" t="str">
            <v>F</v>
          </cell>
          <cell r="F771" t="str">
            <v>mestiza</v>
          </cell>
          <cell r="K771" t="str">
            <v>Servicio</v>
          </cell>
          <cell r="L771" t="str">
            <v>Si</v>
          </cell>
          <cell r="O771" t="str">
            <v>Otros No Técnicos</v>
          </cell>
        </row>
        <row r="772">
          <cell r="C772" t="str">
            <v>MARICELIS MONTOYA ALMEIDA</v>
          </cell>
          <cell r="E772" t="str">
            <v>F</v>
          </cell>
          <cell r="F772" t="str">
            <v>negra</v>
          </cell>
          <cell r="K772" t="str">
            <v>Servicio</v>
          </cell>
          <cell r="L772" t="str">
            <v>Si</v>
          </cell>
          <cell r="O772" t="str">
            <v>Otros No Técnicos</v>
          </cell>
        </row>
        <row r="773">
          <cell r="C773" t="str">
            <v>Mariela Campo martínez</v>
          </cell>
          <cell r="E773" t="str">
            <v>F</v>
          </cell>
          <cell r="F773" t="str">
            <v>mestiza</v>
          </cell>
          <cell r="K773" t="str">
            <v>Servicio</v>
          </cell>
          <cell r="L773" t="str">
            <v>Si</v>
          </cell>
          <cell r="O773" t="str">
            <v>Otros No Técnicos</v>
          </cell>
        </row>
        <row r="774">
          <cell r="C774" t="str">
            <v>Marilin Campuzanos Téllez</v>
          </cell>
          <cell r="E774" t="str">
            <v>F</v>
          </cell>
          <cell r="F774" t="str">
            <v>mestiza</v>
          </cell>
          <cell r="K774" t="str">
            <v>Servicio</v>
          </cell>
          <cell r="L774" t="str">
            <v>Si</v>
          </cell>
          <cell r="O774" t="str">
            <v>Otros No Técnicos</v>
          </cell>
        </row>
        <row r="775">
          <cell r="C775" t="str">
            <v>Mario Alfredo Moulot Acosta</v>
          </cell>
          <cell r="E775" t="str">
            <v>M</v>
          </cell>
          <cell r="F775" t="str">
            <v>mestiza</v>
          </cell>
          <cell r="K775" t="str">
            <v>Operario</v>
          </cell>
          <cell r="L775" t="str">
            <v>Si</v>
          </cell>
          <cell r="O775" t="str">
            <v>Otros No Técnicos</v>
          </cell>
        </row>
        <row r="776">
          <cell r="C776" t="str">
            <v>Migdalia Matos Ortiz</v>
          </cell>
          <cell r="E776" t="str">
            <v>F</v>
          </cell>
          <cell r="F776" t="str">
            <v>mestiza</v>
          </cell>
          <cell r="K776" t="str">
            <v>Servicio</v>
          </cell>
          <cell r="L776" t="str">
            <v>Si</v>
          </cell>
          <cell r="O776" t="str">
            <v>Otros No Técnicos</v>
          </cell>
        </row>
        <row r="777">
          <cell r="C777" t="str">
            <v>Mileidis Bell  Flores</v>
          </cell>
          <cell r="E777" t="str">
            <v>F</v>
          </cell>
          <cell r="F777" t="str">
            <v>negra</v>
          </cell>
          <cell r="K777" t="str">
            <v>Servicio</v>
          </cell>
          <cell r="L777" t="str">
            <v>Si</v>
          </cell>
          <cell r="O777" t="str">
            <v>Otros No Técnicos</v>
          </cell>
        </row>
        <row r="778">
          <cell r="C778" t="str">
            <v>Nairolis Pérez Oliva</v>
          </cell>
          <cell r="E778" t="str">
            <v>F</v>
          </cell>
          <cell r="F778" t="str">
            <v>blanca</v>
          </cell>
          <cell r="K778" t="str">
            <v>Servicio</v>
          </cell>
          <cell r="L778" t="str">
            <v>Si</v>
          </cell>
          <cell r="O778" t="str">
            <v>Otros No Técnicos</v>
          </cell>
        </row>
        <row r="779">
          <cell r="C779" t="str">
            <v>Nelbis Veris Bidavur</v>
          </cell>
          <cell r="E779" t="str">
            <v>F</v>
          </cell>
          <cell r="F779" t="str">
            <v>mestiza</v>
          </cell>
          <cell r="K779" t="str">
            <v>Servicio</v>
          </cell>
          <cell r="L779" t="str">
            <v>Si</v>
          </cell>
          <cell r="O779" t="str">
            <v>Otros No Técnicos</v>
          </cell>
        </row>
        <row r="780">
          <cell r="C780" t="str">
            <v>Nerelis Escalona Mejias</v>
          </cell>
          <cell r="E780" t="str">
            <v>F</v>
          </cell>
          <cell r="F780" t="str">
            <v>mestiza</v>
          </cell>
          <cell r="K780" t="str">
            <v>Servicio</v>
          </cell>
          <cell r="L780" t="str">
            <v>Si</v>
          </cell>
          <cell r="O780" t="str">
            <v>Otros No Técnicos</v>
          </cell>
        </row>
        <row r="781">
          <cell r="C781" t="str">
            <v>Odalis Virgen Del Canto Acevedo</v>
          </cell>
          <cell r="E781" t="str">
            <v>F</v>
          </cell>
          <cell r="F781" t="str">
            <v>mestiza</v>
          </cell>
          <cell r="K781" t="str">
            <v>Servicio</v>
          </cell>
          <cell r="L781" t="str">
            <v>Si</v>
          </cell>
          <cell r="O781" t="str">
            <v>Otros No Técnicos</v>
          </cell>
        </row>
        <row r="782">
          <cell r="C782" t="str">
            <v>Osdeisy Ramos Betancourx</v>
          </cell>
          <cell r="E782" t="str">
            <v>F</v>
          </cell>
          <cell r="F782" t="str">
            <v>mestiza</v>
          </cell>
          <cell r="K782" t="str">
            <v>Servicio</v>
          </cell>
          <cell r="L782" t="str">
            <v>Si</v>
          </cell>
          <cell r="O782" t="str">
            <v>Otros No Técnicos</v>
          </cell>
        </row>
        <row r="783">
          <cell r="C783" t="str">
            <v>Pablo Sánchez Matamoro</v>
          </cell>
          <cell r="E783" t="str">
            <v>M</v>
          </cell>
          <cell r="F783" t="str">
            <v>blanca</v>
          </cell>
          <cell r="K783" t="str">
            <v>Operario</v>
          </cell>
          <cell r="L783" t="str">
            <v>Si</v>
          </cell>
          <cell r="O783" t="str">
            <v>Otros No Técnicos</v>
          </cell>
        </row>
        <row r="784">
          <cell r="C784" t="str">
            <v>Radiel López Mendoza</v>
          </cell>
          <cell r="E784" t="str">
            <v>M</v>
          </cell>
          <cell r="F784" t="str">
            <v>mestiza</v>
          </cell>
          <cell r="K784" t="str">
            <v>Operario</v>
          </cell>
          <cell r="L784" t="str">
            <v>Si</v>
          </cell>
          <cell r="O784" t="str">
            <v>Otros No Técnicos</v>
          </cell>
        </row>
        <row r="785">
          <cell r="C785" t="str">
            <v>RENE LOPEZ TORRES</v>
          </cell>
          <cell r="E785" t="str">
            <v>M</v>
          </cell>
          <cell r="F785" t="str">
            <v>mestiza</v>
          </cell>
          <cell r="K785" t="str">
            <v>Operario</v>
          </cell>
          <cell r="L785" t="str">
            <v>Si</v>
          </cell>
          <cell r="O785" t="str">
            <v>Otros No Técnicos</v>
          </cell>
        </row>
        <row r="786">
          <cell r="C786" t="str">
            <v>Rolando Bell Acosta</v>
          </cell>
          <cell r="E786" t="str">
            <v>M</v>
          </cell>
          <cell r="F786" t="str">
            <v>negra</v>
          </cell>
          <cell r="K786" t="str">
            <v>Operario</v>
          </cell>
          <cell r="L786" t="str">
            <v>Si</v>
          </cell>
          <cell r="O786" t="str">
            <v>Otros No Técnicos</v>
          </cell>
        </row>
        <row r="787">
          <cell r="C787" t="str">
            <v>Rolando Romero Rodriguez</v>
          </cell>
          <cell r="E787" t="str">
            <v>M</v>
          </cell>
          <cell r="F787" t="str">
            <v>blanca</v>
          </cell>
          <cell r="K787" t="str">
            <v>Servicio</v>
          </cell>
          <cell r="L787" t="str">
            <v>Si</v>
          </cell>
          <cell r="O787" t="str">
            <v>Otros No Técnicos</v>
          </cell>
        </row>
        <row r="788">
          <cell r="C788" t="str">
            <v>Sergio Dieguez Rondón</v>
          </cell>
          <cell r="E788" t="str">
            <v>M</v>
          </cell>
          <cell r="F788" t="str">
            <v>mestiza</v>
          </cell>
          <cell r="K788" t="str">
            <v>Operario</v>
          </cell>
          <cell r="L788" t="str">
            <v>Si</v>
          </cell>
          <cell r="O788" t="str">
            <v>Otros No Técnicos</v>
          </cell>
        </row>
        <row r="789">
          <cell r="C789" t="str">
            <v>Ulises Rojas Zapata</v>
          </cell>
          <cell r="E789" t="str">
            <v>M</v>
          </cell>
          <cell r="F789" t="str">
            <v>negra</v>
          </cell>
          <cell r="K789" t="str">
            <v>Operario</v>
          </cell>
          <cell r="L789" t="str">
            <v>Si</v>
          </cell>
          <cell r="O789" t="str">
            <v>Otros No Técnicos</v>
          </cell>
        </row>
        <row r="790">
          <cell r="C790" t="str">
            <v>Yoleinis Garcia Martinez</v>
          </cell>
          <cell r="E790" t="str">
            <v>F</v>
          </cell>
          <cell r="F790" t="str">
            <v>mestiza</v>
          </cell>
          <cell r="K790" t="str">
            <v>Servicio</v>
          </cell>
          <cell r="L790" t="str">
            <v>Si</v>
          </cell>
          <cell r="O790" t="str">
            <v>Otros No Técnicos</v>
          </cell>
        </row>
        <row r="791">
          <cell r="C791" t="str">
            <v>Elennis Boloy Padilla</v>
          </cell>
          <cell r="E791" t="str">
            <v>F</v>
          </cell>
          <cell r="F791" t="str">
            <v>Mestiza</v>
          </cell>
          <cell r="K791" t="str">
            <v>Operario</v>
          </cell>
          <cell r="L791" t="str">
            <v>No</v>
          </cell>
          <cell r="O791" t="str">
            <v>Otros No Técnicos</v>
          </cell>
        </row>
        <row r="792">
          <cell r="C792" t="str">
            <v>Levisdennys Cisnero Elias</v>
          </cell>
          <cell r="E792" t="str">
            <v>F</v>
          </cell>
          <cell r="F792" t="str">
            <v>Mestiza</v>
          </cell>
          <cell r="K792" t="str">
            <v>Servicio</v>
          </cell>
          <cell r="L792" t="str">
            <v>Si</v>
          </cell>
          <cell r="O792" t="str">
            <v>Otros No Técnicos</v>
          </cell>
        </row>
        <row r="793">
          <cell r="C793" t="str">
            <v>Mirley Bravo Díaz</v>
          </cell>
          <cell r="E793" t="str">
            <v>F</v>
          </cell>
          <cell r="F793" t="str">
            <v>mestiza</v>
          </cell>
          <cell r="K793" t="str">
            <v>Técnico Medio</v>
          </cell>
          <cell r="L793" t="str">
            <v>No</v>
          </cell>
          <cell r="O793" t="str">
            <v>Otros No Técnicos</v>
          </cell>
        </row>
        <row r="794">
          <cell r="C794" t="str">
            <v>Ariolkis Serrano garbey</v>
          </cell>
          <cell r="E794" t="str">
            <v>M</v>
          </cell>
          <cell r="F794" t="str">
            <v>mestiza</v>
          </cell>
          <cell r="K794" t="str">
            <v>Operario</v>
          </cell>
          <cell r="L794" t="str">
            <v>No</v>
          </cell>
          <cell r="O794" t="str">
            <v>Otros No Técnicos</v>
          </cell>
        </row>
        <row r="795">
          <cell r="C795" t="str">
            <v>Yanisley Hidalgo Pérez</v>
          </cell>
          <cell r="E795" t="str">
            <v>F</v>
          </cell>
          <cell r="F795" t="str">
            <v>mestiza</v>
          </cell>
          <cell r="K795" t="str">
            <v>Servicio</v>
          </cell>
          <cell r="L795" t="str">
            <v>No</v>
          </cell>
          <cell r="O795" t="str">
            <v>Otros No Técnicos</v>
          </cell>
        </row>
        <row r="796">
          <cell r="C796" t="str">
            <v>Yaudenis Cabrera Acevedo</v>
          </cell>
          <cell r="E796" t="str">
            <v>F</v>
          </cell>
          <cell r="F796" t="str">
            <v>mestiza</v>
          </cell>
          <cell r="K796" t="str">
            <v>Administrativo</v>
          </cell>
          <cell r="L796" t="str">
            <v>Si</v>
          </cell>
          <cell r="O796" t="str">
            <v>Otros No Técnicos</v>
          </cell>
        </row>
        <row r="797">
          <cell r="C797" t="str">
            <v>Wilmer Zalazar López</v>
          </cell>
          <cell r="E797" t="str">
            <v>M</v>
          </cell>
          <cell r="F797" t="str">
            <v>negra</v>
          </cell>
          <cell r="K797" t="str">
            <v>Operario</v>
          </cell>
          <cell r="L797" t="str">
            <v>Si</v>
          </cell>
          <cell r="O797" t="str">
            <v>Otros No Técnicos</v>
          </cell>
        </row>
        <row r="798">
          <cell r="C798" t="str">
            <v>Wilfredo Fonsca Tamayo</v>
          </cell>
          <cell r="E798" t="str">
            <v>M</v>
          </cell>
          <cell r="F798" t="str">
            <v>mestiza</v>
          </cell>
          <cell r="K798" t="str">
            <v>Operario</v>
          </cell>
          <cell r="L798" t="str">
            <v>Si</v>
          </cell>
          <cell r="O798" t="str">
            <v>Otros No Técnicos</v>
          </cell>
        </row>
        <row r="799">
          <cell r="C799" t="str">
            <v>Yunelis Martinez Portieles</v>
          </cell>
          <cell r="E799" t="str">
            <v>F</v>
          </cell>
          <cell r="F799" t="str">
            <v>negra</v>
          </cell>
          <cell r="K799" t="str">
            <v>Servicio</v>
          </cell>
          <cell r="L799" t="str">
            <v>Si</v>
          </cell>
          <cell r="O799" t="str">
            <v>Otros No Técnicos</v>
          </cell>
        </row>
        <row r="800">
          <cell r="C800" t="str">
            <v>Zuzel Nariño Hidalgo</v>
          </cell>
          <cell r="E800" t="str">
            <v>F</v>
          </cell>
          <cell r="F800" t="str">
            <v>negra</v>
          </cell>
          <cell r="K800" t="str">
            <v>Servicio</v>
          </cell>
          <cell r="L800" t="str">
            <v>Si</v>
          </cell>
          <cell r="O800" t="str">
            <v>Otros No Técnicos</v>
          </cell>
        </row>
        <row r="801">
          <cell r="C801" t="str">
            <v>Yumilka PeacoK Lezcay</v>
          </cell>
          <cell r="E801" t="str">
            <v>F</v>
          </cell>
          <cell r="F801" t="str">
            <v>negra</v>
          </cell>
          <cell r="K801" t="str">
            <v>Servicio</v>
          </cell>
          <cell r="L801" t="str">
            <v>Si</v>
          </cell>
          <cell r="O801" t="str">
            <v>Otros No Técnicos</v>
          </cell>
        </row>
        <row r="802">
          <cell r="C802" t="str">
            <v>Yerandis Hidalgo Cobas</v>
          </cell>
          <cell r="E802" t="str">
            <v>M</v>
          </cell>
          <cell r="F802" t="str">
            <v>mestiza</v>
          </cell>
          <cell r="K802" t="str">
            <v>Servicio</v>
          </cell>
          <cell r="L802" t="str">
            <v>Si</v>
          </cell>
          <cell r="O802" t="str">
            <v>Otros No Técnicos</v>
          </cell>
        </row>
        <row r="803">
          <cell r="C803" t="str">
            <v>Yunior Pérez Digornay</v>
          </cell>
          <cell r="E803" t="str">
            <v>M</v>
          </cell>
          <cell r="F803" t="str">
            <v>mestiza</v>
          </cell>
          <cell r="K803" t="str">
            <v>Servicio</v>
          </cell>
          <cell r="L803" t="str">
            <v>Si</v>
          </cell>
          <cell r="O803" t="str">
            <v>Otros No Técnicos</v>
          </cell>
        </row>
        <row r="804">
          <cell r="C804" t="str">
            <v>María Idalmis Pico Napoles</v>
          </cell>
          <cell r="E804" t="str">
            <v>F</v>
          </cell>
          <cell r="F804" t="str">
            <v>negra</v>
          </cell>
          <cell r="K804" t="str">
            <v>Servicio</v>
          </cell>
          <cell r="L804" t="str">
            <v>No</v>
          </cell>
          <cell r="O804" t="str">
            <v>Otros No Técnicos</v>
          </cell>
        </row>
        <row r="805">
          <cell r="C805" t="str">
            <v>Yanet Caballero Fiol</v>
          </cell>
          <cell r="E805" t="str">
            <v>F</v>
          </cell>
          <cell r="F805" t="str">
            <v>mestiza</v>
          </cell>
          <cell r="K805" t="str">
            <v>Cuadro</v>
          </cell>
          <cell r="L805" t="str">
            <v>Si</v>
          </cell>
          <cell r="O805" t="str">
            <v>Otros No Técnicos</v>
          </cell>
        </row>
        <row r="806">
          <cell r="C806" t="str">
            <v>Yirelia Pineda Garbey</v>
          </cell>
          <cell r="E806" t="str">
            <v>F</v>
          </cell>
          <cell r="F806" t="str">
            <v>mestiza</v>
          </cell>
          <cell r="K806" t="str">
            <v>Servicio</v>
          </cell>
          <cell r="L806" t="str">
            <v>No</v>
          </cell>
          <cell r="O806" t="str">
            <v>Otros No Técnicos</v>
          </cell>
        </row>
        <row r="807">
          <cell r="C807" t="str">
            <v>Lianna Lambert Cornier</v>
          </cell>
          <cell r="E807" t="str">
            <v>F</v>
          </cell>
          <cell r="F807" t="str">
            <v>mestiza</v>
          </cell>
          <cell r="K807" t="str">
            <v>Técnico Medio</v>
          </cell>
          <cell r="L807" t="str">
            <v>No</v>
          </cell>
          <cell r="O807" t="str">
            <v>Otros No Técnicos</v>
          </cell>
        </row>
        <row r="808">
          <cell r="C808" t="str">
            <v>Maria  de los Angeles Gaitan Viera</v>
          </cell>
          <cell r="E808" t="str">
            <v>F</v>
          </cell>
          <cell r="F808" t="str">
            <v>mestiza</v>
          </cell>
          <cell r="K808" t="str">
            <v>Técnico Superior</v>
          </cell>
          <cell r="L808" t="str">
            <v>Si</v>
          </cell>
          <cell r="O808" t="str">
            <v>Lic. en Tecnología de la Salud</v>
          </cell>
        </row>
        <row r="809">
          <cell r="C809" t="str">
            <v>Glaudelia Limonta Cabrales</v>
          </cell>
          <cell r="E809" t="str">
            <v>F</v>
          </cell>
          <cell r="F809" t="str">
            <v>negra</v>
          </cell>
          <cell r="K809" t="str">
            <v>Técnico Superior</v>
          </cell>
          <cell r="L809" t="str">
            <v>Si</v>
          </cell>
          <cell r="O809" t="str">
            <v>Lic. Enfermería</v>
          </cell>
        </row>
        <row r="810">
          <cell r="C810" t="str">
            <v>Idia Bicet Ramirez</v>
          </cell>
          <cell r="E810" t="str">
            <v>F</v>
          </cell>
          <cell r="F810" t="str">
            <v>mestiza</v>
          </cell>
          <cell r="K810" t="str">
            <v>Técnico Superior</v>
          </cell>
          <cell r="L810" t="str">
            <v>Si</v>
          </cell>
          <cell r="O810" t="str">
            <v>Lic. Enfermería</v>
          </cell>
        </row>
        <row r="811">
          <cell r="C811" t="str">
            <v>Magdeline Campos Rosales</v>
          </cell>
          <cell r="E811" t="str">
            <v>F</v>
          </cell>
          <cell r="F811" t="str">
            <v>blanca</v>
          </cell>
          <cell r="K811" t="str">
            <v>Técnico Superior</v>
          </cell>
          <cell r="L811" t="str">
            <v>Si</v>
          </cell>
          <cell r="O811" t="str">
            <v>Lic. Enfermería</v>
          </cell>
        </row>
        <row r="812">
          <cell r="C812" t="str">
            <v>Odalis Mora Giron</v>
          </cell>
          <cell r="E812" t="str">
            <v>F</v>
          </cell>
          <cell r="F812" t="str">
            <v>mestiza</v>
          </cell>
          <cell r="K812" t="str">
            <v>Técnico Superior</v>
          </cell>
          <cell r="L812" t="str">
            <v>Si</v>
          </cell>
          <cell r="O812" t="str">
            <v>Lic. Enfermería</v>
          </cell>
        </row>
        <row r="813">
          <cell r="C813" t="str">
            <v>Odalis Reve Barrera</v>
          </cell>
          <cell r="E813" t="str">
            <v>F</v>
          </cell>
          <cell r="F813" t="str">
            <v>negra</v>
          </cell>
          <cell r="K813" t="str">
            <v>Técnico Superior</v>
          </cell>
          <cell r="L813" t="str">
            <v>Si</v>
          </cell>
          <cell r="O813" t="str">
            <v>Lic. Enfermería</v>
          </cell>
        </row>
        <row r="814">
          <cell r="C814" t="str">
            <v>Hortensia Zamora Rodriguez</v>
          </cell>
          <cell r="E814" t="str">
            <v>F</v>
          </cell>
          <cell r="F814" t="str">
            <v>negra</v>
          </cell>
          <cell r="K814" t="str">
            <v>Técnico Superior</v>
          </cell>
          <cell r="L814" t="str">
            <v>Si</v>
          </cell>
          <cell r="O814" t="str">
            <v>Lic. Enfermería</v>
          </cell>
        </row>
        <row r="815">
          <cell r="C815" t="str">
            <v>Marisela Pacheco Torres</v>
          </cell>
          <cell r="E815" t="str">
            <v>F</v>
          </cell>
          <cell r="F815" t="str">
            <v>mestiza</v>
          </cell>
          <cell r="K815" t="str">
            <v>Operario</v>
          </cell>
          <cell r="L815" t="str">
            <v>Si</v>
          </cell>
          <cell r="O815" t="str">
            <v>Otros No Técnicos</v>
          </cell>
        </row>
        <row r="816">
          <cell r="C816" t="str">
            <v>Marisol Cayol Hidalgo</v>
          </cell>
          <cell r="E816" t="str">
            <v>F</v>
          </cell>
          <cell r="F816" t="str">
            <v>negra</v>
          </cell>
          <cell r="K816" t="str">
            <v>Operario</v>
          </cell>
          <cell r="L816" t="str">
            <v>Si</v>
          </cell>
          <cell r="O816" t="str">
            <v>Otros No Técnicos</v>
          </cell>
        </row>
        <row r="817">
          <cell r="C817" t="str">
            <v>Virgen Cedeño Hodelin</v>
          </cell>
          <cell r="E817" t="str">
            <v>F</v>
          </cell>
          <cell r="F817" t="str">
            <v>mestiza</v>
          </cell>
          <cell r="K817" t="str">
            <v>Operario</v>
          </cell>
          <cell r="L817" t="str">
            <v>Si</v>
          </cell>
          <cell r="O817" t="str">
            <v>Otros No Técnicos</v>
          </cell>
        </row>
        <row r="818">
          <cell r="C818" t="str">
            <v>Yanide Deliz Massó</v>
          </cell>
          <cell r="E818" t="str">
            <v>F</v>
          </cell>
          <cell r="F818" t="str">
            <v>negra</v>
          </cell>
          <cell r="K818" t="str">
            <v>Operario</v>
          </cell>
          <cell r="L818" t="str">
            <v>Si</v>
          </cell>
          <cell r="O818" t="str">
            <v>Otros No Técnicos</v>
          </cell>
        </row>
        <row r="819">
          <cell r="C819" t="str">
            <v>Iruine González González</v>
          </cell>
          <cell r="E819" t="str">
            <v>F</v>
          </cell>
          <cell r="F819" t="str">
            <v>negra</v>
          </cell>
          <cell r="K819" t="str">
            <v>Operario</v>
          </cell>
          <cell r="L819" t="str">
            <v>Si</v>
          </cell>
          <cell r="O819" t="str">
            <v>Otros No Técnicos</v>
          </cell>
        </row>
        <row r="820">
          <cell r="C820" t="str">
            <v>Deisy Durruty Portes</v>
          </cell>
          <cell r="E820" t="str">
            <v>F</v>
          </cell>
          <cell r="F820" t="str">
            <v>negra</v>
          </cell>
          <cell r="K820" t="str">
            <v>Servicio</v>
          </cell>
          <cell r="L820" t="str">
            <v>Si</v>
          </cell>
          <cell r="O820" t="str">
            <v>Otros No Técnicos</v>
          </cell>
        </row>
        <row r="821">
          <cell r="C821" t="str">
            <v>Deisy Sosa Vaillant</v>
          </cell>
          <cell r="E821" t="str">
            <v>F</v>
          </cell>
          <cell r="F821" t="str">
            <v>negra</v>
          </cell>
          <cell r="K821" t="str">
            <v>Servicio</v>
          </cell>
          <cell r="L821" t="str">
            <v>Si</v>
          </cell>
          <cell r="O821" t="str">
            <v>Otros No Técnicos</v>
          </cell>
        </row>
        <row r="822">
          <cell r="C822" t="str">
            <v>Elba Luisa Aguero Rodriguez</v>
          </cell>
          <cell r="E822" t="str">
            <v>F</v>
          </cell>
          <cell r="F822" t="str">
            <v>mestiza</v>
          </cell>
          <cell r="K822" t="str">
            <v>Servicio</v>
          </cell>
          <cell r="L822" t="str">
            <v>Si</v>
          </cell>
          <cell r="O822" t="str">
            <v>Otros No Técnicos</v>
          </cell>
        </row>
        <row r="823">
          <cell r="C823" t="str">
            <v>Idalgis Utria Despaigne</v>
          </cell>
          <cell r="E823" t="str">
            <v>F</v>
          </cell>
          <cell r="F823" t="str">
            <v>mestiza</v>
          </cell>
          <cell r="K823" t="str">
            <v>Servicio</v>
          </cell>
          <cell r="L823" t="str">
            <v>Si</v>
          </cell>
          <cell r="O823" t="str">
            <v>Otros No Técnicos</v>
          </cell>
        </row>
        <row r="824">
          <cell r="C824" t="str">
            <v>Isabel Vidal Savigne</v>
          </cell>
          <cell r="E824" t="str">
            <v>F</v>
          </cell>
          <cell r="F824" t="str">
            <v>mestiza</v>
          </cell>
          <cell r="K824" t="str">
            <v>Servicio</v>
          </cell>
          <cell r="L824" t="str">
            <v>Si</v>
          </cell>
          <cell r="O824" t="str">
            <v>Otros No Técnicos</v>
          </cell>
        </row>
        <row r="825">
          <cell r="C825" t="str">
            <v>Mariulkis Molina Medina</v>
          </cell>
          <cell r="E825" t="str">
            <v>F</v>
          </cell>
          <cell r="F825" t="str">
            <v>mestiza</v>
          </cell>
          <cell r="K825" t="str">
            <v>Servicio</v>
          </cell>
          <cell r="L825" t="str">
            <v>Si</v>
          </cell>
          <cell r="O825" t="str">
            <v>Otros No Técnicos</v>
          </cell>
        </row>
        <row r="826">
          <cell r="C826" t="str">
            <v>Martha Vegué La Rosa</v>
          </cell>
          <cell r="E826" t="str">
            <v>F</v>
          </cell>
          <cell r="F826" t="str">
            <v>mestiza</v>
          </cell>
          <cell r="K826" t="str">
            <v>Servicio</v>
          </cell>
          <cell r="L826" t="str">
            <v>Si</v>
          </cell>
          <cell r="O826" t="str">
            <v>Otros No Técnicos</v>
          </cell>
        </row>
        <row r="827">
          <cell r="C827" t="str">
            <v>Noraida Sosa Vaillant</v>
          </cell>
          <cell r="E827" t="str">
            <v>F</v>
          </cell>
          <cell r="F827" t="str">
            <v>mestiza</v>
          </cell>
          <cell r="K827" t="str">
            <v>Servicio</v>
          </cell>
          <cell r="L827" t="str">
            <v>Si</v>
          </cell>
          <cell r="O827" t="str">
            <v>Otros No Técnicos</v>
          </cell>
        </row>
        <row r="828">
          <cell r="C828" t="str">
            <v>Odelmis Kindelan Charón</v>
          </cell>
          <cell r="E828" t="str">
            <v>F</v>
          </cell>
          <cell r="F828" t="str">
            <v>negra</v>
          </cell>
          <cell r="K828" t="str">
            <v>Servicio</v>
          </cell>
          <cell r="L828" t="str">
            <v>Si</v>
          </cell>
          <cell r="O828" t="str">
            <v>Otros No Técnicos</v>
          </cell>
        </row>
        <row r="829">
          <cell r="C829" t="str">
            <v>Susel La Rosa Castellanos</v>
          </cell>
          <cell r="E829" t="str">
            <v>F</v>
          </cell>
          <cell r="F829" t="str">
            <v>mestiza</v>
          </cell>
          <cell r="K829" t="str">
            <v>Servicio</v>
          </cell>
          <cell r="L829" t="str">
            <v>Si</v>
          </cell>
          <cell r="O829" t="str">
            <v>Otros No Técnicos</v>
          </cell>
        </row>
        <row r="830">
          <cell r="C830" t="str">
            <v>Laritza Montoya la Rosa</v>
          </cell>
          <cell r="E830" t="str">
            <v>F</v>
          </cell>
          <cell r="F830" t="str">
            <v>mestiza</v>
          </cell>
          <cell r="K830" t="str">
            <v>Servicio</v>
          </cell>
          <cell r="L830" t="str">
            <v>Si</v>
          </cell>
          <cell r="O830" t="str">
            <v>Otros No Técnicos</v>
          </cell>
        </row>
        <row r="831">
          <cell r="C831" t="str">
            <v>Damaris Castellanos Castillo</v>
          </cell>
          <cell r="E831" t="str">
            <v>F</v>
          </cell>
          <cell r="F831" t="str">
            <v>mestiza</v>
          </cell>
          <cell r="K831" t="str">
            <v>Servicio</v>
          </cell>
          <cell r="L831" t="str">
            <v>No</v>
          </cell>
          <cell r="O831" t="str">
            <v>Otros No Técnicos</v>
          </cell>
        </row>
        <row r="832">
          <cell r="C832" t="str">
            <v>Yanelis Fernández Romero</v>
          </cell>
          <cell r="E832" t="str">
            <v>F</v>
          </cell>
          <cell r="F832" t="str">
            <v>negra</v>
          </cell>
          <cell r="K832" t="str">
            <v>Servicio</v>
          </cell>
          <cell r="L832" t="str">
            <v>No</v>
          </cell>
          <cell r="O832" t="str">
            <v>Otros No Técnicos</v>
          </cell>
        </row>
        <row r="833">
          <cell r="C833" t="str">
            <v>Elisbet Díaz Ramirez</v>
          </cell>
          <cell r="E833" t="str">
            <v>F</v>
          </cell>
          <cell r="F833" t="str">
            <v>mestiza</v>
          </cell>
          <cell r="K833" t="str">
            <v>Servicio</v>
          </cell>
          <cell r="L833" t="str">
            <v>No</v>
          </cell>
          <cell r="O833" t="str">
            <v>Otros No Técnicos</v>
          </cell>
        </row>
        <row r="834">
          <cell r="C834" t="str">
            <v>Mariobis Isaac Ruiz</v>
          </cell>
          <cell r="E834" t="str">
            <v>F</v>
          </cell>
          <cell r="F834" t="str">
            <v>mestiza</v>
          </cell>
          <cell r="K834" t="str">
            <v>Operario</v>
          </cell>
          <cell r="L834" t="str">
            <v>No</v>
          </cell>
          <cell r="O834" t="str">
            <v>Otros No Técnicos</v>
          </cell>
        </row>
        <row r="835">
          <cell r="C835" t="str">
            <v>Claudia Yanet Clejer Santo</v>
          </cell>
          <cell r="E835" t="str">
            <v>F</v>
          </cell>
          <cell r="F835" t="str">
            <v>mestiza</v>
          </cell>
          <cell r="K835" t="str">
            <v>Servicio</v>
          </cell>
          <cell r="L835" t="str">
            <v>No</v>
          </cell>
          <cell r="O835" t="str">
            <v>Técnico Formado Salud</v>
          </cell>
        </row>
        <row r="836">
          <cell r="C836" t="str">
            <v>Angel Luis Romero Negret</v>
          </cell>
          <cell r="E836" t="str">
            <v>M</v>
          </cell>
          <cell r="F836" t="str">
            <v>negra</v>
          </cell>
          <cell r="K836" t="str">
            <v>Cuadro</v>
          </cell>
          <cell r="L836" t="str">
            <v>No</v>
          </cell>
          <cell r="O836" t="str">
            <v>Médico</v>
          </cell>
        </row>
        <row r="837">
          <cell r="C837" t="str">
            <v>Yuniesky Morales Darroman</v>
          </cell>
          <cell r="E837" t="str">
            <v>F</v>
          </cell>
          <cell r="F837" t="str">
            <v>mestiza</v>
          </cell>
          <cell r="K837" t="str">
            <v>Servicio</v>
          </cell>
          <cell r="L837" t="str">
            <v>No</v>
          </cell>
          <cell r="O837" t="str">
            <v>Otros No Técnicos</v>
          </cell>
        </row>
        <row r="838">
          <cell r="C838" t="str">
            <v>Rosailis Limonta Herrera</v>
          </cell>
          <cell r="E838" t="str">
            <v>F</v>
          </cell>
          <cell r="F838" t="str">
            <v>mestiza</v>
          </cell>
          <cell r="K838" t="str">
            <v>Servicio</v>
          </cell>
          <cell r="L838" t="str">
            <v>No</v>
          </cell>
          <cell r="O838" t="str">
            <v>Otros No Técnicos</v>
          </cell>
        </row>
        <row r="839">
          <cell r="C839" t="str">
            <v>Kevis Alvarez Castellanos</v>
          </cell>
          <cell r="E839" t="str">
            <v>M</v>
          </cell>
          <cell r="F839" t="str">
            <v>mestiza</v>
          </cell>
          <cell r="K839" t="str">
            <v>Servicio</v>
          </cell>
          <cell r="L839" t="str">
            <v>No</v>
          </cell>
          <cell r="O839" t="str">
            <v>Otros No Técnicos</v>
          </cell>
        </row>
        <row r="840">
          <cell r="C840" t="str">
            <v>Alcides A Hechavarria Gonzalez</v>
          </cell>
          <cell r="E840" t="str">
            <v>M</v>
          </cell>
          <cell r="F840" t="str">
            <v>mestiza</v>
          </cell>
          <cell r="K840" t="str">
            <v>Operario</v>
          </cell>
          <cell r="L840" t="str">
            <v>No</v>
          </cell>
          <cell r="O840" t="str">
            <v>Otros No Técnicos</v>
          </cell>
        </row>
        <row r="841">
          <cell r="C841" t="str">
            <v>Dioscles Hernández Figueroa</v>
          </cell>
          <cell r="E841" t="str">
            <v>M</v>
          </cell>
          <cell r="F841" t="str">
            <v>mestiza</v>
          </cell>
          <cell r="K841" t="str">
            <v>Servicio</v>
          </cell>
          <cell r="L841" t="str">
            <v>No</v>
          </cell>
          <cell r="O841" t="str">
            <v>Otros No Técnicos</v>
          </cell>
        </row>
        <row r="842">
          <cell r="C842" t="str">
            <v xml:space="preserve">Graciela Ramos Cleger </v>
          </cell>
          <cell r="E842" t="str">
            <v>F</v>
          </cell>
          <cell r="F842" t="str">
            <v>negra</v>
          </cell>
          <cell r="K842" t="str">
            <v>Técnico Medio</v>
          </cell>
          <cell r="L842" t="str">
            <v>Si</v>
          </cell>
          <cell r="O842" t="str">
            <v>Enfermería</v>
          </cell>
        </row>
        <row r="843">
          <cell r="C843" t="str">
            <v xml:space="preserve">Olaida Lucas Darromán </v>
          </cell>
          <cell r="E843" t="str">
            <v>F</v>
          </cell>
          <cell r="F843" t="str">
            <v>mestiza</v>
          </cell>
          <cell r="K843" t="str">
            <v>Técnico Medio</v>
          </cell>
          <cell r="L843" t="str">
            <v>Si</v>
          </cell>
          <cell r="O843" t="str">
            <v>Enfermería</v>
          </cell>
        </row>
        <row r="844">
          <cell r="C844" t="str">
            <v xml:space="preserve">Yarisleydis Ramirez Ortiz </v>
          </cell>
          <cell r="E844" t="str">
            <v>F</v>
          </cell>
          <cell r="F844" t="str">
            <v>mestiza</v>
          </cell>
          <cell r="K844" t="str">
            <v>Técnico Medio</v>
          </cell>
          <cell r="L844" t="str">
            <v>Si</v>
          </cell>
          <cell r="O844" t="str">
            <v>Enfermería</v>
          </cell>
        </row>
        <row r="845">
          <cell r="C845" t="str">
            <v>Yulieti Rojas Pacheco</v>
          </cell>
          <cell r="E845" t="str">
            <v>F</v>
          </cell>
          <cell r="F845" t="str">
            <v>mestiza</v>
          </cell>
          <cell r="K845" t="str">
            <v>Técnico Básico</v>
          </cell>
          <cell r="L845" t="str">
            <v>No</v>
          </cell>
          <cell r="O845" t="str">
            <v>Enfermería</v>
          </cell>
        </row>
        <row r="846">
          <cell r="C846" t="str">
            <v>Adisleysis Mestre Cos</v>
          </cell>
          <cell r="E846" t="str">
            <v>F</v>
          </cell>
          <cell r="F846" t="str">
            <v>negra</v>
          </cell>
          <cell r="K846" t="str">
            <v>Técnico Superior</v>
          </cell>
          <cell r="L846" t="str">
            <v>Si</v>
          </cell>
          <cell r="O846" t="str">
            <v>Estomatólogo</v>
          </cell>
        </row>
        <row r="847">
          <cell r="C847" t="str">
            <v>Adrian Martinez Torres</v>
          </cell>
          <cell r="E847" t="str">
            <v>M</v>
          </cell>
          <cell r="F847" t="str">
            <v>mestiza</v>
          </cell>
          <cell r="K847" t="str">
            <v>Técnico Superior</v>
          </cell>
          <cell r="L847" t="str">
            <v>Si</v>
          </cell>
          <cell r="O847" t="str">
            <v>Estomatólogo</v>
          </cell>
        </row>
        <row r="848">
          <cell r="C848" t="str">
            <v>Arianne Isaac Mendoza</v>
          </cell>
          <cell r="E848" t="str">
            <v>F</v>
          </cell>
          <cell r="F848" t="str">
            <v>mestiza</v>
          </cell>
          <cell r="K848" t="str">
            <v>Técnico Superior</v>
          </cell>
          <cell r="L848" t="str">
            <v>Si</v>
          </cell>
          <cell r="O848" t="str">
            <v>Estomatólogo</v>
          </cell>
        </row>
        <row r="849">
          <cell r="C849" t="str">
            <v>Celene Sotomayor Valdés</v>
          </cell>
          <cell r="E849" t="str">
            <v>F</v>
          </cell>
          <cell r="F849" t="str">
            <v>blanca</v>
          </cell>
          <cell r="K849" t="str">
            <v>Técnico Superior</v>
          </cell>
          <cell r="L849" t="str">
            <v>Si</v>
          </cell>
          <cell r="O849" t="str">
            <v>Estomatólogo</v>
          </cell>
        </row>
        <row r="850">
          <cell r="C850" t="str">
            <v>Claudia Llopi Medina</v>
          </cell>
          <cell r="E850" t="str">
            <v>F</v>
          </cell>
          <cell r="F850" t="str">
            <v>mestiza</v>
          </cell>
          <cell r="K850" t="str">
            <v>Técnico Superior</v>
          </cell>
          <cell r="L850" t="str">
            <v>Si</v>
          </cell>
          <cell r="O850" t="str">
            <v>Estomatólogo</v>
          </cell>
        </row>
        <row r="851">
          <cell r="C851" t="str">
            <v>Diosmel Lopez Dominguez</v>
          </cell>
          <cell r="E851" t="str">
            <v>M</v>
          </cell>
          <cell r="F851" t="str">
            <v>mestiza</v>
          </cell>
          <cell r="K851" t="str">
            <v>Técnico Superior</v>
          </cell>
          <cell r="L851" t="str">
            <v>Si</v>
          </cell>
          <cell r="O851" t="str">
            <v>Estomatólogo</v>
          </cell>
        </row>
        <row r="852">
          <cell r="C852" t="str">
            <v>Eglis Rivero Hodelin</v>
          </cell>
          <cell r="E852" t="str">
            <v>M</v>
          </cell>
          <cell r="F852" t="str">
            <v>mestiza</v>
          </cell>
          <cell r="K852" t="str">
            <v>Técnico Superior</v>
          </cell>
          <cell r="L852" t="str">
            <v>Si</v>
          </cell>
          <cell r="O852" t="str">
            <v>Estomatólogo</v>
          </cell>
        </row>
        <row r="853">
          <cell r="C853" t="str">
            <v>Maidolis Rodriguez Chaveco</v>
          </cell>
          <cell r="E853" t="str">
            <v>F</v>
          </cell>
          <cell r="F853" t="str">
            <v>mestiza</v>
          </cell>
          <cell r="K853" t="str">
            <v>Técnico Superior</v>
          </cell>
          <cell r="L853" t="str">
            <v>Si</v>
          </cell>
          <cell r="O853" t="str">
            <v>Estomatólogo</v>
          </cell>
        </row>
        <row r="854">
          <cell r="C854" t="str">
            <v>Maité Puyú Villalón</v>
          </cell>
          <cell r="E854" t="str">
            <v>F</v>
          </cell>
          <cell r="F854" t="str">
            <v>negra</v>
          </cell>
          <cell r="K854" t="str">
            <v>Técnico Superior</v>
          </cell>
          <cell r="L854" t="str">
            <v>Si</v>
          </cell>
          <cell r="O854" t="str">
            <v>Estomatólogo</v>
          </cell>
        </row>
        <row r="855">
          <cell r="C855" t="str">
            <v>Maria Isabel Gendris Ramirez</v>
          </cell>
          <cell r="E855" t="str">
            <v>F</v>
          </cell>
          <cell r="F855" t="str">
            <v>mestiza</v>
          </cell>
          <cell r="K855" t="str">
            <v>Técnico Superior</v>
          </cell>
          <cell r="L855" t="str">
            <v>Si</v>
          </cell>
          <cell r="O855" t="str">
            <v>Estomatólogo</v>
          </cell>
        </row>
        <row r="856">
          <cell r="C856" t="str">
            <v>Marylen Matos Leyva</v>
          </cell>
          <cell r="E856" t="str">
            <v>F</v>
          </cell>
          <cell r="F856" t="str">
            <v>mestiza</v>
          </cell>
          <cell r="K856" t="str">
            <v>Técnico Superior</v>
          </cell>
          <cell r="L856" t="str">
            <v>Si</v>
          </cell>
          <cell r="O856" t="str">
            <v>Estomatólogo</v>
          </cell>
        </row>
        <row r="857">
          <cell r="C857" t="str">
            <v>Osvel Denis Vazquez Rodriguez</v>
          </cell>
          <cell r="E857" t="str">
            <v>M</v>
          </cell>
          <cell r="F857" t="str">
            <v>blanca</v>
          </cell>
          <cell r="K857" t="str">
            <v>Técnico Superior</v>
          </cell>
          <cell r="L857" t="str">
            <v>Si</v>
          </cell>
          <cell r="O857" t="str">
            <v>Estomatólogo</v>
          </cell>
        </row>
        <row r="858">
          <cell r="C858" t="str">
            <v>Sumayly Perez Lezcay</v>
          </cell>
          <cell r="E858" t="str">
            <v>F</v>
          </cell>
          <cell r="F858" t="str">
            <v>negra</v>
          </cell>
          <cell r="K858" t="str">
            <v>Técnico Superior</v>
          </cell>
          <cell r="L858" t="str">
            <v>Si</v>
          </cell>
          <cell r="O858" t="str">
            <v>Estomatólogo</v>
          </cell>
        </row>
        <row r="859">
          <cell r="C859" t="str">
            <v>Yadari Bonne Garcia</v>
          </cell>
          <cell r="E859" t="str">
            <v>F</v>
          </cell>
          <cell r="F859" t="str">
            <v>negra</v>
          </cell>
          <cell r="K859" t="str">
            <v>Técnico Superior</v>
          </cell>
          <cell r="L859" t="str">
            <v>Si</v>
          </cell>
          <cell r="O859" t="str">
            <v>Estomatólogo</v>
          </cell>
        </row>
        <row r="860">
          <cell r="C860" t="str">
            <v>Yaismel Lopez Ramirez</v>
          </cell>
          <cell r="E860" t="str">
            <v>F</v>
          </cell>
          <cell r="F860" t="str">
            <v>negra</v>
          </cell>
          <cell r="K860" t="str">
            <v>Técnico Superior</v>
          </cell>
          <cell r="L860" t="str">
            <v>Si</v>
          </cell>
          <cell r="O860" t="str">
            <v>Estomatólogo</v>
          </cell>
        </row>
        <row r="861">
          <cell r="C861" t="str">
            <v>Yuneisy Guzman Cabrera</v>
          </cell>
          <cell r="E861" t="str">
            <v>F</v>
          </cell>
          <cell r="F861" t="str">
            <v>mestiza</v>
          </cell>
          <cell r="K861" t="str">
            <v>Técnico Superior</v>
          </cell>
          <cell r="L861" t="str">
            <v>Si</v>
          </cell>
          <cell r="O861" t="str">
            <v>Estomatólogo</v>
          </cell>
        </row>
        <row r="862">
          <cell r="C862" t="str">
            <v>Zenia Kindelan Serrano</v>
          </cell>
          <cell r="E862" t="str">
            <v>F</v>
          </cell>
          <cell r="F862" t="str">
            <v>negra</v>
          </cell>
          <cell r="K862" t="str">
            <v>Técnico Superior</v>
          </cell>
          <cell r="L862" t="str">
            <v>Si</v>
          </cell>
          <cell r="O862" t="str">
            <v>Estomatólogo</v>
          </cell>
        </row>
        <row r="863">
          <cell r="C863" t="str">
            <v>ONIEL JACA PARDO</v>
          </cell>
          <cell r="E863" t="str">
            <v>M</v>
          </cell>
          <cell r="F863" t="str">
            <v>mestiza</v>
          </cell>
          <cell r="K863" t="str">
            <v>Cuadro</v>
          </cell>
          <cell r="L863" t="str">
            <v>Si</v>
          </cell>
          <cell r="O863" t="str">
            <v>Lic. en Tecnología de la Salud</v>
          </cell>
        </row>
        <row r="864">
          <cell r="C864" t="str">
            <v>Yolexy Hurtado Alvarez</v>
          </cell>
          <cell r="E864" t="str">
            <v>M</v>
          </cell>
          <cell r="F864" t="str">
            <v>negra</v>
          </cell>
          <cell r="K864" t="str">
            <v>Cuadro</v>
          </cell>
          <cell r="L864" t="str">
            <v>Si</v>
          </cell>
          <cell r="O864" t="str">
            <v>Lic. en Tecnología de la Salud</v>
          </cell>
        </row>
        <row r="865">
          <cell r="C865" t="str">
            <v>Adniley Mengual Callol</v>
          </cell>
          <cell r="E865" t="str">
            <v>F</v>
          </cell>
          <cell r="F865" t="str">
            <v>mestiza</v>
          </cell>
          <cell r="K865" t="str">
            <v>Técnico Superior</v>
          </cell>
          <cell r="L865" t="str">
            <v>Si</v>
          </cell>
          <cell r="O865" t="str">
            <v>Lic. en Tecnología de la Salud</v>
          </cell>
        </row>
        <row r="866">
          <cell r="C866" t="str">
            <v>Aleydis Valenciano Solo</v>
          </cell>
          <cell r="E866" t="str">
            <v>F</v>
          </cell>
          <cell r="F866" t="str">
            <v>mestiza</v>
          </cell>
          <cell r="K866" t="str">
            <v>Técnico Superior</v>
          </cell>
          <cell r="L866" t="str">
            <v>Si</v>
          </cell>
          <cell r="O866" t="str">
            <v>Lic. en Tecnología de la Salud</v>
          </cell>
        </row>
        <row r="867">
          <cell r="C867" t="str">
            <v>Angel Luis Pies Ruiz</v>
          </cell>
          <cell r="E867" t="str">
            <v>M</v>
          </cell>
          <cell r="F867" t="str">
            <v>negra</v>
          </cell>
          <cell r="K867" t="str">
            <v>Técnico Superior</v>
          </cell>
          <cell r="L867" t="str">
            <v>Si</v>
          </cell>
          <cell r="O867" t="str">
            <v>Lic. en Tecnología de la Salud</v>
          </cell>
        </row>
        <row r="868">
          <cell r="C868" t="str">
            <v>Ania Ofelia Pérez Cintra</v>
          </cell>
          <cell r="E868" t="str">
            <v>F</v>
          </cell>
          <cell r="F868" t="str">
            <v>mestiza</v>
          </cell>
          <cell r="K868" t="str">
            <v>Técnico Superior</v>
          </cell>
          <cell r="L868" t="str">
            <v>Si</v>
          </cell>
          <cell r="O868" t="str">
            <v>Lic. en Tecnología de la Salud</v>
          </cell>
        </row>
        <row r="869">
          <cell r="C869" t="str">
            <v>Anisley Dominguez Bueno</v>
          </cell>
          <cell r="E869" t="str">
            <v>F</v>
          </cell>
          <cell r="F869" t="str">
            <v>mestiza</v>
          </cell>
          <cell r="K869" t="str">
            <v>Técnico Superior</v>
          </cell>
          <cell r="L869" t="str">
            <v>Si</v>
          </cell>
          <cell r="O869" t="str">
            <v>Lic. en Tecnología de la Salud</v>
          </cell>
        </row>
        <row r="870">
          <cell r="C870" t="str">
            <v>Annia Arroyo Boulet</v>
          </cell>
          <cell r="E870" t="str">
            <v>F</v>
          </cell>
          <cell r="F870" t="str">
            <v>negra</v>
          </cell>
          <cell r="K870" t="str">
            <v>Técnico Superior</v>
          </cell>
          <cell r="L870" t="str">
            <v>Si</v>
          </cell>
          <cell r="O870" t="str">
            <v>Lic. en Tecnología de la Salud</v>
          </cell>
        </row>
        <row r="871">
          <cell r="C871" t="str">
            <v>Ariolkis Reyes Perera</v>
          </cell>
          <cell r="E871" t="str">
            <v>M</v>
          </cell>
          <cell r="F871" t="str">
            <v>mestiza</v>
          </cell>
          <cell r="K871" t="str">
            <v>Técnico Superior</v>
          </cell>
          <cell r="L871" t="str">
            <v>Si</v>
          </cell>
          <cell r="O871" t="str">
            <v>Lic. en Tecnología de la Salud</v>
          </cell>
        </row>
        <row r="872">
          <cell r="C872" t="str">
            <v>Arlenis Aguero Lacoste</v>
          </cell>
          <cell r="E872" t="str">
            <v>F</v>
          </cell>
          <cell r="F872" t="str">
            <v>mestiza</v>
          </cell>
          <cell r="K872" t="str">
            <v>Técnico Superior</v>
          </cell>
          <cell r="L872" t="str">
            <v>Si</v>
          </cell>
          <cell r="O872" t="str">
            <v>Lic. en Tecnología de la Salud</v>
          </cell>
        </row>
        <row r="873">
          <cell r="C873" t="str">
            <v>Asunsion Poso Zalazar</v>
          </cell>
          <cell r="E873" t="str">
            <v>F</v>
          </cell>
          <cell r="F873" t="str">
            <v>mestiza</v>
          </cell>
          <cell r="K873" t="str">
            <v>Técnico Superior</v>
          </cell>
          <cell r="L873" t="str">
            <v>Si</v>
          </cell>
          <cell r="O873" t="str">
            <v>Lic. en Tecnología de la Salud</v>
          </cell>
        </row>
        <row r="874">
          <cell r="C874" t="str">
            <v>Damaris Aguero Rodriguez</v>
          </cell>
          <cell r="E874" t="str">
            <v>F</v>
          </cell>
          <cell r="F874" t="str">
            <v>mestiza</v>
          </cell>
          <cell r="K874" t="str">
            <v>Técnico Superior</v>
          </cell>
          <cell r="L874" t="str">
            <v>Si</v>
          </cell>
          <cell r="O874" t="str">
            <v>Lic. en Tecnología de la Salud</v>
          </cell>
        </row>
        <row r="875">
          <cell r="C875" t="str">
            <v>DELLAMIRA TERRY KELLY</v>
          </cell>
          <cell r="E875" t="str">
            <v>F</v>
          </cell>
          <cell r="F875" t="str">
            <v>negra</v>
          </cell>
          <cell r="K875" t="str">
            <v>Técnico Superior</v>
          </cell>
          <cell r="L875" t="str">
            <v>Si</v>
          </cell>
          <cell r="O875" t="str">
            <v>Lic. en Tecnología de la Salud</v>
          </cell>
        </row>
        <row r="876">
          <cell r="C876" t="str">
            <v>Edelmira Cedeño Hodelin</v>
          </cell>
          <cell r="E876" t="str">
            <v>F</v>
          </cell>
          <cell r="F876" t="str">
            <v>mestiza</v>
          </cell>
          <cell r="K876" t="str">
            <v>Técnico Superior</v>
          </cell>
          <cell r="L876" t="str">
            <v>Si</v>
          </cell>
          <cell r="O876" t="str">
            <v>Lic. en Tecnología de la Salud</v>
          </cell>
        </row>
        <row r="877">
          <cell r="C877" t="str">
            <v>ELAINE DELIS ZAYAS</v>
          </cell>
          <cell r="E877" t="str">
            <v>F</v>
          </cell>
          <cell r="F877" t="str">
            <v>mestiza</v>
          </cell>
          <cell r="K877" t="str">
            <v>Técnico Superior</v>
          </cell>
          <cell r="L877" t="str">
            <v>Si</v>
          </cell>
          <cell r="O877" t="str">
            <v>Lic. en Tecnología de la Salud</v>
          </cell>
        </row>
        <row r="878">
          <cell r="C878" t="str">
            <v>Elio Enrique Roland Moreno</v>
          </cell>
          <cell r="E878" t="str">
            <v>M</v>
          </cell>
          <cell r="F878" t="str">
            <v>negra</v>
          </cell>
          <cell r="K878" t="str">
            <v>Técnico Superior</v>
          </cell>
          <cell r="L878" t="str">
            <v>Si</v>
          </cell>
          <cell r="O878" t="str">
            <v>Lic. en Tecnología de la Salud</v>
          </cell>
        </row>
        <row r="879">
          <cell r="C879" t="str">
            <v>ISMELIS MONTERO MORALES</v>
          </cell>
          <cell r="E879" t="str">
            <v>F</v>
          </cell>
          <cell r="F879" t="str">
            <v>mestiza</v>
          </cell>
          <cell r="K879" t="str">
            <v>Técnico Superior</v>
          </cell>
          <cell r="L879" t="str">
            <v>Si</v>
          </cell>
          <cell r="O879" t="str">
            <v>Lic. en Tecnología de la Salud</v>
          </cell>
        </row>
        <row r="880">
          <cell r="C880" t="str">
            <v>Lazaro Miguel Fabra Hechavarria</v>
          </cell>
          <cell r="E880" t="str">
            <v>M</v>
          </cell>
          <cell r="F880" t="str">
            <v>mestiza</v>
          </cell>
          <cell r="K880" t="str">
            <v>Técnico Superior</v>
          </cell>
          <cell r="L880" t="str">
            <v>Si</v>
          </cell>
          <cell r="O880" t="str">
            <v>Lic. en Tecnología de la Salud</v>
          </cell>
        </row>
        <row r="881">
          <cell r="C881" t="str">
            <v>Leticia Tamayo Sierra</v>
          </cell>
          <cell r="E881" t="str">
            <v>F</v>
          </cell>
          <cell r="F881" t="str">
            <v>mestiza</v>
          </cell>
          <cell r="K881" t="str">
            <v>Técnico Superior</v>
          </cell>
          <cell r="L881" t="str">
            <v>Si</v>
          </cell>
          <cell r="O881" t="str">
            <v>Lic. en Tecnología de la Salud</v>
          </cell>
        </row>
        <row r="882">
          <cell r="C882" t="str">
            <v>Liudmila Torres Ponce</v>
          </cell>
          <cell r="E882" t="str">
            <v>F</v>
          </cell>
          <cell r="F882" t="str">
            <v>negra</v>
          </cell>
          <cell r="K882" t="str">
            <v>Técnico Superior</v>
          </cell>
          <cell r="L882" t="str">
            <v>Si</v>
          </cell>
          <cell r="O882" t="str">
            <v>Lic. en Tecnología de la Salud</v>
          </cell>
        </row>
        <row r="883">
          <cell r="C883" t="str">
            <v>Maidelin Gonzalez Rondon</v>
          </cell>
          <cell r="E883" t="str">
            <v>F</v>
          </cell>
          <cell r="F883" t="str">
            <v>mestiza</v>
          </cell>
          <cell r="K883" t="str">
            <v>Técnico Superior</v>
          </cell>
          <cell r="L883" t="str">
            <v>Si</v>
          </cell>
          <cell r="O883" t="str">
            <v>Lic. en Tecnología de la Salud</v>
          </cell>
        </row>
        <row r="884">
          <cell r="C884" t="str">
            <v>Maira Fernandez Rodriguez</v>
          </cell>
          <cell r="E884" t="str">
            <v>F</v>
          </cell>
          <cell r="F884" t="str">
            <v>negra</v>
          </cell>
          <cell r="K884" t="str">
            <v>Técnico Superior</v>
          </cell>
          <cell r="L884" t="str">
            <v>Si</v>
          </cell>
          <cell r="O884" t="str">
            <v>Lic. en Tecnología de la Salud</v>
          </cell>
        </row>
        <row r="885">
          <cell r="C885" t="str">
            <v>Marianela Carrión Lambert</v>
          </cell>
          <cell r="E885" t="str">
            <v>F</v>
          </cell>
          <cell r="F885" t="str">
            <v>mestiza</v>
          </cell>
          <cell r="K885" t="str">
            <v>Técnico Superior</v>
          </cell>
          <cell r="L885" t="str">
            <v>Si</v>
          </cell>
          <cell r="M885" t="str">
            <v>Lic. Bioanálisis Clínico</v>
          </cell>
          <cell r="O885" t="str">
            <v>Lic. en Tecnología de la Salud</v>
          </cell>
        </row>
        <row r="886">
          <cell r="C886" t="str">
            <v>Maryanis Mendez Villanueva</v>
          </cell>
          <cell r="E886" t="str">
            <v>F</v>
          </cell>
          <cell r="F886" t="str">
            <v>mestiza</v>
          </cell>
          <cell r="K886" t="str">
            <v>Técnico Superior</v>
          </cell>
          <cell r="L886" t="str">
            <v>Si</v>
          </cell>
          <cell r="O886" t="str">
            <v>Lic. en Tecnología de la Salud</v>
          </cell>
        </row>
        <row r="887">
          <cell r="C887" t="str">
            <v>Mileynis Perera Celian</v>
          </cell>
          <cell r="E887" t="str">
            <v>F</v>
          </cell>
          <cell r="F887" t="str">
            <v>negra</v>
          </cell>
          <cell r="K887" t="str">
            <v>Técnico Superior</v>
          </cell>
          <cell r="L887" t="str">
            <v>Si</v>
          </cell>
          <cell r="O887" t="str">
            <v>Lic. en Tecnología de la Salud</v>
          </cell>
        </row>
        <row r="888">
          <cell r="C888" t="str">
            <v>Neibis Ramirez Aguirre</v>
          </cell>
          <cell r="E888" t="str">
            <v>F</v>
          </cell>
          <cell r="F888" t="str">
            <v>mestiza</v>
          </cell>
          <cell r="K888" t="str">
            <v>Técnico Superior</v>
          </cell>
          <cell r="L888" t="str">
            <v>Si</v>
          </cell>
          <cell r="M888" t="str">
            <v>Lic. Bioanálisis Clínico</v>
          </cell>
          <cell r="O888" t="str">
            <v>Lic. en Tecnología de la Salud</v>
          </cell>
        </row>
        <row r="889">
          <cell r="C889" t="str">
            <v>Niurka Gracial Cribe</v>
          </cell>
          <cell r="E889" t="str">
            <v>F</v>
          </cell>
          <cell r="F889" t="str">
            <v>mestiza</v>
          </cell>
          <cell r="K889" t="str">
            <v>Técnico Superior</v>
          </cell>
          <cell r="L889" t="str">
            <v>Si</v>
          </cell>
          <cell r="O889" t="str">
            <v>Lic. en Tecnología de la Salud</v>
          </cell>
        </row>
        <row r="890">
          <cell r="C890" t="str">
            <v>Noralis Dominguez Durruthy</v>
          </cell>
          <cell r="E890" t="str">
            <v>F</v>
          </cell>
          <cell r="F890" t="str">
            <v>negra</v>
          </cell>
          <cell r="K890" t="str">
            <v>Técnico Superior</v>
          </cell>
          <cell r="L890" t="str">
            <v>Si</v>
          </cell>
          <cell r="O890" t="str">
            <v>Lic. en Tecnología de la Salud</v>
          </cell>
        </row>
        <row r="891">
          <cell r="C891" t="str">
            <v>Taiyana Gónzalez Bell</v>
          </cell>
          <cell r="E891" t="str">
            <v>F</v>
          </cell>
          <cell r="F891" t="str">
            <v>negra</v>
          </cell>
          <cell r="K891" t="str">
            <v>Técnico Superior</v>
          </cell>
          <cell r="L891" t="str">
            <v>Si</v>
          </cell>
          <cell r="O891" t="str">
            <v>Lic. en Tecnología de la Salud</v>
          </cell>
        </row>
        <row r="892">
          <cell r="C892" t="str">
            <v>Yailet Mustelier Alcantara</v>
          </cell>
          <cell r="E892" t="str">
            <v>F</v>
          </cell>
          <cell r="F892" t="str">
            <v>negra</v>
          </cell>
          <cell r="K892" t="str">
            <v>Técnico Superior</v>
          </cell>
          <cell r="L892" t="str">
            <v>Si</v>
          </cell>
          <cell r="O892" t="str">
            <v>Lic. en Tecnología de la Salud</v>
          </cell>
        </row>
        <row r="893">
          <cell r="C893" t="str">
            <v>Yaimaris Lora Salazar</v>
          </cell>
          <cell r="E893" t="str">
            <v>F</v>
          </cell>
          <cell r="F893" t="str">
            <v>negra</v>
          </cell>
          <cell r="K893" t="str">
            <v>Técnico Superior</v>
          </cell>
          <cell r="L893" t="str">
            <v>Si</v>
          </cell>
          <cell r="O893" t="str">
            <v>Lic. en Tecnología de la Salud</v>
          </cell>
        </row>
        <row r="894">
          <cell r="C894" t="str">
            <v>Yakerleidis Hodelin Lescay</v>
          </cell>
          <cell r="E894" t="str">
            <v>F</v>
          </cell>
          <cell r="F894" t="str">
            <v>mestiza</v>
          </cell>
          <cell r="K894" t="str">
            <v>Técnico Superior</v>
          </cell>
          <cell r="L894" t="str">
            <v>Si</v>
          </cell>
          <cell r="O894" t="str">
            <v>Lic. en Tecnología de la Salud</v>
          </cell>
        </row>
        <row r="895">
          <cell r="C895" t="str">
            <v>Yalina Fernandez Zamora</v>
          </cell>
          <cell r="E895" t="str">
            <v>F</v>
          </cell>
          <cell r="F895" t="str">
            <v>negra</v>
          </cell>
          <cell r="K895" t="str">
            <v>Técnico Superior</v>
          </cell>
          <cell r="L895" t="str">
            <v>Si</v>
          </cell>
          <cell r="O895" t="str">
            <v>Lic. en Tecnología de la Salud</v>
          </cell>
        </row>
        <row r="896">
          <cell r="C896" t="str">
            <v>Yamile Arroyo Fabart</v>
          </cell>
          <cell r="E896" t="str">
            <v>F</v>
          </cell>
          <cell r="F896" t="str">
            <v>mestiza</v>
          </cell>
          <cell r="K896" t="str">
            <v>Técnico Superior</v>
          </cell>
          <cell r="L896" t="str">
            <v>Si</v>
          </cell>
          <cell r="O896" t="str">
            <v>Lic. en Tecnología de la Salud</v>
          </cell>
        </row>
        <row r="897">
          <cell r="C897" t="str">
            <v>Yamileisy Rodriguez Campos</v>
          </cell>
          <cell r="E897" t="str">
            <v>F</v>
          </cell>
          <cell r="F897" t="str">
            <v>mestiza</v>
          </cell>
          <cell r="K897" t="str">
            <v>Técnico Superior</v>
          </cell>
          <cell r="L897" t="str">
            <v>Si</v>
          </cell>
          <cell r="O897" t="str">
            <v>Lic. en Tecnología de la Salud</v>
          </cell>
        </row>
        <row r="898">
          <cell r="C898" t="str">
            <v>Yaneisy Miclin Barrientos</v>
          </cell>
          <cell r="E898" t="str">
            <v>F</v>
          </cell>
          <cell r="F898" t="str">
            <v>negra</v>
          </cell>
          <cell r="K898" t="str">
            <v>Técnico Superior</v>
          </cell>
          <cell r="L898" t="str">
            <v>Si</v>
          </cell>
          <cell r="O898" t="str">
            <v>Lic. en Tecnología de la Salud</v>
          </cell>
        </row>
        <row r="899">
          <cell r="C899" t="str">
            <v>Yanelis Barrera Robert</v>
          </cell>
          <cell r="E899" t="str">
            <v>F</v>
          </cell>
          <cell r="F899" t="str">
            <v>mestiza</v>
          </cell>
          <cell r="K899" t="str">
            <v>Técnico Superior</v>
          </cell>
          <cell r="L899" t="str">
            <v>Si</v>
          </cell>
          <cell r="O899" t="str">
            <v>Lic. en Tecnología de la Salud</v>
          </cell>
        </row>
        <row r="900">
          <cell r="C900" t="str">
            <v>Yanelis Quiñones Ruiz</v>
          </cell>
          <cell r="E900" t="str">
            <v>F</v>
          </cell>
          <cell r="F900" t="str">
            <v>mestiza</v>
          </cell>
          <cell r="K900" t="str">
            <v>Técnico Superior</v>
          </cell>
          <cell r="L900" t="str">
            <v>Si</v>
          </cell>
          <cell r="O900" t="str">
            <v>Lic. en Tecnología de la Salud</v>
          </cell>
        </row>
        <row r="901">
          <cell r="C901" t="str">
            <v>Yanet López Dominguez</v>
          </cell>
          <cell r="E901" t="str">
            <v>F</v>
          </cell>
          <cell r="F901" t="str">
            <v>mestiza</v>
          </cell>
          <cell r="K901" t="str">
            <v>Técnico Superior</v>
          </cell>
          <cell r="L901" t="str">
            <v>Si</v>
          </cell>
          <cell r="O901" t="str">
            <v>Lic. en Tecnología de la Salud</v>
          </cell>
        </row>
        <row r="902">
          <cell r="C902" t="str">
            <v>Yasel Sanchez Medina</v>
          </cell>
          <cell r="E902" t="str">
            <v>M</v>
          </cell>
          <cell r="F902" t="str">
            <v>negra</v>
          </cell>
          <cell r="K902" t="str">
            <v>Técnico Superior</v>
          </cell>
          <cell r="L902" t="str">
            <v>Si</v>
          </cell>
          <cell r="O902" t="str">
            <v>Lic. en Tecnología de la Salud</v>
          </cell>
        </row>
        <row r="903">
          <cell r="C903" t="str">
            <v xml:space="preserve">Yelianne Leyva González </v>
          </cell>
          <cell r="E903" t="str">
            <v>F</v>
          </cell>
          <cell r="F903" t="str">
            <v>blanca</v>
          </cell>
          <cell r="K903" t="str">
            <v>Técnico Superior</v>
          </cell>
          <cell r="L903" t="str">
            <v>Si</v>
          </cell>
          <cell r="O903" t="str">
            <v>Lic. en Tecnología de la Salud</v>
          </cell>
        </row>
        <row r="904">
          <cell r="C904" t="str">
            <v xml:space="preserve">Yeneydis Martinez Luna </v>
          </cell>
          <cell r="E904" t="str">
            <v>F</v>
          </cell>
          <cell r="F904" t="str">
            <v>mestiza</v>
          </cell>
          <cell r="K904" t="str">
            <v>Técnico Superior</v>
          </cell>
          <cell r="L904" t="str">
            <v>Si</v>
          </cell>
          <cell r="O904" t="str">
            <v>Lic. en Tecnología de la Salud</v>
          </cell>
        </row>
        <row r="905">
          <cell r="C905" t="str">
            <v>Yeregnis Rodriguez Castelnau</v>
          </cell>
          <cell r="E905" t="str">
            <v>F</v>
          </cell>
          <cell r="F905" t="str">
            <v>negra</v>
          </cell>
          <cell r="K905" t="str">
            <v>Técnico Superior</v>
          </cell>
          <cell r="L905" t="str">
            <v>Si</v>
          </cell>
          <cell r="O905" t="str">
            <v>Lic. en Tecnología de la Salud</v>
          </cell>
        </row>
        <row r="906">
          <cell r="C906" t="str">
            <v>Yoelis Del Rio Garcia</v>
          </cell>
          <cell r="E906" t="str">
            <v>M</v>
          </cell>
          <cell r="F906" t="str">
            <v>negra</v>
          </cell>
          <cell r="K906" t="str">
            <v>Técnico Superior</v>
          </cell>
          <cell r="L906" t="str">
            <v>Si</v>
          </cell>
          <cell r="O906" t="str">
            <v>Lic. en Tecnología de la Salud</v>
          </cell>
        </row>
        <row r="907">
          <cell r="C907" t="str">
            <v>Yuneidy Rivero Silva</v>
          </cell>
          <cell r="E907" t="str">
            <v>F</v>
          </cell>
          <cell r="F907" t="str">
            <v>mestiza</v>
          </cell>
          <cell r="K907" t="str">
            <v>Técnico Superior</v>
          </cell>
          <cell r="L907" t="str">
            <v>Si</v>
          </cell>
          <cell r="O907" t="str">
            <v>Lic. en Tecnología de la Salud</v>
          </cell>
        </row>
        <row r="908">
          <cell r="C908" t="str">
            <v>Yuniel Lopez Almenarez</v>
          </cell>
          <cell r="E908" t="str">
            <v>M</v>
          </cell>
          <cell r="F908" t="str">
            <v>mestiza</v>
          </cell>
          <cell r="K908" t="str">
            <v>Técnico Superior</v>
          </cell>
          <cell r="L908" t="str">
            <v>Si</v>
          </cell>
          <cell r="O908" t="str">
            <v>Lic. en Tecnología de la Salud</v>
          </cell>
        </row>
        <row r="909">
          <cell r="C909" t="str">
            <v>Yuriseydis Fonden Guzman</v>
          </cell>
          <cell r="E909" t="str">
            <v>F</v>
          </cell>
          <cell r="F909" t="str">
            <v>negra</v>
          </cell>
          <cell r="K909" t="str">
            <v>Técnico Superior</v>
          </cell>
          <cell r="L909" t="str">
            <v>Si</v>
          </cell>
          <cell r="O909" t="str">
            <v>Lic. en Tecnología de la Salud</v>
          </cell>
        </row>
        <row r="910">
          <cell r="C910" t="str">
            <v>Yanet Ramirez Lezcay</v>
          </cell>
          <cell r="E910" t="str">
            <v>F</v>
          </cell>
          <cell r="F910" t="str">
            <v>mestiza</v>
          </cell>
          <cell r="K910" t="str">
            <v>Técnico Superior</v>
          </cell>
          <cell r="L910" t="str">
            <v>No</v>
          </cell>
          <cell r="O910" t="str">
            <v>Lic. en Tecnología de la Salud</v>
          </cell>
        </row>
        <row r="911">
          <cell r="C911" t="str">
            <v>Yilieti Sánchez Ramirez</v>
          </cell>
          <cell r="E911" t="str">
            <v>F</v>
          </cell>
          <cell r="F911" t="str">
            <v>mestiza</v>
          </cell>
          <cell r="K911" t="str">
            <v>Técnico Superior</v>
          </cell>
          <cell r="L911" t="str">
            <v>Si</v>
          </cell>
          <cell r="O911" t="str">
            <v>Lic. Enfermería</v>
          </cell>
        </row>
        <row r="912">
          <cell r="C912" t="str">
            <v>anieska Hodelin moreno</v>
          </cell>
          <cell r="E912" t="str">
            <v>F</v>
          </cell>
          <cell r="F912" t="str">
            <v>mestiza</v>
          </cell>
          <cell r="K912" t="str">
            <v>Técnico Superior</v>
          </cell>
          <cell r="L912" t="str">
            <v>Si</v>
          </cell>
          <cell r="O912" t="str">
            <v>Lic. Enfermería</v>
          </cell>
        </row>
        <row r="913">
          <cell r="C913" t="str">
            <v>Arianna Grant Sierra</v>
          </cell>
          <cell r="E913" t="str">
            <v>F</v>
          </cell>
          <cell r="F913" t="str">
            <v>mestiza</v>
          </cell>
          <cell r="K913" t="str">
            <v>Técnico Superior</v>
          </cell>
          <cell r="L913" t="str">
            <v>Si</v>
          </cell>
          <cell r="O913" t="str">
            <v>Lic. Enfermería</v>
          </cell>
        </row>
        <row r="914">
          <cell r="C914" t="str">
            <v>ariel heredia almenares</v>
          </cell>
          <cell r="E914" t="str">
            <v>M</v>
          </cell>
          <cell r="F914" t="str">
            <v>mestiza</v>
          </cell>
          <cell r="K914" t="str">
            <v>Técnico Superior</v>
          </cell>
          <cell r="L914" t="str">
            <v>Si</v>
          </cell>
          <cell r="O914" t="str">
            <v>Lic. Enfermería</v>
          </cell>
        </row>
        <row r="915">
          <cell r="C915" t="str">
            <v>Arileixi Rivero González</v>
          </cell>
          <cell r="E915" t="str">
            <v>F</v>
          </cell>
          <cell r="F915" t="str">
            <v>mestiza</v>
          </cell>
          <cell r="K915" t="str">
            <v>Técnico Superior</v>
          </cell>
          <cell r="L915" t="str">
            <v>Si</v>
          </cell>
          <cell r="O915" t="str">
            <v>Lic. Enfermería</v>
          </cell>
        </row>
        <row r="916">
          <cell r="C916" t="str">
            <v>Arisleidys Veranes Coss</v>
          </cell>
          <cell r="E916" t="str">
            <v>F</v>
          </cell>
          <cell r="F916" t="str">
            <v>mestiza</v>
          </cell>
          <cell r="K916" t="str">
            <v>Técnico Superior</v>
          </cell>
          <cell r="L916" t="str">
            <v>Si</v>
          </cell>
          <cell r="O916" t="str">
            <v>Lic. Enfermería</v>
          </cell>
        </row>
        <row r="917">
          <cell r="C917" t="str">
            <v>Aymara Olivares Frometa</v>
          </cell>
          <cell r="E917" t="str">
            <v>F</v>
          </cell>
          <cell r="F917" t="str">
            <v>blanca</v>
          </cell>
          <cell r="K917" t="str">
            <v>Técnico Superior</v>
          </cell>
          <cell r="L917" t="str">
            <v>Si</v>
          </cell>
          <cell r="O917" t="str">
            <v>Lic. Enfermería</v>
          </cell>
        </row>
        <row r="918">
          <cell r="C918" t="str">
            <v>Balentina Baró Pacheco</v>
          </cell>
          <cell r="E918" t="str">
            <v>F</v>
          </cell>
          <cell r="F918" t="str">
            <v>negra</v>
          </cell>
          <cell r="K918" t="str">
            <v>Técnico Superior</v>
          </cell>
          <cell r="L918" t="str">
            <v>Si</v>
          </cell>
          <cell r="O918" t="str">
            <v>Lic. Enfermería</v>
          </cell>
        </row>
        <row r="919">
          <cell r="C919" t="str">
            <v>Caridad Gonzalez La O</v>
          </cell>
          <cell r="E919" t="str">
            <v>F</v>
          </cell>
          <cell r="F919" t="str">
            <v>mestiza</v>
          </cell>
          <cell r="K919" t="str">
            <v>Técnico Superior</v>
          </cell>
          <cell r="L919" t="str">
            <v>Si</v>
          </cell>
          <cell r="O919" t="str">
            <v>Lic. Enfermería</v>
          </cell>
        </row>
        <row r="920">
          <cell r="C920" t="str">
            <v>Caridad Napoles Romero</v>
          </cell>
          <cell r="E920" t="str">
            <v>F</v>
          </cell>
          <cell r="F920" t="str">
            <v>negra</v>
          </cell>
          <cell r="K920" t="str">
            <v>Técnico Superior</v>
          </cell>
          <cell r="L920" t="str">
            <v>Si</v>
          </cell>
          <cell r="O920" t="str">
            <v>Lic. Enfermería</v>
          </cell>
        </row>
        <row r="921">
          <cell r="C921" t="str">
            <v>Dagmara Zamora Rodriguez</v>
          </cell>
          <cell r="E921" t="str">
            <v>F</v>
          </cell>
          <cell r="F921" t="str">
            <v>mestiza</v>
          </cell>
          <cell r="K921" t="str">
            <v>Técnico Superior</v>
          </cell>
          <cell r="L921" t="str">
            <v>Si</v>
          </cell>
          <cell r="O921" t="str">
            <v>Lic. Enfermería</v>
          </cell>
        </row>
        <row r="922">
          <cell r="C922" t="str">
            <v>Daniuska Thomas Sanchez</v>
          </cell>
          <cell r="E922" t="str">
            <v>F</v>
          </cell>
          <cell r="F922" t="str">
            <v>negra</v>
          </cell>
          <cell r="K922" t="str">
            <v>Técnico Superior</v>
          </cell>
          <cell r="L922" t="str">
            <v>Si</v>
          </cell>
          <cell r="O922" t="str">
            <v>Lic. Enfermería</v>
          </cell>
        </row>
        <row r="923">
          <cell r="C923" t="str">
            <v>Dayanis Oconor Gónzalez</v>
          </cell>
          <cell r="E923" t="str">
            <v>F</v>
          </cell>
          <cell r="F923" t="str">
            <v>mestiza</v>
          </cell>
          <cell r="K923" t="str">
            <v>Técnico Superior</v>
          </cell>
          <cell r="L923" t="str">
            <v>Si</v>
          </cell>
          <cell r="O923" t="str">
            <v>Lic. Enfermería</v>
          </cell>
        </row>
        <row r="924">
          <cell r="C924" t="str">
            <v>DAYLIN BETANCOURT CHARON</v>
          </cell>
          <cell r="E924" t="str">
            <v>F</v>
          </cell>
          <cell r="F924" t="str">
            <v>mestiza</v>
          </cell>
          <cell r="K924" t="str">
            <v>Técnico Superior</v>
          </cell>
          <cell r="L924" t="str">
            <v>Si</v>
          </cell>
          <cell r="O924" t="str">
            <v>Lic. Enfermería</v>
          </cell>
        </row>
        <row r="925">
          <cell r="C925" t="str">
            <v>Daymarelis Martinez Deroncele</v>
          </cell>
          <cell r="E925" t="str">
            <v>F</v>
          </cell>
          <cell r="F925" t="str">
            <v>negra</v>
          </cell>
          <cell r="K925" t="str">
            <v>Técnico Superior</v>
          </cell>
          <cell r="L925" t="str">
            <v>Si</v>
          </cell>
          <cell r="O925" t="str">
            <v>Lic. Enfermería</v>
          </cell>
        </row>
        <row r="926">
          <cell r="C926" t="str">
            <v>Elizabeth Ramirez Sanchez</v>
          </cell>
          <cell r="E926" t="str">
            <v>F</v>
          </cell>
          <cell r="F926" t="str">
            <v>mestiza</v>
          </cell>
          <cell r="K926" t="str">
            <v>Técnico Superior</v>
          </cell>
          <cell r="L926" t="str">
            <v>Si</v>
          </cell>
          <cell r="O926" t="str">
            <v>Lic. Enfermería</v>
          </cell>
        </row>
        <row r="927">
          <cell r="C927" t="str">
            <v>gloria julia mustelier torres</v>
          </cell>
          <cell r="E927" t="str">
            <v>F</v>
          </cell>
          <cell r="F927" t="str">
            <v>negra</v>
          </cell>
          <cell r="K927" t="str">
            <v>Técnico Superior</v>
          </cell>
          <cell r="L927" t="str">
            <v>Si</v>
          </cell>
          <cell r="O927" t="str">
            <v>Lic. Enfermería</v>
          </cell>
        </row>
        <row r="928">
          <cell r="C928" t="str">
            <v>IMIRSI FIGUEROA MARERO</v>
          </cell>
          <cell r="E928" t="str">
            <v>F</v>
          </cell>
          <cell r="F928" t="str">
            <v>mestiza</v>
          </cell>
          <cell r="K928" t="str">
            <v>Técnico Superior</v>
          </cell>
          <cell r="L928" t="str">
            <v>Si</v>
          </cell>
          <cell r="O928" t="str">
            <v>Lic. Enfermería</v>
          </cell>
        </row>
        <row r="929">
          <cell r="C929" t="str">
            <v>Isis Maria Torres Serrano</v>
          </cell>
          <cell r="E929" t="str">
            <v>F</v>
          </cell>
          <cell r="F929" t="str">
            <v>negra</v>
          </cell>
          <cell r="K929" t="str">
            <v>Técnico Superior</v>
          </cell>
          <cell r="L929" t="str">
            <v>Si</v>
          </cell>
          <cell r="O929" t="str">
            <v>Lic. Enfermería</v>
          </cell>
        </row>
        <row r="930">
          <cell r="C930" t="str">
            <v>Joaquein Ascanio Silvente</v>
          </cell>
          <cell r="E930" t="str">
            <v>M</v>
          </cell>
          <cell r="F930" t="str">
            <v>mestiza</v>
          </cell>
          <cell r="K930" t="str">
            <v>Técnico Superior</v>
          </cell>
          <cell r="L930" t="str">
            <v>Si</v>
          </cell>
          <cell r="O930" t="str">
            <v>Lic. Enfermería</v>
          </cell>
        </row>
        <row r="931">
          <cell r="C931" t="str">
            <v>Karelia Perez Romero</v>
          </cell>
          <cell r="E931" t="str">
            <v>F</v>
          </cell>
          <cell r="F931" t="str">
            <v>negra</v>
          </cell>
          <cell r="K931" t="str">
            <v>Técnico Superior</v>
          </cell>
          <cell r="L931" t="str">
            <v>Si</v>
          </cell>
          <cell r="O931" t="str">
            <v>Lic. Enfermería</v>
          </cell>
        </row>
        <row r="932">
          <cell r="C932" t="str">
            <v>Kenia Garmuris Napoles</v>
          </cell>
          <cell r="E932" t="str">
            <v>F</v>
          </cell>
          <cell r="F932" t="str">
            <v>negra</v>
          </cell>
          <cell r="K932" t="str">
            <v>Técnico Superior</v>
          </cell>
          <cell r="L932" t="str">
            <v>Si</v>
          </cell>
          <cell r="O932" t="str">
            <v>Lic. Enfermería</v>
          </cell>
        </row>
        <row r="933">
          <cell r="C933" t="str">
            <v>leonardo luna cueva</v>
          </cell>
          <cell r="E933" t="str">
            <v>M</v>
          </cell>
          <cell r="F933" t="str">
            <v>mestiza</v>
          </cell>
          <cell r="K933" t="str">
            <v>Técnico Superior</v>
          </cell>
          <cell r="L933" t="str">
            <v>Si</v>
          </cell>
          <cell r="O933" t="str">
            <v>Lic. Enfermería</v>
          </cell>
        </row>
        <row r="934">
          <cell r="C934" t="str">
            <v>Leyani Cos Verdecia</v>
          </cell>
          <cell r="E934" t="str">
            <v>F</v>
          </cell>
          <cell r="F934" t="str">
            <v>mestiza</v>
          </cell>
          <cell r="K934" t="str">
            <v>Técnico Superior</v>
          </cell>
          <cell r="L934" t="str">
            <v>Si</v>
          </cell>
          <cell r="O934" t="str">
            <v>Lic. Enfermería</v>
          </cell>
        </row>
        <row r="935">
          <cell r="C935" t="str">
            <v>Lili Maria Harriette Bazan</v>
          </cell>
          <cell r="E935" t="str">
            <v>F</v>
          </cell>
          <cell r="F935" t="str">
            <v>mestiza</v>
          </cell>
          <cell r="K935" t="str">
            <v>Técnico Superior</v>
          </cell>
          <cell r="L935" t="str">
            <v>Si</v>
          </cell>
          <cell r="O935" t="str">
            <v>Lic. Enfermería</v>
          </cell>
        </row>
        <row r="936">
          <cell r="C936" t="str">
            <v>Lisbet Kindelan Callol</v>
          </cell>
          <cell r="E936" t="str">
            <v>F</v>
          </cell>
          <cell r="F936" t="str">
            <v>negra</v>
          </cell>
          <cell r="K936" t="str">
            <v>Técnico Superior</v>
          </cell>
          <cell r="L936" t="str">
            <v>Si</v>
          </cell>
          <cell r="O936" t="str">
            <v>Lic. Enfermería</v>
          </cell>
        </row>
        <row r="937">
          <cell r="C937" t="str">
            <v>Yamileydis Fernández la Rosa</v>
          </cell>
          <cell r="E937" t="str">
            <v>F</v>
          </cell>
          <cell r="F937" t="str">
            <v>blanca</v>
          </cell>
          <cell r="K937" t="str">
            <v>Técnico Superior</v>
          </cell>
          <cell r="L937" t="str">
            <v>Si</v>
          </cell>
          <cell r="O937" t="str">
            <v>Lic. Enfermería</v>
          </cell>
        </row>
        <row r="938">
          <cell r="C938" t="str">
            <v>Marbelis Ramirez Delas</v>
          </cell>
          <cell r="E938" t="str">
            <v>F</v>
          </cell>
          <cell r="F938" t="str">
            <v>mestiza</v>
          </cell>
          <cell r="K938" t="str">
            <v>Técnico Superior</v>
          </cell>
          <cell r="L938" t="str">
            <v>Si</v>
          </cell>
          <cell r="O938" t="str">
            <v>Lic. Enfermería</v>
          </cell>
        </row>
        <row r="939">
          <cell r="C939" t="str">
            <v>María Gricel Castellanos Pellicer</v>
          </cell>
          <cell r="E939" t="str">
            <v>F</v>
          </cell>
          <cell r="F939" t="str">
            <v>negra</v>
          </cell>
          <cell r="K939" t="str">
            <v>Técnico Superior</v>
          </cell>
          <cell r="L939" t="str">
            <v>Si</v>
          </cell>
          <cell r="O939" t="str">
            <v>Lic. Enfermería</v>
          </cell>
        </row>
        <row r="940">
          <cell r="C940" t="str">
            <v>Mariuska Perez Tejeda</v>
          </cell>
          <cell r="E940" t="str">
            <v>F</v>
          </cell>
          <cell r="F940" t="str">
            <v>mestiza</v>
          </cell>
          <cell r="K940" t="str">
            <v>Técnico Superior</v>
          </cell>
          <cell r="L940" t="str">
            <v>Si</v>
          </cell>
          <cell r="O940" t="str">
            <v>Lic. Enfermería</v>
          </cell>
        </row>
        <row r="941">
          <cell r="C941" t="str">
            <v>Marlan Aguilar Muñoz</v>
          </cell>
          <cell r="E941" t="str">
            <v>F</v>
          </cell>
          <cell r="F941" t="str">
            <v>mestiza</v>
          </cell>
          <cell r="K941" t="str">
            <v>Técnico Superior</v>
          </cell>
          <cell r="L941" t="str">
            <v>Si</v>
          </cell>
          <cell r="O941" t="str">
            <v>Lic. Enfermería</v>
          </cell>
        </row>
        <row r="942">
          <cell r="C942" t="str">
            <v>maydelin melo pupo</v>
          </cell>
          <cell r="E942" t="str">
            <v>F</v>
          </cell>
          <cell r="F942" t="str">
            <v>blanca</v>
          </cell>
          <cell r="K942" t="str">
            <v>Técnico Superior</v>
          </cell>
          <cell r="L942" t="str">
            <v>Si</v>
          </cell>
          <cell r="O942" t="str">
            <v>Lic. Enfermería</v>
          </cell>
        </row>
        <row r="943">
          <cell r="C943" t="str">
            <v>Maylin Ojeda Hernandez</v>
          </cell>
          <cell r="E943" t="str">
            <v>F</v>
          </cell>
          <cell r="F943" t="str">
            <v>blanca</v>
          </cell>
          <cell r="K943" t="str">
            <v>Técnico Superior</v>
          </cell>
          <cell r="L943" t="str">
            <v>Si</v>
          </cell>
          <cell r="O943" t="str">
            <v>Lic. Enfermería</v>
          </cell>
        </row>
        <row r="944">
          <cell r="C944" t="str">
            <v>Mirurgia Fonseca Jorge</v>
          </cell>
          <cell r="E944" t="str">
            <v>F</v>
          </cell>
          <cell r="F944" t="str">
            <v>mestiza</v>
          </cell>
          <cell r="K944" t="str">
            <v>Técnico Superior</v>
          </cell>
          <cell r="L944" t="str">
            <v>Si</v>
          </cell>
          <cell r="O944" t="str">
            <v>Lic. Enfermería</v>
          </cell>
        </row>
        <row r="945">
          <cell r="C945" t="str">
            <v>Nadiuska Sosa Calunga</v>
          </cell>
          <cell r="E945" t="str">
            <v>F</v>
          </cell>
          <cell r="F945" t="str">
            <v>mestiza</v>
          </cell>
          <cell r="K945" t="str">
            <v>Técnico Superior</v>
          </cell>
          <cell r="L945" t="str">
            <v>Si</v>
          </cell>
          <cell r="O945" t="str">
            <v>Lic. Enfermería</v>
          </cell>
        </row>
        <row r="946">
          <cell r="C946" t="str">
            <v>NIDIA LESCAY CEDEÑO</v>
          </cell>
          <cell r="E946" t="str">
            <v>F</v>
          </cell>
          <cell r="F946" t="str">
            <v>mestiza</v>
          </cell>
          <cell r="K946" t="str">
            <v>Técnico Superior</v>
          </cell>
          <cell r="L946" t="str">
            <v>Si</v>
          </cell>
          <cell r="O946" t="str">
            <v>Lic. Enfermería</v>
          </cell>
        </row>
        <row r="947">
          <cell r="C947" t="str">
            <v>nilda blanco miclin</v>
          </cell>
          <cell r="E947" t="str">
            <v>F</v>
          </cell>
          <cell r="F947" t="str">
            <v>mestiza</v>
          </cell>
          <cell r="K947" t="str">
            <v>Cuadro</v>
          </cell>
          <cell r="L947" t="str">
            <v>Si</v>
          </cell>
          <cell r="O947" t="str">
            <v>Lic. Enfermería</v>
          </cell>
        </row>
        <row r="948">
          <cell r="C948" t="str">
            <v>Noermis Matos Daniel</v>
          </cell>
          <cell r="E948" t="str">
            <v>m</v>
          </cell>
          <cell r="F948" t="str">
            <v>negra</v>
          </cell>
          <cell r="K948" t="str">
            <v>Técnico Superior</v>
          </cell>
          <cell r="L948" t="str">
            <v>Si</v>
          </cell>
          <cell r="O948" t="str">
            <v>Lic. Enfermería</v>
          </cell>
        </row>
        <row r="949">
          <cell r="C949" t="str">
            <v>Olaivis Daudinot Spek</v>
          </cell>
          <cell r="E949" t="str">
            <v>F</v>
          </cell>
          <cell r="F949" t="str">
            <v>negra</v>
          </cell>
          <cell r="K949" t="str">
            <v>Técnico Superior</v>
          </cell>
          <cell r="L949" t="str">
            <v>Si</v>
          </cell>
          <cell r="O949" t="str">
            <v>Lic. Enfermería</v>
          </cell>
        </row>
        <row r="950">
          <cell r="C950" t="str">
            <v>Olga Luisa Hodelin Brugal</v>
          </cell>
          <cell r="E950" t="str">
            <v>F</v>
          </cell>
          <cell r="F950" t="str">
            <v>mestiza</v>
          </cell>
          <cell r="K950" t="str">
            <v>Técnico Superior</v>
          </cell>
          <cell r="L950" t="str">
            <v>Si</v>
          </cell>
          <cell r="O950" t="str">
            <v>Lic. Enfermería</v>
          </cell>
        </row>
        <row r="951">
          <cell r="C951" t="str">
            <v>Rosabel Bolaño Campo</v>
          </cell>
          <cell r="E951" t="str">
            <v>F</v>
          </cell>
          <cell r="F951" t="str">
            <v>mestiza</v>
          </cell>
          <cell r="K951" t="str">
            <v>Técnico Superior</v>
          </cell>
          <cell r="L951" t="str">
            <v>Si</v>
          </cell>
          <cell r="O951" t="str">
            <v>Lic. Enfermería</v>
          </cell>
        </row>
        <row r="952">
          <cell r="C952" t="str">
            <v>Solay Reyes Rodríguez</v>
          </cell>
          <cell r="E952" t="str">
            <v>F</v>
          </cell>
          <cell r="F952" t="str">
            <v>mestiza</v>
          </cell>
          <cell r="K952" t="str">
            <v>Técnico Superior</v>
          </cell>
          <cell r="L952" t="str">
            <v>Si</v>
          </cell>
          <cell r="O952" t="str">
            <v>Lic. Enfermería</v>
          </cell>
        </row>
        <row r="953">
          <cell r="C953" t="str">
            <v>Wendys Hernández Vargas</v>
          </cell>
          <cell r="E953" t="str">
            <v>F</v>
          </cell>
          <cell r="F953" t="str">
            <v>mestiza</v>
          </cell>
          <cell r="K953" t="str">
            <v>Técnico Superior</v>
          </cell>
          <cell r="L953" t="str">
            <v>Si</v>
          </cell>
          <cell r="O953" t="str">
            <v>Lic. Enfermería</v>
          </cell>
        </row>
        <row r="954">
          <cell r="C954" t="str">
            <v>YENNIER RODRIGUEZ HECHAVARRIA</v>
          </cell>
          <cell r="E954" t="str">
            <v>M</v>
          </cell>
          <cell r="F954" t="str">
            <v>negra</v>
          </cell>
          <cell r="K954" t="str">
            <v>Técnico Superior</v>
          </cell>
          <cell r="L954" t="str">
            <v>Si</v>
          </cell>
          <cell r="O954" t="str">
            <v>Lic. Enfermería</v>
          </cell>
        </row>
        <row r="955">
          <cell r="C955" t="str">
            <v>Yisell Bicet Heredia</v>
          </cell>
          <cell r="E955" t="str">
            <v>F</v>
          </cell>
          <cell r="F955" t="str">
            <v>mestiza</v>
          </cell>
          <cell r="K955" t="str">
            <v>Técnico Superior</v>
          </cell>
          <cell r="L955" t="str">
            <v>Si</v>
          </cell>
          <cell r="O955" t="str">
            <v>Lic. Enfermería</v>
          </cell>
        </row>
        <row r="956">
          <cell r="C956" t="str">
            <v>Yamileydis Leliebre Hechavarría</v>
          </cell>
          <cell r="E956" t="str">
            <v>F</v>
          </cell>
          <cell r="F956" t="str">
            <v>mestiza</v>
          </cell>
          <cell r="K956" t="str">
            <v>Técnico Superior</v>
          </cell>
          <cell r="L956" t="str">
            <v>Si</v>
          </cell>
          <cell r="O956" t="str">
            <v>Lic. Enfermería</v>
          </cell>
        </row>
        <row r="957">
          <cell r="C957" t="str">
            <v>Yudit Masso Hardy</v>
          </cell>
          <cell r="E957" t="str">
            <v>F</v>
          </cell>
          <cell r="F957" t="str">
            <v>negra</v>
          </cell>
          <cell r="K957" t="str">
            <v>Técnico Superior</v>
          </cell>
          <cell r="L957" t="str">
            <v>Si</v>
          </cell>
          <cell r="O957" t="str">
            <v>Lic. Enfermería</v>
          </cell>
        </row>
        <row r="958">
          <cell r="C958" t="str">
            <v>Yuneisy Maturell Puente</v>
          </cell>
          <cell r="E958" t="str">
            <v>F</v>
          </cell>
          <cell r="F958" t="str">
            <v>mestiza</v>
          </cell>
          <cell r="K958" t="str">
            <v>Técnico Superior</v>
          </cell>
          <cell r="L958" t="str">
            <v>Si</v>
          </cell>
          <cell r="O958" t="str">
            <v>Lic. Enfermería</v>
          </cell>
        </row>
        <row r="959">
          <cell r="C959" t="str">
            <v>yanelis sorzano hodeliu</v>
          </cell>
          <cell r="E959" t="str">
            <v>F</v>
          </cell>
          <cell r="F959" t="str">
            <v>negra</v>
          </cell>
          <cell r="K959" t="str">
            <v>Técnico Superior</v>
          </cell>
          <cell r="L959" t="str">
            <v>Si</v>
          </cell>
          <cell r="O959" t="str">
            <v>Lic. Enfermería</v>
          </cell>
        </row>
        <row r="960">
          <cell r="C960" t="str">
            <v>Yanehsy Roque Carbonrll</v>
          </cell>
          <cell r="E960" t="str">
            <v>F</v>
          </cell>
          <cell r="F960" t="str">
            <v>negra</v>
          </cell>
          <cell r="K960" t="str">
            <v>Técnico Superior</v>
          </cell>
          <cell r="L960" t="str">
            <v>Si</v>
          </cell>
          <cell r="O960" t="str">
            <v>Lic. Enfermería</v>
          </cell>
        </row>
        <row r="961">
          <cell r="C961" t="str">
            <v>Idalia Despaigne Tellez</v>
          </cell>
          <cell r="E961" t="str">
            <v>F</v>
          </cell>
          <cell r="F961" t="str">
            <v>mestiza</v>
          </cell>
          <cell r="K961" t="str">
            <v>Técnico Superior</v>
          </cell>
          <cell r="L961" t="str">
            <v>Si</v>
          </cell>
          <cell r="O961" t="str">
            <v>Lic. Enfermería</v>
          </cell>
        </row>
        <row r="962">
          <cell r="C962" t="str">
            <v>Yima Arguelles Portuondo</v>
          </cell>
          <cell r="E962" t="str">
            <v>F</v>
          </cell>
          <cell r="F962" t="str">
            <v>mestiza</v>
          </cell>
          <cell r="K962" t="str">
            <v>Técnico Superior</v>
          </cell>
          <cell r="L962" t="str">
            <v>Si</v>
          </cell>
          <cell r="O962" t="str">
            <v>Lic. Enfermería</v>
          </cell>
        </row>
        <row r="963">
          <cell r="C963" t="str">
            <v>Adail Bolaños Horrutiner</v>
          </cell>
          <cell r="E963" t="str">
            <v>M</v>
          </cell>
          <cell r="F963" t="str">
            <v>mestiza</v>
          </cell>
          <cell r="K963" t="str">
            <v>Técnico Superior</v>
          </cell>
          <cell r="L963" t="str">
            <v>Si</v>
          </cell>
          <cell r="O963" t="str">
            <v>Médico</v>
          </cell>
        </row>
        <row r="964">
          <cell r="C964" t="str">
            <v>Adde Alberto Veranes Ruiz</v>
          </cell>
          <cell r="E964" t="str">
            <v>M</v>
          </cell>
          <cell r="F964" t="str">
            <v>negra</v>
          </cell>
          <cell r="K964" t="str">
            <v>Técnico Superior</v>
          </cell>
          <cell r="L964" t="str">
            <v>Si</v>
          </cell>
          <cell r="O964" t="str">
            <v>Médico</v>
          </cell>
        </row>
        <row r="965">
          <cell r="C965" t="str">
            <v>Alcibiades Verys Brugal</v>
          </cell>
          <cell r="E965" t="str">
            <v>M</v>
          </cell>
          <cell r="F965" t="str">
            <v>blanca</v>
          </cell>
          <cell r="K965" t="str">
            <v>Técnico Superior</v>
          </cell>
          <cell r="L965" t="str">
            <v>Si</v>
          </cell>
          <cell r="O965" t="str">
            <v>Médico</v>
          </cell>
        </row>
        <row r="966">
          <cell r="C966" t="str">
            <v>Alejandro Ortega Melo</v>
          </cell>
          <cell r="E966" t="str">
            <v>M</v>
          </cell>
          <cell r="F966" t="str">
            <v>mestiza</v>
          </cell>
          <cell r="K966" t="str">
            <v>Técnico Superior</v>
          </cell>
          <cell r="L966" t="str">
            <v>Si</v>
          </cell>
          <cell r="O966" t="str">
            <v>Médico</v>
          </cell>
        </row>
        <row r="967">
          <cell r="C967" t="str">
            <v>Alejandro Rodriguez Nápoles</v>
          </cell>
          <cell r="E967" t="str">
            <v>M</v>
          </cell>
          <cell r="F967" t="str">
            <v>mestiza</v>
          </cell>
          <cell r="K967" t="str">
            <v>Técnico Superior</v>
          </cell>
          <cell r="L967" t="str">
            <v>Si</v>
          </cell>
          <cell r="O967" t="str">
            <v>Médico</v>
          </cell>
        </row>
        <row r="968">
          <cell r="C968" t="str">
            <v>Alionuska Perera Vaillan</v>
          </cell>
          <cell r="E968" t="str">
            <v>F</v>
          </cell>
          <cell r="F968" t="str">
            <v>mestiza</v>
          </cell>
          <cell r="K968" t="str">
            <v>Técnico Superior</v>
          </cell>
          <cell r="L968" t="str">
            <v>Si</v>
          </cell>
          <cell r="O968" t="str">
            <v>Médico</v>
          </cell>
        </row>
        <row r="969">
          <cell r="C969" t="str">
            <v>Aliuska Vinent Villa</v>
          </cell>
          <cell r="E969" t="str">
            <v>F</v>
          </cell>
          <cell r="F969" t="str">
            <v>negra</v>
          </cell>
          <cell r="K969" t="str">
            <v>Técnico Superior</v>
          </cell>
          <cell r="L969" t="str">
            <v>Si</v>
          </cell>
          <cell r="O969" t="str">
            <v>Médico</v>
          </cell>
        </row>
        <row r="970">
          <cell r="C970" t="str">
            <v>Ana Margarita Fernandez Silvente</v>
          </cell>
          <cell r="E970" t="str">
            <v>F</v>
          </cell>
          <cell r="F970" t="str">
            <v>mestiza</v>
          </cell>
          <cell r="K970" t="str">
            <v>Técnico Superior</v>
          </cell>
          <cell r="L970" t="str">
            <v>Si</v>
          </cell>
          <cell r="O970" t="str">
            <v>Médico</v>
          </cell>
        </row>
        <row r="971">
          <cell r="C971" t="str">
            <v>Anabel Herrera Milán</v>
          </cell>
          <cell r="E971" t="str">
            <v>F</v>
          </cell>
          <cell r="F971" t="str">
            <v>blanca</v>
          </cell>
          <cell r="K971" t="str">
            <v>Técnico Superior</v>
          </cell>
          <cell r="L971" t="str">
            <v>Si</v>
          </cell>
          <cell r="O971" t="str">
            <v>Médico</v>
          </cell>
        </row>
        <row r="972">
          <cell r="C972" t="str">
            <v>Arisleydi Rondón Delis</v>
          </cell>
          <cell r="E972" t="str">
            <v>F</v>
          </cell>
          <cell r="F972" t="str">
            <v>negra</v>
          </cell>
          <cell r="K972" t="str">
            <v>Técnico Superior</v>
          </cell>
          <cell r="L972" t="str">
            <v>Si</v>
          </cell>
          <cell r="O972" t="str">
            <v>Médico</v>
          </cell>
        </row>
        <row r="973">
          <cell r="C973" t="str">
            <v>Arletis Clavel Copello</v>
          </cell>
          <cell r="E973" t="str">
            <v>F</v>
          </cell>
          <cell r="F973" t="str">
            <v>mestiza</v>
          </cell>
          <cell r="K973" t="str">
            <v>Técnico Superior</v>
          </cell>
          <cell r="L973" t="str">
            <v>Si</v>
          </cell>
          <cell r="O973" t="str">
            <v>Médico</v>
          </cell>
        </row>
        <row r="974">
          <cell r="C974" t="str">
            <v>Arlette Martínez Callamo</v>
          </cell>
          <cell r="E974" t="str">
            <v>F</v>
          </cell>
          <cell r="F974" t="str">
            <v>negra</v>
          </cell>
          <cell r="K974" t="str">
            <v>Técnico Superior</v>
          </cell>
          <cell r="L974" t="str">
            <v>Si</v>
          </cell>
          <cell r="O974" t="str">
            <v>Médico</v>
          </cell>
        </row>
        <row r="975">
          <cell r="C975" t="str">
            <v>Camilo Ernesto Fernández Silvente</v>
          </cell>
          <cell r="E975" t="str">
            <v>M</v>
          </cell>
          <cell r="F975" t="str">
            <v>mestiza</v>
          </cell>
          <cell r="K975" t="str">
            <v>Técnico Superior</v>
          </cell>
          <cell r="L975" t="str">
            <v>Si</v>
          </cell>
          <cell r="O975" t="str">
            <v>Médico</v>
          </cell>
        </row>
        <row r="976">
          <cell r="C976" t="str">
            <v>Claudia Campos López</v>
          </cell>
          <cell r="E976" t="str">
            <v>F</v>
          </cell>
          <cell r="F976" t="str">
            <v>mestiza</v>
          </cell>
          <cell r="K976" t="str">
            <v>Técnico Superior</v>
          </cell>
          <cell r="L976" t="str">
            <v>Si</v>
          </cell>
          <cell r="O976" t="str">
            <v>Médico</v>
          </cell>
        </row>
        <row r="977">
          <cell r="C977" t="str">
            <v>Daglin Betancourt Charón</v>
          </cell>
          <cell r="E977" t="str">
            <v>F</v>
          </cell>
          <cell r="F977" t="str">
            <v>mestiza</v>
          </cell>
          <cell r="K977" t="str">
            <v>Técnico Superior</v>
          </cell>
          <cell r="L977" t="str">
            <v>Si</v>
          </cell>
          <cell r="O977" t="str">
            <v>Médico</v>
          </cell>
        </row>
        <row r="978">
          <cell r="C978" t="str">
            <v>Dailyn Díaz Vaillant</v>
          </cell>
          <cell r="E978" t="str">
            <v>F</v>
          </cell>
          <cell r="F978" t="str">
            <v>negra</v>
          </cell>
          <cell r="K978" t="str">
            <v>Técnico Superior</v>
          </cell>
          <cell r="L978" t="str">
            <v>Si</v>
          </cell>
          <cell r="O978" t="str">
            <v>Médico</v>
          </cell>
        </row>
        <row r="979">
          <cell r="C979" t="str">
            <v>Daliannis La Montaña Céspedes</v>
          </cell>
          <cell r="E979" t="str">
            <v>F</v>
          </cell>
          <cell r="F979" t="str">
            <v>negra</v>
          </cell>
          <cell r="K979" t="str">
            <v>Técnico Superior</v>
          </cell>
          <cell r="L979" t="str">
            <v>Si</v>
          </cell>
          <cell r="O979" t="str">
            <v>Médico</v>
          </cell>
        </row>
        <row r="980">
          <cell r="C980" t="str">
            <v>Damicela Martinez Torres</v>
          </cell>
          <cell r="E980" t="str">
            <v>F</v>
          </cell>
          <cell r="F980" t="str">
            <v>negra</v>
          </cell>
          <cell r="K980" t="str">
            <v>Técnico Superior</v>
          </cell>
          <cell r="L980" t="str">
            <v>Si</v>
          </cell>
          <cell r="O980" t="str">
            <v>Médico</v>
          </cell>
        </row>
        <row r="981">
          <cell r="C981" t="str">
            <v>Daylin Correa Medina</v>
          </cell>
          <cell r="E981" t="str">
            <v>F</v>
          </cell>
          <cell r="F981" t="str">
            <v>negra</v>
          </cell>
          <cell r="K981" t="str">
            <v>Técnico Superior</v>
          </cell>
          <cell r="L981" t="str">
            <v>Si</v>
          </cell>
          <cell r="O981" t="str">
            <v>Médico</v>
          </cell>
        </row>
        <row r="982">
          <cell r="C982" t="str">
            <v>Eduardo Rafael Larrea Fernández</v>
          </cell>
          <cell r="E982" t="str">
            <v>M</v>
          </cell>
          <cell r="F982" t="str">
            <v>mestiza</v>
          </cell>
          <cell r="K982" t="str">
            <v>Técnico Superior</v>
          </cell>
          <cell r="L982" t="str">
            <v>Si</v>
          </cell>
          <cell r="O982" t="str">
            <v>Médico</v>
          </cell>
        </row>
        <row r="983">
          <cell r="C983" t="str">
            <v>Elduin Odelín Martes</v>
          </cell>
          <cell r="E983" t="str">
            <v>M</v>
          </cell>
          <cell r="F983" t="str">
            <v>negra</v>
          </cell>
          <cell r="K983" t="str">
            <v>Técnico Superior</v>
          </cell>
          <cell r="L983" t="str">
            <v>Si</v>
          </cell>
          <cell r="O983" t="str">
            <v>Médico</v>
          </cell>
        </row>
        <row r="984">
          <cell r="C984" t="str">
            <v>Eloydali Bonne Limonta</v>
          </cell>
          <cell r="E984" t="str">
            <v>F</v>
          </cell>
          <cell r="F984" t="str">
            <v>mestiza</v>
          </cell>
          <cell r="K984" t="str">
            <v>Técnico Superior</v>
          </cell>
          <cell r="L984" t="str">
            <v>Si</v>
          </cell>
          <cell r="O984" t="str">
            <v>Médico</v>
          </cell>
        </row>
        <row r="985">
          <cell r="C985" t="str">
            <v>Eva Josefina Rodriguez Lorie</v>
          </cell>
          <cell r="E985" t="str">
            <v>F</v>
          </cell>
          <cell r="F985" t="str">
            <v>mestiza</v>
          </cell>
          <cell r="K985" t="str">
            <v>Técnico Superior</v>
          </cell>
          <cell r="L985" t="str">
            <v>Si</v>
          </cell>
          <cell r="O985" t="str">
            <v>Médico</v>
          </cell>
        </row>
        <row r="986">
          <cell r="C986" t="str">
            <v>Francis Denis García Pardo</v>
          </cell>
          <cell r="E986" t="str">
            <v>M</v>
          </cell>
          <cell r="F986" t="str">
            <v>negra</v>
          </cell>
          <cell r="K986" t="str">
            <v>Técnico Superior</v>
          </cell>
          <cell r="L986" t="str">
            <v>Si</v>
          </cell>
          <cell r="O986" t="str">
            <v>Médico</v>
          </cell>
        </row>
        <row r="987">
          <cell r="C987" t="str">
            <v>Franklin Rodriguez Chaveco</v>
          </cell>
          <cell r="E987" t="str">
            <v>M</v>
          </cell>
          <cell r="F987" t="str">
            <v>mestiza</v>
          </cell>
          <cell r="K987" t="str">
            <v>Técnico Superior</v>
          </cell>
          <cell r="L987" t="str">
            <v>Si</v>
          </cell>
          <cell r="O987" t="str">
            <v>Médico</v>
          </cell>
        </row>
        <row r="988">
          <cell r="C988" t="str">
            <v>Gerardo Sarmiento Diaz</v>
          </cell>
          <cell r="E988" t="str">
            <v>M</v>
          </cell>
          <cell r="F988" t="str">
            <v>blanca</v>
          </cell>
          <cell r="K988" t="str">
            <v>Técnico Superior</v>
          </cell>
          <cell r="L988" t="str">
            <v>Si</v>
          </cell>
          <cell r="O988" t="str">
            <v>Médico</v>
          </cell>
        </row>
        <row r="989">
          <cell r="C989" t="str">
            <v>German Fischer Lescay</v>
          </cell>
          <cell r="E989" t="str">
            <v>M</v>
          </cell>
          <cell r="F989" t="str">
            <v>negra</v>
          </cell>
          <cell r="K989" t="str">
            <v>Técnico Superior</v>
          </cell>
          <cell r="L989" t="str">
            <v>Si</v>
          </cell>
          <cell r="O989" t="str">
            <v>Médico</v>
          </cell>
        </row>
        <row r="990">
          <cell r="C990" t="str">
            <v>Hector Ignacio Landa Ramos</v>
          </cell>
          <cell r="E990" t="str">
            <v>M</v>
          </cell>
          <cell r="F990" t="str">
            <v>mestiza</v>
          </cell>
          <cell r="K990" t="str">
            <v>Técnico Superior</v>
          </cell>
          <cell r="L990" t="str">
            <v>Si</v>
          </cell>
          <cell r="O990" t="str">
            <v>Médico</v>
          </cell>
        </row>
        <row r="991">
          <cell r="C991" t="str">
            <v>Indira Blanquen Cabrera</v>
          </cell>
          <cell r="E991" t="str">
            <v>F</v>
          </cell>
          <cell r="F991" t="str">
            <v>negra</v>
          </cell>
          <cell r="K991" t="str">
            <v>Técnico Superior</v>
          </cell>
          <cell r="L991" t="str">
            <v>Si</v>
          </cell>
          <cell r="O991" t="str">
            <v>Médico</v>
          </cell>
        </row>
        <row r="992">
          <cell r="C992" t="str">
            <v>Isidro Martínez Callamo</v>
          </cell>
          <cell r="E992" t="str">
            <v>M</v>
          </cell>
          <cell r="F992" t="str">
            <v>mestiza</v>
          </cell>
          <cell r="K992" t="str">
            <v>Técnico Superior</v>
          </cell>
          <cell r="L992" t="str">
            <v>Si</v>
          </cell>
          <cell r="O992" t="str">
            <v>Médico</v>
          </cell>
        </row>
        <row r="993">
          <cell r="C993" t="str">
            <v>Jorge Victor Atala Bolaño</v>
          </cell>
          <cell r="E993" t="str">
            <v>M</v>
          </cell>
          <cell r="F993" t="str">
            <v>blanca</v>
          </cell>
          <cell r="K993" t="str">
            <v>Técnico Superior</v>
          </cell>
          <cell r="L993" t="str">
            <v>Si</v>
          </cell>
          <cell r="O993" t="str">
            <v>Médico</v>
          </cell>
        </row>
        <row r="994">
          <cell r="C994" t="str">
            <v>José Eurides Cajigal</v>
          </cell>
          <cell r="E994" t="str">
            <v>M</v>
          </cell>
          <cell r="F994" t="str">
            <v>mestiza</v>
          </cell>
          <cell r="K994" t="str">
            <v>Técnico Superior</v>
          </cell>
          <cell r="L994" t="str">
            <v>Si</v>
          </cell>
          <cell r="O994" t="str">
            <v>Médico</v>
          </cell>
        </row>
        <row r="995">
          <cell r="C995" t="str">
            <v>Katiuska Vinent Villa</v>
          </cell>
          <cell r="E995" t="str">
            <v>F</v>
          </cell>
          <cell r="F995" t="str">
            <v>negra</v>
          </cell>
          <cell r="K995" t="str">
            <v>Técnico Superior</v>
          </cell>
          <cell r="L995" t="str">
            <v>Si</v>
          </cell>
          <cell r="O995" t="str">
            <v>Médico</v>
          </cell>
        </row>
        <row r="996">
          <cell r="C996" t="str">
            <v>Laritza Correoso Hodelin</v>
          </cell>
          <cell r="E996" t="str">
            <v>F</v>
          </cell>
          <cell r="F996" t="str">
            <v>negra</v>
          </cell>
          <cell r="K996" t="str">
            <v>Técnico Superior</v>
          </cell>
          <cell r="L996" t="str">
            <v>Si</v>
          </cell>
          <cell r="O996" t="str">
            <v>Médico</v>
          </cell>
        </row>
        <row r="997">
          <cell r="C997" t="str">
            <v>Laritza Sanchez Darroman</v>
          </cell>
          <cell r="E997" t="str">
            <v>F</v>
          </cell>
          <cell r="F997" t="str">
            <v>mestiza</v>
          </cell>
          <cell r="K997" t="str">
            <v>Técnico Superior</v>
          </cell>
          <cell r="L997" t="str">
            <v>Si</v>
          </cell>
          <cell r="O997" t="str">
            <v>Médico</v>
          </cell>
        </row>
        <row r="998">
          <cell r="C998" t="str">
            <v>Lenia Pavó Blanco</v>
          </cell>
          <cell r="E998" t="str">
            <v>F</v>
          </cell>
          <cell r="F998" t="str">
            <v>mestiza</v>
          </cell>
          <cell r="K998" t="str">
            <v>Técnico Superior</v>
          </cell>
          <cell r="L998" t="str">
            <v>Si</v>
          </cell>
          <cell r="O998" t="str">
            <v>Médico</v>
          </cell>
        </row>
        <row r="999">
          <cell r="C999" t="str">
            <v>Liamnet Matos Hernández</v>
          </cell>
          <cell r="E999" t="str">
            <v>F</v>
          </cell>
          <cell r="F999" t="str">
            <v>negra</v>
          </cell>
          <cell r="K999" t="str">
            <v>Técnico Superior</v>
          </cell>
          <cell r="L999" t="str">
            <v>Si</v>
          </cell>
          <cell r="O999" t="str">
            <v>Médico</v>
          </cell>
        </row>
        <row r="1000">
          <cell r="C1000" t="str">
            <v>Lilie Durruty Napoles</v>
          </cell>
          <cell r="E1000" t="str">
            <v>F</v>
          </cell>
          <cell r="F1000" t="str">
            <v>negra</v>
          </cell>
          <cell r="K1000" t="str">
            <v>Técnico Superior</v>
          </cell>
          <cell r="L1000" t="str">
            <v>Si</v>
          </cell>
          <cell r="O1000" t="str">
            <v>Médico</v>
          </cell>
        </row>
        <row r="1001">
          <cell r="C1001" t="str">
            <v>Lisbeydis Hernández Vargas</v>
          </cell>
          <cell r="E1001" t="str">
            <v>F</v>
          </cell>
          <cell r="F1001" t="str">
            <v>mestiza</v>
          </cell>
          <cell r="K1001" t="str">
            <v>Técnico Superior</v>
          </cell>
          <cell r="L1001" t="str">
            <v>Si</v>
          </cell>
          <cell r="O1001" t="str">
            <v>Médico</v>
          </cell>
        </row>
        <row r="1002">
          <cell r="C1002" t="str">
            <v>LUIS ENRIQUE ESTRADA HEREDIA</v>
          </cell>
          <cell r="E1002" t="str">
            <v>M</v>
          </cell>
          <cell r="F1002" t="str">
            <v>negra</v>
          </cell>
          <cell r="K1002" t="str">
            <v>Técnico Superior</v>
          </cell>
          <cell r="L1002" t="str">
            <v>Si</v>
          </cell>
          <cell r="O1002" t="str">
            <v>Médico</v>
          </cell>
        </row>
        <row r="1003">
          <cell r="C1003" t="str">
            <v>Mariansi Agüero Lacoste</v>
          </cell>
          <cell r="E1003" t="str">
            <v>F</v>
          </cell>
          <cell r="F1003" t="str">
            <v>mestiza</v>
          </cell>
          <cell r="K1003" t="str">
            <v>Técnico Superior</v>
          </cell>
          <cell r="L1003" t="str">
            <v>Si</v>
          </cell>
          <cell r="O1003" t="str">
            <v>Médico</v>
          </cell>
        </row>
        <row r="1004">
          <cell r="C1004" t="str">
            <v xml:space="preserve">Marileisi Usatorre Galán </v>
          </cell>
          <cell r="E1004" t="str">
            <v>F</v>
          </cell>
          <cell r="F1004" t="str">
            <v>mestiza</v>
          </cell>
          <cell r="K1004" t="str">
            <v>Técnico Superior</v>
          </cell>
          <cell r="L1004" t="str">
            <v>Si</v>
          </cell>
          <cell r="O1004" t="str">
            <v>Médico</v>
          </cell>
        </row>
        <row r="1005">
          <cell r="C1005" t="str">
            <v>Marlen Campo Vera</v>
          </cell>
          <cell r="E1005" t="str">
            <v>F</v>
          </cell>
          <cell r="F1005" t="str">
            <v>mestiza</v>
          </cell>
          <cell r="K1005" t="str">
            <v>Técnico Superior</v>
          </cell>
          <cell r="L1005" t="str">
            <v>Si</v>
          </cell>
          <cell r="O1005" t="str">
            <v>Médico</v>
          </cell>
        </row>
        <row r="1006">
          <cell r="C1006" t="str">
            <v>Marlon Caballero López</v>
          </cell>
          <cell r="E1006" t="str">
            <v>M</v>
          </cell>
          <cell r="F1006" t="str">
            <v>mestiza</v>
          </cell>
          <cell r="K1006" t="str">
            <v>Técnico Superior</v>
          </cell>
          <cell r="L1006" t="str">
            <v>Si</v>
          </cell>
          <cell r="O1006" t="str">
            <v>Médico</v>
          </cell>
        </row>
        <row r="1007">
          <cell r="C1007" t="str">
            <v>Mayrobis Plana Delgado</v>
          </cell>
          <cell r="E1007" t="str">
            <v>F</v>
          </cell>
          <cell r="F1007" t="str">
            <v>negra</v>
          </cell>
          <cell r="K1007" t="str">
            <v>Cuadro</v>
          </cell>
          <cell r="L1007" t="str">
            <v>Si</v>
          </cell>
          <cell r="O1007" t="str">
            <v>Médico</v>
          </cell>
        </row>
        <row r="1008">
          <cell r="C1008" t="str">
            <v>Meibis Hodelin Cos</v>
          </cell>
          <cell r="E1008" t="str">
            <v>F</v>
          </cell>
          <cell r="F1008" t="str">
            <v>negra</v>
          </cell>
          <cell r="K1008" t="str">
            <v>Técnico Superior</v>
          </cell>
          <cell r="L1008" t="str">
            <v>Si</v>
          </cell>
          <cell r="O1008" t="str">
            <v>Médico</v>
          </cell>
        </row>
        <row r="1009">
          <cell r="C1009" t="str">
            <v>Neyda Caridad Goulet Negre</v>
          </cell>
          <cell r="E1009" t="str">
            <v>F</v>
          </cell>
          <cell r="F1009" t="str">
            <v>negra</v>
          </cell>
          <cell r="K1009" t="str">
            <v>Técnico Superior</v>
          </cell>
          <cell r="L1009" t="str">
            <v>Si</v>
          </cell>
          <cell r="O1009" t="str">
            <v>Médico</v>
          </cell>
        </row>
        <row r="1010">
          <cell r="C1010" t="str">
            <v>Raisis Pérez Sandoval</v>
          </cell>
          <cell r="E1010" t="str">
            <v>F</v>
          </cell>
          <cell r="F1010" t="str">
            <v>mestiza</v>
          </cell>
          <cell r="K1010" t="str">
            <v>Técnico Superior</v>
          </cell>
          <cell r="L1010" t="str">
            <v>Si</v>
          </cell>
          <cell r="O1010" t="str">
            <v>Médico</v>
          </cell>
        </row>
        <row r="1011">
          <cell r="C1011" t="str">
            <v>Raúl Riverón Pérez</v>
          </cell>
          <cell r="E1011" t="str">
            <v>M</v>
          </cell>
          <cell r="F1011" t="str">
            <v>mestiza</v>
          </cell>
          <cell r="K1011" t="str">
            <v>Técnico Superior</v>
          </cell>
          <cell r="L1011" t="str">
            <v>Si</v>
          </cell>
          <cell r="O1011" t="str">
            <v>Médico</v>
          </cell>
        </row>
        <row r="1012">
          <cell r="C1012" t="str">
            <v>Rudier Pozo Vera</v>
          </cell>
          <cell r="E1012" t="str">
            <v>M</v>
          </cell>
          <cell r="F1012" t="str">
            <v>mestiza</v>
          </cell>
          <cell r="K1012" t="str">
            <v>Técnico Superior</v>
          </cell>
          <cell r="L1012" t="str">
            <v>Si</v>
          </cell>
          <cell r="O1012" t="str">
            <v>Médico</v>
          </cell>
        </row>
        <row r="1013">
          <cell r="C1013" t="str">
            <v>Thaliany Hechavarria González</v>
          </cell>
          <cell r="E1013" t="str">
            <v>F</v>
          </cell>
          <cell r="F1013" t="str">
            <v>mestiza</v>
          </cell>
          <cell r="K1013" t="str">
            <v>Técnico Superior</v>
          </cell>
          <cell r="L1013" t="str">
            <v>Si</v>
          </cell>
          <cell r="O1013" t="str">
            <v>Médico</v>
          </cell>
        </row>
        <row r="1014">
          <cell r="C1014" t="str">
            <v>Veronica Del Carmen Carreño Oduardo</v>
          </cell>
          <cell r="E1014" t="str">
            <v>F</v>
          </cell>
          <cell r="F1014" t="str">
            <v>mestiza</v>
          </cell>
          <cell r="K1014" t="str">
            <v>Técnico Superior</v>
          </cell>
          <cell r="L1014" t="str">
            <v>Si</v>
          </cell>
          <cell r="O1014" t="str">
            <v>Médico</v>
          </cell>
        </row>
        <row r="1015">
          <cell r="C1015" t="str">
            <v>Walter Rosillo Lora</v>
          </cell>
          <cell r="E1015" t="str">
            <v>M</v>
          </cell>
          <cell r="F1015" t="str">
            <v>negra</v>
          </cell>
          <cell r="K1015" t="str">
            <v>Técnico Superior</v>
          </cell>
          <cell r="L1015" t="str">
            <v>Si</v>
          </cell>
          <cell r="O1015" t="str">
            <v>Médico</v>
          </cell>
        </row>
        <row r="1016">
          <cell r="C1016" t="str">
            <v>Yadira Campo Cedeño</v>
          </cell>
          <cell r="E1016" t="str">
            <v>F</v>
          </cell>
          <cell r="F1016" t="str">
            <v>mestiza</v>
          </cell>
          <cell r="K1016" t="str">
            <v>Técnico Superior</v>
          </cell>
          <cell r="L1016" t="str">
            <v>Si</v>
          </cell>
          <cell r="O1016" t="str">
            <v>Médico</v>
          </cell>
        </row>
        <row r="1017">
          <cell r="C1017" t="str">
            <v>Yailén Batiz Gutierrez</v>
          </cell>
          <cell r="E1017" t="str">
            <v>F</v>
          </cell>
          <cell r="F1017" t="str">
            <v>blanca</v>
          </cell>
          <cell r="K1017" t="str">
            <v>Técnico Superior</v>
          </cell>
          <cell r="L1017" t="str">
            <v>Si</v>
          </cell>
          <cell r="O1017" t="str">
            <v>Médico</v>
          </cell>
        </row>
        <row r="1018">
          <cell r="C1018" t="str">
            <v>YAIME PINEDA FLAYERI</v>
          </cell>
          <cell r="E1018" t="str">
            <v>F</v>
          </cell>
          <cell r="F1018" t="str">
            <v>mestiza</v>
          </cell>
          <cell r="K1018" t="str">
            <v>Técnico Superior</v>
          </cell>
          <cell r="L1018" t="str">
            <v>Si</v>
          </cell>
          <cell r="O1018" t="str">
            <v>Médico</v>
          </cell>
        </row>
        <row r="1019">
          <cell r="C1019" t="str">
            <v>Yamile Montes Rigueira</v>
          </cell>
          <cell r="E1019" t="str">
            <v>F</v>
          </cell>
          <cell r="F1019" t="str">
            <v>blanca</v>
          </cell>
          <cell r="K1019" t="str">
            <v>Técnico Superior</v>
          </cell>
          <cell r="L1019" t="str">
            <v>Si</v>
          </cell>
          <cell r="O1019" t="str">
            <v>Médico</v>
          </cell>
        </row>
        <row r="1020">
          <cell r="C1020" t="str">
            <v>Yanela Carrión Luna</v>
          </cell>
          <cell r="E1020" t="str">
            <v>F</v>
          </cell>
          <cell r="F1020" t="str">
            <v>mestiza</v>
          </cell>
          <cell r="K1020" t="str">
            <v>Técnico Superior</v>
          </cell>
          <cell r="L1020" t="str">
            <v>Si</v>
          </cell>
          <cell r="O1020" t="str">
            <v>Médico</v>
          </cell>
        </row>
        <row r="1021">
          <cell r="C1021" t="str">
            <v>Yanet Campos De León</v>
          </cell>
          <cell r="E1021" t="str">
            <v>F</v>
          </cell>
          <cell r="F1021" t="str">
            <v>blanca</v>
          </cell>
          <cell r="K1021" t="str">
            <v>Técnico Superior</v>
          </cell>
          <cell r="L1021" t="str">
            <v>Si</v>
          </cell>
          <cell r="O1021" t="str">
            <v>Médico</v>
          </cell>
        </row>
        <row r="1022">
          <cell r="C1022" t="str">
            <v>Yanet Hechavarria Gonzalez</v>
          </cell>
          <cell r="E1022" t="str">
            <v>F</v>
          </cell>
          <cell r="F1022" t="str">
            <v>negra</v>
          </cell>
          <cell r="K1022" t="str">
            <v>Técnico Superior</v>
          </cell>
          <cell r="L1022" t="str">
            <v>Si</v>
          </cell>
          <cell r="O1022" t="str">
            <v>Médico</v>
          </cell>
        </row>
        <row r="1023">
          <cell r="C1023" t="str">
            <v>Yanisleidis Rodriguez Cos</v>
          </cell>
          <cell r="E1023" t="str">
            <v>F</v>
          </cell>
          <cell r="F1023" t="str">
            <v>mestiza</v>
          </cell>
          <cell r="K1023" t="str">
            <v>Técnico Superior</v>
          </cell>
          <cell r="L1023" t="str">
            <v>Si</v>
          </cell>
          <cell r="O1023" t="str">
            <v>Médico</v>
          </cell>
        </row>
        <row r="1024">
          <cell r="C1024" t="str">
            <v>Yelayne La Rosa Betancourt</v>
          </cell>
          <cell r="E1024" t="str">
            <v>F</v>
          </cell>
          <cell r="F1024" t="str">
            <v>negra</v>
          </cell>
          <cell r="K1024" t="str">
            <v>Técnico Superior</v>
          </cell>
          <cell r="L1024" t="str">
            <v>Si</v>
          </cell>
          <cell r="O1024" t="str">
            <v>Médico</v>
          </cell>
        </row>
        <row r="1025">
          <cell r="C1025" t="str">
            <v>Yesica Adriana Sánchez Fernández</v>
          </cell>
          <cell r="E1025" t="str">
            <v>F</v>
          </cell>
          <cell r="F1025" t="str">
            <v>mestiza</v>
          </cell>
          <cell r="K1025" t="str">
            <v>Cuadro</v>
          </cell>
          <cell r="L1025" t="str">
            <v>Si</v>
          </cell>
          <cell r="O1025" t="str">
            <v>Médico</v>
          </cell>
        </row>
        <row r="1026">
          <cell r="C1026" t="str">
            <v>Yetsica Elianne Mora Fernández</v>
          </cell>
          <cell r="E1026" t="str">
            <v>F</v>
          </cell>
          <cell r="F1026" t="str">
            <v>mestiza</v>
          </cell>
          <cell r="K1026" t="str">
            <v>Técnico Superior</v>
          </cell>
          <cell r="L1026" t="str">
            <v>Si</v>
          </cell>
          <cell r="O1026" t="str">
            <v>Médico</v>
          </cell>
        </row>
        <row r="1027">
          <cell r="C1027" t="str">
            <v>Yilena Maldonado Martínez</v>
          </cell>
          <cell r="E1027" t="str">
            <v>F</v>
          </cell>
          <cell r="F1027" t="str">
            <v>negra</v>
          </cell>
          <cell r="K1027" t="str">
            <v>Técnico Superior</v>
          </cell>
          <cell r="L1027" t="str">
            <v>Si</v>
          </cell>
          <cell r="O1027" t="str">
            <v>Médico</v>
          </cell>
        </row>
        <row r="1028">
          <cell r="C1028" t="str">
            <v>Yilianne Lusson Hechavarría</v>
          </cell>
          <cell r="E1028" t="str">
            <v>F</v>
          </cell>
          <cell r="F1028" t="str">
            <v>mestiza</v>
          </cell>
          <cell r="K1028" t="str">
            <v>Técnico Superior</v>
          </cell>
          <cell r="L1028" t="str">
            <v>Si</v>
          </cell>
          <cell r="O1028" t="str">
            <v>Médico</v>
          </cell>
        </row>
        <row r="1029">
          <cell r="C1029" t="str">
            <v>Yoelkis Elias Aguirre</v>
          </cell>
          <cell r="E1029" t="str">
            <v>M</v>
          </cell>
          <cell r="F1029" t="str">
            <v>negra</v>
          </cell>
          <cell r="K1029" t="str">
            <v>Técnico Superior</v>
          </cell>
          <cell r="L1029" t="str">
            <v>Si</v>
          </cell>
          <cell r="O1029" t="str">
            <v>Médico</v>
          </cell>
        </row>
        <row r="1030">
          <cell r="C1030" t="str">
            <v>Yoelxi Vegue Gonzalez</v>
          </cell>
          <cell r="E1030" t="str">
            <v>M</v>
          </cell>
          <cell r="F1030" t="str">
            <v>negra</v>
          </cell>
          <cell r="K1030" t="str">
            <v>Técnico Superior</v>
          </cell>
          <cell r="L1030" t="str">
            <v>Si</v>
          </cell>
          <cell r="O1030" t="str">
            <v>Médico</v>
          </cell>
        </row>
        <row r="1031">
          <cell r="C1031" t="str">
            <v>Yoilan Ferrer Plana</v>
          </cell>
          <cell r="E1031" t="str">
            <v>M</v>
          </cell>
          <cell r="F1031" t="str">
            <v>negra</v>
          </cell>
          <cell r="K1031" t="str">
            <v>Técnico Superior</v>
          </cell>
          <cell r="L1031" t="str">
            <v>Si</v>
          </cell>
          <cell r="O1031" t="str">
            <v>Médico</v>
          </cell>
        </row>
        <row r="1032">
          <cell r="C1032" t="str">
            <v>Yordanka Zulueta Vizcay</v>
          </cell>
          <cell r="E1032" t="str">
            <v>F</v>
          </cell>
          <cell r="F1032" t="str">
            <v>negra</v>
          </cell>
          <cell r="K1032" t="str">
            <v>Técnico Superior</v>
          </cell>
          <cell r="L1032" t="str">
            <v>Si</v>
          </cell>
          <cell r="O1032" t="str">
            <v>Médico</v>
          </cell>
        </row>
        <row r="1033">
          <cell r="C1033" t="str">
            <v>YULEIDIS QUEVEDO ROSALES</v>
          </cell>
          <cell r="E1033" t="str">
            <v>F</v>
          </cell>
          <cell r="F1033" t="str">
            <v>blanca</v>
          </cell>
          <cell r="K1033" t="str">
            <v>Cuadro</v>
          </cell>
          <cell r="L1033" t="str">
            <v>Si</v>
          </cell>
          <cell r="O1033" t="str">
            <v>Médico</v>
          </cell>
        </row>
        <row r="1034">
          <cell r="C1034" t="str">
            <v>Yadianne Céspedes Claro</v>
          </cell>
          <cell r="E1034" t="str">
            <v>F</v>
          </cell>
          <cell r="F1034" t="str">
            <v>mestiza</v>
          </cell>
          <cell r="K1034" t="str">
            <v>Técnico Superior</v>
          </cell>
          <cell r="L1034" t="str">
            <v>Si</v>
          </cell>
          <cell r="O1034" t="str">
            <v>Médico</v>
          </cell>
        </row>
        <row r="1035">
          <cell r="C1035" t="str">
            <v>Marisleidis Rosales Hernádez</v>
          </cell>
          <cell r="E1035" t="str">
            <v>F</v>
          </cell>
          <cell r="F1035" t="str">
            <v>mestiza</v>
          </cell>
          <cell r="K1035" t="str">
            <v>Técnico Superior</v>
          </cell>
          <cell r="L1035" t="str">
            <v>No</v>
          </cell>
          <cell r="O1035" t="str">
            <v>Médico</v>
          </cell>
        </row>
        <row r="1036">
          <cell r="C1036" t="str">
            <v>Katy Alfonso Hernandez</v>
          </cell>
          <cell r="E1036" t="str">
            <v>F</v>
          </cell>
          <cell r="F1036" t="str">
            <v>blanca</v>
          </cell>
          <cell r="K1036" t="str">
            <v>Cuadro</v>
          </cell>
          <cell r="L1036" t="str">
            <v>Si</v>
          </cell>
          <cell r="O1036" t="str">
            <v>Médico</v>
          </cell>
        </row>
        <row r="1037">
          <cell r="C1037" t="str">
            <v>ADRIAN HERNANDEZ COSS</v>
          </cell>
          <cell r="E1037" t="str">
            <v>M</v>
          </cell>
          <cell r="F1037" t="str">
            <v>mestiza</v>
          </cell>
          <cell r="K1037" t="str">
            <v>Técnico Superior</v>
          </cell>
          <cell r="L1037" t="str">
            <v>Si</v>
          </cell>
          <cell r="O1037" t="str">
            <v>Psicólogo de la Salud</v>
          </cell>
        </row>
        <row r="1038">
          <cell r="C1038" t="str">
            <v>Abeleidis Solo Moreno</v>
          </cell>
          <cell r="E1038" t="str">
            <v>F</v>
          </cell>
          <cell r="F1038" t="str">
            <v>mestiza</v>
          </cell>
          <cell r="K1038" t="str">
            <v>Técnico Medio</v>
          </cell>
          <cell r="L1038" t="str">
            <v>Si</v>
          </cell>
          <cell r="M1038" t="str">
            <v>Higiene y epidemiología</v>
          </cell>
          <cell r="O1038" t="str">
            <v>Técnico Formado Salud</v>
          </cell>
        </row>
        <row r="1039">
          <cell r="C1039" t="str">
            <v>Ana González Utria</v>
          </cell>
          <cell r="E1039" t="str">
            <v>F</v>
          </cell>
          <cell r="F1039" t="str">
            <v>mestiza</v>
          </cell>
          <cell r="K1039" t="str">
            <v>Técnico Medio</v>
          </cell>
          <cell r="L1039" t="str">
            <v>Si</v>
          </cell>
          <cell r="M1039" t="str">
            <v>Laboratorio clínico, microbiológico</v>
          </cell>
          <cell r="O1039" t="str">
            <v>Técnico Formado Salud</v>
          </cell>
        </row>
        <row r="1040">
          <cell r="C1040" t="str">
            <v>Belkis Lacoste Pimentel</v>
          </cell>
          <cell r="E1040" t="str">
            <v>F</v>
          </cell>
          <cell r="F1040" t="str">
            <v>negra</v>
          </cell>
          <cell r="K1040" t="str">
            <v>Técnico Medio</v>
          </cell>
          <cell r="L1040" t="str">
            <v>Si</v>
          </cell>
          <cell r="M1040" t="str">
            <v>Laboratorio clínico, microbiológico</v>
          </cell>
          <cell r="O1040" t="str">
            <v>Técnico Formado Salud</v>
          </cell>
        </row>
        <row r="1041">
          <cell r="C1041" t="str">
            <v>Edel Rodriguez González</v>
          </cell>
          <cell r="E1041" t="str">
            <v>M</v>
          </cell>
          <cell r="F1041" t="str">
            <v>mestiza</v>
          </cell>
          <cell r="K1041" t="str">
            <v>Técnico Medio</v>
          </cell>
          <cell r="L1041" t="str">
            <v>Si</v>
          </cell>
          <cell r="M1041" t="str">
            <v>Rayos X</v>
          </cell>
          <cell r="O1041" t="str">
            <v>Técnico Formado Salud</v>
          </cell>
        </row>
        <row r="1042">
          <cell r="C1042" t="str">
            <v>Katia Delis Sánchez</v>
          </cell>
          <cell r="E1042" t="str">
            <v>F</v>
          </cell>
          <cell r="F1042" t="str">
            <v>mestiza</v>
          </cell>
          <cell r="K1042" t="str">
            <v>Técnico Medio</v>
          </cell>
          <cell r="L1042" t="str">
            <v>Si</v>
          </cell>
          <cell r="M1042" t="str">
            <v>Laboratorio clínico, microbiológico</v>
          </cell>
          <cell r="O1042" t="str">
            <v>Técnico Formado Salud</v>
          </cell>
        </row>
        <row r="1043">
          <cell r="C1043" t="str">
            <v>Leinis Vazquez Rodriguez</v>
          </cell>
          <cell r="E1043" t="str">
            <v>F</v>
          </cell>
          <cell r="F1043" t="str">
            <v>blanca</v>
          </cell>
          <cell r="K1043" t="str">
            <v>Operario</v>
          </cell>
          <cell r="L1043" t="str">
            <v>Si</v>
          </cell>
          <cell r="M1043" t="str">
            <v>Higiene y epidemiología</v>
          </cell>
          <cell r="O1043" t="str">
            <v>Técnico Formado Salud</v>
          </cell>
        </row>
        <row r="1044">
          <cell r="C1044" t="str">
            <v>Alexey Hernández Planas</v>
          </cell>
          <cell r="E1044" t="str">
            <v>M</v>
          </cell>
          <cell r="F1044" t="str">
            <v>mestiza</v>
          </cell>
          <cell r="K1044" t="str">
            <v>Técnico Medio</v>
          </cell>
          <cell r="L1044" t="str">
            <v>No</v>
          </cell>
          <cell r="M1044" t="str">
            <v>Podología</v>
          </cell>
          <cell r="O1044" t="str">
            <v>Técnico Formado Salud</v>
          </cell>
        </row>
        <row r="1045">
          <cell r="C1045" t="str">
            <v>Miguel Alcide Matos Ramirez</v>
          </cell>
          <cell r="E1045" t="str">
            <v>M</v>
          </cell>
          <cell r="F1045" t="str">
            <v>mestiza</v>
          </cell>
          <cell r="K1045" t="str">
            <v>Técnico Medio</v>
          </cell>
          <cell r="L1045" t="str">
            <v>No</v>
          </cell>
          <cell r="M1045" t="str">
            <v>Estadística de Salud</v>
          </cell>
          <cell r="O1045" t="str">
            <v>Técnico Formado Salud</v>
          </cell>
        </row>
        <row r="1046">
          <cell r="C1046" t="str">
            <v>Alina Adan Rigueira</v>
          </cell>
          <cell r="E1046" t="str">
            <v>F</v>
          </cell>
          <cell r="F1046" t="str">
            <v>blanca</v>
          </cell>
          <cell r="K1046" t="str">
            <v>Técnico Medio</v>
          </cell>
          <cell r="L1046" t="str">
            <v>Si</v>
          </cell>
          <cell r="O1046" t="str">
            <v>Técnico No Formado Salud</v>
          </cell>
        </row>
        <row r="1047">
          <cell r="C1047" t="str">
            <v>CARLOS GARCIA ALEJANDRO</v>
          </cell>
          <cell r="E1047" t="str">
            <v>M</v>
          </cell>
          <cell r="F1047" t="str">
            <v>mestiza</v>
          </cell>
          <cell r="K1047" t="str">
            <v>Técnico Medio</v>
          </cell>
          <cell r="L1047" t="str">
            <v>Si</v>
          </cell>
          <cell r="O1047" t="str">
            <v>Técnico No Formado Salud</v>
          </cell>
        </row>
        <row r="1048">
          <cell r="C1048" t="str">
            <v>Edelmira Campos Rodriguez</v>
          </cell>
          <cell r="E1048" t="str">
            <v>F</v>
          </cell>
          <cell r="F1048" t="str">
            <v>mestiza</v>
          </cell>
          <cell r="K1048" t="str">
            <v>Servicio</v>
          </cell>
          <cell r="L1048" t="str">
            <v>Si</v>
          </cell>
          <cell r="O1048" t="str">
            <v>Técnico No Formado Salud</v>
          </cell>
        </row>
        <row r="1049">
          <cell r="C1049" t="str">
            <v>Leidy Fernández Otamendy</v>
          </cell>
          <cell r="E1049" t="str">
            <v>F</v>
          </cell>
          <cell r="F1049" t="str">
            <v>negra</v>
          </cell>
          <cell r="K1049" t="str">
            <v>Servicio</v>
          </cell>
          <cell r="L1049" t="str">
            <v>Si</v>
          </cell>
          <cell r="O1049" t="str">
            <v>Técnico No Formado Salud</v>
          </cell>
        </row>
        <row r="1050">
          <cell r="C1050" t="str">
            <v>Liset Palao Hernández</v>
          </cell>
          <cell r="E1050" t="str">
            <v>F</v>
          </cell>
          <cell r="F1050" t="str">
            <v>mestiza</v>
          </cell>
          <cell r="K1050" t="str">
            <v>Servicio</v>
          </cell>
          <cell r="L1050" t="str">
            <v>Si</v>
          </cell>
          <cell r="O1050" t="str">
            <v>Técnico No Formado Salud</v>
          </cell>
        </row>
        <row r="1051">
          <cell r="C1051" t="str">
            <v>Maria Ariagna Ortega Pellicier</v>
          </cell>
          <cell r="E1051" t="str">
            <v>F</v>
          </cell>
          <cell r="F1051" t="str">
            <v>mestiza</v>
          </cell>
          <cell r="K1051" t="str">
            <v>Técnico Medio</v>
          </cell>
          <cell r="L1051" t="str">
            <v>Si</v>
          </cell>
          <cell r="O1051" t="str">
            <v>Técnico No Formado Salud</v>
          </cell>
        </row>
        <row r="1052">
          <cell r="C1052" t="str">
            <v>María De Los Angela Pozo Salazar</v>
          </cell>
          <cell r="E1052" t="str">
            <v>F</v>
          </cell>
          <cell r="F1052" t="str">
            <v>mestiza</v>
          </cell>
          <cell r="K1052" t="str">
            <v>Técnico Medio</v>
          </cell>
          <cell r="L1052" t="str">
            <v>Si</v>
          </cell>
          <cell r="O1052" t="str">
            <v>Técnico No Formado Salud</v>
          </cell>
        </row>
        <row r="1053">
          <cell r="C1053" t="str">
            <v>Mildrey Sánchez Mora</v>
          </cell>
          <cell r="E1053" t="str">
            <v>F</v>
          </cell>
          <cell r="F1053" t="str">
            <v>negra</v>
          </cell>
          <cell r="K1053" t="str">
            <v>Técnico Medio</v>
          </cell>
          <cell r="L1053" t="str">
            <v>Si</v>
          </cell>
          <cell r="O1053" t="str">
            <v>Técnico No Formado Salud</v>
          </cell>
        </row>
        <row r="1054">
          <cell r="C1054" t="str">
            <v>Nilvia Salómon Pérez</v>
          </cell>
          <cell r="E1054" t="str">
            <v>F</v>
          </cell>
          <cell r="F1054" t="str">
            <v>mestiza</v>
          </cell>
          <cell r="K1054" t="str">
            <v>Técnico Medio</v>
          </cell>
          <cell r="L1054" t="str">
            <v>Si</v>
          </cell>
          <cell r="O1054" t="str">
            <v>Técnico No Formado Salud</v>
          </cell>
        </row>
        <row r="1055">
          <cell r="C1055" t="str">
            <v>Nivia Tereza Guzmán Ramirez</v>
          </cell>
          <cell r="E1055" t="str">
            <v>F</v>
          </cell>
          <cell r="F1055" t="str">
            <v>mestiza</v>
          </cell>
          <cell r="K1055" t="str">
            <v>Técnico Medio</v>
          </cell>
          <cell r="L1055" t="str">
            <v>Si</v>
          </cell>
          <cell r="O1055" t="str">
            <v>Técnico No Formado Salud</v>
          </cell>
        </row>
        <row r="1056">
          <cell r="C1056" t="str">
            <v>Omar Daniel Rodriguez Salina</v>
          </cell>
          <cell r="E1056" t="str">
            <v>M</v>
          </cell>
          <cell r="F1056" t="str">
            <v>mestiza</v>
          </cell>
          <cell r="K1056" t="str">
            <v>Operario</v>
          </cell>
          <cell r="L1056" t="str">
            <v>Si</v>
          </cell>
          <cell r="O1056" t="str">
            <v>Técnico No Formado Salud</v>
          </cell>
        </row>
        <row r="1057">
          <cell r="C1057" t="str">
            <v>Oscar Silva Lazo</v>
          </cell>
          <cell r="E1057" t="str">
            <v>M</v>
          </cell>
          <cell r="F1057" t="str">
            <v>mestiza</v>
          </cell>
          <cell r="K1057" t="str">
            <v>Servicio</v>
          </cell>
          <cell r="L1057" t="str">
            <v>Si</v>
          </cell>
          <cell r="O1057" t="str">
            <v>Técnico No Formado Salud</v>
          </cell>
        </row>
        <row r="1058">
          <cell r="C1058" t="str">
            <v>Raúl Jacas Leonard</v>
          </cell>
          <cell r="E1058" t="str">
            <v>M</v>
          </cell>
          <cell r="F1058" t="str">
            <v>negra</v>
          </cell>
          <cell r="K1058" t="str">
            <v>Técnico Medio</v>
          </cell>
          <cell r="L1058" t="str">
            <v>Si</v>
          </cell>
          <cell r="O1058" t="str">
            <v>Técnico No Formado Salud</v>
          </cell>
        </row>
        <row r="1059">
          <cell r="C1059" t="str">
            <v>RUELME BRAT HECHAVARRIA</v>
          </cell>
          <cell r="E1059" t="str">
            <v>M</v>
          </cell>
          <cell r="F1059" t="str">
            <v>negra</v>
          </cell>
          <cell r="K1059" t="str">
            <v>Servicio</v>
          </cell>
          <cell r="L1059" t="str">
            <v>Si</v>
          </cell>
          <cell r="O1059" t="str">
            <v>Técnico No Formado Salud</v>
          </cell>
        </row>
        <row r="1060">
          <cell r="C1060" t="str">
            <v>Sorgelin Frometa Hamilton</v>
          </cell>
          <cell r="E1060" t="str">
            <v>F</v>
          </cell>
          <cell r="F1060" t="str">
            <v>mestiza</v>
          </cell>
          <cell r="K1060" t="str">
            <v>Técnico Medio</v>
          </cell>
          <cell r="L1060" t="str">
            <v>Si</v>
          </cell>
          <cell r="O1060" t="str">
            <v>Técnico No Formado Salud</v>
          </cell>
        </row>
        <row r="1061">
          <cell r="C1061" t="str">
            <v>Yamilé Fis Ruiz</v>
          </cell>
          <cell r="E1061" t="str">
            <v>F</v>
          </cell>
          <cell r="F1061" t="str">
            <v>negra</v>
          </cell>
          <cell r="K1061" t="str">
            <v>Servicio</v>
          </cell>
          <cell r="L1061" t="str">
            <v>Si</v>
          </cell>
          <cell r="O1061" t="str">
            <v>Técnico No Formado Salud</v>
          </cell>
        </row>
        <row r="1062">
          <cell r="C1062" t="str">
            <v>Yanela Benitez de la Fuente</v>
          </cell>
          <cell r="E1062" t="str">
            <v>F</v>
          </cell>
          <cell r="F1062" t="str">
            <v>blanca</v>
          </cell>
          <cell r="K1062" t="str">
            <v>Técnico Medio</v>
          </cell>
          <cell r="L1062" t="str">
            <v>Si</v>
          </cell>
          <cell r="O1062" t="str">
            <v>Técnico No Formado Salud</v>
          </cell>
        </row>
        <row r="1063">
          <cell r="C1063" t="str">
            <v>Yoel Guerra Barceló</v>
          </cell>
          <cell r="E1063" t="str">
            <v>M</v>
          </cell>
          <cell r="F1063" t="str">
            <v>negra</v>
          </cell>
          <cell r="K1063" t="str">
            <v>Cuadro</v>
          </cell>
          <cell r="L1063" t="str">
            <v>Si</v>
          </cell>
          <cell r="O1063" t="str">
            <v>Técnico No Formado Salud</v>
          </cell>
        </row>
        <row r="1064">
          <cell r="C1064" t="str">
            <v>Yurileidis Pérez Viscay</v>
          </cell>
          <cell r="E1064" t="str">
            <v>F</v>
          </cell>
          <cell r="F1064" t="str">
            <v>mestiza</v>
          </cell>
          <cell r="K1064" t="str">
            <v>Técnico Medio</v>
          </cell>
          <cell r="L1064" t="str">
            <v>Si</v>
          </cell>
          <cell r="O1064" t="str">
            <v>Técnico No Formado Salud</v>
          </cell>
        </row>
        <row r="1065">
          <cell r="C1065" t="str">
            <v>Adalis Pellicier Álvarez</v>
          </cell>
          <cell r="E1065" t="str">
            <v>F</v>
          </cell>
          <cell r="F1065" t="str">
            <v>negra</v>
          </cell>
          <cell r="K1065" t="str">
            <v>Servicio</v>
          </cell>
          <cell r="L1065" t="str">
            <v>Si</v>
          </cell>
          <cell r="O1065" t="str">
            <v>Técnico No Formado Salud</v>
          </cell>
        </row>
        <row r="1066">
          <cell r="C1066" t="str">
            <v>Yaidenis fuentes Hechavarría</v>
          </cell>
          <cell r="E1066" t="str">
            <v>F</v>
          </cell>
          <cell r="F1066" t="str">
            <v>mestiza</v>
          </cell>
          <cell r="K1066" t="str">
            <v>Técnico Superior</v>
          </cell>
          <cell r="L1066" t="str">
            <v>No</v>
          </cell>
          <cell r="O1066" t="str">
            <v>Técnico Superior de Ciclo Corto</v>
          </cell>
        </row>
        <row r="1067">
          <cell r="C1067" t="str">
            <v>Liubis Díaz Rodriguez</v>
          </cell>
          <cell r="E1067" t="str">
            <v>F</v>
          </cell>
          <cell r="F1067" t="str">
            <v>negra</v>
          </cell>
          <cell r="K1067" t="str">
            <v>Técnico Superior</v>
          </cell>
          <cell r="L1067" t="str">
            <v>No</v>
          </cell>
          <cell r="O1067" t="str">
            <v>Técnico Superior de Ciclo Corto</v>
          </cell>
        </row>
        <row r="1068">
          <cell r="C1068" t="str">
            <v>Miriam Enrique Rodriguez</v>
          </cell>
          <cell r="E1068" t="str">
            <v>F</v>
          </cell>
          <cell r="F1068" t="str">
            <v>blanca</v>
          </cell>
          <cell r="K1068" t="str">
            <v>Técnico Superior</v>
          </cell>
          <cell r="L1068" t="str">
            <v>Si</v>
          </cell>
          <cell r="O1068" t="str">
            <v>Técnico Superior de Ciclo Corto</v>
          </cell>
        </row>
        <row r="1069">
          <cell r="C1069" t="str">
            <v xml:space="preserve">Elizabeth Hechavarría Pozo </v>
          </cell>
          <cell r="E1069" t="str">
            <v>F</v>
          </cell>
          <cell r="F1069" t="str">
            <v>mestiza</v>
          </cell>
          <cell r="K1069" t="str">
            <v>Técnico Superior</v>
          </cell>
          <cell r="L1069" t="str">
            <v>No</v>
          </cell>
          <cell r="O1069" t="str">
            <v>Técnico Superior de Ciclo Corto</v>
          </cell>
        </row>
        <row r="1070">
          <cell r="C1070" t="str">
            <v>Yohandra Hernández Dominguez</v>
          </cell>
          <cell r="E1070" t="str">
            <v>F</v>
          </cell>
          <cell r="F1070" t="str">
            <v>Mestiza</v>
          </cell>
          <cell r="K1070" t="str">
            <v>Técnico Superior</v>
          </cell>
          <cell r="L1070" t="str">
            <v>No</v>
          </cell>
          <cell r="O1070" t="str">
            <v>Otros Profesionales y Especialidades</v>
          </cell>
        </row>
        <row r="1071">
          <cell r="C1071" t="str">
            <v>Daniel Morgan  Monier</v>
          </cell>
          <cell r="E1071" t="str">
            <v>M</v>
          </cell>
          <cell r="F1071" t="str">
            <v>negra</v>
          </cell>
          <cell r="K1071" t="str">
            <v>Técnico Superior</v>
          </cell>
          <cell r="L1071" t="str">
            <v>Si</v>
          </cell>
          <cell r="O1071" t="str">
            <v>Otros Profesionales y Especialidades</v>
          </cell>
        </row>
        <row r="1072">
          <cell r="C1072" t="str">
            <v>Yohania Ramirez Villa</v>
          </cell>
          <cell r="E1072" t="str">
            <v>F</v>
          </cell>
          <cell r="F1072" t="str">
            <v>Mestiza</v>
          </cell>
          <cell r="K1072" t="str">
            <v>Técnico Superior</v>
          </cell>
          <cell r="L1072" t="str">
            <v>Si</v>
          </cell>
          <cell r="O1072" t="str">
            <v>Otros Profesionales y Especialidades</v>
          </cell>
        </row>
        <row r="1073">
          <cell r="C1073" t="str">
            <v>Niuvis Morales Aguilera</v>
          </cell>
          <cell r="E1073" t="str">
            <v>F</v>
          </cell>
          <cell r="F1073" t="str">
            <v>Mestiza</v>
          </cell>
          <cell r="K1073" t="str">
            <v>Técnico Superior</v>
          </cell>
          <cell r="L1073" t="str">
            <v>Si</v>
          </cell>
          <cell r="O1073" t="str">
            <v>Otros Profesionales y Especialidades</v>
          </cell>
        </row>
        <row r="1074">
          <cell r="C1074" t="str">
            <v>Yunerkis Pardo Ruiz</v>
          </cell>
          <cell r="E1074" t="str">
            <v>M</v>
          </cell>
          <cell r="F1074" t="str">
            <v>Mestiza</v>
          </cell>
          <cell r="K1074" t="str">
            <v>Técnico Superior</v>
          </cell>
          <cell r="L1074" t="str">
            <v>Si</v>
          </cell>
          <cell r="O1074" t="str">
            <v>Otros Profesionales y Especialidades</v>
          </cell>
        </row>
        <row r="1075">
          <cell r="C1075" t="str">
            <v>Yoandris Pozo Reve</v>
          </cell>
          <cell r="E1075" t="str">
            <v>M</v>
          </cell>
          <cell r="F1075" t="str">
            <v>mestiza</v>
          </cell>
          <cell r="K1075" t="str">
            <v>Técnico Superior</v>
          </cell>
          <cell r="L1075" t="str">
            <v>No</v>
          </cell>
          <cell r="O1075" t="str">
            <v>Otros Profesionales y Especialidades</v>
          </cell>
        </row>
        <row r="1076">
          <cell r="C1076" t="str">
            <v>Edelmiro Léon Carrion</v>
          </cell>
          <cell r="E1076" t="str">
            <v>M</v>
          </cell>
          <cell r="F1076" t="str">
            <v>mestiza</v>
          </cell>
          <cell r="K1076" t="str">
            <v>Técnico Superior</v>
          </cell>
          <cell r="L1076" t="str">
            <v>No</v>
          </cell>
          <cell r="O1076" t="str">
            <v>Otros Profesionales y Especialidades</v>
          </cell>
        </row>
        <row r="1077">
          <cell r="C1077" t="str">
            <v>Ada Iris Vera Marín</v>
          </cell>
          <cell r="E1077" t="str">
            <v>F</v>
          </cell>
          <cell r="F1077" t="str">
            <v>negra</v>
          </cell>
          <cell r="K1077" t="str">
            <v>Administrativo</v>
          </cell>
          <cell r="L1077" t="str">
            <v>Si</v>
          </cell>
          <cell r="O1077" t="str">
            <v>Otros No Técnicos</v>
          </cell>
        </row>
        <row r="1078">
          <cell r="C1078" t="str">
            <v>ALEXANDER PEREZ ZAMORA</v>
          </cell>
          <cell r="E1078" t="str">
            <v>M</v>
          </cell>
          <cell r="F1078" t="str">
            <v>mestiza</v>
          </cell>
          <cell r="K1078" t="str">
            <v>Servicio</v>
          </cell>
          <cell r="L1078" t="str">
            <v>Si</v>
          </cell>
          <cell r="O1078" t="str">
            <v>Otros No Técnicos</v>
          </cell>
        </row>
        <row r="1079">
          <cell r="C1079" t="str">
            <v>Ana Doris Pelliciel Alvarez</v>
          </cell>
          <cell r="E1079" t="str">
            <v>F</v>
          </cell>
          <cell r="F1079" t="str">
            <v>negra</v>
          </cell>
          <cell r="K1079" t="str">
            <v>Operario</v>
          </cell>
          <cell r="L1079" t="str">
            <v>Si</v>
          </cell>
          <cell r="O1079" t="str">
            <v>Otros No Técnicos</v>
          </cell>
        </row>
        <row r="1080">
          <cell r="C1080" t="str">
            <v>Anicia Gómez del Pozo</v>
          </cell>
          <cell r="E1080" t="str">
            <v>F</v>
          </cell>
          <cell r="F1080" t="str">
            <v>mestiza</v>
          </cell>
          <cell r="K1080" t="str">
            <v>Servicio</v>
          </cell>
          <cell r="L1080" t="str">
            <v>Si</v>
          </cell>
          <cell r="O1080" t="str">
            <v>Otros No Técnicos</v>
          </cell>
        </row>
        <row r="1081">
          <cell r="C1081" t="str">
            <v>Asael Sosa Vaillant</v>
          </cell>
          <cell r="E1081" t="str">
            <v>M</v>
          </cell>
          <cell r="F1081" t="str">
            <v>negra</v>
          </cell>
          <cell r="K1081" t="str">
            <v>Operario</v>
          </cell>
          <cell r="L1081" t="str">
            <v>Si</v>
          </cell>
          <cell r="O1081" t="str">
            <v>Otros No Técnicos</v>
          </cell>
        </row>
        <row r="1082">
          <cell r="C1082" t="str">
            <v>Barbara Aline Villar Díaz</v>
          </cell>
          <cell r="E1082" t="str">
            <v>F</v>
          </cell>
          <cell r="F1082" t="str">
            <v>blanca</v>
          </cell>
          <cell r="K1082" t="str">
            <v>Administrativo</v>
          </cell>
          <cell r="L1082" t="str">
            <v>Si</v>
          </cell>
          <cell r="O1082" t="str">
            <v>Otros No Técnicos</v>
          </cell>
        </row>
        <row r="1083">
          <cell r="C1083" t="str">
            <v>Benjamín Hechavarría Coos</v>
          </cell>
          <cell r="E1083" t="str">
            <v>M</v>
          </cell>
          <cell r="F1083" t="str">
            <v>negra</v>
          </cell>
          <cell r="K1083" t="str">
            <v>Operario</v>
          </cell>
          <cell r="L1083" t="str">
            <v>Si</v>
          </cell>
          <cell r="O1083" t="str">
            <v>Otros No Técnicos</v>
          </cell>
        </row>
        <row r="1084">
          <cell r="C1084" t="str">
            <v>Liubis de la Fuente Isaac</v>
          </cell>
          <cell r="E1084" t="str">
            <v>F</v>
          </cell>
          <cell r="F1084" t="str">
            <v>mestiza</v>
          </cell>
          <cell r="K1084" t="str">
            <v>Servicio</v>
          </cell>
          <cell r="L1084" t="str">
            <v>No</v>
          </cell>
          <cell r="O1084" t="str">
            <v>Otros No Técnicos</v>
          </cell>
        </row>
        <row r="1085">
          <cell r="C1085" t="str">
            <v>Celeste Valenciano Samiñon</v>
          </cell>
          <cell r="E1085" t="str">
            <v>F</v>
          </cell>
          <cell r="F1085" t="str">
            <v>mestiza</v>
          </cell>
          <cell r="K1085" t="str">
            <v>Operario</v>
          </cell>
          <cell r="L1085" t="str">
            <v>Si</v>
          </cell>
          <cell r="O1085" t="str">
            <v>Otros No Técnicos</v>
          </cell>
        </row>
        <row r="1086">
          <cell r="C1086" t="str">
            <v>Dayami Martinez La Rosa</v>
          </cell>
          <cell r="E1086" t="str">
            <v>F</v>
          </cell>
          <cell r="F1086" t="str">
            <v>mestiza</v>
          </cell>
          <cell r="K1086" t="str">
            <v>Servicio</v>
          </cell>
          <cell r="L1086" t="str">
            <v>Si</v>
          </cell>
          <cell r="O1086" t="str">
            <v>Otros No Técnicos</v>
          </cell>
        </row>
        <row r="1087">
          <cell r="C1087" t="str">
            <v>Diazira Pino Muños</v>
          </cell>
          <cell r="E1087" t="str">
            <v>F</v>
          </cell>
          <cell r="F1087" t="str">
            <v>mestiza</v>
          </cell>
          <cell r="K1087" t="str">
            <v>Servicio</v>
          </cell>
          <cell r="L1087" t="str">
            <v>Si</v>
          </cell>
          <cell r="O1087" t="str">
            <v>Otros No Técnicos</v>
          </cell>
        </row>
        <row r="1088">
          <cell r="C1088" t="str">
            <v>Dionisia Dominguez Barroso</v>
          </cell>
          <cell r="E1088" t="str">
            <v>F</v>
          </cell>
          <cell r="F1088" t="str">
            <v>mestiza</v>
          </cell>
          <cell r="K1088" t="str">
            <v>Operario</v>
          </cell>
          <cell r="L1088" t="str">
            <v>Si</v>
          </cell>
          <cell r="O1088" t="str">
            <v>Otros No Técnicos</v>
          </cell>
        </row>
        <row r="1089">
          <cell r="C1089" t="str">
            <v>Eliceo Morales Castillo</v>
          </cell>
          <cell r="E1089" t="str">
            <v>M</v>
          </cell>
          <cell r="F1089" t="str">
            <v>mestiza</v>
          </cell>
          <cell r="K1089" t="str">
            <v>Operario</v>
          </cell>
          <cell r="L1089" t="str">
            <v>Si</v>
          </cell>
          <cell r="O1089" t="str">
            <v>Otros No Técnicos</v>
          </cell>
        </row>
        <row r="1090">
          <cell r="C1090" t="str">
            <v>Ermis Verdecia Laugart</v>
          </cell>
          <cell r="E1090" t="str">
            <v>M</v>
          </cell>
          <cell r="F1090" t="str">
            <v>negra</v>
          </cell>
          <cell r="K1090" t="str">
            <v>Operario</v>
          </cell>
          <cell r="L1090" t="str">
            <v>Si</v>
          </cell>
          <cell r="O1090" t="str">
            <v>Otros No Técnicos</v>
          </cell>
        </row>
        <row r="1091">
          <cell r="C1091" t="str">
            <v>Estilbia Poll Hechavarría</v>
          </cell>
          <cell r="E1091" t="str">
            <v>F</v>
          </cell>
          <cell r="F1091" t="str">
            <v>mestiza</v>
          </cell>
          <cell r="K1091" t="str">
            <v>Servicio</v>
          </cell>
          <cell r="L1091" t="str">
            <v>Si</v>
          </cell>
          <cell r="O1091" t="str">
            <v>Otros No Técnicos</v>
          </cell>
        </row>
        <row r="1092">
          <cell r="C1092" t="str">
            <v>Felino Huepp Bicet</v>
          </cell>
          <cell r="E1092" t="str">
            <v>M</v>
          </cell>
          <cell r="F1092" t="str">
            <v>mestiza</v>
          </cell>
          <cell r="K1092" t="str">
            <v>Operario</v>
          </cell>
          <cell r="L1092" t="str">
            <v>Si</v>
          </cell>
          <cell r="O1092" t="str">
            <v>Otros No Técnicos</v>
          </cell>
        </row>
        <row r="1093">
          <cell r="C1093" t="str">
            <v>Felix Zamora Rodriguez</v>
          </cell>
          <cell r="E1093" t="str">
            <v>M</v>
          </cell>
          <cell r="F1093" t="str">
            <v>mestiza</v>
          </cell>
          <cell r="K1093" t="str">
            <v>Operario</v>
          </cell>
          <cell r="L1093" t="str">
            <v>Si</v>
          </cell>
          <cell r="O1093" t="str">
            <v>Otros No Técnicos</v>
          </cell>
        </row>
        <row r="1094">
          <cell r="C1094" t="str">
            <v>Francisca Sánchez Miranda</v>
          </cell>
          <cell r="E1094" t="str">
            <v>F</v>
          </cell>
          <cell r="F1094" t="str">
            <v>negra</v>
          </cell>
          <cell r="K1094" t="str">
            <v>Servicio</v>
          </cell>
          <cell r="L1094" t="str">
            <v>Si</v>
          </cell>
          <cell r="O1094" t="str">
            <v>Otros No Técnicos</v>
          </cell>
        </row>
        <row r="1095">
          <cell r="C1095" t="str">
            <v>Gladys Esther Cuadra Romero</v>
          </cell>
          <cell r="E1095" t="str">
            <v>F</v>
          </cell>
          <cell r="F1095" t="str">
            <v>mestiza</v>
          </cell>
          <cell r="K1095" t="str">
            <v>Operario</v>
          </cell>
          <cell r="L1095" t="str">
            <v>Si</v>
          </cell>
          <cell r="O1095" t="str">
            <v>Otros No Técnicos</v>
          </cell>
        </row>
        <row r="1096">
          <cell r="C1096" t="str">
            <v>Greisy Zamora Basulto</v>
          </cell>
          <cell r="E1096" t="str">
            <v>F</v>
          </cell>
          <cell r="F1096" t="str">
            <v>mestiza</v>
          </cell>
          <cell r="K1096" t="str">
            <v>Operario</v>
          </cell>
          <cell r="L1096" t="str">
            <v>Si</v>
          </cell>
          <cell r="O1096" t="str">
            <v>Otros No Técnicos</v>
          </cell>
        </row>
        <row r="1097">
          <cell r="C1097" t="str">
            <v>Herenia Blanco Miclin</v>
          </cell>
          <cell r="E1097" t="str">
            <v>F</v>
          </cell>
          <cell r="F1097" t="str">
            <v>mestiza</v>
          </cell>
          <cell r="K1097" t="str">
            <v>Servicio</v>
          </cell>
          <cell r="L1097" t="str">
            <v>Si</v>
          </cell>
          <cell r="O1097" t="str">
            <v>Otros No Técnicos</v>
          </cell>
        </row>
        <row r="1098">
          <cell r="C1098" t="str">
            <v>Sodaily Rodriguez Odelin</v>
          </cell>
          <cell r="E1098" t="str">
            <v>F</v>
          </cell>
          <cell r="F1098" t="str">
            <v>negra</v>
          </cell>
          <cell r="K1098" t="str">
            <v>Técnico Medio</v>
          </cell>
          <cell r="L1098" t="str">
            <v>No</v>
          </cell>
          <cell r="O1098" t="str">
            <v>Otros No Técnicos</v>
          </cell>
        </row>
        <row r="1099">
          <cell r="C1099" t="str">
            <v>Irays Hechavarría Vience</v>
          </cell>
          <cell r="E1099" t="str">
            <v>M</v>
          </cell>
          <cell r="F1099" t="str">
            <v>negra</v>
          </cell>
          <cell r="K1099" t="str">
            <v>Operario</v>
          </cell>
          <cell r="L1099" t="str">
            <v>Si</v>
          </cell>
          <cell r="O1099" t="str">
            <v>Otros No Técnicos</v>
          </cell>
        </row>
        <row r="1100">
          <cell r="C1100" t="str">
            <v>Jesús Leyva Rojas</v>
          </cell>
          <cell r="E1100" t="str">
            <v>M</v>
          </cell>
          <cell r="F1100" t="str">
            <v>mestiza</v>
          </cell>
          <cell r="K1100" t="str">
            <v>Operario</v>
          </cell>
          <cell r="L1100" t="str">
            <v>Si</v>
          </cell>
          <cell r="O1100" t="str">
            <v>Otros No Técnicos</v>
          </cell>
        </row>
        <row r="1101">
          <cell r="C1101" t="str">
            <v>Jesús Luis Mengana Figueredo</v>
          </cell>
          <cell r="E1101" t="str">
            <v>M</v>
          </cell>
          <cell r="F1101" t="str">
            <v>blanca</v>
          </cell>
          <cell r="K1101" t="str">
            <v>Operario</v>
          </cell>
          <cell r="L1101" t="str">
            <v>Si</v>
          </cell>
          <cell r="O1101" t="str">
            <v>Otros No Técnicos</v>
          </cell>
        </row>
        <row r="1102">
          <cell r="C1102" t="str">
            <v>Joel Cajigal Cos</v>
          </cell>
          <cell r="E1102" t="str">
            <v>M</v>
          </cell>
          <cell r="F1102" t="str">
            <v>negra</v>
          </cell>
          <cell r="K1102" t="str">
            <v>Servicio</v>
          </cell>
          <cell r="L1102" t="str">
            <v>Si</v>
          </cell>
          <cell r="O1102" t="str">
            <v>Otros No Técnicos</v>
          </cell>
        </row>
        <row r="1103">
          <cell r="C1103" t="str">
            <v>Jorge Cardona Despaigne</v>
          </cell>
          <cell r="E1103" t="str">
            <v>M</v>
          </cell>
          <cell r="F1103" t="str">
            <v>mestiza</v>
          </cell>
          <cell r="K1103" t="str">
            <v>Servicio</v>
          </cell>
          <cell r="L1103" t="str">
            <v>Si</v>
          </cell>
          <cell r="O1103" t="str">
            <v>Otros No Técnicos</v>
          </cell>
        </row>
        <row r="1104">
          <cell r="C1104" t="str">
            <v>JOSE ANGEL GIRON VALIENTE</v>
          </cell>
          <cell r="E1104" t="str">
            <v>M</v>
          </cell>
          <cell r="F1104" t="str">
            <v>negra</v>
          </cell>
          <cell r="K1104" t="str">
            <v>Servicio</v>
          </cell>
          <cell r="L1104" t="str">
            <v>Si</v>
          </cell>
          <cell r="O1104" t="str">
            <v>Otros No Técnicos</v>
          </cell>
        </row>
        <row r="1105">
          <cell r="C1105" t="str">
            <v>Juan Bautista Rodriguez Danger</v>
          </cell>
          <cell r="E1105" t="str">
            <v>M</v>
          </cell>
          <cell r="F1105" t="str">
            <v>negra</v>
          </cell>
          <cell r="K1105" t="str">
            <v>Servicio</v>
          </cell>
          <cell r="L1105" t="str">
            <v>Si</v>
          </cell>
          <cell r="O1105" t="str">
            <v>Otros No Técnicos</v>
          </cell>
        </row>
        <row r="1106">
          <cell r="C1106" t="str">
            <v>Juan Carlos Massó Frometa</v>
          </cell>
          <cell r="E1106" t="str">
            <v>M</v>
          </cell>
          <cell r="F1106" t="str">
            <v>negra</v>
          </cell>
          <cell r="K1106" t="str">
            <v>Servicio</v>
          </cell>
          <cell r="L1106" t="str">
            <v>Si</v>
          </cell>
          <cell r="O1106" t="str">
            <v>Otros No Técnicos</v>
          </cell>
        </row>
        <row r="1107">
          <cell r="C1107" t="str">
            <v>Juan Viera Campanionis</v>
          </cell>
          <cell r="E1107" t="str">
            <v>M</v>
          </cell>
          <cell r="F1107" t="str">
            <v>negra</v>
          </cell>
          <cell r="K1107" t="str">
            <v>Servicio</v>
          </cell>
          <cell r="L1107" t="str">
            <v>Si</v>
          </cell>
          <cell r="O1107" t="str">
            <v>Otros No Técnicos</v>
          </cell>
        </row>
        <row r="1108">
          <cell r="C1108" t="str">
            <v>Juana Rodriguez Thomas</v>
          </cell>
          <cell r="E1108" t="str">
            <v>F</v>
          </cell>
          <cell r="F1108" t="str">
            <v>negra</v>
          </cell>
          <cell r="K1108" t="str">
            <v>Servicio</v>
          </cell>
          <cell r="L1108" t="str">
            <v>Si</v>
          </cell>
          <cell r="O1108" t="str">
            <v>Otros No Técnicos</v>
          </cell>
        </row>
        <row r="1109">
          <cell r="C1109" t="str">
            <v>Karelia Olivarez Castellanos</v>
          </cell>
          <cell r="E1109" t="str">
            <v>F</v>
          </cell>
          <cell r="F1109" t="str">
            <v>mestiza</v>
          </cell>
          <cell r="K1109" t="str">
            <v>Administrativo</v>
          </cell>
          <cell r="L1109" t="str">
            <v>Si</v>
          </cell>
          <cell r="O1109" t="str">
            <v>Otros No Técnicos</v>
          </cell>
        </row>
        <row r="1110">
          <cell r="C1110" t="str">
            <v>Keylan González Sánchez</v>
          </cell>
          <cell r="E1110" t="str">
            <v>F</v>
          </cell>
          <cell r="F1110" t="str">
            <v>blanca</v>
          </cell>
          <cell r="K1110" t="str">
            <v>Servicio</v>
          </cell>
          <cell r="L1110" t="str">
            <v>Si</v>
          </cell>
          <cell r="O1110" t="str">
            <v>Otros No Técnicos</v>
          </cell>
        </row>
        <row r="1111">
          <cell r="C1111" t="str">
            <v>Lazaro Betancourt Hechavarría</v>
          </cell>
          <cell r="E1111" t="str">
            <v>M</v>
          </cell>
          <cell r="F1111" t="str">
            <v>negra</v>
          </cell>
          <cell r="K1111" t="str">
            <v>Operario</v>
          </cell>
          <cell r="L1111" t="str">
            <v>Si</v>
          </cell>
          <cell r="O1111" t="str">
            <v>Otros No Técnicos</v>
          </cell>
        </row>
        <row r="1112">
          <cell r="C1112" t="str">
            <v>Leina Medina Medina</v>
          </cell>
          <cell r="E1112" t="str">
            <v>F</v>
          </cell>
          <cell r="F1112" t="str">
            <v>mestiza</v>
          </cell>
          <cell r="K1112" t="str">
            <v>Técnico Medio</v>
          </cell>
          <cell r="L1112" t="str">
            <v>Si</v>
          </cell>
          <cell r="O1112" t="str">
            <v>Técnico No Formado Salud</v>
          </cell>
        </row>
        <row r="1113">
          <cell r="C1113" t="str">
            <v>Leonel Sagó Martinez</v>
          </cell>
          <cell r="E1113" t="str">
            <v>M</v>
          </cell>
          <cell r="F1113" t="str">
            <v>mestiza</v>
          </cell>
          <cell r="K1113" t="str">
            <v>Operario</v>
          </cell>
          <cell r="L1113" t="str">
            <v>Si</v>
          </cell>
          <cell r="O1113" t="str">
            <v>Otros No Técnicos</v>
          </cell>
        </row>
        <row r="1114">
          <cell r="C1114" t="str">
            <v>Lilibeth Díaz Ramirez</v>
          </cell>
          <cell r="E1114" t="str">
            <v>F</v>
          </cell>
          <cell r="F1114" t="str">
            <v>mestiza</v>
          </cell>
          <cell r="K1114" t="str">
            <v>Servicio</v>
          </cell>
          <cell r="L1114" t="str">
            <v>Si</v>
          </cell>
          <cell r="O1114" t="str">
            <v>Otros No Técnicos</v>
          </cell>
        </row>
        <row r="1115">
          <cell r="C1115" t="str">
            <v>Lino Martinez Simón</v>
          </cell>
          <cell r="E1115" t="str">
            <v>M</v>
          </cell>
          <cell r="F1115" t="str">
            <v>negra</v>
          </cell>
          <cell r="K1115" t="str">
            <v>Servicio</v>
          </cell>
          <cell r="L1115" t="str">
            <v>Si</v>
          </cell>
          <cell r="O1115" t="str">
            <v>Otros No Técnicos</v>
          </cell>
        </row>
        <row r="1116">
          <cell r="C1116" t="str">
            <v>Lisbet Romero Portales</v>
          </cell>
          <cell r="E1116" t="str">
            <v>F</v>
          </cell>
          <cell r="F1116" t="str">
            <v>mestiza</v>
          </cell>
          <cell r="K1116" t="str">
            <v>Operario</v>
          </cell>
          <cell r="L1116" t="str">
            <v>Si</v>
          </cell>
          <cell r="O1116" t="str">
            <v>Otros No Técnicos</v>
          </cell>
        </row>
        <row r="1117">
          <cell r="C1117" t="str">
            <v>Luis Alberto Ramirez Blanco</v>
          </cell>
          <cell r="E1117" t="str">
            <v>M</v>
          </cell>
          <cell r="F1117" t="str">
            <v>mestiza</v>
          </cell>
          <cell r="K1117" t="str">
            <v>Operario</v>
          </cell>
          <cell r="L1117" t="str">
            <v>Si</v>
          </cell>
          <cell r="O1117" t="str">
            <v>Otros No Técnicos</v>
          </cell>
        </row>
        <row r="1118">
          <cell r="C1118" t="str">
            <v>LUIS LORA CASTILLO</v>
          </cell>
          <cell r="E1118" t="str">
            <v>M</v>
          </cell>
          <cell r="F1118" t="str">
            <v>mestiza</v>
          </cell>
          <cell r="K1118" t="str">
            <v>Operario</v>
          </cell>
          <cell r="L1118" t="str">
            <v>Si</v>
          </cell>
          <cell r="O1118" t="str">
            <v>Otros No Técnicos</v>
          </cell>
        </row>
        <row r="1119">
          <cell r="C1119" t="str">
            <v>Mairobis Fernandez Ramirez</v>
          </cell>
          <cell r="E1119" t="str">
            <v>F</v>
          </cell>
          <cell r="F1119" t="str">
            <v>mestiza</v>
          </cell>
          <cell r="K1119" t="str">
            <v>Servicio</v>
          </cell>
          <cell r="L1119" t="str">
            <v>Si</v>
          </cell>
          <cell r="O1119" t="str">
            <v>Otros No Técnicos</v>
          </cell>
        </row>
        <row r="1120">
          <cell r="C1120" t="str">
            <v>Manuel Alvarez Azaharez</v>
          </cell>
          <cell r="E1120" t="str">
            <v>M</v>
          </cell>
          <cell r="F1120" t="str">
            <v>blanca</v>
          </cell>
          <cell r="K1120" t="str">
            <v>Operario</v>
          </cell>
          <cell r="L1120" t="str">
            <v>Si</v>
          </cell>
          <cell r="O1120" t="str">
            <v>Otros No Técnicos</v>
          </cell>
        </row>
        <row r="1121">
          <cell r="C1121" t="str">
            <v>Margarita Torres Serrano</v>
          </cell>
          <cell r="E1121" t="str">
            <v>F</v>
          </cell>
          <cell r="F1121" t="str">
            <v>negra</v>
          </cell>
          <cell r="K1121" t="str">
            <v>Servicio</v>
          </cell>
          <cell r="L1121" t="str">
            <v>Si</v>
          </cell>
          <cell r="O1121" t="str">
            <v>Otros No Técnicos</v>
          </cell>
        </row>
        <row r="1122">
          <cell r="C1122" t="str">
            <v>María Dolores Tornet Gutierrez</v>
          </cell>
          <cell r="E1122" t="str">
            <v>F</v>
          </cell>
          <cell r="F1122" t="str">
            <v>mestiza</v>
          </cell>
          <cell r="K1122" t="str">
            <v>Servicio</v>
          </cell>
          <cell r="L1122" t="str">
            <v>Si</v>
          </cell>
          <cell r="O1122" t="str">
            <v>Otros No Técnicos</v>
          </cell>
        </row>
        <row r="1123">
          <cell r="C1123" t="str">
            <v>María Esther Martinez Vera</v>
          </cell>
          <cell r="E1123" t="str">
            <v>F</v>
          </cell>
          <cell r="F1123" t="str">
            <v>negra</v>
          </cell>
          <cell r="K1123" t="str">
            <v>Servicio</v>
          </cell>
          <cell r="L1123" t="str">
            <v>Si</v>
          </cell>
          <cell r="O1123" t="str">
            <v>Otros No Técnicos</v>
          </cell>
        </row>
        <row r="1124">
          <cell r="C1124" t="str">
            <v>Maridalmis Velázquez Pérez</v>
          </cell>
          <cell r="E1124" t="str">
            <v>F</v>
          </cell>
          <cell r="F1124" t="str">
            <v>blanca</v>
          </cell>
          <cell r="K1124" t="str">
            <v>Servicio</v>
          </cell>
          <cell r="L1124" t="str">
            <v>Si</v>
          </cell>
          <cell r="O1124" t="str">
            <v>Otros No Técnicos</v>
          </cell>
        </row>
        <row r="1125">
          <cell r="C1125" t="str">
            <v>Martha Campos Blanco</v>
          </cell>
          <cell r="E1125" t="str">
            <v>F</v>
          </cell>
          <cell r="F1125" t="str">
            <v>mestiza</v>
          </cell>
          <cell r="K1125" t="str">
            <v>Servicio</v>
          </cell>
          <cell r="L1125" t="str">
            <v>Si</v>
          </cell>
          <cell r="O1125" t="str">
            <v>Otros No Técnicos</v>
          </cell>
        </row>
        <row r="1126">
          <cell r="C1126" t="str">
            <v>Misael Morgan Monier</v>
          </cell>
          <cell r="E1126" t="str">
            <v>M</v>
          </cell>
          <cell r="F1126" t="str">
            <v>negra</v>
          </cell>
          <cell r="K1126" t="str">
            <v>Operario</v>
          </cell>
          <cell r="L1126" t="str">
            <v>Si</v>
          </cell>
          <cell r="O1126" t="str">
            <v>Otros No Técnicos</v>
          </cell>
        </row>
        <row r="1127">
          <cell r="C1127" t="str">
            <v>Nelia María Martinez Carvajal</v>
          </cell>
          <cell r="E1127" t="str">
            <v>F</v>
          </cell>
          <cell r="F1127" t="str">
            <v>negra</v>
          </cell>
          <cell r="K1127" t="str">
            <v>Servicio</v>
          </cell>
          <cell r="L1127" t="str">
            <v>Si</v>
          </cell>
          <cell r="O1127" t="str">
            <v>Otros No Técnicos</v>
          </cell>
        </row>
        <row r="1128">
          <cell r="C1128" t="str">
            <v>Nidia José Hurtado</v>
          </cell>
          <cell r="E1128" t="str">
            <v>F</v>
          </cell>
          <cell r="F1128" t="str">
            <v>negra</v>
          </cell>
          <cell r="K1128" t="str">
            <v>Servicio</v>
          </cell>
          <cell r="L1128" t="str">
            <v>Si</v>
          </cell>
          <cell r="O1128" t="str">
            <v>Otros No Técnicos</v>
          </cell>
        </row>
        <row r="1129">
          <cell r="C1129" t="str">
            <v>Nilsa Poll Hechavarría</v>
          </cell>
          <cell r="E1129" t="str">
            <v>F</v>
          </cell>
          <cell r="F1129" t="str">
            <v>mestiza</v>
          </cell>
          <cell r="K1129" t="str">
            <v>Servicio</v>
          </cell>
          <cell r="L1129" t="str">
            <v>Si</v>
          </cell>
          <cell r="O1129" t="str">
            <v>Otros No Técnicos</v>
          </cell>
        </row>
        <row r="1130">
          <cell r="C1130" t="str">
            <v>Odalis Hurtado Silega</v>
          </cell>
          <cell r="E1130" t="str">
            <v>F</v>
          </cell>
          <cell r="F1130" t="str">
            <v>negra</v>
          </cell>
          <cell r="K1130" t="str">
            <v>Servicio</v>
          </cell>
          <cell r="L1130" t="str">
            <v>Si</v>
          </cell>
          <cell r="O1130" t="str">
            <v>Otros No Técnicos</v>
          </cell>
        </row>
        <row r="1131">
          <cell r="C1131" t="str">
            <v>Olsy Martinez La Rosa</v>
          </cell>
          <cell r="E1131" t="str">
            <v>F</v>
          </cell>
          <cell r="F1131" t="str">
            <v>mestiza</v>
          </cell>
          <cell r="K1131" t="str">
            <v>Servicio</v>
          </cell>
          <cell r="L1131" t="str">
            <v>Si</v>
          </cell>
          <cell r="O1131" t="str">
            <v>Otros No Técnicos</v>
          </cell>
        </row>
        <row r="1132">
          <cell r="C1132" t="str">
            <v>Yaquelin Betancourt Silva</v>
          </cell>
          <cell r="E1132" t="str">
            <v>F</v>
          </cell>
          <cell r="F1132" t="str">
            <v>mestiza</v>
          </cell>
          <cell r="K1132" t="str">
            <v>Servicio</v>
          </cell>
          <cell r="L1132" t="str">
            <v>Si</v>
          </cell>
          <cell r="O1132" t="str">
            <v>Otros No Técnicos</v>
          </cell>
        </row>
        <row r="1133">
          <cell r="C1133" t="str">
            <v>Raisa Arias Hodelin</v>
          </cell>
          <cell r="E1133" t="str">
            <v>F</v>
          </cell>
          <cell r="F1133" t="str">
            <v>blanca</v>
          </cell>
          <cell r="K1133" t="str">
            <v>Servicio</v>
          </cell>
          <cell r="L1133" t="str">
            <v>Si</v>
          </cell>
          <cell r="O1133" t="str">
            <v>Otros No Técnicos</v>
          </cell>
        </row>
        <row r="1134">
          <cell r="C1134" t="str">
            <v>Raúl Hurtado Alvarez</v>
          </cell>
          <cell r="E1134" t="str">
            <v>M</v>
          </cell>
          <cell r="F1134" t="str">
            <v>negra</v>
          </cell>
          <cell r="K1134" t="str">
            <v>Operario</v>
          </cell>
          <cell r="L1134" t="str">
            <v>Si</v>
          </cell>
          <cell r="O1134" t="str">
            <v>Otros No Técnicos</v>
          </cell>
        </row>
        <row r="1135">
          <cell r="C1135" t="str">
            <v>Reunel Hernández Zamora</v>
          </cell>
          <cell r="E1135" t="str">
            <v>M</v>
          </cell>
          <cell r="F1135" t="str">
            <v>blanca</v>
          </cell>
          <cell r="K1135" t="str">
            <v>Operario</v>
          </cell>
          <cell r="L1135" t="str">
            <v>Si</v>
          </cell>
          <cell r="O1135" t="str">
            <v>Otros No Técnicos</v>
          </cell>
        </row>
        <row r="1136">
          <cell r="C1136" t="str">
            <v>Sergio Cuadra Claro</v>
          </cell>
          <cell r="E1136" t="str">
            <v>M</v>
          </cell>
          <cell r="F1136" t="str">
            <v>blanca</v>
          </cell>
          <cell r="K1136" t="str">
            <v>Servicio</v>
          </cell>
          <cell r="L1136" t="str">
            <v>Si</v>
          </cell>
          <cell r="O1136" t="str">
            <v>Otros No Técnicos</v>
          </cell>
        </row>
        <row r="1137">
          <cell r="C1137" t="str">
            <v>Marcos Antonio Heredia Gónzalez</v>
          </cell>
          <cell r="E1137" t="str">
            <v>M</v>
          </cell>
          <cell r="F1137" t="str">
            <v>mestiza</v>
          </cell>
          <cell r="K1137" t="str">
            <v>Operario</v>
          </cell>
          <cell r="L1137" t="str">
            <v>Si</v>
          </cell>
          <cell r="O1137" t="str">
            <v>Otros No Técnicos</v>
          </cell>
        </row>
        <row r="1138">
          <cell r="C1138" t="str">
            <v>Wilian Puente Gracial</v>
          </cell>
          <cell r="E1138" t="str">
            <v>M</v>
          </cell>
          <cell r="F1138" t="str">
            <v>negra</v>
          </cell>
          <cell r="K1138" t="str">
            <v>Operario</v>
          </cell>
          <cell r="L1138" t="str">
            <v>Si</v>
          </cell>
          <cell r="O1138" t="str">
            <v>Otros No Técnicos</v>
          </cell>
        </row>
        <row r="1139">
          <cell r="C1139" t="str">
            <v>Yainelis Durruty Sánchez</v>
          </cell>
          <cell r="E1139" t="str">
            <v>F</v>
          </cell>
          <cell r="F1139" t="str">
            <v>mestiza</v>
          </cell>
          <cell r="K1139" t="str">
            <v>Servicio</v>
          </cell>
          <cell r="L1139" t="str">
            <v>Si</v>
          </cell>
          <cell r="O1139" t="str">
            <v>Otros No Técnicos</v>
          </cell>
        </row>
        <row r="1140">
          <cell r="C1140" t="str">
            <v>Yamilka Ramirez Blanco</v>
          </cell>
          <cell r="E1140" t="str">
            <v>F</v>
          </cell>
          <cell r="F1140" t="str">
            <v>mestiza</v>
          </cell>
          <cell r="K1140" t="str">
            <v>Operario</v>
          </cell>
          <cell r="L1140" t="str">
            <v>Si</v>
          </cell>
          <cell r="O1140" t="str">
            <v>Otros No Técnicos</v>
          </cell>
        </row>
        <row r="1141">
          <cell r="C1141" t="str">
            <v>Yanelis Hodelin Donatien</v>
          </cell>
          <cell r="E1141" t="str">
            <v>F</v>
          </cell>
          <cell r="F1141" t="str">
            <v>negra</v>
          </cell>
          <cell r="K1141" t="str">
            <v>Operario</v>
          </cell>
          <cell r="L1141" t="str">
            <v>Si</v>
          </cell>
          <cell r="O1141" t="str">
            <v>Otros No Técnicos</v>
          </cell>
        </row>
        <row r="1142">
          <cell r="C1142" t="str">
            <v>Yanelis Savignón Fernández</v>
          </cell>
          <cell r="E1142" t="str">
            <v>F</v>
          </cell>
          <cell r="F1142" t="str">
            <v>negra</v>
          </cell>
          <cell r="K1142" t="str">
            <v>Operario</v>
          </cell>
          <cell r="L1142" t="str">
            <v>Si</v>
          </cell>
          <cell r="O1142" t="str">
            <v>Otros No Técnicos</v>
          </cell>
        </row>
        <row r="1143">
          <cell r="C1143" t="str">
            <v>Yarianna Durruty Valenciano</v>
          </cell>
          <cell r="E1143" t="str">
            <v>F</v>
          </cell>
          <cell r="F1143" t="str">
            <v>negra</v>
          </cell>
          <cell r="K1143" t="str">
            <v>Servicio</v>
          </cell>
          <cell r="L1143" t="str">
            <v>Si</v>
          </cell>
          <cell r="O1143" t="str">
            <v>Otros No Técnicos</v>
          </cell>
        </row>
        <row r="1144">
          <cell r="C1144" t="str">
            <v>Yolanda González Pérez</v>
          </cell>
          <cell r="E1144" t="str">
            <v>F</v>
          </cell>
          <cell r="F1144" t="str">
            <v>mestiza</v>
          </cell>
          <cell r="K1144" t="str">
            <v>Administrativo</v>
          </cell>
          <cell r="L1144" t="str">
            <v>Si</v>
          </cell>
          <cell r="O1144" t="str">
            <v>Otros No Técnicos</v>
          </cell>
        </row>
        <row r="1145">
          <cell r="C1145" t="str">
            <v>Yoleybis Botta Fonseca</v>
          </cell>
          <cell r="E1145" t="str">
            <v>F</v>
          </cell>
          <cell r="F1145" t="str">
            <v>mestiza</v>
          </cell>
          <cell r="K1145" t="str">
            <v>Servicio</v>
          </cell>
          <cell r="L1145" t="str">
            <v>Si</v>
          </cell>
          <cell r="O1145" t="str">
            <v>Otros No Técnicos</v>
          </cell>
        </row>
        <row r="1146">
          <cell r="C1146" t="str">
            <v>YUDELKY CAMPO SANCHEZ</v>
          </cell>
          <cell r="E1146" t="str">
            <v>M</v>
          </cell>
          <cell r="F1146" t="str">
            <v>negra</v>
          </cell>
          <cell r="K1146" t="str">
            <v>Operario</v>
          </cell>
          <cell r="L1146" t="str">
            <v>Si</v>
          </cell>
          <cell r="O1146" t="str">
            <v>Otros No Técnicos</v>
          </cell>
        </row>
        <row r="1147">
          <cell r="C1147" t="str">
            <v>Yuniesky Campo Rodriguez</v>
          </cell>
          <cell r="E1147" t="str">
            <v>F</v>
          </cell>
          <cell r="F1147" t="str">
            <v>negra</v>
          </cell>
          <cell r="K1147" t="str">
            <v>Operario</v>
          </cell>
          <cell r="L1147" t="str">
            <v>Si</v>
          </cell>
          <cell r="O1147" t="str">
            <v>Otros No Técnicos</v>
          </cell>
        </row>
        <row r="1148">
          <cell r="C1148" t="str">
            <v>Yunieskys Modoy Dominguez</v>
          </cell>
          <cell r="E1148" t="str">
            <v>F</v>
          </cell>
          <cell r="F1148" t="str">
            <v>negra</v>
          </cell>
          <cell r="K1148" t="str">
            <v>Servicio</v>
          </cell>
          <cell r="L1148" t="str">
            <v>Si</v>
          </cell>
          <cell r="O1148" t="str">
            <v>Otros No Técnicos</v>
          </cell>
        </row>
        <row r="1149">
          <cell r="C1149" t="str">
            <v>Ileana Blanco Céspedez</v>
          </cell>
          <cell r="E1149" t="str">
            <v>F</v>
          </cell>
          <cell r="F1149" t="str">
            <v>blanca</v>
          </cell>
          <cell r="K1149" t="str">
            <v>Servicio</v>
          </cell>
          <cell r="L1149" t="str">
            <v>No</v>
          </cell>
          <cell r="O1149" t="str">
            <v>Otros No Técnicos</v>
          </cell>
        </row>
        <row r="1150">
          <cell r="C1150" t="str">
            <v>Yadelkis Frometa de León</v>
          </cell>
          <cell r="E1150" t="str">
            <v>F</v>
          </cell>
          <cell r="F1150" t="str">
            <v>mestiza</v>
          </cell>
          <cell r="K1150" t="str">
            <v>Servicio</v>
          </cell>
          <cell r="L1150" t="str">
            <v>No</v>
          </cell>
          <cell r="O1150" t="str">
            <v>Otros No Técnicos</v>
          </cell>
        </row>
        <row r="1151">
          <cell r="C1151" t="str">
            <v>Manuel Despaigne Gabea</v>
          </cell>
          <cell r="E1151" t="str">
            <v>M</v>
          </cell>
          <cell r="F1151" t="str">
            <v>negra</v>
          </cell>
          <cell r="K1151" t="str">
            <v>Servicio</v>
          </cell>
          <cell r="L1151" t="str">
            <v>No</v>
          </cell>
          <cell r="O1151" t="str">
            <v>Otros No Técnicos</v>
          </cell>
        </row>
        <row r="1152">
          <cell r="C1152" t="str">
            <v>Yordenis Tomey Agüero</v>
          </cell>
          <cell r="E1152" t="str">
            <v>M</v>
          </cell>
          <cell r="F1152" t="str">
            <v>mestiza</v>
          </cell>
          <cell r="K1152" t="str">
            <v>Servicio</v>
          </cell>
          <cell r="L1152" t="str">
            <v>No</v>
          </cell>
          <cell r="O1152" t="str">
            <v>Otros No Técnicos</v>
          </cell>
        </row>
        <row r="1153">
          <cell r="C1153" t="str">
            <v>Eutimio Masso Frometa</v>
          </cell>
          <cell r="E1153" t="str">
            <v>M</v>
          </cell>
          <cell r="F1153" t="str">
            <v>negra</v>
          </cell>
          <cell r="K1153" t="str">
            <v>Servicio</v>
          </cell>
          <cell r="L1153" t="str">
            <v>No</v>
          </cell>
          <cell r="O1153" t="str">
            <v>Otros No Técnicos</v>
          </cell>
        </row>
        <row r="1154">
          <cell r="C1154" t="str">
            <v>Yamila Savon Quevedo</v>
          </cell>
          <cell r="E1154" t="str">
            <v>F</v>
          </cell>
          <cell r="F1154" t="str">
            <v>mestiza</v>
          </cell>
          <cell r="K1154" t="str">
            <v>Operario</v>
          </cell>
          <cell r="L1154" t="str">
            <v>No</v>
          </cell>
          <cell r="O1154" t="str">
            <v>Otros No Técnicos</v>
          </cell>
        </row>
        <row r="1155">
          <cell r="C1155" t="str">
            <v>Marlenis Hardy Escalante</v>
          </cell>
          <cell r="E1155" t="str">
            <v>F</v>
          </cell>
          <cell r="F1155" t="str">
            <v>mestiza</v>
          </cell>
          <cell r="K1155" t="str">
            <v>Operario</v>
          </cell>
          <cell r="L1155" t="str">
            <v>No</v>
          </cell>
          <cell r="O1155" t="str">
            <v>Otros No Técnicos</v>
          </cell>
        </row>
        <row r="1156">
          <cell r="C1156" t="str">
            <v>Kenia Serrano Lescay</v>
          </cell>
          <cell r="E1156" t="str">
            <v>F</v>
          </cell>
          <cell r="F1156" t="str">
            <v>mestiza</v>
          </cell>
          <cell r="K1156" t="str">
            <v>Servicio</v>
          </cell>
          <cell r="L1156" t="str">
            <v>No</v>
          </cell>
          <cell r="O1156" t="str">
            <v>Otros No Técnicos</v>
          </cell>
        </row>
        <row r="1157">
          <cell r="C1157" t="str">
            <v>Maryleydis Lora  Castillo</v>
          </cell>
          <cell r="E1157" t="str">
            <v>F</v>
          </cell>
          <cell r="F1157" t="str">
            <v>Mestiza</v>
          </cell>
          <cell r="K1157" t="str">
            <v>Servicio</v>
          </cell>
          <cell r="L1157" t="str">
            <v>No</v>
          </cell>
          <cell r="O1157" t="str">
            <v>Otros No Técnicos</v>
          </cell>
        </row>
        <row r="1158">
          <cell r="C1158" t="str">
            <v>Oraima Silveira Vaillant</v>
          </cell>
          <cell r="E1158" t="str">
            <v>F</v>
          </cell>
          <cell r="F1158" t="str">
            <v>mestiza</v>
          </cell>
          <cell r="K1158" t="str">
            <v>Servicio</v>
          </cell>
          <cell r="L1158" t="str">
            <v>No</v>
          </cell>
          <cell r="O1158" t="str">
            <v>Otros No Técnicos</v>
          </cell>
        </row>
        <row r="1159">
          <cell r="C1159" t="str">
            <v>Elba Rosa Rosado López</v>
          </cell>
          <cell r="E1159" t="str">
            <v>F</v>
          </cell>
          <cell r="F1159" t="str">
            <v>negra</v>
          </cell>
          <cell r="K1159" t="str">
            <v>Servicio</v>
          </cell>
          <cell r="L1159" t="str">
            <v>No</v>
          </cell>
          <cell r="O1159" t="str">
            <v>Otros No Técnicos</v>
          </cell>
        </row>
        <row r="1160">
          <cell r="C1160" t="str">
            <v>Marelis Diaz Agüero</v>
          </cell>
          <cell r="E1160" t="str">
            <v>F</v>
          </cell>
          <cell r="F1160" t="str">
            <v>negra</v>
          </cell>
          <cell r="K1160" t="str">
            <v>Operario</v>
          </cell>
          <cell r="L1160" t="str">
            <v>No</v>
          </cell>
          <cell r="O1160" t="str">
            <v>Otros No Técnicos</v>
          </cell>
        </row>
        <row r="1161">
          <cell r="C1161" t="str">
            <v>Yamila Diaz Savigne</v>
          </cell>
          <cell r="E1161" t="str">
            <v>F</v>
          </cell>
          <cell r="F1161" t="str">
            <v>mestiza</v>
          </cell>
          <cell r="K1161" t="str">
            <v>Operario</v>
          </cell>
          <cell r="L1161" t="str">
            <v>No</v>
          </cell>
          <cell r="O1161" t="str">
            <v>Otros No Técnicos</v>
          </cell>
        </row>
        <row r="1162">
          <cell r="C1162" t="str">
            <v>Carlos Manuel Romero Dominguez</v>
          </cell>
          <cell r="E1162" t="str">
            <v>M</v>
          </cell>
          <cell r="F1162" t="str">
            <v>mestiza</v>
          </cell>
          <cell r="K1162" t="str">
            <v>Operario</v>
          </cell>
          <cell r="L1162" t="str">
            <v>No</v>
          </cell>
          <cell r="O1162" t="str">
            <v>Otros No Técnicos</v>
          </cell>
        </row>
        <row r="1163">
          <cell r="C1163" t="str">
            <v>Ferbelia Bell Torres</v>
          </cell>
          <cell r="E1163" t="str">
            <v>F</v>
          </cell>
          <cell r="F1163" t="str">
            <v>Negra</v>
          </cell>
          <cell r="K1163" t="str">
            <v>Servicio</v>
          </cell>
          <cell r="L1163" t="str">
            <v>Si</v>
          </cell>
          <cell r="O1163" t="str">
            <v>Otros No Técnicos</v>
          </cell>
        </row>
        <row r="1164">
          <cell r="C1164" t="str">
            <v>Elda Lina Plutin Nariño</v>
          </cell>
          <cell r="E1164" t="str">
            <v>F</v>
          </cell>
          <cell r="F1164" t="str">
            <v>mestiza</v>
          </cell>
          <cell r="K1164" t="str">
            <v>Técnico Superior</v>
          </cell>
          <cell r="L1164" t="str">
            <v>No</v>
          </cell>
          <cell r="O1164" t="str">
            <v>Otros Profesionales y Especialidades</v>
          </cell>
        </row>
        <row r="1165">
          <cell r="C1165" t="str">
            <v>Jorge Luis Frometa Montes de Oca</v>
          </cell>
          <cell r="E1165" t="str">
            <v>M</v>
          </cell>
          <cell r="F1165" t="str">
            <v>mestiza</v>
          </cell>
          <cell r="K1165" t="str">
            <v>Servicio</v>
          </cell>
          <cell r="L1165" t="str">
            <v>No</v>
          </cell>
          <cell r="O1165" t="str">
            <v>Otros No Técnicos</v>
          </cell>
        </row>
        <row r="1166">
          <cell r="C1166" t="str">
            <v>Damaris Durruty Perera</v>
          </cell>
          <cell r="E1166" t="str">
            <v>F</v>
          </cell>
          <cell r="F1166" t="str">
            <v>mestiza</v>
          </cell>
          <cell r="K1166" t="str">
            <v>Técnico Superior</v>
          </cell>
          <cell r="L1166" t="str">
            <v>No</v>
          </cell>
          <cell r="O1166" t="str">
            <v>Otros Profesionales y Especialidades</v>
          </cell>
        </row>
        <row r="1167">
          <cell r="C1167" t="str">
            <v>Victor Manuel Alvarez Díaz</v>
          </cell>
          <cell r="E1167" t="str">
            <v>M</v>
          </cell>
          <cell r="F1167" t="str">
            <v>mestiza</v>
          </cell>
          <cell r="K1167" t="str">
            <v>Operario</v>
          </cell>
          <cell r="L1167" t="str">
            <v>No</v>
          </cell>
          <cell r="O1167" t="str">
            <v>Otros No Técnicos</v>
          </cell>
        </row>
        <row r="1168">
          <cell r="C1168" t="str">
            <v>Ana Rosa Coos Sánchez</v>
          </cell>
          <cell r="E1168" t="str">
            <v>F</v>
          </cell>
          <cell r="F1168" t="str">
            <v>negra</v>
          </cell>
          <cell r="K1168" t="str">
            <v>Servicio</v>
          </cell>
          <cell r="L1168" t="str">
            <v>No</v>
          </cell>
          <cell r="O1168" t="str">
            <v>Otros No Técnicos</v>
          </cell>
        </row>
        <row r="1169">
          <cell r="C1169" t="str">
            <v>Lilian Napolez Mustelier</v>
          </cell>
          <cell r="E1169" t="str">
            <v>F</v>
          </cell>
          <cell r="F1169" t="str">
            <v>negra</v>
          </cell>
          <cell r="K1169" t="str">
            <v>Servicio</v>
          </cell>
          <cell r="L1169" t="str">
            <v>No</v>
          </cell>
          <cell r="O1169" t="str">
            <v>Otros No Técnicos</v>
          </cell>
        </row>
        <row r="1170">
          <cell r="C1170" t="str">
            <v>Laudys Cajigal Lemes</v>
          </cell>
          <cell r="E1170" t="str">
            <v>F</v>
          </cell>
          <cell r="F1170" t="str">
            <v>mestiza</v>
          </cell>
          <cell r="K1170" t="str">
            <v>Técnico Medio</v>
          </cell>
          <cell r="L1170" t="str">
            <v>No</v>
          </cell>
          <cell r="O1170" t="str">
            <v>Técnico No Formado Salud</v>
          </cell>
        </row>
        <row r="1171">
          <cell r="C1171" t="str">
            <v>Yurideidis Kindelan fabret</v>
          </cell>
          <cell r="E1171" t="str">
            <v>F</v>
          </cell>
          <cell r="F1171" t="str">
            <v>mestiza</v>
          </cell>
          <cell r="K1171" t="str">
            <v>Servicio</v>
          </cell>
          <cell r="L1171" t="str">
            <v>No</v>
          </cell>
          <cell r="O1171" t="str">
            <v>Otros No Técnicos</v>
          </cell>
        </row>
        <row r="1172">
          <cell r="C1172" t="str">
            <v>Ideliza Turzcas Castellanis</v>
          </cell>
          <cell r="E1172" t="str">
            <v>F</v>
          </cell>
          <cell r="F1172" t="str">
            <v>negra</v>
          </cell>
          <cell r="K1172" t="str">
            <v>Servicio</v>
          </cell>
          <cell r="L1172" t="str">
            <v>No</v>
          </cell>
          <cell r="O1172" t="str">
            <v>Otros No Técnicos</v>
          </cell>
        </row>
        <row r="1173">
          <cell r="C1173" t="str">
            <v>Yailedis Hechavarria Rivero</v>
          </cell>
          <cell r="E1173" t="str">
            <v>F</v>
          </cell>
          <cell r="F1173" t="str">
            <v>mestiza</v>
          </cell>
          <cell r="K1173" t="str">
            <v>Servicio</v>
          </cell>
          <cell r="L1173" t="str">
            <v>No</v>
          </cell>
          <cell r="O1173" t="str">
            <v>Otros No Técnicos</v>
          </cell>
        </row>
        <row r="1174">
          <cell r="C1174" t="str">
            <v>Aniuska Bravo Pellicel</v>
          </cell>
          <cell r="E1174" t="str">
            <v>F</v>
          </cell>
          <cell r="F1174" t="str">
            <v>mestiza</v>
          </cell>
          <cell r="K1174" t="str">
            <v>Operario</v>
          </cell>
          <cell r="L1174" t="str">
            <v>No</v>
          </cell>
          <cell r="O1174" t="str">
            <v>Otros No Técnicos</v>
          </cell>
        </row>
        <row r="1175">
          <cell r="C1175" t="str">
            <v>Diosbelkis Riviaux Martinez</v>
          </cell>
          <cell r="E1175" t="str">
            <v>F</v>
          </cell>
          <cell r="F1175" t="str">
            <v>mestiza</v>
          </cell>
          <cell r="K1175" t="str">
            <v>Técnico Medio</v>
          </cell>
          <cell r="L1175" t="str">
            <v>No</v>
          </cell>
          <cell r="O1175" t="str">
            <v>Técnico No Formado Salud</v>
          </cell>
        </row>
        <row r="1176">
          <cell r="C1176" t="str">
            <v>Maryovis Savón Palacio</v>
          </cell>
          <cell r="E1176" t="str">
            <v>F</v>
          </cell>
          <cell r="F1176" t="str">
            <v>negra</v>
          </cell>
          <cell r="K1176" t="str">
            <v>Servicio</v>
          </cell>
          <cell r="L1176" t="str">
            <v>No</v>
          </cell>
          <cell r="O1176" t="str">
            <v>Otros No Técnicos</v>
          </cell>
        </row>
        <row r="1177">
          <cell r="C1177" t="str">
            <v>Roilan Juztiz Ayarde</v>
          </cell>
          <cell r="E1177" t="str">
            <v>M</v>
          </cell>
          <cell r="F1177" t="str">
            <v>negra</v>
          </cell>
          <cell r="K1177" t="str">
            <v>Operario</v>
          </cell>
          <cell r="L1177" t="str">
            <v>No</v>
          </cell>
          <cell r="O1177" t="str">
            <v>Otros No Técnicos</v>
          </cell>
        </row>
        <row r="1178">
          <cell r="C1178" t="str">
            <v>Dailey Delaz Nuñez</v>
          </cell>
          <cell r="E1178" t="str">
            <v>F</v>
          </cell>
          <cell r="F1178" t="str">
            <v>mestiza</v>
          </cell>
          <cell r="K1178" t="str">
            <v>Técnico Medio</v>
          </cell>
          <cell r="L1178" t="str">
            <v>No</v>
          </cell>
          <cell r="O1178" t="str">
            <v>Técnico No Formado Salud</v>
          </cell>
        </row>
        <row r="1179">
          <cell r="C1179" t="str">
            <v>Aliuska Pérez Bisset</v>
          </cell>
          <cell r="E1179" t="str">
            <v>F</v>
          </cell>
          <cell r="F1179" t="str">
            <v>mestiza</v>
          </cell>
          <cell r="K1179" t="str">
            <v>Operario</v>
          </cell>
          <cell r="L1179" t="str">
            <v>No</v>
          </cell>
          <cell r="O1179" t="str">
            <v>Otros No Técnicos</v>
          </cell>
        </row>
        <row r="1180">
          <cell r="C1180" t="str">
            <v xml:space="preserve"> Nieves Basulto Hodelin</v>
          </cell>
          <cell r="E1180" t="str">
            <v>F</v>
          </cell>
          <cell r="F1180" t="str">
            <v>mestiza</v>
          </cell>
          <cell r="K1180" t="str">
            <v>Técnico Medio</v>
          </cell>
          <cell r="L1180" t="str">
            <v>Si</v>
          </cell>
          <cell r="O1180" t="str">
            <v>Enfermería</v>
          </cell>
        </row>
        <row r="1181">
          <cell r="C1181" t="str">
            <v xml:space="preserve">Ana Maria Gonzalez Planas </v>
          </cell>
          <cell r="E1181" t="str">
            <v>F</v>
          </cell>
          <cell r="F1181" t="str">
            <v>mestiza</v>
          </cell>
          <cell r="K1181" t="str">
            <v>Técnico Medio</v>
          </cell>
          <cell r="L1181" t="str">
            <v>Si</v>
          </cell>
          <cell r="O1181" t="str">
            <v>Enfermería</v>
          </cell>
        </row>
        <row r="1182">
          <cell r="C1182" t="str">
            <v xml:space="preserve">Greysy Paisan Tellez </v>
          </cell>
          <cell r="E1182" t="str">
            <v>F</v>
          </cell>
          <cell r="F1182" t="str">
            <v>negra</v>
          </cell>
          <cell r="K1182" t="str">
            <v>Técnico Medio</v>
          </cell>
          <cell r="L1182" t="str">
            <v>Si</v>
          </cell>
          <cell r="O1182" t="str">
            <v>Enfermería</v>
          </cell>
        </row>
        <row r="1183">
          <cell r="C1183" t="str">
            <v xml:space="preserve">Minerva Ramirez Arias </v>
          </cell>
          <cell r="E1183" t="str">
            <v>F</v>
          </cell>
          <cell r="F1183" t="str">
            <v>mestiza</v>
          </cell>
          <cell r="K1183" t="str">
            <v>Técnico Medio</v>
          </cell>
          <cell r="L1183" t="str">
            <v>Si</v>
          </cell>
          <cell r="O1183" t="str">
            <v>Enfermería</v>
          </cell>
        </row>
        <row r="1184">
          <cell r="C1184" t="str">
            <v xml:space="preserve">Yunieska Valdes Carbonel </v>
          </cell>
          <cell r="E1184" t="str">
            <v>F</v>
          </cell>
          <cell r="F1184" t="str">
            <v>mestiza</v>
          </cell>
          <cell r="K1184" t="str">
            <v>Técnico Medio</v>
          </cell>
          <cell r="L1184" t="str">
            <v>Si</v>
          </cell>
          <cell r="O1184" t="str">
            <v>Enfermería</v>
          </cell>
        </row>
        <row r="1185">
          <cell r="C1185" t="str">
            <v>Adis Mariet Ibañez Gonzalez</v>
          </cell>
          <cell r="E1185" t="str">
            <v>F</v>
          </cell>
          <cell r="F1185" t="str">
            <v>blanca</v>
          </cell>
          <cell r="K1185" t="str">
            <v>Técnico Superior</v>
          </cell>
          <cell r="L1185" t="str">
            <v>Si</v>
          </cell>
          <cell r="O1185" t="str">
            <v>Estomatólogo</v>
          </cell>
        </row>
        <row r="1186">
          <cell r="C1186" t="str">
            <v>alfredo delgado de leon</v>
          </cell>
          <cell r="E1186" t="str">
            <v>M</v>
          </cell>
          <cell r="F1186" t="str">
            <v>blanca</v>
          </cell>
          <cell r="K1186" t="str">
            <v>Técnico Superior</v>
          </cell>
          <cell r="L1186" t="str">
            <v>Si</v>
          </cell>
          <cell r="O1186" t="str">
            <v>Estomatólogo</v>
          </cell>
        </row>
        <row r="1187">
          <cell r="C1187" t="str">
            <v>Alianna Escobar Kindelan</v>
          </cell>
          <cell r="E1187" t="str">
            <v>F</v>
          </cell>
          <cell r="F1187" t="str">
            <v>negra</v>
          </cell>
          <cell r="K1187" t="str">
            <v>Técnico Superior</v>
          </cell>
          <cell r="L1187" t="str">
            <v>Si</v>
          </cell>
          <cell r="O1187" t="str">
            <v>Estomatólogo</v>
          </cell>
        </row>
        <row r="1188">
          <cell r="C1188" t="str">
            <v>Alina Santos Perdomo</v>
          </cell>
          <cell r="E1188" t="str">
            <v>F</v>
          </cell>
          <cell r="F1188" t="str">
            <v>negra</v>
          </cell>
          <cell r="K1188" t="str">
            <v>Técnico Superior</v>
          </cell>
          <cell r="L1188" t="str">
            <v>Si</v>
          </cell>
          <cell r="O1188" t="str">
            <v>Estomatólogo</v>
          </cell>
        </row>
        <row r="1189">
          <cell r="C1189" t="str">
            <v>Ana Elena Delis García</v>
          </cell>
          <cell r="E1189" t="str">
            <v>F</v>
          </cell>
          <cell r="F1189" t="str">
            <v>mestiza</v>
          </cell>
          <cell r="K1189" t="str">
            <v>Técnico Superior</v>
          </cell>
          <cell r="L1189" t="str">
            <v>Si</v>
          </cell>
          <cell r="O1189" t="str">
            <v>Estomatólogo</v>
          </cell>
        </row>
        <row r="1190">
          <cell r="C1190" t="str">
            <v>Ana Pilar Regalado Tellez</v>
          </cell>
          <cell r="E1190" t="str">
            <v>F</v>
          </cell>
          <cell r="F1190" t="str">
            <v>blanca</v>
          </cell>
          <cell r="K1190" t="str">
            <v>Técnico Superior</v>
          </cell>
          <cell r="L1190" t="str">
            <v>Si</v>
          </cell>
          <cell r="O1190" t="str">
            <v>Estomatólogo</v>
          </cell>
        </row>
        <row r="1191">
          <cell r="C1191" t="str">
            <v>Angel Eusebio Galano García</v>
          </cell>
          <cell r="E1191" t="str">
            <v>M</v>
          </cell>
          <cell r="F1191" t="str">
            <v>Mestiza</v>
          </cell>
          <cell r="K1191" t="str">
            <v>Técnico Superior</v>
          </cell>
          <cell r="L1191" t="str">
            <v>No</v>
          </cell>
          <cell r="O1191" t="str">
            <v>Estomatólogo</v>
          </cell>
        </row>
        <row r="1192">
          <cell r="C1192" t="str">
            <v>Arelis Rojas Carbacho</v>
          </cell>
          <cell r="E1192" t="str">
            <v>F</v>
          </cell>
          <cell r="F1192" t="str">
            <v>mestiza</v>
          </cell>
          <cell r="K1192" t="str">
            <v>Técnico Superior</v>
          </cell>
          <cell r="L1192" t="str">
            <v>Si</v>
          </cell>
          <cell r="O1192" t="str">
            <v>Estomatólogo</v>
          </cell>
        </row>
        <row r="1193">
          <cell r="C1193" t="str">
            <v>Arianne Maura Martinez</v>
          </cell>
          <cell r="E1193" t="str">
            <v>F</v>
          </cell>
          <cell r="F1193" t="str">
            <v>negra</v>
          </cell>
          <cell r="K1193" t="str">
            <v>Técnico Superior</v>
          </cell>
          <cell r="L1193" t="str">
            <v>Si</v>
          </cell>
          <cell r="O1193" t="str">
            <v>Estomatólogo</v>
          </cell>
        </row>
        <row r="1194">
          <cell r="C1194" t="str">
            <v>Arturo Ortiz Matamoro</v>
          </cell>
          <cell r="E1194" t="str">
            <v>M</v>
          </cell>
          <cell r="F1194" t="str">
            <v>mestiza</v>
          </cell>
          <cell r="K1194" t="str">
            <v>Técnico Superior</v>
          </cell>
          <cell r="L1194" t="str">
            <v>Si</v>
          </cell>
          <cell r="O1194" t="str">
            <v>Estomatólogo</v>
          </cell>
        </row>
        <row r="1195">
          <cell r="C1195" t="str">
            <v>Ayaruselkis Jimenez Fuentes</v>
          </cell>
          <cell r="E1195" t="str">
            <v>F</v>
          </cell>
          <cell r="F1195" t="str">
            <v>negra</v>
          </cell>
          <cell r="K1195" t="str">
            <v>Técnico Superior</v>
          </cell>
          <cell r="L1195" t="str">
            <v>Si</v>
          </cell>
          <cell r="O1195" t="str">
            <v>Estomatólogo</v>
          </cell>
        </row>
        <row r="1196">
          <cell r="C1196" t="str">
            <v>Dailena Cobas Rivera</v>
          </cell>
          <cell r="E1196" t="str">
            <v>F</v>
          </cell>
          <cell r="F1196" t="str">
            <v>mestiza</v>
          </cell>
          <cell r="K1196" t="str">
            <v>Técnico Superior</v>
          </cell>
          <cell r="L1196" t="str">
            <v>Si</v>
          </cell>
          <cell r="O1196" t="str">
            <v>Estomatólogo</v>
          </cell>
        </row>
        <row r="1197">
          <cell r="C1197" t="str">
            <v>Daima Cobas Torres</v>
          </cell>
          <cell r="E1197" t="str">
            <v>F</v>
          </cell>
          <cell r="F1197" t="str">
            <v>mestiza</v>
          </cell>
          <cell r="K1197" t="str">
            <v>Cuadro</v>
          </cell>
          <cell r="L1197" t="str">
            <v>Si</v>
          </cell>
          <cell r="O1197" t="str">
            <v>Estomatólogo</v>
          </cell>
        </row>
        <row r="1198">
          <cell r="C1198" t="str">
            <v>Danay Hechavarria Palacio</v>
          </cell>
          <cell r="E1198" t="str">
            <v>F</v>
          </cell>
          <cell r="F1198" t="str">
            <v>mestiza</v>
          </cell>
          <cell r="K1198" t="str">
            <v>Técnico Superior</v>
          </cell>
          <cell r="L1198" t="str">
            <v>Si</v>
          </cell>
          <cell r="O1198" t="str">
            <v>Estomatólogo</v>
          </cell>
        </row>
        <row r="1199">
          <cell r="C1199" t="str">
            <v>Dayana Serrano Asin</v>
          </cell>
          <cell r="E1199" t="str">
            <v>F</v>
          </cell>
          <cell r="F1199" t="str">
            <v>mestiza</v>
          </cell>
          <cell r="K1199" t="str">
            <v>Técnico Superior</v>
          </cell>
          <cell r="L1199" t="str">
            <v>Si</v>
          </cell>
          <cell r="O1199" t="str">
            <v>Estomatólogo</v>
          </cell>
        </row>
        <row r="1200">
          <cell r="C1200" t="str">
            <v>Dayarmis Vera Sierra</v>
          </cell>
          <cell r="E1200" t="str">
            <v>F</v>
          </cell>
          <cell r="F1200" t="str">
            <v>negra</v>
          </cell>
          <cell r="K1200" t="str">
            <v>Técnico Superior</v>
          </cell>
          <cell r="L1200" t="str">
            <v>Si</v>
          </cell>
          <cell r="O1200" t="str">
            <v>Estomatólogo</v>
          </cell>
        </row>
        <row r="1201">
          <cell r="C1201" t="str">
            <v>Dianelis Bell Torres</v>
          </cell>
          <cell r="E1201" t="str">
            <v>F</v>
          </cell>
          <cell r="F1201" t="str">
            <v>mestiza</v>
          </cell>
          <cell r="K1201" t="str">
            <v>Técnico Superior</v>
          </cell>
          <cell r="L1201" t="str">
            <v>Si</v>
          </cell>
          <cell r="O1201" t="str">
            <v>Estomatólogo</v>
          </cell>
        </row>
        <row r="1202">
          <cell r="C1202" t="str">
            <v>Gerardo Rivera Del Rio</v>
          </cell>
          <cell r="E1202" t="str">
            <v>M</v>
          </cell>
          <cell r="F1202" t="str">
            <v>mestiza</v>
          </cell>
          <cell r="K1202" t="str">
            <v>Técnico Superior</v>
          </cell>
          <cell r="L1202" t="str">
            <v>Si</v>
          </cell>
          <cell r="O1202" t="str">
            <v>Estomatólogo</v>
          </cell>
        </row>
        <row r="1203">
          <cell r="C1203" t="str">
            <v>Ibisley Montoya Sanchez</v>
          </cell>
          <cell r="E1203" t="str">
            <v>F</v>
          </cell>
          <cell r="F1203" t="str">
            <v>mestiza</v>
          </cell>
          <cell r="K1203" t="str">
            <v>Técnico Superior</v>
          </cell>
          <cell r="L1203" t="str">
            <v>Si</v>
          </cell>
          <cell r="O1203" t="str">
            <v>Estomatólogo</v>
          </cell>
        </row>
        <row r="1204">
          <cell r="C1204" t="str">
            <v>Isyary Miranda Cabrera</v>
          </cell>
          <cell r="E1204" t="str">
            <v>F</v>
          </cell>
          <cell r="F1204" t="str">
            <v>blanca</v>
          </cell>
          <cell r="K1204" t="str">
            <v>Técnico Superior</v>
          </cell>
          <cell r="L1204" t="str">
            <v>Si</v>
          </cell>
          <cell r="O1204" t="str">
            <v>Estomatólogo</v>
          </cell>
        </row>
        <row r="1205">
          <cell r="C1205" t="str">
            <v>Jorge Antonio Rosell Suñol</v>
          </cell>
          <cell r="E1205" t="str">
            <v>M</v>
          </cell>
          <cell r="F1205" t="str">
            <v>mestiza</v>
          </cell>
          <cell r="K1205" t="str">
            <v>Técnico Superior</v>
          </cell>
          <cell r="L1205" t="str">
            <v>Si</v>
          </cell>
          <cell r="O1205" t="str">
            <v>Estomatólogo</v>
          </cell>
        </row>
        <row r="1206">
          <cell r="C1206" t="str">
            <v>Liadne Lopez Asin</v>
          </cell>
          <cell r="E1206" t="str">
            <v>F</v>
          </cell>
          <cell r="F1206" t="str">
            <v>mestiza</v>
          </cell>
          <cell r="K1206" t="str">
            <v>Técnico Superior</v>
          </cell>
          <cell r="L1206" t="str">
            <v>Si</v>
          </cell>
          <cell r="O1206" t="str">
            <v>Estomatólogo</v>
          </cell>
        </row>
        <row r="1207">
          <cell r="C1207" t="str">
            <v>Liena Fernández Gómez</v>
          </cell>
          <cell r="E1207" t="str">
            <v>F</v>
          </cell>
          <cell r="F1207" t="str">
            <v>blanca</v>
          </cell>
          <cell r="K1207" t="str">
            <v>Técnico Superior</v>
          </cell>
          <cell r="L1207" t="str">
            <v>Si</v>
          </cell>
          <cell r="O1207" t="str">
            <v>Estomatólogo</v>
          </cell>
        </row>
        <row r="1208">
          <cell r="C1208" t="str">
            <v>Liliana Elias Falcón</v>
          </cell>
          <cell r="E1208" t="str">
            <v>F</v>
          </cell>
          <cell r="F1208" t="str">
            <v>blanca</v>
          </cell>
          <cell r="K1208" t="str">
            <v>Técnico Superior</v>
          </cell>
          <cell r="L1208" t="str">
            <v>Si</v>
          </cell>
          <cell r="O1208" t="str">
            <v>Estomatólogo</v>
          </cell>
        </row>
        <row r="1209">
          <cell r="C1209" t="str">
            <v>LISBET ALEAGA PEREZ</v>
          </cell>
          <cell r="E1209" t="str">
            <v>F</v>
          </cell>
          <cell r="F1209" t="str">
            <v>blanca</v>
          </cell>
          <cell r="K1209" t="str">
            <v>Técnico Superior</v>
          </cell>
          <cell r="L1209" t="str">
            <v>Si</v>
          </cell>
          <cell r="O1209" t="str">
            <v>Estomatólogo</v>
          </cell>
        </row>
        <row r="1210">
          <cell r="C1210" t="str">
            <v>Lizandra Martínez Reyes</v>
          </cell>
          <cell r="E1210" t="str">
            <v>F</v>
          </cell>
          <cell r="F1210" t="str">
            <v>blanca</v>
          </cell>
          <cell r="K1210" t="str">
            <v>Técnico Superior</v>
          </cell>
          <cell r="L1210" t="str">
            <v>Si</v>
          </cell>
          <cell r="O1210" t="str">
            <v>Estomatólogo</v>
          </cell>
        </row>
        <row r="1211">
          <cell r="C1211" t="str">
            <v>Lucy Heredia Sanchez</v>
          </cell>
          <cell r="E1211" t="str">
            <v>F</v>
          </cell>
          <cell r="F1211" t="str">
            <v>negra</v>
          </cell>
          <cell r="K1211" t="str">
            <v>Técnico Superior</v>
          </cell>
          <cell r="L1211" t="str">
            <v>Si</v>
          </cell>
          <cell r="O1211" t="str">
            <v>Estomatólogo</v>
          </cell>
        </row>
        <row r="1212">
          <cell r="C1212" t="str">
            <v>Ludismary Parra Gonzalez</v>
          </cell>
          <cell r="E1212" t="str">
            <v>F</v>
          </cell>
          <cell r="F1212" t="str">
            <v>blanca</v>
          </cell>
          <cell r="K1212" t="str">
            <v>Técnico Superior</v>
          </cell>
          <cell r="L1212" t="str">
            <v>Si</v>
          </cell>
          <cell r="O1212" t="str">
            <v>Estomatólogo</v>
          </cell>
        </row>
        <row r="1213">
          <cell r="C1213" t="str">
            <v>LUIS  ELOY CAUSE BELTRAN</v>
          </cell>
          <cell r="E1213" t="str">
            <v>M</v>
          </cell>
          <cell r="F1213" t="str">
            <v>negra</v>
          </cell>
          <cell r="K1213" t="str">
            <v>Técnico Superior</v>
          </cell>
          <cell r="L1213" t="str">
            <v>Si</v>
          </cell>
          <cell r="O1213" t="str">
            <v>Estomatólogo</v>
          </cell>
        </row>
        <row r="1214">
          <cell r="C1214" t="str">
            <v>Marialina del Río Hechavarría</v>
          </cell>
          <cell r="E1214" t="str">
            <v>F</v>
          </cell>
          <cell r="F1214" t="str">
            <v>mestiza</v>
          </cell>
          <cell r="K1214" t="str">
            <v>Técnico Superior</v>
          </cell>
          <cell r="L1214" t="str">
            <v>No</v>
          </cell>
          <cell r="O1214" t="str">
            <v>Estomatólogo</v>
          </cell>
        </row>
        <row r="1215">
          <cell r="C1215" t="str">
            <v>Mariela Mendoza Diaz</v>
          </cell>
          <cell r="E1215" t="str">
            <v>F</v>
          </cell>
          <cell r="F1215" t="str">
            <v>blanca</v>
          </cell>
          <cell r="K1215" t="str">
            <v>Técnico Superior</v>
          </cell>
          <cell r="L1215" t="str">
            <v>Si</v>
          </cell>
          <cell r="O1215" t="str">
            <v>Estomatólogo</v>
          </cell>
        </row>
        <row r="1216">
          <cell r="C1216" t="str">
            <v>Marielis Lamontaña Heredia</v>
          </cell>
          <cell r="E1216" t="str">
            <v>F</v>
          </cell>
          <cell r="F1216" t="str">
            <v>negra</v>
          </cell>
          <cell r="K1216" t="str">
            <v>Técnico Superior</v>
          </cell>
          <cell r="L1216" t="str">
            <v>Si</v>
          </cell>
          <cell r="O1216" t="str">
            <v>Estomatólogo</v>
          </cell>
        </row>
        <row r="1217">
          <cell r="C1217" t="str">
            <v>Maurin Casternaux Martinez</v>
          </cell>
          <cell r="E1217" t="str">
            <v>F</v>
          </cell>
          <cell r="F1217" t="str">
            <v>mestiza</v>
          </cell>
          <cell r="K1217" t="str">
            <v>Técnico Superior</v>
          </cell>
          <cell r="L1217" t="str">
            <v>Si</v>
          </cell>
          <cell r="O1217" t="str">
            <v>Estomatólogo</v>
          </cell>
        </row>
        <row r="1218">
          <cell r="C1218" t="str">
            <v>Milagros De La Caridad Isaac Leon</v>
          </cell>
          <cell r="E1218" t="str">
            <v>F</v>
          </cell>
          <cell r="F1218" t="str">
            <v>negra</v>
          </cell>
          <cell r="K1218" t="str">
            <v>Técnico Superior</v>
          </cell>
          <cell r="L1218" t="str">
            <v>Si</v>
          </cell>
          <cell r="O1218" t="str">
            <v>Estomatólogo</v>
          </cell>
        </row>
        <row r="1219">
          <cell r="C1219" t="str">
            <v>Nevalis Sese Premier</v>
          </cell>
          <cell r="E1219" t="str">
            <v>F</v>
          </cell>
          <cell r="F1219" t="str">
            <v>negra</v>
          </cell>
          <cell r="K1219" t="str">
            <v>Técnico Superior</v>
          </cell>
          <cell r="L1219" t="str">
            <v>Si</v>
          </cell>
          <cell r="O1219" t="str">
            <v>Estomatólogo</v>
          </cell>
        </row>
        <row r="1220">
          <cell r="C1220" t="str">
            <v>Olga Lina Alvarez Ferrer</v>
          </cell>
          <cell r="E1220" t="str">
            <v>F</v>
          </cell>
          <cell r="F1220" t="str">
            <v>mestiza</v>
          </cell>
          <cell r="K1220" t="str">
            <v>Técnico Superior</v>
          </cell>
          <cell r="L1220" t="str">
            <v>Si</v>
          </cell>
          <cell r="O1220" t="str">
            <v>Estomatólogo</v>
          </cell>
        </row>
        <row r="1221">
          <cell r="C1221" t="str">
            <v>Rafael Bueno Mozo</v>
          </cell>
          <cell r="E1221" t="str">
            <v>M</v>
          </cell>
          <cell r="F1221" t="str">
            <v>negra</v>
          </cell>
          <cell r="K1221" t="str">
            <v>Técnico Superior</v>
          </cell>
          <cell r="L1221" t="str">
            <v>Si</v>
          </cell>
          <cell r="O1221" t="str">
            <v>Estomatólogo</v>
          </cell>
        </row>
        <row r="1222">
          <cell r="C1222" t="str">
            <v>Rafael Pellicer Carreño</v>
          </cell>
          <cell r="E1222" t="str">
            <v>M</v>
          </cell>
          <cell r="F1222" t="str">
            <v>blanca</v>
          </cell>
          <cell r="K1222" t="str">
            <v>Técnico Superior</v>
          </cell>
          <cell r="L1222" t="str">
            <v>Si</v>
          </cell>
          <cell r="O1222" t="str">
            <v>Estomatólogo</v>
          </cell>
        </row>
        <row r="1223">
          <cell r="C1223" t="str">
            <v>Rafael Pérez Valle</v>
          </cell>
          <cell r="E1223" t="str">
            <v>M</v>
          </cell>
          <cell r="F1223" t="str">
            <v>blanca</v>
          </cell>
          <cell r="K1223" t="str">
            <v>Técnico Superior</v>
          </cell>
          <cell r="L1223" t="str">
            <v>No</v>
          </cell>
          <cell r="O1223" t="str">
            <v>Estomatólogo</v>
          </cell>
        </row>
        <row r="1224">
          <cell r="C1224" t="str">
            <v>René Martinez León</v>
          </cell>
          <cell r="E1224" t="str">
            <v>M</v>
          </cell>
          <cell r="F1224" t="str">
            <v>negra</v>
          </cell>
          <cell r="K1224" t="str">
            <v>Técnico Superior</v>
          </cell>
          <cell r="L1224" t="str">
            <v>Si</v>
          </cell>
          <cell r="O1224" t="str">
            <v>Estomatólogo</v>
          </cell>
        </row>
        <row r="1225">
          <cell r="C1225" t="str">
            <v>Reynaldo Leyva Leyet</v>
          </cell>
          <cell r="E1225" t="str">
            <v>M</v>
          </cell>
          <cell r="F1225" t="str">
            <v>blanca</v>
          </cell>
          <cell r="K1225" t="str">
            <v>Técnico Superior</v>
          </cell>
          <cell r="L1225" t="str">
            <v>Si</v>
          </cell>
          <cell r="O1225" t="str">
            <v>Estomatólogo</v>
          </cell>
        </row>
        <row r="1226">
          <cell r="C1226" t="str">
            <v>Robert Brizo Cumba</v>
          </cell>
          <cell r="E1226" t="str">
            <v>M</v>
          </cell>
          <cell r="F1226" t="str">
            <v>negra</v>
          </cell>
          <cell r="K1226" t="str">
            <v>Técnico Superior</v>
          </cell>
          <cell r="L1226" t="str">
            <v>Si</v>
          </cell>
          <cell r="O1226" t="str">
            <v>Estomatólogo</v>
          </cell>
        </row>
        <row r="1227">
          <cell r="C1227" t="str">
            <v>Runaisy Ramos Ortiz</v>
          </cell>
          <cell r="E1227" t="str">
            <v>F</v>
          </cell>
          <cell r="F1227" t="str">
            <v>mestiza</v>
          </cell>
          <cell r="K1227" t="str">
            <v>Técnico Superior</v>
          </cell>
          <cell r="L1227" t="str">
            <v>Si</v>
          </cell>
          <cell r="O1227" t="str">
            <v>Estomatólogo</v>
          </cell>
        </row>
        <row r="1228">
          <cell r="C1228" t="str">
            <v>Sandra Vinent Hardy</v>
          </cell>
          <cell r="E1228" t="str">
            <v>F</v>
          </cell>
          <cell r="F1228" t="str">
            <v>mestiza</v>
          </cell>
          <cell r="K1228" t="str">
            <v>Técnico Superior</v>
          </cell>
          <cell r="L1228" t="str">
            <v>Si</v>
          </cell>
          <cell r="O1228" t="str">
            <v>Estomatólogo</v>
          </cell>
        </row>
        <row r="1229">
          <cell r="C1229" t="str">
            <v>Sorania Heredia Yis</v>
          </cell>
          <cell r="E1229" t="str">
            <v>F</v>
          </cell>
          <cell r="F1229" t="str">
            <v>mestiza</v>
          </cell>
          <cell r="K1229" t="str">
            <v>Técnico Superior</v>
          </cell>
          <cell r="L1229" t="str">
            <v>Si</v>
          </cell>
          <cell r="O1229" t="str">
            <v>Estomatólogo</v>
          </cell>
        </row>
        <row r="1230">
          <cell r="C1230" t="str">
            <v>Sunielvis Yañes Lay</v>
          </cell>
          <cell r="E1230" t="str">
            <v>F</v>
          </cell>
          <cell r="F1230" t="str">
            <v>mestiza</v>
          </cell>
          <cell r="K1230" t="str">
            <v>Técnico Superior</v>
          </cell>
          <cell r="L1230" t="str">
            <v>Si</v>
          </cell>
          <cell r="O1230" t="str">
            <v>Estomatólogo</v>
          </cell>
        </row>
        <row r="1231">
          <cell r="C1231" t="str">
            <v>Tamara Crecent Duquesne</v>
          </cell>
          <cell r="E1231" t="str">
            <v>F</v>
          </cell>
          <cell r="F1231" t="str">
            <v>negra</v>
          </cell>
          <cell r="K1231" t="str">
            <v>Técnico Superior</v>
          </cell>
          <cell r="L1231" t="str">
            <v>Si</v>
          </cell>
          <cell r="O1231" t="str">
            <v>Estomatólogo</v>
          </cell>
        </row>
        <row r="1232">
          <cell r="C1232" t="str">
            <v>Wilmer Hernández Herrera</v>
          </cell>
          <cell r="E1232" t="str">
            <v>M</v>
          </cell>
          <cell r="F1232" t="str">
            <v>mestiza</v>
          </cell>
          <cell r="K1232" t="str">
            <v>Técnico Superior</v>
          </cell>
          <cell r="L1232" t="str">
            <v>Si</v>
          </cell>
          <cell r="O1232" t="str">
            <v>Estomatólogo</v>
          </cell>
        </row>
        <row r="1233">
          <cell r="C1233" t="str">
            <v>Yaimara Salvat Cuello</v>
          </cell>
          <cell r="E1233" t="str">
            <v>F</v>
          </cell>
          <cell r="F1233" t="str">
            <v>mestiza</v>
          </cell>
          <cell r="K1233" t="str">
            <v>Técnico Superior</v>
          </cell>
          <cell r="L1233" t="str">
            <v>Si</v>
          </cell>
          <cell r="O1233" t="str">
            <v>Estomatólogo</v>
          </cell>
        </row>
        <row r="1234">
          <cell r="C1234" t="str">
            <v>YAIMY BARCELO TAMAYO</v>
          </cell>
          <cell r="E1234" t="str">
            <v>F</v>
          </cell>
          <cell r="F1234" t="str">
            <v>negra</v>
          </cell>
          <cell r="K1234" t="str">
            <v>Técnico Superior</v>
          </cell>
          <cell r="L1234" t="str">
            <v>Si</v>
          </cell>
          <cell r="O1234" t="str">
            <v>Estomatólogo</v>
          </cell>
        </row>
        <row r="1235">
          <cell r="C1235" t="str">
            <v>Yamilia Carbacho Ferrer</v>
          </cell>
          <cell r="E1235" t="str">
            <v>F</v>
          </cell>
          <cell r="F1235" t="str">
            <v>mestiza</v>
          </cell>
          <cell r="K1235" t="str">
            <v>Técnico Superior</v>
          </cell>
          <cell r="L1235" t="str">
            <v>Si</v>
          </cell>
          <cell r="O1235" t="str">
            <v>Estomatólogo</v>
          </cell>
        </row>
        <row r="1236">
          <cell r="C1236" t="str">
            <v>Yanaibis Mengana Martinez</v>
          </cell>
          <cell r="E1236" t="str">
            <v>F</v>
          </cell>
          <cell r="F1236" t="str">
            <v>mestiza</v>
          </cell>
          <cell r="K1236" t="str">
            <v>Técnico Superior</v>
          </cell>
          <cell r="L1236" t="str">
            <v>Si</v>
          </cell>
          <cell r="O1236" t="str">
            <v>Estomatólogo</v>
          </cell>
        </row>
        <row r="1237">
          <cell r="C1237" t="str">
            <v>YANET LOPEZ RODRIGUEZ</v>
          </cell>
          <cell r="E1237" t="str">
            <v>F</v>
          </cell>
          <cell r="F1237" t="str">
            <v>blanca</v>
          </cell>
          <cell r="K1237" t="str">
            <v>Técnico Superior</v>
          </cell>
          <cell r="L1237" t="str">
            <v>Si</v>
          </cell>
          <cell r="O1237" t="str">
            <v>Estomatólogo</v>
          </cell>
        </row>
        <row r="1238">
          <cell r="C1238" t="str">
            <v>Yanet Ortiz Falcon</v>
          </cell>
          <cell r="E1238" t="str">
            <v>F</v>
          </cell>
          <cell r="F1238" t="str">
            <v>mestiza</v>
          </cell>
          <cell r="K1238" t="str">
            <v>Técnico Superior</v>
          </cell>
          <cell r="L1238" t="str">
            <v>Si</v>
          </cell>
          <cell r="O1238" t="str">
            <v>Estomatólogo</v>
          </cell>
        </row>
        <row r="1239">
          <cell r="C1239" t="str">
            <v>Yanitza Charon Tumbarell</v>
          </cell>
          <cell r="E1239" t="str">
            <v>F</v>
          </cell>
          <cell r="F1239" t="str">
            <v>mestiza</v>
          </cell>
          <cell r="K1239" t="str">
            <v>Técnico Superior</v>
          </cell>
          <cell r="L1239" t="str">
            <v>Si</v>
          </cell>
          <cell r="O1239" t="str">
            <v>Estomatólogo</v>
          </cell>
        </row>
        <row r="1240">
          <cell r="C1240" t="str">
            <v>Yarilexy Duany Del Rio</v>
          </cell>
          <cell r="E1240" t="str">
            <v>F</v>
          </cell>
          <cell r="F1240" t="str">
            <v>mestiza</v>
          </cell>
          <cell r="K1240" t="str">
            <v>Técnico Superior</v>
          </cell>
          <cell r="L1240" t="str">
            <v>Si</v>
          </cell>
          <cell r="O1240" t="str">
            <v>Estomatólogo</v>
          </cell>
        </row>
        <row r="1241">
          <cell r="C1241" t="str">
            <v>Yeline Monteagudo Rodriguez</v>
          </cell>
          <cell r="E1241" t="str">
            <v>F</v>
          </cell>
          <cell r="F1241" t="str">
            <v>Mestiza</v>
          </cell>
          <cell r="K1241" t="str">
            <v>Técnico Superior</v>
          </cell>
          <cell r="L1241" t="str">
            <v>No</v>
          </cell>
          <cell r="O1241" t="str">
            <v>Estomatólogo</v>
          </cell>
        </row>
        <row r="1242">
          <cell r="C1242" t="str">
            <v>Yisel Barcelay Carbonell</v>
          </cell>
          <cell r="E1242" t="str">
            <v>F</v>
          </cell>
          <cell r="F1242" t="str">
            <v>negra</v>
          </cell>
          <cell r="K1242" t="str">
            <v>Técnico Superior</v>
          </cell>
          <cell r="L1242" t="str">
            <v>Si</v>
          </cell>
          <cell r="O1242" t="str">
            <v>Estomatólogo</v>
          </cell>
        </row>
        <row r="1243">
          <cell r="C1243" t="str">
            <v>Yonis Marange Alvarez</v>
          </cell>
          <cell r="E1243" t="str">
            <v>F</v>
          </cell>
          <cell r="F1243" t="str">
            <v>mestiza</v>
          </cell>
          <cell r="K1243" t="str">
            <v>Técnico Superior</v>
          </cell>
          <cell r="L1243" t="str">
            <v>Si</v>
          </cell>
          <cell r="O1243" t="str">
            <v>Estomatólogo</v>
          </cell>
        </row>
        <row r="1244">
          <cell r="C1244" t="str">
            <v>Yuleisi Santana Masabo</v>
          </cell>
          <cell r="E1244" t="str">
            <v>F</v>
          </cell>
          <cell r="F1244" t="str">
            <v>mestiza</v>
          </cell>
          <cell r="K1244" t="str">
            <v>Técnico Superior</v>
          </cell>
          <cell r="L1244" t="str">
            <v>Si</v>
          </cell>
          <cell r="O1244" t="str">
            <v>Estomatólogo</v>
          </cell>
        </row>
        <row r="1245">
          <cell r="C1245" t="str">
            <v>Yumila Gonzalez Cos</v>
          </cell>
          <cell r="E1245" t="str">
            <v>F</v>
          </cell>
          <cell r="F1245" t="str">
            <v>mestiza</v>
          </cell>
          <cell r="K1245" t="str">
            <v>Técnico Superior</v>
          </cell>
          <cell r="L1245" t="str">
            <v>Si</v>
          </cell>
          <cell r="O1245" t="str">
            <v>Estomatólogo</v>
          </cell>
        </row>
        <row r="1246">
          <cell r="C1246" t="str">
            <v>Yurimerlis Hurtado Perez</v>
          </cell>
          <cell r="E1246" t="str">
            <v>F</v>
          </cell>
          <cell r="F1246" t="str">
            <v>mestiza</v>
          </cell>
          <cell r="K1246" t="str">
            <v>Técnico Superior</v>
          </cell>
          <cell r="L1246" t="str">
            <v>Si</v>
          </cell>
          <cell r="O1246" t="str">
            <v>Estomatólogo</v>
          </cell>
        </row>
        <row r="1247">
          <cell r="C1247" t="str">
            <v>Adrian Bernaldo Irsula</v>
          </cell>
          <cell r="E1247" t="str">
            <v>M</v>
          </cell>
          <cell r="F1247" t="str">
            <v>mestiza</v>
          </cell>
          <cell r="K1247" t="str">
            <v>Técnico Superior</v>
          </cell>
          <cell r="L1247" t="str">
            <v>No</v>
          </cell>
          <cell r="O1247" t="str">
            <v>Lic. en Tecnología de la Salud</v>
          </cell>
        </row>
        <row r="1248">
          <cell r="C1248" t="str">
            <v>Adys Esther Guerra Barcelo</v>
          </cell>
          <cell r="E1248" t="str">
            <v>F</v>
          </cell>
          <cell r="F1248" t="str">
            <v>negra</v>
          </cell>
          <cell r="K1248" t="str">
            <v>Técnico Superior</v>
          </cell>
          <cell r="L1248" t="str">
            <v>Si</v>
          </cell>
          <cell r="O1248" t="str">
            <v>Lic. en Tecnología de la Salud</v>
          </cell>
        </row>
        <row r="1249">
          <cell r="C1249" t="str">
            <v>Alberto Segura Alfonso</v>
          </cell>
          <cell r="E1249" t="str">
            <v>M</v>
          </cell>
          <cell r="F1249" t="str">
            <v>mestiza</v>
          </cell>
          <cell r="K1249" t="str">
            <v>Técnico Superior</v>
          </cell>
          <cell r="L1249" t="str">
            <v>Si</v>
          </cell>
          <cell r="O1249" t="str">
            <v>Lic. en Tecnología de la Salud</v>
          </cell>
        </row>
        <row r="1250">
          <cell r="C1250" t="str">
            <v>Alexey Fuentes Diaz</v>
          </cell>
          <cell r="E1250" t="str">
            <v>M</v>
          </cell>
          <cell r="F1250" t="str">
            <v>negra</v>
          </cell>
          <cell r="K1250" t="str">
            <v>Técnico Superior</v>
          </cell>
          <cell r="L1250" t="str">
            <v>Si</v>
          </cell>
          <cell r="O1250" t="str">
            <v>Lic. en Tecnología de la Salud</v>
          </cell>
        </row>
        <row r="1251">
          <cell r="C1251" t="str">
            <v>ALIUSKA MONTERO QUINTANA</v>
          </cell>
          <cell r="E1251" t="str">
            <v>F</v>
          </cell>
          <cell r="F1251" t="str">
            <v>negra</v>
          </cell>
          <cell r="K1251" t="str">
            <v>Técnico Superior</v>
          </cell>
          <cell r="L1251" t="str">
            <v>Si</v>
          </cell>
          <cell r="O1251" t="str">
            <v>Lic. en Tecnología de la Salud</v>
          </cell>
        </row>
        <row r="1252">
          <cell r="C1252" t="str">
            <v>Amarilis Hechavarria Mendoza</v>
          </cell>
          <cell r="E1252" t="str">
            <v>F</v>
          </cell>
          <cell r="F1252" t="str">
            <v>blanca</v>
          </cell>
          <cell r="K1252" t="str">
            <v>Técnico Superior</v>
          </cell>
          <cell r="L1252" t="str">
            <v>Si</v>
          </cell>
          <cell r="O1252" t="str">
            <v>Lic. en Tecnología de la Salud</v>
          </cell>
        </row>
        <row r="1253">
          <cell r="C1253" t="str">
            <v>Ana Elia Fernandez Ortega</v>
          </cell>
          <cell r="E1253" t="str">
            <v>F</v>
          </cell>
          <cell r="F1253" t="str">
            <v>mestiza</v>
          </cell>
          <cell r="K1253" t="str">
            <v>Técnico Superior</v>
          </cell>
          <cell r="L1253" t="str">
            <v>Si</v>
          </cell>
          <cell r="O1253" t="str">
            <v>Lic. en Tecnología de la Salud</v>
          </cell>
        </row>
        <row r="1254">
          <cell r="C1254" t="str">
            <v>Ana Leydis De Armas Ruiz</v>
          </cell>
          <cell r="E1254" t="str">
            <v>F</v>
          </cell>
          <cell r="F1254" t="str">
            <v>mestiza</v>
          </cell>
          <cell r="K1254" t="str">
            <v>Técnico Superior</v>
          </cell>
          <cell r="L1254" t="str">
            <v>Si</v>
          </cell>
          <cell r="O1254" t="str">
            <v>Lic. en Tecnología de la Salud</v>
          </cell>
        </row>
        <row r="1255">
          <cell r="C1255" t="str">
            <v>Andrys Guerra Ochoa</v>
          </cell>
          <cell r="E1255" t="str">
            <v>M</v>
          </cell>
          <cell r="F1255" t="str">
            <v>negra</v>
          </cell>
          <cell r="K1255" t="str">
            <v>Técnico Superior</v>
          </cell>
          <cell r="L1255" t="str">
            <v>Si</v>
          </cell>
          <cell r="O1255" t="str">
            <v>Lic. en Tecnología de la Salud</v>
          </cell>
        </row>
        <row r="1256">
          <cell r="C1256" t="str">
            <v>Anialaide Luna Luna</v>
          </cell>
          <cell r="E1256" t="str">
            <v>F</v>
          </cell>
          <cell r="F1256" t="str">
            <v>mestiza</v>
          </cell>
          <cell r="K1256" t="str">
            <v>Técnico Superior</v>
          </cell>
          <cell r="L1256" t="str">
            <v>Si</v>
          </cell>
          <cell r="O1256" t="str">
            <v>Lic. en Tecnología de la Salud</v>
          </cell>
        </row>
        <row r="1257">
          <cell r="C1257" t="str">
            <v>Arianna Ortega Castellanos</v>
          </cell>
          <cell r="E1257" t="str">
            <v>F</v>
          </cell>
          <cell r="F1257" t="str">
            <v>blanca</v>
          </cell>
          <cell r="K1257" t="str">
            <v>Técnico Superior</v>
          </cell>
          <cell r="L1257" t="str">
            <v>Si</v>
          </cell>
          <cell r="O1257" t="str">
            <v>Lic. en Tecnología de la Salud</v>
          </cell>
        </row>
        <row r="1258">
          <cell r="C1258" t="str">
            <v>Arlettys Gracial Hernandez</v>
          </cell>
          <cell r="E1258" t="str">
            <v>F</v>
          </cell>
          <cell r="F1258" t="str">
            <v>mestiza</v>
          </cell>
          <cell r="K1258" t="str">
            <v>Técnico Superior</v>
          </cell>
          <cell r="L1258" t="str">
            <v>Si</v>
          </cell>
          <cell r="O1258" t="str">
            <v>Lic. en Tecnología de la Salud</v>
          </cell>
        </row>
        <row r="1259">
          <cell r="C1259" t="str">
            <v>Aymee Ferrer Mesa</v>
          </cell>
          <cell r="E1259" t="str">
            <v>F</v>
          </cell>
          <cell r="F1259" t="str">
            <v>mestiza</v>
          </cell>
          <cell r="K1259" t="str">
            <v>Técnico Superior</v>
          </cell>
          <cell r="L1259" t="str">
            <v>Si</v>
          </cell>
          <cell r="M1259" t="str">
            <v>Lic. Bioanálisis Clínico</v>
          </cell>
          <cell r="O1259" t="str">
            <v>Lic. en Tecnología de la Salud</v>
          </cell>
        </row>
        <row r="1260">
          <cell r="C1260" t="str">
            <v>Brenda Isabel Diez Guerra</v>
          </cell>
          <cell r="E1260" t="str">
            <v>F</v>
          </cell>
          <cell r="F1260" t="str">
            <v>mestiza</v>
          </cell>
          <cell r="K1260" t="str">
            <v>Técnico Superior</v>
          </cell>
          <cell r="L1260" t="str">
            <v>Si</v>
          </cell>
          <cell r="O1260" t="str">
            <v>Lic. en Tecnología de la Salud</v>
          </cell>
        </row>
        <row r="1261">
          <cell r="C1261" t="str">
            <v>CARLOS RIVERA GARCIA</v>
          </cell>
          <cell r="E1261" t="str">
            <v>M</v>
          </cell>
          <cell r="F1261" t="str">
            <v>mestiza</v>
          </cell>
          <cell r="K1261" t="str">
            <v>Técnico Superior</v>
          </cell>
          <cell r="L1261" t="str">
            <v>Si</v>
          </cell>
          <cell r="O1261" t="str">
            <v>Lic. en Tecnología de la Salud</v>
          </cell>
        </row>
        <row r="1262">
          <cell r="C1262" t="str">
            <v>Carmen Rodriguez Garbey</v>
          </cell>
          <cell r="E1262" t="str">
            <v>F</v>
          </cell>
          <cell r="F1262" t="str">
            <v>mestiza</v>
          </cell>
          <cell r="K1262" t="str">
            <v>Técnico Superior</v>
          </cell>
          <cell r="L1262" t="str">
            <v>Si</v>
          </cell>
          <cell r="O1262" t="str">
            <v>Lic. en Tecnología de la Salud</v>
          </cell>
        </row>
        <row r="1263">
          <cell r="C1263" t="str">
            <v>Daimarelys Sese Puente</v>
          </cell>
          <cell r="E1263" t="str">
            <v>F</v>
          </cell>
          <cell r="F1263" t="str">
            <v>negra</v>
          </cell>
          <cell r="K1263" t="str">
            <v>Técnico Superior</v>
          </cell>
          <cell r="L1263" t="str">
            <v>Si</v>
          </cell>
          <cell r="O1263" t="str">
            <v>Lic. en Tecnología de la Salud</v>
          </cell>
        </row>
        <row r="1264">
          <cell r="C1264" t="str">
            <v>Dainet Riquelme Barroso</v>
          </cell>
          <cell r="E1264" t="str">
            <v>F</v>
          </cell>
          <cell r="F1264" t="str">
            <v>mestiza</v>
          </cell>
          <cell r="K1264" t="str">
            <v>Técnico Superior</v>
          </cell>
          <cell r="L1264" t="str">
            <v>Si</v>
          </cell>
          <cell r="O1264" t="str">
            <v>Lic. en Tecnología de la Salud</v>
          </cell>
        </row>
        <row r="1265">
          <cell r="C1265" t="str">
            <v>Dalgis Sanchez Ferrer</v>
          </cell>
          <cell r="E1265" t="str">
            <v>F</v>
          </cell>
          <cell r="F1265" t="str">
            <v>negra</v>
          </cell>
          <cell r="K1265" t="str">
            <v>Técnico Superior</v>
          </cell>
          <cell r="L1265" t="str">
            <v>Si</v>
          </cell>
          <cell r="O1265" t="str">
            <v>Lic. en Tecnología de la Salud</v>
          </cell>
        </row>
        <row r="1266">
          <cell r="C1266" t="str">
            <v>Dalis Ramos Gonzalez</v>
          </cell>
          <cell r="E1266" t="str">
            <v>F</v>
          </cell>
          <cell r="F1266" t="str">
            <v>blanca</v>
          </cell>
          <cell r="K1266" t="str">
            <v>Operario</v>
          </cell>
          <cell r="L1266" t="str">
            <v>Si</v>
          </cell>
          <cell r="O1266" t="str">
            <v>Lic. en Tecnología de la Salud</v>
          </cell>
        </row>
        <row r="1267">
          <cell r="C1267" t="str">
            <v>Damaris Almeida Garcia</v>
          </cell>
          <cell r="E1267" t="str">
            <v>F</v>
          </cell>
          <cell r="F1267" t="str">
            <v>blanca</v>
          </cell>
          <cell r="K1267" t="str">
            <v>Técnico Superior</v>
          </cell>
          <cell r="L1267" t="str">
            <v>Si</v>
          </cell>
          <cell r="O1267" t="str">
            <v>Lic. en Tecnología de la Salud</v>
          </cell>
        </row>
        <row r="1268">
          <cell r="C1268" t="str">
            <v>Danay Altarriba Mendoza</v>
          </cell>
          <cell r="E1268" t="str">
            <v>F</v>
          </cell>
          <cell r="F1268" t="str">
            <v>mestiza</v>
          </cell>
          <cell r="K1268" t="str">
            <v>Técnico Superior</v>
          </cell>
          <cell r="L1268" t="str">
            <v>Si</v>
          </cell>
          <cell r="O1268" t="str">
            <v>Lic. en Tecnología de la Salud</v>
          </cell>
        </row>
        <row r="1269">
          <cell r="C1269" t="str">
            <v>Dania Cobas Carbonell</v>
          </cell>
          <cell r="E1269" t="str">
            <v>F</v>
          </cell>
          <cell r="F1269" t="str">
            <v>negra</v>
          </cell>
          <cell r="K1269" t="str">
            <v>Técnico Superior</v>
          </cell>
          <cell r="L1269" t="str">
            <v>Si</v>
          </cell>
          <cell r="O1269" t="str">
            <v>Lic. en Tecnología de la Salud</v>
          </cell>
        </row>
        <row r="1270">
          <cell r="C1270" t="str">
            <v>Dargelis Danger Hechavarria</v>
          </cell>
          <cell r="E1270" t="str">
            <v>F</v>
          </cell>
          <cell r="F1270" t="str">
            <v>mestiza</v>
          </cell>
          <cell r="K1270" t="str">
            <v>Técnico Superior</v>
          </cell>
          <cell r="L1270" t="str">
            <v>Si</v>
          </cell>
          <cell r="O1270" t="str">
            <v>Lic. en Tecnología de la Salud</v>
          </cell>
        </row>
        <row r="1271">
          <cell r="C1271" t="str">
            <v>Dasnella Vego Alberteris</v>
          </cell>
          <cell r="E1271" t="str">
            <v>F</v>
          </cell>
          <cell r="F1271" t="str">
            <v>mestiza</v>
          </cell>
          <cell r="K1271" t="str">
            <v>Técnico Superior</v>
          </cell>
          <cell r="L1271" t="str">
            <v>Si</v>
          </cell>
          <cell r="O1271" t="str">
            <v>Lic. en Tecnología de la Salud</v>
          </cell>
        </row>
        <row r="1272">
          <cell r="C1272" t="str">
            <v>Dayami Almanarez Puente</v>
          </cell>
          <cell r="E1272" t="str">
            <v>F</v>
          </cell>
          <cell r="F1272" t="str">
            <v>mestiza</v>
          </cell>
          <cell r="K1272" t="str">
            <v>Técnico Superior</v>
          </cell>
          <cell r="L1272" t="str">
            <v>Si</v>
          </cell>
          <cell r="O1272" t="str">
            <v>Lic. en Tecnología de la Salud</v>
          </cell>
        </row>
        <row r="1273">
          <cell r="C1273" t="str">
            <v>Deyvis Cuello Calderin</v>
          </cell>
          <cell r="E1273" t="str">
            <v>F</v>
          </cell>
          <cell r="F1273" t="str">
            <v>mestiza</v>
          </cell>
          <cell r="K1273" t="str">
            <v>Técnico Superior</v>
          </cell>
          <cell r="L1273" t="str">
            <v>Si</v>
          </cell>
          <cell r="O1273" t="str">
            <v>Lic. en Tecnología de la Salud</v>
          </cell>
        </row>
        <row r="1274">
          <cell r="C1274" t="str">
            <v>Dineydis Arias Ricardo</v>
          </cell>
          <cell r="E1274" t="str">
            <v>F</v>
          </cell>
          <cell r="F1274" t="str">
            <v>mestiza</v>
          </cell>
          <cell r="K1274" t="str">
            <v>Técnico Superior</v>
          </cell>
          <cell r="L1274" t="str">
            <v>Si</v>
          </cell>
          <cell r="O1274" t="str">
            <v>Lic. en Tecnología de la Salud</v>
          </cell>
        </row>
        <row r="1275">
          <cell r="C1275" t="str">
            <v>Diobel Carlos Rodriguez Bell</v>
          </cell>
          <cell r="E1275" t="str">
            <v>F</v>
          </cell>
          <cell r="F1275" t="str">
            <v>mestiza</v>
          </cell>
          <cell r="K1275" t="str">
            <v>Técnico Superior</v>
          </cell>
          <cell r="L1275" t="str">
            <v>Si</v>
          </cell>
          <cell r="O1275" t="str">
            <v>Lic. en Tecnología de la Salud</v>
          </cell>
        </row>
        <row r="1276">
          <cell r="C1276" t="str">
            <v>Diosmar Martinez Perera</v>
          </cell>
          <cell r="E1276" t="str">
            <v>M</v>
          </cell>
          <cell r="F1276" t="str">
            <v>mestiza</v>
          </cell>
          <cell r="K1276" t="str">
            <v>Técnico Superior</v>
          </cell>
          <cell r="L1276" t="str">
            <v>Si</v>
          </cell>
          <cell r="O1276" t="str">
            <v>Lic. en Tecnología de la Salud</v>
          </cell>
        </row>
        <row r="1277">
          <cell r="C1277" t="str">
            <v>Disley Perez Fonden</v>
          </cell>
          <cell r="E1277" t="str">
            <v>F</v>
          </cell>
          <cell r="F1277" t="str">
            <v>mestiza</v>
          </cell>
          <cell r="K1277" t="str">
            <v>Técnico Superior</v>
          </cell>
          <cell r="L1277" t="str">
            <v>Si</v>
          </cell>
          <cell r="O1277" t="str">
            <v>Lic. en Tecnología de la Salud</v>
          </cell>
        </row>
        <row r="1278">
          <cell r="C1278" t="str">
            <v>Dunia Del Rio Rodriguez</v>
          </cell>
          <cell r="E1278" t="str">
            <v>F</v>
          </cell>
          <cell r="F1278" t="str">
            <v>negra</v>
          </cell>
          <cell r="K1278" t="str">
            <v>Técnico Superior</v>
          </cell>
          <cell r="L1278" t="str">
            <v>Si</v>
          </cell>
          <cell r="O1278" t="str">
            <v>Lic. en Tecnología de la Salud</v>
          </cell>
        </row>
        <row r="1279">
          <cell r="C1279" t="str">
            <v>Edgar Ferie Albelo</v>
          </cell>
          <cell r="E1279" t="str">
            <v>M</v>
          </cell>
          <cell r="F1279" t="str">
            <v>mestiza</v>
          </cell>
          <cell r="K1279" t="str">
            <v>Técnico Superior</v>
          </cell>
          <cell r="L1279" t="str">
            <v>Si</v>
          </cell>
          <cell r="O1279" t="str">
            <v>Lic. en Tecnología de la Salud</v>
          </cell>
        </row>
        <row r="1280">
          <cell r="C1280" t="str">
            <v>Eduardo Gonzalez Hechavarria</v>
          </cell>
          <cell r="E1280" t="str">
            <v>M</v>
          </cell>
          <cell r="F1280" t="str">
            <v>mestiza</v>
          </cell>
          <cell r="K1280" t="str">
            <v>Técnico Superior</v>
          </cell>
          <cell r="L1280" t="str">
            <v>Si</v>
          </cell>
          <cell r="O1280" t="str">
            <v>Lic. en Tecnología de la Salud</v>
          </cell>
        </row>
        <row r="1281">
          <cell r="C1281" t="str">
            <v>Eilyn Cruz Torres</v>
          </cell>
          <cell r="E1281" t="str">
            <v>F</v>
          </cell>
          <cell r="F1281" t="str">
            <v>blanca</v>
          </cell>
          <cell r="K1281" t="str">
            <v>Técnico Superior</v>
          </cell>
          <cell r="L1281" t="str">
            <v>Si</v>
          </cell>
          <cell r="O1281" t="str">
            <v>Lic. en Tecnología de la Salud</v>
          </cell>
        </row>
        <row r="1282">
          <cell r="C1282" t="str">
            <v>Eleisa Perez Martinez</v>
          </cell>
          <cell r="E1282" t="str">
            <v>F</v>
          </cell>
          <cell r="F1282" t="str">
            <v>mestiza</v>
          </cell>
          <cell r="K1282" t="str">
            <v>Técnico Superior</v>
          </cell>
          <cell r="L1282" t="str">
            <v>Si</v>
          </cell>
          <cell r="O1282" t="str">
            <v>Lic. en Tecnología de la Salud</v>
          </cell>
        </row>
        <row r="1283">
          <cell r="C1283" t="str">
            <v>Elena Caraballo Perez</v>
          </cell>
          <cell r="E1283" t="str">
            <v>F</v>
          </cell>
          <cell r="F1283" t="str">
            <v>negra</v>
          </cell>
          <cell r="K1283" t="str">
            <v>Técnico Superior</v>
          </cell>
          <cell r="L1283" t="str">
            <v>Si</v>
          </cell>
          <cell r="O1283" t="str">
            <v>Lic. en Tecnología de la Salud</v>
          </cell>
        </row>
        <row r="1284">
          <cell r="C1284" t="str">
            <v>Elia Soler Batista</v>
          </cell>
          <cell r="E1284" t="str">
            <v>F</v>
          </cell>
          <cell r="F1284" t="str">
            <v>mestiza</v>
          </cell>
          <cell r="K1284" t="str">
            <v>Técnico Superior</v>
          </cell>
          <cell r="L1284" t="str">
            <v>Si</v>
          </cell>
          <cell r="O1284" t="str">
            <v>Lic. en Tecnología de la Salud</v>
          </cell>
        </row>
        <row r="1285">
          <cell r="C1285" t="str">
            <v>Eliomar Gonzalez Castro</v>
          </cell>
          <cell r="E1285" t="str">
            <v>M</v>
          </cell>
          <cell r="F1285" t="str">
            <v>mestiza</v>
          </cell>
          <cell r="K1285" t="str">
            <v>Técnico Superior</v>
          </cell>
          <cell r="L1285" t="str">
            <v>Si</v>
          </cell>
          <cell r="O1285" t="str">
            <v>Lic. en Tecnología de la Salud</v>
          </cell>
        </row>
        <row r="1286">
          <cell r="C1286" t="str">
            <v>Elisareski Frometa Bell</v>
          </cell>
          <cell r="E1286" t="str">
            <v>F</v>
          </cell>
          <cell r="F1286" t="str">
            <v>mestiza</v>
          </cell>
          <cell r="K1286" t="str">
            <v>Técnico Superior</v>
          </cell>
          <cell r="L1286" t="str">
            <v>Si</v>
          </cell>
          <cell r="O1286" t="str">
            <v>Lic. en Tecnología de la Salud</v>
          </cell>
        </row>
        <row r="1287">
          <cell r="C1287" t="str">
            <v>Elizabeth Amador Cumba</v>
          </cell>
          <cell r="E1287" t="str">
            <v>F</v>
          </cell>
          <cell r="F1287" t="str">
            <v>mestiza</v>
          </cell>
          <cell r="K1287" t="str">
            <v>Técnico Superior</v>
          </cell>
          <cell r="L1287" t="str">
            <v>Si</v>
          </cell>
          <cell r="O1287" t="str">
            <v>Lic. en Tecnología de la Salud</v>
          </cell>
        </row>
        <row r="1288">
          <cell r="C1288" t="str">
            <v>Emis Silva Lazo</v>
          </cell>
          <cell r="E1288" t="str">
            <v>F</v>
          </cell>
          <cell r="F1288" t="str">
            <v>mestiza</v>
          </cell>
          <cell r="K1288" t="str">
            <v>Técnico Superior</v>
          </cell>
          <cell r="L1288" t="str">
            <v>Si</v>
          </cell>
          <cell r="O1288" t="str">
            <v>Lic. en Tecnología de la Salud</v>
          </cell>
        </row>
        <row r="1289">
          <cell r="C1289" t="str">
            <v>Enoemis Fuentes Molina</v>
          </cell>
          <cell r="E1289" t="str">
            <v>F</v>
          </cell>
          <cell r="F1289" t="str">
            <v>negra</v>
          </cell>
          <cell r="K1289" t="str">
            <v>Técnico Superior</v>
          </cell>
          <cell r="L1289" t="str">
            <v>Si</v>
          </cell>
          <cell r="O1289" t="str">
            <v>Lic. en Tecnología de la Salud</v>
          </cell>
        </row>
        <row r="1290">
          <cell r="C1290" t="str">
            <v>ERNESTO GONZALEZ TORRES</v>
          </cell>
          <cell r="E1290" t="str">
            <v>M</v>
          </cell>
          <cell r="F1290" t="str">
            <v>blanca</v>
          </cell>
          <cell r="K1290" t="str">
            <v>Técnico Superior</v>
          </cell>
          <cell r="L1290" t="str">
            <v>Si</v>
          </cell>
          <cell r="O1290" t="str">
            <v>Lic. en Tecnología de la Salud</v>
          </cell>
        </row>
        <row r="1291">
          <cell r="C1291" t="str">
            <v>Eronelli Noblet Chible</v>
          </cell>
          <cell r="E1291" t="str">
            <v>F</v>
          </cell>
          <cell r="F1291" t="str">
            <v>negra</v>
          </cell>
          <cell r="K1291" t="str">
            <v>Técnico Superior</v>
          </cell>
          <cell r="L1291" t="str">
            <v>Si</v>
          </cell>
          <cell r="O1291" t="str">
            <v>Lic. en Tecnología de la Salud</v>
          </cell>
        </row>
        <row r="1292">
          <cell r="C1292" t="str">
            <v>Euclides Verdecia Magin</v>
          </cell>
          <cell r="E1292" t="str">
            <v>M</v>
          </cell>
          <cell r="F1292" t="str">
            <v>mestiza</v>
          </cell>
          <cell r="K1292" t="str">
            <v>Técnico Superior</v>
          </cell>
          <cell r="L1292" t="str">
            <v>Si</v>
          </cell>
          <cell r="O1292" t="str">
            <v>Lic. en Tecnología de la Salud</v>
          </cell>
        </row>
        <row r="1293">
          <cell r="C1293" t="str">
            <v>EUGENIO Martínez Nariño</v>
          </cell>
          <cell r="E1293" t="str">
            <v>M</v>
          </cell>
          <cell r="F1293" t="str">
            <v>negra</v>
          </cell>
          <cell r="K1293" t="str">
            <v>Técnico Superior</v>
          </cell>
          <cell r="L1293" t="str">
            <v>Si</v>
          </cell>
          <cell r="O1293" t="str">
            <v>Lic. en Tecnología de la Salud</v>
          </cell>
        </row>
        <row r="1294">
          <cell r="C1294" t="str">
            <v>Glendis Rivera Rivera</v>
          </cell>
          <cell r="E1294" t="str">
            <v>F</v>
          </cell>
          <cell r="F1294" t="str">
            <v>blanca</v>
          </cell>
          <cell r="K1294" t="str">
            <v>Técnico Superior</v>
          </cell>
          <cell r="L1294" t="str">
            <v>Si</v>
          </cell>
          <cell r="O1294" t="str">
            <v>Lic. en Tecnología de la Salud</v>
          </cell>
        </row>
        <row r="1295">
          <cell r="C1295" t="str">
            <v>Guilmaris Hernandez Suarez</v>
          </cell>
          <cell r="E1295" t="str">
            <v>F</v>
          </cell>
          <cell r="F1295" t="str">
            <v>negra</v>
          </cell>
          <cell r="K1295" t="str">
            <v>Técnico Superior</v>
          </cell>
          <cell r="L1295" t="str">
            <v>Si</v>
          </cell>
          <cell r="O1295" t="str">
            <v>Lic. en Tecnología de la Salud</v>
          </cell>
        </row>
        <row r="1296">
          <cell r="C1296" t="str">
            <v>Haydee Verdecia Aguero</v>
          </cell>
          <cell r="E1296" t="str">
            <v>F</v>
          </cell>
          <cell r="F1296" t="str">
            <v>mestiza</v>
          </cell>
          <cell r="K1296" t="str">
            <v>Técnico Superior</v>
          </cell>
          <cell r="L1296" t="str">
            <v>Si</v>
          </cell>
          <cell r="O1296" t="str">
            <v>Lic. en Tecnología de la Salud</v>
          </cell>
        </row>
        <row r="1297">
          <cell r="C1297" t="str">
            <v>Idalvis Sánchez Barcena</v>
          </cell>
          <cell r="E1297" t="str">
            <v>F</v>
          </cell>
          <cell r="F1297" t="str">
            <v>mestiza</v>
          </cell>
          <cell r="K1297" t="str">
            <v>Técnico Superior</v>
          </cell>
          <cell r="L1297" t="str">
            <v>Si</v>
          </cell>
          <cell r="O1297" t="str">
            <v>Lic. en Tecnología de la Salud</v>
          </cell>
        </row>
        <row r="1298">
          <cell r="C1298" t="str">
            <v>Iliana Torres Casero</v>
          </cell>
          <cell r="E1298" t="str">
            <v>F</v>
          </cell>
          <cell r="F1298" t="str">
            <v>negra</v>
          </cell>
          <cell r="K1298" t="str">
            <v>Técnico Superior</v>
          </cell>
          <cell r="L1298" t="str">
            <v>Si</v>
          </cell>
          <cell r="O1298" t="str">
            <v>Lic. en Tecnología de la Salud</v>
          </cell>
        </row>
        <row r="1299">
          <cell r="C1299" t="str">
            <v>Iliana Tumbarell Cobas</v>
          </cell>
          <cell r="E1299" t="str">
            <v>F</v>
          </cell>
          <cell r="F1299" t="str">
            <v>negra</v>
          </cell>
          <cell r="K1299" t="str">
            <v>Técnico Superior</v>
          </cell>
          <cell r="L1299" t="str">
            <v>Si</v>
          </cell>
          <cell r="O1299" t="str">
            <v>Lic. en Tecnología de la Salud</v>
          </cell>
        </row>
        <row r="1300">
          <cell r="C1300" t="str">
            <v>Inelvis Fabier Alcedo</v>
          </cell>
          <cell r="E1300" t="str">
            <v>F</v>
          </cell>
          <cell r="F1300" t="str">
            <v>mestiza</v>
          </cell>
          <cell r="K1300" t="str">
            <v>Técnico Superior</v>
          </cell>
          <cell r="L1300" t="str">
            <v>Si</v>
          </cell>
          <cell r="O1300" t="str">
            <v>Lic. en Tecnología de la Salud</v>
          </cell>
        </row>
        <row r="1301">
          <cell r="C1301" t="str">
            <v>Ines Maria Cobas Lamotte</v>
          </cell>
          <cell r="E1301" t="str">
            <v>F</v>
          </cell>
          <cell r="F1301" t="str">
            <v>mestiza</v>
          </cell>
          <cell r="K1301" t="str">
            <v>Técnico Superior</v>
          </cell>
          <cell r="L1301" t="str">
            <v>Si</v>
          </cell>
          <cell r="O1301" t="str">
            <v>Lic. en Tecnología de la Salud</v>
          </cell>
        </row>
        <row r="1302">
          <cell r="C1302" t="str">
            <v>Irenia Lopez Isalgue</v>
          </cell>
          <cell r="E1302" t="str">
            <v>F</v>
          </cell>
          <cell r="F1302" t="str">
            <v>mestiza</v>
          </cell>
          <cell r="K1302" t="str">
            <v>Cuadro</v>
          </cell>
          <cell r="L1302" t="str">
            <v>Si</v>
          </cell>
          <cell r="O1302" t="str">
            <v>Lic. en Tecnología de la Salud</v>
          </cell>
        </row>
        <row r="1303">
          <cell r="C1303" t="str">
            <v>Isa Maria Cruz Orozco</v>
          </cell>
          <cell r="E1303" t="str">
            <v>F</v>
          </cell>
          <cell r="F1303" t="str">
            <v>mestiza</v>
          </cell>
          <cell r="K1303" t="str">
            <v>Técnico Superior</v>
          </cell>
          <cell r="L1303" t="str">
            <v>Si</v>
          </cell>
          <cell r="O1303" t="str">
            <v>Lic. en Tecnología de la Salud</v>
          </cell>
        </row>
        <row r="1304">
          <cell r="C1304" t="str">
            <v>Isabel Salazar Laugart</v>
          </cell>
          <cell r="E1304" t="str">
            <v>F</v>
          </cell>
          <cell r="F1304" t="str">
            <v>negra</v>
          </cell>
          <cell r="K1304" t="str">
            <v>Técnico Superior</v>
          </cell>
          <cell r="L1304" t="str">
            <v>Si</v>
          </cell>
          <cell r="O1304" t="str">
            <v>Lic. en Tecnología de la Salud</v>
          </cell>
        </row>
        <row r="1305">
          <cell r="C1305" t="str">
            <v>Isaelis Gainza  Perez</v>
          </cell>
          <cell r="E1305" t="str">
            <v>F</v>
          </cell>
          <cell r="F1305" t="str">
            <v>mestiza</v>
          </cell>
          <cell r="K1305" t="str">
            <v>Técnico Superior</v>
          </cell>
          <cell r="L1305" t="str">
            <v>Si</v>
          </cell>
          <cell r="O1305" t="str">
            <v>Lic. en Tecnología de la Salud</v>
          </cell>
        </row>
        <row r="1306">
          <cell r="C1306" t="str">
            <v>JAIME HORMIGO TABLADA</v>
          </cell>
          <cell r="E1306" t="str">
            <v>M</v>
          </cell>
          <cell r="F1306" t="str">
            <v>blanca</v>
          </cell>
          <cell r="K1306" t="str">
            <v>Técnico Superior</v>
          </cell>
          <cell r="L1306" t="str">
            <v>Si</v>
          </cell>
          <cell r="O1306" t="str">
            <v>Lic. en Tecnología de la Salud</v>
          </cell>
        </row>
        <row r="1307">
          <cell r="C1307" t="str">
            <v xml:space="preserve">Jaqueline Bell Sanchez </v>
          </cell>
          <cell r="E1307" t="str">
            <v>F</v>
          </cell>
          <cell r="F1307" t="str">
            <v>negra</v>
          </cell>
          <cell r="K1307" t="str">
            <v>Técnico Superior</v>
          </cell>
          <cell r="L1307" t="str">
            <v>Si</v>
          </cell>
          <cell r="O1307" t="str">
            <v>Lic. en Tecnología de la Salud</v>
          </cell>
        </row>
        <row r="1308">
          <cell r="C1308" t="str">
            <v>Jenny Suarez Gómez</v>
          </cell>
          <cell r="E1308" t="str">
            <v>F</v>
          </cell>
          <cell r="F1308" t="str">
            <v>mestiza</v>
          </cell>
          <cell r="K1308" t="str">
            <v>Técnico Superior</v>
          </cell>
          <cell r="L1308" t="str">
            <v>Si</v>
          </cell>
          <cell r="O1308" t="str">
            <v>Lic. en Tecnología de la Salud</v>
          </cell>
        </row>
        <row r="1309">
          <cell r="C1309" t="str">
            <v>JESUS  MANUEL ARIAS MARTINEZ</v>
          </cell>
          <cell r="E1309" t="str">
            <v>M</v>
          </cell>
          <cell r="F1309" t="str">
            <v>blanca</v>
          </cell>
          <cell r="K1309" t="str">
            <v>Técnico Superior</v>
          </cell>
          <cell r="L1309" t="str">
            <v>Si</v>
          </cell>
          <cell r="O1309" t="str">
            <v>Lic. en Tecnología de la Salud</v>
          </cell>
        </row>
        <row r="1310">
          <cell r="C1310" t="str">
            <v>Jose  Angel Prades Bonne</v>
          </cell>
          <cell r="E1310" t="str">
            <v>M</v>
          </cell>
          <cell r="F1310" t="str">
            <v>negra</v>
          </cell>
          <cell r="K1310" t="str">
            <v>Técnico Superior</v>
          </cell>
          <cell r="L1310" t="str">
            <v>Si</v>
          </cell>
          <cell r="O1310" t="str">
            <v>Lic. en Tecnología de la Salud</v>
          </cell>
        </row>
        <row r="1311">
          <cell r="C1311" t="str">
            <v>Josefa Semanat Martinez</v>
          </cell>
          <cell r="E1311" t="str">
            <v>F</v>
          </cell>
          <cell r="F1311" t="str">
            <v>mestiza</v>
          </cell>
          <cell r="K1311" t="str">
            <v>Técnico Superior</v>
          </cell>
          <cell r="L1311" t="str">
            <v>Si</v>
          </cell>
          <cell r="O1311" t="str">
            <v>Lic. en Tecnología de la Salud</v>
          </cell>
        </row>
        <row r="1312">
          <cell r="C1312" t="str">
            <v>Julio Antonio Arias Gonzalez</v>
          </cell>
          <cell r="E1312" t="str">
            <v>M</v>
          </cell>
          <cell r="F1312" t="str">
            <v>blanca</v>
          </cell>
          <cell r="K1312" t="str">
            <v>Técnico Superior</v>
          </cell>
          <cell r="L1312" t="str">
            <v>Si</v>
          </cell>
          <cell r="O1312" t="str">
            <v>Lic. en Tecnología de la Salud</v>
          </cell>
        </row>
        <row r="1313">
          <cell r="C1313" t="str">
            <v>Kenia Beyries Mustelier</v>
          </cell>
          <cell r="E1313" t="str">
            <v>F</v>
          </cell>
          <cell r="F1313" t="str">
            <v>negra</v>
          </cell>
          <cell r="K1313" t="str">
            <v>Técnico Superior</v>
          </cell>
          <cell r="L1313" t="str">
            <v>Si</v>
          </cell>
          <cell r="O1313" t="str">
            <v>Lic. en Tecnología de la Salud</v>
          </cell>
        </row>
        <row r="1314">
          <cell r="C1314" t="str">
            <v>KETTY RIVERO MORELL</v>
          </cell>
          <cell r="E1314" t="str">
            <v>F</v>
          </cell>
          <cell r="F1314" t="str">
            <v>mestiza</v>
          </cell>
          <cell r="K1314" t="str">
            <v>Técnico Superior</v>
          </cell>
          <cell r="L1314" t="str">
            <v>Si</v>
          </cell>
          <cell r="O1314" t="str">
            <v>Lic. en Tecnología de la Salud</v>
          </cell>
        </row>
        <row r="1315">
          <cell r="C1315" t="str">
            <v>Laydelin Pineda Dieguez</v>
          </cell>
          <cell r="E1315" t="str">
            <v>F</v>
          </cell>
          <cell r="F1315" t="str">
            <v>blanca</v>
          </cell>
          <cell r="K1315" t="str">
            <v>Técnico Superior</v>
          </cell>
          <cell r="L1315" t="str">
            <v>Si</v>
          </cell>
          <cell r="O1315" t="str">
            <v>Lic. en Tecnología de la Salud</v>
          </cell>
        </row>
        <row r="1316">
          <cell r="C1316" t="str">
            <v>Lazaro Caballero Medina</v>
          </cell>
          <cell r="E1316" t="str">
            <v>M</v>
          </cell>
          <cell r="F1316" t="str">
            <v>mestiza</v>
          </cell>
          <cell r="K1316" t="str">
            <v>Técnico Superior</v>
          </cell>
          <cell r="L1316" t="str">
            <v>Si</v>
          </cell>
          <cell r="O1316" t="str">
            <v>Lic. en Tecnología de la Salud</v>
          </cell>
        </row>
        <row r="1317">
          <cell r="C1317" t="str">
            <v>Leannis Leyva Parra</v>
          </cell>
          <cell r="E1317" t="str">
            <v>F</v>
          </cell>
          <cell r="F1317" t="str">
            <v>blanca</v>
          </cell>
          <cell r="K1317" t="str">
            <v>Técnico Superior</v>
          </cell>
          <cell r="L1317" t="str">
            <v>Si</v>
          </cell>
          <cell r="O1317" t="str">
            <v>Lic. en Tecnología de la Salud</v>
          </cell>
        </row>
        <row r="1318">
          <cell r="C1318" t="str">
            <v>Leoneidis Casero Tumbarell</v>
          </cell>
          <cell r="E1318" t="str">
            <v>M</v>
          </cell>
          <cell r="F1318" t="str">
            <v>negra</v>
          </cell>
          <cell r="K1318" t="str">
            <v>Técnico Superior</v>
          </cell>
          <cell r="L1318" t="str">
            <v>Si</v>
          </cell>
          <cell r="O1318" t="str">
            <v>Lic. en Tecnología de la Salud</v>
          </cell>
        </row>
        <row r="1319">
          <cell r="C1319" t="str">
            <v>Leonel Delis Ruiz.</v>
          </cell>
          <cell r="E1319" t="str">
            <v>M</v>
          </cell>
          <cell r="F1319" t="str">
            <v>mestiza</v>
          </cell>
          <cell r="K1319" t="str">
            <v>Operario</v>
          </cell>
          <cell r="L1319" t="str">
            <v>Si</v>
          </cell>
          <cell r="O1319" t="str">
            <v>Lic. en Tecnología de la Salud</v>
          </cell>
        </row>
        <row r="1320">
          <cell r="C1320" t="str">
            <v>Leuken Godinez Hernandez</v>
          </cell>
          <cell r="E1320" t="str">
            <v>F</v>
          </cell>
          <cell r="F1320" t="str">
            <v>blanca</v>
          </cell>
          <cell r="K1320" t="str">
            <v>Técnico Superior</v>
          </cell>
          <cell r="L1320" t="str">
            <v>Si</v>
          </cell>
          <cell r="O1320" t="str">
            <v>Lic. en Tecnología de la Salud</v>
          </cell>
        </row>
        <row r="1321">
          <cell r="C1321" t="str">
            <v>Liliane González Almenarez</v>
          </cell>
          <cell r="E1321" t="str">
            <v>F</v>
          </cell>
          <cell r="F1321" t="str">
            <v>Blanca</v>
          </cell>
          <cell r="K1321" t="str">
            <v>Técnico Superior</v>
          </cell>
          <cell r="L1321" t="str">
            <v>No</v>
          </cell>
          <cell r="O1321" t="str">
            <v>Lic. en Tecnología de la Salud</v>
          </cell>
        </row>
        <row r="1322">
          <cell r="C1322" t="str">
            <v>Lilianne Viamonte Hernandez</v>
          </cell>
          <cell r="E1322" t="str">
            <v>F</v>
          </cell>
          <cell r="F1322" t="str">
            <v>blanca</v>
          </cell>
          <cell r="K1322" t="str">
            <v>Técnico Superior</v>
          </cell>
          <cell r="L1322" t="str">
            <v>Si</v>
          </cell>
          <cell r="O1322" t="str">
            <v>Lic. en Tecnología de la Salud</v>
          </cell>
        </row>
        <row r="1323">
          <cell r="C1323" t="str">
            <v>Lisandra Barrera Sabournin</v>
          </cell>
          <cell r="E1323" t="str">
            <v>F</v>
          </cell>
          <cell r="F1323" t="str">
            <v>negra</v>
          </cell>
          <cell r="K1323" t="str">
            <v>Técnico Superior</v>
          </cell>
          <cell r="L1323" t="str">
            <v>Si</v>
          </cell>
          <cell r="O1323" t="str">
            <v>Lic. en Tecnología de la Salud</v>
          </cell>
        </row>
        <row r="1324">
          <cell r="C1324" t="str">
            <v>Lisandra Carbonell Vera</v>
          </cell>
          <cell r="E1324" t="str">
            <v>F</v>
          </cell>
          <cell r="F1324" t="str">
            <v>negra</v>
          </cell>
          <cell r="K1324" t="str">
            <v>Técnico Superior</v>
          </cell>
          <cell r="L1324" t="str">
            <v>Si</v>
          </cell>
          <cell r="O1324" t="str">
            <v>Lic. en Tecnología de la Salud</v>
          </cell>
        </row>
        <row r="1325">
          <cell r="C1325" t="str">
            <v>Lisandra Rojas Reyes</v>
          </cell>
          <cell r="E1325" t="str">
            <v>F</v>
          </cell>
          <cell r="F1325" t="str">
            <v>mestiza</v>
          </cell>
          <cell r="K1325" t="str">
            <v>Técnico Superior</v>
          </cell>
          <cell r="L1325" t="str">
            <v>Si</v>
          </cell>
          <cell r="O1325" t="str">
            <v>Lic. en Tecnología de la Salud</v>
          </cell>
        </row>
        <row r="1326">
          <cell r="C1326" t="str">
            <v>Lisbeth  Boris Perdomo</v>
          </cell>
          <cell r="E1326" t="str">
            <v>F</v>
          </cell>
          <cell r="F1326" t="str">
            <v>negra</v>
          </cell>
          <cell r="K1326" t="str">
            <v>Técnico Superior</v>
          </cell>
          <cell r="L1326" t="str">
            <v>Si</v>
          </cell>
          <cell r="O1326" t="str">
            <v>Lic. en Tecnología de la Salud</v>
          </cell>
        </row>
        <row r="1327">
          <cell r="C1327" t="str">
            <v xml:space="preserve">Liuvan Despaigne Wilson </v>
          </cell>
          <cell r="E1327" t="str">
            <v>M</v>
          </cell>
          <cell r="F1327" t="str">
            <v>negra</v>
          </cell>
          <cell r="K1327" t="str">
            <v>Servicio</v>
          </cell>
          <cell r="L1327" t="str">
            <v>Si</v>
          </cell>
          <cell r="O1327" t="str">
            <v>Lic. en Tecnología de la Salud</v>
          </cell>
        </row>
        <row r="1328">
          <cell r="C1328" t="str">
            <v>LOIDA ARENCIBIA MASSO</v>
          </cell>
          <cell r="E1328" t="str">
            <v>F</v>
          </cell>
          <cell r="F1328" t="str">
            <v>mestiza</v>
          </cell>
          <cell r="K1328" t="str">
            <v>Técnico Superior</v>
          </cell>
          <cell r="L1328" t="str">
            <v>Si</v>
          </cell>
          <cell r="O1328" t="str">
            <v>Lic. en Tecnología de la Salud</v>
          </cell>
        </row>
        <row r="1329">
          <cell r="C1329" t="str">
            <v>Lucy Rivera Rodriguez</v>
          </cell>
          <cell r="E1329" t="str">
            <v>F</v>
          </cell>
          <cell r="F1329" t="str">
            <v>mestiza</v>
          </cell>
          <cell r="K1329" t="str">
            <v>Técnico Superior</v>
          </cell>
          <cell r="L1329" t="str">
            <v>Si</v>
          </cell>
          <cell r="O1329" t="str">
            <v>Lic. en Tecnología de la Salud</v>
          </cell>
        </row>
        <row r="1330">
          <cell r="C1330" t="str">
            <v>LUIS DANIEL GONZALEZ RONDON</v>
          </cell>
          <cell r="E1330" t="str">
            <v>M</v>
          </cell>
          <cell r="F1330" t="str">
            <v>mestiza</v>
          </cell>
          <cell r="K1330" t="str">
            <v>Técnico Superior</v>
          </cell>
          <cell r="L1330" t="str">
            <v>Si</v>
          </cell>
          <cell r="M1330" t="str">
            <v>Lic. Bioanálisis Clínico</v>
          </cell>
          <cell r="O1330" t="str">
            <v>Lic. en Tecnología de la Salud</v>
          </cell>
        </row>
        <row r="1331">
          <cell r="C1331" t="str">
            <v>Mabel  Carbonell Cardona</v>
          </cell>
          <cell r="E1331" t="str">
            <v>F</v>
          </cell>
          <cell r="F1331" t="str">
            <v>negra</v>
          </cell>
          <cell r="K1331" t="str">
            <v>Técnico Superior</v>
          </cell>
          <cell r="L1331" t="str">
            <v>Si</v>
          </cell>
          <cell r="O1331" t="str">
            <v>Lic. en Tecnología de la Salud</v>
          </cell>
        </row>
        <row r="1332">
          <cell r="C1332" t="str">
            <v>Maigret Gonzalez Simon</v>
          </cell>
          <cell r="E1332" t="str">
            <v>F</v>
          </cell>
          <cell r="F1332" t="str">
            <v>blanca</v>
          </cell>
          <cell r="K1332" t="str">
            <v>Técnico Superior</v>
          </cell>
          <cell r="L1332" t="str">
            <v>Si</v>
          </cell>
          <cell r="O1332" t="str">
            <v>Lic. en Tecnología de la Salud</v>
          </cell>
        </row>
        <row r="1333">
          <cell r="C1333" t="str">
            <v>Maria Elena Montero Del Rio</v>
          </cell>
          <cell r="E1333" t="str">
            <v>F</v>
          </cell>
          <cell r="F1333" t="str">
            <v>mestiza</v>
          </cell>
          <cell r="K1333" t="str">
            <v>Técnico Superior</v>
          </cell>
          <cell r="L1333" t="str">
            <v>Si</v>
          </cell>
          <cell r="O1333" t="str">
            <v>Lic. en Tecnología de la Salud</v>
          </cell>
        </row>
        <row r="1334">
          <cell r="C1334" t="str">
            <v xml:space="preserve">Maria Gloria Rivero Power </v>
          </cell>
          <cell r="E1334" t="str">
            <v>F</v>
          </cell>
          <cell r="F1334" t="str">
            <v>mestiza</v>
          </cell>
          <cell r="K1334" t="str">
            <v>Técnico Superior</v>
          </cell>
          <cell r="L1334" t="str">
            <v>Si</v>
          </cell>
          <cell r="O1334" t="str">
            <v>Lic. en Tecnología de la Salud</v>
          </cell>
        </row>
        <row r="1335">
          <cell r="C1335" t="str">
            <v>Maria Julia Tamayo Cese</v>
          </cell>
          <cell r="E1335" t="str">
            <v>F</v>
          </cell>
          <cell r="F1335" t="str">
            <v>mestiza</v>
          </cell>
          <cell r="K1335" t="str">
            <v>Técnico Superior</v>
          </cell>
          <cell r="L1335" t="str">
            <v>Si</v>
          </cell>
          <cell r="O1335" t="str">
            <v>Lic. en Tecnología de la Salud</v>
          </cell>
        </row>
        <row r="1336">
          <cell r="C1336" t="str">
            <v>Marianela  Crecent Cobas</v>
          </cell>
          <cell r="E1336" t="str">
            <v>F</v>
          </cell>
          <cell r="F1336" t="str">
            <v>negra</v>
          </cell>
          <cell r="K1336" t="str">
            <v>Técnico Superior</v>
          </cell>
          <cell r="L1336" t="str">
            <v>Si</v>
          </cell>
          <cell r="O1336" t="str">
            <v>Lic. en Tecnología de la Salud</v>
          </cell>
        </row>
        <row r="1337">
          <cell r="C1337" t="str">
            <v>Marianicia Castillo Barroso</v>
          </cell>
          <cell r="E1337" t="str">
            <v>F</v>
          </cell>
          <cell r="F1337" t="str">
            <v>negra</v>
          </cell>
          <cell r="K1337" t="str">
            <v>Técnico Superior</v>
          </cell>
          <cell r="L1337" t="str">
            <v>Si</v>
          </cell>
          <cell r="O1337" t="str">
            <v>Lic. en Tecnología de la Salud</v>
          </cell>
        </row>
        <row r="1338">
          <cell r="C1338" t="str">
            <v>Mariela Estobar Garcia</v>
          </cell>
          <cell r="E1338" t="str">
            <v>F</v>
          </cell>
          <cell r="F1338" t="str">
            <v>mestiza</v>
          </cell>
          <cell r="K1338" t="str">
            <v>Técnico Superior</v>
          </cell>
          <cell r="L1338" t="str">
            <v>Si</v>
          </cell>
          <cell r="O1338" t="str">
            <v>Lic. en Tecnología de la Salud</v>
          </cell>
        </row>
        <row r="1339">
          <cell r="C1339" t="str">
            <v>Marielin Bandera Chaveco</v>
          </cell>
          <cell r="E1339" t="str">
            <v>F</v>
          </cell>
          <cell r="F1339" t="str">
            <v>blanca</v>
          </cell>
          <cell r="K1339" t="str">
            <v>Técnico Superior</v>
          </cell>
          <cell r="L1339" t="str">
            <v>Si</v>
          </cell>
          <cell r="O1339" t="str">
            <v>Lic. en Tecnología de la Salud</v>
          </cell>
        </row>
        <row r="1340">
          <cell r="C1340" t="str">
            <v>Marilainis Colas Gomez</v>
          </cell>
          <cell r="E1340" t="str">
            <v>F</v>
          </cell>
          <cell r="F1340" t="str">
            <v>mestiza</v>
          </cell>
          <cell r="K1340" t="str">
            <v>Técnico Superior</v>
          </cell>
          <cell r="L1340" t="str">
            <v>Si</v>
          </cell>
          <cell r="O1340" t="str">
            <v>Lic. en Tecnología de la Salud</v>
          </cell>
        </row>
        <row r="1341">
          <cell r="C1341" t="str">
            <v>Marilin Silega Guerra</v>
          </cell>
          <cell r="E1341" t="str">
            <v>F</v>
          </cell>
          <cell r="F1341" t="str">
            <v>mestiza</v>
          </cell>
          <cell r="K1341" t="str">
            <v>Técnico Superior</v>
          </cell>
          <cell r="L1341" t="str">
            <v>Si</v>
          </cell>
          <cell r="O1341" t="str">
            <v>Lic. en Tecnología de la Salud</v>
          </cell>
        </row>
        <row r="1342">
          <cell r="C1342" t="str">
            <v>Mariolis Camacho Castellanos</v>
          </cell>
          <cell r="E1342" t="str">
            <v>F</v>
          </cell>
          <cell r="F1342" t="str">
            <v>mestiza</v>
          </cell>
          <cell r="K1342" t="str">
            <v>Técnico Superior</v>
          </cell>
          <cell r="L1342" t="str">
            <v>Si</v>
          </cell>
          <cell r="O1342" t="str">
            <v>Lic. en Tecnología de la Salud</v>
          </cell>
        </row>
        <row r="1343">
          <cell r="C1343" t="str">
            <v>Marvelis Saavedra Vaillant</v>
          </cell>
          <cell r="E1343" t="str">
            <v>F</v>
          </cell>
          <cell r="F1343" t="str">
            <v>mestiza</v>
          </cell>
          <cell r="K1343" t="str">
            <v>Técnico Superior</v>
          </cell>
          <cell r="L1343" t="str">
            <v>Si</v>
          </cell>
          <cell r="O1343" t="str">
            <v>Lic. en Tecnología de la Salud</v>
          </cell>
        </row>
        <row r="1344">
          <cell r="C1344" t="str">
            <v>Maryleidis Calas Ruiz</v>
          </cell>
          <cell r="E1344" t="str">
            <v>F</v>
          </cell>
          <cell r="F1344" t="str">
            <v>mestiza</v>
          </cell>
          <cell r="K1344" t="str">
            <v>Técnico Superior</v>
          </cell>
          <cell r="L1344" t="str">
            <v>Si</v>
          </cell>
          <cell r="O1344" t="str">
            <v>Lic. en Tecnología de la Salud</v>
          </cell>
        </row>
        <row r="1345">
          <cell r="C1345" t="str">
            <v>Mayra Lopez Delis</v>
          </cell>
          <cell r="E1345" t="str">
            <v>F</v>
          </cell>
          <cell r="F1345" t="str">
            <v>negra</v>
          </cell>
          <cell r="K1345" t="str">
            <v>Técnico Superior</v>
          </cell>
          <cell r="L1345" t="str">
            <v>Si</v>
          </cell>
          <cell r="O1345" t="str">
            <v>Lic. en Tecnología de la Salud</v>
          </cell>
        </row>
        <row r="1346">
          <cell r="C1346" t="str">
            <v>Maysili Leliebre Torres</v>
          </cell>
          <cell r="E1346" t="str">
            <v>F</v>
          </cell>
          <cell r="F1346" t="str">
            <v>mestiza</v>
          </cell>
          <cell r="K1346" t="str">
            <v>Técnico Superior</v>
          </cell>
          <cell r="L1346" t="str">
            <v>Si</v>
          </cell>
          <cell r="O1346" t="str">
            <v>Lic. en Tecnología de la Salud</v>
          </cell>
        </row>
        <row r="1347">
          <cell r="C1347" t="str">
            <v>Mercedes Escalante Carbonell</v>
          </cell>
          <cell r="E1347" t="str">
            <v>F</v>
          </cell>
          <cell r="F1347" t="str">
            <v>mestiza</v>
          </cell>
          <cell r="K1347" t="str">
            <v>Técnico Superior</v>
          </cell>
          <cell r="L1347" t="str">
            <v>Si</v>
          </cell>
          <cell r="O1347" t="str">
            <v>Lic. en Tecnología de la Salud</v>
          </cell>
        </row>
        <row r="1348">
          <cell r="C1348" t="str">
            <v>Mignelis Lay Morales</v>
          </cell>
          <cell r="E1348" t="str">
            <v>F</v>
          </cell>
          <cell r="F1348" t="str">
            <v>mestiza</v>
          </cell>
          <cell r="K1348" t="str">
            <v>Técnico Superior</v>
          </cell>
          <cell r="L1348" t="str">
            <v>Si</v>
          </cell>
          <cell r="O1348" t="str">
            <v>Lic. en Tecnología de la Salud</v>
          </cell>
        </row>
        <row r="1349">
          <cell r="C1349" t="str">
            <v>Miguel Cazon Ramos</v>
          </cell>
          <cell r="E1349" t="str">
            <v>M</v>
          </cell>
          <cell r="F1349" t="str">
            <v>mestiza</v>
          </cell>
          <cell r="K1349" t="str">
            <v>Técnico Superior</v>
          </cell>
          <cell r="L1349" t="str">
            <v>Si</v>
          </cell>
          <cell r="O1349" t="str">
            <v>Lic. en Tecnología de la Salud</v>
          </cell>
        </row>
        <row r="1350">
          <cell r="C1350" t="str">
            <v>Milagros Garcia Salazar</v>
          </cell>
          <cell r="E1350" t="str">
            <v>F</v>
          </cell>
          <cell r="F1350" t="str">
            <v>mestiza</v>
          </cell>
          <cell r="K1350" t="str">
            <v>Técnico Superior</v>
          </cell>
          <cell r="L1350" t="str">
            <v>Si</v>
          </cell>
          <cell r="O1350" t="str">
            <v>Lic. en Tecnología de la Salud</v>
          </cell>
        </row>
        <row r="1351">
          <cell r="C1351" t="str">
            <v>Milaydis Vinent Spek</v>
          </cell>
          <cell r="E1351" t="str">
            <v>F</v>
          </cell>
          <cell r="F1351" t="str">
            <v>negra</v>
          </cell>
          <cell r="K1351" t="str">
            <v>Técnico Superior</v>
          </cell>
          <cell r="L1351" t="str">
            <v>Si</v>
          </cell>
          <cell r="O1351" t="str">
            <v>Lic. en Tecnología de la Salud</v>
          </cell>
        </row>
        <row r="1352">
          <cell r="C1352" t="str">
            <v>Mileidis Delis Sánchez</v>
          </cell>
          <cell r="E1352" t="str">
            <v>F</v>
          </cell>
          <cell r="F1352" t="str">
            <v>negra</v>
          </cell>
          <cell r="K1352" t="str">
            <v>Cuadro</v>
          </cell>
          <cell r="L1352" t="str">
            <v>Si</v>
          </cell>
          <cell r="O1352" t="str">
            <v>Lic. en Tecnología de la Salud</v>
          </cell>
        </row>
        <row r="1353">
          <cell r="C1353" t="str">
            <v>Miralia Rubio Chi</v>
          </cell>
          <cell r="E1353" t="str">
            <v>F</v>
          </cell>
          <cell r="F1353" t="str">
            <v>mestiza</v>
          </cell>
          <cell r="K1353" t="str">
            <v>Técnico Superior</v>
          </cell>
          <cell r="L1353" t="str">
            <v>Si</v>
          </cell>
          <cell r="O1353" t="str">
            <v>Lic. en Tecnología de la Salud</v>
          </cell>
        </row>
        <row r="1354">
          <cell r="C1354" t="str">
            <v>Mireidis Garcia Rojas</v>
          </cell>
          <cell r="E1354" t="str">
            <v>F</v>
          </cell>
          <cell r="F1354" t="str">
            <v>mestiza</v>
          </cell>
          <cell r="K1354" t="str">
            <v>Técnico Superior</v>
          </cell>
          <cell r="L1354" t="str">
            <v>Si</v>
          </cell>
          <cell r="O1354" t="str">
            <v>Lic. en Tecnología de la Salud</v>
          </cell>
        </row>
        <row r="1355">
          <cell r="C1355" t="str">
            <v>Nancy Charon Plutin</v>
          </cell>
          <cell r="E1355" t="str">
            <v>F</v>
          </cell>
          <cell r="F1355" t="str">
            <v>mestiza</v>
          </cell>
          <cell r="K1355" t="str">
            <v>Técnico Superior</v>
          </cell>
          <cell r="L1355" t="str">
            <v>Si</v>
          </cell>
          <cell r="O1355" t="str">
            <v>Lic. en Tecnología de la Salud</v>
          </cell>
        </row>
        <row r="1356">
          <cell r="C1356" t="str">
            <v>Nasleidy Mayet Nunez</v>
          </cell>
          <cell r="E1356" t="str">
            <v>F</v>
          </cell>
          <cell r="F1356" t="str">
            <v>negra</v>
          </cell>
          <cell r="K1356" t="str">
            <v>Técnico Superior</v>
          </cell>
          <cell r="L1356" t="str">
            <v>Si</v>
          </cell>
          <cell r="O1356" t="str">
            <v>Lic. en Tecnología de la Salud</v>
          </cell>
        </row>
        <row r="1357">
          <cell r="C1357" t="str">
            <v>Neyda Rosa Martinez Gutierrez</v>
          </cell>
          <cell r="E1357" t="str">
            <v>F</v>
          </cell>
          <cell r="F1357" t="str">
            <v>negra</v>
          </cell>
          <cell r="K1357" t="str">
            <v>Técnico Superior</v>
          </cell>
          <cell r="L1357" t="str">
            <v>Si</v>
          </cell>
          <cell r="O1357" t="str">
            <v>Lic. en Tecnología de la Salud</v>
          </cell>
        </row>
        <row r="1358">
          <cell r="C1358" t="str">
            <v>Nilvia Barrientos Beliceo</v>
          </cell>
          <cell r="E1358" t="str">
            <v>F</v>
          </cell>
          <cell r="F1358" t="str">
            <v>negra</v>
          </cell>
          <cell r="K1358" t="str">
            <v>Técnico Superior</v>
          </cell>
          <cell r="L1358" t="str">
            <v>Si</v>
          </cell>
          <cell r="O1358" t="str">
            <v>Lic. en Tecnología de la Salud</v>
          </cell>
        </row>
        <row r="1359">
          <cell r="C1359" t="str">
            <v>Niorbis Sardina Bonnes</v>
          </cell>
          <cell r="E1359" t="str">
            <v>M</v>
          </cell>
          <cell r="F1359" t="str">
            <v>negra</v>
          </cell>
          <cell r="K1359" t="str">
            <v>Técnico Superior</v>
          </cell>
          <cell r="L1359" t="str">
            <v>Si</v>
          </cell>
          <cell r="O1359" t="str">
            <v>Lic. en Tecnología de la Salud</v>
          </cell>
        </row>
        <row r="1360">
          <cell r="C1360" t="str">
            <v>Norages Delis Duribe</v>
          </cell>
          <cell r="E1360" t="str">
            <v>F</v>
          </cell>
          <cell r="F1360" t="str">
            <v>negra</v>
          </cell>
          <cell r="K1360" t="str">
            <v>Técnico Superior</v>
          </cell>
          <cell r="L1360" t="str">
            <v>Si</v>
          </cell>
          <cell r="O1360" t="str">
            <v>Lic. en Tecnología de la Salud</v>
          </cell>
        </row>
        <row r="1361">
          <cell r="C1361" t="str">
            <v>Norbelis Romero Colas</v>
          </cell>
          <cell r="E1361" t="str">
            <v>F</v>
          </cell>
          <cell r="F1361" t="str">
            <v>mestiza</v>
          </cell>
          <cell r="K1361" t="str">
            <v>Técnico Superior</v>
          </cell>
          <cell r="L1361" t="str">
            <v>Si</v>
          </cell>
          <cell r="M1361" t="str">
            <v>Lic. Bioanálisis Clínico</v>
          </cell>
          <cell r="O1361" t="str">
            <v>Lic. en Tecnología de la Salud</v>
          </cell>
        </row>
        <row r="1362">
          <cell r="C1362" t="str">
            <v>Norielis De La Cruz Pavot</v>
          </cell>
          <cell r="E1362" t="str">
            <v>F</v>
          </cell>
          <cell r="F1362" t="str">
            <v>mestiza</v>
          </cell>
          <cell r="K1362" t="str">
            <v>Técnico Superior</v>
          </cell>
          <cell r="L1362" t="str">
            <v>Si</v>
          </cell>
          <cell r="O1362" t="str">
            <v>Lic. en Tecnología de la Salud</v>
          </cell>
        </row>
        <row r="1363">
          <cell r="C1363" t="str">
            <v>Odalis Cedeno Smith</v>
          </cell>
          <cell r="E1363" t="str">
            <v>F</v>
          </cell>
          <cell r="F1363" t="str">
            <v>mestiza</v>
          </cell>
          <cell r="K1363" t="str">
            <v>Cuadro</v>
          </cell>
          <cell r="L1363" t="str">
            <v>Si</v>
          </cell>
          <cell r="O1363" t="str">
            <v>Lic. en Tecnología de la Salud</v>
          </cell>
        </row>
        <row r="1364">
          <cell r="C1364" t="str">
            <v>Odalis Hidalgo Montoya</v>
          </cell>
          <cell r="E1364" t="str">
            <v>F</v>
          </cell>
          <cell r="F1364" t="str">
            <v>mestiza</v>
          </cell>
          <cell r="K1364" t="str">
            <v>Técnico Superior</v>
          </cell>
          <cell r="L1364" t="str">
            <v>Si</v>
          </cell>
          <cell r="O1364" t="str">
            <v>Lic. en Tecnología de la Salud</v>
          </cell>
        </row>
        <row r="1365">
          <cell r="C1365" t="str">
            <v>Odalis Plutin Barroso</v>
          </cell>
          <cell r="E1365" t="str">
            <v>F</v>
          </cell>
          <cell r="F1365" t="str">
            <v>mestiza</v>
          </cell>
          <cell r="K1365" t="str">
            <v>Técnico Superior</v>
          </cell>
          <cell r="L1365" t="str">
            <v>Si</v>
          </cell>
          <cell r="O1365" t="str">
            <v>Lic. en Tecnología de la Salud</v>
          </cell>
        </row>
        <row r="1366">
          <cell r="C1366" t="str">
            <v>Olaine Plutin Martinez</v>
          </cell>
          <cell r="E1366" t="str">
            <v>F</v>
          </cell>
          <cell r="F1366" t="str">
            <v>mestiza</v>
          </cell>
          <cell r="K1366" t="str">
            <v>Técnico Superior</v>
          </cell>
          <cell r="L1366" t="str">
            <v>Si</v>
          </cell>
          <cell r="O1366" t="str">
            <v>Lic. en Tecnología de la Salud</v>
          </cell>
        </row>
        <row r="1367">
          <cell r="C1367" t="str">
            <v>OLEYNIS SANTOS TAMAYO</v>
          </cell>
          <cell r="E1367" t="str">
            <v>M</v>
          </cell>
          <cell r="F1367" t="str">
            <v>negra</v>
          </cell>
          <cell r="K1367" t="str">
            <v>Técnico Superior</v>
          </cell>
          <cell r="L1367" t="str">
            <v>Si</v>
          </cell>
          <cell r="O1367" t="str">
            <v>Lic. en Tecnología de la Salud</v>
          </cell>
        </row>
        <row r="1368">
          <cell r="C1368" t="str">
            <v>Orialis Diaz Ramos</v>
          </cell>
          <cell r="E1368" t="str">
            <v>F</v>
          </cell>
          <cell r="F1368" t="str">
            <v>mestiza</v>
          </cell>
          <cell r="K1368" t="str">
            <v>Técnico Superior</v>
          </cell>
          <cell r="L1368" t="str">
            <v>Si</v>
          </cell>
          <cell r="O1368" t="str">
            <v>Lic. en Tecnología de la Salud</v>
          </cell>
        </row>
        <row r="1369">
          <cell r="C1369" t="str">
            <v>ORIDAIS SAGARRA RIVERA</v>
          </cell>
          <cell r="E1369" t="str">
            <v>F</v>
          </cell>
          <cell r="F1369" t="str">
            <v>negra</v>
          </cell>
          <cell r="K1369" t="str">
            <v>Técnico Superior</v>
          </cell>
          <cell r="L1369" t="str">
            <v>Si</v>
          </cell>
          <cell r="O1369" t="str">
            <v>Lic. en Tecnología de la Salud</v>
          </cell>
        </row>
        <row r="1370">
          <cell r="C1370" t="str">
            <v>Orlandi Orozco Vinent</v>
          </cell>
          <cell r="E1370" t="str">
            <v>M</v>
          </cell>
          <cell r="F1370" t="str">
            <v>mestiza</v>
          </cell>
          <cell r="K1370" t="str">
            <v>Técnico Superior</v>
          </cell>
          <cell r="L1370" t="str">
            <v>Si</v>
          </cell>
          <cell r="O1370" t="str">
            <v>Lic. en Tecnología de la Salud</v>
          </cell>
        </row>
        <row r="1371">
          <cell r="C1371" t="str">
            <v>RAUL GARCIA RIVERA</v>
          </cell>
          <cell r="E1371" t="str">
            <v>M</v>
          </cell>
          <cell r="F1371" t="str">
            <v>blanca</v>
          </cell>
          <cell r="K1371" t="str">
            <v>Técnico Superior</v>
          </cell>
          <cell r="L1371" t="str">
            <v>Si</v>
          </cell>
          <cell r="O1371" t="str">
            <v>Lic. en Tecnología de la Salud</v>
          </cell>
        </row>
        <row r="1372">
          <cell r="C1372" t="str">
            <v>Rolando Rivera Bonne</v>
          </cell>
          <cell r="E1372" t="str">
            <v>M</v>
          </cell>
          <cell r="F1372" t="str">
            <v>Mestiza</v>
          </cell>
          <cell r="K1372" t="str">
            <v>Técnico Superior</v>
          </cell>
          <cell r="L1372" t="str">
            <v>No</v>
          </cell>
          <cell r="O1372" t="str">
            <v>Lic. en Tecnología de la Salud</v>
          </cell>
        </row>
        <row r="1373">
          <cell r="C1373" t="str">
            <v>Rosa Delvis Jímenez Torres</v>
          </cell>
          <cell r="E1373" t="str">
            <v>F</v>
          </cell>
          <cell r="F1373" t="str">
            <v>blanca</v>
          </cell>
          <cell r="K1373" t="str">
            <v>Técnico Superior</v>
          </cell>
          <cell r="L1373" t="str">
            <v>Si</v>
          </cell>
          <cell r="O1373" t="str">
            <v>Lic. en Tecnología de la Salud</v>
          </cell>
        </row>
        <row r="1374">
          <cell r="C1374" t="str">
            <v>Rosalina Fernandez Ferrer</v>
          </cell>
          <cell r="E1374" t="str">
            <v>F</v>
          </cell>
          <cell r="F1374" t="str">
            <v>blanca</v>
          </cell>
          <cell r="K1374" t="str">
            <v>Técnico Superior</v>
          </cell>
          <cell r="L1374" t="str">
            <v>Si</v>
          </cell>
          <cell r="O1374" t="str">
            <v>Lic. en Tecnología de la Salud</v>
          </cell>
        </row>
        <row r="1375">
          <cell r="C1375" t="str">
            <v>Rudys Torre Blanca Ramos</v>
          </cell>
          <cell r="E1375" t="str">
            <v>F</v>
          </cell>
          <cell r="F1375" t="str">
            <v>mestiza</v>
          </cell>
          <cell r="K1375" t="str">
            <v>Técnico Superior</v>
          </cell>
          <cell r="L1375" t="str">
            <v>Si</v>
          </cell>
          <cell r="O1375" t="str">
            <v>Lic. en Tecnología de la Salud</v>
          </cell>
        </row>
        <row r="1376">
          <cell r="C1376" t="str">
            <v>SERGUEY BERMUDEZ DELIS</v>
          </cell>
          <cell r="E1376" t="str">
            <v>M</v>
          </cell>
          <cell r="F1376" t="str">
            <v>mestiza</v>
          </cell>
          <cell r="K1376" t="str">
            <v>Técnico Superior</v>
          </cell>
          <cell r="L1376" t="str">
            <v>Si</v>
          </cell>
          <cell r="O1376" t="str">
            <v>Lic. en Tecnología de la Salud</v>
          </cell>
        </row>
        <row r="1377">
          <cell r="C1377" t="str">
            <v>Silvio Tito Elicea</v>
          </cell>
          <cell r="E1377" t="str">
            <v>M</v>
          </cell>
          <cell r="F1377" t="str">
            <v>negra</v>
          </cell>
          <cell r="K1377" t="str">
            <v>Técnico Superior</v>
          </cell>
          <cell r="L1377" t="str">
            <v>Si</v>
          </cell>
          <cell r="O1377" t="str">
            <v>Lic. en Tecnología de la Salud</v>
          </cell>
        </row>
        <row r="1378">
          <cell r="C1378" t="str">
            <v>Surlay Favier Alcedo</v>
          </cell>
          <cell r="E1378" t="str">
            <v>F</v>
          </cell>
          <cell r="F1378" t="str">
            <v>mestiza</v>
          </cell>
          <cell r="K1378" t="str">
            <v>Técnico Superior</v>
          </cell>
          <cell r="L1378" t="str">
            <v>Si</v>
          </cell>
          <cell r="O1378" t="str">
            <v>Lic. en Tecnología de la Salud</v>
          </cell>
        </row>
        <row r="1379">
          <cell r="C1379" t="str">
            <v>Teresa Minier Martinez</v>
          </cell>
          <cell r="E1379" t="str">
            <v>F</v>
          </cell>
          <cell r="F1379" t="str">
            <v>negra</v>
          </cell>
          <cell r="K1379" t="str">
            <v>Técnico Superior</v>
          </cell>
          <cell r="L1379" t="str">
            <v>Si</v>
          </cell>
          <cell r="O1379" t="str">
            <v>Lic. en Tecnología de la Salud</v>
          </cell>
        </row>
        <row r="1380">
          <cell r="C1380" t="str">
            <v>Udelvis Estevez Brizo</v>
          </cell>
          <cell r="E1380" t="str">
            <v>F</v>
          </cell>
          <cell r="F1380" t="str">
            <v>mestiza</v>
          </cell>
          <cell r="K1380" t="str">
            <v>Técnico Superior</v>
          </cell>
          <cell r="L1380" t="str">
            <v>Si</v>
          </cell>
          <cell r="O1380" t="str">
            <v>Lic. en Tecnología de la Salud</v>
          </cell>
        </row>
        <row r="1381">
          <cell r="C1381" t="str">
            <v>Xiomara Medina Nuevo</v>
          </cell>
          <cell r="E1381" t="str">
            <v>F</v>
          </cell>
          <cell r="F1381" t="str">
            <v>blanca</v>
          </cell>
          <cell r="K1381" t="str">
            <v>Técnico Superior</v>
          </cell>
          <cell r="L1381" t="str">
            <v>Si</v>
          </cell>
          <cell r="O1381" t="str">
            <v>Lic. en Tecnología de la Salud</v>
          </cell>
        </row>
        <row r="1382">
          <cell r="C1382" t="str">
            <v>Yadira Alvarez Carvajal</v>
          </cell>
          <cell r="E1382" t="str">
            <v>F</v>
          </cell>
          <cell r="F1382" t="str">
            <v>negra</v>
          </cell>
          <cell r="K1382" t="str">
            <v>Técnico Superior</v>
          </cell>
          <cell r="L1382" t="str">
            <v>Si</v>
          </cell>
          <cell r="O1382" t="str">
            <v>Lic. en Tecnología de la Salud</v>
          </cell>
        </row>
        <row r="1383">
          <cell r="C1383" t="str">
            <v>Yaleydis Arzuaga Sanchez</v>
          </cell>
          <cell r="E1383" t="str">
            <v>F</v>
          </cell>
          <cell r="F1383" t="str">
            <v>blanca</v>
          </cell>
          <cell r="K1383" t="str">
            <v>Técnico Superior</v>
          </cell>
          <cell r="L1383" t="str">
            <v>Si</v>
          </cell>
          <cell r="O1383" t="str">
            <v>Lic. en Tecnología de la Salud</v>
          </cell>
        </row>
        <row r="1384">
          <cell r="C1384" t="str">
            <v>Yamile Bell Diaz</v>
          </cell>
          <cell r="E1384" t="str">
            <v>F</v>
          </cell>
          <cell r="F1384" t="str">
            <v>negra</v>
          </cell>
          <cell r="K1384" t="str">
            <v>Técnico Superior</v>
          </cell>
          <cell r="L1384" t="str">
            <v>Si</v>
          </cell>
          <cell r="O1384" t="str">
            <v>Lic. en Tecnología de la Salud</v>
          </cell>
        </row>
        <row r="1385">
          <cell r="C1385" t="str">
            <v>Yamile Lay Bravo</v>
          </cell>
          <cell r="E1385" t="str">
            <v>F</v>
          </cell>
          <cell r="F1385" t="str">
            <v>mestiza</v>
          </cell>
          <cell r="K1385" t="str">
            <v>Técnico Superior</v>
          </cell>
          <cell r="L1385" t="str">
            <v>Si</v>
          </cell>
          <cell r="O1385" t="str">
            <v>Lic. en Tecnología de la Salud</v>
          </cell>
        </row>
        <row r="1386">
          <cell r="C1386" t="str">
            <v>Yamileivis Silva Sabon</v>
          </cell>
          <cell r="E1386" t="str">
            <v>F</v>
          </cell>
          <cell r="F1386" t="str">
            <v>mestiza</v>
          </cell>
          <cell r="K1386" t="str">
            <v>Técnico Superior</v>
          </cell>
          <cell r="L1386" t="str">
            <v>Si</v>
          </cell>
          <cell r="O1386" t="str">
            <v>Lic. en Tecnología de la Salud</v>
          </cell>
        </row>
        <row r="1387">
          <cell r="C1387" t="str">
            <v>YAMILEYDI DE LEON LESCAY</v>
          </cell>
          <cell r="E1387" t="str">
            <v>F</v>
          </cell>
          <cell r="F1387" t="str">
            <v>mestiza</v>
          </cell>
          <cell r="K1387" t="str">
            <v>Técnico Superior</v>
          </cell>
          <cell r="L1387" t="str">
            <v>Si</v>
          </cell>
          <cell r="O1387" t="str">
            <v>Lic. en Tecnología de la Salud</v>
          </cell>
        </row>
        <row r="1388">
          <cell r="C1388" t="str">
            <v>Yamira Vinent Socarrás</v>
          </cell>
          <cell r="E1388" t="str">
            <v>F</v>
          </cell>
          <cell r="F1388" t="str">
            <v>mestiza</v>
          </cell>
          <cell r="K1388" t="str">
            <v>Técnico Superior</v>
          </cell>
          <cell r="L1388" t="str">
            <v>Si</v>
          </cell>
          <cell r="O1388" t="str">
            <v>Lic. en Tecnología de la Salud</v>
          </cell>
        </row>
        <row r="1389">
          <cell r="C1389" t="str">
            <v>Yandra Rodriguez Heredia</v>
          </cell>
          <cell r="E1389" t="str">
            <v>F</v>
          </cell>
          <cell r="F1389" t="str">
            <v>mestiza</v>
          </cell>
          <cell r="K1389" t="str">
            <v>Técnico Superior</v>
          </cell>
          <cell r="L1389" t="str">
            <v>Si</v>
          </cell>
          <cell r="O1389" t="str">
            <v>Lic. en Tecnología de la Salud</v>
          </cell>
        </row>
        <row r="1390">
          <cell r="C1390" t="str">
            <v>Yanela Silega Diaz</v>
          </cell>
          <cell r="E1390" t="str">
            <v>F</v>
          </cell>
          <cell r="F1390" t="str">
            <v>blanca</v>
          </cell>
          <cell r="K1390" t="str">
            <v>Técnico Superior</v>
          </cell>
          <cell r="L1390" t="str">
            <v>Si</v>
          </cell>
          <cell r="O1390" t="str">
            <v>Lic. en Tecnología de la Salud</v>
          </cell>
        </row>
        <row r="1391">
          <cell r="C1391" t="str">
            <v>Yanelis Figueredo Correoso</v>
          </cell>
          <cell r="E1391" t="str">
            <v>F</v>
          </cell>
          <cell r="F1391" t="str">
            <v>negra</v>
          </cell>
          <cell r="K1391" t="str">
            <v>Técnico Superior</v>
          </cell>
          <cell r="L1391" t="str">
            <v>Si</v>
          </cell>
          <cell r="O1391" t="str">
            <v>Lic. en Tecnología de la Salud</v>
          </cell>
        </row>
        <row r="1392">
          <cell r="C1392" t="str">
            <v>Yanelkis Columbie Garcia</v>
          </cell>
          <cell r="E1392" t="str">
            <v>F</v>
          </cell>
          <cell r="F1392" t="str">
            <v>mestiza</v>
          </cell>
          <cell r="K1392" t="str">
            <v>Técnico Superior</v>
          </cell>
          <cell r="L1392" t="str">
            <v>Si</v>
          </cell>
          <cell r="O1392" t="str">
            <v>Lic. en Tecnología de la Salud</v>
          </cell>
        </row>
        <row r="1393">
          <cell r="C1393" t="str">
            <v>Yanet Samartino Sarmiento</v>
          </cell>
          <cell r="E1393" t="str">
            <v>F</v>
          </cell>
          <cell r="F1393" t="str">
            <v>blanca</v>
          </cell>
          <cell r="K1393" t="str">
            <v>Técnico Superior</v>
          </cell>
          <cell r="L1393" t="str">
            <v>Si</v>
          </cell>
          <cell r="O1393" t="str">
            <v>Lic. en Tecnología de la Salud</v>
          </cell>
        </row>
        <row r="1394">
          <cell r="C1394" t="str">
            <v>Yaneysi Diaz Aguilera</v>
          </cell>
          <cell r="E1394" t="str">
            <v>F</v>
          </cell>
          <cell r="F1394" t="str">
            <v>mestiza</v>
          </cell>
          <cell r="K1394" t="str">
            <v>Técnico Superior</v>
          </cell>
          <cell r="L1394" t="str">
            <v>Si</v>
          </cell>
          <cell r="O1394" t="str">
            <v>Lic. en Tecnología de la Salud</v>
          </cell>
        </row>
        <row r="1395">
          <cell r="C1395" t="str">
            <v>YANIER DEL RIO BELTRAN</v>
          </cell>
          <cell r="E1395" t="str">
            <v>M</v>
          </cell>
          <cell r="F1395" t="str">
            <v>mestiza</v>
          </cell>
          <cell r="K1395" t="str">
            <v>Técnico Superior</v>
          </cell>
          <cell r="L1395" t="str">
            <v>Si</v>
          </cell>
          <cell r="O1395" t="str">
            <v>Lic. en Tecnología de la Salud</v>
          </cell>
        </row>
        <row r="1396">
          <cell r="C1396" t="str">
            <v>Yanileisy Oviedo Kindelan</v>
          </cell>
          <cell r="E1396" t="str">
            <v>F</v>
          </cell>
          <cell r="F1396" t="str">
            <v>blanca</v>
          </cell>
          <cell r="K1396" t="str">
            <v>Técnico Superior</v>
          </cell>
          <cell r="L1396" t="str">
            <v>Si</v>
          </cell>
          <cell r="O1396" t="str">
            <v>Lic. en Tecnología de la Salud</v>
          </cell>
        </row>
        <row r="1397">
          <cell r="C1397" t="str">
            <v>Yaniris Martinez Martinez</v>
          </cell>
          <cell r="E1397" t="str">
            <v>F</v>
          </cell>
          <cell r="F1397" t="str">
            <v>negra</v>
          </cell>
          <cell r="K1397" t="str">
            <v>Técnico Superior</v>
          </cell>
          <cell r="L1397" t="str">
            <v>Si</v>
          </cell>
          <cell r="O1397" t="str">
            <v>Lic. en Tecnología de la Salud</v>
          </cell>
        </row>
        <row r="1398">
          <cell r="C1398" t="str">
            <v>Yaquelin Bell Kindelan</v>
          </cell>
          <cell r="E1398" t="str">
            <v>F</v>
          </cell>
          <cell r="F1398" t="str">
            <v>negra</v>
          </cell>
          <cell r="K1398" t="str">
            <v>Técnico Superior</v>
          </cell>
          <cell r="L1398" t="str">
            <v>Si</v>
          </cell>
          <cell r="O1398" t="str">
            <v>Lic. en Tecnología de la Salud</v>
          </cell>
        </row>
        <row r="1399">
          <cell r="C1399" t="str">
            <v>Yaqueline Montoya Meninger</v>
          </cell>
          <cell r="E1399" t="str">
            <v>F</v>
          </cell>
          <cell r="F1399" t="str">
            <v>mestiza</v>
          </cell>
          <cell r="K1399" t="str">
            <v>Técnico Superior</v>
          </cell>
          <cell r="L1399" t="str">
            <v>Si</v>
          </cell>
          <cell r="O1399" t="str">
            <v>Lic. en Tecnología de la Salud</v>
          </cell>
        </row>
        <row r="1400">
          <cell r="C1400" t="str">
            <v>Yarbelis  Benito Torres</v>
          </cell>
          <cell r="E1400" t="str">
            <v>F</v>
          </cell>
          <cell r="F1400" t="str">
            <v>blanca</v>
          </cell>
          <cell r="K1400" t="str">
            <v>Técnico Superior</v>
          </cell>
          <cell r="L1400" t="str">
            <v>Si</v>
          </cell>
          <cell r="O1400" t="str">
            <v>Lic. en Tecnología de la Salud</v>
          </cell>
        </row>
        <row r="1401">
          <cell r="C1401" t="str">
            <v>YARILEXI JACA MUSTELIER</v>
          </cell>
          <cell r="E1401" t="str">
            <v>F</v>
          </cell>
          <cell r="F1401" t="str">
            <v>negra</v>
          </cell>
          <cell r="K1401" t="str">
            <v>Técnico Superior</v>
          </cell>
          <cell r="L1401" t="str">
            <v>Si</v>
          </cell>
          <cell r="O1401" t="str">
            <v>Lic. en Tecnología de la Salud</v>
          </cell>
        </row>
        <row r="1402">
          <cell r="C1402" t="str">
            <v>Yarisbel Bonne Lazo</v>
          </cell>
          <cell r="E1402" t="str">
            <v>F</v>
          </cell>
          <cell r="F1402" t="str">
            <v>mestiza</v>
          </cell>
          <cell r="K1402" t="str">
            <v>Técnico Superior</v>
          </cell>
          <cell r="L1402" t="str">
            <v>Si</v>
          </cell>
          <cell r="O1402" t="str">
            <v>Lic. en Tecnología de la Salud</v>
          </cell>
        </row>
        <row r="1403">
          <cell r="C1403" t="str">
            <v xml:space="preserve">Yaritza Irbe Vegue </v>
          </cell>
          <cell r="E1403" t="str">
            <v>F</v>
          </cell>
          <cell r="F1403" t="str">
            <v>negra</v>
          </cell>
          <cell r="K1403" t="str">
            <v>Operario</v>
          </cell>
          <cell r="L1403" t="str">
            <v>Si</v>
          </cell>
          <cell r="O1403" t="str">
            <v>Lic. en Tecnología de la Salud</v>
          </cell>
        </row>
        <row r="1404">
          <cell r="C1404" t="str">
            <v>Yasireydis Yanez Lay</v>
          </cell>
          <cell r="E1404" t="str">
            <v>F</v>
          </cell>
          <cell r="F1404" t="str">
            <v>mestiza</v>
          </cell>
          <cell r="K1404" t="str">
            <v>Técnico Superior</v>
          </cell>
          <cell r="L1404" t="str">
            <v>Si</v>
          </cell>
          <cell r="O1404" t="str">
            <v>Lic. en Tecnología de la Salud</v>
          </cell>
        </row>
        <row r="1405">
          <cell r="C1405" t="str">
            <v>Yelena Moya Mustelier</v>
          </cell>
          <cell r="E1405" t="str">
            <v>F</v>
          </cell>
          <cell r="F1405" t="str">
            <v>mestiza</v>
          </cell>
          <cell r="K1405" t="str">
            <v>Técnico Superior</v>
          </cell>
          <cell r="L1405" t="str">
            <v>Si</v>
          </cell>
          <cell r="O1405" t="str">
            <v>Lic. en Tecnología de la Salud</v>
          </cell>
        </row>
        <row r="1406">
          <cell r="C1406" t="str">
            <v>Yelin Agustina Rodriguez Torres</v>
          </cell>
          <cell r="E1406" t="str">
            <v>F</v>
          </cell>
          <cell r="F1406" t="str">
            <v>mestiza</v>
          </cell>
          <cell r="K1406" t="str">
            <v>Técnico Superior</v>
          </cell>
          <cell r="L1406" t="str">
            <v>Si</v>
          </cell>
          <cell r="O1406" t="str">
            <v>Lic. en Tecnología de la Salud</v>
          </cell>
        </row>
        <row r="1407">
          <cell r="C1407" t="str">
            <v>YELINA BEJAR DOMECG</v>
          </cell>
          <cell r="E1407" t="str">
            <v>F</v>
          </cell>
          <cell r="F1407" t="str">
            <v>mestiza</v>
          </cell>
          <cell r="K1407" t="str">
            <v>Técnico Superior</v>
          </cell>
          <cell r="L1407" t="str">
            <v>Si</v>
          </cell>
          <cell r="O1407" t="str">
            <v>Lic. en Tecnología de la Salud</v>
          </cell>
        </row>
        <row r="1408">
          <cell r="C1408" t="str">
            <v>Yenis Herrera Sifonte</v>
          </cell>
          <cell r="E1408" t="str">
            <v>F</v>
          </cell>
          <cell r="F1408" t="str">
            <v>blanca</v>
          </cell>
          <cell r="K1408" t="str">
            <v>Técnico Superior</v>
          </cell>
          <cell r="L1408" t="str">
            <v>Si</v>
          </cell>
          <cell r="O1408" t="str">
            <v>Lic. en Tecnología de la Salud</v>
          </cell>
        </row>
        <row r="1409">
          <cell r="C1409" t="str">
            <v>Yenisleidis Padrón López</v>
          </cell>
          <cell r="E1409" t="str">
            <v>F</v>
          </cell>
          <cell r="F1409" t="str">
            <v>blanca</v>
          </cell>
          <cell r="K1409" t="str">
            <v>Técnico Superior</v>
          </cell>
          <cell r="L1409" t="str">
            <v>Si</v>
          </cell>
          <cell r="O1409" t="str">
            <v>Lic. en Tecnología de la Salud</v>
          </cell>
        </row>
        <row r="1410">
          <cell r="C1410" t="str">
            <v>Yenny Danger Regalado</v>
          </cell>
          <cell r="E1410" t="str">
            <v>F</v>
          </cell>
          <cell r="F1410" t="str">
            <v>blanca</v>
          </cell>
          <cell r="K1410" t="str">
            <v>Técnico Superior</v>
          </cell>
          <cell r="L1410" t="str">
            <v>Si</v>
          </cell>
          <cell r="O1410" t="str">
            <v>Lic. en Tecnología de la Salud</v>
          </cell>
        </row>
        <row r="1411">
          <cell r="C1411" t="str">
            <v>Yenny Lameda Llopiz</v>
          </cell>
          <cell r="E1411" t="str">
            <v>F</v>
          </cell>
          <cell r="F1411" t="str">
            <v>mestiza</v>
          </cell>
          <cell r="K1411" t="str">
            <v>Técnico Superior</v>
          </cell>
          <cell r="L1411" t="str">
            <v>Si</v>
          </cell>
          <cell r="O1411" t="str">
            <v>Lic. en Tecnología de la Salud</v>
          </cell>
        </row>
        <row r="1412">
          <cell r="C1412" t="str">
            <v>Yilian Hidalgo De Armas</v>
          </cell>
          <cell r="E1412" t="str">
            <v>F</v>
          </cell>
          <cell r="F1412" t="str">
            <v>mestiza</v>
          </cell>
          <cell r="K1412" t="str">
            <v>Cuadro</v>
          </cell>
          <cell r="L1412" t="str">
            <v>Si</v>
          </cell>
          <cell r="O1412" t="str">
            <v>Lic. en Tecnología de la Salud</v>
          </cell>
        </row>
        <row r="1413">
          <cell r="C1413" t="str">
            <v>Yima Garcia Maturell</v>
          </cell>
          <cell r="E1413" t="str">
            <v>F</v>
          </cell>
          <cell r="F1413" t="str">
            <v>mestiza</v>
          </cell>
          <cell r="K1413" t="str">
            <v>Técnico Superior</v>
          </cell>
          <cell r="L1413" t="str">
            <v>Si</v>
          </cell>
          <cell r="O1413" t="str">
            <v>Lic. en Tecnología de la Salud</v>
          </cell>
        </row>
        <row r="1414">
          <cell r="C1414" t="str">
            <v>Yiscenia Hechabarria Batista</v>
          </cell>
          <cell r="E1414" t="str">
            <v>F</v>
          </cell>
          <cell r="F1414" t="str">
            <v>mestiza</v>
          </cell>
          <cell r="K1414" t="str">
            <v>Técnico Superior</v>
          </cell>
          <cell r="L1414" t="str">
            <v>Si</v>
          </cell>
          <cell r="O1414" t="str">
            <v>Lic. en Tecnología de la Salud</v>
          </cell>
        </row>
        <row r="1415">
          <cell r="C1415" t="str">
            <v>Yisel Minier Martinez</v>
          </cell>
          <cell r="E1415" t="str">
            <v>F</v>
          </cell>
          <cell r="F1415" t="str">
            <v>negra</v>
          </cell>
          <cell r="K1415" t="str">
            <v>Técnico Superior</v>
          </cell>
          <cell r="L1415" t="str">
            <v>Si</v>
          </cell>
          <cell r="O1415" t="str">
            <v>Lic. en Tecnología de la Salud</v>
          </cell>
        </row>
        <row r="1416">
          <cell r="C1416" t="str">
            <v>Yisel Tamayo Delgado</v>
          </cell>
          <cell r="E1416" t="str">
            <v>F</v>
          </cell>
          <cell r="F1416" t="str">
            <v>mestiza</v>
          </cell>
          <cell r="K1416" t="str">
            <v>Técnico Superior</v>
          </cell>
          <cell r="L1416" t="str">
            <v>Si</v>
          </cell>
          <cell r="O1416" t="str">
            <v>Lic. en Tecnología de la Salud</v>
          </cell>
        </row>
        <row r="1417">
          <cell r="C1417" t="str">
            <v>Yisenia Brugar Calunga</v>
          </cell>
          <cell r="E1417" t="str">
            <v>F</v>
          </cell>
          <cell r="F1417" t="str">
            <v>mestiza</v>
          </cell>
          <cell r="K1417" t="str">
            <v>Técnico Superior</v>
          </cell>
          <cell r="L1417" t="str">
            <v>Si</v>
          </cell>
          <cell r="O1417" t="str">
            <v>Lic. en Tecnología de la Salud</v>
          </cell>
        </row>
        <row r="1418">
          <cell r="C1418" t="str">
            <v>Yoania Barrios Cabrales</v>
          </cell>
          <cell r="E1418" t="str">
            <v>F</v>
          </cell>
          <cell r="F1418" t="str">
            <v>mestiza</v>
          </cell>
          <cell r="K1418" t="str">
            <v>Técnico Superior</v>
          </cell>
          <cell r="L1418" t="str">
            <v>Si</v>
          </cell>
          <cell r="O1418" t="str">
            <v>Lic. en Tecnología de la Salud</v>
          </cell>
        </row>
        <row r="1419">
          <cell r="C1419" t="str">
            <v>Yoanny Mesa Rodriguez</v>
          </cell>
          <cell r="E1419" t="str">
            <v>M</v>
          </cell>
          <cell r="F1419" t="str">
            <v>mestiza</v>
          </cell>
          <cell r="K1419" t="str">
            <v>Técnico Superior</v>
          </cell>
          <cell r="L1419" t="str">
            <v>Si</v>
          </cell>
          <cell r="O1419" t="str">
            <v>Lic. en Tecnología de la Salud</v>
          </cell>
        </row>
        <row r="1420">
          <cell r="C1420" t="str">
            <v>Yohandris Hurtado Plana</v>
          </cell>
          <cell r="E1420" t="str">
            <v>M</v>
          </cell>
          <cell r="F1420" t="str">
            <v>negra</v>
          </cell>
          <cell r="K1420" t="str">
            <v>Técnico Superior</v>
          </cell>
          <cell r="L1420" t="str">
            <v>Si</v>
          </cell>
          <cell r="O1420" t="str">
            <v>Lic. en Tecnología de la Salud</v>
          </cell>
        </row>
        <row r="1421">
          <cell r="C1421" t="str">
            <v>Yordania Fernández Martínez</v>
          </cell>
          <cell r="E1421" t="str">
            <v>F</v>
          </cell>
          <cell r="F1421" t="str">
            <v>Negra</v>
          </cell>
          <cell r="K1421" t="str">
            <v>Técnico Superior</v>
          </cell>
          <cell r="L1421" t="str">
            <v>No</v>
          </cell>
          <cell r="O1421" t="str">
            <v>Lic. en Tecnología de la Salud</v>
          </cell>
        </row>
        <row r="1422">
          <cell r="C1422" t="str">
            <v>Yordanis Caballero Garcia</v>
          </cell>
          <cell r="E1422" t="str">
            <v>M</v>
          </cell>
          <cell r="F1422" t="str">
            <v>negra</v>
          </cell>
          <cell r="K1422" t="str">
            <v>Técnico Superior</v>
          </cell>
          <cell r="L1422" t="str">
            <v>Si</v>
          </cell>
          <cell r="O1422" t="str">
            <v>Lic. en Tecnología de la Salud</v>
          </cell>
        </row>
        <row r="1423">
          <cell r="C1423" t="str">
            <v>Yordanis Peña Delbaro</v>
          </cell>
          <cell r="E1423" t="str">
            <v>M</v>
          </cell>
          <cell r="F1423" t="str">
            <v>Blanca</v>
          </cell>
          <cell r="K1423" t="str">
            <v>Técnico Superior</v>
          </cell>
          <cell r="L1423" t="str">
            <v>No</v>
          </cell>
          <cell r="O1423" t="str">
            <v>Lic. en Tecnología de la Salud</v>
          </cell>
        </row>
        <row r="1424">
          <cell r="C1424" t="str">
            <v>Yordenis Gonzalez Gomez</v>
          </cell>
          <cell r="E1424" t="str">
            <v>M</v>
          </cell>
          <cell r="F1424" t="str">
            <v>mestiza</v>
          </cell>
          <cell r="K1424" t="str">
            <v>Técnico Superior</v>
          </cell>
          <cell r="L1424" t="str">
            <v>Si</v>
          </cell>
          <cell r="O1424" t="str">
            <v>Lic. en Tecnología de la Salud</v>
          </cell>
        </row>
        <row r="1425">
          <cell r="C1425" t="str">
            <v>Yordenis Rodriguez Suarez</v>
          </cell>
          <cell r="E1425" t="str">
            <v>M</v>
          </cell>
          <cell r="F1425" t="str">
            <v>mestiza</v>
          </cell>
          <cell r="K1425" t="str">
            <v>Técnico Superior</v>
          </cell>
          <cell r="L1425" t="str">
            <v>Si</v>
          </cell>
          <cell r="M1425" t="str">
            <v>Lic. Bioanálisis Clínico</v>
          </cell>
          <cell r="O1425" t="str">
            <v>Lic. en Tecnología de la Salud</v>
          </cell>
        </row>
        <row r="1426">
          <cell r="C1426" t="str">
            <v>Yordis Gonzalez Lusson</v>
          </cell>
          <cell r="E1426" t="str">
            <v>M</v>
          </cell>
          <cell r="F1426" t="str">
            <v>blanca</v>
          </cell>
          <cell r="K1426" t="str">
            <v>Técnico Superior</v>
          </cell>
          <cell r="L1426" t="str">
            <v>Si</v>
          </cell>
          <cell r="O1426" t="str">
            <v>Lic. en Tecnología de la Salud</v>
          </cell>
        </row>
        <row r="1427">
          <cell r="C1427" t="str">
            <v>YOSDENI BUENO ALVAREZ</v>
          </cell>
          <cell r="E1427" t="str">
            <v>M</v>
          </cell>
          <cell r="F1427" t="str">
            <v>mestiza</v>
          </cell>
          <cell r="K1427" t="str">
            <v>Técnico Superior</v>
          </cell>
          <cell r="L1427" t="str">
            <v>Si</v>
          </cell>
          <cell r="O1427" t="str">
            <v>Lic. en Tecnología de la Salud</v>
          </cell>
        </row>
        <row r="1428">
          <cell r="C1428" t="str">
            <v>Yuanet Rams Pascual</v>
          </cell>
          <cell r="E1428" t="str">
            <v>F</v>
          </cell>
          <cell r="F1428" t="str">
            <v>blanca</v>
          </cell>
          <cell r="K1428" t="str">
            <v>Técnico Superior</v>
          </cell>
          <cell r="L1428" t="str">
            <v>Si</v>
          </cell>
          <cell r="O1428" t="str">
            <v>Lic. en Tecnología de la Salud</v>
          </cell>
        </row>
        <row r="1429">
          <cell r="C1429" t="str">
            <v>Yudania Duharte Kindelan</v>
          </cell>
          <cell r="E1429" t="str">
            <v>F</v>
          </cell>
          <cell r="F1429" t="str">
            <v>negra</v>
          </cell>
          <cell r="K1429" t="str">
            <v>Técnico Superior</v>
          </cell>
          <cell r="L1429" t="str">
            <v>Si</v>
          </cell>
          <cell r="O1429" t="str">
            <v>Lic. en Tecnología de la Salud</v>
          </cell>
        </row>
        <row r="1430">
          <cell r="C1430" t="str">
            <v>Yudeysi Boloy Orozco</v>
          </cell>
          <cell r="E1430" t="str">
            <v>F</v>
          </cell>
          <cell r="F1430" t="str">
            <v>mestiza</v>
          </cell>
          <cell r="K1430" t="str">
            <v>Técnico Superior</v>
          </cell>
          <cell r="L1430" t="str">
            <v>Si</v>
          </cell>
          <cell r="O1430" t="str">
            <v>Lic. en Tecnología de la Salud</v>
          </cell>
        </row>
        <row r="1431">
          <cell r="C1431" t="str">
            <v>Yudilma Smith Reyes</v>
          </cell>
          <cell r="E1431" t="str">
            <v>F</v>
          </cell>
          <cell r="F1431" t="str">
            <v>negra</v>
          </cell>
          <cell r="K1431" t="str">
            <v>Técnico Superior</v>
          </cell>
          <cell r="L1431" t="str">
            <v>Si</v>
          </cell>
          <cell r="O1431" t="str">
            <v>Lic. en Tecnología de la Salud</v>
          </cell>
        </row>
        <row r="1432">
          <cell r="C1432" t="str">
            <v>Yudilma Torres Perez</v>
          </cell>
          <cell r="E1432" t="str">
            <v>F</v>
          </cell>
          <cell r="F1432" t="str">
            <v>mestiza</v>
          </cell>
          <cell r="K1432" t="str">
            <v>Técnico Superior</v>
          </cell>
          <cell r="L1432" t="str">
            <v>Si</v>
          </cell>
          <cell r="O1432" t="str">
            <v>Lic. en Tecnología de la Salud</v>
          </cell>
        </row>
        <row r="1433">
          <cell r="C1433" t="str">
            <v>Yudineyli Fuentes Campos</v>
          </cell>
          <cell r="E1433" t="str">
            <v>F</v>
          </cell>
          <cell r="F1433" t="str">
            <v>mestiza</v>
          </cell>
          <cell r="K1433" t="str">
            <v>Técnico Superior</v>
          </cell>
          <cell r="L1433" t="str">
            <v>Si</v>
          </cell>
          <cell r="O1433" t="str">
            <v>Lic. en Tecnología de la Salud</v>
          </cell>
        </row>
        <row r="1434">
          <cell r="C1434" t="str">
            <v>Yuleidis Mustelier Martí</v>
          </cell>
          <cell r="E1434" t="str">
            <v>F</v>
          </cell>
          <cell r="F1434" t="str">
            <v>mestiza</v>
          </cell>
          <cell r="K1434" t="str">
            <v>Técnico Superior</v>
          </cell>
          <cell r="L1434" t="str">
            <v>Si</v>
          </cell>
          <cell r="O1434" t="str">
            <v>Lic. en Tecnología de la Salud</v>
          </cell>
        </row>
        <row r="1435">
          <cell r="C1435" t="str">
            <v>Yuleidys Rodriguez Tumbarell</v>
          </cell>
          <cell r="E1435" t="str">
            <v>F</v>
          </cell>
          <cell r="F1435" t="str">
            <v>negra</v>
          </cell>
          <cell r="K1435" t="str">
            <v>Técnico Superior</v>
          </cell>
          <cell r="L1435" t="str">
            <v>Si</v>
          </cell>
          <cell r="O1435" t="str">
            <v>Lic. en Tecnología de la Salud</v>
          </cell>
        </row>
        <row r="1436">
          <cell r="C1436" t="str">
            <v>Yuleinis Lamo Castillo</v>
          </cell>
          <cell r="E1436" t="str">
            <v>F</v>
          </cell>
          <cell r="F1436" t="str">
            <v>negra</v>
          </cell>
          <cell r="K1436" t="str">
            <v>Técnico Superior</v>
          </cell>
          <cell r="L1436" t="str">
            <v>Si</v>
          </cell>
          <cell r="O1436" t="str">
            <v>Lic. en Tecnología de la Salud</v>
          </cell>
        </row>
        <row r="1437">
          <cell r="C1437" t="str">
            <v>Yulexander Pavo Vera</v>
          </cell>
          <cell r="E1437" t="str">
            <v>M</v>
          </cell>
          <cell r="F1437" t="str">
            <v>negra</v>
          </cell>
          <cell r="K1437" t="str">
            <v>Técnico Superior</v>
          </cell>
          <cell r="L1437" t="str">
            <v>Si</v>
          </cell>
          <cell r="O1437" t="str">
            <v>Lic. en Tecnología de la Salud</v>
          </cell>
        </row>
        <row r="1438">
          <cell r="C1438" t="str">
            <v>Yumila Martínez Pineda</v>
          </cell>
          <cell r="E1438" t="str">
            <v>F</v>
          </cell>
          <cell r="F1438" t="str">
            <v>mestiza</v>
          </cell>
          <cell r="K1438" t="str">
            <v>Técnico Superior</v>
          </cell>
          <cell r="L1438" t="str">
            <v>Si</v>
          </cell>
          <cell r="O1438" t="str">
            <v>Lic. en Tecnología de la Salud</v>
          </cell>
        </row>
        <row r="1439">
          <cell r="C1439" t="str">
            <v>Yumileisy Cajigal Kindelan</v>
          </cell>
          <cell r="E1439" t="str">
            <v>F</v>
          </cell>
          <cell r="F1439" t="str">
            <v>negra</v>
          </cell>
          <cell r="K1439" t="str">
            <v>Técnico Superior</v>
          </cell>
          <cell r="L1439" t="str">
            <v>Si</v>
          </cell>
          <cell r="O1439" t="str">
            <v>Lic. en Tecnología de la Salud</v>
          </cell>
        </row>
        <row r="1440">
          <cell r="C1440" t="str">
            <v>Yuneyvis Arce Lusson</v>
          </cell>
          <cell r="E1440" t="str">
            <v>F</v>
          </cell>
          <cell r="F1440" t="str">
            <v>negra</v>
          </cell>
          <cell r="K1440" t="str">
            <v>Técnico Superior</v>
          </cell>
          <cell r="L1440" t="str">
            <v>Si</v>
          </cell>
          <cell r="O1440" t="str">
            <v>Lic. en Tecnología de la Salud</v>
          </cell>
        </row>
        <row r="1441">
          <cell r="C1441" t="str">
            <v>Yunier Garzon Trespeaux</v>
          </cell>
          <cell r="E1441" t="str">
            <v>M</v>
          </cell>
          <cell r="F1441" t="str">
            <v>mestiza</v>
          </cell>
          <cell r="K1441" t="str">
            <v>Técnico Superior</v>
          </cell>
          <cell r="L1441" t="str">
            <v>Si</v>
          </cell>
          <cell r="O1441" t="str">
            <v>Lic. en Tecnología de la Salud</v>
          </cell>
        </row>
        <row r="1442">
          <cell r="C1442" t="str">
            <v>Yuniesky Carbonell Lusson</v>
          </cell>
          <cell r="E1442" t="str">
            <v>F</v>
          </cell>
          <cell r="F1442" t="str">
            <v>mestiza</v>
          </cell>
          <cell r="K1442" t="str">
            <v>Técnico Superior</v>
          </cell>
          <cell r="L1442" t="str">
            <v>No</v>
          </cell>
          <cell r="O1442" t="str">
            <v>Lic. en Tecnología de la Salud</v>
          </cell>
        </row>
        <row r="1443">
          <cell r="C1443" t="str">
            <v>Yurdi Ricart Guzman</v>
          </cell>
          <cell r="E1443" t="str">
            <v>M</v>
          </cell>
          <cell r="F1443" t="str">
            <v>mestiza</v>
          </cell>
          <cell r="K1443" t="str">
            <v>Técnico Superior</v>
          </cell>
          <cell r="L1443" t="str">
            <v>Si</v>
          </cell>
          <cell r="O1443" t="str">
            <v>Lic. en Tecnología de la Salud</v>
          </cell>
        </row>
        <row r="1444">
          <cell r="C1444" t="str">
            <v>Yuslenis Megret Penalver</v>
          </cell>
          <cell r="E1444" t="str">
            <v>F</v>
          </cell>
          <cell r="F1444" t="str">
            <v>mestiza</v>
          </cell>
          <cell r="K1444" t="str">
            <v>Técnico Superior</v>
          </cell>
          <cell r="L1444" t="str">
            <v>Si</v>
          </cell>
          <cell r="O1444" t="str">
            <v>Lic. en Tecnología de la Salud</v>
          </cell>
        </row>
        <row r="1445">
          <cell r="C1445" t="str">
            <v>Yusnaika Bueno Gutierrez</v>
          </cell>
          <cell r="E1445" t="str">
            <v>F</v>
          </cell>
          <cell r="F1445" t="str">
            <v>negra</v>
          </cell>
          <cell r="K1445" t="str">
            <v>Técnico Superior</v>
          </cell>
          <cell r="L1445" t="str">
            <v>Si</v>
          </cell>
          <cell r="M1445" t="str">
            <v>Lic. Bioanálisis Clínico</v>
          </cell>
          <cell r="O1445" t="str">
            <v>Lic. en Tecnología de la Salud</v>
          </cell>
        </row>
        <row r="1446">
          <cell r="C1446" t="str">
            <v>Yusnileydi Formeza Arbelo</v>
          </cell>
          <cell r="E1446" t="str">
            <v>F</v>
          </cell>
          <cell r="F1446" t="str">
            <v>mestiza</v>
          </cell>
          <cell r="K1446" t="str">
            <v>Técnico Superior</v>
          </cell>
          <cell r="L1446" t="str">
            <v>Si</v>
          </cell>
          <cell r="O1446" t="str">
            <v>Lic. en Tecnología de la Salud</v>
          </cell>
        </row>
        <row r="1447">
          <cell r="C1447" t="str">
            <v>Zulaidis Izquierdo Gonzalez</v>
          </cell>
          <cell r="E1447" t="str">
            <v>F</v>
          </cell>
          <cell r="F1447" t="str">
            <v>mestiza</v>
          </cell>
          <cell r="K1447" t="str">
            <v>Técnico Superior</v>
          </cell>
          <cell r="L1447" t="str">
            <v>Si</v>
          </cell>
          <cell r="O1447" t="str">
            <v>Lic. en Tecnología de la Salud</v>
          </cell>
        </row>
        <row r="1448">
          <cell r="C1448" t="str">
            <v>Acela Debrot Dominguez</v>
          </cell>
          <cell r="E1448" t="str">
            <v>F</v>
          </cell>
          <cell r="F1448" t="str">
            <v>mestiza</v>
          </cell>
          <cell r="K1448" t="str">
            <v>Técnico Superior</v>
          </cell>
          <cell r="L1448" t="str">
            <v>Si</v>
          </cell>
          <cell r="O1448" t="str">
            <v>Lic. Enfermería</v>
          </cell>
        </row>
        <row r="1449">
          <cell r="C1449" t="str">
            <v>Aida Virgen Cascaret Castellanos</v>
          </cell>
          <cell r="E1449" t="str">
            <v>F</v>
          </cell>
          <cell r="F1449" t="str">
            <v>mestiza</v>
          </cell>
          <cell r="K1449" t="str">
            <v>Técnico Superior</v>
          </cell>
          <cell r="L1449" t="str">
            <v>Si</v>
          </cell>
          <cell r="O1449" t="str">
            <v>Lic. Enfermería</v>
          </cell>
        </row>
        <row r="1450">
          <cell r="C1450" t="str">
            <v>Alina Calzado Garbey</v>
          </cell>
          <cell r="E1450" t="str">
            <v>F</v>
          </cell>
          <cell r="F1450" t="str">
            <v>mestiza</v>
          </cell>
          <cell r="K1450" t="str">
            <v>Técnico Superior</v>
          </cell>
          <cell r="L1450" t="str">
            <v>Si</v>
          </cell>
          <cell r="O1450" t="str">
            <v>Lic. Enfermería</v>
          </cell>
        </row>
        <row r="1451">
          <cell r="C1451" t="str">
            <v>Alina Estalella Gross</v>
          </cell>
          <cell r="E1451" t="str">
            <v>F</v>
          </cell>
          <cell r="F1451" t="str">
            <v>mestiza</v>
          </cell>
          <cell r="K1451" t="str">
            <v>Técnico Superior</v>
          </cell>
          <cell r="L1451" t="str">
            <v>Si</v>
          </cell>
          <cell r="O1451" t="str">
            <v>Lic. Enfermería</v>
          </cell>
        </row>
        <row r="1452">
          <cell r="C1452" t="str">
            <v>amarilis martinez delgado</v>
          </cell>
          <cell r="E1452" t="str">
            <v>F</v>
          </cell>
          <cell r="F1452" t="str">
            <v>blanca</v>
          </cell>
          <cell r="K1452" t="str">
            <v>Técnico Superior</v>
          </cell>
          <cell r="L1452" t="str">
            <v>Si</v>
          </cell>
          <cell r="O1452" t="str">
            <v>Lic. Enfermería</v>
          </cell>
        </row>
        <row r="1453">
          <cell r="C1453" t="str">
            <v>Ana America garcia tellez</v>
          </cell>
          <cell r="E1453" t="str">
            <v>F</v>
          </cell>
          <cell r="F1453" t="str">
            <v>mestiza</v>
          </cell>
          <cell r="K1453" t="str">
            <v>Técnico Superior</v>
          </cell>
          <cell r="L1453" t="str">
            <v>Si</v>
          </cell>
          <cell r="O1453" t="str">
            <v>Lic. Enfermería</v>
          </cell>
        </row>
        <row r="1454">
          <cell r="C1454" t="str">
            <v>Ana Del Carmen González Castellano</v>
          </cell>
          <cell r="E1454" t="str">
            <v>F</v>
          </cell>
          <cell r="F1454" t="str">
            <v>mestiza</v>
          </cell>
          <cell r="K1454" t="str">
            <v>Técnico Superior</v>
          </cell>
          <cell r="L1454" t="str">
            <v>Si</v>
          </cell>
          <cell r="O1454" t="str">
            <v>Lic. Enfermería</v>
          </cell>
        </row>
        <row r="1455">
          <cell r="C1455" t="str">
            <v>Ana ELIA Pouyou Castillo</v>
          </cell>
          <cell r="E1455" t="str">
            <v>F</v>
          </cell>
          <cell r="F1455" t="str">
            <v>negra</v>
          </cell>
          <cell r="K1455" t="str">
            <v>Técnico Superior</v>
          </cell>
          <cell r="L1455" t="str">
            <v>Si</v>
          </cell>
          <cell r="O1455" t="str">
            <v>Lic. Enfermería</v>
          </cell>
        </row>
        <row r="1456">
          <cell r="C1456" t="str">
            <v>ANA LENNIS MAYET CARRASCO</v>
          </cell>
          <cell r="E1456" t="str">
            <v>F</v>
          </cell>
          <cell r="F1456" t="str">
            <v>negra</v>
          </cell>
          <cell r="K1456" t="str">
            <v>Técnico Superior</v>
          </cell>
          <cell r="L1456" t="str">
            <v>Si</v>
          </cell>
          <cell r="O1456" t="str">
            <v>Lic. Enfermería</v>
          </cell>
        </row>
        <row r="1457">
          <cell r="C1457" t="str">
            <v>Ana pilar Ortega Fernandez</v>
          </cell>
          <cell r="E1457" t="str">
            <v>F</v>
          </cell>
          <cell r="F1457" t="str">
            <v>blanca</v>
          </cell>
          <cell r="K1457" t="str">
            <v>Técnico Superior</v>
          </cell>
          <cell r="L1457" t="str">
            <v>Si</v>
          </cell>
          <cell r="O1457" t="str">
            <v>Lic. Enfermería</v>
          </cell>
        </row>
        <row r="1458">
          <cell r="C1458" t="str">
            <v>Ana Victoria Vaquero Godines</v>
          </cell>
          <cell r="E1458" t="str">
            <v>F</v>
          </cell>
          <cell r="F1458" t="str">
            <v>mestiza</v>
          </cell>
          <cell r="K1458" t="str">
            <v>Técnico Superior</v>
          </cell>
          <cell r="L1458" t="str">
            <v>Si</v>
          </cell>
          <cell r="O1458" t="str">
            <v>Lic. Enfermería</v>
          </cell>
        </row>
        <row r="1459">
          <cell r="C1459" t="str">
            <v>Anais Fuentes Tissert</v>
          </cell>
          <cell r="E1459" t="str">
            <v>F</v>
          </cell>
          <cell r="F1459" t="str">
            <v>negra</v>
          </cell>
          <cell r="K1459" t="str">
            <v>Técnico Superior</v>
          </cell>
          <cell r="L1459" t="str">
            <v>Si</v>
          </cell>
          <cell r="O1459" t="str">
            <v>Lic. Enfermería</v>
          </cell>
        </row>
        <row r="1460">
          <cell r="C1460" t="str">
            <v>Aniuska Torres Lopez</v>
          </cell>
          <cell r="E1460" t="str">
            <v>F</v>
          </cell>
          <cell r="F1460" t="str">
            <v>mestiza</v>
          </cell>
          <cell r="K1460" t="str">
            <v>Técnico Superior</v>
          </cell>
          <cell r="L1460" t="str">
            <v>Si</v>
          </cell>
          <cell r="O1460" t="str">
            <v>Lic. Enfermería</v>
          </cell>
        </row>
        <row r="1461">
          <cell r="C1461" t="str">
            <v>Ariagna Gonzales Garcia</v>
          </cell>
          <cell r="E1461" t="str">
            <v>F</v>
          </cell>
          <cell r="F1461" t="str">
            <v>mestiza</v>
          </cell>
          <cell r="K1461" t="str">
            <v>Técnico Superior</v>
          </cell>
          <cell r="L1461" t="str">
            <v>Si</v>
          </cell>
          <cell r="O1461" t="str">
            <v>Lic. Enfermería</v>
          </cell>
        </row>
        <row r="1462">
          <cell r="C1462" t="str">
            <v>Yudeysi Napoles Leonar</v>
          </cell>
          <cell r="E1462" t="str">
            <v>F</v>
          </cell>
          <cell r="F1462" t="str">
            <v>negra</v>
          </cell>
          <cell r="K1462" t="str">
            <v>Técnico Superior</v>
          </cell>
          <cell r="L1462" t="str">
            <v>No</v>
          </cell>
          <cell r="O1462" t="str">
            <v>Lic. Enfermería</v>
          </cell>
        </row>
        <row r="1463">
          <cell r="C1463" t="str">
            <v>Ariannis Almenares Garcia</v>
          </cell>
          <cell r="E1463" t="str">
            <v>F</v>
          </cell>
          <cell r="F1463" t="str">
            <v>mestiza</v>
          </cell>
          <cell r="K1463" t="str">
            <v>Técnico Superior</v>
          </cell>
          <cell r="L1463" t="str">
            <v>No</v>
          </cell>
          <cell r="O1463" t="str">
            <v>Lic. Enfermería</v>
          </cell>
        </row>
        <row r="1464">
          <cell r="C1464" t="str">
            <v>Aritza Romero Beltran</v>
          </cell>
          <cell r="E1464" t="str">
            <v>F</v>
          </cell>
          <cell r="F1464" t="str">
            <v>negra</v>
          </cell>
          <cell r="K1464" t="str">
            <v>Técnico Superior</v>
          </cell>
          <cell r="L1464" t="str">
            <v>Si</v>
          </cell>
          <cell r="O1464" t="str">
            <v>Lic. Enfermería</v>
          </cell>
        </row>
        <row r="1465">
          <cell r="C1465" t="str">
            <v>Carmen  Rosa Arencibia Garcia</v>
          </cell>
          <cell r="E1465" t="str">
            <v>F</v>
          </cell>
          <cell r="F1465" t="str">
            <v>negra</v>
          </cell>
          <cell r="K1465" t="str">
            <v>Técnico Superior</v>
          </cell>
          <cell r="L1465" t="str">
            <v>Si</v>
          </cell>
          <cell r="O1465" t="str">
            <v>Lic. Enfermería</v>
          </cell>
        </row>
        <row r="1466">
          <cell r="C1466" t="str">
            <v>Cecilia Mustelier Lopez</v>
          </cell>
          <cell r="E1466" t="str">
            <v>F</v>
          </cell>
          <cell r="F1466" t="str">
            <v>mestiza</v>
          </cell>
          <cell r="K1466" t="str">
            <v>Técnico Superior</v>
          </cell>
          <cell r="L1466" t="str">
            <v>Si</v>
          </cell>
          <cell r="O1466" t="str">
            <v>Lic. Enfermería</v>
          </cell>
        </row>
        <row r="1467">
          <cell r="C1467" t="str">
            <v>Cira Ferrer Soler</v>
          </cell>
          <cell r="E1467" t="str">
            <v>F</v>
          </cell>
          <cell r="F1467" t="str">
            <v>mestiza</v>
          </cell>
          <cell r="K1467" t="str">
            <v>Técnico Superior</v>
          </cell>
          <cell r="L1467" t="str">
            <v>Si</v>
          </cell>
          <cell r="O1467" t="str">
            <v>Lic. Enfermería</v>
          </cell>
        </row>
        <row r="1468">
          <cell r="C1468" t="str">
            <v>Dahimi Herrera Jaca</v>
          </cell>
          <cell r="E1468" t="str">
            <v>F</v>
          </cell>
          <cell r="F1468" t="str">
            <v>mestiza</v>
          </cell>
          <cell r="K1468" t="str">
            <v>Técnico Superior</v>
          </cell>
          <cell r="L1468" t="str">
            <v>Si</v>
          </cell>
          <cell r="O1468" t="str">
            <v>Lic. Enfermería</v>
          </cell>
        </row>
        <row r="1469">
          <cell r="C1469" t="str">
            <v>Dailenis Jimenez Torres</v>
          </cell>
          <cell r="E1469" t="str">
            <v>F</v>
          </cell>
          <cell r="F1469" t="str">
            <v>Mestiza</v>
          </cell>
          <cell r="K1469" t="str">
            <v>Técnico Superior</v>
          </cell>
          <cell r="L1469" t="str">
            <v>No</v>
          </cell>
          <cell r="O1469" t="str">
            <v>Lic. Enfermería</v>
          </cell>
        </row>
        <row r="1470">
          <cell r="C1470" t="str">
            <v>Daimara Caballero García</v>
          </cell>
          <cell r="E1470" t="str">
            <v>F</v>
          </cell>
          <cell r="F1470" t="str">
            <v>mestiza</v>
          </cell>
          <cell r="K1470" t="str">
            <v>Técnico Superior</v>
          </cell>
          <cell r="L1470" t="str">
            <v>No</v>
          </cell>
          <cell r="O1470" t="str">
            <v>Lic. Enfermería</v>
          </cell>
        </row>
        <row r="1471">
          <cell r="C1471" t="str">
            <v>Dalgis Alvarez Vera</v>
          </cell>
          <cell r="E1471" t="str">
            <v>F</v>
          </cell>
          <cell r="F1471" t="str">
            <v>negra</v>
          </cell>
          <cell r="K1471" t="str">
            <v>Técnico Superior</v>
          </cell>
          <cell r="L1471" t="str">
            <v>Si</v>
          </cell>
          <cell r="O1471" t="str">
            <v>Lic. Enfermería</v>
          </cell>
        </row>
        <row r="1472">
          <cell r="C1472" t="str">
            <v>Danelia Mercedes Cruz Dedieu</v>
          </cell>
          <cell r="E1472" t="str">
            <v>F</v>
          </cell>
          <cell r="F1472" t="str">
            <v>blanca</v>
          </cell>
          <cell r="K1472" t="str">
            <v>Técnico Superior</v>
          </cell>
          <cell r="L1472" t="str">
            <v>Si</v>
          </cell>
          <cell r="O1472" t="str">
            <v>Lic. Enfermería</v>
          </cell>
        </row>
        <row r="1473">
          <cell r="C1473" t="str">
            <v>Danelis Lescaille Mandre</v>
          </cell>
          <cell r="E1473" t="str">
            <v>F</v>
          </cell>
          <cell r="F1473" t="str">
            <v>mestiza</v>
          </cell>
          <cell r="K1473" t="str">
            <v>Técnico Superior</v>
          </cell>
          <cell r="L1473" t="str">
            <v>Si</v>
          </cell>
          <cell r="O1473" t="str">
            <v>Lic. Enfermería</v>
          </cell>
        </row>
        <row r="1474">
          <cell r="C1474" t="str">
            <v>Daniuska Mustelier Rivero</v>
          </cell>
          <cell r="E1474" t="str">
            <v>F</v>
          </cell>
          <cell r="F1474" t="str">
            <v>mestiza</v>
          </cell>
          <cell r="K1474" t="str">
            <v>Técnico Superior</v>
          </cell>
          <cell r="L1474" t="str">
            <v>Si</v>
          </cell>
          <cell r="O1474" t="str">
            <v>Lic. Enfermería</v>
          </cell>
        </row>
        <row r="1475">
          <cell r="C1475" t="str">
            <v>Daniuska Salas Mayet</v>
          </cell>
          <cell r="E1475" t="str">
            <v>F</v>
          </cell>
          <cell r="F1475" t="str">
            <v>mestiza</v>
          </cell>
          <cell r="K1475" t="str">
            <v>Técnico Superior</v>
          </cell>
          <cell r="L1475" t="str">
            <v>Si</v>
          </cell>
          <cell r="O1475" t="str">
            <v>Lic. Enfermería</v>
          </cell>
        </row>
        <row r="1476">
          <cell r="C1476" t="str">
            <v>Dayrelis Bell Tamayo</v>
          </cell>
          <cell r="E1476" t="str">
            <v>F</v>
          </cell>
          <cell r="F1476" t="str">
            <v>mestiza</v>
          </cell>
          <cell r="K1476" t="str">
            <v>Técnico Superior</v>
          </cell>
          <cell r="L1476" t="str">
            <v>Si</v>
          </cell>
          <cell r="O1476" t="str">
            <v>Lic. Enfermería</v>
          </cell>
        </row>
        <row r="1477">
          <cell r="C1477" t="str">
            <v>Direlis Marten Betancourt</v>
          </cell>
          <cell r="E1477" t="str">
            <v>F</v>
          </cell>
          <cell r="F1477" t="str">
            <v>negra</v>
          </cell>
          <cell r="K1477" t="str">
            <v>Técnico Superior</v>
          </cell>
          <cell r="L1477" t="str">
            <v>Si</v>
          </cell>
          <cell r="O1477" t="str">
            <v>Lic. Enfermería</v>
          </cell>
        </row>
        <row r="1478">
          <cell r="C1478" t="str">
            <v>Doniellis Martinez Sánchez</v>
          </cell>
          <cell r="E1478" t="str">
            <v>F</v>
          </cell>
          <cell r="F1478" t="str">
            <v>mestiza</v>
          </cell>
          <cell r="K1478" t="str">
            <v>Técnico Superior</v>
          </cell>
          <cell r="L1478" t="str">
            <v>No</v>
          </cell>
          <cell r="O1478" t="str">
            <v>Lic. Enfermería</v>
          </cell>
        </row>
        <row r="1479">
          <cell r="C1479" t="str">
            <v>Edelmira Bain Savigne</v>
          </cell>
          <cell r="E1479" t="str">
            <v>F</v>
          </cell>
          <cell r="F1479" t="str">
            <v>negra</v>
          </cell>
          <cell r="K1479" t="str">
            <v>Técnico Superior</v>
          </cell>
          <cell r="L1479" t="str">
            <v>Si</v>
          </cell>
          <cell r="O1479" t="str">
            <v>Lic. Enfermería</v>
          </cell>
        </row>
        <row r="1480">
          <cell r="C1480" t="str">
            <v>Elba Dusat Kindelan</v>
          </cell>
          <cell r="E1480" t="str">
            <v>F</v>
          </cell>
          <cell r="F1480" t="str">
            <v>negra</v>
          </cell>
          <cell r="K1480" t="str">
            <v>Técnico Superior</v>
          </cell>
          <cell r="L1480" t="str">
            <v>Si</v>
          </cell>
          <cell r="O1480" t="str">
            <v>Lic. Enfermería</v>
          </cell>
        </row>
        <row r="1481">
          <cell r="C1481" t="str">
            <v>Elianne Navarro Lameda</v>
          </cell>
          <cell r="E1481" t="str">
            <v>F</v>
          </cell>
          <cell r="F1481" t="str">
            <v>mestiza</v>
          </cell>
          <cell r="K1481" t="str">
            <v>Técnico Superior</v>
          </cell>
          <cell r="L1481" t="str">
            <v>Si</v>
          </cell>
          <cell r="O1481" t="str">
            <v>Lic. Enfermería</v>
          </cell>
        </row>
        <row r="1482">
          <cell r="C1482" t="str">
            <v>Elisabet Heredia Quesada</v>
          </cell>
          <cell r="E1482" t="str">
            <v>F</v>
          </cell>
          <cell r="F1482" t="str">
            <v>mestiza</v>
          </cell>
          <cell r="K1482" t="str">
            <v>Técnico Superior</v>
          </cell>
          <cell r="L1482" t="str">
            <v>Si</v>
          </cell>
          <cell r="O1482" t="str">
            <v>Lic. Enfermería</v>
          </cell>
        </row>
        <row r="1483">
          <cell r="C1483" t="str">
            <v>Elvis Peña Torres</v>
          </cell>
          <cell r="E1483" t="str">
            <v>F</v>
          </cell>
          <cell r="F1483" t="str">
            <v>mestiza</v>
          </cell>
          <cell r="K1483" t="str">
            <v>Técnico Superior</v>
          </cell>
          <cell r="L1483" t="str">
            <v>Si</v>
          </cell>
          <cell r="O1483" t="str">
            <v>Lic. Enfermería</v>
          </cell>
        </row>
        <row r="1484">
          <cell r="C1484" t="str">
            <v>Eridania Calzado Azcanio</v>
          </cell>
          <cell r="E1484" t="str">
            <v>F</v>
          </cell>
          <cell r="F1484" t="str">
            <v>mestiza</v>
          </cell>
          <cell r="K1484" t="str">
            <v>Técnico Superior</v>
          </cell>
          <cell r="L1484" t="str">
            <v>Si</v>
          </cell>
          <cell r="O1484" t="str">
            <v>Lic. Enfermería</v>
          </cell>
        </row>
        <row r="1485">
          <cell r="C1485" t="str">
            <v>Giseilis Suarez Hernandez</v>
          </cell>
          <cell r="E1485" t="str">
            <v>F</v>
          </cell>
          <cell r="F1485" t="str">
            <v>negra</v>
          </cell>
          <cell r="K1485" t="str">
            <v>Técnico Superior</v>
          </cell>
          <cell r="L1485" t="str">
            <v>Si</v>
          </cell>
          <cell r="O1485" t="str">
            <v>Lic. Enfermería</v>
          </cell>
        </row>
        <row r="1486">
          <cell r="C1486" t="str">
            <v>Graciela Nohay Bueno</v>
          </cell>
          <cell r="E1486" t="str">
            <v>F</v>
          </cell>
          <cell r="F1486" t="str">
            <v>negra</v>
          </cell>
          <cell r="K1486" t="str">
            <v>Técnico Superior</v>
          </cell>
          <cell r="L1486" t="str">
            <v>Si</v>
          </cell>
          <cell r="O1486" t="str">
            <v>Lic. Enfermería</v>
          </cell>
        </row>
        <row r="1487">
          <cell r="C1487" t="str">
            <v>Idailis Ferrer Hechavarría</v>
          </cell>
          <cell r="E1487" t="str">
            <v>F</v>
          </cell>
          <cell r="F1487" t="str">
            <v>negra</v>
          </cell>
          <cell r="K1487" t="str">
            <v>Técnico Superior</v>
          </cell>
          <cell r="L1487" t="str">
            <v>No</v>
          </cell>
          <cell r="O1487" t="str">
            <v>Lic. Enfermería</v>
          </cell>
        </row>
        <row r="1488">
          <cell r="C1488" t="str">
            <v>Idalis Graña Enrigue</v>
          </cell>
          <cell r="E1488" t="str">
            <v>F</v>
          </cell>
          <cell r="F1488" t="str">
            <v>blanca</v>
          </cell>
          <cell r="K1488" t="str">
            <v>Técnico Superior</v>
          </cell>
          <cell r="L1488" t="str">
            <v>Si</v>
          </cell>
          <cell r="O1488" t="str">
            <v>Lic. Enfermería</v>
          </cell>
        </row>
        <row r="1489">
          <cell r="C1489" t="str">
            <v>Idalmis Arrastre Mojena</v>
          </cell>
          <cell r="E1489" t="str">
            <v>F</v>
          </cell>
          <cell r="F1489" t="str">
            <v>mestiza</v>
          </cell>
          <cell r="K1489" t="str">
            <v>Técnico Superior</v>
          </cell>
          <cell r="L1489" t="str">
            <v>Si</v>
          </cell>
          <cell r="O1489" t="str">
            <v>Lic. Enfermería</v>
          </cell>
        </row>
        <row r="1490">
          <cell r="C1490" t="str">
            <v>Idania Rodriguez Vinent</v>
          </cell>
          <cell r="E1490" t="str">
            <v>F</v>
          </cell>
          <cell r="F1490" t="str">
            <v>mestiza</v>
          </cell>
          <cell r="K1490" t="str">
            <v>Técnico Superior</v>
          </cell>
          <cell r="L1490" t="str">
            <v>Si</v>
          </cell>
          <cell r="O1490" t="str">
            <v>Lic. Enfermería</v>
          </cell>
        </row>
        <row r="1491">
          <cell r="C1491" t="str">
            <v>idelvis rodriguez garcia</v>
          </cell>
          <cell r="E1491" t="str">
            <v>F</v>
          </cell>
          <cell r="F1491" t="str">
            <v>mestiza</v>
          </cell>
          <cell r="K1491" t="str">
            <v>Técnico Superior</v>
          </cell>
          <cell r="L1491" t="str">
            <v>Si</v>
          </cell>
          <cell r="O1491" t="str">
            <v>Lic. Enfermería</v>
          </cell>
        </row>
        <row r="1492">
          <cell r="C1492" t="str">
            <v>Iluminada Delis Martinez</v>
          </cell>
          <cell r="E1492" t="str">
            <v>F</v>
          </cell>
          <cell r="F1492" t="str">
            <v>negra</v>
          </cell>
          <cell r="K1492" t="str">
            <v>Técnico Superior</v>
          </cell>
          <cell r="L1492" t="str">
            <v>Si</v>
          </cell>
          <cell r="O1492" t="str">
            <v>Lic. Enfermería</v>
          </cell>
        </row>
        <row r="1493">
          <cell r="C1493" t="str">
            <v>INES MARTINES CASTILLO</v>
          </cell>
          <cell r="E1493" t="str">
            <v>F</v>
          </cell>
          <cell r="F1493" t="str">
            <v>negra</v>
          </cell>
          <cell r="K1493" t="str">
            <v>Técnico Superior</v>
          </cell>
          <cell r="L1493" t="str">
            <v>Si</v>
          </cell>
          <cell r="O1493" t="str">
            <v>Lic. Enfermería</v>
          </cell>
        </row>
        <row r="1494">
          <cell r="C1494" t="str">
            <v>Juana Gloria Fuentes Gonzales</v>
          </cell>
          <cell r="E1494" t="str">
            <v>F</v>
          </cell>
          <cell r="F1494" t="str">
            <v>negra</v>
          </cell>
          <cell r="K1494" t="str">
            <v>Técnico Superior</v>
          </cell>
          <cell r="L1494" t="str">
            <v>Si</v>
          </cell>
          <cell r="O1494" t="str">
            <v>Lic. Enfermería</v>
          </cell>
        </row>
        <row r="1495">
          <cell r="C1495" t="str">
            <v>Juana Lidia Fonden Leliebre</v>
          </cell>
          <cell r="E1495" t="str">
            <v>F</v>
          </cell>
          <cell r="F1495" t="str">
            <v>mestiza</v>
          </cell>
          <cell r="K1495" t="str">
            <v>Técnico Superior</v>
          </cell>
          <cell r="L1495" t="str">
            <v>Si</v>
          </cell>
          <cell r="O1495" t="str">
            <v>Lic. Enfermería</v>
          </cell>
        </row>
        <row r="1496">
          <cell r="C1496" t="str">
            <v>Juana Lidia Villalon Zaldivar</v>
          </cell>
          <cell r="E1496" t="str">
            <v>F</v>
          </cell>
          <cell r="F1496" t="str">
            <v>negra</v>
          </cell>
          <cell r="K1496" t="str">
            <v>Técnico Superior</v>
          </cell>
          <cell r="L1496" t="str">
            <v>Si</v>
          </cell>
          <cell r="O1496" t="str">
            <v>Lic. Enfermería</v>
          </cell>
        </row>
        <row r="1497">
          <cell r="C1497" t="str">
            <v>Justina Barroso Thomas</v>
          </cell>
          <cell r="E1497" t="str">
            <v>F</v>
          </cell>
          <cell r="F1497" t="str">
            <v>mestiza</v>
          </cell>
          <cell r="K1497" t="str">
            <v>Técnico Superior</v>
          </cell>
          <cell r="L1497" t="str">
            <v>Si</v>
          </cell>
          <cell r="O1497" t="str">
            <v>Lic. Enfermería</v>
          </cell>
        </row>
        <row r="1498">
          <cell r="C1498" t="str">
            <v>Katia Lazo Valdez</v>
          </cell>
          <cell r="E1498" t="str">
            <v>F</v>
          </cell>
          <cell r="F1498" t="str">
            <v>mestiza</v>
          </cell>
          <cell r="K1498" t="str">
            <v>Técnico Superior</v>
          </cell>
          <cell r="L1498" t="str">
            <v>Si</v>
          </cell>
          <cell r="O1498" t="str">
            <v>Lic. Enfermería</v>
          </cell>
        </row>
        <row r="1499">
          <cell r="C1499" t="str">
            <v>kirenia gonzalez Cedeño</v>
          </cell>
          <cell r="E1499" t="str">
            <v>F</v>
          </cell>
          <cell r="F1499" t="str">
            <v>negra</v>
          </cell>
          <cell r="K1499" t="str">
            <v>Técnico Superior</v>
          </cell>
          <cell r="L1499" t="str">
            <v>Si</v>
          </cell>
          <cell r="O1499" t="str">
            <v>Lic. Enfermería</v>
          </cell>
        </row>
        <row r="1500">
          <cell r="C1500" t="str">
            <v>Laudelina Rivero Morell</v>
          </cell>
          <cell r="E1500" t="str">
            <v>F</v>
          </cell>
          <cell r="F1500" t="str">
            <v>negra</v>
          </cell>
          <cell r="K1500" t="str">
            <v>Técnico Superior</v>
          </cell>
          <cell r="L1500" t="str">
            <v>Si</v>
          </cell>
          <cell r="O1500" t="str">
            <v>Lic. Enfermería</v>
          </cell>
        </row>
        <row r="1501">
          <cell r="C1501" t="str">
            <v>Leticia Fernandez Calzado</v>
          </cell>
          <cell r="E1501" t="str">
            <v>F</v>
          </cell>
          <cell r="F1501" t="str">
            <v>negra</v>
          </cell>
          <cell r="K1501" t="str">
            <v>Técnico Superior</v>
          </cell>
          <cell r="L1501" t="str">
            <v>Si</v>
          </cell>
          <cell r="O1501" t="str">
            <v>Lic. Enfermería</v>
          </cell>
        </row>
        <row r="1502">
          <cell r="C1502" t="str">
            <v>Leyanet Bonne Fernández</v>
          </cell>
          <cell r="E1502" t="str">
            <v>F</v>
          </cell>
          <cell r="F1502" t="str">
            <v>Mestiza</v>
          </cell>
          <cell r="K1502" t="str">
            <v>Técnico Superior</v>
          </cell>
          <cell r="L1502" t="str">
            <v>No</v>
          </cell>
          <cell r="O1502" t="str">
            <v>Lic. Enfermería</v>
          </cell>
        </row>
        <row r="1503">
          <cell r="C1503" t="str">
            <v>Liena Gamboa Castillo</v>
          </cell>
          <cell r="E1503" t="str">
            <v>F</v>
          </cell>
          <cell r="F1503" t="str">
            <v>mestiza</v>
          </cell>
          <cell r="K1503" t="str">
            <v>Técnico Superior</v>
          </cell>
          <cell r="L1503" t="str">
            <v>Si</v>
          </cell>
          <cell r="O1503" t="str">
            <v>Lic. Enfermería</v>
          </cell>
        </row>
        <row r="1504">
          <cell r="C1504" t="str">
            <v>Lissete Martinez Rojas</v>
          </cell>
          <cell r="E1504" t="str">
            <v>F</v>
          </cell>
          <cell r="F1504" t="str">
            <v>blanca</v>
          </cell>
          <cell r="K1504" t="str">
            <v>Técnico Superior</v>
          </cell>
          <cell r="L1504" t="str">
            <v>Si</v>
          </cell>
          <cell r="O1504" t="str">
            <v>Lic. Enfermería</v>
          </cell>
        </row>
        <row r="1505">
          <cell r="C1505" t="str">
            <v>lizandra Charon Fernández</v>
          </cell>
          <cell r="E1505" t="str">
            <v>F</v>
          </cell>
          <cell r="F1505" t="str">
            <v>mestiza</v>
          </cell>
          <cell r="K1505" t="str">
            <v>Técnico Superior</v>
          </cell>
          <cell r="L1505" t="str">
            <v>No</v>
          </cell>
          <cell r="O1505" t="str">
            <v>Lic. Enfermería</v>
          </cell>
        </row>
        <row r="1506">
          <cell r="C1506" t="str">
            <v>Magdalena Guevara Bell</v>
          </cell>
          <cell r="E1506" t="str">
            <v>F</v>
          </cell>
          <cell r="F1506" t="str">
            <v>mestiza</v>
          </cell>
          <cell r="K1506" t="str">
            <v>Técnico Superior</v>
          </cell>
          <cell r="L1506" t="str">
            <v>Si</v>
          </cell>
          <cell r="O1506" t="str">
            <v>Lic. Enfermería</v>
          </cell>
        </row>
        <row r="1507">
          <cell r="C1507" t="str">
            <v>Marbelis Rubio Lazo</v>
          </cell>
          <cell r="E1507" t="str">
            <v>F</v>
          </cell>
          <cell r="F1507" t="str">
            <v>mestiza</v>
          </cell>
          <cell r="K1507" t="str">
            <v>Técnico Superior</v>
          </cell>
          <cell r="L1507" t="str">
            <v>Si</v>
          </cell>
          <cell r="O1507" t="str">
            <v>Lic. Enfermería</v>
          </cell>
        </row>
        <row r="1508">
          <cell r="C1508" t="str">
            <v>Marcia Deliz Santos</v>
          </cell>
          <cell r="E1508" t="str">
            <v>F</v>
          </cell>
          <cell r="F1508" t="str">
            <v>negra</v>
          </cell>
          <cell r="K1508" t="str">
            <v>Técnico Superior</v>
          </cell>
          <cell r="L1508" t="str">
            <v>Si</v>
          </cell>
          <cell r="O1508" t="str">
            <v>Lic. Enfermería</v>
          </cell>
        </row>
        <row r="1509">
          <cell r="C1509" t="str">
            <v>Luretsi Planas Font</v>
          </cell>
          <cell r="E1509" t="str">
            <v>F</v>
          </cell>
          <cell r="F1509" t="str">
            <v>mestiza</v>
          </cell>
          <cell r="K1509" t="str">
            <v>Técnico Superior</v>
          </cell>
          <cell r="L1509" t="str">
            <v>No</v>
          </cell>
          <cell r="O1509" t="str">
            <v>Lic. Enfermería</v>
          </cell>
        </row>
        <row r="1510">
          <cell r="C1510" t="str">
            <v>maria de los angeles gomez lopez</v>
          </cell>
          <cell r="E1510" t="str">
            <v>F</v>
          </cell>
          <cell r="F1510" t="str">
            <v>mestiza</v>
          </cell>
          <cell r="K1510" t="str">
            <v>Técnico Superior</v>
          </cell>
          <cell r="L1510" t="str">
            <v>Si</v>
          </cell>
          <cell r="O1510" t="str">
            <v>Lic. Enfermería</v>
          </cell>
        </row>
        <row r="1511">
          <cell r="C1511" t="str">
            <v>María Elena Valenciano Sagarra</v>
          </cell>
          <cell r="E1511" t="str">
            <v>F</v>
          </cell>
          <cell r="F1511" t="str">
            <v>Mestiza</v>
          </cell>
          <cell r="K1511" t="str">
            <v>Técnico Superior</v>
          </cell>
          <cell r="L1511" t="str">
            <v>No</v>
          </cell>
          <cell r="O1511" t="str">
            <v>Lic. Enfermería</v>
          </cell>
        </row>
        <row r="1512">
          <cell r="C1512" t="str">
            <v>Maria TERESA Campos rosales</v>
          </cell>
          <cell r="E1512" t="str">
            <v>F</v>
          </cell>
          <cell r="F1512" t="str">
            <v>blanca</v>
          </cell>
          <cell r="K1512" t="str">
            <v>Técnico Superior</v>
          </cell>
          <cell r="L1512" t="str">
            <v>Si</v>
          </cell>
          <cell r="O1512" t="str">
            <v>Lic. Enfermería</v>
          </cell>
        </row>
        <row r="1513">
          <cell r="C1513" t="str">
            <v>Maribel Garcia Garlobo</v>
          </cell>
          <cell r="E1513" t="str">
            <v>F</v>
          </cell>
          <cell r="F1513" t="str">
            <v>negra</v>
          </cell>
          <cell r="K1513" t="str">
            <v>Técnico Superior</v>
          </cell>
          <cell r="L1513" t="str">
            <v>Si</v>
          </cell>
          <cell r="O1513" t="str">
            <v>Lic. Enfermería</v>
          </cell>
        </row>
        <row r="1514">
          <cell r="C1514" t="str">
            <v>Maricela Lusson Beltran</v>
          </cell>
          <cell r="E1514" t="str">
            <v>F</v>
          </cell>
          <cell r="F1514" t="str">
            <v>mestiza</v>
          </cell>
          <cell r="K1514" t="str">
            <v>Técnico Superior</v>
          </cell>
          <cell r="L1514" t="str">
            <v>Si</v>
          </cell>
          <cell r="O1514" t="str">
            <v>Lic. Enfermería</v>
          </cell>
        </row>
        <row r="1515">
          <cell r="C1515" t="str">
            <v>Mariela Mengana Ortiz</v>
          </cell>
          <cell r="E1515" t="str">
            <v>F</v>
          </cell>
          <cell r="F1515" t="str">
            <v>blanca</v>
          </cell>
          <cell r="K1515" t="str">
            <v>Técnico Superior</v>
          </cell>
          <cell r="L1515" t="str">
            <v>Si</v>
          </cell>
          <cell r="O1515" t="str">
            <v>Lic. Enfermería</v>
          </cell>
        </row>
        <row r="1516">
          <cell r="C1516" t="str">
            <v>Marisol Dominguez Bonne</v>
          </cell>
          <cell r="E1516" t="str">
            <v>F</v>
          </cell>
          <cell r="F1516" t="str">
            <v>negra</v>
          </cell>
          <cell r="K1516" t="str">
            <v>Técnico Superior</v>
          </cell>
          <cell r="L1516" t="str">
            <v>Si</v>
          </cell>
          <cell r="O1516" t="str">
            <v>Lic. Enfermería</v>
          </cell>
        </row>
        <row r="1517">
          <cell r="C1517" t="str">
            <v>MARISOL HARDY DUSAAC</v>
          </cell>
          <cell r="E1517" t="str">
            <v>F</v>
          </cell>
          <cell r="F1517" t="str">
            <v>mestiza</v>
          </cell>
          <cell r="K1517" t="str">
            <v>Técnico Superior</v>
          </cell>
          <cell r="L1517" t="str">
            <v>Si</v>
          </cell>
          <cell r="O1517" t="str">
            <v>Lic. Enfermería</v>
          </cell>
        </row>
        <row r="1518">
          <cell r="C1518" t="str">
            <v>Marisol Rivera Sotelo</v>
          </cell>
          <cell r="E1518" t="str">
            <v>F</v>
          </cell>
          <cell r="F1518" t="str">
            <v>mestiza</v>
          </cell>
          <cell r="K1518" t="str">
            <v>Técnico Superior</v>
          </cell>
          <cell r="L1518" t="str">
            <v>Si</v>
          </cell>
          <cell r="O1518" t="str">
            <v>Lic. Enfermería</v>
          </cell>
        </row>
        <row r="1519">
          <cell r="C1519" t="str">
            <v>Maritza Salazar Oliva</v>
          </cell>
          <cell r="E1519" t="str">
            <v>F</v>
          </cell>
          <cell r="F1519" t="str">
            <v>Mestiza</v>
          </cell>
          <cell r="K1519" t="str">
            <v>Técnico Superior</v>
          </cell>
          <cell r="L1519" t="str">
            <v>No</v>
          </cell>
          <cell r="O1519" t="str">
            <v>Lic. Enfermería</v>
          </cell>
        </row>
        <row r="1520">
          <cell r="C1520" t="str">
            <v>Maryanis Bahin Londres</v>
          </cell>
          <cell r="E1520" t="str">
            <v>F</v>
          </cell>
          <cell r="F1520" t="str">
            <v>mestiza</v>
          </cell>
          <cell r="K1520" t="str">
            <v>Técnico Superior</v>
          </cell>
          <cell r="L1520" t="str">
            <v>Si</v>
          </cell>
          <cell r="O1520" t="str">
            <v>Lic. Enfermería</v>
          </cell>
        </row>
        <row r="1521">
          <cell r="C1521" t="str">
            <v>Merquiada Negret Napoles</v>
          </cell>
          <cell r="E1521" t="str">
            <v>F</v>
          </cell>
          <cell r="F1521" t="str">
            <v>negra</v>
          </cell>
          <cell r="K1521" t="str">
            <v>Técnico Superior</v>
          </cell>
          <cell r="L1521" t="str">
            <v>Si</v>
          </cell>
          <cell r="O1521" t="str">
            <v>Lic. Enfermería</v>
          </cell>
        </row>
        <row r="1522">
          <cell r="C1522" t="str">
            <v>MIDEISY PINEDA DOMINGUEZ</v>
          </cell>
          <cell r="E1522" t="str">
            <v>F</v>
          </cell>
          <cell r="F1522" t="str">
            <v>negra</v>
          </cell>
          <cell r="K1522" t="str">
            <v>Técnico Superior</v>
          </cell>
          <cell r="L1522" t="str">
            <v>Si</v>
          </cell>
          <cell r="O1522" t="str">
            <v>Lic. Enfermería</v>
          </cell>
        </row>
        <row r="1523">
          <cell r="C1523" t="str">
            <v>Migdalia Lauredo Gonzales</v>
          </cell>
          <cell r="E1523" t="str">
            <v>F</v>
          </cell>
          <cell r="F1523" t="str">
            <v>mestiza</v>
          </cell>
          <cell r="K1523" t="str">
            <v>Técnico Superior</v>
          </cell>
          <cell r="L1523" t="str">
            <v>Si</v>
          </cell>
          <cell r="O1523" t="str">
            <v>Lic. Enfermería</v>
          </cell>
        </row>
        <row r="1524">
          <cell r="C1524" t="str">
            <v>Milagros palou chasse</v>
          </cell>
          <cell r="E1524" t="str">
            <v>F</v>
          </cell>
          <cell r="F1524" t="str">
            <v>negra</v>
          </cell>
          <cell r="K1524" t="str">
            <v>Técnico Superior</v>
          </cell>
          <cell r="L1524" t="str">
            <v>Si</v>
          </cell>
          <cell r="O1524" t="str">
            <v>Lic. Enfermería</v>
          </cell>
        </row>
        <row r="1525">
          <cell r="C1525" t="str">
            <v>Mindalis Perdomo Rondon</v>
          </cell>
          <cell r="E1525" t="str">
            <v>F</v>
          </cell>
          <cell r="F1525" t="str">
            <v>mestiza</v>
          </cell>
          <cell r="K1525" t="str">
            <v>Técnico Superior</v>
          </cell>
          <cell r="L1525" t="str">
            <v>Si</v>
          </cell>
          <cell r="O1525" t="str">
            <v>Lic. Enfermería</v>
          </cell>
        </row>
        <row r="1526">
          <cell r="C1526" t="str">
            <v>Mirleydis Despaigne Del RIo</v>
          </cell>
          <cell r="E1526" t="str">
            <v>F</v>
          </cell>
          <cell r="F1526" t="str">
            <v>negra</v>
          </cell>
          <cell r="K1526" t="str">
            <v>Técnico Superior</v>
          </cell>
          <cell r="L1526" t="str">
            <v>Si</v>
          </cell>
          <cell r="O1526" t="str">
            <v>Lic. Enfermería</v>
          </cell>
        </row>
        <row r="1527">
          <cell r="C1527" t="str">
            <v>Mirna Elena Ramirez  Lopez</v>
          </cell>
          <cell r="E1527" t="str">
            <v>F</v>
          </cell>
          <cell r="F1527" t="str">
            <v>negra</v>
          </cell>
          <cell r="K1527" t="str">
            <v>Técnico Superior</v>
          </cell>
          <cell r="L1527" t="str">
            <v>Si</v>
          </cell>
          <cell r="O1527" t="str">
            <v>Lic. Enfermería</v>
          </cell>
        </row>
        <row r="1528">
          <cell r="C1528" t="str">
            <v>Mirta perdomo perez</v>
          </cell>
          <cell r="E1528" t="str">
            <v>F</v>
          </cell>
          <cell r="F1528" t="str">
            <v>negra</v>
          </cell>
          <cell r="K1528" t="str">
            <v>Técnico Superior</v>
          </cell>
          <cell r="L1528" t="str">
            <v>Si</v>
          </cell>
          <cell r="O1528" t="str">
            <v>Lic. Enfermería</v>
          </cell>
        </row>
        <row r="1529">
          <cell r="C1529" t="str">
            <v>Mirtha Caridad Soler Batista</v>
          </cell>
          <cell r="E1529" t="str">
            <v>F</v>
          </cell>
          <cell r="F1529" t="str">
            <v>mestiza</v>
          </cell>
          <cell r="K1529" t="str">
            <v>Técnico Superior</v>
          </cell>
          <cell r="L1529" t="str">
            <v>Si</v>
          </cell>
          <cell r="O1529" t="str">
            <v>Lic. Enfermería</v>
          </cell>
        </row>
        <row r="1530">
          <cell r="C1530" t="str">
            <v>Nayca Mendoza Cambet</v>
          </cell>
          <cell r="E1530" t="str">
            <v>F</v>
          </cell>
          <cell r="F1530" t="str">
            <v>mestiza</v>
          </cell>
          <cell r="K1530" t="str">
            <v>Técnico Superior</v>
          </cell>
          <cell r="L1530" t="str">
            <v>Si</v>
          </cell>
          <cell r="O1530" t="str">
            <v>Lic. Enfermería</v>
          </cell>
        </row>
        <row r="1531">
          <cell r="C1531" t="str">
            <v>Neibis Almenares Sarmiento</v>
          </cell>
          <cell r="E1531" t="str">
            <v>F</v>
          </cell>
          <cell r="F1531" t="str">
            <v>blanca</v>
          </cell>
          <cell r="K1531" t="str">
            <v>Técnico Superior</v>
          </cell>
          <cell r="L1531" t="str">
            <v>Si</v>
          </cell>
          <cell r="O1531" t="str">
            <v>Lic. Enfermería</v>
          </cell>
        </row>
        <row r="1532">
          <cell r="C1532" t="str">
            <v>Nelsa Maria Rodriguez Barrientes</v>
          </cell>
          <cell r="E1532" t="str">
            <v>F</v>
          </cell>
          <cell r="F1532" t="str">
            <v>mestiza</v>
          </cell>
          <cell r="K1532" t="str">
            <v>Técnico Superior</v>
          </cell>
          <cell r="L1532" t="str">
            <v>Si</v>
          </cell>
          <cell r="O1532" t="str">
            <v>Lic. Enfermería</v>
          </cell>
        </row>
        <row r="1533">
          <cell r="C1533" t="str">
            <v>Niurbis Rigueira Londres</v>
          </cell>
          <cell r="E1533" t="str">
            <v>F</v>
          </cell>
          <cell r="F1533" t="str">
            <v>blanca</v>
          </cell>
          <cell r="K1533" t="str">
            <v>Técnico Superior</v>
          </cell>
          <cell r="L1533" t="str">
            <v>Si</v>
          </cell>
          <cell r="O1533" t="str">
            <v>Lic. Enfermería</v>
          </cell>
        </row>
        <row r="1534">
          <cell r="C1534" t="str">
            <v>Niurvis Isaac Parra</v>
          </cell>
          <cell r="E1534" t="str">
            <v>F</v>
          </cell>
          <cell r="F1534" t="str">
            <v>mestiza</v>
          </cell>
          <cell r="K1534" t="str">
            <v>Técnico Superior</v>
          </cell>
          <cell r="L1534" t="str">
            <v>Si</v>
          </cell>
          <cell r="O1534" t="str">
            <v>Lic. Enfermería</v>
          </cell>
        </row>
        <row r="1535">
          <cell r="C1535" t="str">
            <v>Norbelis Conde Izquierdo</v>
          </cell>
          <cell r="E1535" t="str">
            <v>F</v>
          </cell>
          <cell r="F1535" t="str">
            <v>mestiza</v>
          </cell>
          <cell r="K1535" t="str">
            <v>Técnico Superior</v>
          </cell>
          <cell r="L1535" t="str">
            <v>No</v>
          </cell>
          <cell r="O1535" t="str">
            <v>Lic. Enfermería</v>
          </cell>
        </row>
        <row r="1536">
          <cell r="C1536" t="str">
            <v>Norma Lescay Fernandez</v>
          </cell>
          <cell r="E1536" t="str">
            <v>F</v>
          </cell>
          <cell r="F1536" t="str">
            <v>negra</v>
          </cell>
          <cell r="K1536" t="str">
            <v>Técnico Superior</v>
          </cell>
          <cell r="L1536" t="str">
            <v>Si</v>
          </cell>
          <cell r="O1536" t="str">
            <v>Lic. Enfermería</v>
          </cell>
        </row>
        <row r="1537">
          <cell r="C1537" t="str">
            <v>Odalis Fuentes Ortis</v>
          </cell>
          <cell r="E1537" t="str">
            <v>F</v>
          </cell>
          <cell r="F1537" t="str">
            <v>mestiza</v>
          </cell>
          <cell r="K1537" t="str">
            <v>Técnico Superior</v>
          </cell>
          <cell r="L1537" t="str">
            <v>Si</v>
          </cell>
          <cell r="O1537" t="str">
            <v>Lic. Enfermería</v>
          </cell>
        </row>
        <row r="1538">
          <cell r="C1538" t="str">
            <v>Odalis Perez Carbonel</v>
          </cell>
          <cell r="E1538" t="str">
            <v>F</v>
          </cell>
          <cell r="F1538" t="str">
            <v>mestiza</v>
          </cell>
          <cell r="K1538" t="str">
            <v>Técnico Superior</v>
          </cell>
          <cell r="L1538" t="str">
            <v>Si</v>
          </cell>
          <cell r="O1538" t="str">
            <v>Lic. Enfermería</v>
          </cell>
        </row>
        <row r="1539">
          <cell r="C1539" t="str">
            <v>Olaidis Tissert Coss</v>
          </cell>
          <cell r="E1539" t="str">
            <v>F</v>
          </cell>
          <cell r="F1539" t="str">
            <v>negra</v>
          </cell>
          <cell r="K1539" t="str">
            <v>Técnico Superior</v>
          </cell>
          <cell r="L1539" t="str">
            <v>Si</v>
          </cell>
          <cell r="O1539" t="str">
            <v>Lic. Enfermería</v>
          </cell>
        </row>
        <row r="1540">
          <cell r="C1540" t="str">
            <v>Olga Veranes Oliva</v>
          </cell>
          <cell r="E1540" t="str">
            <v>F</v>
          </cell>
          <cell r="F1540" t="str">
            <v>mestiza</v>
          </cell>
          <cell r="K1540" t="str">
            <v>Técnico Superior</v>
          </cell>
          <cell r="L1540" t="str">
            <v>Si</v>
          </cell>
          <cell r="O1540" t="str">
            <v>Lic. Enfermería</v>
          </cell>
        </row>
        <row r="1541">
          <cell r="C1541" t="str">
            <v>Olivia Santana Izquierdo</v>
          </cell>
          <cell r="E1541" t="str">
            <v>F</v>
          </cell>
          <cell r="F1541" t="str">
            <v>blanca</v>
          </cell>
          <cell r="K1541" t="str">
            <v>Técnico Superior</v>
          </cell>
          <cell r="L1541" t="str">
            <v>Si</v>
          </cell>
          <cell r="O1541" t="str">
            <v>Lic. Enfermería</v>
          </cell>
        </row>
        <row r="1542">
          <cell r="C1542" t="str">
            <v>orbis coss Parlay</v>
          </cell>
          <cell r="E1542" t="str">
            <v>F</v>
          </cell>
          <cell r="F1542" t="str">
            <v>negra</v>
          </cell>
          <cell r="K1542" t="str">
            <v>Técnico Superior</v>
          </cell>
          <cell r="L1542" t="str">
            <v>Si</v>
          </cell>
          <cell r="O1542" t="str">
            <v>Lic. Enfermería</v>
          </cell>
        </row>
        <row r="1543">
          <cell r="C1543" t="str">
            <v>pastora Garcia Salas</v>
          </cell>
          <cell r="E1543" t="str">
            <v>F</v>
          </cell>
          <cell r="F1543" t="str">
            <v>mestiza</v>
          </cell>
          <cell r="K1543" t="str">
            <v>Técnico Superior</v>
          </cell>
          <cell r="L1543" t="str">
            <v>Si</v>
          </cell>
          <cell r="O1543" t="str">
            <v>Lic. Enfermería</v>
          </cell>
        </row>
        <row r="1544">
          <cell r="C1544" t="str">
            <v>Pura Sanchez Rivera</v>
          </cell>
          <cell r="E1544" t="str">
            <v>F</v>
          </cell>
          <cell r="F1544" t="str">
            <v>negra</v>
          </cell>
          <cell r="K1544" t="str">
            <v>Técnico Superior</v>
          </cell>
          <cell r="L1544" t="str">
            <v>Si</v>
          </cell>
          <cell r="O1544" t="str">
            <v>Lic. Enfermería</v>
          </cell>
        </row>
        <row r="1545">
          <cell r="C1545" t="str">
            <v>Raimaris Mora Napoles</v>
          </cell>
          <cell r="E1545" t="str">
            <v>F</v>
          </cell>
          <cell r="F1545" t="str">
            <v>mestiza</v>
          </cell>
          <cell r="K1545" t="str">
            <v>Técnico Superior</v>
          </cell>
          <cell r="L1545" t="str">
            <v>No</v>
          </cell>
          <cell r="O1545" t="str">
            <v>Lic. Enfermería</v>
          </cell>
        </row>
        <row r="1546">
          <cell r="C1546" t="str">
            <v>Raiza Mustelier Guerra</v>
          </cell>
          <cell r="E1546" t="str">
            <v>F</v>
          </cell>
          <cell r="F1546" t="str">
            <v>mestiza</v>
          </cell>
          <cell r="K1546" t="str">
            <v>Técnico Superior</v>
          </cell>
          <cell r="L1546" t="str">
            <v>Si</v>
          </cell>
          <cell r="O1546" t="str">
            <v>Lic. Enfermería</v>
          </cell>
        </row>
        <row r="1547">
          <cell r="C1547" t="str">
            <v>Rosa Elvira Lora Villalón</v>
          </cell>
          <cell r="E1547" t="str">
            <v>F</v>
          </cell>
          <cell r="F1547" t="str">
            <v>negra</v>
          </cell>
          <cell r="K1547" t="str">
            <v>Técnico Superior</v>
          </cell>
          <cell r="L1547" t="str">
            <v>Si</v>
          </cell>
          <cell r="O1547" t="str">
            <v>Lic. Enfermería</v>
          </cell>
        </row>
        <row r="1548">
          <cell r="C1548" t="str">
            <v>Rosa Margarita Horrutinier Fuentes</v>
          </cell>
          <cell r="E1548" t="str">
            <v>F</v>
          </cell>
          <cell r="F1548" t="str">
            <v>mestiza</v>
          </cell>
          <cell r="K1548" t="str">
            <v>Técnico Superior</v>
          </cell>
          <cell r="L1548" t="str">
            <v>Si</v>
          </cell>
          <cell r="O1548" t="str">
            <v>Lic. Enfermería</v>
          </cell>
        </row>
        <row r="1549">
          <cell r="C1549" t="str">
            <v>ROSAIDIS RONDON VAILLANT</v>
          </cell>
          <cell r="E1549" t="str">
            <v>F</v>
          </cell>
          <cell r="F1549" t="str">
            <v>mestiza</v>
          </cell>
          <cell r="K1549" t="str">
            <v>Técnico Superior</v>
          </cell>
          <cell r="L1549" t="str">
            <v>Si</v>
          </cell>
          <cell r="O1549" t="str">
            <v>Lic. Enfermería</v>
          </cell>
        </row>
        <row r="1550">
          <cell r="C1550" t="str">
            <v>Roxana Almenarez Orozco</v>
          </cell>
          <cell r="E1550" t="str">
            <v>F</v>
          </cell>
          <cell r="F1550" t="str">
            <v>mestiza</v>
          </cell>
          <cell r="K1550" t="str">
            <v>Técnico Superior</v>
          </cell>
          <cell r="L1550" t="str">
            <v>No</v>
          </cell>
          <cell r="O1550" t="str">
            <v>Lic. Enfermería</v>
          </cell>
        </row>
        <row r="1551">
          <cell r="C1551" t="str">
            <v>Ruby Muños Medina</v>
          </cell>
          <cell r="E1551" t="str">
            <v>F</v>
          </cell>
          <cell r="F1551" t="str">
            <v>mestiza</v>
          </cell>
          <cell r="K1551" t="str">
            <v>Técnico Superior</v>
          </cell>
          <cell r="L1551" t="str">
            <v>Si</v>
          </cell>
          <cell r="O1551" t="str">
            <v>Lic. Enfermería</v>
          </cell>
        </row>
        <row r="1552">
          <cell r="C1552" t="str">
            <v>Sara Perez Soler</v>
          </cell>
          <cell r="E1552" t="str">
            <v>F</v>
          </cell>
          <cell r="F1552" t="str">
            <v>negra</v>
          </cell>
          <cell r="K1552" t="str">
            <v>Técnico Superior</v>
          </cell>
          <cell r="L1552" t="str">
            <v>Si</v>
          </cell>
          <cell r="O1552" t="str">
            <v>Lic. Enfermería</v>
          </cell>
        </row>
        <row r="1553">
          <cell r="C1553" t="str">
            <v>Seriocha Perez De Teran Garcia</v>
          </cell>
          <cell r="E1553" t="str">
            <v>F</v>
          </cell>
          <cell r="F1553" t="str">
            <v>blanca</v>
          </cell>
          <cell r="K1553" t="str">
            <v>Técnico Superior</v>
          </cell>
          <cell r="L1553" t="str">
            <v>Si</v>
          </cell>
          <cell r="O1553" t="str">
            <v>Lic. Enfermería</v>
          </cell>
        </row>
        <row r="1554">
          <cell r="C1554" t="str">
            <v>Sobeida Morell Chasse</v>
          </cell>
          <cell r="E1554" t="str">
            <v>F</v>
          </cell>
          <cell r="F1554" t="str">
            <v>negra</v>
          </cell>
          <cell r="K1554" t="str">
            <v>Técnico Superior</v>
          </cell>
          <cell r="L1554" t="str">
            <v>Si</v>
          </cell>
          <cell r="O1554" t="str">
            <v>Lic. Enfermería</v>
          </cell>
        </row>
        <row r="1555">
          <cell r="C1555" t="str">
            <v>Sudian Zapata Suarez</v>
          </cell>
          <cell r="E1555" t="str">
            <v>F</v>
          </cell>
          <cell r="F1555" t="str">
            <v>mestiza</v>
          </cell>
          <cell r="K1555" t="str">
            <v>Técnico Superior</v>
          </cell>
          <cell r="L1555" t="str">
            <v>Si</v>
          </cell>
          <cell r="O1555" t="str">
            <v>Lic. Enfermería</v>
          </cell>
        </row>
        <row r="1556">
          <cell r="C1556" t="str">
            <v>Tania Guevara Figueredo</v>
          </cell>
          <cell r="E1556" t="str">
            <v>F</v>
          </cell>
          <cell r="F1556" t="str">
            <v>blanca</v>
          </cell>
          <cell r="K1556" t="str">
            <v>Técnico Superior</v>
          </cell>
          <cell r="L1556" t="str">
            <v>Si</v>
          </cell>
          <cell r="O1556" t="str">
            <v>Lic. Enfermería</v>
          </cell>
        </row>
        <row r="1557">
          <cell r="C1557" t="str">
            <v>Vismania Roman Carbonell</v>
          </cell>
          <cell r="E1557" t="str">
            <v>F</v>
          </cell>
          <cell r="F1557" t="str">
            <v>mestiza</v>
          </cell>
          <cell r="K1557" t="str">
            <v>Técnico Superior</v>
          </cell>
          <cell r="L1557" t="str">
            <v>No</v>
          </cell>
          <cell r="O1557" t="str">
            <v>Lic. Enfermería</v>
          </cell>
        </row>
        <row r="1558">
          <cell r="C1558" t="str">
            <v>Yaineris Turcas Carrión</v>
          </cell>
          <cell r="E1558" t="str">
            <v>F</v>
          </cell>
          <cell r="F1558" t="str">
            <v>Negra</v>
          </cell>
          <cell r="K1558" t="str">
            <v>Técnico Superior</v>
          </cell>
          <cell r="L1558" t="str">
            <v>No</v>
          </cell>
          <cell r="O1558" t="str">
            <v>Lic. Enfermería</v>
          </cell>
        </row>
        <row r="1559">
          <cell r="C1559" t="str">
            <v>Yamileidy Aguero Olivares</v>
          </cell>
          <cell r="E1559" t="str">
            <v>F</v>
          </cell>
          <cell r="F1559" t="str">
            <v>negra</v>
          </cell>
          <cell r="K1559" t="str">
            <v>Técnico Superior</v>
          </cell>
          <cell r="L1559" t="str">
            <v>Si</v>
          </cell>
          <cell r="O1559" t="str">
            <v>Lic. Enfermería</v>
          </cell>
        </row>
        <row r="1560">
          <cell r="C1560" t="str">
            <v>Yaneisy Debrot Mayet</v>
          </cell>
          <cell r="E1560" t="str">
            <v>F</v>
          </cell>
          <cell r="F1560" t="str">
            <v>negra</v>
          </cell>
          <cell r="K1560" t="str">
            <v>Técnico Superior</v>
          </cell>
          <cell r="L1560" t="str">
            <v>Si</v>
          </cell>
          <cell r="O1560" t="str">
            <v>Lic. Enfermería</v>
          </cell>
        </row>
        <row r="1561">
          <cell r="C1561" t="str">
            <v>Yaneisy Moya Reguifero</v>
          </cell>
          <cell r="E1561" t="str">
            <v>F</v>
          </cell>
          <cell r="F1561" t="str">
            <v>Negra</v>
          </cell>
          <cell r="K1561" t="str">
            <v>Técnico Superior</v>
          </cell>
          <cell r="L1561" t="str">
            <v>No</v>
          </cell>
          <cell r="O1561" t="str">
            <v>Lic. Enfermería</v>
          </cell>
        </row>
        <row r="1562">
          <cell r="C1562" t="str">
            <v>YAnelis Ramirez Arroyo</v>
          </cell>
          <cell r="E1562" t="str">
            <v>F</v>
          </cell>
          <cell r="F1562" t="str">
            <v>mestiza</v>
          </cell>
          <cell r="K1562" t="str">
            <v>Técnico Superior</v>
          </cell>
          <cell r="L1562" t="str">
            <v>Si</v>
          </cell>
          <cell r="O1562" t="str">
            <v>Lic. Enfermería</v>
          </cell>
        </row>
        <row r="1563">
          <cell r="C1563" t="str">
            <v>Yanelis Tamayo Bravo</v>
          </cell>
          <cell r="E1563" t="str">
            <v>F</v>
          </cell>
          <cell r="F1563" t="str">
            <v>mestiza</v>
          </cell>
          <cell r="K1563" t="str">
            <v>Técnico Superior</v>
          </cell>
          <cell r="L1563" t="str">
            <v>Si</v>
          </cell>
          <cell r="O1563" t="str">
            <v>Lic. Enfermería</v>
          </cell>
        </row>
        <row r="1564">
          <cell r="C1564" t="str">
            <v>Yanet Romero Deltran</v>
          </cell>
          <cell r="E1564" t="str">
            <v>F</v>
          </cell>
          <cell r="F1564" t="str">
            <v>mestiza</v>
          </cell>
          <cell r="K1564" t="str">
            <v>Técnico Superior</v>
          </cell>
          <cell r="L1564" t="str">
            <v>Si</v>
          </cell>
          <cell r="O1564" t="str">
            <v>Lic. Enfermería</v>
          </cell>
        </row>
        <row r="1565">
          <cell r="C1565" t="str">
            <v>Yaniela Alvarez Oconor</v>
          </cell>
          <cell r="E1565" t="str">
            <v>F</v>
          </cell>
          <cell r="F1565" t="str">
            <v>Mestiza</v>
          </cell>
          <cell r="K1565" t="str">
            <v>Técnico Superior</v>
          </cell>
          <cell r="L1565" t="str">
            <v>No</v>
          </cell>
          <cell r="O1565" t="str">
            <v>Lic. Enfermería</v>
          </cell>
        </row>
        <row r="1566">
          <cell r="C1566" t="str">
            <v>Yanisleidys Bou Revés</v>
          </cell>
          <cell r="E1566" t="str">
            <v>F</v>
          </cell>
          <cell r="F1566" t="str">
            <v>mestiza</v>
          </cell>
          <cell r="K1566" t="str">
            <v>Técnico Superior</v>
          </cell>
          <cell r="L1566" t="str">
            <v>No</v>
          </cell>
          <cell r="O1566" t="str">
            <v>Lic. Enfermería</v>
          </cell>
        </row>
        <row r="1567">
          <cell r="C1567" t="str">
            <v>Yarisbel Galbes Coello</v>
          </cell>
          <cell r="E1567" t="str">
            <v>F</v>
          </cell>
          <cell r="F1567" t="str">
            <v>blanca</v>
          </cell>
          <cell r="K1567" t="str">
            <v>Técnico Superior</v>
          </cell>
          <cell r="L1567" t="str">
            <v>Si</v>
          </cell>
          <cell r="O1567" t="str">
            <v>Lic. Enfermería</v>
          </cell>
        </row>
        <row r="1568">
          <cell r="C1568" t="str">
            <v>Yaselis Spech Ramirez</v>
          </cell>
          <cell r="E1568" t="str">
            <v>F</v>
          </cell>
          <cell r="F1568" t="str">
            <v>mestiza</v>
          </cell>
          <cell r="K1568" t="str">
            <v>Técnico Superior</v>
          </cell>
          <cell r="L1568" t="str">
            <v>Si</v>
          </cell>
          <cell r="O1568" t="str">
            <v>Lic. Enfermería</v>
          </cell>
        </row>
        <row r="1569">
          <cell r="C1569" t="str">
            <v>YOANA VALDEZ CARBONELL</v>
          </cell>
          <cell r="E1569" t="str">
            <v>F</v>
          </cell>
          <cell r="F1569" t="str">
            <v>mestiza</v>
          </cell>
          <cell r="K1569" t="str">
            <v>Técnico Superior</v>
          </cell>
          <cell r="L1569" t="str">
            <v>Si</v>
          </cell>
          <cell r="O1569" t="str">
            <v>Lic. Enfermería</v>
          </cell>
        </row>
        <row r="1570">
          <cell r="C1570" t="str">
            <v>Yoleidis Oduardo Same</v>
          </cell>
          <cell r="E1570" t="str">
            <v>F</v>
          </cell>
          <cell r="F1570" t="str">
            <v>mestiza</v>
          </cell>
          <cell r="K1570" t="str">
            <v>Cuadro</v>
          </cell>
          <cell r="L1570" t="str">
            <v>Si</v>
          </cell>
          <cell r="O1570" t="str">
            <v>Lic. Enfermería</v>
          </cell>
        </row>
        <row r="1571">
          <cell r="C1571" t="str">
            <v>YOLEYSI ODUARDO SAME</v>
          </cell>
          <cell r="E1571" t="str">
            <v>F</v>
          </cell>
          <cell r="F1571" t="str">
            <v>negra</v>
          </cell>
          <cell r="K1571" t="str">
            <v>Técnico Superior</v>
          </cell>
          <cell r="L1571" t="str">
            <v>Si</v>
          </cell>
          <cell r="O1571" t="str">
            <v>Lic. Enfermería</v>
          </cell>
        </row>
        <row r="1572">
          <cell r="C1572" t="str">
            <v>Yudaisy Barroso Rey</v>
          </cell>
          <cell r="E1572" t="str">
            <v>F</v>
          </cell>
          <cell r="F1572" t="str">
            <v>negra</v>
          </cell>
          <cell r="K1572" t="str">
            <v>Técnico Superior</v>
          </cell>
          <cell r="L1572" t="str">
            <v>Si</v>
          </cell>
          <cell r="O1572" t="str">
            <v>Lic. Enfermería</v>
          </cell>
        </row>
        <row r="1573">
          <cell r="C1573" t="str">
            <v>Yudania Castillo Veranes</v>
          </cell>
          <cell r="E1573" t="str">
            <v>F</v>
          </cell>
          <cell r="F1573" t="str">
            <v>mestiza</v>
          </cell>
          <cell r="K1573" t="str">
            <v>Técnico Superior</v>
          </cell>
          <cell r="L1573" t="str">
            <v>No</v>
          </cell>
          <cell r="O1573" t="str">
            <v>Lic. Enfermería</v>
          </cell>
        </row>
        <row r="1574">
          <cell r="C1574" t="str">
            <v>Yudelka Leon Santana</v>
          </cell>
          <cell r="E1574" t="str">
            <v>F</v>
          </cell>
          <cell r="F1574" t="str">
            <v>mestiza</v>
          </cell>
          <cell r="K1574" t="str">
            <v>Técnico Superior</v>
          </cell>
          <cell r="L1574" t="str">
            <v>Si</v>
          </cell>
          <cell r="O1574" t="str">
            <v>Lic. Enfermería</v>
          </cell>
        </row>
        <row r="1575">
          <cell r="C1575" t="str">
            <v>Yudenia Céspedez Padilla</v>
          </cell>
          <cell r="E1575" t="str">
            <v>F</v>
          </cell>
          <cell r="F1575" t="str">
            <v>mestiza</v>
          </cell>
          <cell r="K1575" t="str">
            <v>Técnico Superior</v>
          </cell>
          <cell r="L1575" t="str">
            <v>No</v>
          </cell>
          <cell r="O1575" t="str">
            <v>Lic. Enfermería</v>
          </cell>
        </row>
        <row r="1576">
          <cell r="C1576" t="str">
            <v>Yudermis Arce Soto</v>
          </cell>
          <cell r="E1576" t="str">
            <v>F</v>
          </cell>
          <cell r="F1576" t="str">
            <v>mestiza</v>
          </cell>
          <cell r="K1576" t="str">
            <v>Técnico Superior</v>
          </cell>
          <cell r="L1576" t="str">
            <v>Si</v>
          </cell>
          <cell r="O1576" t="str">
            <v>Lic. Enfermería</v>
          </cell>
        </row>
        <row r="1577">
          <cell r="C1577" t="str">
            <v>YULLANIS BATISTA PORTALES</v>
          </cell>
          <cell r="E1577" t="str">
            <v>F</v>
          </cell>
          <cell r="F1577" t="str">
            <v>mestiza</v>
          </cell>
          <cell r="K1577" t="str">
            <v>Técnico Superior</v>
          </cell>
          <cell r="L1577" t="str">
            <v>Si</v>
          </cell>
          <cell r="O1577" t="str">
            <v>Lic. Enfermería</v>
          </cell>
        </row>
        <row r="1578">
          <cell r="C1578" t="str">
            <v>Yuritza Medina Tissert</v>
          </cell>
          <cell r="E1578" t="str">
            <v>F</v>
          </cell>
          <cell r="F1578" t="str">
            <v>mestiza</v>
          </cell>
          <cell r="K1578" t="str">
            <v>Técnico Superior</v>
          </cell>
          <cell r="L1578" t="str">
            <v>Si</v>
          </cell>
          <cell r="O1578" t="str">
            <v>Lic. Enfermería</v>
          </cell>
        </row>
        <row r="1579">
          <cell r="C1579" t="str">
            <v>Zenia Powell Medina</v>
          </cell>
          <cell r="E1579" t="str">
            <v>F</v>
          </cell>
          <cell r="F1579" t="str">
            <v>mestiza</v>
          </cell>
          <cell r="K1579" t="str">
            <v>Técnico Superior</v>
          </cell>
          <cell r="L1579" t="str">
            <v>Si</v>
          </cell>
          <cell r="O1579" t="str">
            <v>Lic. Enfermería</v>
          </cell>
        </row>
        <row r="1580">
          <cell r="C1580" t="str">
            <v>adela perez rodriguez</v>
          </cell>
          <cell r="E1580" t="str">
            <v>F</v>
          </cell>
          <cell r="F1580" t="str">
            <v>blanca</v>
          </cell>
          <cell r="K1580" t="str">
            <v>Técnico Superior</v>
          </cell>
          <cell r="L1580" t="str">
            <v>Si</v>
          </cell>
          <cell r="O1580" t="str">
            <v>Médico</v>
          </cell>
        </row>
        <row r="1581">
          <cell r="C1581" t="str">
            <v>Adielis Sanchez Jardinez</v>
          </cell>
          <cell r="E1581" t="str">
            <v>F</v>
          </cell>
          <cell r="F1581" t="str">
            <v>mestiza</v>
          </cell>
          <cell r="K1581" t="str">
            <v>Técnico Superior</v>
          </cell>
          <cell r="L1581" t="str">
            <v>Si</v>
          </cell>
          <cell r="O1581" t="str">
            <v>Médico</v>
          </cell>
        </row>
        <row r="1582">
          <cell r="C1582" t="str">
            <v>Adilia Mejias Estalella</v>
          </cell>
          <cell r="E1582" t="str">
            <v>F</v>
          </cell>
          <cell r="F1582" t="str">
            <v>mestiza</v>
          </cell>
          <cell r="K1582" t="str">
            <v>Técnico Superior</v>
          </cell>
          <cell r="L1582" t="str">
            <v>No</v>
          </cell>
          <cell r="O1582" t="str">
            <v>Médico</v>
          </cell>
        </row>
        <row r="1583">
          <cell r="C1583" t="str">
            <v>Adis Vega Molina</v>
          </cell>
          <cell r="E1583" t="str">
            <v>F</v>
          </cell>
          <cell r="F1583" t="str">
            <v>blanca</v>
          </cell>
          <cell r="K1583" t="str">
            <v>Técnico Superior</v>
          </cell>
          <cell r="L1583" t="str">
            <v>Si</v>
          </cell>
          <cell r="O1583" t="str">
            <v>Médico</v>
          </cell>
        </row>
        <row r="1584">
          <cell r="C1584" t="str">
            <v>Adrian Duribe Cardona</v>
          </cell>
          <cell r="E1584" t="str">
            <v>M</v>
          </cell>
          <cell r="F1584" t="str">
            <v>mestiza</v>
          </cell>
          <cell r="K1584" t="str">
            <v>Técnico Superior</v>
          </cell>
          <cell r="L1584" t="str">
            <v>Si</v>
          </cell>
          <cell r="O1584" t="str">
            <v>Médico</v>
          </cell>
        </row>
        <row r="1585">
          <cell r="C1585" t="str">
            <v>Adrian Sesé Vinent</v>
          </cell>
          <cell r="E1585" t="str">
            <v>M</v>
          </cell>
          <cell r="F1585" t="str">
            <v>negra</v>
          </cell>
          <cell r="K1585" t="str">
            <v>Técnico Superior</v>
          </cell>
          <cell r="L1585" t="str">
            <v>Si</v>
          </cell>
          <cell r="O1585" t="str">
            <v>Médico</v>
          </cell>
        </row>
        <row r="1586">
          <cell r="C1586" t="str">
            <v>Adrian Yeneri Fernández</v>
          </cell>
          <cell r="E1586" t="str">
            <v>M</v>
          </cell>
          <cell r="F1586" t="str">
            <v>blanca</v>
          </cell>
          <cell r="K1586" t="str">
            <v>Técnico Superior</v>
          </cell>
          <cell r="L1586" t="str">
            <v>Si</v>
          </cell>
          <cell r="O1586" t="str">
            <v>Médico</v>
          </cell>
        </row>
        <row r="1587">
          <cell r="C1587" t="str">
            <v>Adriana Karina Jackson cala</v>
          </cell>
          <cell r="E1587" t="str">
            <v>F</v>
          </cell>
          <cell r="F1587" t="str">
            <v>mestiza</v>
          </cell>
          <cell r="K1587" t="str">
            <v>Técnico Superior</v>
          </cell>
          <cell r="L1587" t="str">
            <v>Si</v>
          </cell>
          <cell r="O1587" t="str">
            <v>Médico</v>
          </cell>
        </row>
        <row r="1588">
          <cell r="C1588" t="str">
            <v>Adriana Serrano Isaac</v>
          </cell>
          <cell r="E1588" t="str">
            <v>F</v>
          </cell>
          <cell r="F1588" t="str">
            <v>negra</v>
          </cell>
          <cell r="K1588" t="str">
            <v>Técnico Superior</v>
          </cell>
          <cell r="L1588" t="str">
            <v>Si</v>
          </cell>
          <cell r="O1588" t="str">
            <v>Médico</v>
          </cell>
        </row>
        <row r="1589">
          <cell r="C1589" t="str">
            <v>Aimeé Colás Pouyou</v>
          </cell>
          <cell r="E1589" t="str">
            <v>F</v>
          </cell>
          <cell r="F1589" t="str">
            <v>mestiza</v>
          </cell>
          <cell r="K1589" t="str">
            <v>Técnico Superior</v>
          </cell>
          <cell r="L1589" t="str">
            <v>Si</v>
          </cell>
          <cell r="O1589" t="str">
            <v>Médico</v>
          </cell>
        </row>
        <row r="1590">
          <cell r="C1590" t="str">
            <v>Aislen Ramos Martinez</v>
          </cell>
          <cell r="E1590" t="str">
            <v>F</v>
          </cell>
          <cell r="F1590" t="str">
            <v>mestiza</v>
          </cell>
          <cell r="K1590" t="str">
            <v>Técnico Superior</v>
          </cell>
          <cell r="L1590" t="str">
            <v>Si</v>
          </cell>
          <cell r="O1590" t="str">
            <v>Médico</v>
          </cell>
        </row>
        <row r="1591">
          <cell r="C1591" t="str">
            <v>Alberto Noblet Martinez</v>
          </cell>
          <cell r="E1591" t="str">
            <v>M</v>
          </cell>
          <cell r="F1591" t="str">
            <v>negra</v>
          </cell>
          <cell r="K1591" t="str">
            <v>Técnico Superior</v>
          </cell>
          <cell r="L1591" t="str">
            <v>Si</v>
          </cell>
          <cell r="O1591" t="str">
            <v>Médico</v>
          </cell>
        </row>
        <row r="1592">
          <cell r="C1592" t="str">
            <v>Alejandro Herrera Rodríguez</v>
          </cell>
          <cell r="E1592" t="str">
            <v>M</v>
          </cell>
          <cell r="F1592" t="str">
            <v>mestiza</v>
          </cell>
          <cell r="K1592" t="str">
            <v>Técnico Superior</v>
          </cell>
          <cell r="L1592" t="str">
            <v>Si</v>
          </cell>
          <cell r="O1592" t="str">
            <v>Médico</v>
          </cell>
        </row>
        <row r="1593">
          <cell r="C1593" t="str">
            <v>Alianna Almeida Vera</v>
          </cell>
          <cell r="E1593" t="str">
            <v>F</v>
          </cell>
          <cell r="F1593" t="str">
            <v>mestiza</v>
          </cell>
          <cell r="K1593" t="str">
            <v>Técnico Superior</v>
          </cell>
          <cell r="L1593" t="str">
            <v>Si</v>
          </cell>
          <cell r="O1593" t="str">
            <v>Médico</v>
          </cell>
        </row>
        <row r="1594">
          <cell r="C1594" t="str">
            <v>Ana Virgen Oliva Carbonel</v>
          </cell>
          <cell r="E1594" t="str">
            <v>F</v>
          </cell>
          <cell r="F1594" t="str">
            <v>mestiza</v>
          </cell>
          <cell r="K1594" t="str">
            <v>Técnico Superior</v>
          </cell>
          <cell r="L1594" t="str">
            <v>Si</v>
          </cell>
          <cell r="O1594" t="str">
            <v>Médico</v>
          </cell>
        </row>
        <row r="1595">
          <cell r="C1595" t="str">
            <v>Anais Rodriguez Mora</v>
          </cell>
          <cell r="E1595" t="str">
            <v>F</v>
          </cell>
          <cell r="F1595" t="str">
            <v>mestiza</v>
          </cell>
          <cell r="K1595" t="str">
            <v>Técnico Superior</v>
          </cell>
          <cell r="L1595" t="str">
            <v>Si</v>
          </cell>
          <cell r="O1595" t="str">
            <v>Médico</v>
          </cell>
        </row>
        <row r="1596">
          <cell r="C1596" t="str">
            <v>Aney Castro León</v>
          </cell>
          <cell r="E1596" t="str">
            <v>F</v>
          </cell>
          <cell r="F1596" t="str">
            <v>mestiza</v>
          </cell>
          <cell r="K1596" t="str">
            <v>Técnico Superior</v>
          </cell>
          <cell r="L1596" t="str">
            <v>Si</v>
          </cell>
          <cell r="O1596" t="str">
            <v>Médico</v>
          </cell>
        </row>
        <row r="1597">
          <cell r="C1597" t="str">
            <v>Angel Axel Baños Mustelier</v>
          </cell>
          <cell r="E1597" t="str">
            <v>M</v>
          </cell>
          <cell r="F1597" t="str">
            <v>mestiza</v>
          </cell>
          <cell r="K1597" t="str">
            <v>Técnico Superior</v>
          </cell>
          <cell r="L1597" t="str">
            <v>Si</v>
          </cell>
          <cell r="O1597" t="str">
            <v>Médico</v>
          </cell>
        </row>
        <row r="1598">
          <cell r="C1598" t="str">
            <v>Annia Herrera Acosta</v>
          </cell>
          <cell r="E1598" t="str">
            <v>F</v>
          </cell>
          <cell r="F1598" t="str">
            <v>negra</v>
          </cell>
          <cell r="K1598" t="str">
            <v>Técnico Superior</v>
          </cell>
          <cell r="L1598" t="str">
            <v>Si</v>
          </cell>
          <cell r="O1598" t="str">
            <v>Médico</v>
          </cell>
        </row>
        <row r="1599">
          <cell r="C1599" t="str">
            <v>Araelsi Leyva Semanat</v>
          </cell>
          <cell r="E1599" t="str">
            <v>F</v>
          </cell>
          <cell r="F1599" t="str">
            <v>mestiza</v>
          </cell>
          <cell r="K1599" t="str">
            <v>Técnico Superior</v>
          </cell>
          <cell r="L1599" t="str">
            <v>Si</v>
          </cell>
          <cell r="O1599" t="str">
            <v>Médico</v>
          </cell>
        </row>
        <row r="1600">
          <cell r="C1600" t="str">
            <v>Arelis Massó Orosco</v>
          </cell>
          <cell r="E1600" t="str">
            <v>F</v>
          </cell>
          <cell r="F1600" t="str">
            <v>negra</v>
          </cell>
          <cell r="K1600" t="str">
            <v>Técnico Superior</v>
          </cell>
          <cell r="L1600" t="str">
            <v>Si</v>
          </cell>
          <cell r="O1600" t="str">
            <v>Médico</v>
          </cell>
        </row>
        <row r="1601">
          <cell r="C1601" t="str">
            <v>Arianna Beyries Yenery</v>
          </cell>
          <cell r="E1601" t="str">
            <v>F</v>
          </cell>
          <cell r="F1601" t="str">
            <v>mestiza</v>
          </cell>
          <cell r="K1601" t="str">
            <v>Técnico Superior</v>
          </cell>
          <cell r="L1601" t="str">
            <v>Si</v>
          </cell>
          <cell r="O1601" t="str">
            <v>Médico</v>
          </cell>
        </row>
        <row r="1602">
          <cell r="C1602" t="str">
            <v>Arlen Baños Lopez</v>
          </cell>
          <cell r="E1602" t="str">
            <v>F</v>
          </cell>
          <cell r="F1602" t="str">
            <v>blanca</v>
          </cell>
          <cell r="K1602" t="str">
            <v>Técnico Superior</v>
          </cell>
          <cell r="L1602" t="str">
            <v>Si</v>
          </cell>
          <cell r="O1602" t="str">
            <v>Médico</v>
          </cell>
        </row>
        <row r="1603">
          <cell r="C1603" t="str">
            <v>Arlenis Chapman Delisle</v>
          </cell>
          <cell r="E1603" t="str">
            <v>F</v>
          </cell>
          <cell r="F1603" t="str">
            <v>mestiza</v>
          </cell>
          <cell r="K1603" t="str">
            <v>Técnico Superior</v>
          </cell>
          <cell r="L1603" t="str">
            <v>Si</v>
          </cell>
          <cell r="O1603" t="str">
            <v>Médico</v>
          </cell>
        </row>
        <row r="1604">
          <cell r="C1604" t="str">
            <v>Arlenis Gracial Hernández</v>
          </cell>
          <cell r="E1604" t="str">
            <v>F</v>
          </cell>
          <cell r="F1604" t="str">
            <v>mestiza</v>
          </cell>
          <cell r="K1604" t="str">
            <v>Técnico Superior</v>
          </cell>
          <cell r="L1604" t="str">
            <v>Si</v>
          </cell>
          <cell r="O1604" t="str">
            <v>Médico</v>
          </cell>
        </row>
        <row r="1605">
          <cell r="C1605" t="str">
            <v>Arlet La O Garcia</v>
          </cell>
          <cell r="E1605" t="str">
            <v>F</v>
          </cell>
          <cell r="F1605" t="str">
            <v>blanca</v>
          </cell>
          <cell r="K1605" t="str">
            <v>Técnico Superior</v>
          </cell>
          <cell r="L1605" t="str">
            <v>Si</v>
          </cell>
          <cell r="O1605" t="str">
            <v>Médico</v>
          </cell>
        </row>
        <row r="1606">
          <cell r="C1606" t="str">
            <v>Arletis Rodriguez Luna</v>
          </cell>
          <cell r="E1606" t="str">
            <v>F</v>
          </cell>
          <cell r="F1606" t="str">
            <v>mestiza</v>
          </cell>
          <cell r="K1606" t="str">
            <v>Técnico Superior</v>
          </cell>
          <cell r="L1606" t="str">
            <v>Si</v>
          </cell>
          <cell r="O1606" t="str">
            <v>Médico</v>
          </cell>
        </row>
        <row r="1607">
          <cell r="C1607" t="str">
            <v>Arlety Ibart Rizo</v>
          </cell>
          <cell r="E1607" t="str">
            <v>F</v>
          </cell>
          <cell r="F1607" t="str">
            <v>mestiza</v>
          </cell>
          <cell r="K1607" t="str">
            <v>Técnico Superior</v>
          </cell>
          <cell r="L1607" t="str">
            <v>No</v>
          </cell>
          <cell r="O1607" t="str">
            <v>Médico</v>
          </cell>
        </row>
        <row r="1608">
          <cell r="C1608" t="str">
            <v>Aymeé Vinent Alayo</v>
          </cell>
          <cell r="E1608" t="str">
            <v>F</v>
          </cell>
          <cell r="F1608" t="str">
            <v>negra</v>
          </cell>
          <cell r="K1608" t="str">
            <v>Técnico Superior</v>
          </cell>
          <cell r="L1608" t="str">
            <v>Si</v>
          </cell>
          <cell r="O1608" t="str">
            <v>Médico</v>
          </cell>
        </row>
        <row r="1609">
          <cell r="C1609" t="str">
            <v>Barbara Milagros Cobas Tablada</v>
          </cell>
          <cell r="E1609" t="str">
            <v>F</v>
          </cell>
          <cell r="F1609" t="str">
            <v>Blanca</v>
          </cell>
          <cell r="K1609" t="str">
            <v>Técnico Superior</v>
          </cell>
          <cell r="L1609" t="str">
            <v>Si</v>
          </cell>
          <cell r="O1609" t="str">
            <v>Médico</v>
          </cell>
        </row>
        <row r="1610">
          <cell r="C1610" t="str">
            <v>Beatriz Giorge Jimenez</v>
          </cell>
          <cell r="E1610" t="str">
            <v>F</v>
          </cell>
          <cell r="F1610" t="str">
            <v>mestiza</v>
          </cell>
          <cell r="K1610" t="str">
            <v>Técnico Superior</v>
          </cell>
          <cell r="L1610" t="str">
            <v>Si</v>
          </cell>
          <cell r="O1610" t="str">
            <v>Médico</v>
          </cell>
        </row>
        <row r="1611">
          <cell r="C1611" t="str">
            <v>Beatriz Hechabania Castro</v>
          </cell>
          <cell r="E1611" t="str">
            <v>F</v>
          </cell>
          <cell r="F1611" t="str">
            <v>mestiza</v>
          </cell>
          <cell r="K1611" t="str">
            <v>Técnico Superior</v>
          </cell>
          <cell r="L1611" t="str">
            <v>Si</v>
          </cell>
          <cell r="O1611" t="str">
            <v>Médico</v>
          </cell>
        </row>
        <row r="1612">
          <cell r="C1612" t="str">
            <v>Beatriz Parra Henriquez</v>
          </cell>
          <cell r="E1612" t="str">
            <v>F</v>
          </cell>
          <cell r="F1612" t="str">
            <v>blanca</v>
          </cell>
          <cell r="K1612" t="str">
            <v>Técnico Superior</v>
          </cell>
          <cell r="L1612" t="str">
            <v>Si</v>
          </cell>
          <cell r="O1612" t="str">
            <v>Médico</v>
          </cell>
        </row>
        <row r="1613">
          <cell r="C1613" t="str">
            <v>Carlos Carrión Gutierrez</v>
          </cell>
          <cell r="E1613" t="str">
            <v>M</v>
          </cell>
          <cell r="F1613" t="str">
            <v>mestiza</v>
          </cell>
          <cell r="K1613" t="str">
            <v>Cuadro</v>
          </cell>
          <cell r="L1613" t="str">
            <v>Si</v>
          </cell>
          <cell r="O1613" t="str">
            <v>Médico</v>
          </cell>
        </row>
        <row r="1614">
          <cell r="C1614" t="str">
            <v>Carlos Verastegui Rodriguez</v>
          </cell>
          <cell r="E1614" t="str">
            <v>M</v>
          </cell>
          <cell r="F1614" t="str">
            <v>mestiza</v>
          </cell>
          <cell r="K1614" t="str">
            <v>Técnico Superior</v>
          </cell>
          <cell r="L1614" t="str">
            <v>Si</v>
          </cell>
          <cell r="O1614" t="str">
            <v>Médico</v>
          </cell>
        </row>
        <row r="1615">
          <cell r="C1615" t="str">
            <v>Carymelia Massó Ortiz</v>
          </cell>
          <cell r="E1615" t="str">
            <v>F</v>
          </cell>
          <cell r="F1615" t="str">
            <v>mestiza</v>
          </cell>
          <cell r="K1615" t="str">
            <v>Técnico Superior</v>
          </cell>
          <cell r="L1615" t="str">
            <v>Si</v>
          </cell>
          <cell r="O1615" t="str">
            <v>Médico</v>
          </cell>
        </row>
        <row r="1616">
          <cell r="C1616" t="str">
            <v>Clarinelsi Mauriño Jotamendi</v>
          </cell>
          <cell r="E1616" t="str">
            <v>F</v>
          </cell>
          <cell r="F1616" t="str">
            <v>mestiza</v>
          </cell>
          <cell r="K1616" t="str">
            <v>Técnico Superior</v>
          </cell>
          <cell r="L1616" t="str">
            <v>Si</v>
          </cell>
          <cell r="O1616" t="str">
            <v>Médico</v>
          </cell>
        </row>
        <row r="1617">
          <cell r="C1617" t="str">
            <v>CLAUDIA ELENA ELIAS RIQUELME</v>
          </cell>
          <cell r="E1617" t="str">
            <v>F</v>
          </cell>
          <cell r="F1617" t="str">
            <v>mestiza</v>
          </cell>
          <cell r="K1617" t="str">
            <v>Técnico Superior</v>
          </cell>
          <cell r="L1617" t="str">
            <v>Si</v>
          </cell>
          <cell r="O1617" t="str">
            <v>Médico</v>
          </cell>
        </row>
        <row r="1618">
          <cell r="C1618" t="str">
            <v>Claudia Téllez Asín</v>
          </cell>
          <cell r="E1618" t="str">
            <v>F</v>
          </cell>
          <cell r="F1618" t="str">
            <v>blanca</v>
          </cell>
          <cell r="K1618" t="str">
            <v>Técnico Superior</v>
          </cell>
          <cell r="L1618" t="str">
            <v>Si</v>
          </cell>
          <cell r="O1618" t="str">
            <v>Médico</v>
          </cell>
        </row>
        <row r="1619">
          <cell r="C1619" t="str">
            <v>Dailiensy Serrano Ferrer</v>
          </cell>
          <cell r="E1619" t="str">
            <v>F</v>
          </cell>
          <cell r="F1619" t="str">
            <v>negra</v>
          </cell>
          <cell r="K1619" t="str">
            <v>Técnico Superior</v>
          </cell>
          <cell r="L1619" t="str">
            <v>Si</v>
          </cell>
          <cell r="O1619" t="str">
            <v>Médico</v>
          </cell>
        </row>
        <row r="1620">
          <cell r="C1620" t="str">
            <v>Daimara Jaquemán Plutin</v>
          </cell>
          <cell r="E1620" t="str">
            <v>F</v>
          </cell>
          <cell r="F1620" t="str">
            <v>mestiza</v>
          </cell>
          <cell r="K1620" t="str">
            <v>Técnico Superior</v>
          </cell>
          <cell r="L1620" t="str">
            <v>Si</v>
          </cell>
          <cell r="O1620" t="str">
            <v>Médico</v>
          </cell>
        </row>
        <row r="1621">
          <cell r="C1621" t="str">
            <v>Daime Pérez Almenarez</v>
          </cell>
          <cell r="E1621" t="str">
            <v>F</v>
          </cell>
          <cell r="F1621" t="str">
            <v>mestiza</v>
          </cell>
          <cell r="K1621" t="str">
            <v>Técnico Superior</v>
          </cell>
          <cell r="L1621" t="str">
            <v>Si</v>
          </cell>
          <cell r="O1621" t="str">
            <v>Médico</v>
          </cell>
        </row>
        <row r="1622">
          <cell r="C1622" t="str">
            <v>Dalianna Alvarez Calzado</v>
          </cell>
          <cell r="E1622" t="str">
            <v>F</v>
          </cell>
          <cell r="F1622" t="str">
            <v>mestiza</v>
          </cell>
          <cell r="K1622" t="str">
            <v>Técnico Superior</v>
          </cell>
          <cell r="L1622" t="str">
            <v>Si</v>
          </cell>
          <cell r="O1622" t="str">
            <v>Médico</v>
          </cell>
        </row>
        <row r="1623">
          <cell r="C1623" t="str">
            <v>Dalida Rosa García Martínez</v>
          </cell>
          <cell r="E1623" t="str">
            <v>F</v>
          </cell>
          <cell r="F1623" t="str">
            <v>mestiza</v>
          </cell>
          <cell r="K1623" t="str">
            <v>Técnico Superior</v>
          </cell>
          <cell r="L1623" t="str">
            <v>Si</v>
          </cell>
          <cell r="O1623" t="str">
            <v>Médico</v>
          </cell>
        </row>
        <row r="1624">
          <cell r="C1624" t="str">
            <v>Danai Mora Rivera</v>
          </cell>
          <cell r="E1624" t="str">
            <v>F</v>
          </cell>
          <cell r="F1624" t="str">
            <v>mestiza</v>
          </cell>
          <cell r="K1624" t="str">
            <v>Técnico Superior</v>
          </cell>
          <cell r="L1624" t="str">
            <v>Si</v>
          </cell>
          <cell r="O1624" t="str">
            <v>Médico</v>
          </cell>
        </row>
        <row r="1625">
          <cell r="C1625" t="str">
            <v>Dania Pérez Delgado</v>
          </cell>
          <cell r="E1625" t="str">
            <v>F</v>
          </cell>
          <cell r="F1625" t="str">
            <v>blanca</v>
          </cell>
          <cell r="K1625" t="str">
            <v>Técnico Superior</v>
          </cell>
          <cell r="L1625" t="str">
            <v>Si</v>
          </cell>
          <cell r="O1625" t="str">
            <v>Médico</v>
          </cell>
        </row>
        <row r="1626">
          <cell r="C1626" t="str">
            <v>Daniellis Bueno Danger</v>
          </cell>
          <cell r="E1626" t="str">
            <v>F</v>
          </cell>
          <cell r="F1626" t="str">
            <v>negra</v>
          </cell>
          <cell r="K1626" t="str">
            <v>Cuadro</v>
          </cell>
          <cell r="L1626" t="str">
            <v>Si</v>
          </cell>
          <cell r="O1626" t="str">
            <v>Médico</v>
          </cell>
        </row>
        <row r="1627">
          <cell r="C1627" t="str">
            <v>Darina Guerra Guia</v>
          </cell>
          <cell r="E1627" t="str">
            <v>F</v>
          </cell>
          <cell r="F1627" t="str">
            <v>mestiza</v>
          </cell>
          <cell r="K1627" t="str">
            <v>Técnico Superior</v>
          </cell>
          <cell r="L1627" t="str">
            <v>Si</v>
          </cell>
          <cell r="O1627" t="str">
            <v>Médico</v>
          </cell>
        </row>
        <row r="1628">
          <cell r="C1628" t="str">
            <v>Darleysi Ravelo Correoso</v>
          </cell>
          <cell r="E1628" t="str">
            <v>M</v>
          </cell>
          <cell r="F1628" t="str">
            <v>negra</v>
          </cell>
          <cell r="K1628" t="str">
            <v>Técnico Superior</v>
          </cell>
          <cell r="L1628" t="str">
            <v>Si</v>
          </cell>
          <cell r="O1628" t="str">
            <v>Médico</v>
          </cell>
        </row>
        <row r="1629">
          <cell r="C1629" t="str">
            <v>Dayamila Verdecia Pavo</v>
          </cell>
          <cell r="E1629" t="str">
            <v>F</v>
          </cell>
          <cell r="F1629" t="str">
            <v>mestiza</v>
          </cell>
          <cell r="K1629" t="str">
            <v>Técnico Superior</v>
          </cell>
          <cell r="L1629" t="str">
            <v>Si</v>
          </cell>
          <cell r="O1629" t="str">
            <v>Médico</v>
          </cell>
        </row>
        <row r="1630">
          <cell r="C1630" t="str">
            <v>Dayana Hechavarría Montesino</v>
          </cell>
          <cell r="E1630" t="str">
            <v>F</v>
          </cell>
          <cell r="F1630" t="str">
            <v>mestiza</v>
          </cell>
          <cell r="K1630" t="str">
            <v>Técnico Superior</v>
          </cell>
          <cell r="L1630" t="str">
            <v>Si</v>
          </cell>
          <cell r="O1630" t="str">
            <v>Médico</v>
          </cell>
        </row>
        <row r="1631">
          <cell r="C1631" t="str">
            <v>Dayana Viant Ortiz</v>
          </cell>
          <cell r="E1631" t="str">
            <v>F</v>
          </cell>
          <cell r="F1631" t="str">
            <v>mestiza</v>
          </cell>
          <cell r="K1631" t="str">
            <v>Técnico Superior</v>
          </cell>
          <cell r="L1631" t="str">
            <v>Si</v>
          </cell>
          <cell r="O1631" t="str">
            <v>Médico</v>
          </cell>
        </row>
        <row r="1632">
          <cell r="C1632" t="str">
            <v>Daylena Muguersia Issac</v>
          </cell>
          <cell r="E1632" t="str">
            <v>F</v>
          </cell>
          <cell r="F1632" t="str">
            <v>negra</v>
          </cell>
          <cell r="K1632" t="str">
            <v>Técnico Superior</v>
          </cell>
          <cell r="L1632" t="str">
            <v>Si</v>
          </cell>
          <cell r="O1632" t="str">
            <v>Médico</v>
          </cell>
        </row>
        <row r="1633">
          <cell r="C1633" t="str">
            <v>Dayli Chaveco Rodriguez</v>
          </cell>
          <cell r="E1633" t="str">
            <v>F</v>
          </cell>
          <cell r="F1633" t="str">
            <v>mestiza</v>
          </cell>
          <cell r="K1633" t="str">
            <v>Técnico Superior</v>
          </cell>
          <cell r="L1633" t="str">
            <v>Si</v>
          </cell>
          <cell r="O1633" t="str">
            <v>Médico</v>
          </cell>
        </row>
        <row r="1634">
          <cell r="C1634" t="str">
            <v>Daylín Mayeta Plutín</v>
          </cell>
          <cell r="E1634" t="str">
            <v>F</v>
          </cell>
          <cell r="F1634" t="str">
            <v>negra</v>
          </cell>
          <cell r="K1634" t="str">
            <v>Técnico Superior</v>
          </cell>
          <cell r="L1634" t="str">
            <v>Si</v>
          </cell>
          <cell r="O1634" t="str">
            <v>Médico</v>
          </cell>
        </row>
        <row r="1635">
          <cell r="C1635" t="str">
            <v>Daymara Acosta Montero</v>
          </cell>
          <cell r="E1635" t="str">
            <v>F</v>
          </cell>
          <cell r="F1635" t="str">
            <v>mestiza</v>
          </cell>
          <cell r="K1635" t="str">
            <v>Técnico Superior</v>
          </cell>
          <cell r="L1635" t="str">
            <v>Si</v>
          </cell>
          <cell r="O1635" t="str">
            <v>Médico</v>
          </cell>
        </row>
        <row r="1636">
          <cell r="C1636" t="str">
            <v>DEBORA DIAZ DEULOFEU</v>
          </cell>
          <cell r="E1636" t="str">
            <v>F</v>
          </cell>
          <cell r="F1636" t="str">
            <v>blanca</v>
          </cell>
          <cell r="K1636" t="str">
            <v>Cuadro</v>
          </cell>
          <cell r="L1636" t="str">
            <v>Si</v>
          </cell>
          <cell r="O1636" t="str">
            <v>Médico</v>
          </cell>
        </row>
        <row r="1637">
          <cell r="C1637" t="str">
            <v>DEISY DIAMELA ZAYAS ABREU</v>
          </cell>
          <cell r="E1637" t="str">
            <v>F</v>
          </cell>
          <cell r="F1637" t="str">
            <v>blanca</v>
          </cell>
          <cell r="K1637" t="str">
            <v>Técnico Superior</v>
          </cell>
          <cell r="L1637" t="str">
            <v>Si</v>
          </cell>
          <cell r="O1637" t="str">
            <v>Médico</v>
          </cell>
        </row>
        <row r="1638">
          <cell r="C1638" t="str">
            <v>Denis Masso Orozco</v>
          </cell>
          <cell r="E1638" t="str">
            <v>F</v>
          </cell>
          <cell r="F1638" t="str">
            <v>negra</v>
          </cell>
          <cell r="K1638" t="str">
            <v>Técnico Superior</v>
          </cell>
          <cell r="L1638" t="str">
            <v>Si</v>
          </cell>
          <cell r="O1638" t="str">
            <v>Médico</v>
          </cell>
        </row>
        <row r="1639">
          <cell r="C1639" t="str">
            <v>Diana Rosa Fernández Santos</v>
          </cell>
          <cell r="E1639" t="str">
            <v>F</v>
          </cell>
          <cell r="F1639" t="str">
            <v>negra</v>
          </cell>
          <cell r="K1639" t="str">
            <v>Técnico Superior</v>
          </cell>
          <cell r="L1639" t="str">
            <v>Si</v>
          </cell>
          <cell r="O1639" t="str">
            <v>Médico</v>
          </cell>
        </row>
        <row r="1640">
          <cell r="C1640" t="str">
            <v>Dianeisy Figueroa Rivero</v>
          </cell>
          <cell r="E1640" t="str">
            <v>F</v>
          </cell>
          <cell r="F1640" t="str">
            <v>Mestiza</v>
          </cell>
          <cell r="K1640" t="str">
            <v>Técnico Superior</v>
          </cell>
          <cell r="L1640" t="str">
            <v>Si</v>
          </cell>
          <cell r="O1640" t="str">
            <v>Médico</v>
          </cell>
        </row>
        <row r="1641">
          <cell r="C1641" t="str">
            <v>Dianelis Gonzalez Rondon</v>
          </cell>
          <cell r="E1641" t="str">
            <v>F</v>
          </cell>
          <cell r="F1641" t="str">
            <v>blanca</v>
          </cell>
          <cell r="K1641" t="str">
            <v>Técnico Superior</v>
          </cell>
          <cell r="L1641" t="str">
            <v>Si</v>
          </cell>
          <cell r="O1641" t="str">
            <v>Médico</v>
          </cell>
        </row>
        <row r="1642">
          <cell r="C1642" t="str">
            <v>Dianelis Mulet Milanes</v>
          </cell>
          <cell r="E1642" t="str">
            <v>F</v>
          </cell>
          <cell r="F1642" t="str">
            <v>mestiza</v>
          </cell>
          <cell r="K1642" t="str">
            <v>Técnico Superior</v>
          </cell>
          <cell r="L1642" t="str">
            <v>Si</v>
          </cell>
          <cell r="O1642" t="str">
            <v>Médico</v>
          </cell>
        </row>
        <row r="1643">
          <cell r="C1643" t="str">
            <v>Diannelis Lescay Carrión</v>
          </cell>
          <cell r="E1643" t="str">
            <v>F</v>
          </cell>
          <cell r="F1643" t="str">
            <v>mestiza</v>
          </cell>
          <cell r="K1643" t="str">
            <v>Técnico Superior</v>
          </cell>
          <cell r="L1643" t="str">
            <v>Si</v>
          </cell>
          <cell r="O1643" t="str">
            <v>Médico</v>
          </cell>
        </row>
        <row r="1644">
          <cell r="C1644" t="str">
            <v>Digneilis Vera Izaguirre</v>
          </cell>
          <cell r="E1644" t="str">
            <v>F</v>
          </cell>
          <cell r="F1644" t="str">
            <v>negra</v>
          </cell>
          <cell r="K1644" t="str">
            <v>Técnico Superior</v>
          </cell>
          <cell r="L1644" t="str">
            <v>Si</v>
          </cell>
          <cell r="O1644" t="str">
            <v>Médico</v>
          </cell>
        </row>
        <row r="1645">
          <cell r="C1645" t="str">
            <v>DIURIS HEREDIA MORALES</v>
          </cell>
          <cell r="E1645" t="str">
            <v>F</v>
          </cell>
          <cell r="F1645" t="str">
            <v>negra</v>
          </cell>
          <cell r="K1645" t="str">
            <v>Técnico Superior</v>
          </cell>
          <cell r="L1645" t="str">
            <v>Si</v>
          </cell>
          <cell r="O1645" t="str">
            <v>Médico</v>
          </cell>
        </row>
        <row r="1646">
          <cell r="C1646" t="str">
            <v>Doraisi Viscay Serrano</v>
          </cell>
          <cell r="E1646" t="str">
            <v>F</v>
          </cell>
          <cell r="F1646" t="str">
            <v>negra</v>
          </cell>
          <cell r="K1646" t="str">
            <v>Técnico Superior</v>
          </cell>
          <cell r="L1646" t="str">
            <v>Si</v>
          </cell>
          <cell r="O1646" t="str">
            <v>Médico</v>
          </cell>
        </row>
        <row r="1647">
          <cell r="C1647" t="str">
            <v>Doris Yondy Rodriguez Almenares</v>
          </cell>
          <cell r="E1647" t="str">
            <v>M</v>
          </cell>
          <cell r="F1647" t="str">
            <v>mestiza</v>
          </cell>
          <cell r="K1647" t="str">
            <v>Técnico Superior</v>
          </cell>
          <cell r="L1647" t="str">
            <v>Si</v>
          </cell>
          <cell r="O1647" t="str">
            <v>Médico</v>
          </cell>
        </row>
        <row r="1648">
          <cell r="C1648" t="str">
            <v>Edgar Luis Gamez Zapata</v>
          </cell>
          <cell r="E1648" t="str">
            <v>M</v>
          </cell>
          <cell r="F1648" t="str">
            <v>negra</v>
          </cell>
          <cell r="K1648" t="str">
            <v>Técnico Superior</v>
          </cell>
          <cell r="L1648" t="str">
            <v>Si</v>
          </cell>
          <cell r="O1648" t="str">
            <v>Médico</v>
          </cell>
        </row>
        <row r="1649">
          <cell r="C1649" t="str">
            <v>Edileysy Ferrer Calzado</v>
          </cell>
          <cell r="E1649" t="str">
            <v>F</v>
          </cell>
          <cell r="F1649" t="str">
            <v>Mestiza</v>
          </cell>
          <cell r="K1649" t="str">
            <v>Técnico Superior</v>
          </cell>
          <cell r="L1649" t="str">
            <v>Si</v>
          </cell>
          <cell r="O1649" t="str">
            <v>Médico</v>
          </cell>
        </row>
        <row r="1650">
          <cell r="C1650" t="str">
            <v>Eglaris Areas Mustelier</v>
          </cell>
          <cell r="E1650" t="str">
            <v>F</v>
          </cell>
          <cell r="F1650" t="str">
            <v>blanca</v>
          </cell>
          <cell r="K1650" t="str">
            <v>Técnico Superior</v>
          </cell>
          <cell r="L1650" t="str">
            <v>Si</v>
          </cell>
          <cell r="O1650" t="str">
            <v>Médico</v>
          </cell>
        </row>
        <row r="1651">
          <cell r="C1651" t="str">
            <v>Elaine Moreno Cardo</v>
          </cell>
          <cell r="E1651" t="str">
            <v>F</v>
          </cell>
          <cell r="F1651" t="str">
            <v>mestiza</v>
          </cell>
          <cell r="K1651" t="str">
            <v>Técnico Superior</v>
          </cell>
          <cell r="L1651" t="str">
            <v>Si</v>
          </cell>
          <cell r="O1651" t="str">
            <v>Médico</v>
          </cell>
        </row>
        <row r="1652">
          <cell r="C1652" t="str">
            <v>Elianis Barbara Luna Danger</v>
          </cell>
          <cell r="E1652" t="str">
            <v>F</v>
          </cell>
          <cell r="F1652" t="str">
            <v>negra</v>
          </cell>
          <cell r="K1652" t="str">
            <v>Técnico Superior</v>
          </cell>
          <cell r="L1652" t="str">
            <v>Si</v>
          </cell>
          <cell r="O1652" t="str">
            <v>Médico</v>
          </cell>
        </row>
        <row r="1653">
          <cell r="C1653" t="str">
            <v>Elianne Hernández Rodicio</v>
          </cell>
          <cell r="E1653" t="str">
            <v>F</v>
          </cell>
          <cell r="F1653" t="str">
            <v>mestiza</v>
          </cell>
          <cell r="K1653" t="str">
            <v>Técnico Superior</v>
          </cell>
          <cell r="L1653" t="str">
            <v>Si</v>
          </cell>
          <cell r="O1653" t="str">
            <v>Médico</v>
          </cell>
        </row>
        <row r="1654">
          <cell r="C1654" t="str">
            <v>Elier Ravelo Fernández</v>
          </cell>
          <cell r="E1654" t="str">
            <v>M</v>
          </cell>
          <cell r="F1654" t="str">
            <v>mestiza</v>
          </cell>
          <cell r="K1654" t="str">
            <v>Técnico Superior</v>
          </cell>
          <cell r="L1654" t="str">
            <v>Si</v>
          </cell>
          <cell r="O1654" t="str">
            <v>Médico</v>
          </cell>
        </row>
        <row r="1655">
          <cell r="C1655" t="str">
            <v>Emilio Javier López Bardaji</v>
          </cell>
          <cell r="E1655" t="str">
            <v>M</v>
          </cell>
          <cell r="F1655" t="str">
            <v>mestiza</v>
          </cell>
          <cell r="K1655" t="str">
            <v>Técnico Superior</v>
          </cell>
          <cell r="L1655" t="str">
            <v>Si</v>
          </cell>
          <cell r="O1655" t="str">
            <v>Médico</v>
          </cell>
        </row>
        <row r="1656">
          <cell r="C1656" t="str">
            <v>Enisey Savigne Gómez</v>
          </cell>
          <cell r="E1656" t="str">
            <v>F</v>
          </cell>
          <cell r="F1656" t="str">
            <v>mestiza</v>
          </cell>
          <cell r="K1656" t="str">
            <v>Técnico Superior</v>
          </cell>
          <cell r="L1656" t="str">
            <v>Si</v>
          </cell>
          <cell r="O1656" t="str">
            <v>Médico</v>
          </cell>
        </row>
        <row r="1657">
          <cell r="C1657" t="str">
            <v>Erdis Batista Rodriguez</v>
          </cell>
          <cell r="E1657" t="str">
            <v>F</v>
          </cell>
          <cell r="F1657" t="str">
            <v>mestiza</v>
          </cell>
          <cell r="K1657" t="str">
            <v>Técnico Superior</v>
          </cell>
          <cell r="L1657" t="str">
            <v>Si</v>
          </cell>
          <cell r="O1657" t="str">
            <v>Médico</v>
          </cell>
        </row>
        <row r="1658">
          <cell r="C1658" t="str">
            <v>Eric Hodelin Labori</v>
          </cell>
          <cell r="E1658" t="str">
            <v>M</v>
          </cell>
          <cell r="F1658" t="str">
            <v>Mestiza</v>
          </cell>
          <cell r="K1658" t="str">
            <v>Técnico Superior</v>
          </cell>
          <cell r="L1658" t="str">
            <v>Si</v>
          </cell>
          <cell r="O1658" t="str">
            <v>Médico</v>
          </cell>
        </row>
        <row r="1659">
          <cell r="C1659" t="str">
            <v>Ernesto Chivas Rondón</v>
          </cell>
          <cell r="E1659" t="str">
            <v>M</v>
          </cell>
          <cell r="F1659" t="str">
            <v>mestiza</v>
          </cell>
          <cell r="K1659" t="str">
            <v>Técnico Superior</v>
          </cell>
          <cell r="L1659" t="str">
            <v>Si</v>
          </cell>
          <cell r="O1659" t="str">
            <v>Médico</v>
          </cell>
        </row>
        <row r="1660">
          <cell r="C1660" t="str">
            <v>Ernesto Martí Roca</v>
          </cell>
          <cell r="E1660" t="str">
            <v>M</v>
          </cell>
          <cell r="F1660" t="str">
            <v>mestiza</v>
          </cell>
          <cell r="K1660" t="str">
            <v>Técnico Superior</v>
          </cell>
          <cell r="L1660" t="str">
            <v>Si</v>
          </cell>
          <cell r="O1660" t="str">
            <v>Médico</v>
          </cell>
        </row>
        <row r="1661">
          <cell r="C1661" t="str">
            <v>Evelio Padrón Mariño</v>
          </cell>
          <cell r="E1661" t="str">
            <v>M</v>
          </cell>
          <cell r="F1661" t="str">
            <v>blanca</v>
          </cell>
          <cell r="K1661" t="str">
            <v>Técnico Superior</v>
          </cell>
          <cell r="L1661" t="str">
            <v>Si</v>
          </cell>
          <cell r="O1661" t="str">
            <v>Médico</v>
          </cell>
        </row>
        <row r="1662">
          <cell r="C1662" t="str">
            <v>Fabianne Frometa Garbey</v>
          </cell>
          <cell r="E1662" t="str">
            <v>F</v>
          </cell>
          <cell r="F1662" t="str">
            <v>negra</v>
          </cell>
          <cell r="K1662" t="str">
            <v>Técnico Superior</v>
          </cell>
          <cell r="L1662" t="str">
            <v>Si</v>
          </cell>
          <cell r="O1662" t="str">
            <v>Médico</v>
          </cell>
        </row>
        <row r="1663">
          <cell r="C1663" t="str">
            <v>Felix Carmenaty Laugart</v>
          </cell>
          <cell r="E1663" t="str">
            <v>M</v>
          </cell>
          <cell r="F1663" t="str">
            <v>mestiza</v>
          </cell>
          <cell r="K1663" t="str">
            <v>Técnico Superior</v>
          </cell>
          <cell r="L1663" t="str">
            <v>Si</v>
          </cell>
          <cell r="O1663" t="str">
            <v>Médico</v>
          </cell>
        </row>
        <row r="1664">
          <cell r="C1664" t="str">
            <v>Francisco Franco López</v>
          </cell>
          <cell r="E1664" t="str">
            <v>M</v>
          </cell>
          <cell r="F1664" t="str">
            <v>mestiza</v>
          </cell>
          <cell r="K1664" t="str">
            <v>Técnico Superior</v>
          </cell>
          <cell r="L1664" t="str">
            <v>Si</v>
          </cell>
          <cell r="O1664" t="str">
            <v>Médico</v>
          </cell>
        </row>
        <row r="1665">
          <cell r="C1665" t="str">
            <v>FRANK YENIERT LOPEZ RODRIGUEZ</v>
          </cell>
          <cell r="E1665" t="str">
            <v>M</v>
          </cell>
          <cell r="F1665" t="str">
            <v>blanca</v>
          </cell>
          <cell r="K1665" t="str">
            <v>Técnico Superior</v>
          </cell>
          <cell r="L1665" t="str">
            <v>Si</v>
          </cell>
          <cell r="O1665" t="str">
            <v>Médico</v>
          </cell>
        </row>
        <row r="1666">
          <cell r="C1666" t="str">
            <v>Giselda Casternaux Guia</v>
          </cell>
          <cell r="E1666" t="str">
            <v>F</v>
          </cell>
          <cell r="F1666" t="str">
            <v>mestiza</v>
          </cell>
          <cell r="K1666" t="str">
            <v>Técnico Superior</v>
          </cell>
          <cell r="L1666" t="str">
            <v>Si</v>
          </cell>
          <cell r="O1666" t="str">
            <v>Médico</v>
          </cell>
        </row>
        <row r="1667">
          <cell r="C1667" t="str">
            <v>Gleydis Serra Garcia</v>
          </cell>
          <cell r="E1667" t="str">
            <v>F</v>
          </cell>
          <cell r="F1667" t="str">
            <v>mestiza</v>
          </cell>
          <cell r="K1667" t="str">
            <v>Técnico Superior</v>
          </cell>
          <cell r="L1667" t="str">
            <v>Si</v>
          </cell>
          <cell r="O1667" t="str">
            <v>Médico</v>
          </cell>
        </row>
        <row r="1668">
          <cell r="C1668" t="str">
            <v>Graciela Vidal Monier</v>
          </cell>
          <cell r="E1668" t="str">
            <v>F</v>
          </cell>
          <cell r="F1668" t="str">
            <v>mestiza</v>
          </cell>
          <cell r="K1668" t="str">
            <v>Técnico Superior</v>
          </cell>
          <cell r="L1668" t="str">
            <v>Si</v>
          </cell>
          <cell r="O1668" t="str">
            <v>Médico</v>
          </cell>
        </row>
        <row r="1669">
          <cell r="C1669" t="str">
            <v>Guillermo Munos Heredia</v>
          </cell>
          <cell r="E1669" t="str">
            <v>M</v>
          </cell>
          <cell r="F1669" t="str">
            <v>negra</v>
          </cell>
          <cell r="K1669" t="str">
            <v>Técnico Superior</v>
          </cell>
          <cell r="L1669" t="str">
            <v>Si</v>
          </cell>
          <cell r="O1669" t="str">
            <v>Médico</v>
          </cell>
        </row>
        <row r="1670">
          <cell r="C1670" t="str">
            <v>Haidee Perez De Teran Garcia</v>
          </cell>
          <cell r="E1670" t="str">
            <v>F</v>
          </cell>
          <cell r="F1670" t="str">
            <v>blanca</v>
          </cell>
          <cell r="K1670" t="str">
            <v>Técnico Superior</v>
          </cell>
          <cell r="L1670" t="str">
            <v>Si</v>
          </cell>
          <cell r="O1670" t="str">
            <v>Médico</v>
          </cell>
        </row>
        <row r="1671">
          <cell r="C1671" t="str">
            <v>Hosmay Heredia Angulo</v>
          </cell>
          <cell r="E1671" t="str">
            <v>M</v>
          </cell>
          <cell r="F1671" t="str">
            <v>negra</v>
          </cell>
          <cell r="K1671" t="str">
            <v>Técnico Superior</v>
          </cell>
          <cell r="L1671" t="str">
            <v>Si</v>
          </cell>
          <cell r="O1671" t="str">
            <v>Médico</v>
          </cell>
        </row>
        <row r="1672">
          <cell r="C1672" t="str">
            <v>Idalmis Moreno Heredia</v>
          </cell>
          <cell r="E1672" t="str">
            <v>F</v>
          </cell>
          <cell r="F1672" t="str">
            <v>mestiza</v>
          </cell>
          <cell r="K1672" t="str">
            <v>Técnico Superior</v>
          </cell>
          <cell r="L1672" t="str">
            <v>Si</v>
          </cell>
          <cell r="O1672" t="str">
            <v>Médico</v>
          </cell>
        </row>
        <row r="1673">
          <cell r="C1673" t="str">
            <v>Idalmis Palacio Tiset</v>
          </cell>
          <cell r="E1673" t="str">
            <v>F</v>
          </cell>
          <cell r="F1673" t="str">
            <v>mestiza</v>
          </cell>
          <cell r="K1673" t="str">
            <v>Técnico Superior</v>
          </cell>
          <cell r="L1673" t="str">
            <v>Si</v>
          </cell>
          <cell r="O1673" t="str">
            <v>Médico</v>
          </cell>
        </row>
        <row r="1674">
          <cell r="C1674" t="str">
            <v>Idalmis Trujillo Matamoros</v>
          </cell>
          <cell r="E1674" t="str">
            <v>F</v>
          </cell>
          <cell r="F1674" t="str">
            <v>blanca</v>
          </cell>
          <cell r="K1674" t="str">
            <v>Técnico Superior</v>
          </cell>
          <cell r="L1674" t="str">
            <v>Si</v>
          </cell>
          <cell r="O1674" t="str">
            <v>Médico</v>
          </cell>
        </row>
        <row r="1675">
          <cell r="C1675" t="str">
            <v>Idania María MONtero Ortiz</v>
          </cell>
          <cell r="E1675" t="str">
            <v>F</v>
          </cell>
          <cell r="F1675" t="str">
            <v>mestiza</v>
          </cell>
          <cell r="K1675" t="str">
            <v>Técnico Superior</v>
          </cell>
          <cell r="L1675" t="str">
            <v>Si</v>
          </cell>
          <cell r="O1675" t="str">
            <v>Médico</v>
          </cell>
        </row>
        <row r="1676">
          <cell r="C1676" t="str">
            <v>Iliene Delis Mustelier</v>
          </cell>
          <cell r="E1676" t="str">
            <v>F</v>
          </cell>
          <cell r="F1676" t="str">
            <v>negra</v>
          </cell>
          <cell r="K1676" t="str">
            <v>Técnico Superior</v>
          </cell>
          <cell r="L1676" t="str">
            <v>Si</v>
          </cell>
          <cell r="O1676" t="str">
            <v>Médico</v>
          </cell>
        </row>
        <row r="1677">
          <cell r="C1677" t="str">
            <v>Irianis Cruz Kindelán</v>
          </cell>
          <cell r="E1677" t="str">
            <v>F</v>
          </cell>
          <cell r="F1677" t="str">
            <v>mestiza</v>
          </cell>
          <cell r="K1677" t="str">
            <v>Técnico Superior</v>
          </cell>
          <cell r="L1677" t="str">
            <v>Si</v>
          </cell>
          <cell r="O1677" t="str">
            <v>Médico</v>
          </cell>
        </row>
        <row r="1678">
          <cell r="C1678" t="str">
            <v>Isabel Lisset Crispin coello</v>
          </cell>
          <cell r="E1678" t="str">
            <v>F</v>
          </cell>
          <cell r="F1678" t="str">
            <v>mestiza</v>
          </cell>
          <cell r="K1678" t="str">
            <v>Técnico Superior</v>
          </cell>
          <cell r="L1678" t="str">
            <v>Si</v>
          </cell>
          <cell r="O1678" t="str">
            <v>Médico</v>
          </cell>
        </row>
        <row r="1679">
          <cell r="C1679" t="str">
            <v>Isandra Ibñez Arias</v>
          </cell>
          <cell r="E1679" t="str">
            <v>F</v>
          </cell>
          <cell r="F1679" t="str">
            <v>blanca</v>
          </cell>
          <cell r="K1679" t="str">
            <v>Técnico Superior</v>
          </cell>
          <cell r="L1679" t="str">
            <v>No</v>
          </cell>
          <cell r="O1679" t="str">
            <v>Médico</v>
          </cell>
        </row>
        <row r="1680">
          <cell r="C1680" t="str">
            <v>Jasiel López De Queralta Gracial</v>
          </cell>
          <cell r="E1680" t="str">
            <v>M</v>
          </cell>
          <cell r="F1680" t="str">
            <v>negra</v>
          </cell>
          <cell r="K1680" t="str">
            <v>Técnico Superior</v>
          </cell>
          <cell r="L1680" t="str">
            <v>Si</v>
          </cell>
          <cell r="O1680" t="str">
            <v>Médico</v>
          </cell>
        </row>
        <row r="1681">
          <cell r="C1681" t="str">
            <v>Javier castillo Silva</v>
          </cell>
          <cell r="E1681" t="str">
            <v>M</v>
          </cell>
          <cell r="F1681" t="str">
            <v>mestiza</v>
          </cell>
          <cell r="K1681" t="str">
            <v>Técnico Superior</v>
          </cell>
          <cell r="L1681" t="str">
            <v>Si</v>
          </cell>
          <cell r="O1681" t="str">
            <v>Médico</v>
          </cell>
        </row>
        <row r="1682">
          <cell r="C1682" t="str">
            <v>Jordanis Savigne Almenarez</v>
          </cell>
          <cell r="E1682" t="str">
            <v>M</v>
          </cell>
          <cell r="F1682" t="str">
            <v>negra</v>
          </cell>
          <cell r="K1682" t="str">
            <v>Técnico Superior</v>
          </cell>
          <cell r="L1682" t="str">
            <v>Si</v>
          </cell>
          <cell r="O1682" t="str">
            <v>Médico</v>
          </cell>
        </row>
        <row r="1683">
          <cell r="C1683" t="str">
            <v>Jorge Luis Giro Elias</v>
          </cell>
          <cell r="E1683" t="str">
            <v>M</v>
          </cell>
          <cell r="F1683" t="str">
            <v>mestiza</v>
          </cell>
          <cell r="K1683" t="str">
            <v>Técnico Superior</v>
          </cell>
          <cell r="L1683" t="str">
            <v>Si</v>
          </cell>
          <cell r="O1683" t="str">
            <v>Médico</v>
          </cell>
        </row>
        <row r="1684">
          <cell r="C1684" t="str">
            <v>Jorge Luis Leon Garbey</v>
          </cell>
          <cell r="E1684" t="str">
            <v>M</v>
          </cell>
          <cell r="F1684" t="str">
            <v>mestiza</v>
          </cell>
          <cell r="K1684" t="str">
            <v>Técnico Superior</v>
          </cell>
          <cell r="L1684" t="str">
            <v>Si</v>
          </cell>
          <cell r="O1684" t="str">
            <v>Médico</v>
          </cell>
        </row>
        <row r="1685">
          <cell r="C1685" t="str">
            <v>Jose Antonio Castellanos Navas</v>
          </cell>
          <cell r="E1685" t="str">
            <v>M</v>
          </cell>
          <cell r="F1685" t="str">
            <v>mestiza</v>
          </cell>
          <cell r="K1685" t="str">
            <v>Técnico Superior</v>
          </cell>
          <cell r="L1685" t="str">
            <v>Si</v>
          </cell>
          <cell r="O1685" t="str">
            <v>Médico</v>
          </cell>
        </row>
        <row r="1686">
          <cell r="C1686" t="str">
            <v>José Humberto Kindelan Vinent</v>
          </cell>
          <cell r="E1686" t="str">
            <v>M</v>
          </cell>
          <cell r="F1686" t="str">
            <v>negra</v>
          </cell>
          <cell r="K1686" t="str">
            <v>Técnico Superior</v>
          </cell>
          <cell r="L1686" t="str">
            <v>Si</v>
          </cell>
          <cell r="O1686" t="str">
            <v>Médico</v>
          </cell>
        </row>
        <row r="1687">
          <cell r="C1687" t="str">
            <v>JUAN  CARLOS SANTANA LEYVA</v>
          </cell>
          <cell r="E1687" t="str">
            <v>M</v>
          </cell>
          <cell r="F1687" t="str">
            <v>blanca</v>
          </cell>
          <cell r="K1687" t="str">
            <v>Técnico Superior</v>
          </cell>
          <cell r="L1687" t="str">
            <v>Si</v>
          </cell>
          <cell r="O1687" t="str">
            <v>Médico</v>
          </cell>
        </row>
        <row r="1688">
          <cell r="C1688" t="str">
            <v>Julia Liliana Torreblanca Carvajal</v>
          </cell>
          <cell r="E1688" t="str">
            <v>F</v>
          </cell>
          <cell r="F1688" t="str">
            <v>mestiza</v>
          </cell>
          <cell r="K1688" t="str">
            <v>Técnico Superior</v>
          </cell>
          <cell r="L1688" t="str">
            <v>Si</v>
          </cell>
          <cell r="O1688" t="str">
            <v>Médico</v>
          </cell>
        </row>
        <row r="1689">
          <cell r="C1689" t="str">
            <v>Karelia Rodriguez Valenciano</v>
          </cell>
          <cell r="E1689" t="str">
            <v>F</v>
          </cell>
          <cell r="F1689" t="str">
            <v>mestiza</v>
          </cell>
          <cell r="K1689" t="str">
            <v>Técnico Superior</v>
          </cell>
          <cell r="L1689" t="str">
            <v>Si</v>
          </cell>
          <cell r="O1689" t="str">
            <v>Médico</v>
          </cell>
        </row>
        <row r="1690">
          <cell r="C1690" t="str">
            <v>Katerine Hormigó Tablada</v>
          </cell>
          <cell r="E1690" t="str">
            <v>F</v>
          </cell>
          <cell r="F1690" t="str">
            <v>blanca</v>
          </cell>
          <cell r="K1690" t="str">
            <v>Técnico Superior</v>
          </cell>
          <cell r="L1690" t="str">
            <v>Si</v>
          </cell>
          <cell r="O1690" t="str">
            <v>Médico</v>
          </cell>
        </row>
        <row r="1691">
          <cell r="C1691" t="str">
            <v>Kendra Leliebre Torres</v>
          </cell>
          <cell r="E1691" t="str">
            <v>F</v>
          </cell>
          <cell r="F1691" t="str">
            <v>mestiza</v>
          </cell>
          <cell r="K1691" t="str">
            <v>Técnico Superior</v>
          </cell>
          <cell r="L1691" t="str">
            <v>Si</v>
          </cell>
          <cell r="O1691" t="str">
            <v>Médico</v>
          </cell>
        </row>
        <row r="1692">
          <cell r="C1692" t="str">
            <v>Kirenia Pérez Vicente</v>
          </cell>
          <cell r="E1692" t="str">
            <v>F</v>
          </cell>
          <cell r="F1692" t="str">
            <v>negra</v>
          </cell>
          <cell r="K1692" t="str">
            <v>Técnico Superior</v>
          </cell>
          <cell r="L1692" t="str">
            <v>Si</v>
          </cell>
          <cell r="O1692" t="str">
            <v>Médico</v>
          </cell>
        </row>
        <row r="1693">
          <cell r="C1693" t="str">
            <v>LARRIS LABRADA TORRES</v>
          </cell>
          <cell r="E1693" t="str">
            <v>M</v>
          </cell>
          <cell r="F1693" t="str">
            <v>blanca</v>
          </cell>
          <cell r="K1693" t="str">
            <v>Técnico Superior</v>
          </cell>
          <cell r="L1693" t="str">
            <v>Si</v>
          </cell>
          <cell r="O1693" t="str">
            <v>Médico</v>
          </cell>
        </row>
        <row r="1694">
          <cell r="C1694" t="str">
            <v>Laydelines Calzado Guerrero</v>
          </cell>
          <cell r="E1694" t="str">
            <v>F</v>
          </cell>
          <cell r="F1694" t="str">
            <v>mestiza</v>
          </cell>
          <cell r="K1694" t="str">
            <v>Técnico Superior</v>
          </cell>
          <cell r="L1694" t="str">
            <v>Si</v>
          </cell>
          <cell r="O1694" t="str">
            <v>Médico</v>
          </cell>
        </row>
        <row r="1695">
          <cell r="C1695" t="str">
            <v>Layra Maida Luna Villa</v>
          </cell>
          <cell r="E1695" t="str">
            <v>F</v>
          </cell>
          <cell r="F1695" t="str">
            <v>mestiza</v>
          </cell>
          <cell r="K1695" t="str">
            <v>Técnico Superior</v>
          </cell>
          <cell r="L1695" t="str">
            <v>Si</v>
          </cell>
          <cell r="O1695" t="str">
            <v>Médico</v>
          </cell>
        </row>
        <row r="1696">
          <cell r="C1696" t="str">
            <v>Leanela Justiz Cardero</v>
          </cell>
          <cell r="E1696" t="str">
            <v>F</v>
          </cell>
          <cell r="F1696" t="str">
            <v>mestiza</v>
          </cell>
          <cell r="K1696" t="str">
            <v>Técnico Superior</v>
          </cell>
          <cell r="L1696" t="str">
            <v>Si</v>
          </cell>
          <cell r="O1696" t="str">
            <v>Médico</v>
          </cell>
        </row>
        <row r="1697">
          <cell r="C1697" t="str">
            <v>Leidis Henrique Rodriguez</v>
          </cell>
          <cell r="E1697" t="str">
            <v>F</v>
          </cell>
          <cell r="F1697" t="str">
            <v>blanca</v>
          </cell>
          <cell r="K1697" t="str">
            <v>Técnico Superior</v>
          </cell>
          <cell r="L1697" t="str">
            <v>Si</v>
          </cell>
          <cell r="O1697" t="str">
            <v>Médico</v>
          </cell>
        </row>
        <row r="1698">
          <cell r="C1698" t="str">
            <v>Leidis Rafaela Sanchez Torres</v>
          </cell>
          <cell r="E1698" t="str">
            <v>F</v>
          </cell>
          <cell r="F1698" t="str">
            <v>mestiza</v>
          </cell>
          <cell r="K1698" t="str">
            <v>Técnico Superior</v>
          </cell>
          <cell r="L1698" t="str">
            <v>Si</v>
          </cell>
          <cell r="O1698" t="str">
            <v>Médico</v>
          </cell>
        </row>
        <row r="1699">
          <cell r="C1699" t="str">
            <v>Leisy Godwin Del Rio</v>
          </cell>
          <cell r="E1699" t="str">
            <v>F</v>
          </cell>
          <cell r="F1699" t="str">
            <v>mestiza</v>
          </cell>
          <cell r="K1699" t="str">
            <v>Técnico Superior</v>
          </cell>
          <cell r="L1699" t="str">
            <v>Si</v>
          </cell>
          <cell r="O1699" t="str">
            <v>Médico</v>
          </cell>
        </row>
        <row r="1700">
          <cell r="C1700" t="str">
            <v>Leonel Kindelan Pacheco</v>
          </cell>
          <cell r="E1700" t="str">
            <v>M</v>
          </cell>
          <cell r="F1700" t="str">
            <v>negra</v>
          </cell>
          <cell r="K1700" t="str">
            <v>Técnico Superior</v>
          </cell>
          <cell r="L1700" t="str">
            <v>Si</v>
          </cell>
          <cell r="O1700" t="str">
            <v>Médico</v>
          </cell>
        </row>
        <row r="1701">
          <cell r="C1701" t="str">
            <v>Leonela Labacena Rojas</v>
          </cell>
          <cell r="E1701" t="str">
            <v>F</v>
          </cell>
          <cell r="F1701" t="str">
            <v>mestiza</v>
          </cell>
          <cell r="K1701" t="str">
            <v>Técnico Superior</v>
          </cell>
          <cell r="L1701" t="str">
            <v>Si</v>
          </cell>
          <cell r="O1701" t="str">
            <v>Médico</v>
          </cell>
        </row>
        <row r="1702">
          <cell r="C1702" t="str">
            <v>Leonor Hernández Zalazar</v>
          </cell>
          <cell r="E1702" t="str">
            <v>F</v>
          </cell>
          <cell r="F1702" t="str">
            <v>mestiza</v>
          </cell>
          <cell r="K1702" t="str">
            <v>Técnico Superior</v>
          </cell>
          <cell r="L1702" t="str">
            <v>Si</v>
          </cell>
          <cell r="O1702" t="str">
            <v>Médico</v>
          </cell>
        </row>
        <row r="1703">
          <cell r="C1703" t="str">
            <v>Lesyanis Sanchez Leon</v>
          </cell>
          <cell r="E1703" t="str">
            <v>F</v>
          </cell>
          <cell r="F1703" t="str">
            <v>mestiza</v>
          </cell>
          <cell r="K1703" t="str">
            <v>Técnico Superior</v>
          </cell>
          <cell r="L1703" t="str">
            <v>Si</v>
          </cell>
          <cell r="O1703" t="str">
            <v>Médico</v>
          </cell>
        </row>
        <row r="1704">
          <cell r="C1704" t="str">
            <v>LEUDIS VENEGA FERRERA</v>
          </cell>
          <cell r="E1704" t="str">
            <v>M</v>
          </cell>
          <cell r="F1704" t="str">
            <v>mestiza</v>
          </cell>
          <cell r="K1704" t="str">
            <v>Técnico Superior</v>
          </cell>
          <cell r="L1704" t="str">
            <v>Si</v>
          </cell>
          <cell r="O1704" t="str">
            <v>Médico</v>
          </cell>
        </row>
        <row r="1705">
          <cell r="C1705" t="str">
            <v>Leyanis Cabrera Cardero</v>
          </cell>
          <cell r="E1705" t="str">
            <v>F</v>
          </cell>
          <cell r="F1705" t="str">
            <v>mestiza</v>
          </cell>
          <cell r="K1705" t="str">
            <v>Técnico Superior</v>
          </cell>
          <cell r="L1705" t="str">
            <v>Si</v>
          </cell>
          <cell r="O1705" t="str">
            <v>Médico</v>
          </cell>
        </row>
        <row r="1706">
          <cell r="C1706" t="str">
            <v>Lianne Dominguez Delis</v>
          </cell>
          <cell r="E1706" t="str">
            <v>F</v>
          </cell>
          <cell r="F1706" t="str">
            <v>mestiza</v>
          </cell>
          <cell r="K1706" t="str">
            <v>Técnico Superior</v>
          </cell>
          <cell r="L1706" t="str">
            <v>Si</v>
          </cell>
          <cell r="O1706" t="str">
            <v>Médico</v>
          </cell>
        </row>
        <row r="1707">
          <cell r="C1707" t="str">
            <v>Lianne Reytor Bonne</v>
          </cell>
          <cell r="E1707" t="str">
            <v>F</v>
          </cell>
          <cell r="F1707" t="str">
            <v>mestiza</v>
          </cell>
          <cell r="K1707" t="str">
            <v>Técnico Superior</v>
          </cell>
          <cell r="L1707" t="str">
            <v>Si</v>
          </cell>
          <cell r="O1707" t="str">
            <v>Médico</v>
          </cell>
        </row>
        <row r="1708">
          <cell r="C1708" t="str">
            <v>Lianne Silega Vargas</v>
          </cell>
          <cell r="E1708" t="str">
            <v>F</v>
          </cell>
          <cell r="F1708" t="str">
            <v>negra</v>
          </cell>
          <cell r="K1708" t="str">
            <v>Técnico Superior</v>
          </cell>
          <cell r="L1708" t="str">
            <v>Si</v>
          </cell>
          <cell r="O1708" t="str">
            <v>Médico</v>
          </cell>
        </row>
        <row r="1709">
          <cell r="C1709" t="str">
            <v>Liannet Guerra Vidal</v>
          </cell>
          <cell r="E1709" t="str">
            <v>F</v>
          </cell>
          <cell r="F1709" t="str">
            <v>mestiza</v>
          </cell>
          <cell r="K1709" t="str">
            <v>Técnico Superior</v>
          </cell>
          <cell r="L1709" t="str">
            <v>Si</v>
          </cell>
          <cell r="O1709" t="str">
            <v>Médico</v>
          </cell>
        </row>
        <row r="1710">
          <cell r="C1710" t="str">
            <v>Liannys Mozo Sierra</v>
          </cell>
          <cell r="E1710" t="str">
            <v>F</v>
          </cell>
          <cell r="F1710" t="str">
            <v>negra</v>
          </cell>
          <cell r="K1710" t="str">
            <v>Técnico Superior</v>
          </cell>
          <cell r="L1710" t="str">
            <v>Si</v>
          </cell>
          <cell r="O1710" t="str">
            <v>Médico</v>
          </cell>
        </row>
        <row r="1711">
          <cell r="C1711" t="str">
            <v>Liena Acosta Rodriguez</v>
          </cell>
          <cell r="E1711" t="str">
            <v>F</v>
          </cell>
          <cell r="F1711" t="str">
            <v>mestiza</v>
          </cell>
          <cell r="K1711" t="str">
            <v>Técnico Superior</v>
          </cell>
          <cell r="L1711" t="str">
            <v>Si</v>
          </cell>
          <cell r="O1711" t="str">
            <v>Médico</v>
          </cell>
        </row>
        <row r="1712">
          <cell r="C1712" t="str">
            <v>Lilianne Montero Castro</v>
          </cell>
          <cell r="E1712" t="str">
            <v>F</v>
          </cell>
          <cell r="F1712" t="str">
            <v>mestiza</v>
          </cell>
          <cell r="K1712" t="str">
            <v>Técnico Superior</v>
          </cell>
          <cell r="L1712" t="str">
            <v>Si</v>
          </cell>
          <cell r="O1712" t="str">
            <v>Médico</v>
          </cell>
        </row>
        <row r="1713">
          <cell r="C1713" t="str">
            <v>Lisandra De La Caridad Plutín Riviaux</v>
          </cell>
          <cell r="E1713" t="str">
            <v>F</v>
          </cell>
          <cell r="F1713" t="str">
            <v>mestiza</v>
          </cell>
          <cell r="K1713" t="str">
            <v>Técnico Superior</v>
          </cell>
          <cell r="L1713" t="str">
            <v>Si</v>
          </cell>
          <cell r="O1713" t="str">
            <v>Médico</v>
          </cell>
        </row>
        <row r="1714">
          <cell r="C1714" t="str">
            <v>Lisandra Rodriguez Guía</v>
          </cell>
          <cell r="E1714" t="str">
            <v>F</v>
          </cell>
          <cell r="F1714" t="str">
            <v>mestiza</v>
          </cell>
          <cell r="K1714" t="str">
            <v>Técnico Superior</v>
          </cell>
          <cell r="L1714" t="str">
            <v>Si</v>
          </cell>
          <cell r="O1714" t="str">
            <v>Médico</v>
          </cell>
        </row>
        <row r="1715">
          <cell r="C1715" t="str">
            <v>Lisbel Castillo Guerra</v>
          </cell>
          <cell r="E1715" t="str">
            <v>F</v>
          </cell>
          <cell r="F1715" t="str">
            <v>mestiza</v>
          </cell>
          <cell r="K1715" t="str">
            <v>Técnico Superior</v>
          </cell>
          <cell r="L1715" t="str">
            <v>Si</v>
          </cell>
          <cell r="O1715" t="str">
            <v>Médico</v>
          </cell>
        </row>
        <row r="1716">
          <cell r="C1716" t="str">
            <v>Lisbeth Toro Serrano</v>
          </cell>
          <cell r="E1716" t="str">
            <v>F</v>
          </cell>
          <cell r="F1716" t="str">
            <v>negra</v>
          </cell>
          <cell r="K1716" t="str">
            <v>Técnico Superior</v>
          </cell>
          <cell r="L1716" t="str">
            <v>Si</v>
          </cell>
          <cell r="O1716" t="str">
            <v>Médico</v>
          </cell>
        </row>
        <row r="1717">
          <cell r="C1717" t="str">
            <v>Lisbetty Matos Mejias</v>
          </cell>
          <cell r="E1717" t="str">
            <v>F</v>
          </cell>
          <cell r="F1717" t="str">
            <v>blanca</v>
          </cell>
          <cell r="K1717" t="str">
            <v>Técnico Superior</v>
          </cell>
          <cell r="L1717" t="str">
            <v>Si</v>
          </cell>
          <cell r="O1717" t="str">
            <v>Médico</v>
          </cell>
        </row>
        <row r="1718">
          <cell r="C1718" t="str">
            <v>Lisset Silega Martinez</v>
          </cell>
          <cell r="E1718" t="str">
            <v>F</v>
          </cell>
          <cell r="F1718" t="str">
            <v>mestiza</v>
          </cell>
          <cell r="K1718" t="str">
            <v>Técnico Superior</v>
          </cell>
          <cell r="L1718" t="str">
            <v>Si</v>
          </cell>
          <cell r="O1718" t="str">
            <v>Médico</v>
          </cell>
        </row>
        <row r="1719">
          <cell r="C1719" t="str">
            <v>Lissy Leanne García Vega</v>
          </cell>
          <cell r="E1719" t="str">
            <v>F</v>
          </cell>
          <cell r="F1719" t="str">
            <v>negra</v>
          </cell>
          <cell r="K1719" t="str">
            <v>Técnico Superior</v>
          </cell>
          <cell r="L1719" t="str">
            <v>Si</v>
          </cell>
          <cell r="O1719" t="str">
            <v>Médico</v>
          </cell>
        </row>
        <row r="1720">
          <cell r="C1720" t="str">
            <v>Lourdes María Hechavarría Casero</v>
          </cell>
          <cell r="E1720" t="str">
            <v>F</v>
          </cell>
          <cell r="F1720" t="str">
            <v>negra</v>
          </cell>
          <cell r="K1720" t="str">
            <v>Técnico Superior</v>
          </cell>
          <cell r="L1720" t="str">
            <v>Si</v>
          </cell>
          <cell r="O1720" t="str">
            <v>Médico</v>
          </cell>
        </row>
        <row r="1721">
          <cell r="C1721" t="str">
            <v>Luis Hechavarria Cribe</v>
          </cell>
          <cell r="E1721" t="str">
            <v>M</v>
          </cell>
          <cell r="F1721" t="str">
            <v>mestiza</v>
          </cell>
          <cell r="K1721" t="str">
            <v>Técnico Superior</v>
          </cell>
          <cell r="L1721" t="str">
            <v>Si</v>
          </cell>
          <cell r="O1721" t="str">
            <v>Médico</v>
          </cell>
        </row>
        <row r="1722">
          <cell r="C1722" t="str">
            <v>Magyuris Castillo Vicente</v>
          </cell>
          <cell r="E1722" t="str">
            <v>F</v>
          </cell>
          <cell r="F1722" t="str">
            <v>mestiza</v>
          </cell>
          <cell r="K1722" t="str">
            <v>Técnico Superior</v>
          </cell>
          <cell r="L1722" t="str">
            <v>Si</v>
          </cell>
          <cell r="O1722" t="str">
            <v>Médico</v>
          </cell>
        </row>
        <row r="1723">
          <cell r="C1723" t="str">
            <v>Maibelyn Romero Silega</v>
          </cell>
          <cell r="E1723" t="str">
            <v>F</v>
          </cell>
          <cell r="F1723" t="str">
            <v>mestiza</v>
          </cell>
          <cell r="K1723" t="str">
            <v>Técnico Superior</v>
          </cell>
          <cell r="L1723" t="str">
            <v>Si</v>
          </cell>
          <cell r="O1723" t="str">
            <v>Médico</v>
          </cell>
        </row>
        <row r="1724">
          <cell r="C1724" t="str">
            <v>Marí Norkis Hechavarría Sagarra</v>
          </cell>
          <cell r="E1724" t="str">
            <v>F</v>
          </cell>
          <cell r="F1724" t="str">
            <v>negra</v>
          </cell>
          <cell r="K1724" t="str">
            <v>Técnico Superior</v>
          </cell>
          <cell r="L1724" t="str">
            <v>Si</v>
          </cell>
          <cell r="O1724" t="str">
            <v>Médico</v>
          </cell>
        </row>
        <row r="1725">
          <cell r="C1725" t="str">
            <v>María Caridad Kindelán Leonard</v>
          </cell>
          <cell r="E1725" t="str">
            <v>F</v>
          </cell>
          <cell r="F1725" t="str">
            <v>negra</v>
          </cell>
          <cell r="K1725" t="str">
            <v>Técnico Superior</v>
          </cell>
          <cell r="L1725" t="str">
            <v>Si</v>
          </cell>
          <cell r="O1725" t="str">
            <v>Médico</v>
          </cell>
        </row>
        <row r="1726">
          <cell r="C1726" t="str">
            <v>Maria De Los Angeles Romero Mora</v>
          </cell>
          <cell r="E1726" t="str">
            <v>F</v>
          </cell>
          <cell r="F1726" t="str">
            <v>mestiza</v>
          </cell>
          <cell r="K1726" t="str">
            <v>Técnico Superior</v>
          </cell>
          <cell r="L1726" t="str">
            <v>Si</v>
          </cell>
          <cell r="O1726" t="str">
            <v>Médico</v>
          </cell>
        </row>
        <row r="1727">
          <cell r="C1727" t="str">
            <v>Maria Elena Tur Velazquez</v>
          </cell>
          <cell r="E1727" t="str">
            <v>F</v>
          </cell>
          <cell r="F1727" t="str">
            <v>mestiza</v>
          </cell>
          <cell r="K1727" t="str">
            <v>Técnico Superior</v>
          </cell>
          <cell r="L1727" t="str">
            <v>Si</v>
          </cell>
          <cell r="O1727" t="str">
            <v>Médico</v>
          </cell>
        </row>
        <row r="1728">
          <cell r="C1728" t="str">
            <v>Marian García Ginarte</v>
          </cell>
          <cell r="E1728" t="str">
            <v>F</v>
          </cell>
          <cell r="F1728" t="str">
            <v>mestiza</v>
          </cell>
          <cell r="K1728" t="str">
            <v>Técnico Superior</v>
          </cell>
          <cell r="L1728" t="str">
            <v>Si</v>
          </cell>
          <cell r="O1728" t="str">
            <v>Médico</v>
          </cell>
        </row>
        <row r="1729">
          <cell r="C1729" t="str">
            <v>Marileydis Rubio Barrientos</v>
          </cell>
          <cell r="E1729" t="str">
            <v>F</v>
          </cell>
          <cell r="F1729" t="str">
            <v>mestiza</v>
          </cell>
          <cell r="K1729" t="str">
            <v>Técnico Superior</v>
          </cell>
          <cell r="L1729" t="str">
            <v>Si</v>
          </cell>
          <cell r="O1729" t="str">
            <v>Médico</v>
          </cell>
        </row>
        <row r="1730">
          <cell r="C1730" t="str">
            <v>Marlen Delas Mercantety</v>
          </cell>
          <cell r="E1730" t="str">
            <v>F</v>
          </cell>
          <cell r="F1730" t="str">
            <v>mestiza</v>
          </cell>
          <cell r="K1730" t="str">
            <v>Técnico Superior</v>
          </cell>
          <cell r="L1730" t="str">
            <v>Si</v>
          </cell>
          <cell r="O1730" t="str">
            <v>Médico</v>
          </cell>
        </row>
        <row r="1731">
          <cell r="C1731" t="str">
            <v>Marlenis Rivero Ferrera</v>
          </cell>
          <cell r="E1731" t="str">
            <v>F</v>
          </cell>
          <cell r="F1731" t="str">
            <v>mestiza</v>
          </cell>
          <cell r="K1731" t="str">
            <v>Técnico Superior</v>
          </cell>
          <cell r="L1731" t="str">
            <v>Si</v>
          </cell>
          <cell r="O1731" t="str">
            <v>Médico</v>
          </cell>
        </row>
        <row r="1732">
          <cell r="C1732" t="str">
            <v>Maylén Almenares Cruzata</v>
          </cell>
          <cell r="E1732" t="str">
            <v>F</v>
          </cell>
          <cell r="F1732" t="str">
            <v>mestiza</v>
          </cell>
          <cell r="K1732" t="str">
            <v>Técnico Superior</v>
          </cell>
          <cell r="L1732" t="str">
            <v>Si</v>
          </cell>
          <cell r="O1732" t="str">
            <v>Médico</v>
          </cell>
        </row>
        <row r="1733">
          <cell r="C1733" t="str">
            <v>Maylin Beltran Odio</v>
          </cell>
          <cell r="E1733" t="str">
            <v>F</v>
          </cell>
          <cell r="F1733" t="str">
            <v>mestiza</v>
          </cell>
          <cell r="K1733" t="str">
            <v>Técnico Superior</v>
          </cell>
          <cell r="L1733" t="str">
            <v>Si</v>
          </cell>
          <cell r="O1733" t="str">
            <v>Médico</v>
          </cell>
        </row>
        <row r="1734">
          <cell r="C1734" t="str">
            <v>Melisa Yenia Batista Coello</v>
          </cell>
          <cell r="E1734" t="str">
            <v>F</v>
          </cell>
          <cell r="F1734" t="str">
            <v>mestiza</v>
          </cell>
          <cell r="K1734" t="str">
            <v>Técnico Superior</v>
          </cell>
          <cell r="L1734" t="str">
            <v>Si</v>
          </cell>
          <cell r="O1734" t="str">
            <v>Médico</v>
          </cell>
        </row>
        <row r="1735">
          <cell r="C1735" t="str">
            <v>Miguel Angel Oliva Carbonell</v>
          </cell>
          <cell r="E1735" t="str">
            <v>M</v>
          </cell>
          <cell r="F1735" t="str">
            <v>negra</v>
          </cell>
          <cell r="K1735" t="str">
            <v>Técnico Superior</v>
          </cell>
          <cell r="L1735" t="str">
            <v>Si</v>
          </cell>
          <cell r="O1735" t="str">
            <v>Médico</v>
          </cell>
        </row>
        <row r="1736">
          <cell r="C1736" t="str">
            <v>Miguel Santana Melo</v>
          </cell>
          <cell r="E1736" t="str">
            <v>M</v>
          </cell>
          <cell r="F1736" t="str">
            <v>mestiza</v>
          </cell>
          <cell r="K1736" t="str">
            <v>Técnico Superior</v>
          </cell>
          <cell r="L1736" t="str">
            <v>Si</v>
          </cell>
          <cell r="O1736" t="str">
            <v>Médico</v>
          </cell>
        </row>
        <row r="1737">
          <cell r="C1737" t="str">
            <v>Milagros Castillo Auty</v>
          </cell>
          <cell r="E1737" t="str">
            <v>F</v>
          </cell>
          <cell r="F1737" t="str">
            <v>negra</v>
          </cell>
          <cell r="K1737" t="str">
            <v>Técnico Superior</v>
          </cell>
          <cell r="L1737" t="str">
            <v>Si</v>
          </cell>
          <cell r="O1737" t="str">
            <v>Médico</v>
          </cell>
        </row>
        <row r="1738">
          <cell r="C1738" t="str">
            <v>Milaidis Carrión Tamayo</v>
          </cell>
          <cell r="E1738" t="str">
            <v>F</v>
          </cell>
          <cell r="F1738" t="str">
            <v>negra</v>
          </cell>
          <cell r="K1738" t="str">
            <v>Técnico Superior</v>
          </cell>
          <cell r="L1738" t="str">
            <v>Si</v>
          </cell>
          <cell r="O1738" t="str">
            <v>Médico</v>
          </cell>
        </row>
        <row r="1739">
          <cell r="C1739" t="str">
            <v>Mildred Sanchez Matamoros</v>
          </cell>
          <cell r="E1739" t="str">
            <v>F</v>
          </cell>
          <cell r="F1739" t="str">
            <v>mestiza</v>
          </cell>
          <cell r="K1739" t="str">
            <v>Técnico Superior</v>
          </cell>
          <cell r="L1739" t="str">
            <v>Si</v>
          </cell>
          <cell r="O1739" t="str">
            <v>Médico</v>
          </cell>
        </row>
        <row r="1740">
          <cell r="C1740" t="str">
            <v>Mildrey López Arbelo</v>
          </cell>
          <cell r="E1740" t="str">
            <v>F</v>
          </cell>
          <cell r="F1740" t="str">
            <v>blanca</v>
          </cell>
          <cell r="K1740" t="str">
            <v>Técnico Superior</v>
          </cell>
          <cell r="L1740" t="str">
            <v>Si</v>
          </cell>
          <cell r="O1740" t="str">
            <v>Médico</v>
          </cell>
        </row>
        <row r="1741">
          <cell r="C1741" t="str">
            <v>Milena Rodriguez Heredia</v>
          </cell>
          <cell r="E1741" t="str">
            <v>F</v>
          </cell>
          <cell r="F1741" t="str">
            <v>mestiza</v>
          </cell>
          <cell r="K1741" t="str">
            <v>Técnico Superior</v>
          </cell>
          <cell r="L1741" t="str">
            <v>Si</v>
          </cell>
          <cell r="O1741" t="str">
            <v>Médico</v>
          </cell>
        </row>
        <row r="1742">
          <cell r="C1742" t="str">
            <v>Milkadis Villalon Jaca</v>
          </cell>
          <cell r="E1742" t="str">
            <v>F</v>
          </cell>
          <cell r="F1742" t="str">
            <v>negra</v>
          </cell>
          <cell r="K1742" t="str">
            <v>Cuadro</v>
          </cell>
          <cell r="L1742" t="str">
            <v>Si</v>
          </cell>
          <cell r="O1742" t="str">
            <v>Médico</v>
          </cell>
        </row>
        <row r="1743">
          <cell r="C1743" t="str">
            <v>Naivis Despaine Campos</v>
          </cell>
          <cell r="E1743" t="str">
            <v>F</v>
          </cell>
          <cell r="F1743" t="str">
            <v>mestiza</v>
          </cell>
          <cell r="K1743" t="str">
            <v>Técnico Superior</v>
          </cell>
          <cell r="L1743" t="str">
            <v>Si</v>
          </cell>
          <cell r="O1743" t="str">
            <v>Médico</v>
          </cell>
        </row>
        <row r="1744">
          <cell r="C1744" t="str">
            <v>Nayar Ahia Llorens Castellanos</v>
          </cell>
          <cell r="E1744" t="str">
            <v>F</v>
          </cell>
          <cell r="F1744" t="str">
            <v>mestiza</v>
          </cell>
          <cell r="K1744" t="str">
            <v>Técnico Superior</v>
          </cell>
          <cell r="L1744" t="str">
            <v>Si</v>
          </cell>
          <cell r="O1744" t="str">
            <v>Médico</v>
          </cell>
        </row>
        <row r="1745">
          <cell r="C1745" t="str">
            <v>Nayelis Sierra Sanchez</v>
          </cell>
          <cell r="E1745" t="str">
            <v>F</v>
          </cell>
          <cell r="F1745" t="str">
            <v>negra</v>
          </cell>
          <cell r="K1745" t="str">
            <v>Técnico Superior</v>
          </cell>
          <cell r="L1745" t="str">
            <v>Si</v>
          </cell>
          <cell r="O1745" t="str">
            <v>Médico</v>
          </cell>
        </row>
        <row r="1746">
          <cell r="C1746" t="str">
            <v>Nelsi Mayeta Rosado</v>
          </cell>
          <cell r="E1746" t="str">
            <v>F</v>
          </cell>
          <cell r="F1746" t="str">
            <v>negra</v>
          </cell>
          <cell r="K1746" t="str">
            <v>Técnico Superior</v>
          </cell>
          <cell r="L1746" t="str">
            <v>Si</v>
          </cell>
          <cell r="O1746" t="str">
            <v>Médico</v>
          </cell>
        </row>
        <row r="1747">
          <cell r="C1747" t="str">
            <v>Nelvis Delis Mustelier</v>
          </cell>
          <cell r="E1747" t="str">
            <v>F</v>
          </cell>
          <cell r="F1747" t="str">
            <v>negra</v>
          </cell>
          <cell r="K1747" t="str">
            <v>Técnico Superior</v>
          </cell>
          <cell r="L1747" t="str">
            <v>Si</v>
          </cell>
          <cell r="O1747" t="str">
            <v>Médico</v>
          </cell>
        </row>
        <row r="1748">
          <cell r="C1748" t="str">
            <v>Nidia Castelnaux Cobas</v>
          </cell>
          <cell r="E1748" t="str">
            <v>F</v>
          </cell>
          <cell r="F1748" t="str">
            <v>blanca</v>
          </cell>
          <cell r="K1748" t="str">
            <v>Técnico Superior</v>
          </cell>
          <cell r="L1748" t="str">
            <v>Si</v>
          </cell>
          <cell r="O1748" t="str">
            <v>Médico</v>
          </cell>
        </row>
        <row r="1749">
          <cell r="C1749" t="str">
            <v>Nodalis Alvarez Chaveco</v>
          </cell>
          <cell r="E1749" t="str">
            <v>F</v>
          </cell>
          <cell r="F1749" t="str">
            <v>mestiza</v>
          </cell>
          <cell r="K1749" t="str">
            <v>Técnico Superior</v>
          </cell>
          <cell r="L1749" t="str">
            <v>Si</v>
          </cell>
          <cell r="O1749" t="str">
            <v>Médico</v>
          </cell>
        </row>
        <row r="1750">
          <cell r="C1750" t="str">
            <v>Noralys Suarez Caballero</v>
          </cell>
          <cell r="E1750" t="str">
            <v>F</v>
          </cell>
          <cell r="F1750" t="str">
            <v>mestiza</v>
          </cell>
          <cell r="K1750" t="str">
            <v>Técnico Superior</v>
          </cell>
          <cell r="L1750" t="str">
            <v>Si</v>
          </cell>
          <cell r="O1750" t="str">
            <v>Médico</v>
          </cell>
        </row>
        <row r="1751">
          <cell r="C1751" t="str">
            <v>Norberto Soler Fernandez</v>
          </cell>
          <cell r="E1751" t="str">
            <v>M</v>
          </cell>
          <cell r="F1751" t="str">
            <v>negra</v>
          </cell>
          <cell r="K1751" t="str">
            <v>Técnico Superior</v>
          </cell>
          <cell r="L1751" t="str">
            <v>Si</v>
          </cell>
          <cell r="O1751" t="str">
            <v>Médico</v>
          </cell>
        </row>
        <row r="1752">
          <cell r="C1752" t="str">
            <v>Nubia Castillo Limonta</v>
          </cell>
          <cell r="E1752" t="str">
            <v>F</v>
          </cell>
          <cell r="F1752" t="str">
            <v>mestiza</v>
          </cell>
          <cell r="K1752" t="str">
            <v>Técnico Superior</v>
          </cell>
          <cell r="L1752" t="str">
            <v>Si</v>
          </cell>
          <cell r="O1752" t="str">
            <v>Médico</v>
          </cell>
        </row>
        <row r="1753">
          <cell r="C1753" t="str">
            <v>Oleida Elizabeth Rodriguez</v>
          </cell>
          <cell r="E1753" t="str">
            <v>F</v>
          </cell>
          <cell r="F1753" t="str">
            <v>Blanca</v>
          </cell>
          <cell r="K1753" t="str">
            <v>Técnico Superior</v>
          </cell>
          <cell r="L1753" t="str">
            <v>No</v>
          </cell>
          <cell r="O1753" t="str">
            <v>Médico</v>
          </cell>
        </row>
        <row r="1754">
          <cell r="C1754" t="str">
            <v>Orialis Oduardo Pérez</v>
          </cell>
          <cell r="E1754" t="str">
            <v>F</v>
          </cell>
          <cell r="F1754" t="str">
            <v>negra</v>
          </cell>
          <cell r="K1754" t="str">
            <v>Técnico Superior</v>
          </cell>
          <cell r="L1754" t="str">
            <v>Si</v>
          </cell>
          <cell r="O1754" t="str">
            <v>Médico</v>
          </cell>
        </row>
        <row r="1755">
          <cell r="C1755" t="str">
            <v>Orlando Fernández Lahera</v>
          </cell>
          <cell r="E1755" t="str">
            <v>M</v>
          </cell>
          <cell r="F1755" t="str">
            <v>negra</v>
          </cell>
          <cell r="K1755" t="str">
            <v>Técnico Superior</v>
          </cell>
          <cell r="L1755" t="str">
            <v>Si</v>
          </cell>
          <cell r="O1755" t="str">
            <v>Médico</v>
          </cell>
        </row>
        <row r="1756">
          <cell r="C1756" t="str">
            <v>Orlando Plana Negret</v>
          </cell>
          <cell r="E1756" t="str">
            <v>M</v>
          </cell>
          <cell r="F1756" t="str">
            <v>negra</v>
          </cell>
          <cell r="K1756" t="str">
            <v>Técnico Superior</v>
          </cell>
          <cell r="L1756" t="str">
            <v>Si</v>
          </cell>
          <cell r="O1756" t="str">
            <v>Médico</v>
          </cell>
        </row>
        <row r="1757">
          <cell r="C1757" t="str">
            <v>Osmani Suárez Sánchez</v>
          </cell>
          <cell r="E1757" t="str">
            <v>M</v>
          </cell>
          <cell r="F1757" t="str">
            <v>blanca</v>
          </cell>
          <cell r="K1757" t="str">
            <v>Técnico Superior</v>
          </cell>
          <cell r="L1757" t="str">
            <v>Si</v>
          </cell>
          <cell r="O1757" t="str">
            <v>Médico</v>
          </cell>
        </row>
        <row r="1758">
          <cell r="C1758" t="str">
            <v>Osmar Gómez Cala</v>
          </cell>
          <cell r="E1758" t="str">
            <v>M</v>
          </cell>
          <cell r="F1758" t="str">
            <v>Mestiza</v>
          </cell>
          <cell r="K1758" t="str">
            <v>Técnico Superior</v>
          </cell>
          <cell r="L1758" t="str">
            <v>No</v>
          </cell>
          <cell r="O1758" t="str">
            <v>Médico</v>
          </cell>
        </row>
        <row r="1759">
          <cell r="C1759" t="str">
            <v>Rafaela Rosa Curuniaux Ramirez</v>
          </cell>
          <cell r="E1759" t="str">
            <v>F</v>
          </cell>
          <cell r="F1759" t="str">
            <v>negra</v>
          </cell>
          <cell r="K1759" t="str">
            <v>Técnico Superior</v>
          </cell>
          <cell r="L1759" t="str">
            <v>Si</v>
          </cell>
          <cell r="O1759" t="str">
            <v>Médico</v>
          </cell>
        </row>
        <row r="1760">
          <cell r="C1760" t="str">
            <v>Railán MACEO MUSTELIER</v>
          </cell>
          <cell r="E1760" t="str">
            <v>M</v>
          </cell>
          <cell r="F1760" t="str">
            <v>mestiza</v>
          </cell>
          <cell r="K1760" t="str">
            <v>Técnico Superior</v>
          </cell>
          <cell r="L1760" t="str">
            <v>Si</v>
          </cell>
          <cell r="O1760" t="str">
            <v>Médico</v>
          </cell>
        </row>
        <row r="1761">
          <cell r="C1761" t="str">
            <v>RAISI ANGELA GAINZA SABATIS</v>
          </cell>
          <cell r="E1761" t="str">
            <v>F</v>
          </cell>
          <cell r="F1761" t="str">
            <v>mestiza</v>
          </cell>
          <cell r="K1761" t="str">
            <v>Técnico Superior</v>
          </cell>
          <cell r="L1761" t="str">
            <v>Si</v>
          </cell>
          <cell r="O1761" t="str">
            <v>Médico</v>
          </cell>
        </row>
        <row r="1762">
          <cell r="C1762" t="str">
            <v>Raiza Chaveco Preval</v>
          </cell>
          <cell r="E1762" t="str">
            <v>F</v>
          </cell>
          <cell r="F1762" t="str">
            <v>mestiza</v>
          </cell>
          <cell r="K1762" t="str">
            <v>Técnico Superior</v>
          </cell>
          <cell r="L1762" t="str">
            <v>Si</v>
          </cell>
          <cell r="O1762" t="str">
            <v>Médico</v>
          </cell>
        </row>
        <row r="1763">
          <cell r="C1763" t="str">
            <v>REINIER DIAZ MENDOZA</v>
          </cell>
          <cell r="E1763" t="str">
            <v>M</v>
          </cell>
          <cell r="F1763" t="str">
            <v>blanca</v>
          </cell>
          <cell r="K1763" t="str">
            <v>Técnico Superior</v>
          </cell>
          <cell r="L1763" t="str">
            <v>Si</v>
          </cell>
          <cell r="O1763" t="str">
            <v>Médico</v>
          </cell>
        </row>
        <row r="1764">
          <cell r="C1764" t="str">
            <v>Rey David Napoles</v>
          </cell>
          <cell r="E1764" t="str">
            <v>M</v>
          </cell>
          <cell r="F1764" t="str">
            <v>negra</v>
          </cell>
          <cell r="K1764" t="str">
            <v>Técnico Superior</v>
          </cell>
          <cell r="L1764" t="str">
            <v>No</v>
          </cell>
          <cell r="O1764" t="str">
            <v>Médico</v>
          </cell>
        </row>
        <row r="1765">
          <cell r="C1765" t="str">
            <v>Richar Barroso Tumbanell</v>
          </cell>
          <cell r="E1765" t="str">
            <v>M</v>
          </cell>
          <cell r="F1765" t="str">
            <v>negra</v>
          </cell>
          <cell r="K1765" t="str">
            <v>Técnico Superior</v>
          </cell>
          <cell r="L1765" t="str">
            <v>Si</v>
          </cell>
          <cell r="O1765" t="str">
            <v>Médico</v>
          </cell>
        </row>
        <row r="1766">
          <cell r="C1766" t="str">
            <v>Rosa Lidis Castellanos Pierez</v>
          </cell>
          <cell r="E1766" t="str">
            <v>F</v>
          </cell>
          <cell r="F1766" t="str">
            <v>blanca</v>
          </cell>
          <cell r="K1766" t="str">
            <v>Técnico Superior</v>
          </cell>
          <cell r="L1766" t="str">
            <v>Si</v>
          </cell>
          <cell r="O1766" t="str">
            <v>Médico</v>
          </cell>
        </row>
        <row r="1767">
          <cell r="C1767" t="str">
            <v>Rosmery Muñoz Betancourt</v>
          </cell>
          <cell r="E1767" t="str">
            <v>F</v>
          </cell>
          <cell r="F1767" t="str">
            <v>mestiza</v>
          </cell>
          <cell r="K1767" t="str">
            <v>Técnico Superior</v>
          </cell>
          <cell r="L1767" t="str">
            <v>Si</v>
          </cell>
          <cell r="O1767" t="str">
            <v>Médico</v>
          </cell>
        </row>
        <row r="1768">
          <cell r="C1768" t="str">
            <v>Roxana Batista Santana</v>
          </cell>
          <cell r="E1768" t="str">
            <v>F</v>
          </cell>
          <cell r="F1768" t="str">
            <v>Mestiza</v>
          </cell>
          <cell r="K1768" t="str">
            <v>Técnico Superior</v>
          </cell>
          <cell r="L1768" t="str">
            <v>No</v>
          </cell>
          <cell r="O1768" t="str">
            <v>Médico</v>
          </cell>
        </row>
        <row r="1769">
          <cell r="C1769" t="str">
            <v>Santiago Romero Garbey</v>
          </cell>
          <cell r="E1769" t="str">
            <v>M</v>
          </cell>
          <cell r="F1769" t="str">
            <v>mestiza</v>
          </cell>
          <cell r="K1769" t="str">
            <v>Técnico Superior</v>
          </cell>
          <cell r="L1769" t="str">
            <v>Si</v>
          </cell>
          <cell r="O1769" t="str">
            <v>Médico</v>
          </cell>
        </row>
        <row r="1770">
          <cell r="C1770" t="str">
            <v>Sheila Rosa Reyes Casanova</v>
          </cell>
          <cell r="E1770" t="str">
            <v>F</v>
          </cell>
          <cell r="F1770" t="str">
            <v>mestiza</v>
          </cell>
          <cell r="K1770" t="str">
            <v>Técnico Superior</v>
          </cell>
          <cell r="L1770" t="str">
            <v>Si</v>
          </cell>
          <cell r="O1770" t="str">
            <v>Médico</v>
          </cell>
        </row>
        <row r="1771">
          <cell r="C1771" t="str">
            <v>Solanch Bell Parlay</v>
          </cell>
          <cell r="E1771" t="str">
            <v>F</v>
          </cell>
          <cell r="F1771" t="str">
            <v>negra</v>
          </cell>
          <cell r="K1771" t="str">
            <v>Técnico Superior</v>
          </cell>
          <cell r="L1771" t="str">
            <v>Si</v>
          </cell>
          <cell r="O1771" t="str">
            <v>Médico</v>
          </cell>
        </row>
        <row r="1772">
          <cell r="C1772" t="str">
            <v>Soraisbel Ríos Zayas</v>
          </cell>
          <cell r="E1772" t="str">
            <v>F</v>
          </cell>
          <cell r="F1772" t="str">
            <v>mestiza</v>
          </cell>
          <cell r="K1772" t="str">
            <v>Técnico Superior</v>
          </cell>
          <cell r="L1772" t="str">
            <v>Si</v>
          </cell>
          <cell r="O1772" t="str">
            <v>Médico</v>
          </cell>
        </row>
        <row r="1773">
          <cell r="C1773" t="str">
            <v>Suraidis Hernandez Vinent</v>
          </cell>
          <cell r="E1773" t="str">
            <v>F</v>
          </cell>
          <cell r="F1773" t="str">
            <v>mestiza</v>
          </cell>
          <cell r="K1773" t="str">
            <v>Técnico Superior</v>
          </cell>
          <cell r="L1773" t="str">
            <v>Si</v>
          </cell>
          <cell r="O1773" t="str">
            <v>Médico</v>
          </cell>
        </row>
        <row r="1774">
          <cell r="C1774" t="str">
            <v>Surimaily Pérez García</v>
          </cell>
          <cell r="E1774" t="str">
            <v>F</v>
          </cell>
          <cell r="F1774" t="str">
            <v>mestiza</v>
          </cell>
          <cell r="K1774" t="str">
            <v>Técnico Superior</v>
          </cell>
          <cell r="L1774" t="str">
            <v>Si</v>
          </cell>
          <cell r="O1774" t="str">
            <v>Médico</v>
          </cell>
        </row>
        <row r="1775">
          <cell r="C1775" t="str">
            <v>Tailyn Alejandro Guevara</v>
          </cell>
          <cell r="E1775" t="str">
            <v>F</v>
          </cell>
          <cell r="F1775" t="str">
            <v>mestiza</v>
          </cell>
          <cell r="K1775" t="str">
            <v>Técnico Superior</v>
          </cell>
          <cell r="L1775" t="str">
            <v>Si</v>
          </cell>
          <cell r="O1775" t="str">
            <v>Médico</v>
          </cell>
        </row>
        <row r="1776">
          <cell r="C1776" t="str">
            <v>Taimara Rivera Falcon</v>
          </cell>
          <cell r="E1776" t="str">
            <v>F</v>
          </cell>
          <cell r="F1776" t="str">
            <v>mestiza</v>
          </cell>
          <cell r="K1776" t="str">
            <v>Técnico Superior</v>
          </cell>
          <cell r="L1776" t="str">
            <v>Si</v>
          </cell>
          <cell r="O1776" t="str">
            <v>Médico</v>
          </cell>
        </row>
        <row r="1777">
          <cell r="C1777" t="str">
            <v>Thaimí Barroso Palau</v>
          </cell>
          <cell r="E1777" t="str">
            <v>F</v>
          </cell>
          <cell r="F1777" t="str">
            <v>mestiza</v>
          </cell>
          <cell r="K1777" t="str">
            <v>Técnico Superior</v>
          </cell>
          <cell r="L1777" t="str">
            <v>Si</v>
          </cell>
          <cell r="O1777" t="str">
            <v>Médico</v>
          </cell>
        </row>
        <row r="1778">
          <cell r="C1778" t="str">
            <v>Thaimi Vargas Plana</v>
          </cell>
          <cell r="E1778" t="str">
            <v>F</v>
          </cell>
          <cell r="F1778" t="str">
            <v>negra</v>
          </cell>
          <cell r="K1778" t="str">
            <v>Técnico Superior</v>
          </cell>
          <cell r="L1778" t="str">
            <v>Si</v>
          </cell>
          <cell r="O1778" t="str">
            <v>Médico</v>
          </cell>
        </row>
        <row r="1779">
          <cell r="C1779" t="str">
            <v>Virgen Caridad David Sierra</v>
          </cell>
          <cell r="E1779" t="str">
            <v>F</v>
          </cell>
          <cell r="F1779" t="str">
            <v>mestiza</v>
          </cell>
          <cell r="K1779" t="str">
            <v>Técnico Superior</v>
          </cell>
          <cell r="L1779" t="str">
            <v>Si</v>
          </cell>
          <cell r="O1779" t="str">
            <v>Médico</v>
          </cell>
        </row>
        <row r="1780">
          <cell r="C1780" t="str">
            <v>William Gómez Zamora</v>
          </cell>
          <cell r="E1780" t="str">
            <v>M</v>
          </cell>
          <cell r="F1780" t="str">
            <v>mestiza</v>
          </cell>
          <cell r="K1780" t="str">
            <v>Técnico Superior</v>
          </cell>
          <cell r="L1780" t="str">
            <v>Si</v>
          </cell>
          <cell r="O1780" t="str">
            <v>Médico</v>
          </cell>
        </row>
        <row r="1781">
          <cell r="C1781" t="str">
            <v>Yadira Díaz Areas</v>
          </cell>
          <cell r="E1781" t="str">
            <v>F</v>
          </cell>
          <cell r="F1781" t="str">
            <v>blanca</v>
          </cell>
          <cell r="K1781" t="str">
            <v>Técnico Superior</v>
          </cell>
          <cell r="L1781" t="str">
            <v>Si</v>
          </cell>
          <cell r="O1781" t="str">
            <v>Médico</v>
          </cell>
        </row>
        <row r="1782">
          <cell r="C1782" t="str">
            <v>Yailin Anaya Millares</v>
          </cell>
          <cell r="E1782" t="str">
            <v>F</v>
          </cell>
          <cell r="F1782" t="str">
            <v>mestiza</v>
          </cell>
          <cell r="K1782" t="str">
            <v>Técnico Superior</v>
          </cell>
          <cell r="L1782" t="str">
            <v>Si</v>
          </cell>
          <cell r="O1782" t="str">
            <v>Médico</v>
          </cell>
        </row>
        <row r="1783">
          <cell r="C1783" t="str">
            <v>Yaima Almeida Hurtado</v>
          </cell>
          <cell r="E1783" t="str">
            <v>F</v>
          </cell>
          <cell r="F1783" t="str">
            <v>negra</v>
          </cell>
          <cell r="K1783" t="str">
            <v>Técnico Superior</v>
          </cell>
          <cell r="L1783" t="str">
            <v>Si</v>
          </cell>
          <cell r="O1783" t="str">
            <v>Médico</v>
          </cell>
        </row>
        <row r="1784">
          <cell r="C1784" t="str">
            <v>Yairenis Dussac Galvez</v>
          </cell>
          <cell r="E1784" t="str">
            <v>F</v>
          </cell>
          <cell r="F1784" t="str">
            <v>mestiza</v>
          </cell>
          <cell r="K1784" t="str">
            <v>Cuadro</v>
          </cell>
          <cell r="L1784" t="str">
            <v>Si</v>
          </cell>
          <cell r="O1784" t="str">
            <v>Médico</v>
          </cell>
        </row>
        <row r="1785">
          <cell r="C1785" t="str">
            <v>Yaismaray Alvarez Pellicier</v>
          </cell>
          <cell r="E1785" t="str">
            <v>F</v>
          </cell>
          <cell r="F1785" t="str">
            <v>mestiza</v>
          </cell>
          <cell r="K1785" t="str">
            <v>Técnico Superior</v>
          </cell>
          <cell r="L1785" t="str">
            <v>Si</v>
          </cell>
          <cell r="O1785" t="str">
            <v>Médico</v>
          </cell>
        </row>
        <row r="1786">
          <cell r="C1786" t="str">
            <v>Yamila Hernandez Montoya</v>
          </cell>
          <cell r="E1786" t="str">
            <v>F</v>
          </cell>
          <cell r="F1786" t="str">
            <v>mestiza</v>
          </cell>
          <cell r="K1786" t="str">
            <v>Técnico Superior</v>
          </cell>
          <cell r="L1786" t="str">
            <v>Si</v>
          </cell>
          <cell r="O1786" t="str">
            <v>Médico</v>
          </cell>
        </row>
        <row r="1787">
          <cell r="C1787" t="str">
            <v>Yamile Boloy Mesigñan</v>
          </cell>
          <cell r="E1787" t="str">
            <v>F</v>
          </cell>
          <cell r="F1787" t="str">
            <v>mestiza</v>
          </cell>
          <cell r="K1787" t="str">
            <v>Técnico Superior</v>
          </cell>
          <cell r="L1787" t="str">
            <v>Si</v>
          </cell>
          <cell r="O1787" t="str">
            <v>Médico</v>
          </cell>
        </row>
        <row r="1788">
          <cell r="C1788" t="str">
            <v>Yamileidis Ferrer Muñoz</v>
          </cell>
          <cell r="E1788" t="str">
            <v>F</v>
          </cell>
          <cell r="F1788" t="str">
            <v>negra</v>
          </cell>
          <cell r="K1788" t="str">
            <v>Técnico Superior</v>
          </cell>
          <cell r="L1788" t="str">
            <v>Si</v>
          </cell>
          <cell r="O1788" t="str">
            <v>Médico</v>
          </cell>
        </row>
        <row r="1789">
          <cell r="C1789" t="str">
            <v>Yanais Regalado Alvarez</v>
          </cell>
          <cell r="E1789" t="str">
            <v>F</v>
          </cell>
          <cell r="F1789" t="str">
            <v>blanca</v>
          </cell>
          <cell r="K1789" t="str">
            <v>Técnico Superior</v>
          </cell>
          <cell r="L1789" t="str">
            <v>Si</v>
          </cell>
          <cell r="O1789" t="str">
            <v>Médico</v>
          </cell>
        </row>
        <row r="1790">
          <cell r="C1790" t="str">
            <v>Yanara Lora López</v>
          </cell>
          <cell r="E1790" t="str">
            <v>F</v>
          </cell>
          <cell r="F1790" t="str">
            <v>mestiza</v>
          </cell>
          <cell r="K1790" t="str">
            <v>Técnico Superior</v>
          </cell>
          <cell r="L1790" t="str">
            <v>Si</v>
          </cell>
          <cell r="O1790" t="str">
            <v>Médico</v>
          </cell>
        </row>
        <row r="1791">
          <cell r="C1791" t="str">
            <v>Yanelis Mengana Rodriuez</v>
          </cell>
          <cell r="E1791" t="str">
            <v>F</v>
          </cell>
          <cell r="F1791" t="str">
            <v>blanca</v>
          </cell>
          <cell r="K1791" t="str">
            <v>Técnico Superior</v>
          </cell>
          <cell r="L1791" t="str">
            <v>Si</v>
          </cell>
          <cell r="O1791" t="str">
            <v>Médico</v>
          </cell>
        </row>
        <row r="1792">
          <cell r="C1792" t="str">
            <v>Yanelis Rodriguez Rodriguez</v>
          </cell>
          <cell r="E1792" t="str">
            <v>F</v>
          </cell>
          <cell r="F1792" t="str">
            <v>blanca</v>
          </cell>
          <cell r="K1792" t="str">
            <v>Técnico Superior</v>
          </cell>
          <cell r="L1792" t="str">
            <v>Si</v>
          </cell>
          <cell r="O1792" t="str">
            <v>Médico</v>
          </cell>
        </row>
        <row r="1793">
          <cell r="C1793" t="str">
            <v>Yanelis Zulaiki Douforneaux Alonso</v>
          </cell>
          <cell r="E1793" t="str">
            <v>F</v>
          </cell>
          <cell r="F1793" t="str">
            <v>mestiza</v>
          </cell>
          <cell r="K1793" t="str">
            <v>Técnico Superior</v>
          </cell>
          <cell r="L1793" t="str">
            <v>Si</v>
          </cell>
          <cell r="O1793" t="str">
            <v>Médico</v>
          </cell>
        </row>
        <row r="1794">
          <cell r="C1794" t="str">
            <v>Yanelkis Orozco Fernández</v>
          </cell>
          <cell r="E1794" t="str">
            <v>F</v>
          </cell>
          <cell r="F1794" t="str">
            <v>negra</v>
          </cell>
          <cell r="K1794" t="str">
            <v>Técnico Superior</v>
          </cell>
          <cell r="L1794" t="str">
            <v>Si</v>
          </cell>
          <cell r="O1794" t="str">
            <v>Médico</v>
          </cell>
        </row>
        <row r="1795">
          <cell r="C1795" t="str">
            <v>YANET GARCIA MARTINEZ</v>
          </cell>
          <cell r="E1795" t="str">
            <v>F</v>
          </cell>
          <cell r="F1795" t="str">
            <v>blanca</v>
          </cell>
          <cell r="K1795" t="str">
            <v>Técnico Superior</v>
          </cell>
          <cell r="L1795" t="str">
            <v>Si</v>
          </cell>
          <cell r="O1795" t="str">
            <v>Médico</v>
          </cell>
        </row>
        <row r="1796">
          <cell r="C1796" t="str">
            <v>Yanet Gross Mengana</v>
          </cell>
          <cell r="E1796" t="str">
            <v>F</v>
          </cell>
          <cell r="F1796" t="str">
            <v>negra</v>
          </cell>
          <cell r="K1796" t="str">
            <v>Técnico Superior</v>
          </cell>
          <cell r="L1796" t="str">
            <v>Si</v>
          </cell>
          <cell r="O1796" t="str">
            <v>Médico</v>
          </cell>
        </row>
        <row r="1797">
          <cell r="C1797" t="str">
            <v>Yanet Lameda Almenares</v>
          </cell>
          <cell r="E1797" t="str">
            <v>F</v>
          </cell>
          <cell r="F1797" t="str">
            <v>blanca</v>
          </cell>
          <cell r="K1797" t="str">
            <v>Cuadro</v>
          </cell>
          <cell r="L1797" t="str">
            <v>Si</v>
          </cell>
          <cell r="O1797" t="str">
            <v>Médico</v>
          </cell>
        </row>
        <row r="1798">
          <cell r="C1798" t="str">
            <v>Yanibelis Ferrer Muñoz</v>
          </cell>
          <cell r="E1798" t="str">
            <v>F</v>
          </cell>
          <cell r="F1798" t="str">
            <v>negra</v>
          </cell>
          <cell r="K1798" t="str">
            <v>Técnico Superior</v>
          </cell>
          <cell r="L1798" t="str">
            <v>Si</v>
          </cell>
          <cell r="O1798" t="str">
            <v>Médico</v>
          </cell>
        </row>
        <row r="1799">
          <cell r="C1799" t="str">
            <v>Yanisleydis Acosta Alvarez</v>
          </cell>
          <cell r="E1799" t="str">
            <v>F</v>
          </cell>
          <cell r="F1799" t="str">
            <v>mestiza</v>
          </cell>
          <cell r="K1799" t="str">
            <v>Técnico Superior</v>
          </cell>
          <cell r="L1799" t="str">
            <v>Si</v>
          </cell>
          <cell r="O1799" t="str">
            <v>Médico</v>
          </cell>
        </row>
        <row r="1800">
          <cell r="C1800" t="str">
            <v>Yaolin Magaña Roman</v>
          </cell>
          <cell r="E1800" t="str">
            <v>F</v>
          </cell>
          <cell r="F1800" t="str">
            <v>mestiza</v>
          </cell>
          <cell r="K1800" t="str">
            <v>Técnico Superior</v>
          </cell>
          <cell r="L1800" t="str">
            <v>Si</v>
          </cell>
          <cell r="O1800" t="str">
            <v>Médico</v>
          </cell>
        </row>
        <row r="1801">
          <cell r="C1801" t="str">
            <v>Yarisbel Soto Bell</v>
          </cell>
          <cell r="E1801" t="str">
            <v>F</v>
          </cell>
          <cell r="F1801" t="str">
            <v>negra</v>
          </cell>
          <cell r="K1801" t="str">
            <v>Técnico Superior</v>
          </cell>
          <cell r="L1801" t="str">
            <v>Si</v>
          </cell>
          <cell r="O1801" t="str">
            <v>Médico</v>
          </cell>
        </row>
        <row r="1802">
          <cell r="C1802" t="str">
            <v>Yaritza Diaz Garcia</v>
          </cell>
          <cell r="E1802" t="str">
            <v>F</v>
          </cell>
          <cell r="F1802" t="str">
            <v>mestiza</v>
          </cell>
          <cell r="K1802" t="str">
            <v>Técnico Superior</v>
          </cell>
          <cell r="L1802" t="str">
            <v>Si</v>
          </cell>
          <cell r="O1802" t="str">
            <v>Médico</v>
          </cell>
        </row>
        <row r="1803">
          <cell r="C1803" t="str">
            <v>Yaritza García Reyes</v>
          </cell>
          <cell r="E1803" t="str">
            <v>F</v>
          </cell>
          <cell r="F1803" t="str">
            <v>mestiza</v>
          </cell>
          <cell r="K1803" t="str">
            <v>Técnico Superior</v>
          </cell>
          <cell r="L1803" t="str">
            <v>Si</v>
          </cell>
          <cell r="O1803" t="str">
            <v>Médico</v>
          </cell>
        </row>
        <row r="1804">
          <cell r="C1804" t="str">
            <v>Yaritza Torres Kindelan</v>
          </cell>
          <cell r="E1804" t="str">
            <v>F</v>
          </cell>
          <cell r="F1804" t="str">
            <v>mestiza</v>
          </cell>
          <cell r="K1804" t="str">
            <v>Técnico Superior</v>
          </cell>
          <cell r="L1804" t="str">
            <v>Si</v>
          </cell>
          <cell r="O1804" t="str">
            <v>Médico</v>
          </cell>
        </row>
        <row r="1805">
          <cell r="C1805" t="str">
            <v>YASMANI CANTILLO BOLOY</v>
          </cell>
          <cell r="E1805" t="str">
            <v>M</v>
          </cell>
          <cell r="F1805" t="str">
            <v>mestiza</v>
          </cell>
          <cell r="K1805" t="str">
            <v>Técnico Superior</v>
          </cell>
          <cell r="L1805" t="str">
            <v>Si</v>
          </cell>
          <cell r="O1805" t="str">
            <v>Médico</v>
          </cell>
        </row>
        <row r="1806">
          <cell r="C1806" t="str">
            <v>Ydalis Ferrer Hechavarría</v>
          </cell>
          <cell r="E1806" t="str">
            <v>F</v>
          </cell>
          <cell r="F1806" t="str">
            <v>negra</v>
          </cell>
          <cell r="K1806" t="str">
            <v>Técnico Superior</v>
          </cell>
          <cell r="L1806" t="str">
            <v>Si</v>
          </cell>
          <cell r="O1806" t="str">
            <v>Médico</v>
          </cell>
        </row>
        <row r="1807">
          <cell r="C1807" t="str">
            <v>Yedalis Concepción Napoles</v>
          </cell>
          <cell r="E1807" t="str">
            <v>F</v>
          </cell>
          <cell r="F1807" t="str">
            <v>Mestiza</v>
          </cell>
          <cell r="K1807" t="str">
            <v>Técnico Superior</v>
          </cell>
          <cell r="L1807" t="str">
            <v>No</v>
          </cell>
          <cell r="O1807" t="str">
            <v>Médico</v>
          </cell>
        </row>
        <row r="1808">
          <cell r="C1808" t="str">
            <v>Yelina Aranda Montero</v>
          </cell>
          <cell r="E1808" t="str">
            <v>F</v>
          </cell>
          <cell r="F1808" t="str">
            <v>mestiza</v>
          </cell>
          <cell r="K1808" t="str">
            <v>Técnico Superior</v>
          </cell>
          <cell r="L1808" t="str">
            <v>Si</v>
          </cell>
          <cell r="O1808" t="str">
            <v>Médico</v>
          </cell>
        </row>
        <row r="1809">
          <cell r="C1809" t="str">
            <v>Yerisleydis Ferrer Bonne</v>
          </cell>
          <cell r="E1809" t="str">
            <v>F</v>
          </cell>
          <cell r="F1809" t="str">
            <v>mestiza</v>
          </cell>
          <cell r="K1809" t="str">
            <v>Técnico Superior</v>
          </cell>
          <cell r="L1809" t="str">
            <v>Si</v>
          </cell>
          <cell r="O1809" t="str">
            <v>Médico</v>
          </cell>
        </row>
        <row r="1810">
          <cell r="C1810" t="str">
            <v>Yesenia Lay Godinez</v>
          </cell>
          <cell r="E1810" t="str">
            <v>F</v>
          </cell>
          <cell r="F1810" t="str">
            <v>mestiza</v>
          </cell>
          <cell r="K1810" t="str">
            <v>Técnico Superior</v>
          </cell>
          <cell r="L1810" t="str">
            <v>Si</v>
          </cell>
          <cell r="O1810" t="str">
            <v>Médico</v>
          </cell>
        </row>
        <row r="1811">
          <cell r="C1811" t="str">
            <v>Yisel Brossard Garbey</v>
          </cell>
          <cell r="E1811" t="str">
            <v>F</v>
          </cell>
          <cell r="F1811" t="str">
            <v>mestiza</v>
          </cell>
          <cell r="K1811" t="str">
            <v>Técnico Superior</v>
          </cell>
          <cell r="L1811" t="str">
            <v>Si</v>
          </cell>
          <cell r="O1811" t="str">
            <v>Médico</v>
          </cell>
        </row>
        <row r="1812">
          <cell r="C1812" t="str">
            <v>Yoanis Borrero Tamayo</v>
          </cell>
          <cell r="E1812" t="str">
            <v>M</v>
          </cell>
          <cell r="F1812" t="str">
            <v>mestiza</v>
          </cell>
          <cell r="K1812" t="str">
            <v>Técnico Superior</v>
          </cell>
          <cell r="L1812" t="str">
            <v>Si</v>
          </cell>
          <cell r="O1812" t="str">
            <v>Médico</v>
          </cell>
        </row>
        <row r="1813">
          <cell r="C1813" t="str">
            <v>Yoannis Ervael Curiaux</v>
          </cell>
          <cell r="E1813" t="str">
            <v>M</v>
          </cell>
          <cell r="F1813" t="str">
            <v>negra</v>
          </cell>
          <cell r="K1813" t="str">
            <v>Técnico Superior</v>
          </cell>
          <cell r="L1813" t="str">
            <v>Si</v>
          </cell>
          <cell r="O1813" t="str">
            <v>Médico</v>
          </cell>
        </row>
        <row r="1814">
          <cell r="C1814" t="str">
            <v>YOILAN RAMIREZ FUENTE</v>
          </cell>
          <cell r="E1814" t="str">
            <v>M</v>
          </cell>
          <cell r="F1814" t="str">
            <v>mestiza</v>
          </cell>
          <cell r="K1814" t="str">
            <v>Técnico Superior</v>
          </cell>
          <cell r="L1814" t="str">
            <v>Si</v>
          </cell>
          <cell r="O1814" t="str">
            <v>Médico</v>
          </cell>
        </row>
        <row r="1815">
          <cell r="C1815" t="str">
            <v>Yordanis Salazar Semetiel</v>
          </cell>
          <cell r="E1815" t="str">
            <v>M</v>
          </cell>
          <cell r="F1815" t="str">
            <v>negra</v>
          </cell>
          <cell r="K1815" t="str">
            <v>Técnico Superior</v>
          </cell>
          <cell r="L1815" t="str">
            <v>Si</v>
          </cell>
          <cell r="O1815" t="str">
            <v>Médico</v>
          </cell>
        </row>
        <row r="1816">
          <cell r="C1816" t="str">
            <v>Yordenis Romero Ruiz</v>
          </cell>
          <cell r="E1816" t="str">
            <v>F</v>
          </cell>
          <cell r="F1816" t="str">
            <v>negra</v>
          </cell>
          <cell r="K1816" t="str">
            <v>Técnico Superior</v>
          </cell>
          <cell r="L1816" t="str">
            <v>Si</v>
          </cell>
          <cell r="O1816" t="str">
            <v>Médico</v>
          </cell>
        </row>
        <row r="1817">
          <cell r="C1817" t="str">
            <v>YORLENIS ARBELO GONZALEZ</v>
          </cell>
          <cell r="E1817" t="str">
            <v>M</v>
          </cell>
          <cell r="F1817" t="str">
            <v>mestiza</v>
          </cell>
          <cell r="K1817" t="str">
            <v>Técnico Superior</v>
          </cell>
          <cell r="L1817" t="str">
            <v>Si</v>
          </cell>
          <cell r="O1817" t="str">
            <v>Médico</v>
          </cell>
        </row>
        <row r="1818">
          <cell r="C1818" t="str">
            <v>Yubelquis Bonilla Plutin</v>
          </cell>
          <cell r="E1818" t="str">
            <v>F</v>
          </cell>
          <cell r="F1818" t="str">
            <v>mestiza</v>
          </cell>
          <cell r="K1818" t="str">
            <v>Técnico Superior</v>
          </cell>
          <cell r="L1818" t="str">
            <v>Si</v>
          </cell>
          <cell r="O1818" t="str">
            <v>Médico</v>
          </cell>
        </row>
        <row r="1819">
          <cell r="C1819" t="str">
            <v>Yuliel Trujillo Moreno</v>
          </cell>
          <cell r="E1819" t="str">
            <v>M</v>
          </cell>
          <cell r="F1819" t="str">
            <v>mestiza</v>
          </cell>
          <cell r="K1819" t="str">
            <v>Cuadro</v>
          </cell>
          <cell r="L1819" t="str">
            <v>Si</v>
          </cell>
          <cell r="O1819" t="str">
            <v>Médico</v>
          </cell>
        </row>
        <row r="1820">
          <cell r="C1820" t="str">
            <v>Yuliet Durán Altarriba</v>
          </cell>
          <cell r="E1820" t="str">
            <v>F</v>
          </cell>
          <cell r="F1820" t="str">
            <v>mestiza</v>
          </cell>
          <cell r="K1820" t="str">
            <v>Técnico Superior</v>
          </cell>
          <cell r="L1820" t="str">
            <v>Si</v>
          </cell>
          <cell r="O1820" t="str">
            <v>Médico</v>
          </cell>
        </row>
        <row r="1821">
          <cell r="C1821" t="str">
            <v>YUNESKIS LLOPIZ COELLO</v>
          </cell>
          <cell r="E1821" t="str">
            <v>M</v>
          </cell>
          <cell r="F1821" t="str">
            <v>mestiza</v>
          </cell>
          <cell r="K1821" t="str">
            <v>Técnico Superior</v>
          </cell>
          <cell r="L1821" t="str">
            <v>Si</v>
          </cell>
          <cell r="O1821" t="str">
            <v>Médico</v>
          </cell>
        </row>
        <row r="1822">
          <cell r="C1822" t="str">
            <v>Yuniel Sariol Perez</v>
          </cell>
          <cell r="E1822" t="str">
            <v>M</v>
          </cell>
          <cell r="F1822" t="str">
            <v>negra</v>
          </cell>
          <cell r="K1822" t="str">
            <v>Técnico Superior</v>
          </cell>
          <cell r="L1822" t="str">
            <v>Si</v>
          </cell>
          <cell r="O1822" t="str">
            <v>Médico</v>
          </cell>
        </row>
        <row r="1823">
          <cell r="C1823" t="str">
            <v>Yunier Torres Sanchez</v>
          </cell>
          <cell r="E1823" t="str">
            <v>M</v>
          </cell>
          <cell r="F1823" t="str">
            <v>negra</v>
          </cell>
          <cell r="K1823" t="str">
            <v>Técnico Superior</v>
          </cell>
          <cell r="L1823" t="str">
            <v>Si</v>
          </cell>
          <cell r="O1823" t="str">
            <v>Médico</v>
          </cell>
        </row>
        <row r="1824">
          <cell r="C1824" t="str">
            <v>Yuridailis Quintero Dupuy</v>
          </cell>
          <cell r="E1824" t="str">
            <v>F</v>
          </cell>
          <cell r="F1824" t="str">
            <v>negra</v>
          </cell>
          <cell r="K1824" t="str">
            <v>Técnico Superior</v>
          </cell>
          <cell r="L1824" t="str">
            <v>Si</v>
          </cell>
          <cell r="O1824" t="str">
            <v>Médico</v>
          </cell>
        </row>
        <row r="1825">
          <cell r="C1825" t="str">
            <v>Yurisleydis Oduardo Rodriguez</v>
          </cell>
          <cell r="E1825" t="str">
            <v>F</v>
          </cell>
          <cell r="F1825" t="str">
            <v>mestiza</v>
          </cell>
          <cell r="K1825" t="str">
            <v>Técnico Superior</v>
          </cell>
          <cell r="L1825" t="str">
            <v>Si</v>
          </cell>
          <cell r="O1825" t="str">
            <v>Médico</v>
          </cell>
        </row>
        <row r="1826">
          <cell r="C1826" t="str">
            <v>Yurismelis Rodriguez Mustelier</v>
          </cell>
          <cell r="E1826" t="str">
            <v>F</v>
          </cell>
          <cell r="F1826" t="str">
            <v>mestiza</v>
          </cell>
          <cell r="K1826" t="str">
            <v>Técnico Superior</v>
          </cell>
          <cell r="L1826" t="str">
            <v>Si</v>
          </cell>
          <cell r="O1826" t="str">
            <v>Médico</v>
          </cell>
        </row>
        <row r="1827">
          <cell r="C1827" t="str">
            <v>Yusimi Barrera Sanchez</v>
          </cell>
          <cell r="E1827" t="str">
            <v>F</v>
          </cell>
          <cell r="F1827" t="str">
            <v>negra</v>
          </cell>
          <cell r="K1827" t="str">
            <v>Técnico Superior</v>
          </cell>
          <cell r="L1827" t="str">
            <v>Si</v>
          </cell>
          <cell r="O1827" t="str">
            <v>Médico</v>
          </cell>
        </row>
        <row r="1828">
          <cell r="C1828" t="str">
            <v>Yusleanis Martínez Pabó</v>
          </cell>
          <cell r="E1828" t="str">
            <v>F</v>
          </cell>
          <cell r="F1828" t="str">
            <v>negra</v>
          </cell>
          <cell r="K1828" t="str">
            <v>Técnico Superior</v>
          </cell>
          <cell r="L1828" t="str">
            <v>Si</v>
          </cell>
          <cell r="O1828" t="str">
            <v>Médico</v>
          </cell>
        </row>
        <row r="1829">
          <cell r="C1829" t="str">
            <v>Zenia Beltran López</v>
          </cell>
          <cell r="E1829" t="str">
            <v>F</v>
          </cell>
          <cell r="F1829" t="str">
            <v>negra</v>
          </cell>
          <cell r="K1829" t="str">
            <v>Técnico Superior</v>
          </cell>
          <cell r="L1829" t="str">
            <v>Si</v>
          </cell>
          <cell r="O1829" t="str">
            <v>Médico</v>
          </cell>
        </row>
        <row r="1830">
          <cell r="C1830" t="str">
            <v>Zoila Esther Ruíz del Rio</v>
          </cell>
          <cell r="E1830" t="str">
            <v>F</v>
          </cell>
          <cell r="F1830" t="str">
            <v>negra</v>
          </cell>
          <cell r="K1830" t="str">
            <v>Técnico Superior</v>
          </cell>
          <cell r="L1830" t="str">
            <v>Si</v>
          </cell>
          <cell r="O1830" t="str">
            <v>Médico</v>
          </cell>
        </row>
        <row r="1831">
          <cell r="C1831" t="str">
            <v>Zulema Cobas Bueno</v>
          </cell>
          <cell r="E1831" t="str">
            <v>F</v>
          </cell>
          <cell r="F1831" t="str">
            <v>blanca</v>
          </cell>
          <cell r="K1831" t="str">
            <v>Técnico Superior</v>
          </cell>
          <cell r="L1831" t="str">
            <v>Si</v>
          </cell>
          <cell r="O1831" t="str">
            <v>Médico</v>
          </cell>
        </row>
        <row r="1832">
          <cell r="C1832" t="str">
            <v xml:space="preserve">Mailin Duran Ramires </v>
          </cell>
          <cell r="E1832" t="str">
            <v>F</v>
          </cell>
          <cell r="F1832" t="str">
            <v>mestiza</v>
          </cell>
          <cell r="K1832" t="str">
            <v>Técnico Superior</v>
          </cell>
          <cell r="L1832" t="str">
            <v>Si</v>
          </cell>
          <cell r="O1832" t="str">
            <v>Médico</v>
          </cell>
        </row>
        <row r="1833">
          <cell r="C1833" t="str">
            <v>Martha Lidia Rojas Bosch</v>
          </cell>
          <cell r="E1833" t="str">
            <v>F</v>
          </cell>
          <cell r="F1833" t="str">
            <v>blanca</v>
          </cell>
          <cell r="K1833" t="str">
            <v>Técnico Superior</v>
          </cell>
          <cell r="L1833" t="str">
            <v>No</v>
          </cell>
          <cell r="O1833" t="str">
            <v>Médico</v>
          </cell>
        </row>
        <row r="1834">
          <cell r="C1834" t="str">
            <v xml:space="preserve">Ariuska Beris Parra </v>
          </cell>
          <cell r="E1834" t="str">
            <v>F</v>
          </cell>
          <cell r="F1834" t="str">
            <v>mestiza</v>
          </cell>
          <cell r="K1834" t="str">
            <v>Técnico Superior</v>
          </cell>
          <cell r="L1834" t="str">
            <v>Si</v>
          </cell>
          <cell r="O1834" t="str">
            <v>Médico</v>
          </cell>
        </row>
        <row r="1835">
          <cell r="C1835" t="str">
            <v>Leumila Oris Romero</v>
          </cell>
          <cell r="E1835" t="str">
            <v>F</v>
          </cell>
          <cell r="F1835" t="str">
            <v>mestiza</v>
          </cell>
          <cell r="K1835" t="str">
            <v>Técnico Medio</v>
          </cell>
          <cell r="L1835" t="str">
            <v>Si</v>
          </cell>
          <cell r="O1835" t="str">
            <v>Técnico No Formado Salud</v>
          </cell>
        </row>
        <row r="1836">
          <cell r="C1836" t="str">
            <v>Arisleydis Hechavarría Díaz</v>
          </cell>
          <cell r="E1836" t="str">
            <v>F</v>
          </cell>
          <cell r="F1836" t="str">
            <v>Mestiza</v>
          </cell>
          <cell r="K1836" t="str">
            <v>Técnico Medio</v>
          </cell>
          <cell r="L1836" t="str">
            <v>No</v>
          </cell>
          <cell r="O1836" t="str">
            <v>Técnico No Formado Salud</v>
          </cell>
        </row>
        <row r="1837">
          <cell r="C1837" t="str">
            <v>Carlos Ismael Cedeño Sarmiento</v>
          </cell>
          <cell r="E1837" t="str">
            <v>M</v>
          </cell>
          <cell r="F1837" t="str">
            <v>negra</v>
          </cell>
          <cell r="K1837" t="str">
            <v>Técnico Medio</v>
          </cell>
          <cell r="L1837" t="str">
            <v>No</v>
          </cell>
          <cell r="O1837" t="str">
            <v>Técnico No Formado Salud</v>
          </cell>
        </row>
        <row r="1838">
          <cell r="C1838" t="str">
            <v>Carmen Rosa Savigne  Rodríguez</v>
          </cell>
          <cell r="E1838" t="str">
            <v>F</v>
          </cell>
          <cell r="F1838" t="str">
            <v>mestiza</v>
          </cell>
          <cell r="K1838" t="str">
            <v>Administrativo</v>
          </cell>
          <cell r="L1838" t="str">
            <v>Si</v>
          </cell>
          <cell r="O1838" t="str">
            <v>Técnico No Formado Salud</v>
          </cell>
        </row>
        <row r="1839">
          <cell r="C1839" t="str">
            <v>Dalia Portuondo Bell</v>
          </cell>
          <cell r="E1839" t="str">
            <v>F</v>
          </cell>
          <cell r="F1839" t="str">
            <v>negra</v>
          </cell>
          <cell r="K1839" t="str">
            <v>Técnico Medio</v>
          </cell>
          <cell r="L1839" t="str">
            <v>Si</v>
          </cell>
          <cell r="O1839" t="str">
            <v>Técnico No Formado Salud</v>
          </cell>
        </row>
        <row r="1840">
          <cell r="C1840" t="str">
            <v>Dalis Castillo Preval</v>
          </cell>
          <cell r="E1840" t="str">
            <v>F</v>
          </cell>
          <cell r="F1840" t="str">
            <v>mestiza</v>
          </cell>
          <cell r="K1840" t="str">
            <v>Técnico Medio</v>
          </cell>
          <cell r="L1840" t="str">
            <v>No</v>
          </cell>
          <cell r="O1840" t="str">
            <v>Técnico No Formado Salud</v>
          </cell>
        </row>
        <row r="1841">
          <cell r="C1841" t="str">
            <v>Dionides Mendoza Ortiz</v>
          </cell>
          <cell r="E1841" t="str">
            <v>F</v>
          </cell>
          <cell r="F1841" t="str">
            <v>mestiza</v>
          </cell>
          <cell r="K1841" t="str">
            <v>Administrativo</v>
          </cell>
          <cell r="L1841" t="str">
            <v>Si</v>
          </cell>
          <cell r="O1841" t="str">
            <v>Técnico No Formado Salud</v>
          </cell>
        </row>
        <row r="1842">
          <cell r="C1842" t="str">
            <v>ELIECER Pérez HODELIN</v>
          </cell>
          <cell r="E1842" t="str">
            <v>M</v>
          </cell>
          <cell r="F1842" t="str">
            <v>mestiza</v>
          </cell>
          <cell r="K1842" t="str">
            <v>Servicio</v>
          </cell>
          <cell r="L1842" t="str">
            <v>Si</v>
          </cell>
          <cell r="O1842" t="str">
            <v>Técnico No Formado Salud</v>
          </cell>
        </row>
        <row r="1843">
          <cell r="C1843" t="str">
            <v>Elsa Heredia Gomez</v>
          </cell>
          <cell r="E1843" t="str">
            <v>F</v>
          </cell>
          <cell r="F1843" t="str">
            <v>negra</v>
          </cell>
          <cell r="K1843" t="str">
            <v>Servicio</v>
          </cell>
          <cell r="L1843" t="str">
            <v>Si</v>
          </cell>
          <cell r="O1843" t="str">
            <v>Técnico No Formado Salud</v>
          </cell>
        </row>
        <row r="1844">
          <cell r="C1844" t="str">
            <v>GILBERTO IRSULA PLUTIN</v>
          </cell>
          <cell r="E1844" t="str">
            <v>M</v>
          </cell>
          <cell r="F1844" t="str">
            <v>blanca</v>
          </cell>
          <cell r="K1844" t="str">
            <v>Servicio</v>
          </cell>
          <cell r="L1844" t="str">
            <v>Si</v>
          </cell>
          <cell r="O1844" t="str">
            <v>Técnico No Formado Salud</v>
          </cell>
        </row>
        <row r="1845">
          <cell r="C1845" t="str">
            <v>GRAVIEL TAMAYO HIDALGO</v>
          </cell>
          <cell r="E1845" t="str">
            <v>M</v>
          </cell>
          <cell r="F1845" t="str">
            <v>mestiza</v>
          </cell>
          <cell r="K1845" t="str">
            <v>Servicio</v>
          </cell>
          <cell r="L1845" t="str">
            <v>Si</v>
          </cell>
          <cell r="O1845" t="str">
            <v>Técnico No Formado Salud</v>
          </cell>
        </row>
        <row r="1846">
          <cell r="C1846" t="str">
            <v>Idelisa Guzman Beltran</v>
          </cell>
          <cell r="E1846" t="str">
            <v>F</v>
          </cell>
          <cell r="F1846" t="str">
            <v>Blanca</v>
          </cell>
          <cell r="K1846" t="str">
            <v>Técnico Medio</v>
          </cell>
          <cell r="L1846" t="str">
            <v>No</v>
          </cell>
          <cell r="O1846" t="str">
            <v>Técnico No Formado Salud</v>
          </cell>
        </row>
        <row r="1847">
          <cell r="C1847" t="str">
            <v>Jimmy Savón Barrientos</v>
          </cell>
          <cell r="E1847" t="str">
            <v>M</v>
          </cell>
          <cell r="F1847" t="str">
            <v>mestiza</v>
          </cell>
          <cell r="K1847" t="str">
            <v>Servicio</v>
          </cell>
          <cell r="L1847" t="str">
            <v>Si</v>
          </cell>
          <cell r="O1847" t="str">
            <v>Técnico No Formado Salud</v>
          </cell>
        </row>
        <row r="1848">
          <cell r="C1848" t="str">
            <v>Lidiana Bravo Correoso</v>
          </cell>
          <cell r="E1848" t="str">
            <v>F</v>
          </cell>
          <cell r="F1848" t="str">
            <v>mestiza</v>
          </cell>
          <cell r="K1848" t="str">
            <v>Técnico Medio</v>
          </cell>
          <cell r="L1848" t="str">
            <v>No</v>
          </cell>
          <cell r="O1848" t="str">
            <v>Técnico No Formado Salud</v>
          </cell>
        </row>
        <row r="1849">
          <cell r="C1849" t="str">
            <v xml:space="preserve">LIENIS VERA CAJIGAL </v>
          </cell>
          <cell r="E1849" t="str">
            <v>F</v>
          </cell>
          <cell r="F1849" t="str">
            <v>mestiza</v>
          </cell>
          <cell r="K1849" t="str">
            <v>Servicio</v>
          </cell>
          <cell r="L1849" t="str">
            <v>Si</v>
          </cell>
          <cell r="O1849" t="str">
            <v>Técnico No Formado Salud</v>
          </cell>
        </row>
        <row r="1850">
          <cell r="C1850" t="str">
            <v>Lisnelis Romero  Sànchez</v>
          </cell>
          <cell r="E1850" t="str">
            <v>F</v>
          </cell>
          <cell r="F1850" t="str">
            <v>mestiza</v>
          </cell>
          <cell r="K1850" t="str">
            <v>Técnico Medio</v>
          </cell>
          <cell r="L1850" t="str">
            <v>Si</v>
          </cell>
          <cell r="O1850" t="str">
            <v>Técnico No Formado Salud</v>
          </cell>
        </row>
        <row r="1851">
          <cell r="C1851" t="str">
            <v>Luis Alberto Constanten Fernández</v>
          </cell>
          <cell r="E1851" t="str">
            <v>M</v>
          </cell>
          <cell r="F1851" t="str">
            <v>negra</v>
          </cell>
          <cell r="K1851" t="str">
            <v>Operario</v>
          </cell>
          <cell r="L1851" t="str">
            <v>No</v>
          </cell>
          <cell r="O1851" t="str">
            <v>Técnico No Formado Salud</v>
          </cell>
        </row>
        <row r="1852">
          <cell r="C1852" t="str">
            <v>Luis Enrrique Monier Torres.</v>
          </cell>
          <cell r="E1852" t="str">
            <v>M</v>
          </cell>
          <cell r="F1852" t="str">
            <v>mestiza</v>
          </cell>
          <cell r="K1852" t="str">
            <v>Operario</v>
          </cell>
          <cell r="L1852" t="str">
            <v>Si</v>
          </cell>
          <cell r="O1852" t="str">
            <v>Técnico No Formado Salud</v>
          </cell>
        </row>
        <row r="1853">
          <cell r="C1853" t="str">
            <v>Maritza Mejias Zapata</v>
          </cell>
          <cell r="E1853" t="str">
            <v>F</v>
          </cell>
          <cell r="F1853" t="str">
            <v>negra</v>
          </cell>
          <cell r="K1853" t="str">
            <v>Técnico Medio</v>
          </cell>
          <cell r="L1853" t="str">
            <v>No</v>
          </cell>
          <cell r="O1853" t="str">
            <v>Técnico No Formado Salud</v>
          </cell>
        </row>
        <row r="1854">
          <cell r="C1854" t="str">
            <v>Xiomara Mora Rodriguez</v>
          </cell>
          <cell r="E1854" t="str">
            <v>F</v>
          </cell>
          <cell r="F1854" t="str">
            <v>blanca</v>
          </cell>
          <cell r="K1854" t="str">
            <v>Técnico Medio</v>
          </cell>
          <cell r="L1854" t="str">
            <v>Si</v>
          </cell>
          <cell r="O1854" t="str">
            <v>Técnico No Formado Salud</v>
          </cell>
        </row>
        <row r="1855">
          <cell r="C1855" t="str">
            <v>Yainier Lambert Portuondo</v>
          </cell>
          <cell r="E1855" t="str">
            <v>M</v>
          </cell>
          <cell r="F1855" t="str">
            <v>mestiza</v>
          </cell>
          <cell r="K1855" t="str">
            <v>Técnico Medio</v>
          </cell>
          <cell r="L1855" t="str">
            <v>Si</v>
          </cell>
          <cell r="O1855" t="str">
            <v>Técnico No Formado Salud</v>
          </cell>
        </row>
        <row r="1856">
          <cell r="C1856" t="str">
            <v>Yanisley Mendoza Hechavarría</v>
          </cell>
          <cell r="E1856" t="str">
            <v>M</v>
          </cell>
          <cell r="F1856" t="str">
            <v>mestiza</v>
          </cell>
          <cell r="K1856" t="str">
            <v>Técnico Medio</v>
          </cell>
          <cell r="L1856" t="str">
            <v>No</v>
          </cell>
          <cell r="O1856" t="str">
            <v>Técnico No Formado Salud</v>
          </cell>
        </row>
        <row r="1857">
          <cell r="C1857" t="str">
            <v>Yirka Stevens Merino</v>
          </cell>
          <cell r="E1857" t="str">
            <v>F</v>
          </cell>
          <cell r="F1857" t="str">
            <v>negra</v>
          </cell>
          <cell r="K1857" t="str">
            <v>Servicio</v>
          </cell>
          <cell r="L1857" t="str">
            <v>Si</v>
          </cell>
          <cell r="O1857" t="str">
            <v>Técnico No Formado Salud</v>
          </cell>
        </row>
        <row r="1858">
          <cell r="C1858" t="str">
            <v>Yunisleidis Beltran Deliz</v>
          </cell>
          <cell r="E1858" t="str">
            <v>F</v>
          </cell>
          <cell r="F1858" t="str">
            <v>Mestiza</v>
          </cell>
          <cell r="K1858" t="str">
            <v>Técnico Medio</v>
          </cell>
          <cell r="L1858" t="str">
            <v>No</v>
          </cell>
          <cell r="O1858" t="str">
            <v>Técnico No Formado Salud</v>
          </cell>
        </row>
        <row r="1859">
          <cell r="C1859" t="str">
            <v>Dayana Mora Olivares</v>
          </cell>
          <cell r="E1859" t="str">
            <v>F</v>
          </cell>
          <cell r="F1859" t="str">
            <v>blanca</v>
          </cell>
          <cell r="K1859" t="str">
            <v>Técnico Superior</v>
          </cell>
          <cell r="L1859" t="str">
            <v>Si</v>
          </cell>
          <cell r="O1859" t="str">
            <v>Lic. en Tecnología de la Salud</v>
          </cell>
        </row>
        <row r="1860">
          <cell r="C1860" t="str">
            <v>Aliet Cedeño Torres</v>
          </cell>
          <cell r="E1860" t="str">
            <v>F</v>
          </cell>
          <cell r="F1860" t="str">
            <v>negra</v>
          </cell>
          <cell r="K1860" t="str">
            <v>Técnico Medio</v>
          </cell>
          <cell r="L1860" t="str">
            <v>Si</v>
          </cell>
          <cell r="O1860" t="str">
            <v>Técnico Formado Salud</v>
          </cell>
        </row>
        <row r="1861">
          <cell r="C1861" t="str">
            <v>Aniurkis Castro Veranes.</v>
          </cell>
          <cell r="E1861" t="str">
            <v>F</v>
          </cell>
          <cell r="F1861" t="str">
            <v>mestiza</v>
          </cell>
          <cell r="K1861" t="str">
            <v>Operario</v>
          </cell>
          <cell r="L1861" t="str">
            <v>Si</v>
          </cell>
          <cell r="O1861" t="str">
            <v>Técnico Formado Salud</v>
          </cell>
        </row>
        <row r="1862">
          <cell r="C1862" t="str">
            <v>Carlos Yoan Traba Ruiz</v>
          </cell>
          <cell r="E1862" t="str">
            <v>M</v>
          </cell>
          <cell r="F1862" t="str">
            <v>Mestiza</v>
          </cell>
          <cell r="K1862" t="str">
            <v>Servicio</v>
          </cell>
          <cell r="L1862" t="str">
            <v>No</v>
          </cell>
          <cell r="O1862" t="str">
            <v>Técnico Formado Salud</v>
          </cell>
        </row>
        <row r="1863">
          <cell r="C1863" t="str">
            <v>Dauris Guerra Lussón</v>
          </cell>
          <cell r="E1863" t="str">
            <v>F</v>
          </cell>
          <cell r="F1863" t="str">
            <v>mestiza</v>
          </cell>
          <cell r="K1863" t="str">
            <v>Técnico Medio</v>
          </cell>
          <cell r="L1863" t="str">
            <v>Si</v>
          </cell>
          <cell r="M1863" t="str">
            <v>Rayos X</v>
          </cell>
          <cell r="O1863" t="str">
            <v>Técnico Formado Salud</v>
          </cell>
        </row>
        <row r="1864">
          <cell r="C1864" t="str">
            <v>DEINELIS LEONARD RUIZ</v>
          </cell>
          <cell r="E1864" t="str">
            <v>F</v>
          </cell>
          <cell r="F1864" t="str">
            <v>negra</v>
          </cell>
          <cell r="K1864" t="str">
            <v>Técnico Medio</v>
          </cell>
          <cell r="L1864" t="str">
            <v>Si</v>
          </cell>
          <cell r="M1864" t="str">
            <v>Atención estomatológica y prótesis dental</v>
          </cell>
          <cell r="O1864" t="str">
            <v>Técnico Formado Salud</v>
          </cell>
        </row>
        <row r="1865">
          <cell r="C1865" t="str">
            <v>Enma Iris Fuentes Rodriguez</v>
          </cell>
          <cell r="E1865" t="str">
            <v>F</v>
          </cell>
          <cell r="F1865" t="str">
            <v>mestiza</v>
          </cell>
          <cell r="K1865" t="str">
            <v>Operario</v>
          </cell>
          <cell r="L1865" t="str">
            <v>No</v>
          </cell>
          <cell r="O1865" t="str">
            <v>Técnico Formado Salud</v>
          </cell>
        </row>
        <row r="1866">
          <cell r="C1866" t="str">
            <v>Idalia Yeisys Garcia Palacio</v>
          </cell>
          <cell r="E1866" t="str">
            <v>F</v>
          </cell>
          <cell r="F1866" t="str">
            <v>negra</v>
          </cell>
          <cell r="K1866" t="str">
            <v>Operario</v>
          </cell>
          <cell r="L1866" t="str">
            <v>Si</v>
          </cell>
          <cell r="O1866" t="str">
            <v>Técnico Formado Salud</v>
          </cell>
        </row>
        <row r="1867">
          <cell r="C1867" t="str">
            <v>Inarvis Rodriguez Torres</v>
          </cell>
          <cell r="E1867" t="str">
            <v>F</v>
          </cell>
          <cell r="F1867" t="str">
            <v>mestiza</v>
          </cell>
          <cell r="K1867" t="str">
            <v>Técnico Medio</v>
          </cell>
          <cell r="L1867" t="str">
            <v>Si</v>
          </cell>
          <cell r="O1867" t="str">
            <v>Técnico Formado Salud</v>
          </cell>
        </row>
        <row r="1868">
          <cell r="C1868" t="str">
            <v>Kendra Del Rio Ferrer</v>
          </cell>
          <cell r="E1868" t="str">
            <v>F</v>
          </cell>
          <cell r="F1868" t="str">
            <v>mestiza</v>
          </cell>
          <cell r="K1868" t="str">
            <v>Operario</v>
          </cell>
          <cell r="L1868" t="str">
            <v>Si</v>
          </cell>
          <cell r="O1868" t="str">
            <v>Técnico Formado Salud</v>
          </cell>
        </row>
        <row r="1869">
          <cell r="C1869" t="str">
            <v>Luis Giorbis Diaz Ruiz</v>
          </cell>
          <cell r="E1869" t="str">
            <v>M</v>
          </cell>
          <cell r="F1869" t="str">
            <v>mestiza</v>
          </cell>
          <cell r="K1869" t="str">
            <v>Técnico Medio</v>
          </cell>
          <cell r="L1869" t="str">
            <v>Si</v>
          </cell>
          <cell r="M1869" t="str">
            <v>Laboratorio clínico, microbiológico</v>
          </cell>
          <cell r="O1869" t="str">
            <v>Técnico Formado Salud</v>
          </cell>
        </row>
        <row r="1870">
          <cell r="C1870" t="str">
            <v>Luis Medina Jaca</v>
          </cell>
          <cell r="E1870" t="str">
            <v>M</v>
          </cell>
          <cell r="F1870" t="str">
            <v>mestiza</v>
          </cell>
          <cell r="K1870" t="str">
            <v>Técnico Medio</v>
          </cell>
          <cell r="L1870" t="str">
            <v>Si</v>
          </cell>
          <cell r="M1870" t="str">
            <v>Rayos X</v>
          </cell>
          <cell r="O1870" t="str">
            <v>Técnico Formado Salud</v>
          </cell>
        </row>
        <row r="1871">
          <cell r="C1871" t="str">
            <v>Magdeline Kindelan Castro</v>
          </cell>
          <cell r="E1871" t="str">
            <v>F</v>
          </cell>
          <cell r="F1871" t="str">
            <v>mestiza</v>
          </cell>
          <cell r="K1871" t="str">
            <v>Técnico Medio</v>
          </cell>
          <cell r="L1871" t="str">
            <v>Si</v>
          </cell>
          <cell r="M1871" t="str">
            <v>Laboratorio clínico, microbiológico</v>
          </cell>
          <cell r="O1871" t="str">
            <v>Técnico Formado Salud</v>
          </cell>
        </row>
        <row r="1872">
          <cell r="C1872" t="str">
            <v>María Lidia Aguilera Castillo</v>
          </cell>
          <cell r="E1872" t="str">
            <v>F</v>
          </cell>
          <cell r="F1872" t="str">
            <v>negra</v>
          </cell>
          <cell r="K1872" t="str">
            <v>Técnico Medio</v>
          </cell>
          <cell r="L1872" t="str">
            <v>Si</v>
          </cell>
          <cell r="O1872" t="str">
            <v>Técnico Formado Salud</v>
          </cell>
        </row>
        <row r="1873">
          <cell r="C1873" t="str">
            <v>Mirelis Vera Perez</v>
          </cell>
          <cell r="E1873" t="str">
            <v>F</v>
          </cell>
          <cell r="F1873" t="str">
            <v>mestiza</v>
          </cell>
          <cell r="K1873" t="str">
            <v>Operario</v>
          </cell>
          <cell r="L1873" t="str">
            <v>Si</v>
          </cell>
          <cell r="O1873" t="str">
            <v>Técnico Formado Salud</v>
          </cell>
        </row>
        <row r="1874">
          <cell r="C1874" t="str">
            <v>Miriuska Pena Tumbarell</v>
          </cell>
          <cell r="E1874" t="str">
            <v>F</v>
          </cell>
          <cell r="F1874" t="str">
            <v>mestiza</v>
          </cell>
          <cell r="K1874" t="str">
            <v>Operario</v>
          </cell>
          <cell r="L1874" t="str">
            <v>Si</v>
          </cell>
          <cell r="O1874" t="str">
            <v>Técnico Formado Salud</v>
          </cell>
        </row>
        <row r="1875">
          <cell r="C1875" t="str">
            <v xml:space="preserve">Richard Betancourt Castelnau </v>
          </cell>
          <cell r="E1875" t="str">
            <v>M</v>
          </cell>
          <cell r="F1875" t="str">
            <v>mestiza</v>
          </cell>
          <cell r="K1875" t="str">
            <v>Servicio</v>
          </cell>
          <cell r="L1875" t="str">
            <v>Si</v>
          </cell>
          <cell r="O1875" t="str">
            <v>Técnico Formado Salud</v>
          </cell>
        </row>
        <row r="1876">
          <cell r="C1876" t="str">
            <v>Rosangela Bueno Mustelier</v>
          </cell>
          <cell r="E1876" t="str">
            <v>F</v>
          </cell>
          <cell r="F1876" t="str">
            <v>negra</v>
          </cell>
          <cell r="K1876" t="str">
            <v>Técnico Medio</v>
          </cell>
          <cell r="L1876" t="str">
            <v>Si</v>
          </cell>
          <cell r="M1876" t="str">
            <v>Médicina física y rehabilitación. Fisioterapia</v>
          </cell>
          <cell r="O1876" t="str">
            <v>Técnico Formado Salud</v>
          </cell>
        </row>
        <row r="1877">
          <cell r="C1877" t="str">
            <v>Virgen Dolores Perez Lescay</v>
          </cell>
          <cell r="E1877" t="str">
            <v>F</v>
          </cell>
          <cell r="F1877" t="str">
            <v>negra</v>
          </cell>
          <cell r="K1877" t="str">
            <v>Operario</v>
          </cell>
          <cell r="L1877" t="str">
            <v>Si</v>
          </cell>
          <cell r="O1877" t="str">
            <v>Técnico Formado Salud</v>
          </cell>
        </row>
        <row r="1878">
          <cell r="C1878" t="str">
            <v>Yoandra Sagarra Chacón</v>
          </cell>
          <cell r="E1878" t="str">
            <v>F</v>
          </cell>
          <cell r="F1878" t="str">
            <v>negra</v>
          </cell>
          <cell r="K1878" t="str">
            <v>Técnico Medio</v>
          </cell>
          <cell r="L1878" t="str">
            <v>Si</v>
          </cell>
          <cell r="M1878" t="str">
            <v>Higiene y epidemiología</v>
          </cell>
          <cell r="O1878" t="str">
            <v>Técnico Formado Salud</v>
          </cell>
        </row>
        <row r="1879">
          <cell r="C1879" t="str">
            <v>Yulieska martinez Heredia</v>
          </cell>
          <cell r="E1879" t="str">
            <v>F</v>
          </cell>
          <cell r="F1879" t="str">
            <v>mestiza</v>
          </cell>
          <cell r="K1879" t="str">
            <v>Técnico Medio</v>
          </cell>
          <cell r="L1879" t="str">
            <v>Si</v>
          </cell>
          <cell r="M1879" t="str">
            <v>Médicina física y rehabilitación. Fisioterapia</v>
          </cell>
          <cell r="O1879" t="str">
            <v>Técnico Formado Salud</v>
          </cell>
        </row>
        <row r="1880">
          <cell r="C1880" t="str">
            <v>Yurizandra Fontal Vera</v>
          </cell>
          <cell r="E1880" t="str">
            <v>F</v>
          </cell>
          <cell r="F1880" t="str">
            <v>Mestiza</v>
          </cell>
          <cell r="K1880" t="str">
            <v>Servicio</v>
          </cell>
          <cell r="L1880" t="str">
            <v>No</v>
          </cell>
          <cell r="O1880" t="str">
            <v>Técnico Formado Salud</v>
          </cell>
        </row>
        <row r="1881">
          <cell r="C1881" t="str">
            <v>Yudeisy Napoles Leonar</v>
          </cell>
          <cell r="E1881" t="str">
            <v>F</v>
          </cell>
          <cell r="F1881" t="str">
            <v>Mestiza</v>
          </cell>
          <cell r="K1881" t="str">
            <v>Técnico Superior</v>
          </cell>
          <cell r="L1881" t="str">
            <v>No</v>
          </cell>
          <cell r="O1881" t="str">
            <v>Lic. Enfermería</v>
          </cell>
        </row>
        <row r="1882">
          <cell r="C1882" t="str">
            <v xml:space="preserve">Jorge Luis Noblet Hechavarria </v>
          </cell>
          <cell r="E1882" t="str">
            <v>M</v>
          </cell>
          <cell r="F1882" t="str">
            <v>negra</v>
          </cell>
          <cell r="K1882" t="str">
            <v>Técnico Medio</v>
          </cell>
          <cell r="L1882" t="str">
            <v>No</v>
          </cell>
          <cell r="O1882" t="str">
            <v>Enfermería</v>
          </cell>
        </row>
        <row r="1883">
          <cell r="C1883" t="str">
            <v>Daima Isaac González</v>
          </cell>
          <cell r="E1883" t="str">
            <v>F</v>
          </cell>
          <cell r="F1883" t="str">
            <v>negra</v>
          </cell>
          <cell r="K1883" t="str">
            <v>Técnico Superior</v>
          </cell>
          <cell r="L1883" t="str">
            <v>Si</v>
          </cell>
          <cell r="O1883" t="str">
            <v>Psicólogo de la Salud</v>
          </cell>
        </row>
        <row r="1884">
          <cell r="C1884" t="str">
            <v>Nardis Debrot Calá</v>
          </cell>
          <cell r="E1884" t="str">
            <v>F</v>
          </cell>
          <cell r="F1884" t="str">
            <v>mestiza</v>
          </cell>
          <cell r="K1884" t="str">
            <v>Técnico Superior</v>
          </cell>
          <cell r="L1884" t="str">
            <v>Si</v>
          </cell>
          <cell r="O1884" t="str">
            <v>Psicólogo de la Salud</v>
          </cell>
        </row>
        <row r="1885">
          <cell r="C1885" t="str">
            <v>Surella Gross Mengana</v>
          </cell>
          <cell r="E1885" t="str">
            <v>F</v>
          </cell>
          <cell r="F1885" t="str">
            <v>blanca</v>
          </cell>
          <cell r="K1885" t="str">
            <v>Técnico Superior</v>
          </cell>
          <cell r="L1885" t="str">
            <v>Si</v>
          </cell>
          <cell r="O1885" t="str">
            <v>Psicólogo de la Salud</v>
          </cell>
        </row>
        <row r="1886">
          <cell r="C1886" t="str">
            <v>Yunin Rigodón Del Rey</v>
          </cell>
          <cell r="E1886" t="str">
            <v>F</v>
          </cell>
          <cell r="F1886" t="str">
            <v>negra</v>
          </cell>
          <cell r="K1886" t="str">
            <v>Cuadro</v>
          </cell>
          <cell r="L1886" t="str">
            <v>Si</v>
          </cell>
          <cell r="O1886" t="str">
            <v>Psicólogo de la Salud</v>
          </cell>
        </row>
        <row r="1887">
          <cell r="C1887" t="str">
            <v>Abel Eduardo Castro Chavan</v>
          </cell>
          <cell r="E1887" t="str">
            <v>M</v>
          </cell>
          <cell r="F1887" t="str">
            <v>blanca</v>
          </cell>
          <cell r="K1887" t="str">
            <v>Técnico Superior</v>
          </cell>
          <cell r="L1887" t="str">
            <v>Si</v>
          </cell>
          <cell r="O1887" t="str">
            <v>Otros Profesionales y Especialidades</v>
          </cell>
        </row>
        <row r="1888">
          <cell r="C1888" t="str">
            <v>Alina Fuentes Cos</v>
          </cell>
          <cell r="E1888" t="str">
            <v>F</v>
          </cell>
          <cell r="F1888" t="str">
            <v>negra</v>
          </cell>
          <cell r="K1888" t="str">
            <v>Técnico Superior</v>
          </cell>
          <cell r="L1888" t="str">
            <v>Si</v>
          </cell>
          <cell r="O1888" t="str">
            <v>Otros Profesionales y Especialidades</v>
          </cell>
        </row>
        <row r="1889">
          <cell r="C1889" t="str">
            <v>Ana Miladys  Lescaille Mustelier</v>
          </cell>
          <cell r="E1889" t="str">
            <v>F</v>
          </cell>
          <cell r="F1889" t="str">
            <v>mestiza</v>
          </cell>
          <cell r="K1889" t="str">
            <v>Técnico Superior</v>
          </cell>
          <cell r="L1889" t="str">
            <v>Si</v>
          </cell>
          <cell r="O1889" t="str">
            <v>Otros Profesionales y Especialidades</v>
          </cell>
        </row>
        <row r="1890">
          <cell r="C1890" t="str">
            <v>Celia Medina Negret</v>
          </cell>
          <cell r="E1890" t="str">
            <v>F</v>
          </cell>
          <cell r="F1890" t="str">
            <v>negra</v>
          </cell>
          <cell r="K1890" t="str">
            <v>Técnico Superior</v>
          </cell>
          <cell r="L1890" t="str">
            <v>Si</v>
          </cell>
          <cell r="O1890" t="str">
            <v>Otros Profesionales y Especialidades</v>
          </cell>
        </row>
        <row r="1891">
          <cell r="C1891" t="str">
            <v>Daliuska Dainelis Dales Munive</v>
          </cell>
          <cell r="E1891" t="str">
            <v>F</v>
          </cell>
          <cell r="F1891" t="str">
            <v>negra</v>
          </cell>
          <cell r="K1891" t="str">
            <v>Técnico Superior</v>
          </cell>
          <cell r="L1891" t="str">
            <v>No</v>
          </cell>
          <cell r="O1891" t="str">
            <v>Otros Profesionales y Especialidades</v>
          </cell>
        </row>
        <row r="1892">
          <cell r="C1892" t="str">
            <v>Dianelis Moreno Moreno</v>
          </cell>
          <cell r="E1892" t="str">
            <v>F</v>
          </cell>
          <cell r="F1892" t="str">
            <v>blanca</v>
          </cell>
          <cell r="K1892" t="str">
            <v>Técnico Superior</v>
          </cell>
          <cell r="L1892" t="str">
            <v>Si</v>
          </cell>
          <cell r="O1892" t="str">
            <v>Otros Profesionales y Especialidades</v>
          </cell>
        </row>
        <row r="1893">
          <cell r="C1893" t="str">
            <v>Ileana Jardines Montoya</v>
          </cell>
          <cell r="E1893" t="str">
            <v>F</v>
          </cell>
          <cell r="F1893" t="str">
            <v>mestiza</v>
          </cell>
          <cell r="K1893" t="str">
            <v>Técnico Superior</v>
          </cell>
          <cell r="L1893" t="str">
            <v>No</v>
          </cell>
          <cell r="O1893" t="str">
            <v>Otros Profesionales y Especialidades</v>
          </cell>
        </row>
        <row r="1894">
          <cell r="C1894" t="str">
            <v>Marvelis Limonta Santos</v>
          </cell>
          <cell r="E1894" t="str">
            <v>F</v>
          </cell>
          <cell r="F1894" t="str">
            <v>negra</v>
          </cell>
          <cell r="K1894" t="str">
            <v>Técnico Superior</v>
          </cell>
          <cell r="L1894" t="str">
            <v>Si</v>
          </cell>
          <cell r="O1894" t="str">
            <v>Otros Profesionales y Especialidades</v>
          </cell>
        </row>
        <row r="1895">
          <cell r="C1895" t="str">
            <v>Mileivis Nohay Carbonell</v>
          </cell>
          <cell r="E1895" t="str">
            <v>F</v>
          </cell>
          <cell r="F1895" t="str">
            <v>negra</v>
          </cell>
          <cell r="K1895" t="str">
            <v>Cuadro</v>
          </cell>
          <cell r="L1895" t="str">
            <v>Si</v>
          </cell>
          <cell r="O1895" t="str">
            <v>Otros Profesionales y Especialidades</v>
          </cell>
        </row>
        <row r="1896">
          <cell r="C1896" t="str">
            <v>Mirelis Puente Miclin</v>
          </cell>
          <cell r="E1896" t="str">
            <v>F</v>
          </cell>
          <cell r="F1896" t="str">
            <v>negra</v>
          </cell>
          <cell r="K1896" t="str">
            <v>Técnico Superior</v>
          </cell>
          <cell r="L1896" t="str">
            <v>Si</v>
          </cell>
          <cell r="O1896" t="str">
            <v>Otros Profesionales y Especialidades</v>
          </cell>
        </row>
        <row r="1897">
          <cell r="C1897" t="str">
            <v>Naima Esther Urgelles Mayeta</v>
          </cell>
          <cell r="E1897" t="str">
            <v>F</v>
          </cell>
          <cell r="F1897" t="str">
            <v>negra</v>
          </cell>
          <cell r="K1897" t="str">
            <v>Técnico Superior</v>
          </cell>
          <cell r="L1897" t="str">
            <v>Si</v>
          </cell>
          <cell r="O1897" t="str">
            <v>Otros Profesionales y Especialidades</v>
          </cell>
        </row>
        <row r="1898">
          <cell r="C1898" t="str">
            <v>Nilda Martinez Ramirez</v>
          </cell>
          <cell r="E1898" t="str">
            <v>F</v>
          </cell>
          <cell r="F1898" t="str">
            <v>negra</v>
          </cell>
          <cell r="K1898" t="str">
            <v>Técnico Superior</v>
          </cell>
          <cell r="L1898" t="str">
            <v>Si</v>
          </cell>
          <cell r="O1898" t="str">
            <v>Otros Profesionales y Especialidades</v>
          </cell>
        </row>
        <row r="1899">
          <cell r="C1899" t="str">
            <v>Onelis Perera Castellano</v>
          </cell>
          <cell r="E1899" t="str">
            <v>F</v>
          </cell>
          <cell r="F1899" t="str">
            <v>blanca</v>
          </cell>
          <cell r="K1899" t="str">
            <v>Técnico Superior</v>
          </cell>
          <cell r="L1899" t="str">
            <v>Si</v>
          </cell>
          <cell r="O1899" t="str">
            <v>Otros Profesionales y Especialidades</v>
          </cell>
        </row>
        <row r="1900">
          <cell r="C1900" t="str">
            <v>Osvaldo Garcia Santana</v>
          </cell>
          <cell r="E1900" t="str">
            <v>M</v>
          </cell>
          <cell r="F1900" t="str">
            <v>blanca</v>
          </cell>
          <cell r="K1900" t="str">
            <v>Técnico Superior</v>
          </cell>
          <cell r="L1900" t="str">
            <v>Si</v>
          </cell>
          <cell r="O1900" t="str">
            <v>Otros Profesionales y Especialidades</v>
          </cell>
        </row>
        <row r="1901">
          <cell r="C1901" t="str">
            <v>Vilma Canela Merino</v>
          </cell>
          <cell r="E1901" t="str">
            <v>F</v>
          </cell>
          <cell r="F1901" t="str">
            <v>mestiza</v>
          </cell>
          <cell r="K1901" t="str">
            <v>Técnico Superior</v>
          </cell>
          <cell r="L1901" t="str">
            <v>Si</v>
          </cell>
          <cell r="O1901" t="str">
            <v>Otros Profesionales y Especialidades</v>
          </cell>
        </row>
        <row r="1902">
          <cell r="C1902" t="str">
            <v>Virgen Ruiz Sebe</v>
          </cell>
          <cell r="E1902" t="str">
            <v>F</v>
          </cell>
          <cell r="F1902" t="str">
            <v>negra</v>
          </cell>
          <cell r="K1902" t="str">
            <v>Técnico Superior</v>
          </cell>
          <cell r="L1902" t="str">
            <v>Si</v>
          </cell>
          <cell r="O1902" t="str">
            <v>Otros Profesionales y Especialidades</v>
          </cell>
        </row>
        <row r="1903">
          <cell r="C1903" t="str">
            <v>Yanelis Guitierrez Castellanos</v>
          </cell>
          <cell r="E1903" t="str">
            <v>F</v>
          </cell>
          <cell r="F1903" t="str">
            <v>Mestiza</v>
          </cell>
          <cell r="K1903" t="str">
            <v>Técnico Superior</v>
          </cell>
          <cell r="L1903" t="str">
            <v>No</v>
          </cell>
          <cell r="O1903" t="str">
            <v>Otros Profesionales y Especialidades</v>
          </cell>
        </row>
        <row r="1904">
          <cell r="C1904" t="str">
            <v>Yulia Vera Amado</v>
          </cell>
          <cell r="E1904" t="str">
            <v>F</v>
          </cell>
          <cell r="F1904" t="str">
            <v>mestiza</v>
          </cell>
          <cell r="K1904" t="str">
            <v>Técnico Superior</v>
          </cell>
          <cell r="L1904" t="str">
            <v>Si</v>
          </cell>
          <cell r="O1904" t="str">
            <v>Otros Profesionales y Especialidades</v>
          </cell>
        </row>
        <row r="1905">
          <cell r="C1905" t="str">
            <v>Claudia Elena Bell Bell</v>
          </cell>
          <cell r="E1905" t="str">
            <v>F</v>
          </cell>
          <cell r="F1905" t="str">
            <v>mestiza</v>
          </cell>
          <cell r="K1905" t="str">
            <v>Técnico Superior</v>
          </cell>
          <cell r="L1905" t="str">
            <v>No</v>
          </cell>
          <cell r="O1905" t="str">
            <v>Técnico Superior de Ciclo Corto</v>
          </cell>
        </row>
        <row r="1906">
          <cell r="C1906" t="str">
            <v>Karelia Perera Savigne</v>
          </cell>
          <cell r="E1906" t="str">
            <v>f</v>
          </cell>
          <cell r="F1906" t="str">
            <v>Blanca</v>
          </cell>
          <cell r="K1906" t="str">
            <v>Técnico Superior</v>
          </cell>
          <cell r="L1906" t="str">
            <v>Si</v>
          </cell>
          <cell r="M1906" t="str">
            <v>Téc Sup. en Enfermería</v>
          </cell>
          <cell r="O1906" t="str">
            <v>Técnico Superior de Ciclo Corto</v>
          </cell>
        </row>
        <row r="1907">
          <cell r="C1907" t="str">
            <v>Lisi Martinez Diaz</v>
          </cell>
          <cell r="E1907" t="str">
            <v>F</v>
          </cell>
          <cell r="F1907" t="str">
            <v>mestiza</v>
          </cell>
          <cell r="K1907" t="str">
            <v>Técnico Superior</v>
          </cell>
          <cell r="L1907" t="str">
            <v>Si</v>
          </cell>
          <cell r="O1907" t="str">
            <v>Lic. en Tecnología de la Salud</v>
          </cell>
        </row>
        <row r="1908">
          <cell r="C1908" t="str">
            <v>Ada Guerrro Quintana</v>
          </cell>
          <cell r="E1908" t="str">
            <v>F</v>
          </cell>
          <cell r="F1908" t="str">
            <v>mestiza</v>
          </cell>
          <cell r="K1908" t="str">
            <v>Operario</v>
          </cell>
          <cell r="L1908" t="str">
            <v>No</v>
          </cell>
          <cell r="O1908" t="str">
            <v>Otros No Técnicos</v>
          </cell>
        </row>
        <row r="1909">
          <cell r="C1909" t="str">
            <v>Adelaida Cornier Cala</v>
          </cell>
          <cell r="E1909" t="str">
            <v>F</v>
          </cell>
          <cell r="F1909" t="str">
            <v>negra</v>
          </cell>
          <cell r="K1909" t="str">
            <v>Operario</v>
          </cell>
          <cell r="L1909" t="str">
            <v>No</v>
          </cell>
          <cell r="O1909" t="str">
            <v>Otros No Técnicos</v>
          </cell>
        </row>
        <row r="1910">
          <cell r="C1910" t="str">
            <v>Adislen de la Caridad Hernández Albelo</v>
          </cell>
          <cell r="E1910" t="str">
            <v>F</v>
          </cell>
          <cell r="F1910" t="str">
            <v>blanca</v>
          </cell>
          <cell r="K1910" t="str">
            <v>Administrativo</v>
          </cell>
          <cell r="L1910" t="str">
            <v>No</v>
          </cell>
          <cell r="O1910" t="str">
            <v>Otros No Técnicos</v>
          </cell>
        </row>
        <row r="1911">
          <cell r="C1911" t="str">
            <v>Adonis Herrera Orduñes</v>
          </cell>
          <cell r="E1911" t="str">
            <v>M</v>
          </cell>
          <cell r="F1911" t="str">
            <v>negra</v>
          </cell>
          <cell r="K1911" t="str">
            <v>Operario</v>
          </cell>
          <cell r="L1911" t="str">
            <v>No</v>
          </cell>
          <cell r="O1911" t="str">
            <v>Otros No Técnicos</v>
          </cell>
        </row>
        <row r="1912">
          <cell r="C1912" t="str">
            <v>Adonis Mustelier Sánchez</v>
          </cell>
          <cell r="E1912" t="str">
            <v>M</v>
          </cell>
          <cell r="F1912" t="str">
            <v>mestiza</v>
          </cell>
          <cell r="K1912" t="str">
            <v>Operario</v>
          </cell>
          <cell r="L1912" t="str">
            <v>No</v>
          </cell>
          <cell r="O1912" t="str">
            <v>Otros No Técnicos</v>
          </cell>
        </row>
        <row r="1913">
          <cell r="C1913" t="str">
            <v>Agustin Martinez Pérez</v>
          </cell>
          <cell r="E1913" t="str">
            <v>M</v>
          </cell>
          <cell r="F1913" t="str">
            <v>Mestiza</v>
          </cell>
          <cell r="K1913" t="str">
            <v>Operario</v>
          </cell>
          <cell r="L1913" t="str">
            <v>No</v>
          </cell>
          <cell r="O1913" t="str">
            <v>Otros No Técnicos</v>
          </cell>
        </row>
        <row r="1914">
          <cell r="C1914" t="str">
            <v>Agustin Sabournin Rodriguez</v>
          </cell>
          <cell r="E1914" t="str">
            <v>M</v>
          </cell>
          <cell r="F1914" t="str">
            <v>negra</v>
          </cell>
          <cell r="K1914" t="str">
            <v>Operario</v>
          </cell>
          <cell r="L1914" t="str">
            <v>No</v>
          </cell>
          <cell r="O1914" t="str">
            <v>Otros No Técnicos</v>
          </cell>
        </row>
        <row r="1915">
          <cell r="C1915" t="str">
            <v>Alberto Argelio Garcia Beltrán</v>
          </cell>
          <cell r="E1915" t="str">
            <v>M</v>
          </cell>
          <cell r="F1915" t="str">
            <v>Mestiza</v>
          </cell>
          <cell r="K1915" t="str">
            <v>Operario</v>
          </cell>
          <cell r="L1915" t="str">
            <v>No</v>
          </cell>
          <cell r="O1915" t="str">
            <v>Otros No Técnicos</v>
          </cell>
        </row>
        <row r="1916">
          <cell r="C1916" t="str">
            <v>Alcibiades Begó Sánchez</v>
          </cell>
          <cell r="E1916" t="str">
            <v>M</v>
          </cell>
          <cell r="F1916" t="str">
            <v>negra</v>
          </cell>
          <cell r="K1916" t="str">
            <v>Operario</v>
          </cell>
          <cell r="L1916" t="str">
            <v>No</v>
          </cell>
          <cell r="O1916" t="str">
            <v>Otros No Técnicos</v>
          </cell>
        </row>
        <row r="1917">
          <cell r="C1917" t="str">
            <v>Alfredo Gónzalez Luna</v>
          </cell>
          <cell r="E1917" t="str">
            <v>M</v>
          </cell>
          <cell r="F1917" t="str">
            <v>Mestiza</v>
          </cell>
          <cell r="K1917" t="str">
            <v>Servicio</v>
          </cell>
          <cell r="L1917" t="str">
            <v>No</v>
          </cell>
          <cell r="O1917" t="str">
            <v>Otros No Técnicos</v>
          </cell>
        </row>
        <row r="1918">
          <cell r="C1918" t="str">
            <v xml:space="preserve">Alina Escalante Carbonel </v>
          </cell>
          <cell r="E1918" t="str">
            <v>F</v>
          </cell>
          <cell r="F1918" t="str">
            <v>Blanca</v>
          </cell>
          <cell r="K1918" t="str">
            <v>Servicio</v>
          </cell>
          <cell r="L1918" t="str">
            <v>No</v>
          </cell>
          <cell r="O1918" t="str">
            <v>Otros No Técnicos</v>
          </cell>
        </row>
        <row r="1919">
          <cell r="C1919" t="str">
            <v>Alnibal Sorzano Hodelin</v>
          </cell>
          <cell r="E1919" t="str">
            <v>M</v>
          </cell>
          <cell r="F1919" t="str">
            <v>Mestiza</v>
          </cell>
          <cell r="K1919" t="str">
            <v>Operario</v>
          </cell>
          <cell r="L1919" t="str">
            <v>No</v>
          </cell>
          <cell r="O1919" t="str">
            <v>Otros No Técnicos</v>
          </cell>
        </row>
        <row r="1920">
          <cell r="C1920" t="str">
            <v>Amado Martinez Montero</v>
          </cell>
          <cell r="E1920" t="str">
            <v>M</v>
          </cell>
          <cell r="F1920" t="str">
            <v>negra</v>
          </cell>
          <cell r="K1920" t="str">
            <v>Operario</v>
          </cell>
          <cell r="L1920" t="str">
            <v>No</v>
          </cell>
          <cell r="O1920" t="str">
            <v>Otros No Técnicos</v>
          </cell>
        </row>
        <row r="1921">
          <cell r="C1921" t="str">
            <v xml:space="preserve">Angladis Dumoy Rosario </v>
          </cell>
          <cell r="E1921" t="str">
            <v>F</v>
          </cell>
          <cell r="F1921" t="str">
            <v>mestiza</v>
          </cell>
          <cell r="K1921" t="str">
            <v>Servicio</v>
          </cell>
          <cell r="L1921" t="str">
            <v>No</v>
          </cell>
          <cell r="O1921" t="str">
            <v>Otros No Técnicos</v>
          </cell>
        </row>
        <row r="1922">
          <cell r="C1922" t="str">
            <v>Aniel Jaime Gutierrez</v>
          </cell>
          <cell r="E1922" t="str">
            <v>M</v>
          </cell>
          <cell r="F1922" t="str">
            <v>mestiza</v>
          </cell>
          <cell r="K1922" t="str">
            <v>Servicio</v>
          </cell>
          <cell r="L1922" t="str">
            <v>No</v>
          </cell>
          <cell r="O1922" t="str">
            <v>Otros No Técnicos</v>
          </cell>
        </row>
        <row r="1923">
          <cell r="C1923" t="str">
            <v>Arelis Martinez Mengana</v>
          </cell>
          <cell r="E1923" t="str">
            <v>F</v>
          </cell>
          <cell r="F1923" t="str">
            <v>mestiza</v>
          </cell>
          <cell r="K1923" t="str">
            <v>Servicio</v>
          </cell>
          <cell r="L1923" t="str">
            <v>No</v>
          </cell>
          <cell r="O1923" t="str">
            <v>Otros No Técnicos</v>
          </cell>
        </row>
        <row r="1924">
          <cell r="C1924" t="str">
            <v>Argenis Moreno López</v>
          </cell>
          <cell r="E1924" t="str">
            <v>F</v>
          </cell>
          <cell r="F1924" t="str">
            <v>mestiza</v>
          </cell>
          <cell r="K1924" t="str">
            <v>Servicio</v>
          </cell>
          <cell r="L1924" t="str">
            <v>Si</v>
          </cell>
          <cell r="O1924" t="str">
            <v>Otros No Técnicos</v>
          </cell>
        </row>
        <row r="1925">
          <cell r="C1925" t="str">
            <v>Arianne Valentin Regalado</v>
          </cell>
          <cell r="E1925" t="str">
            <v>F</v>
          </cell>
          <cell r="F1925" t="str">
            <v>Mestiza</v>
          </cell>
          <cell r="K1925" t="str">
            <v>Servicio</v>
          </cell>
          <cell r="L1925" t="str">
            <v>No</v>
          </cell>
          <cell r="O1925" t="str">
            <v>Otros No Técnicos</v>
          </cell>
        </row>
        <row r="1926">
          <cell r="C1926" t="str">
            <v>Arlene Perera Torrez</v>
          </cell>
          <cell r="E1926" t="str">
            <v>F</v>
          </cell>
          <cell r="F1926" t="str">
            <v>mestiza</v>
          </cell>
          <cell r="K1926" t="str">
            <v>Servicio</v>
          </cell>
          <cell r="L1926" t="str">
            <v>No</v>
          </cell>
          <cell r="O1926" t="str">
            <v>Otros No Técnicos</v>
          </cell>
        </row>
        <row r="1927">
          <cell r="C1927" t="str">
            <v>Barbara Martinez Vega</v>
          </cell>
          <cell r="E1927" t="str">
            <v>F</v>
          </cell>
          <cell r="F1927" t="str">
            <v>mestiza</v>
          </cell>
          <cell r="K1927" t="str">
            <v>Operario</v>
          </cell>
          <cell r="L1927" t="str">
            <v>No</v>
          </cell>
          <cell r="O1927" t="str">
            <v>Otros No Técnicos</v>
          </cell>
        </row>
        <row r="1928">
          <cell r="C1928" t="str">
            <v>Armando Cambet González</v>
          </cell>
          <cell r="E1928" t="str">
            <v>M</v>
          </cell>
          <cell r="F1928" t="str">
            <v>mestiza</v>
          </cell>
          <cell r="K1928" t="str">
            <v>Servicio</v>
          </cell>
          <cell r="L1928" t="str">
            <v>No</v>
          </cell>
          <cell r="O1928" t="str">
            <v>Otros No Técnicos</v>
          </cell>
        </row>
        <row r="1929">
          <cell r="C1929" t="str">
            <v>Asteria Marcos  Plana</v>
          </cell>
          <cell r="E1929" t="str">
            <v>F</v>
          </cell>
          <cell r="F1929" t="str">
            <v>negra</v>
          </cell>
          <cell r="K1929" t="str">
            <v>Servicio</v>
          </cell>
          <cell r="L1929" t="str">
            <v>Si</v>
          </cell>
          <cell r="O1929" t="str">
            <v>Otros No Técnicos</v>
          </cell>
        </row>
        <row r="1930">
          <cell r="C1930" t="str">
            <v>Aymara Sánchez Blanco</v>
          </cell>
          <cell r="E1930" t="str">
            <v>M</v>
          </cell>
          <cell r="F1930" t="str">
            <v>mestiza</v>
          </cell>
          <cell r="K1930" t="str">
            <v>Operario</v>
          </cell>
          <cell r="L1930" t="str">
            <v>No</v>
          </cell>
          <cell r="O1930" t="str">
            <v>Otros No Técnicos</v>
          </cell>
        </row>
        <row r="1931">
          <cell r="C1931" t="str">
            <v xml:space="preserve">Barbara Caynet Duboys </v>
          </cell>
          <cell r="E1931" t="str">
            <v>F</v>
          </cell>
          <cell r="F1931" t="str">
            <v>mestiza</v>
          </cell>
          <cell r="K1931" t="str">
            <v>Operario</v>
          </cell>
          <cell r="L1931" t="str">
            <v>Si</v>
          </cell>
          <cell r="O1931" t="str">
            <v>Otros No Técnicos</v>
          </cell>
        </row>
        <row r="1932">
          <cell r="C1932" t="str">
            <v xml:space="preserve">Barbaro Lahera Carnota </v>
          </cell>
          <cell r="E1932" t="str">
            <v>M</v>
          </cell>
          <cell r="F1932" t="str">
            <v>mestiza</v>
          </cell>
          <cell r="K1932" t="str">
            <v>Operario</v>
          </cell>
          <cell r="L1932" t="str">
            <v>Si</v>
          </cell>
          <cell r="O1932" t="str">
            <v>Otros No Técnicos</v>
          </cell>
        </row>
        <row r="1933">
          <cell r="C1933" t="str">
            <v>Birmelia Bueno Beltrán</v>
          </cell>
          <cell r="E1933" t="str">
            <v>F</v>
          </cell>
          <cell r="F1933" t="str">
            <v>negra</v>
          </cell>
          <cell r="K1933" t="str">
            <v>Servicio</v>
          </cell>
          <cell r="L1933" t="str">
            <v>Si</v>
          </cell>
          <cell r="O1933" t="str">
            <v>Otros No Técnicos</v>
          </cell>
        </row>
        <row r="1934">
          <cell r="C1934" t="str">
            <v>Birnoides Sorzano Hodelin</v>
          </cell>
          <cell r="E1934" t="str">
            <v>M</v>
          </cell>
          <cell r="F1934" t="str">
            <v>negra</v>
          </cell>
          <cell r="K1934" t="str">
            <v>Operario</v>
          </cell>
          <cell r="L1934" t="str">
            <v>Si</v>
          </cell>
          <cell r="O1934" t="str">
            <v>Otros No Técnicos</v>
          </cell>
        </row>
        <row r="1935">
          <cell r="C1935" t="str">
            <v>Bismal Badel Zamora</v>
          </cell>
          <cell r="E1935" t="str">
            <v>M</v>
          </cell>
          <cell r="F1935" t="str">
            <v>blanca</v>
          </cell>
          <cell r="K1935" t="str">
            <v>Operario</v>
          </cell>
          <cell r="L1935" t="str">
            <v>Si</v>
          </cell>
          <cell r="O1935" t="str">
            <v>Otros No Técnicos</v>
          </cell>
        </row>
        <row r="1936">
          <cell r="C1936" t="str">
            <v>Brigilio Gondres Tèllez</v>
          </cell>
          <cell r="E1936" t="str">
            <v>M</v>
          </cell>
          <cell r="F1936" t="str">
            <v>mestiza</v>
          </cell>
          <cell r="K1936" t="str">
            <v>Servicio</v>
          </cell>
          <cell r="L1936" t="str">
            <v>Si</v>
          </cell>
          <cell r="O1936" t="str">
            <v>Otros No Técnicos</v>
          </cell>
        </row>
        <row r="1937">
          <cell r="C1937" t="str">
            <v xml:space="preserve">Camilo Aranda Godínez </v>
          </cell>
          <cell r="E1937" t="str">
            <v>M</v>
          </cell>
          <cell r="F1937" t="str">
            <v>blanca</v>
          </cell>
          <cell r="K1937" t="str">
            <v>Servicio</v>
          </cell>
          <cell r="L1937" t="str">
            <v>Si</v>
          </cell>
          <cell r="O1937" t="str">
            <v>Otros No Técnicos</v>
          </cell>
        </row>
        <row r="1938">
          <cell r="C1938" t="str">
            <v xml:space="preserve">Caridad Ramírez Martínez </v>
          </cell>
          <cell r="E1938" t="str">
            <v>F</v>
          </cell>
          <cell r="F1938" t="str">
            <v>mestiza</v>
          </cell>
          <cell r="K1938" t="str">
            <v>Servicio</v>
          </cell>
          <cell r="L1938" t="str">
            <v>Si</v>
          </cell>
          <cell r="O1938" t="str">
            <v>Otros No Técnicos</v>
          </cell>
        </row>
        <row r="1939">
          <cell r="C1939" t="str">
            <v xml:space="preserve">Carlos Zamora Leliebre </v>
          </cell>
          <cell r="E1939" t="str">
            <v>M</v>
          </cell>
          <cell r="F1939" t="str">
            <v>mestiza</v>
          </cell>
          <cell r="K1939" t="str">
            <v>Servicio</v>
          </cell>
          <cell r="L1939" t="str">
            <v>Si</v>
          </cell>
          <cell r="O1939" t="str">
            <v>Otros No Técnicos</v>
          </cell>
        </row>
        <row r="1940">
          <cell r="C1940" t="str">
            <v>Claribel Carrasco Delís</v>
          </cell>
          <cell r="E1940" t="str">
            <v>F</v>
          </cell>
          <cell r="F1940" t="str">
            <v>negra</v>
          </cell>
          <cell r="K1940" t="str">
            <v>Servicio</v>
          </cell>
          <cell r="L1940" t="str">
            <v>Si</v>
          </cell>
          <cell r="O1940" t="str">
            <v>Otros No Técnicos</v>
          </cell>
        </row>
        <row r="1941">
          <cell r="C1941" t="str">
            <v>Clotilde Pérez Larrea</v>
          </cell>
          <cell r="E1941" t="str">
            <v>F</v>
          </cell>
          <cell r="F1941" t="str">
            <v>mestiza</v>
          </cell>
          <cell r="K1941" t="str">
            <v>Operario</v>
          </cell>
          <cell r="L1941" t="str">
            <v>Si</v>
          </cell>
          <cell r="O1941" t="str">
            <v>Otros No Técnicos</v>
          </cell>
        </row>
        <row r="1942">
          <cell r="C1942" t="str">
            <v>Coralia Gonzáles Sesé</v>
          </cell>
          <cell r="E1942" t="str">
            <v>F</v>
          </cell>
          <cell r="F1942" t="str">
            <v>mestiza</v>
          </cell>
          <cell r="K1942" t="str">
            <v>Operario</v>
          </cell>
          <cell r="L1942" t="str">
            <v>Si</v>
          </cell>
          <cell r="O1942" t="str">
            <v>Otros No Técnicos</v>
          </cell>
        </row>
        <row r="1943">
          <cell r="C1943" t="str">
            <v>Coralia Trujillo Estrada</v>
          </cell>
          <cell r="E1943" t="str">
            <v>F</v>
          </cell>
          <cell r="F1943" t="str">
            <v>blanca</v>
          </cell>
          <cell r="K1943" t="str">
            <v>Servicio</v>
          </cell>
          <cell r="L1943" t="str">
            <v>Si</v>
          </cell>
          <cell r="O1943" t="str">
            <v>Otros No Técnicos</v>
          </cell>
        </row>
        <row r="1944">
          <cell r="C1944" t="str">
            <v>Dailin Noa Bell</v>
          </cell>
          <cell r="E1944" t="str">
            <v>F</v>
          </cell>
          <cell r="F1944" t="str">
            <v>Blanca</v>
          </cell>
          <cell r="K1944" t="str">
            <v>Servicio</v>
          </cell>
          <cell r="L1944" t="str">
            <v>No</v>
          </cell>
          <cell r="O1944" t="str">
            <v>Otros No Técnicos</v>
          </cell>
        </row>
        <row r="1945">
          <cell r="C1945" t="str">
            <v>Dainellis Vargas Garbey</v>
          </cell>
          <cell r="E1945" t="str">
            <v>F</v>
          </cell>
          <cell r="F1945" t="str">
            <v>mestiza</v>
          </cell>
          <cell r="K1945" t="str">
            <v>Operario</v>
          </cell>
          <cell r="L1945" t="str">
            <v>Si</v>
          </cell>
          <cell r="O1945" t="str">
            <v>Otros No Técnicos</v>
          </cell>
        </row>
        <row r="1946">
          <cell r="C1946" t="str">
            <v xml:space="preserve">Damari Jacas Terazón </v>
          </cell>
          <cell r="E1946" t="str">
            <v>F</v>
          </cell>
          <cell r="F1946" t="str">
            <v>negra</v>
          </cell>
          <cell r="K1946" t="str">
            <v>Servicio</v>
          </cell>
          <cell r="L1946" t="str">
            <v>Si</v>
          </cell>
          <cell r="O1946" t="str">
            <v>Otros No Técnicos</v>
          </cell>
        </row>
        <row r="1947">
          <cell r="C1947" t="str">
            <v>Damaris Creagh Dupuy</v>
          </cell>
          <cell r="E1947" t="str">
            <v>F</v>
          </cell>
          <cell r="F1947" t="str">
            <v>mestiza</v>
          </cell>
          <cell r="K1947" t="str">
            <v>Servicio</v>
          </cell>
          <cell r="L1947" t="str">
            <v>Si</v>
          </cell>
          <cell r="O1947" t="str">
            <v>Otros No Técnicos</v>
          </cell>
        </row>
        <row r="1948">
          <cell r="C1948" t="str">
            <v>Damaris León Wilson</v>
          </cell>
          <cell r="E1948" t="str">
            <v>F</v>
          </cell>
          <cell r="F1948" t="str">
            <v>negra</v>
          </cell>
          <cell r="K1948" t="str">
            <v>Operario</v>
          </cell>
          <cell r="L1948" t="str">
            <v>Si</v>
          </cell>
          <cell r="O1948" t="str">
            <v>Otros No Técnicos</v>
          </cell>
        </row>
        <row r="1949">
          <cell r="C1949" t="str">
            <v>Danay Romero Casero</v>
          </cell>
          <cell r="E1949" t="str">
            <v>F</v>
          </cell>
          <cell r="F1949" t="str">
            <v>negra</v>
          </cell>
          <cell r="K1949" t="str">
            <v>Operario</v>
          </cell>
          <cell r="L1949" t="str">
            <v>Si</v>
          </cell>
          <cell r="O1949" t="str">
            <v>Otros No Técnicos</v>
          </cell>
        </row>
        <row r="1950">
          <cell r="C1950" t="str">
            <v>Danelis Quiñones Creach</v>
          </cell>
          <cell r="E1950" t="str">
            <v>F</v>
          </cell>
          <cell r="F1950" t="str">
            <v>negra</v>
          </cell>
          <cell r="K1950" t="str">
            <v>Operario</v>
          </cell>
          <cell r="L1950" t="str">
            <v>Si</v>
          </cell>
          <cell r="O1950" t="str">
            <v>Otros No Técnicos</v>
          </cell>
        </row>
        <row r="1951">
          <cell r="C1951" t="str">
            <v>DANIEL BRAVO REVILLA</v>
          </cell>
          <cell r="E1951" t="str">
            <v>M</v>
          </cell>
          <cell r="F1951" t="str">
            <v>mestiza</v>
          </cell>
          <cell r="K1951" t="str">
            <v>Operario</v>
          </cell>
          <cell r="L1951" t="str">
            <v>Si</v>
          </cell>
          <cell r="O1951" t="str">
            <v>Otros No Técnicos</v>
          </cell>
        </row>
        <row r="1952">
          <cell r="C1952" t="str">
            <v>Danisleydis Cardero Cordoví</v>
          </cell>
          <cell r="E1952" t="str">
            <v>F</v>
          </cell>
          <cell r="F1952" t="str">
            <v>mestiza</v>
          </cell>
          <cell r="K1952" t="str">
            <v>Operario</v>
          </cell>
          <cell r="L1952" t="str">
            <v>Si</v>
          </cell>
          <cell r="O1952" t="str">
            <v>Otros No Técnicos</v>
          </cell>
        </row>
        <row r="1953">
          <cell r="C1953" t="str">
            <v>David Martínez Plana</v>
          </cell>
          <cell r="E1953" t="str">
            <v>M</v>
          </cell>
          <cell r="F1953" t="str">
            <v>negra</v>
          </cell>
          <cell r="K1953" t="str">
            <v>Operario</v>
          </cell>
          <cell r="L1953" t="str">
            <v>Si</v>
          </cell>
          <cell r="O1953" t="str">
            <v>Otros No Técnicos</v>
          </cell>
        </row>
        <row r="1954">
          <cell r="C1954" t="str">
            <v xml:space="preserve">Dayami Bueno  Aguilera </v>
          </cell>
          <cell r="E1954" t="str">
            <v>F</v>
          </cell>
          <cell r="F1954" t="str">
            <v>mestiza</v>
          </cell>
          <cell r="K1954" t="str">
            <v>Servicio</v>
          </cell>
          <cell r="L1954" t="str">
            <v>Si</v>
          </cell>
          <cell r="O1954" t="str">
            <v>Otros No Técnicos</v>
          </cell>
        </row>
        <row r="1955">
          <cell r="C1955" t="str">
            <v>Dayanaisy Irsula lópez</v>
          </cell>
          <cell r="E1955" t="str">
            <v>F</v>
          </cell>
          <cell r="F1955" t="str">
            <v>negra</v>
          </cell>
          <cell r="K1955" t="str">
            <v>Servicio</v>
          </cell>
          <cell r="L1955" t="str">
            <v>No</v>
          </cell>
          <cell r="O1955" t="str">
            <v>Otros No Técnicos</v>
          </cell>
        </row>
        <row r="1956">
          <cell r="C1956" t="str">
            <v>Dayani Martinez Montes</v>
          </cell>
          <cell r="E1956" t="str">
            <v>F</v>
          </cell>
          <cell r="F1956" t="str">
            <v>mestiza</v>
          </cell>
          <cell r="K1956" t="str">
            <v>Operario</v>
          </cell>
          <cell r="L1956" t="str">
            <v>No</v>
          </cell>
          <cell r="O1956" t="str">
            <v>Otros No Técnicos</v>
          </cell>
        </row>
        <row r="1957">
          <cell r="C1957" t="str">
            <v>Dunia Acosta Ramire</v>
          </cell>
          <cell r="E1957" t="str">
            <v>F</v>
          </cell>
          <cell r="F1957" t="str">
            <v>Blanca</v>
          </cell>
          <cell r="K1957" t="str">
            <v>Servicio</v>
          </cell>
          <cell r="L1957" t="str">
            <v>No</v>
          </cell>
          <cell r="O1957" t="str">
            <v>Otros No Técnicos</v>
          </cell>
        </row>
        <row r="1958">
          <cell r="C1958" t="str">
            <v>Edileisi Castillo Estrada</v>
          </cell>
          <cell r="E1958" t="str">
            <v>F</v>
          </cell>
          <cell r="F1958" t="str">
            <v>mestiza</v>
          </cell>
          <cell r="K1958" t="str">
            <v>Técnico Medio</v>
          </cell>
          <cell r="L1958" t="str">
            <v>No</v>
          </cell>
          <cell r="O1958" t="str">
            <v>Otros No Técnicos</v>
          </cell>
        </row>
        <row r="1959">
          <cell r="C1959" t="str">
            <v>Eduardo Chavez Rubio</v>
          </cell>
          <cell r="E1959" t="str">
            <v>M</v>
          </cell>
          <cell r="F1959" t="str">
            <v>Mestiza</v>
          </cell>
          <cell r="K1959" t="str">
            <v>Servicio</v>
          </cell>
          <cell r="L1959" t="str">
            <v>No</v>
          </cell>
          <cell r="O1959" t="str">
            <v>Otros No Técnicos</v>
          </cell>
        </row>
        <row r="1960">
          <cell r="C1960" t="str">
            <v>ELAINE GUTIERREZ MARTINEZ</v>
          </cell>
          <cell r="E1960" t="str">
            <v>F</v>
          </cell>
          <cell r="F1960" t="str">
            <v>mestiza</v>
          </cell>
          <cell r="K1960" t="str">
            <v>Operario</v>
          </cell>
          <cell r="L1960" t="str">
            <v>Si</v>
          </cell>
          <cell r="O1960" t="str">
            <v>Otros No Técnicos</v>
          </cell>
        </row>
        <row r="1961">
          <cell r="C1961" t="str">
            <v>Elianys Veranes Martìnez</v>
          </cell>
          <cell r="E1961" t="str">
            <v>F</v>
          </cell>
          <cell r="F1961" t="str">
            <v>negra</v>
          </cell>
          <cell r="K1961" t="str">
            <v>Operario</v>
          </cell>
          <cell r="L1961" t="str">
            <v>Si</v>
          </cell>
          <cell r="O1961" t="str">
            <v>Otros No Técnicos</v>
          </cell>
        </row>
        <row r="1962">
          <cell r="C1962" t="str">
            <v>Eliennis Duralis Morales</v>
          </cell>
          <cell r="E1962" t="str">
            <v>F</v>
          </cell>
          <cell r="F1962" t="str">
            <v>mestiza</v>
          </cell>
          <cell r="K1962" t="str">
            <v>Operario</v>
          </cell>
          <cell r="L1962" t="str">
            <v>No</v>
          </cell>
          <cell r="O1962" t="str">
            <v>Otros No Técnicos</v>
          </cell>
        </row>
        <row r="1963">
          <cell r="C1963" t="str">
            <v>Elieser Bueno Serrano</v>
          </cell>
          <cell r="E1963" t="str">
            <v>M</v>
          </cell>
          <cell r="F1963" t="str">
            <v>negra</v>
          </cell>
          <cell r="K1963" t="str">
            <v>Operario</v>
          </cell>
          <cell r="L1963" t="str">
            <v>Si</v>
          </cell>
          <cell r="O1963" t="str">
            <v>Otros No Técnicos</v>
          </cell>
        </row>
        <row r="1964">
          <cell r="C1964" t="str">
            <v>Elizabeth Almenarez Verdecia</v>
          </cell>
          <cell r="E1964" t="str">
            <v>F</v>
          </cell>
          <cell r="F1964" t="str">
            <v>mestiza</v>
          </cell>
          <cell r="K1964" t="str">
            <v>Administrativo</v>
          </cell>
          <cell r="L1964" t="str">
            <v>No</v>
          </cell>
          <cell r="O1964" t="str">
            <v>Otros No Técnicos</v>
          </cell>
        </row>
        <row r="1965">
          <cell r="C1965" t="str">
            <v>Elsa Grasial Blanco</v>
          </cell>
          <cell r="E1965" t="str">
            <v>F</v>
          </cell>
          <cell r="F1965" t="str">
            <v>Mestiza</v>
          </cell>
          <cell r="K1965" t="str">
            <v>Servicio</v>
          </cell>
          <cell r="L1965" t="str">
            <v>No</v>
          </cell>
          <cell r="O1965" t="str">
            <v>Otros No Técnicos</v>
          </cell>
        </row>
        <row r="1966">
          <cell r="C1966" t="str">
            <v xml:space="preserve">Emilena Rodríguez Rodríguez </v>
          </cell>
          <cell r="E1966" t="str">
            <v>F</v>
          </cell>
          <cell r="F1966" t="str">
            <v>mestiza</v>
          </cell>
          <cell r="K1966" t="str">
            <v>Servicio</v>
          </cell>
          <cell r="L1966" t="str">
            <v>Si</v>
          </cell>
          <cell r="O1966" t="str">
            <v>Otros No Técnicos</v>
          </cell>
        </row>
        <row r="1967">
          <cell r="C1967" t="str">
            <v>Emilio Torres Beltran</v>
          </cell>
          <cell r="E1967" t="str">
            <v>M</v>
          </cell>
          <cell r="F1967" t="str">
            <v>mestiza</v>
          </cell>
          <cell r="K1967" t="str">
            <v>Cuadro</v>
          </cell>
          <cell r="L1967" t="str">
            <v>Si</v>
          </cell>
          <cell r="O1967" t="str">
            <v>Otros No Técnicos</v>
          </cell>
        </row>
        <row r="1968">
          <cell r="C1968" t="str">
            <v xml:space="preserve">Enoides Moreno Duharte </v>
          </cell>
          <cell r="E1968" t="str">
            <v>f</v>
          </cell>
          <cell r="F1968" t="str">
            <v>mestiza</v>
          </cell>
          <cell r="K1968" t="str">
            <v>Servicio</v>
          </cell>
          <cell r="L1968" t="str">
            <v>Si</v>
          </cell>
          <cell r="O1968" t="str">
            <v>Otros No Técnicos</v>
          </cell>
        </row>
        <row r="1969">
          <cell r="C1969" t="str">
            <v xml:space="preserve">Esperanza Arroyo Tamayo </v>
          </cell>
          <cell r="E1969" t="str">
            <v>F</v>
          </cell>
          <cell r="F1969" t="str">
            <v>mestiza</v>
          </cell>
          <cell r="K1969" t="str">
            <v>Servicio</v>
          </cell>
          <cell r="L1969" t="str">
            <v>Si</v>
          </cell>
          <cell r="O1969" t="str">
            <v>Otros No Técnicos</v>
          </cell>
        </row>
        <row r="1970">
          <cell r="C1970" t="str">
            <v>Eulises Sánchez Cedeño</v>
          </cell>
          <cell r="E1970" t="str">
            <v>M</v>
          </cell>
          <cell r="F1970" t="str">
            <v>negra</v>
          </cell>
          <cell r="K1970" t="str">
            <v>Operario</v>
          </cell>
          <cell r="L1970" t="str">
            <v>Si</v>
          </cell>
          <cell r="O1970" t="str">
            <v>Otros No Técnicos</v>
          </cell>
        </row>
        <row r="1971">
          <cell r="C1971" t="str">
            <v xml:space="preserve">EUSEBIO RUIZ OROZCO </v>
          </cell>
          <cell r="E1971" t="str">
            <v>M</v>
          </cell>
          <cell r="F1971" t="str">
            <v>negra</v>
          </cell>
          <cell r="K1971" t="str">
            <v>Operario</v>
          </cell>
          <cell r="L1971" t="str">
            <v>Si</v>
          </cell>
          <cell r="O1971" t="str">
            <v>Otros No Técnicos</v>
          </cell>
        </row>
        <row r="1972">
          <cell r="C1972" t="str">
            <v>Fidel Figueroa Santos</v>
          </cell>
          <cell r="E1972" t="str">
            <v>M</v>
          </cell>
          <cell r="F1972" t="str">
            <v>negra</v>
          </cell>
          <cell r="K1972" t="str">
            <v>Operario</v>
          </cell>
          <cell r="L1972" t="str">
            <v>Si</v>
          </cell>
          <cell r="O1972" t="str">
            <v>Otros No Técnicos</v>
          </cell>
        </row>
        <row r="1973">
          <cell r="C1973" t="str">
            <v>Fidel Ordan Fuentes</v>
          </cell>
          <cell r="E1973" t="str">
            <v>M</v>
          </cell>
          <cell r="F1973" t="str">
            <v>mestiza</v>
          </cell>
          <cell r="K1973" t="str">
            <v>Operario</v>
          </cell>
          <cell r="L1973" t="str">
            <v>Si</v>
          </cell>
          <cell r="O1973" t="str">
            <v>Otros No Técnicos</v>
          </cell>
        </row>
        <row r="1974">
          <cell r="C1974" t="str">
            <v>Frank Ismel Borrero Heredia</v>
          </cell>
          <cell r="E1974" t="str">
            <v>M</v>
          </cell>
          <cell r="F1974" t="str">
            <v>Mestiza</v>
          </cell>
          <cell r="K1974" t="str">
            <v>Operario</v>
          </cell>
          <cell r="L1974" t="str">
            <v>No</v>
          </cell>
          <cell r="O1974" t="str">
            <v>Otros No Técnicos</v>
          </cell>
        </row>
        <row r="1975">
          <cell r="C1975" t="str">
            <v xml:space="preserve">Frank Moya Roncourt </v>
          </cell>
          <cell r="E1975" t="str">
            <v>M</v>
          </cell>
          <cell r="F1975" t="str">
            <v>negra</v>
          </cell>
          <cell r="K1975" t="str">
            <v>Operario</v>
          </cell>
          <cell r="L1975" t="str">
            <v>Si</v>
          </cell>
          <cell r="O1975" t="str">
            <v>Otros No Técnicos</v>
          </cell>
        </row>
        <row r="1976">
          <cell r="C1976" t="str">
            <v xml:space="preserve">Gendry Cardona Guerra </v>
          </cell>
          <cell r="E1976" t="str">
            <v>M</v>
          </cell>
          <cell r="F1976" t="str">
            <v>mestiza</v>
          </cell>
          <cell r="K1976" t="str">
            <v>Operario</v>
          </cell>
          <cell r="L1976" t="str">
            <v>Si</v>
          </cell>
          <cell r="O1976" t="str">
            <v>Otros No Técnicos</v>
          </cell>
        </row>
        <row r="1977">
          <cell r="C1977" t="str">
            <v>Georquenis León Escalante</v>
          </cell>
          <cell r="E1977" t="str">
            <v>M</v>
          </cell>
          <cell r="F1977" t="str">
            <v>mestiza</v>
          </cell>
          <cell r="K1977" t="str">
            <v>Servicio</v>
          </cell>
          <cell r="L1977" t="str">
            <v>No</v>
          </cell>
          <cell r="O1977" t="str">
            <v>Otros No Técnicos</v>
          </cell>
        </row>
        <row r="1978">
          <cell r="C1978" t="str">
            <v>Geovanis Medina Bonne</v>
          </cell>
          <cell r="E1978" t="str">
            <v>M</v>
          </cell>
          <cell r="F1978" t="str">
            <v>negra</v>
          </cell>
          <cell r="K1978" t="str">
            <v>Operario</v>
          </cell>
          <cell r="L1978" t="str">
            <v>No</v>
          </cell>
          <cell r="O1978" t="str">
            <v>Otros No Técnicos</v>
          </cell>
        </row>
        <row r="1979">
          <cell r="C1979" t="str">
            <v xml:space="preserve">Gisela González Carrión </v>
          </cell>
          <cell r="E1979" t="str">
            <v>F</v>
          </cell>
          <cell r="F1979" t="str">
            <v>negra</v>
          </cell>
          <cell r="K1979" t="str">
            <v>Servicio</v>
          </cell>
          <cell r="L1979" t="str">
            <v>Si</v>
          </cell>
          <cell r="O1979" t="str">
            <v>Otros No Técnicos</v>
          </cell>
        </row>
        <row r="1980">
          <cell r="C1980" t="str">
            <v>Gleibis Sánchez Mendoza</v>
          </cell>
          <cell r="E1980" t="str">
            <v>F</v>
          </cell>
          <cell r="F1980" t="str">
            <v>mestiza</v>
          </cell>
          <cell r="K1980" t="str">
            <v>Administrativo</v>
          </cell>
          <cell r="L1980" t="str">
            <v>No</v>
          </cell>
          <cell r="O1980" t="str">
            <v>Otros No Técnicos</v>
          </cell>
        </row>
        <row r="1981">
          <cell r="C1981" t="str">
            <v xml:space="preserve">Gleivis Bell Miclín </v>
          </cell>
          <cell r="E1981" t="str">
            <v>F</v>
          </cell>
          <cell r="F1981" t="str">
            <v>negra</v>
          </cell>
          <cell r="K1981" t="str">
            <v>Administrativo</v>
          </cell>
          <cell r="L1981" t="str">
            <v>Si</v>
          </cell>
          <cell r="O1981" t="str">
            <v>Otros No Técnicos</v>
          </cell>
        </row>
        <row r="1982">
          <cell r="C1982" t="str">
            <v>Gloria Terazón Gracial</v>
          </cell>
          <cell r="E1982" t="str">
            <v>F</v>
          </cell>
          <cell r="F1982" t="str">
            <v>negra</v>
          </cell>
          <cell r="K1982" t="str">
            <v>Servicio</v>
          </cell>
          <cell r="L1982" t="str">
            <v>Si</v>
          </cell>
          <cell r="O1982" t="str">
            <v>Otros No Técnicos</v>
          </cell>
        </row>
        <row r="1983">
          <cell r="C1983" t="str">
            <v xml:space="preserve">Griselia Herrera Estrada </v>
          </cell>
          <cell r="E1983" t="str">
            <v>F</v>
          </cell>
          <cell r="F1983" t="str">
            <v>negra</v>
          </cell>
          <cell r="K1983" t="str">
            <v>Servicio</v>
          </cell>
          <cell r="L1983" t="str">
            <v>Si</v>
          </cell>
          <cell r="O1983" t="str">
            <v>Otros No Técnicos</v>
          </cell>
        </row>
        <row r="1984">
          <cell r="C1984" t="str">
            <v>Guillermo Carrion Delbes</v>
          </cell>
          <cell r="E1984" t="str">
            <v>M</v>
          </cell>
          <cell r="F1984" t="str">
            <v>Negra</v>
          </cell>
          <cell r="K1984" t="str">
            <v>Servicio</v>
          </cell>
          <cell r="L1984" t="str">
            <v>No</v>
          </cell>
          <cell r="O1984" t="str">
            <v>Otros No Técnicos</v>
          </cell>
        </row>
        <row r="1985">
          <cell r="C1985" t="str">
            <v>HECTOR LUIS LEON GARBEY</v>
          </cell>
          <cell r="E1985" t="str">
            <v>M</v>
          </cell>
          <cell r="F1985" t="str">
            <v>negra</v>
          </cell>
          <cell r="K1985" t="str">
            <v>Servicio</v>
          </cell>
          <cell r="L1985" t="str">
            <v>Si</v>
          </cell>
          <cell r="O1985" t="str">
            <v>Otros No Técnicos</v>
          </cell>
        </row>
        <row r="1986">
          <cell r="C1986" t="str">
            <v xml:space="preserve">HERIBERTO DELIS RUIZ </v>
          </cell>
          <cell r="E1986" t="str">
            <v>M</v>
          </cell>
          <cell r="F1986" t="str">
            <v>negra</v>
          </cell>
          <cell r="K1986" t="str">
            <v>Operario</v>
          </cell>
          <cell r="L1986" t="str">
            <v>Si</v>
          </cell>
          <cell r="O1986" t="str">
            <v>Otros No Técnicos</v>
          </cell>
        </row>
        <row r="1987">
          <cell r="C1987" t="str">
            <v>Idailyn Fernández Fernández</v>
          </cell>
          <cell r="E1987" t="str">
            <v>F</v>
          </cell>
          <cell r="F1987" t="str">
            <v>negra</v>
          </cell>
          <cell r="K1987" t="str">
            <v>Servicio</v>
          </cell>
          <cell r="L1987" t="str">
            <v>No</v>
          </cell>
          <cell r="O1987" t="str">
            <v>Otros No Técnicos</v>
          </cell>
        </row>
        <row r="1988">
          <cell r="C1988" t="str">
            <v>Idalis Borrero Montero</v>
          </cell>
          <cell r="E1988" t="str">
            <v>F</v>
          </cell>
          <cell r="F1988" t="str">
            <v>Negra</v>
          </cell>
          <cell r="K1988" t="str">
            <v>Servicio</v>
          </cell>
          <cell r="L1988" t="str">
            <v>No</v>
          </cell>
          <cell r="O1988" t="str">
            <v>Otros No Técnicos</v>
          </cell>
        </row>
        <row r="1989">
          <cell r="C1989" t="str">
            <v>Idalvis Almenares Borrero</v>
          </cell>
          <cell r="E1989" t="str">
            <v>F</v>
          </cell>
          <cell r="F1989" t="str">
            <v>mestiza</v>
          </cell>
          <cell r="K1989" t="str">
            <v>Operario</v>
          </cell>
          <cell r="L1989" t="str">
            <v>No</v>
          </cell>
          <cell r="O1989" t="str">
            <v>Otros No Técnicos</v>
          </cell>
        </row>
        <row r="1990">
          <cell r="C1990" t="str">
            <v xml:space="preserve">Idelmis Pérez García </v>
          </cell>
          <cell r="E1990" t="str">
            <v>F</v>
          </cell>
          <cell r="F1990" t="str">
            <v>negra</v>
          </cell>
          <cell r="K1990" t="str">
            <v>Servicio</v>
          </cell>
          <cell r="L1990" t="str">
            <v>Si</v>
          </cell>
          <cell r="O1990" t="str">
            <v>Otros No Técnicos</v>
          </cell>
        </row>
        <row r="1991">
          <cell r="C1991" t="str">
            <v xml:space="preserve">Iliana Escalante Torres </v>
          </cell>
          <cell r="E1991" t="str">
            <v>F</v>
          </cell>
          <cell r="F1991" t="str">
            <v>negra</v>
          </cell>
          <cell r="K1991" t="str">
            <v>Servicio</v>
          </cell>
          <cell r="L1991" t="str">
            <v>Si</v>
          </cell>
          <cell r="O1991" t="str">
            <v>Otros No Técnicos</v>
          </cell>
        </row>
        <row r="1992">
          <cell r="C1992" t="str">
            <v>Yamiseli Gonzales Ramires</v>
          </cell>
          <cell r="E1992" t="str">
            <v>F</v>
          </cell>
          <cell r="F1992" t="str">
            <v>mestiza</v>
          </cell>
          <cell r="K1992" t="str">
            <v>Servicio</v>
          </cell>
          <cell r="L1992" t="str">
            <v>No</v>
          </cell>
          <cell r="O1992" t="str">
            <v>Otros No Técnicos</v>
          </cell>
        </row>
        <row r="1993">
          <cell r="C1993" t="str">
            <v xml:space="preserve">Irailsa Domínguez Rondón </v>
          </cell>
          <cell r="E1993" t="str">
            <v>F</v>
          </cell>
          <cell r="F1993" t="str">
            <v>negra</v>
          </cell>
          <cell r="K1993" t="str">
            <v>Servicio</v>
          </cell>
          <cell r="L1993" t="str">
            <v>Si</v>
          </cell>
          <cell r="O1993" t="str">
            <v>Otros No Técnicos</v>
          </cell>
        </row>
        <row r="1994">
          <cell r="C1994" t="str">
            <v xml:space="preserve">Isaida Peña Carballosa </v>
          </cell>
          <cell r="E1994" t="str">
            <v>F</v>
          </cell>
          <cell r="F1994" t="str">
            <v>blanca</v>
          </cell>
          <cell r="K1994" t="str">
            <v>Servicio</v>
          </cell>
          <cell r="L1994" t="str">
            <v>Si</v>
          </cell>
          <cell r="O1994" t="str">
            <v>Otros No Técnicos</v>
          </cell>
        </row>
        <row r="1995">
          <cell r="C1995" t="str">
            <v>Isrrael Ríos  Monte de Oca</v>
          </cell>
          <cell r="E1995" t="str">
            <v>M</v>
          </cell>
          <cell r="F1995" t="str">
            <v>negra</v>
          </cell>
          <cell r="K1995" t="str">
            <v>Servicio</v>
          </cell>
          <cell r="L1995" t="str">
            <v>Si</v>
          </cell>
          <cell r="O1995" t="str">
            <v>Otros No Técnicos</v>
          </cell>
        </row>
        <row r="1996">
          <cell r="C1996" t="str">
            <v>Jaime Santos  Perdomo</v>
          </cell>
          <cell r="E1996" t="str">
            <v>M</v>
          </cell>
          <cell r="F1996" t="str">
            <v>negra</v>
          </cell>
          <cell r="K1996" t="str">
            <v>Servicio</v>
          </cell>
          <cell r="L1996" t="str">
            <v>Si</v>
          </cell>
          <cell r="O1996" t="str">
            <v>Otros No Técnicos</v>
          </cell>
        </row>
        <row r="1997">
          <cell r="C1997" t="str">
            <v>Jennifes Hechavarria Quintana</v>
          </cell>
          <cell r="E1997" t="str">
            <v>F</v>
          </cell>
          <cell r="F1997" t="str">
            <v>negra</v>
          </cell>
          <cell r="K1997" t="str">
            <v>Operario</v>
          </cell>
          <cell r="L1997" t="str">
            <v>Si</v>
          </cell>
          <cell r="O1997" t="str">
            <v>Otros No Técnicos</v>
          </cell>
        </row>
        <row r="1998">
          <cell r="C1998" t="str">
            <v>Jesús Beltrán Pacheco</v>
          </cell>
          <cell r="E1998" t="str">
            <v>M</v>
          </cell>
          <cell r="F1998" t="str">
            <v>mestiza</v>
          </cell>
          <cell r="K1998" t="str">
            <v>Operario</v>
          </cell>
          <cell r="L1998" t="str">
            <v>Si</v>
          </cell>
          <cell r="O1998" t="str">
            <v>Otros No Técnicos</v>
          </cell>
        </row>
        <row r="1999">
          <cell r="C1999" t="str">
            <v>Jhonatan Torres Oris</v>
          </cell>
          <cell r="E1999" t="str">
            <v>M</v>
          </cell>
          <cell r="F1999" t="str">
            <v>mestiza</v>
          </cell>
          <cell r="K1999" t="str">
            <v>Operario</v>
          </cell>
          <cell r="L1999" t="str">
            <v>No</v>
          </cell>
          <cell r="O1999" t="str">
            <v>Otros No Técnicos</v>
          </cell>
        </row>
        <row r="2000">
          <cell r="C2000" t="str">
            <v>Joe Luis Azcanio Pantoja</v>
          </cell>
          <cell r="E2000" t="str">
            <v>M</v>
          </cell>
          <cell r="F2000" t="str">
            <v>mestiza</v>
          </cell>
          <cell r="K2000" t="str">
            <v>Operario</v>
          </cell>
          <cell r="L2000" t="str">
            <v>Si</v>
          </cell>
          <cell r="O2000" t="str">
            <v>Otros No Técnicos</v>
          </cell>
        </row>
        <row r="2001">
          <cell r="C2001" t="str">
            <v>JORGE BATISTA ESTALELLA</v>
          </cell>
          <cell r="E2001" t="str">
            <v>M</v>
          </cell>
          <cell r="F2001" t="str">
            <v>blanca</v>
          </cell>
          <cell r="K2001" t="str">
            <v>Servicio</v>
          </cell>
          <cell r="L2001" t="str">
            <v>Si</v>
          </cell>
          <cell r="O2001" t="str">
            <v>Otros No Técnicos</v>
          </cell>
        </row>
        <row r="2002">
          <cell r="C2002" t="str">
            <v>JOSE ENRRIQUE PEREZ GONZALEZ</v>
          </cell>
          <cell r="E2002" t="str">
            <v>M</v>
          </cell>
          <cell r="F2002" t="str">
            <v>mestiza</v>
          </cell>
          <cell r="K2002" t="str">
            <v>Servicio</v>
          </cell>
          <cell r="L2002" t="str">
            <v>Si</v>
          </cell>
          <cell r="O2002" t="str">
            <v>Otros No Técnicos</v>
          </cell>
        </row>
        <row r="2003">
          <cell r="C2003" t="str">
            <v>José Laydel Castillo Rivero</v>
          </cell>
          <cell r="E2003" t="str">
            <v>M</v>
          </cell>
          <cell r="F2003" t="str">
            <v>blanca</v>
          </cell>
          <cell r="K2003" t="str">
            <v>Operario</v>
          </cell>
          <cell r="L2003" t="str">
            <v>No</v>
          </cell>
          <cell r="O2003" t="str">
            <v>Otros No Técnicos</v>
          </cell>
        </row>
        <row r="2004">
          <cell r="C2004" t="str">
            <v>José Orlando Curuniaux Delas</v>
          </cell>
          <cell r="E2004" t="str">
            <v>M</v>
          </cell>
          <cell r="F2004" t="str">
            <v>negra</v>
          </cell>
          <cell r="K2004" t="str">
            <v>Servicio</v>
          </cell>
          <cell r="L2004" t="str">
            <v>No</v>
          </cell>
          <cell r="O2004" t="str">
            <v>Otros No Técnicos</v>
          </cell>
        </row>
        <row r="2005">
          <cell r="C2005" t="str">
            <v>Josefa Veranes Pérez</v>
          </cell>
          <cell r="E2005" t="str">
            <v>F</v>
          </cell>
          <cell r="F2005" t="str">
            <v>negra</v>
          </cell>
          <cell r="K2005" t="str">
            <v>Operario</v>
          </cell>
          <cell r="L2005" t="str">
            <v>Si</v>
          </cell>
          <cell r="O2005" t="str">
            <v>Otros No Técnicos</v>
          </cell>
        </row>
        <row r="2006">
          <cell r="C2006" t="str">
            <v>Juan Aristedes vaillant marte</v>
          </cell>
          <cell r="E2006" t="str">
            <v>M</v>
          </cell>
          <cell r="F2006" t="str">
            <v>negra</v>
          </cell>
          <cell r="K2006" t="str">
            <v>Operario</v>
          </cell>
          <cell r="L2006" t="str">
            <v>Si</v>
          </cell>
          <cell r="O2006" t="str">
            <v>Otros No Técnicos</v>
          </cell>
        </row>
        <row r="2007">
          <cell r="C2007" t="str">
            <v>Juan Humberto Fernández Duarte</v>
          </cell>
          <cell r="E2007" t="str">
            <v>M</v>
          </cell>
          <cell r="F2007" t="str">
            <v>mestiza</v>
          </cell>
          <cell r="K2007" t="str">
            <v>Servicio</v>
          </cell>
          <cell r="L2007" t="str">
            <v>No</v>
          </cell>
          <cell r="O2007" t="str">
            <v>Otros No Técnicos</v>
          </cell>
        </row>
        <row r="2008">
          <cell r="C2008" t="str">
            <v>Justina Riviaux Massó</v>
          </cell>
          <cell r="E2008" t="str">
            <v>F</v>
          </cell>
          <cell r="F2008" t="str">
            <v>negra</v>
          </cell>
          <cell r="K2008" t="str">
            <v>Administrativo</v>
          </cell>
          <cell r="L2008" t="str">
            <v>Si</v>
          </cell>
          <cell r="O2008" t="str">
            <v>Otros No Técnicos</v>
          </cell>
        </row>
        <row r="2009">
          <cell r="C2009" t="str">
            <v>Kenia Miranda Samé</v>
          </cell>
          <cell r="E2009" t="str">
            <v>F</v>
          </cell>
          <cell r="F2009" t="str">
            <v>Mestiza</v>
          </cell>
          <cell r="K2009" t="str">
            <v>Servicio</v>
          </cell>
          <cell r="L2009" t="str">
            <v>No</v>
          </cell>
          <cell r="O2009" t="str">
            <v>Otros No Técnicos</v>
          </cell>
        </row>
        <row r="2010">
          <cell r="C2010" t="str">
            <v xml:space="preserve">Leidis Del Río Fonseca </v>
          </cell>
          <cell r="E2010" t="str">
            <v>F</v>
          </cell>
          <cell r="F2010" t="str">
            <v>mestiza</v>
          </cell>
          <cell r="K2010" t="str">
            <v>Servicio</v>
          </cell>
          <cell r="L2010" t="str">
            <v>Si</v>
          </cell>
          <cell r="O2010" t="str">
            <v>Otros No Técnicos</v>
          </cell>
        </row>
        <row r="2011">
          <cell r="C2011" t="str">
            <v xml:space="preserve">Leonardo Carmenaty Mandre </v>
          </cell>
          <cell r="E2011" t="str">
            <v>M</v>
          </cell>
          <cell r="F2011" t="str">
            <v>negra</v>
          </cell>
          <cell r="K2011" t="str">
            <v>Operario</v>
          </cell>
          <cell r="L2011" t="str">
            <v>Si</v>
          </cell>
          <cell r="O2011" t="str">
            <v>Otros No Técnicos</v>
          </cell>
        </row>
        <row r="2012">
          <cell r="C2012" t="str">
            <v xml:space="preserve">Leonel Mustelier Martínez </v>
          </cell>
          <cell r="E2012" t="str">
            <v>M</v>
          </cell>
          <cell r="F2012" t="str">
            <v>negra</v>
          </cell>
          <cell r="K2012" t="str">
            <v>Servicio</v>
          </cell>
          <cell r="L2012" t="str">
            <v>Si</v>
          </cell>
          <cell r="O2012" t="str">
            <v>Otros No Técnicos</v>
          </cell>
        </row>
        <row r="2013">
          <cell r="C2013" t="str">
            <v>Liliannis Mengana Silva</v>
          </cell>
          <cell r="E2013" t="str">
            <v>F</v>
          </cell>
          <cell r="F2013" t="str">
            <v>Mestiza</v>
          </cell>
          <cell r="K2013" t="str">
            <v>Administrativo</v>
          </cell>
          <cell r="L2013" t="str">
            <v>No</v>
          </cell>
          <cell r="O2013" t="str">
            <v>Otros No Técnicos</v>
          </cell>
        </row>
        <row r="2014">
          <cell r="C2014" t="str">
            <v xml:space="preserve">Loida Jaquemán  Castellanos </v>
          </cell>
          <cell r="E2014" t="str">
            <v>F</v>
          </cell>
          <cell r="F2014" t="str">
            <v>mestiza</v>
          </cell>
          <cell r="K2014" t="str">
            <v>Administrativo</v>
          </cell>
          <cell r="L2014" t="str">
            <v>Si</v>
          </cell>
          <cell r="O2014" t="str">
            <v>Otros No Técnicos</v>
          </cell>
        </row>
        <row r="2015">
          <cell r="C2015" t="str">
            <v>Lorenzo Montesino Vinent</v>
          </cell>
          <cell r="E2015" t="str">
            <v>M</v>
          </cell>
          <cell r="F2015" t="str">
            <v>mestiza</v>
          </cell>
          <cell r="K2015" t="str">
            <v>Operario</v>
          </cell>
          <cell r="L2015" t="str">
            <v>Si</v>
          </cell>
          <cell r="O2015" t="str">
            <v>Otros No Técnicos</v>
          </cell>
        </row>
        <row r="2016">
          <cell r="C2016" t="str">
            <v>Luis César Chacón Chacón</v>
          </cell>
          <cell r="E2016" t="str">
            <v>M</v>
          </cell>
          <cell r="F2016" t="str">
            <v>blanca</v>
          </cell>
          <cell r="K2016" t="str">
            <v>Servicio</v>
          </cell>
          <cell r="L2016" t="str">
            <v>Si</v>
          </cell>
          <cell r="O2016" t="str">
            <v>Otros No Técnicos</v>
          </cell>
        </row>
        <row r="2017">
          <cell r="C2017" t="str">
            <v>Luis Guzman Cando</v>
          </cell>
          <cell r="E2017" t="str">
            <v>M</v>
          </cell>
          <cell r="F2017" t="str">
            <v>mestiza</v>
          </cell>
          <cell r="K2017" t="str">
            <v>Operario</v>
          </cell>
          <cell r="L2017" t="str">
            <v>Si</v>
          </cell>
          <cell r="O2017" t="str">
            <v>Otros No Técnicos</v>
          </cell>
        </row>
        <row r="2018">
          <cell r="C2018" t="str">
            <v>Luis Miguel Mesa Izaguirre</v>
          </cell>
          <cell r="E2018" t="str">
            <v>M</v>
          </cell>
          <cell r="F2018" t="str">
            <v>mestiza</v>
          </cell>
          <cell r="K2018" t="str">
            <v>Servicio</v>
          </cell>
          <cell r="L2018" t="str">
            <v>No</v>
          </cell>
          <cell r="O2018" t="str">
            <v>Otros No Técnicos</v>
          </cell>
        </row>
        <row r="2019">
          <cell r="C2019" t="str">
            <v xml:space="preserve">Luzmila Leliebre Fuente </v>
          </cell>
          <cell r="E2019" t="str">
            <v>F</v>
          </cell>
          <cell r="F2019" t="str">
            <v>Mestiza</v>
          </cell>
          <cell r="K2019" t="str">
            <v>Servicio</v>
          </cell>
          <cell r="L2019" t="str">
            <v>No</v>
          </cell>
          <cell r="O2019" t="str">
            <v>Otros No Técnicos</v>
          </cell>
        </row>
        <row r="2020">
          <cell r="C2020" t="str">
            <v>Madelaine Dìaz Segura</v>
          </cell>
          <cell r="E2020" t="str">
            <v>F</v>
          </cell>
          <cell r="F2020" t="str">
            <v>mestiza</v>
          </cell>
          <cell r="K2020" t="str">
            <v>Servicio</v>
          </cell>
          <cell r="L2020" t="str">
            <v>Si</v>
          </cell>
          <cell r="O2020" t="str">
            <v>Otros No Técnicos</v>
          </cell>
        </row>
        <row r="2021">
          <cell r="C2021" t="str">
            <v>Maguileisy Rivero Montoya</v>
          </cell>
          <cell r="E2021" t="str">
            <v>F</v>
          </cell>
          <cell r="F2021" t="str">
            <v>mestiza</v>
          </cell>
          <cell r="K2021" t="str">
            <v>Servicio</v>
          </cell>
          <cell r="L2021" t="str">
            <v>No</v>
          </cell>
          <cell r="O2021" t="str">
            <v>Otros No Técnicos</v>
          </cell>
        </row>
        <row r="2022">
          <cell r="C2022" t="str">
            <v>Maite Rubio Deliz</v>
          </cell>
          <cell r="E2022" t="str">
            <v>F</v>
          </cell>
          <cell r="F2022" t="str">
            <v>mestiza</v>
          </cell>
          <cell r="K2022" t="str">
            <v>Servicio</v>
          </cell>
          <cell r="L2022" t="str">
            <v>No</v>
          </cell>
          <cell r="O2022" t="str">
            <v>Otros No Técnicos</v>
          </cell>
        </row>
        <row r="2023">
          <cell r="C2023" t="str">
            <v xml:space="preserve">Manuel Sueiro Rodríguez </v>
          </cell>
          <cell r="E2023" t="str">
            <v>M</v>
          </cell>
          <cell r="F2023" t="str">
            <v>mestiza</v>
          </cell>
          <cell r="K2023" t="str">
            <v>Operario</v>
          </cell>
          <cell r="L2023" t="str">
            <v>Si</v>
          </cell>
          <cell r="O2023" t="str">
            <v>Otros No Técnicos</v>
          </cell>
        </row>
        <row r="2024">
          <cell r="C2024" t="str">
            <v>Maquileisy Rivero Montoya</v>
          </cell>
          <cell r="E2024" t="str">
            <v>F</v>
          </cell>
          <cell r="F2024" t="str">
            <v>negra</v>
          </cell>
          <cell r="K2024" t="str">
            <v>Servicio</v>
          </cell>
          <cell r="L2024" t="str">
            <v>No</v>
          </cell>
          <cell r="O2024" t="str">
            <v>Otros No Técnicos</v>
          </cell>
        </row>
        <row r="2025">
          <cell r="C2025" t="str">
            <v>Marbelines Vidal Ríos</v>
          </cell>
          <cell r="E2025" t="str">
            <v>F</v>
          </cell>
          <cell r="F2025" t="str">
            <v>Mestiza</v>
          </cell>
          <cell r="K2025" t="str">
            <v>Servicio</v>
          </cell>
          <cell r="L2025" t="str">
            <v>No</v>
          </cell>
          <cell r="O2025" t="str">
            <v>Otros No Técnicos</v>
          </cell>
        </row>
        <row r="2026">
          <cell r="C2026" t="str">
            <v xml:space="preserve">Marbelis Carrión Boris </v>
          </cell>
          <cell r="E2026" t="str">
            <v>F</v>
          </cell>
          <cell r="F2026" t="str">
            <v>negra</v>
          </cell>
          <cell r="K2026" t="str">
            <v>Servicio</v>
          </cell>
          <cell r="L2026" t="str">
            <v>Si</v>
          </cell>
          <cell r="O2026" t="str">
            <v>Otros No Técnicos</v>
          </cell>
        </row>
        <row r="2027">
          <cell r="C2027" t="str">
            <v xml:space="preserve">Marbelis García  Atie </v>
          </cell>
          <cell r="E2027" t="str">
            <v>F</v>
          </cell>
          <cell r="F2027" t="str">
            <v>negra</v>
          </cell>
          <cell r="K2027" t="str">
            <v>Servicio</v>
          </cell>
          <cell r="L2027" t="str">
            <v>Si</v>
          </cell>
          <cell r="O2027" t="str">
            <v>Otros No Técnicos</v>
          </cell>
        </row>
        <row r="2028">
          <cell r="C2028" t="str">
            <v>Marelis Luna Thomas</v>
          </cell>
          <cell r="E2028" t="str">
            <v>F</v>
          </cell>
          <cell r="F2028" t="str">
            <v>negra</v>
          </cell>
          <cell r="K2028" t="str">
            <v>Operario</v>
          </cell>
          <cell r="L2028" t="str">
            <v>Si</v>
          </cell>
          <cell r="O2028" t="str">
            <v>Otros No Técnicos</v>
          </cell>
        </row>
        <row r="2029">
          <cell r="C2029" t="str">
            <v>Maria Del Carmen Planes Martínez</v>
          </cell>
          <cell r="E2029" t="str">
            <v>F</v>
          </cell>
          <cell r="F2029" t="str">
            <v>negra</v>
          </cell>
          <cell r="K2029" t="str">
            <v>Operario</v>
          </cell>
          <cell r="L2029" t="str">
            <v>Si</v>
          </cell>
          <cell r="O2029" t="str">
            <v>Otros No Técnicos</v>
          </cell>
        </row>
        <row r="2030">
          <cell r="C2030" t="str">
            <v>María Elena Martínez González</v>
          </cell>
          <cell r="E2030" t="str">
            <v>F</v>
          </cell>
          <cell r="F2030" t="str">
            <v>negra</v>
          </cell>
          <cell r="K2030" t="str">
            <v>Administrativo</v>
          </cell>
          <cell r="L2030" t="str">
            <v>Si</v>
          </cell>
          <cell r="O2030" t="str">
            <v>Otros No Técnicos</v>
          </cell>
        </row>
        <row r="2031">
          <cell r="C2031" t="str">
            <v xml:space="preserve">Maria Elena Rojas Mustelier </v>
          </cell>
          <cell r="E2031" t="str">
            <v>F</v>
          </cell>
          <cell r="F2031" t="str">
            <v>mestiza</v>
          </cell>
          <cell r="K2031" t="str">
            <v>Servicio</v>
          </cell>
          <cell r="L2031" t="str">
            <v>Si</v>
          </cell>
          <cell r="O2031" t="str">
            <v>Otros No Técnicos</v>
          </cell>
        </row>
        <row r="2032">
          <cell r="C2032" t="str">
            <v>Maria Teresa Díaz Cruz</v>
          </cell>
          <cell r="E2032" t="str">
            <v>F</v>
          </cell>
          <cell r="F2032" t="str">
            <v>blanca</v>
          </cell>
          <cell r="K2032" t="str">
            <v>Operario</v>
          </cell>
          <cell r="L2032" t="str">
            <v>Si</v>
          </cell>
          <cell r="O2032" t="str">
            <v>Otros No Técnicos</v>
          </cell>
        </row>
        <row r="2033">
          <cell r="C2033" t="str">
            <v>Maribel Garzón Martinez</v>
          </cell>
          <cell r="E2033" t="str">
            <v>F</v>
          </cell>
          <cell r="F2033" t="str">
            <v>negra</v>
          </cell>
          <cell r="K2033" t="str">
            <v>Operario</v>
          </cell>
          <cell r="L2033" t="str">
            <v>No</v>
          </cell>
          <cell r="O2033" t="str">
            <v>Otros No Técnicos</v>
          </cell>
        </row>
        <row r="2034">
          <cell r="C2034" t="str">
            <v>Maribel Semanat Gonzàlez</v>
          </cell>
          <cell r="E2034" t="str">
            <v>F</v>
          </cell>
          <cell r="F2034" t="str">
            <v>mestiza</v>
          </cell>
          <cell r="K2034" t="str">
            <v>Servicio</v>
          </cell>
          <cell r="L2034" t="str">
            <v>Si</v>
          </cell>
          <cell r="O2034" t="str">
            <v>Otros No Técnicos</v>
          </cell>
        </row>
        <row r="2035">
          <cell r="C2035" t="str">
            <v>Mariela Puente Domínguez</v>
          </cell>
          <cell r="E2035" t="str">
            <v>F</v>
          </cell>
          <cell r="F2035" t="str">
            <v>mestiza</v>
          </cell>
          <cell r="K2035" t="str">
            <v>Servicio</v>
          </cell>
          <cell r="L2035" t="str">
            <v>Si</v>
          </cell>
          <cell r="O2035" t="str">
            <v>Otros No Técnicos</v>
          </cell>
        </row>
        <row r="2036">
          <cell r="C2036" t="str">
            <v xml:space="preserve">Mariela Vinent Bueno </v>
          </cell>
          <cell r="E2036" t="str">
            <v>F</v>
          </cell>
          <cell r="F2036" t="str">
            <v>negra</v>
          </cell>
          <cell r="K2036" t="str">
            <v>Servicio</v>
          </cell>
          <cell r="L2036" t="str">
            <v>Si</v>
          </cell>
          <cell r="O2036" t="str">
            <v>Otros No Técnicos</v>
          </cell>
        </row>
        <row r="2037">
          <cell r="C2037" t="str">
            <v>Marinolvis Imojosa Sánchez</v>
          </cell>
          <cell r="E2037" t="str">
            <v>F</v>
          </cell>
          <cell r="F2037" t="str">
            <v>mestiza</v>
          </cell>
          <cell r="K2037" t="str">
            <v>Servicio</v>
          </cell>
          <cell r="L2037" t="str">
            <v>No</v>
          </cell>
          <cell r="O2037" t="str">
            <v>Otros No Técnicos</v>
          </cell>
        </row>
        <row r="2038">
          <cell r="C2038" t="str">
            <v>Mariolis Figueredo Fuentes</v>
          </cell>
          <cell r="E2038" t="str">
            <v>F</v>
          </cell>
          <cell r="F2038" t="str">
            <v>negra</v>
          </cell>
          <cell r="K2038" t="str">
            <v>Operario</v>
          </cell>
          <cell r="L2038" t="str">
            <v>Si</v>
          </cell>
          <cell r="O2038" t="str">
            <v>Otros No Técnicos</v>
          </cell>
        </row>
        <row r="2039">
          <cell r="C2039" t="str">
            <v>Marisbel Reyes Quiala</v>
          </cell>
          <cell r="E2039" t="str">
            <v>F</v>
          </cell>
          <cell r="F2039" t="str">
            <v>mestiza</v>
          </cell>
          <cell r="K2039" t="str">
            <v>Servicio</v>
          </cell>
          <cell r="L2039" t="str">
            <v>Si</v>
          </cell>
          <cell r="O2039" t="str">
            <v>Otros No Técnicos</v>
          </cell>
        </row>
        <row r="2040">
          <cell r="C2040" t="str">
            <v>Maristanis Wrigt Enrique</v>
          </cell>
          <cell r="E2040" t="str">
            <v>F</v>
          </cell>
          <cell r="F2040" t="str">
            <v>negra</v>
          </cell>
          <cell r="K2040" t="str">
            <v>Servicio</v>
          </cell>
          <cell r="L2040" t="str">
            <v>No</v>
          </cell>
          <cell r="O2040" t="str">
            <v>Otros No Técnicos</v>
          </cell>
        </row>
        <row r="2041">
          <cell r="C2041" t="str">
            <v>Marjoris Moisse Medina</v>
          </cell>
          <cell r="E2041" t="str">
            <v>F</v>
          </cell>
          <cell r="F2041" t="str">
            <v>negra</v>
          </cell>
          <cell r="K2041" t="str">
            <v>Servicio</v>
          </cell>
          <cell r="L2041" t="str">
            <v>No</v>
          </cell>
          <cell r="O2041" t="str">
            <v>Otros No Técnicos</v>
          </cell>
        </row>
        <row r="2042">
          <cell r="C2042" t="str">
            <v xml:space="preserve">Marjoris Perera Pérez </v>
          </cell>
          <cell r="E2042" t="str">
            <v>F</v>
          </cell>
          <cell r="F2042" t="str">
            <v>mestiza</v>
          </cell>
          <cell r="K2042" t="str">
            <v>Servicio</v>
          </cell>
          <cell r="L2042" t="str">
            <v>Si</v>
          </cell>
          <cell r="O2042" t="str">
            <v>Otros No Técnicos</v>
          </cell>
        </row>
        <row r="2043">
          <cell r="C2043" t="str">
            <v>Maylén Martínez Almenares</v>
          </cell>
          <cell r="E2043" t="str">
            <v>F</v>
          </cell>
          <cell r="F2043" t="str">
            <v>negra</v>
          </cell>
          <cell r="K2043" t="str">
            <v>Operario</v>
          </cell>
          <cell r="L2043" t="str">
            <v>Si</v>
          </cell>
          <cell r="O2043" t="str">
            <v>Otros No Técnicos</v>
          </cell>
        </row>
        <row r="2044">
          <cell r="C2044" t="str">
            <v>Medardo Muñoz  Medina</v>
          </cell>
          <cell r="E2044" t="str">
            <v>M</v>
          </cell>
          <cell r="F2044" t="str">
            <v>negra</v>
          </cell>
          <cell r="K2044" t="str">
            <v>Servicio</v>
          </cell>
          <cell r="L2044" t="str">
            <v>Si</v>
          </cell>
          <cell r="O2044" t="str">
            <v>Otros No Técnicos</v>
          </cell>
        </row>
        <row r="2045">
          <cell r="C2045" t="str">
            <v>Miguel Angel Hechavarria Coba</v>
          </cell>
          <cell r="E2045" t="str">
            <v>M</v>
          </cell>
          <cell r="F2045" t="str">
            <v>negra</v>
          </cell>
          <cell r="K2045" t="str">
            <v>Operario</v>
          </cell>
          <cell r="L2045" t="str">
            <v>Si</v>
          </cell>
          <cell r="O2045" t="str">
            <v>Otros No Técnicos</v>
          </cell>
        </row>
        <row r="2046">
          <cell r="C2046" t="str">
            <v>Miguel Enrique Dusac Sola</v>
          </cell>
          <cell r="E2046" t="str">
            <v>M</v>
          </cell>
          <cell r="F2046" t="str">
            <v>mestiza</v>
          </cell>
          <cell r="K2046" t="str">
            <v>Operario</v>
          </cell>
          <cell r="L2046" t="str">
            <v>No</v>
          </cell>
          <cell r="O2046" t="str">
            <v>Otros No Técnicos</v>
          </cell>
        </row>
        <row r="2047">
          <cell r="C2047" t="str">
            <v>Miguel Esteban Carmenaty Montes de Oca</v>
          </cell>
          <cell r="E2047" t="str">
            <v>M</v>
          </cell>
          <cell r="F2047" t="str">
            <v>mestiza</v>
          </cell>
          <cell r="K2047" t="str">
            <v>Servicio</v>
          </cell>
          <cell r="L2047" t="str">
            <v>Si</v>
          </cell>
          <cell r="O2047" t="str">
            <v>Otros No Técnicos</v>
          </cell>
        </row>
        <row r="2048">
          <cell r="C2048" t="str">
            <v xml:space="preserve">Milady Kindelán Vinent </v>
          </cell>
          <cell r="E2048" t="str">
            <v>F</v>
          </cell>
          <cell r="F2048" t="str">
            <v>negra</v>
          </cell>
          <cell r="K2048" t="str">
            <v>Servicio</v>
          </cell>
          <cell r="L2048" t="str">
            <v>Si</v>
          </cell>
          <cell r="O2048" t="str">
            <v>Otros No Técnicos</v>
          </cell>
        </row>
        <row r="2049">
          <cell r="C2049" t="str">
            <v>Milagros Monica Leyva Calderin</v>
          </cell>
          <cell r="E2049" t="str">
            <v>F</v>
          </cell>
          <cell r="F2049" t="str">
            <v>Mestiza</v>
          </cell>
          <cell r="K2049" t="str">
            <v>Administrativo</v>
          </cell>
          <cell r="L2049" t="str">
            <v>No</v>
          </cell>
          <cell r="O2049" t="str">
            <v>Otros No Técnicos</v>
          </cell>
        </row>
        <row r="2050">
          <cell r="C2050" t="str">
            <v>Mildenis Ramos Sánchez</v>
          </cell>
          <cell r="E2050" t="str">
            <v>F</v>
          </cell>
          <cell r="F2050" t="str">
            <v>Blanca</v>
          </cell>
          <cell r="K2050" t="str">
            <v>Servicio</v>
          </cell>
          <cell r="L2050" t="str">
            <v>No</v>
          </cell>
          <cell r="O2050" t="str">
            <v>Otros No Técnicos</v>
          </cell>
        </row>
        <row r="2051">
          <cell r="C2051" t="str">
            <v xml:space="preserve">Mireya Ferrer Beltrán </v>
          </cell>
          <cell r="E2051" t="str">
            <v>F</v>
          </cell>
          <cell r="F2051" t="str">
            <v>negra</v>
          </cell>
          <cell r="K2051" t="str">
            <v>Servicio</v>
          </cell>
          <cell r="L2051" t="str">
            <v>Si</v>
          </cell>
          <cell r="O2051" t="str">
            <v>Otros No Técnicos</v>
          </cell>
        </row>
        <row r="2052">
          <cell r="C2052" t="str">
            <v xml:space="preserve">Miriam Cala Castellanos </v>
          </cell>
          <cell r="E2052" t="str">
            <v>F</v>
          </cell>
          <cell r="F2052" t="str">
            <v>mestiza</v>
          </cell>
          <cell r="K2052" t="str">
            <v>Servicio</v>
          </cell>
          <cell r="L2052" t="str">
            <v>Si</v>
          </cell>
          <cell r="O2052" t="str">
            <v>Otros No Técnicos</v>
          </cell>
        </row>
        <row r="2053">
          <cell r="C2053" t="str">
            <v>Miriam Despaigne Rivera</v>
          </cell>
          <cell r="E2053" t="str">
            <v>F</v>
          </cell>
          <cell r="F2053" t="str">
            <v>negra</v>
          </cell>
          <cell r="K2053" t="str">
            <v>Operario</v>
          </cell>
          <cell r="L2053" t="str">
            <v>Si</v>
          </cell>
          <cell r="O2053" t="str">
            <v>Otros No Técnicos</v>
          </cell>
        </row>
        <row r="2054">
          <cell r="C2054" t="str">
            <v xml:space="preserve">Miriam Tumbarell Hernández </v>
          </cell>
          <cell r="E2054" t="str">
            <v>F</v>
          </cell>
          <cell r="F2054" t="str">
            <v>negra</v>
          </cell>
          <cell r="K2054" t="str">
            <v>Operario</v>
          </cell>
          <cell r="L2054" t="str">
            <v>Si</v>
          </cell>
          <cell r="O2054" t="str">
            <v>Otros No Técnicos</v>
          </cell>
        </row>
        <row r="2055">
          <cell r="C2055" t="str">
            <v>Mirian Matos Martinez</v>
          </cell>
          <cell r="E2055" t="str">
            <v>F</v>
          </cell>
          <cell r="F2055" t="str">
            <v>Blanca</v>
          </cell>
          <cell r="K2055" t="str">
            <v>Servicio</v>
          </cell>
          <cell r="L2055" t="str">
            <v>No</v>
          </cell>
          <cell r="O2055" t="str">
            <v>Otros No Técnicos</v>
          </cell>
        </row>
        <row r="2056">
          <cell r="C2056" t="str">
            <v xml:space="preserve">Moraima Nuñez Rizo </v>
          </cell>
          <cell r="E2056" t="str">
            <v>F</v>
          </cell>
          <cell r="F2056" t="str">
            <v>negra</v>
          </cell>
          <cell r="K2056" t="str">
            <v>Operario</v>
          </cell>
          <cell r="L2056" t="str">
            <v>Si</v>
          </cell>
          <cell r="O2056" t="str">
            <v>Otros No Técnicos</v>
          </cell>
        </row>
        <row r="2057">
          <cell r="C2057" t="str">
            <v>Neidis Deroncelé Tabares</v>
          </cell>
          <cell r="E2057" t="str">
            <v>F</v>
          </cell>
          <cell r="F2057" t="str">
            <v>Mestiza</v>
          </cell>
          <cell r="K2057" t="str">
            <v>Servicio</v>
          </cell>
          <cell r="L2057" t="str">
            <v>No</v>
          </cell>
          <cell r="O2057" t="str">
            <v>Otros No Técnicos</v>
          </cell>
        </row>
        <row r="2058">
          <cell r="C2058" t="str">
            <v>Llilianne Mengana Silva</v>
          </cell>
          <cell r="E2058" t="str">
            <v>F</v>
          </cell>
          <cell r="F2058" t="str">
            <v>mestiza</v>
          </cell>
          <cell r="K2058" t="str">
            <v>Servicio</v>
          </cell>
          <cell r="L2058" t="str">
            <v>No</v>
          </cell>
          <cell r="O2058" t="str">
            <v>Otros No Técnicos</v>
          </cell>
        </row>
        <row r="2059">
          <cell r="C2059" t="str">
            <v>Nidia Martinez Orozco</v>
          </cell>
          <cell r="E2059" t="str">
            <v>F</v>
          </cell>
          <cell r="F2059" t="str">
            <v>Mestiza</v>
          </cell>
          <cell r="K2059" t="str">
            <v>Operario</v>
          </cell>
          <cell r="L2059" t="str">
            <v>No</v>
          </cell>
          <cell r="O2059" t="str">
            <v>Otros No Técnicos</v>
          </cell>
        </row>
        <row r="2060">
          <cell r="C2060" t="str">
            <v xml:space="preserve">Niuris Monte Castillo </v>
          </cell>
          <cell r="E2060" t="str">
            <v>F</v>
          </cell>
          <cell r="F2060" t="str">
            <v>mestiza</v>
          </cell>
          <cell r="K2060" t="str">
            <v>Servicio</v>
          </cell>
          <cell r="L2060" t="str">
            <v>Si</v>
          </cell>
          <cell r="O2060" t="str">
            <v>Otros No Técnicos</v>
          </cell>
        </row>
        <row r="2061">
          <cell r="C2061" t="str">
            <v xml:space="preserve">Noadis Delis Bell </v>
          </cell>
          <cell r="E2061" t="str">
            <v>F</v>
          </cell>
          <cell r="F2061" t="str">
            <v>negra</v>
          </cell>
          <cell r="K2061" t="str">
            <v>Servicio</v>
          </cell>
          <cell r="L2061" t="str">
            <v>Si</v>
          </cell>
          <cell r="O2061" t="str">
            <v>Otros No Técnicos</v>
          </cell>
        </row>
        <row r="2062">
          <cell r="C2062" t="str">
            <v xml:space="preserve">Norbelia Serrano Martínez </v>
          </cell>
          <cell r="E2062" t="str">
            <v>F</v>
          </cell>
          <cell r="F2062" t="str">
            <v>negra</v>
          </cell>
          <cell r="K2062" t="str">
            <v>Servicio</v>
          </cell>
          <cell r="L2062" t="str">
            <v>Si</v>
          </cell>
          <cell r="O2062" t="str">
            <v>Otros No Técnicos</v>
          </cell>
        </row>
        <row r="2063">
          <cell r="C2063" t="str">
            <v xml:space="preserve">Odalis De La Concepcion Gracial Heredia </v>
          </cell>
          <cell r="E2063" t="str">
            <v>F</v>
          </cell>
          <cell r="F2063" t="str">
            <v>negra</v>
          </cell>
          <cell r="K2063" t="str">
            <v>Operario</v>
          </cell>
          <cell r="L2063" t="str">
            <v>Si</v>
          </cell>
          <cell r="O2063" t="str">
            <v>Otros No Técnicos</v>
          </cell>
        </row>
        <row r="2064">
          <cell r="C2064" t="str">
            <v xml:space="preserve">Odalys Maceo Alvarez </v>
          </cell>
          <cell r="E2064" t="str">
            <v>F</v>
          </cell>
          <cell r="F2064" t="str">
            <v>mestiza</v>
          </cell>
          <cell r="K2064" t="str">
            <v>Servicio</v>
          </cell>
          <cell r="L2064" t="str">
            <v>Si</v>
          </cell>
          <cell r="O2064" t="str">
            <v>Otros No Técnicos</v>
          </cell>
        </row>
        <row r="2065">
          <cell r="C2065" t="str">
            <v xml:space="preserve">Olga Castillo Hechavarría </v>
          </cell>
          <cell r="E2065" t="str">
            <v>F</v>
          </cell>
          <cell r="F2065" t="str">
            <v>negra</v>
          </cell>
          <cell r="K2065" t="str">
            <v>Operario</v>
          </cell>
          <cell r="L2065" t="str">
            <v>Si</v>
          </cell>
          <cell r="O2065" t="str">
            <v>Otros No Técnicos</v>
          </cell>
        </row>
        <row r="2066">
          <cell r="C2066" t="str">
            <v xml:space="preserve">Oneida Batista Acosta </v>
          </cell>
          <cell r="E2066" t="str">
            <v>F</v>
          </cell>
          <cell r="F2066" t="str">
            <v>blanca</v>
          </cell>
          <cell r="K2066" t="str">
            <v>Servicio</v>
          </cell>
          <cell r="L2066" t="str">
            <v>Si</v>
          </cell>
          <cell r="O2066" t="str">
            <v>Otros No Técnicos</v>
          </cell>
        </row>
        <row r="2067">
          <cell r="C2067" t="str">
            <v>Orlando Mayeta Delís</v>
          </cell>
          <cell r="E2067" t="str">
            <v>M</v>
          </cell>
          <cell r="F2067" t="str">
            <v>negra</v>
          </cell>
          <cell r="K2067" t="str">
            <v>Operario</v>
          </cell>
          <cell r="L2067" t="str">
            <v>Si</v>
          </cell>
          <cell r="O2067" t="str">
            <v>Otros No Técnicos</v>
          </cell>
        </row>
        <row r="2068">
          <cell r="C2068" t="str">
            <v>Ornely Martínez Cárdenas</v>
          </cell>
          <cell r="E2068" t="str">
            <v>F</v>
          </cell>
          <cell r="F2068" t="str">
            <v>mestiza</v>
          </cell>
          <cell r="K2068" t="str">
            <v>Operario</v>
          </cell>
          <cell r="L2068" t="str">
            <v>Si</v>
          </cell>
          <cell r="O2068" t="str">
            <v>Otros No Técnicos</v>
          </cell>
        </row>
        <row r="2069">
          <cell r="C2069" t="str">
            <v xml:space="preserve">Oscar Moreno Fernández </v>
          </cell>
          <cell r="E2069" t="str">
            <v>M</v>
          </cell>
          <cell r="F2069" t="str">
            <v>blanca</v>
          </cell>
          <cell r="K2069" t="str">
            <v>Operario</v>
          </cell>
          <cell r="L2069" t="str">
            <v>Si</v>
          </cell>
          <cell r="O2069" t="str">
            <v>Otros No Técnicos</v>
          </cell>
        </row>
        <row r="2070">
          <cell r="C2070" t="str">
            <v>Pablo Ortiz Columbiè</v>
          </cell>
          <cell r="E2070" t="str">
            <v>M</v>
          </cell>
          <cell r="F2070" t="str">
            <v>blanca</v>
          </cell>
          <cell r="K2070" t="str">
            <v>Servicio</v>
          </cell>
          <cell r="L2070" t="str">
            <v>Si</v>
          </cell>
          <cell r="O2070" t="str">
            <v>Otros No Técnicos</v>
          </cell>
        </row>
        <row r="2071">
          <cell r="C2071" t="str">
            <v xml:space="preserve">Raciel Castellanos Mayet </v>
          </cell>
          <cell r="E2071" t="str">
            <v>M</v>
          </cell>
          <cell r="F2071" t="str">
            <v>negra</v>
          </cell>
          <cell r="K2071" t="str">
            <v>Operario</v>
          </cell>
          <cell r="L2071" t="str">
            <v>Si</v>
          </cell>
          <cell r="O2071" t="str">
            <v>Otros No Técnicos</v>
          </cell>
        </row>
        <row r="2072">
          <cell r="C2072" t="str">
            <v>Raiza de la Caridad Venero Pileta</v>
          </cell>
          <cell r="E2072" t="str">
            <v>F</v>
          </cell>
          <cell r="F2072" t="str">
            <v>mestiza</v>
          </cell>
          <cell r="K2072" t="str">
            <v>Operario</v>
          </cell>
          <cell r="L2072" t="str">
            <v>No</v>
          </cell>
          <cell r="O2072" t="str">
            <v>Otros No Técnicos</v>
          </cell>
        </row>
        <row r="2073">
          <cell r="C2073" t="str">
            <v>Ramón Rivera Sotelo</v>
          </cell>
          <cell r="E2073" t="str">
            <v>M</v>
          </cell>
          <cell r="F2073" t="str">
            <v>mestiza</v>
          </cell>
          <cell r="K2073" t="str">
            <v>Operario</v>
          </cell>
          <cell r="L2073" t="str">
            <v>Si</v>
          </cell>
          <cell r="O2073" t="str">
            <v>Otros No Técnicos</v>
          </cell>
        </row>
        <row r="2074">
          <cell r="C2074" t="str">
            <v>Raquelaine Santos Soto</v>
          </cell>
          <cell r="E2074" t="str">
            <v>F</v>
          </cell>
          <cell r="F2074" t="str">
            <v>negra</v>
          </cell>
          <cell r="K2074" t="str">
            <v>Servicio</v>
          </cell>
          <cell r="L2074" t="str">
            <v>No</v>
          </cell>
          <cell r="O2074" t="str">
            <v>Otros No Técnicos</v>
          </cell>
        </row>
        <row r="2075">
          <cell r="C2075" t="str">
            <v>Reuniel Guía Hidalgo</v>
          </cell>
          <cell r="E2075" t="str">
            <v>M</v>
          </cell>
          <cell r="F2075" t="str">
            <v>mestiza</v>
          </cell>
          <cell r="K2075" t="str">
            <v>Servicio</v>
          </cell>
          <cell r="L2075" t="str">
            <v>Si</v>
          </cell>
          <cell r="O2075" t="str">
            <v>Otros No Técnicos</v>
          </cell>
        </row>
        <row r="2076">
          <cell r="C2076" t="str">
            <v>Reynier Bell Zalazar</v>
          </cell>
          <cell r="E2076" t="str">
            <v>M</v>
          </cell>
          <cell r="F2076" t="str">
            <v>negra</v>
          </cell>
          <cell r="K2076" t="str">
            <v>Operario</v>
          </cell>
          <cell r="L2076" t="str">
            <v>No</v>
          </cell>
          <cell r="O2076" t="str">
            <v>Otros No Técnicos</v>
          </cell>
        </row>
        <row r="2077">
          <cell r="C2077" t="str">
            <v>Roberto Mandre Fuentes</v>
          </cell>
          <cell r="E2077" t="str">
            <v>M</v>
          </cell>
          <cell r="F2077" t="str">
            <v>negra</v>
          </cell>
          <cell r="K2077" t="str">
            <v>Operario</v>
          </cell>
          <cell r="L2077" t="str">
            <v>Si</v>
          </cell>
          <cell r="O2077" t="str">
            <v>Otros No Técnicos</v>
          </cell>
        </row>
        <row r="2078">
          <cell r="C2078" t="str">
            <v>Roberto Moreno Cardó</v>
          </cell>
          <cell r="E2078" t="str">
            <v>M</v>
          </cell>
          <cell r="F2078" t="str">
            <v>negra</v>
          </cell>
          <cell r="K2078" t="str">
            <v>Operario</v>
          </cell>
          <cell r="L2078" t="str">
            <v>No</v>
          </cell>
          <cell r="O2078" t="str">
            <v>Otros No Técnicos</v>
          </cell>
        </row>
        <row r="2079">
          <cell r="C2079" t="str">
            <v>Roberto Rodríguez León</v>
          </cell>
          <cell r="E2079" t="str">
            <v>F</v>
          </cell>
          <cell r="F2079" t="str">
            <v>mestiza</v>
          </cell>
          <cell r="K2079" t="str">
            <v>Operario</v>
          </cell>
          <cell r="L2079" t="str">
            <v>Si</v>
          </cell>
          <cell r="O2079" t="str">
            <v>Otros No Técnicos</v>
          </cell>
        </row>
        <row r="2080">
          <cell r="C2080" t="str">
            <v>Romelis Veranes Ruíz</v>
          </cell>
          <cell r="E2080" t="str">
            <v>F</v>
          </cell>
          <cell r="F2080" t="str">
            <v>negra</v>
          </cell>
          <cell r="K2080" t="str">
            <v>Operario</v>
          </cell>
          <cell r="L2080" t="str">
            <v>Si</v>
          </cell>
          <cell r="O2080" t="str">
            <v>Otros No Técnicos</v>
          </cell>
        </row>
        <row r="2081">
          <cell r="C2081" t="str">
            <v xml:space="preserve">Rosa George Gòmez </v>
          </cell>
          <cell r="E2081" t="str">
            <v>F</v>
          </cell>
          <cell r="F2081" t="str">
            <v>blanca</v>
          </cell>
          <cell r="K2081" t="str">
            <v>Servicio</v>
          </cell>
          <cell r="L2081" t="str">
            <v>Si</v>
          </cell>
          <cell r="O2081" t="str">
            <v>Otros No Técnicos</v>
          </cell>
        </row>
        <row r="2082">
          <cell r="C2082" t="str">
            <v>Rosa MAria Borrero Revilla</v>
          </cell>
          <cell r="E2082" t="str">
            <v>F</v>
          </cell>
          <cell r="F2082" t="str">
            <v>mestiza</v>
          </cell>
          <cell r="K2082" t="str">
            <v>Operario</v>
          </cell>
          <cell r="L2082" t="str">
            <v>Si</v>
          </cell>
          <cell r="O2082" t="str">
            <v>Otros No Técnicos</v>
          </cell>
        </row>
        <row r="2083">
          <cell r="C2083" t="str">
            <v>Rosa Torres Montero</v>
          </cell>
          <cell r="E2083" t="str">
            <v>F</v>
          </cell>
          <cell r="F2083" t="str">
            <v>negra</v>
          </cell>
          <cell r="K2083" t="str">
            <v>Servicio</v>
          </cell>
          <cell r="L2083" t="str">
            <v>No</v>
          </cell>
          <cell r="O2083" t="str">
            <v>Otros No Técnicos</v>
          </cell>
        </row>
        <row r="2084">
          <cell r="C2084" t="str">
            <v>Roxana Cruz Ortiz</v>
          </cell>
          <cell r="E2084" t="str">
            <v>F</v>
          </cell>
          <cell r="F2084" t="str">
            <v>blanca</v>
          </cell>
          <cell r="K2084" t="str">
            <v>Operario</v>
          </cell>
          <cell r="L2084" t="str">
            <v>Si</v>
          </cell>
          <cell r="O2084" t="str">
            <v>Otros No Técnicos</v>
          </cell>
        </row>
        <row r="2085">
          <cell r="C2085" t="str">
            <v>Sarisleydis Tumbarell Pérez</v>
          </cell>
          <cell r="E2085" t="str">
            <v>F</v>
          </cell>
          <cell r="F2085" t="str">
            <v>negra</v>
          </cell>
          <cell r="K2085" t="str">
            <v>Servicio</v>
          </cell>
          <cell r="L2085" t="str">
            <v>No</v>
          </cell>
          <cell r="O2085" t="str">
            <v>Otros No Técnicos</v>
          </cell>
        </row>
        <row r="2086">
          <cell r="C2086" t="str">
            <v>Lilian Durales Dominguez</v>
          </cell>
          <cell r="E2086" t="str">
            <v>F</v>
          </cell>
          <cell r="F2086" t="str">
            <v>mestiza</v>
          </cell>
          <cell r="K2086" t="str">
            <v>Servicio</v>
          </cell>
          <cell r="L2086" t="str">
            <v>No</v>
          </cell>
          <cell r="O2086" t="str">
            <v>Otros No Técnicos</v>
          </cell>
        </row>
        <row r="2087">
          <cell r="C2087" t="str">
            <v>Solangel Sierra Rodríguez</v>
          </cell>
          <cell r="E2087" t="str">
            <v>F</v>
          </cell>
          <cell r="F2087" t="str">
            <v>mestiza</v>
          </cell>
          <cell r="K2087" t="str">
            <v>Servicio</v>
          </cell>
          <cell r="L2087" t="str">
            <v>Si</v>
          </cell>
          <cell r="O2087" t="str">
            <v>Otros No Técnicos</v>
          </cell>
        </row>
        <row r="2088">
          <cell r="C2088" t="str">
            <v>Sukenia Clejer Medina</v>
          </cell>
          <cell r="E2088" t="str">
            <v>F</v>
          </cell>
          <cell r="F2088" t="str">
            <v>negra</v>
          </cell>
          <cell r="K2088" t="str">
            <v>Servicio</v>
          </cell>
          <cell r="L2088" t="str">
            <v>No</v>
          </cell>
          <cell r="O2088" t="str">
            <v>Otros No Técnicos</v>
          </cell>
        </row>
        <row r="2089">
          <cell r="C2089" t="str">
            <v>Suria Ayarde Copello</v>
          </cell>
          <cell r="E2089" t="str">
            <v>F</v>
          </cell>
          <cell r="F2089" t="str">
            <v>negra</v>
          </cell>
          <cell r="K2089" t="str">
            <v>Servicio</v>
          </cell>
          <cell r="L2089" t="str">
            <v>Si</v>
          </cell>
          <cell r="O2089" t="str">
            <v>Otros No Técnicos</v>
          </cell>
        </row>
        <row r="2090">
          <cell r="C2090" t="str">
            <v xml:space="preserve">Tania Calderín Bonne </v>
          </cell>
          <cell r="E2090" t="str">
            <v>F</v>
          </cell>
          <cell r="F2090" t="str">
            <v>Mestiza</v>
          </cell>
          <cell r="K2090" t="str">
            <v>Servicio</v>
          </cell>
          <cell r="L2090" t="str">
            <v>No</v>
          </cell>
          <cell r="O2090" t="str">
            <v>Otros No Técnicos</v>
          </cell>
        </row>
        <row r="2091">
          <cell r="C2091" t="str">
            <v>Yaimaris Alvernis Bea</v>
          </cell>
          <cell r="E2091" t="str">
            <v>F</v>
          </cell>
          <cell r="F2091" t="str">
            <v>Mestiza</v>
          </cell>
          <cell r="K2091" t="str">
            <v>Servicio</v>
          </cell>
          <cell r="L2091" t="str">
            <v>No</v>
          </cell>
          <cell r="O2091" t="str">
            <v>Otros No Técnicos</v>
          </cell>
        </row>
        <row r="2092">
          <cell r="C2092" t="str">
            <v>Yaisel Medina Terazón</v>
          </cell>
          <cell r="E2092" t="str">
            <v>F</v>
          </cell>
          <cell r="F2092" t="str">
            <v>Mestiza</v>
          </cell>
          <cell r="K2092" t="str">
            <v>Servicio</v>
          </cell>
          <cell r="L2092" t="str">
            <v>No</v>
          </cell>
          <cell r="O2092" t="str">
            <v>Otros No Técnicos</v>
          </cell>
        </row>
        <row r="2093">
          <cell r="C2093" t="str">
            <v>Yamilka Salazar Mustelier</v>
          </cell>
          <cell r="E2093" t="str">
            <v>F</v>
          </cell>
          <cell r="F2093" t="str">
            <v>Mestiza</v>
          </cell>
          <cell r="K2093" t="str">
            <v>Operario</v>
          </cell>
          <cell r="L2093" t="str">
            <v>No</v>
          </cell>
          <cell r="O2093" t="str">
            <v>Otros No Técnicos</v>
          </cell>
        </row>
        <row r="2094">
          <cell r="C2094" t="str">
            <v>Yasmany Daniel Velázquez Lescay</v>
          </cell>
          <cell r="E2094" t="str">
            <v>M</v>
          </cell>
          <cell r="F2094" t="str">
            <v>Mestiza</v>
          </cell>
          <cell r="K2094" t="str">
            <v>Servicio</v>
          </cell>
          <cell r="L2094" t="str">
            <v>No</v>
          </cell>
          <cell r="O2094" t="str">
            <v>Otros No Técnicos</v>
          </cell>
        </row>
        <row r="2095">
          <cell r="C2095" t="str">
            <v>Yensy Sánchez Montalvo</v>
          </cell>
          <cell r="E2095" t="str">
            <v>M</v>
          </cell>
          <cell r="F2095" t="str">
            <v>mestiza</v>
          </cell>
          <cell r="K2095" t="str">
            <v>Servicio</v>
          </cell>
          <cell r="L2095" t="str">
            <v>No</v>
          </cell>
          <cell r="O2095" t="str">
            <v>Otros No Técnicos</v>
          </cell>
        </row>
        <row r="2096">
          <cell r="C2096" t="str">
            <v>Yudisleidis Moreno Massó</v>
          </cell>
          <cell r="E2096" t="str">
            <v>F</v>
          </cell>
          <cell r="F2096" t="str">
            <v>mestiza</v>
          </cell>
          <cell r="K2096" t="str">
            <v>Administrativo</v>
          </cell>
          <cell r="L2096" t="str">
            <v>Si</v>
          </cell>
          <cell r="O2096" t="str">
            <v>Otros No Técnicos</v>
          </cell>
        </row>
        <row r="2097">
          <cell r="C2097" t="str">
            <v>Yumileydis Bueno Lazo</v>
          </cell>
          <cell r="E2097" t="str">
            <v>F</v>
          </cell>
          <cell r="F2097" t="str">
            <v>negra</v>
          </cell>
          <cell r="K2097" t="str">
            <v>Servicio</v>
          </cell>
          <cell r="L2097" t="str">
            <v>No</v>
          </cell>
          <cell r="O2097" t="str">
            <v>Otros No Técnicos</v>
          </cell>
        </row>
        <row r="2098">
          <cell r="C2098" t="str">
            <v>Yuneydis Guevara Bell</v>
          </cell>
          <cell r="E2098" t="str">
            <v>F</v>
          </cell>
          <cell r="F2098" t="str">
            <v>negra</v>
          </cell>
          <cell r="K2098" t="str">
            <v>Operario</v>
          </cell>
          <cell r="L2098" t="str">
            <v>Si</v>
          </cell>
          <cell r="O2098" t="str">
            <v>Otros No Técnicos</v>
          </cell>
        </row>
        <row r="2099">
          <cell r="C2099" t="str">
            <v>Yurisleisy Lescay Domimguez</v>
          </cell>
          <cell r="E2099" t="str">
            <v>F</v>
          </cell>
          <cell r="F2099" t="str">
            <v>mestiza</v>
          </cell>
          <cell r="K2099" t="str">
            <v>Servicio</v>
          </cell>
          <cell r="L2099" t="str">
            <v>No</v>
          </cell>
          <cell r="O2099" t="str">
            <v>Otros No Técnicos</v>
          </cell>
        </row>
        <row r="2100">
          <cell r="C2100" t="str">
            <v>Yury Martínez Matamoros</v>
          </cell>
          <cell r="E2100" t="str">
            <v>M</v>
          </cell>
          <cell r="F2100" t="str">
            <v>blanca</v>
          </cell>
          <cell r="K2100" t="str">
            <v>Operario</v>
          </cell>
          <cell r="L2100" t="str">
            <v>Si</v>
          </cell>
          <cell r="O2100" t="str">
            <v>Otros No Técnicos</v>
          </cell>
        </row>
        <row r="2101">
          <cell r="C2101" t="str">
            <v xml:space="preserve">Yusdania Mustelier Mayet </v>
          </cell>
          <cell r="E2101" t="str">
            <v>F</v>
          </cell>
          <cell r="F2101" t="str">
            <v>negra</v>
          </cell>
          <cell r="K2101" t="str">
            <v>Servicio</v>
          </cell>
          <cell r="L2101" t="str">
            <v>Si</v>
          </cell>
          <cell r="O2101" t="str">
            <v>Otros No Técnicos</v>
          </cell>
        </row>
        <row r="2102">
          <cell r="C2102" t="str">
            <v>Yusleydis Gubaire Tamayo</v>
          </cell>
          <cell r="E2102" t="str">
            <v>F</v>
          </cell>
          <cell r="F2102" t="str">
            <v>negra</v>
          </cell>
          <cell r="K2102" t="str">
            <v>Servicio</v>
          </cell>
          <cell r="L2102" t="str">
            <v>No</v>
          </cell>
          <cell r="O2102" t="str">
            <v>Otros No Técnicos</v>
          </cell>
        </row>
        <row r="2103">
          <cell r="C2103" t="str">
            <v xml:space="preserve">Yusmilka Barroso Reyes </v>
          </cell>
          <cell r="E2103" t="str">
            <v>F</v>
          </cell>
          <cell r="F2103" t="str">
            <v>mestiza</v>
          </cell>
          <cell r="K2103" t="str">
            <v>Servicio</v>
          </cell>
          <cell r="L2103" t="str">
            <v>Si</v>
          </cell>
          <cell r="O2103" t="str">
            <v>Otros No Técnicos</v>
          </cell>
        </row>
        <row r="2104">
          <cell r="C2104" t="str">
            <v>Zeudis Ortega Martines</v>
          </cell>
          <cell r="E2104" t="str">
            <v>M</v>
          </cell>
          <cell r="F2104" t="str">
            <v>negra</v>
          </cell>
          <cell r="K2104" t="str">
            <v>Servicio</v>
          </cell>
          <cell r="L2104" t="str">
            <v>No</v>
          </cell>
          <cell r="O2104" t="str">
            <v>Otros No Técnicos</v>
          </cell>
        </row>
        <row r="2105">
          <cell r="C2105" t="str">
            <v>Teresa Acosta Del Río</v>
          </cell>
          <cell r="E2105" t="str">
            <v>F</v>
          </cell>
          <cell r="F2105" t="str">
            <v>mestiza</v>
          </cell>
          <cell r="K2105" t="str">
            <v>Servicio</v>
          </cell>
          <cell r="L2105" t="str">
            <v>Si</v>
          </cell>
          <cell r="O2105" t="str">
            <v>Otros No Técnicos</v>
          </cell>
        </row>
        <row r="2106">
          <cell r="C2106" t="str">
            <v>Teresa Ferrer Carbonell</v>
          </cell>
          <cell r="E2106" t="str">
            <v>F</v>
          </cell>
          <cell r="F2106" t="str">
            <v>negra</v>
          </cell>
          <cell r="K2106" t="str">
            <v>Servicio</v>
          </cell>
          <cell r="L2106" t="str">
            <v>Si</v>
          </cell>
          <cell r="O2106" t="str">
            <v>Otros No Técnicos</v>
          </cell>
        </row>
        <row r="2107">
          <cell r="C2107" t="str">
            <v>Urbano Ferrera Hechavarría</v>
          </cell>
          <cell r="E2107" t="str">
            <v>M</v>
          </cell>
          <cell r="F2107" t="str">
            <v>negra</v>
          </cell>
          <cell r="K2107" t="str">
            <v>Operario</v>
          </cell>
          <cell r="L2107" t="str">
            <v>Si</v>
          </cell>
          <cell r="O2107" t="str">
            <v>Otros No Técnicos</v>
          </cell>
        </row>
        <row r="2108">
          <cell r="C2108" t="str">
            <v>Victor Badera Napoles</v>
          </cell>
          <cell r="E2108" t="str">
            <v>M</v>
          </cell>
          <cell r="F2108" t="str">
            <v>mestiza</v>
          </cell>
          <cell r="K2108" t="str">
            <v>Operario</v>
          </cell>
          <cell r="L2108" t="str">
            <v>No</v>
          </cell>
          <cell r="O2108" t="str">
            <v>Otros No Técnicos</v>
          </cell>
        </row>
        <row r="2109">
          <cell r="C2109" t="str">
            <v>Victor Manuel Mora Longchamp</v>
          </cell>
          <cell r="E2109" t="str">
            <v>m</v>
          </cell>
          <cell r="F2109" t="str">
            <v>mestiza</v>
          </cell>
          <cell r="K2109" t="str">
            <v>Operario</v>
          </cell>
          <cell r="L2109" t="str">
            <v>No</v>
          </cell>
          <cell r="O2109" t="str">
            <v>Otros No Técnicos</v>
          </cell>
        </row>
        <row r="2110">
          <cell r="C2110" t="str">
            <v>Virgilio Rodríguez Tellez</v>
          </cell>
          <cell r="E2110" t="str">
            <v>m</v>
          </cell>
          <cell r="F2110" t="str">
            <v>negra</v>
          </cell>
          <cell r="K2110" t="str">
            <v>Operario</v>
          </cell>
          <cell r="L2110" t="str">
            <v>No</v>
          </cell>
          <cell r="O2110" t="str">
            <v>Otros No Técnicos</v>
          </cell>
        </row>
        <row r="2111">
          <cell r="C2111" t="str">
            <v>Viurnis Garbey Castillo</v>
          </cell>
          <cell r="E2111" t="str">
            <v>f</v>
          </cell>
          <cell r="F2111" t="str">
            <v>negra</v>
          </cell>
          <cell r="K2111" t="str">
            <v>Servicio</v>
          </cell>
          <cell r="L2111" t="str">
            <v>No</v>
          </cell>
          <cell r="O2111" t="str">
            <v>Otros No Técnicos</v>
          </cell>
        </row>
        <row r="2112">
          <cell r="C2112" t="str">
            <v>Xiomara Melian Montoya</v>
          </cell>
          <cell r="E2112" t="str">
            <v>f</v>
          </cell>
          <cell r="F2112" t="str">
            <v>blanca</v>
          </cell>
          <cell r="K2112" t="str">
            <v>Servicio</v>
          </cell>
          <cell r="L2112" t="str">
            <v>No</v>
          </cell>
          <cell r="O2112" t="str">
            <v>Otros No Técnicos</v>
          </cell>
        </row>
        <row r="2113">
          <cell r="C2113" t="str">
            <v>Yairobys Danger Suárez</v>
          </cell>
          <cell r="E2113" t="str">
            <v>f</v>
          </cell>
          <cell r="F2113" t="str">
            <v>mestiza</v>
          </cell>
          <cell r="K2113" t="str">
            <v>Servicio</v>
          </cell>
          <cell r="L2113" t="str">
            <v>No</v>
          </cell>
          <cell r="O2113" t="str">
            <v>Otros No Técnicos</v>
          </cell>
        </row>
        <row r="2114">
          <cell r="C2114" t="str">
            <v>Yaniel Saltorre Macías</v>
          </cell>
          <cell r="E2114" t="str">
            <v>m</v>
          </cell>
          <cell r="F2114" t="str">
            <v>negra</v>
          </cell>
          <cell r="K2114" t="str">
            <v>Operario</v>
          </cell>
          <cell r="L2114" t="str">
            <v>No</v>
          </cell>
          <cell r="O2114" t="str">
            <v>Otros No Técnicos</v>
          </cell>
        </row>
        <row r="2115">
          <cell r="C2115" t="str">
            <v>Yaritza Pérez Montesino</v>
          </cell>
          <cell r="E2115" t="str">
            <v>f</v>
          </cell>
          <cell r="F2115" t="str">
            <v>mestiza</v>
          </cell>
          <cell r="K2115" t="str">
            <v>Servicio</v>
          </cell>
          <cell r="L2115" t="str">
            <v>No</v>
          </cell>
          <cell r="O2115" t="str">
            <v>Otros No Técnicos</v>
          </cell>
        </row>
        <row r="2116">
          <cell r="C2116" t="str">
            <v>Yasania Diaz Creagh</v>
          </cell>
          <cell r="E2116" t="str">
            <v>f</v>
          </cell>
          <cell r="F2116" t="str">
            <v>blanca</v>
          </cell>
          <cell r="K2116" t="str">
            <v>Operario</v>
          </cell>
          <cell r="L2116" t="str">
            <v>No</v>
          </cell>
          <cell r="O2116" t="str">
            <v>Otros No Técnicos</v>
          </cell>
        </row>
        <row r="2117">
          <cell r="C2117" t="str">
            <v>YASMARI ROQUE RUBIO</v>
          </cell>
          <cell r="E2117" t="str">
            <v>f</v>
          </cell>
          <cell r="F2117" t="str">
            <v>negra</v>
          </cell>
          <cell r="K2117" t="str">
            <v>Servicio</v>
          </cell>
          <cell r="L2117" t="str">
            <v>No</v>
          </cell>
          <cell r="O2117" t="str">
            <v>Otros No Técnicos</v>
          </cell>
        </row>
        <row r="2118">
          <cell r="C2118" t="str">
            <v>Yilian Galeno Orozco</v>
          </cell>
          <cell r="E2118" t="str">
            <v>f</v>
          </cell>
          <cell r="F2118" t="str">
            <v>negra</v>
          </cell>
          <cell r="K2118" t="str">
            <v>Operario</v>
          </cell>
          <cell r="L2118" t="str">
            <v>No</v>
          </cell>
          <cell r="O2118" t="str">
            <v>Otros No Técnicos</v>
          </cell>
        </row>
        <row r="2119">
          <cell r="C2119" t="str">
            <v>YOELIS MEDOY DE LA TORRE</v>
          </cell>
          <cell r="E2119" t="str">
            <v>m</v>
          </cell>
          <cell r="F2119" t="str">
            <v>mestiza</v>
          </cell>
          <cell r="K2119" t="str">
            <v>Operario</v>
          </cell>
          <cell r="L2119" t="str">
            <v>No</v>
          </cell>
          <cell r="O2119" t="str">
            <v>Otros No Técnicos</v>
          </cell>
        </row>
        <row r="2120">
          <cell r="C2120" t="str">
            <v>Yordis Carmenate Fabré.</v>
          </cell>
          <cell r="E2120" t="str">
            <v>m</v>
          </cell>
          <cell r="F2120" t="str">
            <v>mestiza</v>
          </cell>
          <cell r="K2120" t="str">
            <v>Operario</v>
          </cell>
          <cell r="L2120" t="str">
            <v>No</v>
          </cell>
          <cell r="O2120" t="str">
            <v>Otros No Técnicos</v>
          </cell>
        </row>
        <row r="2121">
          <cell r="C2121" t="str">
            <v>Alexander Valenciano Martines</v>
          </cell>
          <cell r="E2121" t="str">
            <v>M</v>
          </cell>
          <cell r="F2121" t="str">
            <v>mestiza</v>
          </cell>
          <cell r="K2121" t="str">
            <v>Operario</v>
          </cell>
          <cell r="L2121" t="str">
            <v>No</v>
          </cell>
          <cell r="O2121" t="str">
            <v>Otros No Técnicos</v>
          </cell>
        </row>
        <row r="2122">
          <cell r="C2122" t="str">
            <v>Walfrido Mustelier Mendoza</v>
          </cell>
          <cell r="E2122" t="str">
            <v>M</v>
          </cell>
          <cell r="F2122" t="str">
            <v>mestiza</v>
          </cell>
          <cell r="K2122" t="str">
            <v>Operario</v>
          </cell>
          <cell r="L2122" t="str">
            <v>No</v>
          </cell>
          <cell r="O2122" t="str">
            <v>Otros No Técnicos</v>
          </cell>
        </row>
        <row r="2123">
          <cell r="C2123" t="str">
            <v xml:space="preserve">Rafael Borruel Viscay </v>
          </cell>
          <cell r="E2123" t="str">
            <v>M</v>
          </cell>
          <cell r="F2123" t="str">
            <v>mestiza</v>
          </cell>
          <cell r="K2123" t="str">
            <v>Operario</v>
          </cell>
          <cell r="L2123" t="str">
            <v>No</v>
          </cell>
          <cell r="O2123" t="str">
            <v>Otros No Técnicos</v>
          </cell>
        </row>
        <row r="2124">
          <cell r="C2124" t="str">
            <v>Dailenis Cintra Deliz</v>
          </cell>
          <cell r="E2124" t="str">
            <v>F</v>
          </cell>
          <cell r="F2124" t="str">
            <v>mestiza</v>
          </cell>
          <cell r="K2124" t="str">
            <v>Operario</v>
          </cell>
          <cell r="L2124" t="str">
            <v>No</v>
          </cell>
          <cell r="O2124" t="str">
            <v>Otros No Técnicos</v>
          </cell>
        </row>
        <row r="2125">
          <cell r="C2125" t="str">
            <v>Ariellis Rosel Carreño</v>
          </cell>
          <cell r="E2125" t="str">
            <v>F</v>
          </cell>
          <cell r="F2125" t="str">
            <v>mestiza</v>
          </cell>
          <cell r="K2125" t="str">
            <v>Operario</v>
          </cell>
          <cell r="L2125" t="str">
            <v>No</v>
          </cell>
          <cell r="O2125" t="str">
            <v>Otros No Técnicos</v>
          </cell>
        </row>
        <row r="2126">
          <cell r="C2126" t="str">
            <v xml:space="preserve">Wilfredo Rodriguez Beltran </v>
          </cell>
          <cell r="E2126" t="str">
            <v>M</v>
          </cell>
          <cell r="F2126" t="str">
            <v>mestiza</v>
          </cell>
          <cell r="K2126" t="str">
            <v>Operario</v>
          </cell>
          <cell r="L2126" t="str">
            <v>No</v>
          </cell>
          <cell r="O2126" t="str">
            <v>Otros No Técnicos</v>
          </cell>
        </row>
        <row r="2127">
          <cell r="C2127" t="str">
            <v>Yamil Reyes Fernandez</v>
          </cell>
          <cell r="E2127" t="str">
            <v>M</v>
          </cell>
          <cell r="F2127" t="str">
            <v>mestiza</v>
          </cell>
          <cell r="K2127" t="str">
            <v>Operario</v>
          </cell>
          <cell r="L2127" t="str">
            <v>No</v>
          </cell>
          <cell r="O2127" t="str">
            <v>Otros No Técnicos</v>
          </cell>
        </row>
        <row r="2128">
          <cell r="C2128" t="str">
            <v xml:space="preserve">Luis Fernando Premier Almenares </v>
          </cell>
          <cell r="E2128" t="str">
            <v>M</v>
          </cell>
          <cell r="F2128" t="str">
            <v>mestiza</v>
          </cell>
          <cell r="K2128" t="str">
            <v>Operario</v>
          </cell>
          <cell r="L2128" t="str">
            <v>No</v>
          </cell>
          <cell r="O2128" t="str">
            <v>Otros No Técnicos</v>
          </cell>
        </row>
        <row r="2129">
          <cell r="C2129" t="str">
            <v>Gilberto Gutierres Orozco</v>
          </cell>
          <cell r="E2129" t="str">
            <v>M</v>
          </cell>
          <cell r="F2129" t="str">
            <v>mestiza</v>
          </cell>
          <cell r="K2129" t="str">
            <v>Operario</v>
          </cell>
          <cell r="L2129" t="str">
            <v>No</v>
          </cell>
          <cell r="O2129" t="str">
            <v>Otros No Técnicos</v>
          </cell>
        </row>
        <row r="2130">
          <cell r="C2130" t="str">
            <v xml:space="preserve">Osvaldo Leon Garbey </v>
          </cell>
          <cell r="E2130" t="str">
            <v>M</v>
          </cell>
          <cell r="F2130" t="str">
            <v>negra</v>
          </cell>
          <cell r="K2130" t="str">
            <v>Operario</v>
          </cell>
          <cell r="L2130" t="str">
            <v>No</v>
          </cell>
          <cell r="O2130" t="str">
            <v>Otros No Técnicos</v>
          </cell>
        </row>
        <row r="2131">
          <cell r="C2131" t="str">
            <v>Yoel Mustelier Semanat</v>
          </cell>
          <cell r="E2131" t="str">
            <v>M</v>
          </cell>
          <cell r="F2131" t="str">
            <v>negra</v>
          </cell>
          <cell r="K2131" t="str">
            <v>Operario</v>
          </cell>
          <cell r="L2131" t="str">
            <v>No</v>
          </cell>
          <cell r="O2131" t="str">
            <v>Otros No Técnicos</v>
          </cell>
        </row>
        <row r="2132">
          <cell r="C2132" t="str">
            <v>Reinier Ramire Medina</v>
          </cell>
          <cell r="E2132" t="str">
            <v>M</v>
          </cell>
          <cell r="F2132" t="str">
            <v>negra</v>
          </cell>
          <cell r="K2132" t="str">
            <v>Operario</v>
          </cell>
          <cell r="L2132" t="str">
            <v>No</v>
          </cell>
          <cell r="O2132" t="str">
            <v>Otros No Técnicos</v>
          </cell>
        </row>
        <row r="2133">
          <cell r="C2133" t="str">
            <v>Norge Luis Serrano Mustelier</v>
          </cell>
          <cell r="E2133" t="str">
            <v>M</v>
          </cell>
          <cell r="F2133" t="str">
            <v>mestiza</v>
          </cell>
          <cell r="K2133" t="str">
            <v>Operario</v>
          </cell>
          <cell r="L2133" t="str">
            <v>No</v>
          </cell>
          <cell r="O2133" t="str">
            <v>Otros No Técnicos</v>
          </cell>
        </row>
        <row r="2134">
          <cell r="C2134" t="str">
            <v>Maydelin Lemoz Guibett</v>
          </cell>
          <cell r="E2134" t="str">
            <v>F</v>
          </cell>
          <cell r="F2134" t="str">
            <v>mestiza</v>
          </cell>
          <cell r="K2134" t="str">
            <v>Servicio</v>
          </cell>
          <cell r="L2134" t="str">
            <v>No</v>
          </cell>
          <cell r="O2134" t="str">
            <v>Otros No Técnicos</v>
          </cell>
        </row>
        <row r="2135">
          <cell r="C2135" t="str">
            <v>Adriano Labacena Lopez</v>
          </cell>
          <cell r="E2135" t="str">
            <v>M</v>
          </cell>
          <cell r="F2135" t="str">
            <v>mestiza</v>
          </cell>
          <cell r="K2135" t="str">
            <v>Servicio</v>
          </cell>
          <cell r="L2135" t="str">
            <v>No</v>
          </cell>
          <cell r="O2135" t="str">
            <v>Otros No Técnicos</v>
          </cell>
        </row>
        <row r="2136">
          <cell r="C2136" t="str">
            <v>Victor Angel Barriera Carreño</v>
          </cell>
          <cell r="E2136" t="str">
            <v>M</v>
          </cell>
          <cell r="F2136" t="str">
            <v>mestiza</v>
          </cell>
          <cell r="K2136" t="str">
            <v>Servicio</v>
          </cell>
          <cell r="L2136" t="str">
            <v>No</v>
          </cell>
          <cell r="O2136" t="str">
            <v>Otros No Técnicos</v>
          </cell>
        </row>
        <row r="2137">
          <cell r="C2137" t="str">
            <v xml:space="preserve">Yudislaine Elias Garbey </v>
          </cell>
          <cell r="E2137" t="str">
            <v>F</v>
          </cell>
          <cell r="F2137" t="str">
            <v>mestiza</v>
          </cell>
          <cell r="K2137" t="str">
            <v>Servicio</v>
          </cell>
          <cell r="L2137" t="str">
            <v>No</v>
          </cell>
          <cell r="O2137" t="str">
            <v>Otros No Técnicos</v>
          </cell>
        </row>
        <row r="2138">
          <cell r="C2138" t="str">
            <v xml:space="preserve">Mavis Aranda Carrion </v>
          </cell>
          <cell r="E2138" t="str">
            <v>F</v>
          </cell>
          <cell r="F2138" t="str">
            <v>blanca</v>
          </cell>
          <cell r="K2138" t="str">
            <v>Técnico Medio</v>
          </cell>
          <cell r="L2138" t="str">
            <v>Si</v>
          </cell>
          <cell r="M2138" t="str">
            <v>Enfermería</v>
          </cell>
          <cell r="O2138" t="str">
            <v>Enfermería</v>
          </cell>
        </row>
        <row r="2139">
          <cell r="C2139" t="str">
            <v>Albinesis Despaigne Ruiz</v>
          </cell>
          <cell r="E2139" t="str">
            <v>F</v>
          </cell>
          <cell r="F2139" t="str">
            <v>negra</v>
          </cell>
          <cell r="K2139" t="str">
            <v>Técnico Superior</v>
          </cell>
          <cell r="L2139" t="str">
            <v>Si</v>
          </cell>
          <cell r="O2139" t="str">
            <v>Lic. Enfermería</v>
          </cell>
        </row>
        <row r="2140">
          <cell r="C2140" t="str">
            <v>Dailis Fuentes González</v>
          </cell>
          <cell r="E2140" t="str">
            <v>F</v>
          </cell>
          <cell r="F2140" t="str">
            <v>blanca</v>
          </cell>
          <cell r="K2140" t="str">
            <v>Técnico Superior</v>
          </cell>
          <cell r="L2140" t="str">
            <v>Si</v>
          </cell>
          <cell r="O2140" t="str">
            <v>Lic. Enfermería</v>
          </cell>
        </row>
        <row r="2141">
          <cell r="C2141" t="str">
            <v>Eglis Hechavarría Martínez</v>
          </cell>
          <cell r="E2141" t="str">
            <v>F</v>
          </cell>
          <cell r="F2141" t="str">
            <v>negra</v>
          </cell>
          <cell r="K2141" t="str">
            <v>Técnico Superior</v>
          </cell>
          <cell r="L2141" t="str">
            <v>Si</v>
          </cell>
          <cell r="O2141" t="str">
            <v>Lic. Enfermería</v>
          </cell>
        </row>
        <row r="2142">
          <cell r="C2142" t="str">
            <v>Hilda Elena Arce Jaca</v>
          </cell>
          <cell r="E2142" t="str">
            <v>F</v>
          </cell>
          <cell r="F2142" t="str">
            <v>mestiza</v>
          </cell>
          <cell r="K2142" t="str">
            <v>Técnico Superior</v>
          </cell>
          <cell r="L2142" t="str">
            <v>Si</v>
          </cell>
          <cell r="O2142" t="str">
            <v>Lic. Enfermería</v>
          </cell>
        </row>
        <row r="2143">
          <cell r="C2143" t="str">
            <v>Marbelis Ramirez Calunga</v>
          </cell>
          <cell r="E2143" t="str">
            <v>F</v>
          </cell>
          <cell r="F2143" t="str">
            <v>mestiza</v>
          </cell>
          <cell r="K2143" t="str">
            <v>Técnico Superior</v>
          </cell>
          <cell r="L2143" t="str">
            <v>Si</v>
          </cell>
          <cell r="O2143" t="str">
            <v>Lic. Enfermería</v>
          </cell>
        </row>
        <row r="2144">
          <cell r="C2144" t="str">
            <v>Maria Elena Jaca Terazan</v>
          </cell>
          <cell r="E2144" t="str">
            <v>F</v>
          </cell>
          <cell r="F2144" t="str">
            <v>mestiza</v>
          </cell>
          <cell r="K2144" t="str">
            <v>Técnico Superior</v>
          </cell>
          <cell r="L2144" t="str">
            <v>Si</v>
          </cell>
          <cell r="O2144" t="str">
            <v>Lic. Enfermería</v>
          </cell>
        </row>
        <row r="2145">
          <cell r="C2145" t="str">
            <v>Maribel Plutin Reyes</v>
          </cell>
          <cell r="E2145" t="str">
            <v>F</v>
          </cell>
          <cell r="F2145" t="str">
            <v>mestiza</v>
          </cell>
          <cell r="K2145" t="str">
            <v>Técnico Superior</v>
          </cell>
          <cell r="L2145" t="str">
            <v>Si</v>
          </cell>
          <cell r="O2145" t="str">
            <v>Lic. Enfermería</v>
          </cell>
        </row>
        <row r="2146">
          <cell r="C2146" t="str">
            <v>Yaritza Cisnero Sorzano</v>
          </cell>
          <cell r="E2146" t="str">
            <v>F</v>
          </cell>
          <cell r="F2146" t="str">
            <v>negra</v>
          </cell>
          <cell r="K2146" t="str">
            <v>Técnico Superior</v>
          </cell>
          <cell r="L2146" t="str">
            <v>Si</v>
          </cell>
          <cell r="O2146" t="str">
            <v>Lic. Enfermería</v>
          </cell>
        </row>
        <row r="2147">
          <cell r="C2147" t="str">
            <v>Yasmany Vaillant Savigne</v>
          </cell>
          <cell r="E2147" t="str">
            <v>M</v>
          </cell>
          <cell r="F2147" t="str">
            <v>negra</v>
          </cell>
          <cell r="K2147" t="str">
            <v>Técnico Superior</v>
          </cell>
          <cell r="L2147" t="str">
            <v>Si</v>
          </cell>
          <cell r="O2147" t="str">
            <v>Lic. en Tecnología de la Salud</v>
          </cell>
        </row>
        <row r="2148">
          <cell r="C2148" t="str">
            <v>Onel Medina Puente</v>
          </cell>
          <cell r="E2148" t="str">
            <v>M</v>
          </cell>
          <cell r="F2148" t="str">
            <v>negra</v>
          </cell>
          <cell r="K2148" t="str">
            <v>Técnico Superior</v>
          </cell>
          <cell r="L2148" t="str">
            <v>Si</v>
          </cell>
          <cell r="O2148" t="str">
            <v>Médico</v>
          </cell>
        </row>
        <row r="2149">
          <cell r="C2149" t="str">
            <v>Ana Maria alayo martinez</v>
          </cell>
          <cell r="E2149" t="str">
            <v>F</v>
          </cell>
          <cell r="F2149" t="str">
            <v>mestiza</v>
          </cell>
          <cell r="K2149" t="str">
            <v>Operario</v>
          </cell>
          <cell r="L2149" t="str">
            <v>Si</v>
          </cell>
          <cell r="O2149" t="str">
            <v>Otros No Técnicos</v>
          </cell>
        </row>
        <row r="2150">
          <cell r="C2150" t="str">
            <v>Arletis portuondo chacon</v>
          </cell>
          <cell r="E2150" t="str">
            <v>F</v>
          </cell>
          <cell r="F2150" t="str">
            <v>mestiza</v>
          </cell>
          <cell r="K2150" t="str">
            <v>Operario</v>
          </cell>
          <cell r="L2150" t="str">
            <v>Si</v>
          </cell>
          <cell r="O2150" t="str">
            <v>Otros No Técnicos</v>
          </cell>
        </row>
        <row r="2151">
          <cell r="C2151" t="str">
            <v>Isora bustamante montoya</v>
          </cell>
          <cell r="E2151" t="str">
            <v>F</v>
          </cell>
          <cell r="F2151" t="str">
            <v>mestiza</v>
          </cell>
          <cell r="K2151" t="str">
            <v>Operario</v>
          </cell>
          <cell r="L2151" t="str">
            <v>Si</v>
          </cell>
          <cell r="O2151" t="str">
            <v>Otros No Técnicos</v>
          </cell>
        </row>
        <row r="2152">
          <cell r="C2152" t="str">
            <v>Yuleisy Beatriz Rodriguez Alvarez</v>
          </cell>
          <cell r="E2152" t="str">
            <v>F</v>
          </cell>
          <cell r="F2152" t="str">
            <v>mestiza</v>
          </cell>
          <cell r="K2152" t="str">
            <v>Operario</v>
          </cell>
          <cell r="L2152" t="str">
            <v>Si</v>
          </cell>
          <cell r="O2152" t="str">
            <v>Otros No Técnicos</v>
          </cell>
        </row>
        <row r="2153">
          <cell r="C2153" t="str">
            <v>Maria Nelsa de Arma Salazar</v>
          </cell>
          <cell r="E2153" t="str">
            <v>F</v>
          </cell>
          <cell r="F2153" t="str">
            <v>mestiza</v>
          </cell>
          <cell r="K2153" t="str">
            <v>Operario</v>
          </cell>
          <cell r="L2153" t="str">
            <v>Si</v>
          </cell>
          <cell r="O2153" t="str">
            <v>Técnico No Formado Salud</v>
          </cell>
        </row>
        <row r="2154">
          <cell r="C2154" t="str">
            <v>Maria Luz lopez ramos</v>
          </cell>
          <cell r="E2154" t="str">
            <v>F</v>
          </cell>
          <cell r="F2154" t="str">
            <v>mestiza</v>
          </cell>
          <cell r="K2154" t="str">
            <v>Servicio</v>
          </cell>
          <cell r="L2154" t="str">
            <v>Si</v>
          </cell>
          <cell r="O2154" t="str">
            <v>Otros No Técnicos</v>
          </cell>
        </row>
        <row r="2155">
          <cell r="C2155" t="str">
            <v>Sobeida Calunga Hechavarria</v>
          </cell>
          <cell r="E2155" t="str">
            <v>F</v>
          </cell>
          <cell r="F2155" t="str">
            <v>mestiza</v>
          </cell>
          <cell r="K2155" t="str">
            <v>Servicio</v>
          </cell>
          <cell r="L2155" t="str">
            <v>Si</v>
          </cell>
          <cell r="O2155" t="str">
            <v>Otros No Técnicos</v>
          </cell>
        </row>
        <row r="2156">
          <cell r="C2156" t="str">
            <v>Maria Elena Castillo Castillo</v>
          </cell>
          <cell r="E2156" t="str">
            <v>F</v>
          </cell>
          <cell r="F2156" t="str">
            <v>negra</v>
          </cell>
          <cell r="K2156" t="str">
            <v>Servicio</v>
          </cell>
          <cell r="L2156" t="str">
            <v>Si</v>
          </cell>
          <cell r="O2156" t="str">
            <v>Otros No Técnicos</v>
          </cell>
        </row>
        <row r="2157">
          <cell r="C2157" t="str">
            <v>Mileidis Sarmiento García</v>
          </cell>
          <cell r="E2157" t="str">
            <v>F</v>
          </cell>
          <cell r="F2157" t="str">
            <v>mestiza</v>
          </cell>
          <cell r="K2157" t="str">
            <v>Servicio</v>
          </cell>
          <cell r="L2157" t="str">
            <v>No</v>
          </cell>
          <cell r="O2157" t="str">
            <v>Otros No Técnicos</v>
          </cell>
        </row>
        <row r="2158">
          <cell r="C2158" t="str">
            <v>Daniellis Guibert Bueno</v>
          </cell>
          <cell r="E2158" t="str">
            <v>F</v>
          </cell>
          <cell r="F2158" t="str">
            <v>negra</v>
          </cell>
          <cell r="K2158" t="str">
            <v>Servicio</v>
          </cell>
          <cell r="L2158" t="str">
            <v>No</v>
          </cell>
          <cell r="O2158" t="str">
            <v>Técnico Formado Salud</v>
          </cell>
        </row>
        <row r="2159">
          <cell r="C2159" t="str">
            <v>Esperanza Graciela Hernández Ruiz</v>
          </cell>
          <cell r="E2159" t="str">
            <v>F</v>
          </cell>
          <cell r="F2159" t="str">
            <v>mestiza</v>
          </cell>
          <cell r="K2159" t="str">
            <v>Servicio</v>
          </cell>
          <cell r="L2159" t="str">
            <v>No</v>
          </cell>
          <cell r="O2159" t="str">
            <v>Otros No Técnicos</v>
          </cell>
        </row>
        <row r="2160">
          <cell r="C2160" t="str">
            <v>Yuber Magdariaga Mustelier</v>
          </cell>
          <cell r="E2160" t="str">
            <v>M</v>
          </cell>
          <cell r="F2160" t="str">
            <v>negra</v>
          </cell>
          <cell r="K2160" t="str">
            <v>Servicio</v>
          </cell>
          <cell r="L2160" t="str">
            <v>No</v>
          </cell>
          <cell r="O2160" t="str">
            <v>Otros Profesionales y Especialidades</v>
          </cell>
        </row>
        <row r="2161">
          <cell r="C2161" t="str">
            <v xml:space="preserve">Aliannis Castro Hechevarria </v>
          </cell>
          <cell r="E2161" t="str">
            <v>F</v>
          </cell>
          <cell r="F2161" t="str">
            <v>mestiza</v>
          </cell>
          <cell r="K2161" t="str">
            <v>Técnico Medio</v>
          </cell>
          <cell r="L2161" t="str">
            <v>Si</v>
          </cell>
          <cell r="O2161" t="str">
            <v>Enfermería</v>
          </cell>
        </row>
        <row r="2162">
          <cell r="C2162" t="str">
            <v xml:space="preserve">Juan Bautista Romero Fernández </v>
          </cell>
          <cell r="E2162" t="str">
            <v>M</v>
          </cell>
          <cell r="F2162" t="str">
            <v>negra</v>
          </cell>
          <cell r="K2162" t="str">
            <v>Técnico Medio</v>
          </cell>
          <cell r="L2162" t="str">
            <v>Si</v>
          </cell>
          <cell r="O2162" t="str">
            <v>Enfermería</v>
          </cell>
        </row>
        <row r="2163">
          <cell r="C2163" t="str">
            <v xml:space="preserve">Leonor Rodriguez Gonzalez </v>
          </cell>
          <cell r="E2163" t="str">
            <v>F</v>
          </cell>
          <cell r="F2163" t="str">
            <v>negra</v>
          </cell>
          <cell r="K2163" t="str">
            <v>Técnico Medio</v>
          </cell>
          <cell r="L2163" t="str">
            <v>Si</v>
          </cell>
          <cell r="O2163" t="str">
            <v>Enfermería</v>
          </cell>
        </row>
        <row r="2164">
          <cell r="C2164" t="str">
            <v xml:space="preserve">mariela carrillo  martinez </v>
          </cell>
          <cell r="E2164" t="str">
            <v>F</v>
          </cell>
          <cell r="F2164" t="str">
            <v>mestiza</v>
          </cell>
          <cell r="K2164" t="str">
            <v>Técnico Medio</v>
          </cell>
          <cell r="L2164" t="str">
            <v>Si</v>
          </cell>
          <cell r="O2164" t="str">
            <v>Enfermería</v>
          </cell>
        </row>
        <row r="2165">
          <cell r="C2165" t="str">
            <v>Damaris Pérez López</v>
          </cell>
          <cell r="E2165" t="str">
            <v>F</v>
          </cell>
          <cell r="F2165" t="str">
            <v>mestiza</v>
          </cell>
          <cell r="K2165" t="str">
            <v>Técnico Medio</v>
          </cell>
          <cell r="L2165" t="str">
            <v>No</v>
          </cell>
          <cell r="O2165" t="str">
            <v>Enfermería</v>
          </cell>
        </row>
        <row r="2166">
          <cell r="C2166" t="str">
            <v>Daisy yaquelin Suárez Cobas</v>
          </cell>
          <cell r="E2166" t="str">
            <v>F</v>
          </cell>
          <cell r="F2166" t="str">
            <v>mestiza</v>
          </cell>
          <cell r="K2166" t="str">
            <v>Técnico Medio</v>
          </cell>
          <cell r="L2166" t="str">
            <v>No</v>
          </cell>
          <cell r="O2166" t="str">
            <v>Enfermería</v>
          </cell>
        </row>
        <row r="2167">
          <cell r="C2167" t="str">
            <v>Anisley Pantoja Alvarez</v>
          </cell>
          <cell r="E2167" t="str">
            <v>F</v>
          </cell>
          <cell r="F2167" t="str">
            <v>blanca</v>
          </cell>
          <cell r="K2167" t="str">
            <v>Técnico Superior</v>
          </cell>
          <cell r="L2167" t="str">
            <v>Si</v>
          </cell>
          <cell r="O2167" t="str">
            <v>Estomatólogo</v>
          </cell>
        </row>
        <row r="2168">
          <cell r="C2168" t="str">
            <v>Beatriz Elena Alonso Sarmiento</v>
          </cell>
          <cell r="E2168" t="str">
            <v>F</v>
          </cell>
          <cell r="F2168" t="str">
            <v>mestiza</v>
          </cell>
          <cell r="K2168" t="str">
            <v>Técnico Superior</v>
          </cell>
          <cell r="L2168" t="str">
            <v>Si</v>
          </cell>
          <cell r="O2168" t="str">
            <v>Estomatólogo</v>
          </cell>
        </row>
        <row r="2169">
          <cell r="C2169" t="str">
            <v>DAVID RODRIGUEZ DELGADO</v>
          </cell>
          <cell r="E2169" t="str">
            <v>M</v>
          </cell>
          <cell r="F2169" t="str">
            <v>mestiza</v>
          </cell>
          <cell r="K2169" t="str">
            <v>Técnico Superior</v>
          </cell>
          <cell r="L2169" t="str">
            <v>Si</v>
          </cell>
          <cell r="O2169" t="str">
            <v>Estomatólogo</v>
          </cell>
        </row>
        <row r="2170">
          <cell r="C2170" t="str">
            <v>Daymarelis Plutin Fuentes</v>
          </cell>
          <cell r="E2170" t="str">
            <v>F</v>
          </cell>
          <cell r="F2170" t="str">
            <v>blanca</v>
          </cell>
          <cell r="K2170" t="str">
            <v>Técnico Superior</v>
          </cell>
          <cell r="L2170" t="str">
            <v>Si</v>
          </cell>
          <cell r="O2170" t="str">
            <v>Estomatólogo</v>
          </cell>
        </row>
        <row r="2171">
          <cell r="C2171" t="str">
            <v>Dioselis Medina Sanchez</v>
          </cell>
          <cell r="E2171" t="str">
            <v>M</v>
          </cell>
          <cell r="F2171" t="str">
            <v>mestiza</v>
          </cell>
          <cell r="K2171" t="str">
            <v>Técnico Superior</v>
          </cell>
          <cell r="L2171" t="str">
            <v>Si</v>
          </cell>
          <cell r="O2171" t="str">
            <v>Estomatólogo</v>
          </cell>
        </row>
        <row r="2172">
          <cell r="C2172" t="str">
            <v>Elina De La Caridad Massó Galan</v>
          </cell>
          <cell r="E2172" t="str">
            <v>F</v>
          </cell>
          <cell r="F2172" t="str">
            <v>blanca</v>
          </cell>
          <cell r="K2172" t="str">
            <v>Técnico Superior</v>
          </cell>
          <cell r="L2172" t="str">
            <v>Si</v>
          </cell>
          <cell r="O2172" t="str">
            <v>Estomatólogo</v>
          </cell>
        </row>
        <row r="2173">
          <cell r="C2173" t="str">
            <v>Gillermo Perez Dotok</v>
          </cell>
          <cell r="E2173" t="str">
            <v>M</v>
          </cell>
          <cell r="F2173" t="str">
            <v>mestiza</v>
          </cell>
          <cell r="K2173" t="str">
            <v>Técnico Superior</v>
          </cell>
          <cell r="L2173" t="str">
            <v>Si</v>
          </cell>
          <cell r="O2173" t="str">
            <v>Estomatólogo</v>
          </cell>
        </row>
        <row r="2174">
          <cell r="C2174" t="str">
            <v>Iliana Solo Zulueta</v>
          </cell>
          <cell r="E2174" t="str">
            <v>F</v>
          </cell>
          <cell r="F2174" t="str">
            <v>negra</v>
          </cell>
          <cell r="K2174" t="str">
            <v>Técnico Superior</v>
          </cell>
          <cell r="L2174" t="str">
            <v>Si</v>
          </cell>
          <cell r="O2174" t="str">
            <v>Estomatólogo</v>
          </cell>
        </row>
        <row r="2175">
          <cell r="C2175" t="str">
            <v>Ismaray Palau Barroso</v>
          </cell>
          <cell r="E2175" t="str">
            <v>F</v>
          </cell>
          <cell r="F2175" t="str">
            <v>blanca</v>
          </cell>
          <cell r="K2175" t="str">
            <v>Técnico Superior</v>
          </cell>
          <cell r="L2175" t="str">
            <v>Si</v>
          </cell>
          <cell r="O2175" t="str">
            <v>Estomatólogo</v>
          </cell>
        </row>
        <row r="2176">
          <cell r="C2176" t="str">
            <v>ISRAEL BELTRAN DELA</v>
          </cell>
          <cell r="E2176" t="str">
            <v>M</v>
          </cell>
          <cell r="F2176" t="str">
            <v>negra</v>
          </cell>
          <cell r="K2176" t="str">
            <v>Cuadro</v>
          </cell>
          <cell r="L2176" t="str">
            <v>Si</v>
          </cell>
          <cell r="O2176" t="str">
            <v>Estomatólogo</v>
          </cell>
        </row>
        <row r="2177">
          <cell r="C2177" t="str">
            <v>Leimy Nolasco Martínez</v>
          </cell>
          <cell r="E2177" t="str">
            <v>F</v>
          </cell>
          <cell r="F2177" t="str">
            <v>negra</v>
          </cell>
          <cell r="K2177" t="str">
            <v>Técnico Superior</v>
          </cell>
          <cell r="L2177" t="str">
            <v>Si</v>
          </cell>
          <cell r="O2177" t="str">
            <v>Estomatólogo</v>
          </cell>
        </row>
        <row r="2178">
          <cell r="C2178" t="str">
            <v>Lisbeth Alvarez Suárez</v>
          </cell>
          <cell r="E2178" t="str">
            <v>F</v>
          </cell>
          <cell r="F2178" t="str">
            <v>blanca</v>
          </cell>
          <cell r="K2178" t="str">
            <v>Técnico Superior</v>
          </cell>
          <cell r="L2178" t="str">
            <v>Si</v>
          </cell>
          <cell r="O2178" t="str">
            <v>Estomatólogo</v>
          </cell>
        </row>
        <row r="2179">
          <cell r="C2179" t="str">
            <v>Lizandra Rivera Ferrer</v>
          </cell>
          <cell r="E2179" t="str">
            <v>F</v>
          </cell>
          <cell r="F2179" t="str">
            <v>mestiza</v>
          </cell>
          <cell r="K2179" t="str">
            <v>Técnico Superior</v>
          </cell>
          <cell r="L2179" t="str">
            <v>Si</v>
          </cell>
          <cell r="O2179" t="str">
            <v>Estomatólogo</v>
          </cell>
        </row>
        <row r="2180">
          <cell r="C2180" t="str">
            <v>Lucia Cisnero Montoya</v>
          </cell>
          <cell r="E2180" t="str">
            <v>F</v>
          </cell>
          <cell r="F2180" t="str">
            <v>blanca</v>
          </cell>
          <cell r="K2180" t="str">
            <v>Técnico Superior</v>
          </cell>
          <cell r="L2180" t="str">
            <v>Si</v>
          </cell>
          <cell r="O2180" t="str">
            <v>Estomatólogo</v>
          </cell>
        </row>
        <row r="2181">
          <cell r="C2181" t="str">
            <v>Yilian Mejias de la Cruz</v>
          </cell>
          <cell r="E2181" t="str">
            <v>F</v>
          </cell>
          <cell r="F2181" t="str">
            <v>negra</v>
          </cell>
          <cell r="K2181" t="str">
            <v>Técnico Superior</v>
          </cell>
          <cell r="L2181" t="str">
            <v>No</v>
          </cell>
          <cell r="O2181" t="str">
            <v>Estomatólogo</v>
          </cell>
        </row>
        <row r="2182">
          <cell r="C2182" t="str">
            <v>YANET OLIVAREZ SANCHEZ</v>
          </cell>
          <cell r="E2182" t="str">
            <v>F</v>
          </cell>
          <cell r="F2182" t="str">
            <v>mestiza</v>
          </cell>
          <cell r="K2182" t="str">
            <v>Técnico Superior</v>
          </cell>
          <cell r="L2182" t="str">
            <v>Si</v>
          </cell>
          <cell r="O2182" t="str">
            <v>Estomatólogo</v>
          </cell>
        </row>
        <row r="2183">
          <cell r="C2183" t="str">
            <v>Miriannis Garcia Fernandez</v>
          </cell>
          <cell r="E2183" t="str">
            <v>F</v>
          </cell>
          <cell r="F2183" t="str">
            <v>blanca</v>
          </cell>
          <cell r="K2183" t="str">
            <v>Técnico Superior</v>
          </cell>
          <cell r="L2183" t="str">
            <v>Si</v>
          </cell>
          <cell r="O2183" t="str">
            <v>Estomatólogo</v>
          </cell>
        </row>
        <row r="2184">
          <cell r="C2184" t="str">
            <v>REINALDO BERENGUER ROBLETO</v>
          </cell>
          <cell r="E2184" t="str">
            <v>M</v>
          </cell>
          <cell r="F2184" t="str">
            <v>mestiza</v>
          </cell>
          <cell r="K2184" t="str">
            <v>Técnico Superior</v>
          </cell>
          <cell r="L2184" t="str">
            <v>Si</v>
          </cell>
          <cell r="O2184" t="str">
            <v>Estomatólogo</v>
          </cell>
        </row>
        <row r="2185">
          <cell r="C2185" t="str">
            <v>YANET GONZALEZ BARROSO</v>
          </cell>
          <cell r="E2185" t="str">
            <v>F</v>
          </cell>
          <cell r="F2185" t="str">
            <v>blanca</v>
          </cell>
          <cell r="K2185" t="str">
            <v>Técnico Superior</v>
          </cell>
          <cell r="L2185" t="str">
            <v>Si</v>
          </cell>
          <cell r="O2185" t="str">
            <v>Estomatólogo</v>
          </cell>
        </row>
        <row r="2186">
          <cell r="C2186" t="str">
            <v>Yener Cisnero Zorsano</v>
          </cell>
          <cell r="E2186" t="str">
            <v>F</v>
          </cell>
          <cell r="F2186" t="str">
            <v>mestiza</v>
          </cell>
          <cell r="K2186" t="str">
            <v>Técnico Superior</v>
          </cell>
          <cell r="L2186" t="str">
            <v>Si</v>
          </cell>
          <cell r="O2186" t="str">
            <v>Estomatólogo</v>
          </cell>
        </row>
        <row r="2187">
          <cell r="C2187" t="str">
            <v>Yulien Bueno Bueno</v>
          </cell>
          <cell r="E2187" t="str">
            <v>F</v>
          </cell>
          <cell r="F2187" t="str">
            <v>negra</v>
          </cell>
          <cell r="K2187" t="str">
            <v>Técnico Superior</v>
          </cell>
          <cell r="L2187" t="str">
            <v>Si</v>
          </cell>
          <cell r="O2187" t="str">
            <v>Estomatólogo</v>
          </cell>
        </row>
        <row r="2188">
          <cell r="C2188" t="str">
            <v>Yuliet Seguera Batista</v>
          </cell>
          <cell r="E2188" t="str">
            <v>F</v>
          </cell>
          <cell r="F2188" t="str">
            <v>blanca</v>
          </cell>
          <cell r="K2188" t="str">
            <v>Técnico Superior</v>
          </cell>
          <cell r="L2188" t="str">
            <v>Si</v>
          </cell>
          <cell r="O2188" t="str">
            <v>Estomatólogo</v>
          </cell>
        </row>
        <row r="2189">
          <cell r="C2189" t="str">
            <v>Elin Rosario Morell Gónzalez</v>
          </cell>
          <cell r="E2189" t="str">
            <v>F</v>
          </cell>
          <cell r="F2189" t="str">
            <v>mestiza</v>
          </cell>
          <cell r="K2189" t="str">
            <v>Técnico Superior</v>
          </cell>
          <cell r="L2189" t="str">
            <v>Si</v>
          </cell>
          <cell r="O2189" t="str">
            <v>Estomatólogo</v>
          </cell>
        </row>
        <row r="2190">
          <cell r="C2190" t="str">
            <v>Angel Antonio Sarmiento Silva</v>
          </cell>
          <cell r="E2190" t="str">
            <v>M</v>
          </cell>
          <cell r="F2190" t="str">
            <v>mestiza</v>
          </cell>
          <cell r="K2190" t="str">
            <v>Técnico Superior</v>
          </cell>
          <cell r="L2190" t="str">
            <v>No</v>
          </cell>
          <cell r="O2190" t="str">
            <v>Estomatólogo</v>
          </cell>
        </row>
        <row r="2191">
          <cell r="C2191" t="str">
            <v>Alejandro Bosch Escobar</v>
          </cell>
          <cell r="E2191" t="str">
            <v>M</v>
          </cell>
          <cell r="F2191" t="str">
            <v>mestiza</v>
          </cell>
          <cell r="K2191" t="str">
            <v>Técnico Superior</v>
          </cell>
          <cell r="L2191" t="str">
            <v>Si</v>
          </cell>
          <cell r="O2191" t="str">
            <v>Estomatólogo</v>
          </cell>
        </row>
        <row r="2192">
          <cell r="C2192" t="str">
            <v xml:space="preserve">abelardo perez lambert </v>
          </cell>
          <cell r="E2192" t="str">
            <v>M</v>
          </cell>
          <cell r="F2192" t="str">
            <v>mestiza</v>
          </cell>
          <cell r="K2192" t="str">
            <v>Técnico Superior</v>
          </cell>
          <cell r="L2192" t="str">
            <v>Si</v>
          </cell>
          <cell r="O2192" t="str">
            <v>Médico</v>
          </cell>
        </row>
        <row r="2193">
          <cell r="C2193" t="str">
            <v xml:space="preserve">Adrian Bravo Medina </v>
          </cell>
          <cell r="E2193" t="str">
            <v>M</v>
          </cell>
          <cell r="F2193" t="str">
            <v>mestiza</v>
          </cell>
          <cell r="K2193" t="str">
            <v>Técnico Superior</v>
          </cell>
          <cell r="L2193" t="str">
            <v>Si</v>
          </cell>
          <cell r="O2193" t="str">
            <v>Médico</v>
          </cell>
        </row>
        <row r="2194">
          <cell r="C2194" t="str">
            <v xml:space="preserve">Alexis Corrales Ortiz </v>
          </cell>
          <cell r="E2194" t="str">
            <v>M</v>
          </cell>
          <cell r="F2194" t="str">
            <v>mestiza</v>
          </cell>
          <cell r="K2194" t="str">
            <v>Técnico Superior</v>
          </cell>
          <cell r="L2194" t="str">
            <v>Si</v>
          </cell>
          <cell r="O2194" t="str">
            <v>Médico</v>
          </cell>
        </row>
        <row r="2195">
          <cell r="C2195" t="str">
            <v xml:space="preserve">Aliandris Obregon Almeida </v>
          </cell>
          <cell r="E2195" t="str">
            <v>F</v>
          </cell>
          <cell r="F2195" t="str">
            <v>blanca</v>
          </cell>
          <cell r="K2195" t="str">
            <v>Técnico Superior</v>
          </cell>
          <cell r="L2195" t="str">
            <v>Si</v>
          </cell>
          <cell r="O2195" t="str">
            <v>Médico</v>
          </cell>
        </row>
        <row r="2196">
          <cell r="C2196" t="str">
            <v xml:space="preserve">Alianet Galera Santana </v>
          </cell>
          <cell r="E2196" t="str">
            <v>F</v>
          </cell>
          <cell r="F2196" t="str">
            <v>blanca</v>
          </cell>
          <cell r="K2196" t="str">
            <v>Técnico Superior</v>
          </cell>
          <cell r="L2196" t="str">
            <v>Si</v>
          </cell>
          <cell r="O2196" t="str">
            <v>Médico</v>
          </cell>
        </row>
        <row r="2197">
          <cell r="C2197" t="str">
            <v xml:space="preserve">Aliannes Dominguez Castillo </v>
          </cell>
          <cell r="E2197" t="str">
            <v>F</v>
          </cell>
          <cell r="F2197" t="str">
            <v>blanca</v>
          </cell>
          <cell r="K2197" t="str">
            <v>Técnico Superior</v>
          </cell>
          <cell r="L2197" t="str">
            <v>Si</v>
          </cell>
          <cell r="O2197" t="str">
            <v>Médico</v>
          </cell>
        </row>
        <row r="2198">
          <cell r="C2198" t="str">
            <v xml:space="preserve">ALIEN RODRIGUEZ BARRIENTOS </v>
          </cell>
          <cell r="E2198" t="str">
            <v>M</v>
          </cell>
          <cell r="F2198" t="str">
            <v>mestiza</v>
          </cell>
          <cell r="K2198" t="str">
            <v>Técnico Superior</v>
          </cell>
          <cell r="L2198" t="str">
            <v>Si</v>
          </cell>
          <cell r="O2198" t="str">
            <v>Médico</v>
          </cell>
        </row>
        <row r="2199">
          <cell r="C2199" t="str">
            <v xml:space="preserve">Alionuska Quiala Torres </v>
          </cell>
          <cell r="E2199" t="str">
            <v>F</v>
          </cell>
          <cell r="F2199" t="str">
            <v>negra</v>
          </cell>
          <cell r="K2199" t="str">
            <v>Técnico Superior</v>
          </cell>
          <cell r="L2199" t="str">
            <v>Si</v>
          </cell>
          <cell r="O2199" t="str">
            <v>Médico</v>
          </cell>
        </row>
        <row r="2200">
          <cell r="C2200" t="str">
            <v xml:space="preserve">Aliuska Lussón Guerra </v>
          </cell>
          <cell r="E2200" t="str">
            <v>F</v>
          </cell>
          <cell r="F2200" t="str">
            <v>mestiza</v>
          </cell>
          <cell r="K2200" t="str">
            <v>Técnico Superior</v>
          </cell>
          <cell r="L2200" t="str">
            <v>Si</v>
          </cell>
          <cell r="O2200" t="str">
            <v>Médico</v>
          </cell>
        </row>
        <row r="2201">
          <cell r="C2201" t="str">
            <v xml:space="preserve">Ana Laritza Nieve de Armas </v>
          </cell>
          <cell r="E2201" t="str">
            <v>F</v>
          </cell>
          <cell r="F2201" t="str">
            <v>blanca</v>
          </cell>
          <cell r="K2201" t="str">
            <v>Técnico Superior</v>
          </cell>
          <cell r="L2201" t="str">
            <v>Si</v>
          </cell>
          <cell r="O2201" t="str">
            <v>Médico</v>
          </cell>
        </row>
        <row r="2202">
          <cell r="C2202" t="str">
            <v xml:space="preserve">Ana Milena Dieguez Vazquez </v>
          </cell>
          <cell r="E2202" t="str">
            <v>F</v>
          </cell>
          <cell r="F2202" t="str">
            <v>blanca</v>
          </cell>
          <cell r="K2202" t="str">
            <v>Técnico Superior</v>
          </cell>
          <cell r="L2202" t="str">
            <v>Si</v>
          </cell>
          <cell r="O2202" t="str">
            <v>Médico</v>
          </cell>
        </row>
        <row r="2203">
          <cell r="C2203" t="str">
            <v xml:space="preserve">Anier Harol Suárez Hernández </v>
          </cell>
          <cell r="E2203" t="str">
            <v>M</v>
          </cell>
          <cell r="F2203" t="str">
            <v>blanca</v>
          </cell>
          <cell r="K2203" t="str">
            <v>Técnico Superior</v>
          </cell>
          <cell r="L2203" t="str">
            <v>Si</v>
          </cell>
          <cell r="O2203" t="str">
            <v>Médico</v>
          </cell>
        </row>
        <row r="2204">
          <cell r="C2204" t="str">
            <v xml:space="preserve">Anisleydis Lopez Cué </v>
          </cell>
          <cell r="E2204" t="str">
            <v>F</v>
          </cell>
          <cell r="F2204" t="str">
            <v>blanca</v>
          </cell>
          <cell r="K2204" t="str">
            <v>Técnico Superior</v>
          </cell>
          <cell r="L2204" t="str">
            <v>Si</v>
          </cell>
          <cell r="O2204" t="str">
            <v>Médico</v>
          </cell>
        </row>
        <row r="2205">
          <cell r="C2205" t="str">
            <v xml:space="preserve">Ariadna Aroche Corria </v>
          </cell>
          <cell r="E2205" t="str">
            <v>F</v>
          </cell>
          <cell r="F2205" t="str">
            <v>blanca</v>
          </cell>
          <cell r="K2205" t="str">
            <v>Técnico Superior</v>
          </cell>
          <cell r="L2205" t="str">
            <v>Si</v>
          </cell>
          <cell r="O2205" t="str">
            <v>Médico</v>
          </cell>
        </row>
        <row r="2206">
          <cell r="C2206" t="str">
            <v xml:space="preserve">Arlette Aguilar Rivera </v>
          </cell>
          <cell r="E2206" t="str">
            <v>F</v>
          </cell>
          <cell r="F2206" t="str">
            <v>blanca</v>
          </cell>
          <cell r="K2206" t="str">
            <v>Técnico Superior</v>
          </cell>
          <cell r="L2206" t="str">
            <v>Si</v>
          </cell>
          <cell r="O2206" t="str">
            <v>Médico</v>
          </cell>
        </row>
        <row r="2207">
          <cell r="C2207" t="str">
            <v xml:space="preserve">Arlette Savón Modey </v>
          </cell>
          <cell r="E2207" t="str">
            <v>F</v>
          </cell>
          <cell r="F2207" t="str">
            <v>mestiza</v>
          </cell>
          <cell r="K2207" t="str">
            <v>Técnico Superior</v>
          </cell>
          <cell r="L2207" t="str">
            <v>Si</v>
          </cell>
          <cell r="O2207" t="str">
            <v>Médico</v>
          </cell>
        </row>
        <row r="2208">
          <cell r="C2208" t="str">
            <v xml:space="preserve">Aylén Pérez Rams </v>
          </cell>
          <cell r="E2208" t="str">
            <v>F</v>
          </cell>
          <cell r="F2208" t="str">
            <v>blanca</v>
          </cell>
          <cell r="K2208" t="str">
            <v>Técnico Superior</v>
          </cell>
          <cell r="L2208" t="str">
            <v>Si</v>
          </cell>
          <cell r="O2208" t="str">
            <v>Médico</v>
          </cell>
        </row>
        <row r="2209">
          <cell r="C2209" t="str">
            <v xml:space="preserve">Aylin Pérez Zapata </v>
          </cell>
          <cell r="E2209" t="str">
            <v>F</v>
          </cell>
          <cell r="F2209" t="str">
            <v>mestiza</v>
          </cell>
          <cell r="K2209" t="str">
            <v>Técnico Superior</v>
          </cell>
          <cell r="L2209" t="str">
            <v>Si</v>
          </cell>
          <cell r="O2209" t="str">
            <v>Médico</v>
          </cell>
        </row>
        <row r="2210">
          <cell r="C2210" t="str">
            <v xml:space="preserve">Beatriz de las Mercedes Guerra Pardo </v>
          </cell>
          <cell r="E2210" t="str">
            <v>F</v>
          </cell>
          <cell r="F2210" t="str">
            <v>blanca</v>
          </cell>
          <cell r="K2210" t="str">
            <v>Técnico Superior</v>
          </cell>
          <cell r="L2210" t="str">
            <v>Si</v>
          </cell>
          <cell r="O2210" t="str">
            <v>Médico</v>
          </cell>
        </row>
        <row r="2211">
          <cell r="C2211" t="str">
            <v xml:space="preserve">Betania Fernández Rodríguez </v>
          </cell>
          <cell r="E2211" t="str">
            <v>F</v>
          </cell>
          <cell r="F2211" t="str">
            <v>mestiza</v>
          </cell>
          <cell r="K2211" t="str">
            <v>Técnico Superior</v>
          </cell>
          <cell r="L2211" t="str">
            <v>Si</v>
          </cell>
          <cell r="O2211" t="str">
            <v>Médico</v>
          </cell>
        </row>
        <row r="2212">
          <cell r="C2212" t="str">
            <v>Caridad González Zuñol</v>
          </cell>
          <cell r="E2212" t="str">
            <v>F</v>
          </cell>
          <cell r="F2212" t="str">
            <v>blanca</v>
          </cell>
          <cell r="K2212" t="str">
            <v>Cuadro</v>
          </cell>
          <cell r="L2212" t="str">
            <v>Si</v>
          </cell>
          <cell r="O2212" t="str">
            <v>Médico</v>
          </cell>
        </row>
        <row r="2213">
          <cell r="C2213" t="str">
            <v xml:space="preserve">Clara Elia Salazar Martinez </v>
          </cell>
          <cell r="E2213" t="str">
            <v>F</v>
          </cell>
          <cell r="F2213" t="str">
            <v>mestiza</v>
          </cell>
          <cell r="K2213" t="str">
            <v>Técnico Superior</v>
          </cell>
          <cell r="L2213" t="str">
            <v>Si</v>
          </cell>
          <cell r="O2213" t="str">
            <v>Médico</v>
          </cell>
        </row>
        <row r="2214">
          <cell r="C2214" t="str">
            <v xml:space="preserve">Dagmara Veranes Beltran </v>
          </cell>
          <cell r="E2214" t="str">
            <v>F</v>
          </cell>
          <cell r="F2214" t="str">
            <v>mestiza</v>
          </cell>
          <cell r="K2214" t="str">
            <v>Técnico Superior</v>
          </cell>
          <cell r="L2214" t="str">
            <v>Si</v>
          </cell>
          <cell r="O2214" t="str">
            <v>Médico</v>
          </cell>
        </row>
        <row r="2215">
          <cell r="C2215" t="str">
            <v xml:space="preserve">Daicelis Isaac Ge </v>
          </cell>
          <cell r="E2215" t="str">
            <v>F</v>
          </cell>
          <cell r="F2215" t="str">
            <v>mestiza</v>
          </cell>
          <cell r="K2215" t="str">
            <v>Técnico Superior</v>
          </cell>
          <cell r="L2215" t="str">
            <v>Si</v>
          </cell>
          <cell r="O2215" t="str">
            <v>Médico</v>
          </cell>
        </row>
        <row r="2216">
          <cell r="C2216" t="str">
            <v xml:space="preserve">Dailin Medina Arce </v>
          </cell>
          <cell r="E2216" t="str">
            <v>F</v>
          </cell>
          <cell r="F2216" t="str">
            <v>negra</v>
          </cell>
          <cell r="K2216" t="str">
            <v>Técnico Superior</v>
          </cell>
          <cell r="L2216" t="str">
            <v>Si</v>
          </cell>
          <cell r="O2216" t="str">
            <v>Médico</v>
          </cell>
        </row>
        <row r="2217">
          <cell r="C2217" t="str">
            <v xml:space="preserve">Dailín Nariño Rivero </v>
          </cell>
          <cell r="E2217" t="str">
            <v>F</v>
          </cell>
          <cell r="F2217" t="str">
            <v>mestiza</v>
          </cell>
          <cell r="K2217" t="str">
            <v>Técnico Superior</v>
          </cell>
          <cell r="L2217" t="str">
            <v>Si</v>
          </cell>
          <cell r="O2217" t="str">
            <v>Médico</v>
          </cell>
        </row>
        <row r="2218">
          <cell r="C2218" t="str">
            <v xml:space="preserve">Daimara Veranes Beltran </v>
          </cell>
          <cell r="E2218" t="str">
            <v>F</v>
          </cell>
          <cell r="F2218" t="str">
            <v>negra</v>
          </cell>
          <cell r="K2218" t="str">
            <v>Técnico Superior</v>
          </cell>
          <cell r="L2218" t="str">
            <v>Si</v>
          </cell>
          <cell r="O2218" t="str">
            <v>Médico</v>
          </cell>
        </row>
        <row r="2219">
          <cell r="C2219" t="str">
            <v xml:space="preserve">Daimé Díaz Pons </v>
          </cell>
          <cell r="E2219" t="str">
            <v>F</v>
          </cell>
          <cell r="F2219" t="str">
            <v>blanca</v>
          </cell>
          <cell r="K2219" t="str">
            <v>Técnico Superior</v>
          </cell>
          <cell r="L2219" t="str">
            <v>Si</v>
          </cell>
          <cell r="O2219" t="str">
            <v>Médico</v>
          </cell>
        </row>
        <row r="2220">
          <cell r="C2220" t="str">
            <v xml:space="preserve">Dairis De Leon Regueiferos </v>
          </cell>
          <cell r="E2220" t="str">
            <v>F</v>
          </cell>
          <cell r="F2220" t="str">
            <v>negra</v>
          </cell>
          <cell r="K2220" t="str">
            <v>Técnico Superior</v>
          </cell>
          <cell r="L2220" t="str">
            <v>Si</v>
          </cell>
          <cell r="O2220" t="str">
            <v>Médico</v>
          </cell>
        </row>
        <row r="2221">
          <cell r="C2221" t="str">
            <v xml:space="preserve">Dalianne Cisnero Parra </v>
          </cell>
          <cell r="E2221" t="str">
            <v>F</v>
          </cell>
          <cell r="F2221" t="str">
            <v>mestiza</v>
          </cell>
          <cell r="K2221" t="str">
            <v>Técnico Superior</v>
          </cell>
          <cell r="L2221" t="str">
            <v>Si</v>
          </cell>
          <cell r="O2221" t="str">
            <v>Médico</v>
          </cell>
        </row>
        <row r="2222">
          <cell r="C2222" t="str">
            <v xml:space="preserve">Dalila Azcanio Del Rio </v>
          </cell>
          <cell r="E2222" t="str">
            <v>F</v>
          </cell>
          <cell r="F2222" t="str">
            <v>blanca</v>
          </cell>
          <cell r="K2222" t="str">
            <v>Técnico Superior</v>
          </cell>
          <cell r="L2222" t="str">
            <v>Si</v>
          </cell>
          <cell r="O2222" t="str">
            <v>Médico</v>
          </cell>
        </row>
        <row r="2223">
          <cell r="C2223" t="str">
            <v xml:space="preserve">Damaisy Malbranche Orozco </v>
          </cell>
          <cell r="E2223" t="str">
            <v>F</v>
          </cell>
          <cell r="F2223" t="str">
            <v>negra</v>
          </cell>
          <cell r="K2223" t="str">
            <v>Técnico Superior</v>
          </cell>
          <cell r="L2223" t="str">
            <v>Si</v>
          </cell>
          <cell r="O2223" t="str">
            <v>Médico</v>
          </cell>
        </row>
        <row r="2224">
          <cell r="C2224" t="str">
            <v xml:space="preserve">Danaiza Batista Sierra </v>
          </cell>
          <cell r="E2224" t="str">
            <v>F</v>
          </cell>
          <cell r="F2224" t="str">
            <v>mestiza</v>
          </cell>
          <cell r="K2224" t="str">
            <v>Técnico Superior</v>
          </cell>
          <cell r="L2224" t="str">
            <v>Si</v>
          </cell>
          <cell r="O2224" t="str">
            <v>Médico</v>
          </cell>
        </row>
        <row r="2225">
          <cell r="C2225" t="str">
            <v>Danay Auty Ramirez</v>
          </cell>
          <cell r="E2225" t="str">
            <v>F</v>
          </cell>
          <cell r="F2225" t="str">
            <v>mestiza</v>
          </cell>
          <cell r="K2225" t="str">
            <v>Técnico Superior</v>
          </cell>
          <cell r="L2225" t="str">
            <v>Si</v>
          </cell>
          <cell r="O2225" t="str">
            <v>Médico</v>
          </cell>
        </row>
        <row r="2226">
          <cell r="C2226" t="str">
            <v xml:space="preserve">Danieyis Quevedo Marcilli </v>
          </cell>
          <cell r="E2226" t="str">
            <v>F</v>
          </cell>
          <cell r="F2226" t="str">
            <v>negra</v>
          </cell>
          <cell r="K2226" t="str">
            <v>Técnico Superior</v>
          </cell>
          <cell r="L2226" t="str">
            <v>Si</v>
          </cell>
          <cell r="O2226" t="str">
            <v>Médico</v>
          </cell>
        </row>
        <row r="2227">
          <cell r="C2227" t="str">
            <v xml:space="preserve">Dariannis Calderón Ruiz </v>
          </cell>
          <cell r="E2227" t="str">
            <v>F</v>
          </cell>
          <cell r="F2227" t="str">
            <v>mestiza</v>
          </cell>
          <cell r="K2227" t="str">
            <v>Técnico Superior</v>
          </cell>
          <cell r="L2227" t="str">
            <v>Si</v>
          </cell>
          <cell r="O2227" t="str">
            <v>Médico</v>
          </cell>
        </row>
        <row r="2228">
          <cell r="C2228" t="str">
            <v xml:space="preserve">Darina Tamayo Hernández </v>
          </cell>
          <cell r="E2228" t="str">
            <v>F</v>
          </cell>
          <cell r="F2228" t="str">
            <v>negra</v>
          </cell>
          <cell r="K2228" t="str">
            <v>Técnico Superior</v>
          </cell>
          <cell r="L2228" t="str">
            <v>Si</v>
          </cell>
          <cell r="O2228" t="str">
            <v>Médico</v>
          </cell>
        </row>
        <row r="2229">
          <cell r="C2229" t="str">
            <v xml:space="preserve">Dario Alvarez Brizo </v>
          </cell>
          <cell r="E2229" t="str">
            <v>M</v>
          </cell>
          <cell r="F2229" t="str">
            <v>mestiza</v>
          </cell>
          <cell r="K2229" t="str">
            <v>Técnico Superior</v>
          </cell>
          <cell r="L2229" t="str">
            <v>Si</v>
          </cell>
          <cell r="O2229" t="str">
            <v>Médico</v>
          </cell>
        </row>
        <row r="2230">
          <cell r="C2230" t="str">
            <v xml:space="preserve">Dayanis Delis Garbey </v>
          </cell>
          <cell r="E2230" t="str">
            <v>F</v>
          </cell>
          <cell r="F2230" t="str">
            <v>negra</v>
          </cell>
          <cell r="K2230" t="str">
            <v>Técnico Superior</v>
          </cell>
          <cell r="L2230" t="str">
            <v>Si</v>
          </cell>
          <cell r="O2230" t="str">
            <v>Médico</v>
          </cell>
        </row>
        <row r="2231">
          <cell r="C2231" t="str">
            <v xml:space="preserve">Daylena Aguero Torres </v>
          </cell>
          <cell r="E2231" t="str">
            <v>F</v>
          </cell>
          <cell r="F2231" t="str">
            <v>mestiza</v>
          </cell>
          <cell r="K2231" t="str">
            <v>Técnico Superior</v>
          </cell>
          <cell r="L2231" t="str">
            <v>Si</v>
          </cell>
          <cell r="O2231" t="str">
            <v>Médico</v>
          </cell>
        </row>
        <row r="2232">
          <cell r="C2232" t="str">
            <v xml:space="preserve">Deyvis Campos Durruty </v>
          </cell>
          <cell r="E2232" t="str">
            <v>F</v>
          </cell>
          <cell r="F2232" t="str">
            <v>mestiza</v>
          </cell>
          <cell r="K2232" t="str">
            <v>Cuadro</v>
          </cell>
          <cell r="L2232" t="str">
            <v>Si</v>
          </cell>
          <cell r="O2232" t="str">
            <v>Médico</v>
          </cell>
        </row>
        <row r="2233">
          <cell r="C2233" t="str">
            <v xml:space="preserve">Donays Debrosse Chaveco </v>
          </cell>
          <cell r="E2233" t="str">
            <v>F</v>
          </cell>
          <cell r="F2233" t="str">
            <v>negra</v>
          </cell>
          <cell r="K2233" t="str">
            <v>Técnico Superior</v>
          </cell>
          <cell r="L2233" t="str">
            <v>Si</v>
          </cell>
          <cell r="O2233" t="str">
            <v>Médico</v>
          </cell>
        </row>
        <row r="2234">
          <cell r="C2234" t="str">
            <v xml:space="preserve">Dora Aimet León Dominguez </v>
          </cell>
          <cell r="E2234" t="str">
            <v>F</v>
          </cell>
          <cell r="F2234" t="str">
            <v>blanca</v>
          </cell>
          <cell r="K2234" t="str">
            <v>Técnico Superior</v>
          </cell>
          <cell r="L2234" t="str">
            <v>Si</v>
          </cell>
          <cell r="O2234" t="str">
            <v>Médico</v>
          </cell>
        </row>
        <row r="2235">
          <cell r="C2235" t="str">
            <v xml:space="preserve">Duneiki Fernández Kindelan </v>
          </cell>
          <cell r="E2235" t="str">
            <v>F</v>
          </cell>
          <cell r="F2235" t="str">
            <v>mestiza</v>
          </cell>
          <cell r="K2235" t="str">
            <v>Técnico Superior</v>
          </cell>
          <cell r="L2235" t="str">
            <v>Si</v>
          </cell>
          <cell r="O2235" t="str">
            <v>Médico</v>
          </cell>
        </row>
        <row r="2236">
          <cell r="C2236" t="str">
            <v xml:space="preserve">Dunia Barrientos Riviaux </v>
          </cell>
          <cell r="E2236" t="str">
            <v>F</v>
          </cell>
          <cell r="F2236" t="str">
            <v>blanca</v>
          </cell>
          <cell r="K2236" t="str">
            <v>Técnico Superior</v>
          </cell>
          <cell r="L2236" t="str">
            <v>Si</v>
          </cell>
          <cell r="O2236" t="str">
            <v>Médico</v>
          </cell>
        </row>
        <row r="2237">
          <cell r="C2237" t="str">
            <v xml:space="preserve">Edellis Quiroga Izalgué </v>
          </cell>
          <cell r="E2237" t="str">
            <v>F</v>
          </cell>
          <cell r="F2237" t="str">
            <v>blanca</v>
          </cell>
          <cell r="K2237" t="str">
            <v>Técnico Superior</v>
          </cell>
          <cell r="L2237" t="str">
            <v>Si</v>
          </cell>
          <cell r="O2237" t="str">
            <v>Médico</v>
          </cell>
        </row>
        <row r="2238">
          <cell r="C2238" t="str">
            <v>Edgar Alberto Fonseca Joubert</v>
          </cell>
          <cell r="E2238" t="str">
            <v>M</v>
          </cell>
          <cell r="F2238" t="str">
            <v>mestiza</v>
          </cell>
          <cell r="K2238" t="str">
            <v>Técnico Superior</v>
          </cell>
          <cell r="L2238" t="str">
            <v>Si</v>
          </cell>
          <cell r="O2238" t="str">
            <v>Médico</v>
          </cell>
        </row>
        <row r="2239">
          <cell r="C2239" t="str">
            <v xml:space="preserve">Eglis Delis Moreno </v>
          </cell>
          <cell r="E2239" t="str">
            <v>F</v>
          </cell>
          <cell r="F2239" t="str">
            <v>negra</v>
          </cell>
          <cell r="K2239" t="str">
            <v>Técnico Superior</v>
          </cell>
          <cell r="L2239" t="str">
            <v>Si</v>
          </cell>
          <cell r="O2239" t="str">
            <v>Médico</v>
          </cell>
        </row>
        <row r="2240">
          <cell r="C2240" t="str">
            <v xml:space="preserve">Eliecer Perez Fuentes </v>
          </cell>
          <cell r="E2240" t="str">
            <v>M</v>
          </cell>
          <cell r="F2240" t="str">
            <v>mestiza</v>
          </cell>
          <cell r="K2240" t="str">
            <v>Técnico Superior</v>
          </cell>
          <cell r="L2240" t="str">
            <v>Si</v>
          </cell>
          <cell r="O2240" t="str">
            <v>Médico</v>
          </cell>
        </row>
        <row r="2241">
          <cell r="C2241" t="str">
            <v xml:space="preserve">Eliseo David Román Sánchez </v>
          </cell>
          <cell r="E2241" t="str">
            <v>M</v>
          </cell>
          <cell r="F2241" t="str">
            <v>blanca</v>
          </cell>
          <cell r="K2241" t="str">
            <v>Técnico Superior</v>
          </cell>
          <cell r="L2241" t="str">
            <v>Si</v>
          </cell>
          <cell r="O2241" t="str">
            <v>Médico</v>
          </cell>
        </row>
        <row r="2242">
          <cell r="C2242" t="str">
            <v xml:space="preserve">ellis teresa Reus Hernández </v>
          </cell>
          <cell r="E2242" t="str">
            <v>F</v>
          </cell>
          <cell r="F2242" t="str">
            <v>negra</v>
          </cell>
          <cell r="K2242" t="str">
            <v>Técnico Superior</v>
          </cell>
          <cell r="L2242" t="str">
            <v>Si</v>
          </cell>
          <cell r="O2242" t="str">
            <v>Médico</v>
          </cell>
        </row>
        <row r="2243">
          <cell r="C2243" t="str">
            <v xml:space="preserve">Glenda Beatón Quintana </v>
          </cell>
          <cell r="E2243" t="str">
            <v>F</v>
          </cell>
          <cell r="F2243" t="str">
            <v>mestiza</v>
          </cell>
          <cell r="K2243" t="str">
            <v>Técnico Superior</v>
          </cell>
          <cell r="L2243" t="str">
            <v>Si</v>
          </cell>
          <cell r="O2243" t="str">
            <v>Médico</v>
          </cell>
        </row>
        <row r="2244">
          <cell r="C2244" t="str">
            <v>hector puente saboriano</v>
          </cell>
          <cell r="E2244" t="str">
            <v>M</v>
          </cell>
          <cell r="F2244" t="str">
            <v>negra</v>
          </cell>
          <cell r="K2244" t="str">
            <v>Técnico Superior</v>
          </cell>
          <cell r="L2244" t="str">
            <v>Si</v>
          </cell>
          <cell r="O2244" t="str">
            <v>Médico</v>
          </cell>
        </row>
        <row r="2245">
          <cell r="C2245" t="str">
            <v xml:space="preserve">Ilia Serrano Alcolea </v>
          </cell>
          <cell r="E2245" t="str">
            <v>F</v>
          </cell>
          <cell r="F2245" t="str">
            <v>mestiza</v>
          </cell>
          <cell r="K2245" t="str">
            <v>Técnico Superior</v>
          </cell>
          <cell r="L2245" t="str">
            <v>Si</v>
          </cell>
          <cell r="O2245" t="str">
            <v>Médico</v>
          </cell>
        </row>
        <row r="2246">
          <cell r="C2246" t="str">
            <v xml:space="preserve">Ines González Sierra </v>
          </cell>
          <cell r="E2246" t="str">
            <v>F</v>
          </cell>
          <cell r="F2246" t="str">
            <v>mestiza</v>
          </cell>
          <cell r="K2246" t="str">
            <v>Técnico Superior</v>
          </cell>
          <cell r="L2246" t="str">
            <v>Si</v>
          </cell>
          <cell r="O2246" t="str">
            <v>Médico</v>
          </cell>
        </row>
        <row r="2247">
          <cell r="C2247" t="str">
            <v xml:space="preserve">Irina León Elias </v>
          </cell>
          <cell r="E2247" t="str">
            <v>F</v>
          </cell>
          <cell r="F2247" t="str">
            <v>mestiza</v>
          </cell>
          <cell r="K2247" t="str">
            <v>Técnico Superior</v>
          </cell>
          <cell r="L2247" t="str">
            <v>Si</v>
          </cell>
          <cell r="O2247" t="str">
            <v>Médico</v>
          </cell>
        </row>
        <row r="2248">
          <cell r="C2248" t="str">
            <v xml:space="preserve">ISMAEL ALAYO LóPEZ </v>
          </cell>
          <cell r="E2248" t="str">
            <v>M</v>
          </cell>
          <cell r="F2248" t="str">
            <v>negra</v>
          </cell>
          <cell r="K2248" t="str">
            <v>Técnico Superior</v>
          </cell>
          <cell r="L2248" t="str">
            <v>Si</v>
          </cell>
          <cell r="O2248" t="str">
            <v>Médico</v>
          </cell>
        </row>
        <row r="2249">
          <cell r="C2249" t="str">
            <v xml:space="preserve">Ismaibel Savon Ortiz </v>
          </cell>
          <cell r="E2249" t="str">
            <v>F</v>
          </cell>
          <cell r="F2249" t="str">
            <v>mestiza</v>
          </cell>
          <cell r="K2249" t="str">
            <v>Técnico Superior</v>
          </cell>
          <cell r="L2249" t="str">
            <v>Si</v>
          </cell>
          <cell r="O2249" t="str">
            <v>Médico</v>
          </cell>
        </row>
        <row r="2250">
          <cell r="C2250" t="str">
            <v xml:space="preserve">jorge emilio vego godinez </v>
          </cell>
          <cell r="E2250" t="str">
            <v>M</v>
          </cell>
          <cell r="F2250" t="str">
            <v>mestiza</v>
          </cell>
          <cell r="K2250" t="str">
            <v>Técnico Superior</v>
          </cell>
          <cell r="L2250" t="str">
            <v>Si</v>
          </cell>
          <cell r="O2250" t="str">
            <v>Médico</v>
          </cell>
        </row>
        <row r="2251">
          <cell r="C2251" t="str">
            <v>jorge luis perez leon</v>
          </cell>
          <cell r="E2251" t="str">
            <v>M</v>
          </cell>
          <cell r="F2251" t="str">
            <v>negra</v>
          </cell>
          <cell r="K2251" t="str">
            <v>Técnico Superior</v>
          </cell>
          <cell r="L2251" t="str">
            <v>Si</v>
          </cell>
          <cell r="O2251" t="str">
            <v>Médico</v>
          </cell>
        </row>
        <row r="2252">
          <cell r="C2252" t="str">
            <v xml:space="preserve">Jorge Roberto Román Macias </v>
          </cell>
          <cell r="E2252" t="str">
            <v>M</v>
          </cell>
          <cell r="F2252" t="str">
            <v>blanca</v>
          </cell>
          <cell r="K2252" t="str">
            <v>Técnico Superior</v>
          </cell>
          <cell r="L2252" t="str">
            <v>Si</v>
          </cell>
          <cell r="O2252" t="str">
            <v>Médico</v>
          </cell>
        </row>
        <row r="2253">
          <cell r="C2253" t="str">
            <v xml:space="preserve">JOSE ANTONIO CALA SANTOS </v>
          </cell>
          <cell r="E2253" t="str">
            <v>M</v>
          </cell>
          <cell r="F2253" t="str">
            <v>negra</v>
          </cell>
          <cell r="K2253" t="str">
            <v>Técnico Superior</v>
          </cell>
          <cell r="L2253" t="str">
            <v>Si</v>
          </cell>
          <cell r="O2253" t="str">
            <v>Médico</v>
          </cell>
        </row>
        <row r="2254">
          <cell r="C2254" t="str">
            <v xml:space="preserve">Josefa Iris Rodriguez Taureaux </v>
          </cell>
          <cell r="E2254" t="str">
            <v>F</v>
          </cell>
          <cell r="F2254" t="str">
            <v>blanca</v>
          </cell>
          <cell r="K2254" t="str">
            <v>Técnico Superior</v>
          </cell>
          <cell r="L2254" t="str">
            <v>Si</v>
          </cell>
          <cell r="O2254" t="str">
            <v>Médico</v>
          </cell>
        </row>
        <row r="2255">
          <cell r="C2255" t="str">
            <v xml:space="preserve">Juan Carlos Montero Rivero </v>
          </cell>
          <cell r="E2255" t="str">
            <v>M</v>
          </cell>
          <cell r="F2255" t="str">
            <v>mestiza</v>
          </cell>
          <cell r="K2255" t="str">
            <v>Técnico Superior</v>
          </cell>
          <cell r="L2255" t="str">
            <v>Si</v>
          </cell>
          <cell r="O2255" t="str">
            <v>Médico</v>
          </cell>
        </row>
        <row r="2256">
          <cell r="C2256" t="str">
            <v>Juan Manuel Gonzalez Fernandez</v>
          </cell>
          <cell r="E2256" t="str">
            <v>M</v>
          </cell>
          <cell r="F2256" t="str">
            <v>blanca</v>
          </cell>
          <cell r="K2256" t="str">
            <v>Técnico Superior</v>
          </cell>
          <cell r="L2256" t="str">
            <v>Si</v>
          </cell>
          <cell r="O2256" t="str">
            <v>Médico</v>
          </cell>
        </row>
        <row r="2257">
          <cell r="C2257" t="str">
            <v xml:space="preserve">Juan Manuel Zalazar Martinez </v>
          </cell>
          <cell r="E2257" t="str">
            <v>M</v>
          </cell>
          <cell r="F2257" t="str">
            <v>blanca</v>
          </cell>
          <cell r="K2257" t="str">
            <v>Técnico Superior</v>
          </cell>
          <cell r="L2257" t="str">
            <v>Si</v>
          </cell>
          <cell r="O2257" t="str">
            <v>Médico</v>
          </cell>
        </row>
        <row r="2258">
          <cell r="C2258" t="str">
            <v xml:space="preserve">Julio Cesar Plutin Muñiz </v>
          </cell>
          <cell r="E2258" t="str">
            <v>M</v>
          </cell>
          <cell r="F2258" t="str">
            <v>mestiza</v>
          </cell>
          <cell r="K2258" t="str">
            <v>Técnico Superior</v>
          </cell>
          <cell r="L2258" t="str">
            <v>Si</v>
          </cell>
          <cell r="O2258" t="str">
            <v>Médico</v>
          </cell>
        </row>
        <row r="2259">
          <cell r="C2259" t="str">
            <v xml:space="preserve">KENIA RIVERON PEREZ </v>
          </cell>
          <cell r="E2259" t="str">
            <v>F</v>
          </cell>
          <cell r="F2259" t="str">
            <v>mestiza</v>
          </cell>
          <cell r="K2259" t="str">
            <v>Cuadro</v>
          </cell>
          <cell r="L2259" t="str">
            <v>Si</v>
          </cell>
          <cell r="O2259" t="str">
            <v>Médico</v>
          </cell>
        </row>
        <row r="2260">
          <cell r="C2260" t="str">
            <v xml:space="preserve">Lazara Adriana Romero Hechavarria </v>
          </cell>
          <cell r="E2260" t="str">
            <v>F</v>
          </cell>
          <cell r="F2260" t="str">
            <v>mestiza</v>
          </cell>
          <cell r="K2260" t="str">
            <v>Técnico Superior</v>
          </cell>
          <cell r="L2260" t="str">
            <v>Si</v>
          </cell>
          <cell r="O2260" t="str">
            <v>Médico</v>
          </cell>
        </row>
        <row r="2261">
          <cell r="C2261" t="str">
            <v xml:space="preserve">Lazaro despaine negret </v>
          </cell>
          <cell r="E2261" t="str">
            <v>M</v>
          </cell>
          <cell r="F2261" t="str">
            <v>negra</v>
          </cell>
          <cell r="K2261" t="str">
            <v>Técnico Superior</v>
          </cell>
          <cell r="L2261" t="str">
            <v>Si</v>
          </cell>
          <cell r="O2261" t="str">
            <v>Médico</v>
          </cell>
        </row>
        <row r="2262">
          <cell r="C2262" t="str">
            <v xml:space="preserve">Leonardo Labrada Fernández </v>
          </cell>
          <cell r="E2262" t="str">
            <v>M</v>
          </cell>
          <cell r="F2262" t="str">
            <v>blanca</v>
          </cell>
          <cell r="K2262" t="str">
            <v>Técnico Superior</v>
          </cell>
          <cell r="L2262" t="str">
            <v>Si</v>
          </cell>
          <cell r="O2262" t="str">
            <v>Médico</v>
          </cell>
        </row>
        <row r="2263">
          <cell r="C2263" t="str">
            <v xml:space="preserve">Lidiuska Bandera Anaya </v>
          </cell>
          <cell r="E2263" t="str">
            <v>F</v>
          </cell>
          <cell r="F2263" t="str">
            <v>mestiza</v>
          </cell>
          <cell r="K2263" t="str">
            <v>Técnico Superior</v>
          </cell>
          <cell r="L2263" t="str">
            <v>Si</v>
          </cell>
          <cell r="O2263" t="str">
            <v>Médico</v>
          </cell>
        </row>
        <row r="2264">
          <cell r="C2264" t="str">
            <v xml:space="preserve">lilian carmen cobas acosta </v>
          </cell>
          <cell r="E2264" t="str">
            <v>F</v>
          </cell>
          <cell r="F2264" t="str">
            <v>mestiza</v>
          </cell>
          <cell r="K2264" t="str">
            <v>Técnico Superior</v>
          </cell>
          <cell r="L2264" t="str">
            <v>Si</v>
          </cell>
          <cell r="O2264" t="str">
            <v>Médico</v>
          </cell>
        </row>
        <row r="2265">
          <cell r="C2265" t="str">
            <v xml:space="preserve">Lilian Suñol Cuello </v>
          </cell>
          <cell r="E2265" t="str">
            <v>F</v>
          </cell>
          <cell r="F2265" t="str">
            <v>mestiza</v>
          </cell>
          <cell r="K2265" t="str">
            <v>Técnico Superior</v>
          </cell>
          <cell r="L2265" t="str">
            <v>Si</v>
          </cell>
          <cell r="O2265" t="str">
            <v>Médico</v>
          </cell>
        </row>
        <row r="2266">
          <cell r="C2266" t="str">
            <v xml:space="preserve">Liliana Cabreja Calvo </v>
          </cell>
          <cell r="E2266" t="str">
            <v>F</v>
          </cell>
          <cell r="F2266" t="str">
            <v>blanca</v>
          </cell>
          <cell r="K2266" t="str">
            <v>Técnico Superior</v>
          </cell>
          <cell r="L2266" t="str">
            <v>Si</v>
          </cell>
          <cell r="O2266" t="str">
            <v>Médico</v>
          </cell>
        </row>
        <row r="2267">
          <cell r="C2267" t="str">
            <v>Lisandra Chavez De la Torres</v>
          </cell>
          <cell r="E2267" t="str">
            <v>F</v>
          </cell>
          <cell r="F2267" t="str">
            <v>blanca</v>
          </cell>
          <cell r="K2267" t="str">
            <v>Técnico Superior</v>
          </cell>
          <cell r="L2267" t="str">
            <v>Si</v>
          </cell>
          <cell r="O2267" t="str">
            <v>Médico</v>
          </cell>
        </row>
        <row r="2268">
          <cell r="C2268" t="str">
            <v xml:space="preserve">Lisandra de la Caridad Peralta Correoso </v>
          </cell>
          <cell r="E2268" t="str">
            <v>F</v>
          </cell>
          <cell r="F2268" t="str">
            <v>mestiza</v>
          </cell>
          <cell r="K2268" t="str">
            <v>Técnico Superior</v>
          </cell>
          <cell r="L2268" t="str">
            <v>Si</v>
          </cell>
          <cell r="O2268" t="str">
            <v>Médico</v>
          </cell>
        </row>
        <row r="2269">
          <cell r="C2269" t="str">
            <v xml:space="preserve">Lisandra Ruíz Beltrán </v>
          </cell>
          <cell r="E2269" t="str">
            <v>F</v>
          </cell>
          <cell r="F2269" t="str">
            <v>blanca</v>
          </cell>
          <cell r="K2269" t="str">
            <v>Técnico Superior</v>
          </cell>
          <cell r="L2269" t="str">
            <v>Si</v>
          </cell>
          <cell r="O2269" t="str">
            <v>Médico</v>
          </cell>
        </row>
        <row r="2270">
          <cell r="C2270" t="str">
            <v xml:space="preserve">Loliet Montero Guzmán </v>
          </cell>
          <cell r="E2270" t="str">
            <v>F</v>
          </cell>
          <cell r="F2270" t="str">
            <v>mestiza</v>
          </cell>
          <cell r="K2270" t="str">
            <v>Técnico Superior</v>
          </cell>
          <cell r="L2270" t="str">
            <v>Si</v>
          </cell>
          <cell r="O2270" t="str">
            <v>Médico</v>
          </cell>
        </row>
        <row r="2271">
          <cell r="C2271" t="str">
            <v xml:space="preserve">Luis Angel Guisado Blanco </v>
          </cell>
          <cell r="E2271" t="str">
            <v>M</v>
          </cell>
          <cell r="F2271" t="str">
            <v>negra</v>
          </cell>
          <cell r="K2271" t="str">
            <v>Técnico Superior</v>
          </cell>
          <cell r="L2271" t="str">
            <v>Si</v>
          </cell>
          <cell r="O2271" t="str">
            <v>Médico</v>
          </cell>
        </row>
        <row r="2272">
          <cell r="C2272" t="str">
            <v xml:space="preserve">Luis Melquiades Valenciano Colás </v>
          </cell>
          <cell r="E2272" t="str">
            <v>M</v>
          </cell>
          <cell r="F2272" t="str">
            <v>mestiza</v>
          </cell>
          <cell r="K2272" t="str">
            <v>Cuadro</v>
          </cell>
          <cell r="L2272" t="str">
            <v>Si</v>
          </cell>
          <cell r="O2272" t="str">
            <v>Médico</v>
          </cell>
        </row>
        <row r="2273">
          <cell r="C2273" t="str">
            <v xml:space="preserve">Maikel Martinez Fondin </v>
          </cell>
          <cell r="E2273" t="str">
            <v>M</v>
          </cell>
          <cell r="F2273" t="str">
            <v>mestiza</v>
          </cell>
          <cell r="K2273" t="str">
            <v>Técnico Superior</v>
          </cell>
          <cell r="L2273" t="str">
            <v>Si</v>
          </cell>
          <cell r="O2273" t="str">
            <v>Médico</v>
          </cell>
        </row>
        <row r="2274">
          <cell r="C2274" t="str">
            <v xml:space="preserve">Maiyelin Moro Palmero </v>
          </cell>
          <cell r="E2274" t="str">
            <v>F</v>
          </cell>
          <cell r="F2274" t="str">
            <v>mestiza</v>
          </cell>
          <cell r="K2274" t="str">
            <v>Técnico Superior</v>
          </cell>
          <cell r="L2274" t="str">
            <v>Si</v>
          </cell>
          <cell r="O2274" t="str">
            <v>Médico</v>
          </cell>
        </row>
        <row r="2275">
          <cell r="C2275" t="str">
            <v xml:space="preserve">Marcia Raquel López Reyes </v>
          </cell>
          <cell r="E2275" t="str">
            <v>F</v>
          </cell>
          <cell r="F2275" t="str">
            <v>negra</v>
          </cell>
          <cell r="K2275" t="str">
            <v>Técnico Superior</v>
          </cell>
          <cell r="L2275" t="str">
            <v>Si</v>
          </cell>
          <cell r="O2275" t="str">
            <v>Médico</v>
          </cell>
        </row>
        <row r="2276">
          <cell r="C2276" t="str">
            <v xml:space="preserve">María Elizabet León Rodriguez </v>
          </cell>
          <cell r="E2276" t="str">
            <v>F</v>
          </cell>
          <cell r="F2276" t="str">
            <v>blanca</v>
          </cell>
          <cell r="K2276" t="str">
            <v>Técnico Superior</v>
          </cell>
          <cell r="L2276" t="str">
            <v>Si</v>
          </cell>
          <cell r="O2276" t="str">
            <v>Médico</v>
          </cell>
        </row>
        <row r="2277">
          <cell r="C2277" t="str">
            <v xml:space="preserve">maria josefa yis ramos </v>
          </cell>
          <cell r="E2277" t="str">
            <v>F</v>
          </cell>
          <cell r="F2277" t="str">
            <v>blanca</v>
          </cell>
          <cell r="K2277" t="str">
            <v>Técnico Superior</v>
          </cell>
          <cell r="L2277" t="str">
            <v>Si</v>
          </cell>
          <cell r="O2277" t="str">
            <v>Médico</v>
          </cell>
        </row>
        <row r="2278">
          <cell r="C2278" t="str">
            <v xml:space="preserve">Mariela Amador De León </v>
          </cell>
          <cell r="E2278" t="str">
            <v>F</v>
          </cell>
          <cell r="F2278" t="str">
            <v>mestiza</v>
          </cell>
          <cell r="K2278" t="str">
            <v>Técnico Superior</v>
          </cell>
          <cell r="L2278" t="str">
            <v>Si</v>
          </cell>
          <cell r="O2278" t="str">
            <v>Médico</v>
          </cell>
        </row>
        <row r="2279">
          <cell r="C2279" t="str">
            <v xml:space="preserve">Maylen Sesé odio </v>
          </cell>
          <cell r="E2279" t="str">
            <v>F</v>
          </cell>
          <cell r="F2279" t="str">
            <v>mestiza</v>
          </cell>
          <cell r="K2279" t="str">
            <v>Técnico Superior</v>
          </cell>
          <cell r="L2279" t="str">
            <v>Si</v>
          </cell>
          <cell r="O2279" t="str">
            <v>Médico</v>
          </cell>
        </row>
        <row r="2280">
          <cell r="C2280" t="str">
            <v xml:space="preserve">Maylin Pérez Zapata </v>
          </cell>
          <cell r="E2280" t="str">
            <v>F</v>
          </cell>
          <cell r="F2280" t="str">
            <v>mestiza</v>
          </cell>
          <cell r="K2280" t="str">
            <v>Técnico Superior</v>
          </cell>
          <cell r="L2280" t="str">
            <v>Si</v>
          </cell>
          <cell r="O2280" t="str">
            <v>Médico</v>
          </cell>
        </row>
        <row r="2281">
          <cell r="C2281" t="str">
            <v xml:space="preserve">Melissa Díaz Bosch </v>
          </cell>
          <cell r="E2281" t="str">
            <v>F</v>
          </cell>
          <cell r="F2281" t="str">
            <v>mestiza</v>
          </cell>
          <cell r="K2281" t="str">
            <v>Técnico Superior</v>
          </cell>
          <cell r="L2281" t="str">
            <v>Si</v>
          </cell>
          <cell r="O2281" t="str">
            <v>Médico</v>
          </cell>
        </row>
        <row r="2282">
          <cell r="C2282" t="str">
            <v xml:space="preserve">Milena Guilarte Torres </v>
          </cell>
          <cell r="E2282" t="str">
            <v>F</v>
          </cell>
          <cell r="F2282" t="str">
            <v>mestiza</v>
          </cell>
          <cell r="K2282" t="str">
            <v>Técnico Superior</v>
          </cell>
          <cell r="L2282" t="str">
            <v>Si</v>
          </cell>
          <cell r="O2282" t="str">
            <v>Médico</v>
          </cell>
        </row>
        <row r="2283">
          <cell r="C2283" t="str">
            <v xml:space="preserve">Mirtha Aguirre Delgado </v>
          </cell>
          <cell r="E2283" t="str">
            <v>F</v>
          </cell>
          <cell r="F2283" t="str">
            <v>mestiza</v>
          </cell>
          <cell r="K2283" t="str">
            <v>Técnico Superior</v>
          </cell>
          <cell r="L2283" t="str">
            <v>Si</v>
          </cell>
          <cell r="O2283" t="str">
            <v>Médico</v>
          </cell>
        </row>
        <row r="2284">
          <cell r="C2284" t="str">
            <v xml:space="preserve">Nadia Vera García </v>
          </cell>
          <cell r="E2284" t="str">
            <v>F</v>
          </cell>
          <cell r="F2284" t="str">
            <v>mestiza</v>
          </cell>
          <cell r="K2284" t="str">
            <v>Técnico Superior</v>
          </cell>
          <cell r="L2284" t="str">
            <v>Si</v>
          </cell>
          <cell r="O2284" t="str">
            <v>Médico</v>
          </cell>
        </row>
        <row r="2285">
          <cell r="C2285" t="str">
            <v xml:space="preserve">Nallarys Perello Godinez </v>
          </cell>
          <cell r="E2285" t="str">
            <v>F</v>
          </cell>
          <cell r="F2285" t="str">
            <v>blanca</v>
          </cell>
          <cell r="K2285" t="str">
            <v>Técnico Superior</v>
          </cell>
          <cell r="L2285" t="str">
            <v>Si</v>
          </cell>
          <cell r="O2285" t="str">
            <v>Médico</v>
          </cell>
        </row>
        <row r="2286">
          <cell r="C2286" t="str">
            <v xml:space="preserve">Nayibis Pérez Pérez </v>
          </cell>
          <cell r="E2286" t="str">
            <v>F</v>
          </cell>
          <cell r="F2286" t="str">
            <v>blanca</v>
          </cell>
          <cell r="K2286" t="str">
            <v>Técnico Superior</v>
          </cell>
          <cell r="L2286" t="str">
            <v>Si</v>
          </cell>
          <cell r="O2286" t="str">
            <v>Médico</v>
          </cell>
        </row>
        <row r="2287">
          <cell r="C2287" t="str">
            <v xml:space="preserve">Nayla Bencosme Yenerí </v>
          </cell>
          <cell r="E2287" t="str">
            <v>F</v>
          </cell>
          <cell r="F2287" t="str">
            <v>blanca</v>
          </cell>
          <cell r="K2287" t="str">
            <v>Técnico Superior</v>
          </cell>
          <cell r="L2287" t="str">
            <v>Si</v>
          </cell>
          <cell r="O2287" t="str">
            <v>Médico</v>
          </cell>
        </row>
        <row r="2288">
          <cell r="C2288" t="str">
            <v xml:space="preserve">Naylin Ferrer Bell </v>
          </cell>
          <cell r="E2288" t="str">
            <v>F</v>
          </cell>
          <cell r="F2288" t="str">
            <v>negra</v>
          </cell>
          <cell r="K2288" t="str">
            <v>Técnico Superior</v>
          </cell>
          <cell r="L2288" t="str">
            <v>Si</v>
          </cell>
          <cell r="O2288" t="str">
            <v>Médico</v>
          </cell>
        </row>
        <row r="2289">
          <cell r="C2289" t="str">
            <v xml:space="preserve">Niuvis Godinez martines </v>
          </cell>
          <cell r="E2289" t="str">
            <v>F</v>
          </cell>
          <cell r="F2289" t="str">
            <v>blanca</v>
          </cell>
          <cell r="K2289" t="str">
            <v>Técnico Superior</v>
          </cell>
          <cell r="L2289" t="str">
            <v>Si</v>
          </cell>
          <cell r="O2289" t="str">
            <v>Médico</v>
          </cell>
        </row>
        <row r="2290">
          <cell r="C2290" t="str">
            <v xml:space="preserve">Noelvis Tamayo López </v>
          </cell>
          <cell r="E2290" t="str">
            <v>F</v>
          </cell>
          <cell r="F2290" t="str">
            <v>mestiza</v>
          </cell>
          <cell r="K2290" t="str">
            <v>Técnico Superior</v>
          </cell>
          <cell r="L2290" t="str">
            <v>Si</v>
          </cell>
          <cell r="O2290" t="str">
            <v>Médico</v>
          </cell>
        </row>
        <row r="2291">
          <cell r="C2291" t="str">
            <v xml:space="preserve">Odalis Sabournin Silva </v>
          </cell>
          <cell r="E2291" t="str">
            <v>F</v>
          </cell>
          <cell r="F2291" t="str">
            <v>negra</v>
          </cell>
          <cell r="K2291" t="str">
            <v>Técnico Superior</v>
          </cell>
          <cell r="L2291" t="str">
            <v>Si</v>
          </cell>
          <cell r="O2291" t="str">
            <v>Médico</v>
          </cell>
        </row>
        <row r="2292">
          <cell r="C2292" t="str">
            <v xml:space="preserve">Olasis Cobas Bueno </v>
          </cell>
          <cell r="E2292" t="str">
            <v>F</v>
          </cell>
          <cell r="F2292" t="str">
            <v>negra</v>
          </cell>
          <cell r="K2292" t="str">
            <v>Técnico Superior</v>
          </cell>
          <cell r="L2292" t="str">
            <v>Si</v>
          </cell>
          <cell r="O2292" t="str">
            <v>Médico</v>
          </cell>
        </row>
        <row r="2293">
          <cell r="C2293" t="str">
            <v xml:space="preserve">oscar Garcia Sarmiento </v>
          </cell>
          <cell r="E2293" t="str">
            <v>M</v>
          </cell>
          <cell r="F2293" t="str">
            <v>blanca</v>
          </cell>
          <cell r="K2293" t="str">
            <v>Técnico Superior</v>
          </cell>
          <cell r="L2293" t="str">
            <v>Si</v>
          </cell>
          <cell r="O2293" t="str">
            <v>Médico</v>
          </cell>
        </row>
        <row r="2294">
          <cell r="C2294" t="str">
            <v xml:space="preserve">Osvaldo Sánchez Sabournín </v>
          </cell>
          <cell r="E2294" t="str">
            <v>M</v>
          </cell>
          <cell r="F2294" t="str">
            <v>mestiza</v>
          </cell>
          <cell r="K2294" t="str">
            <v>Técnico Superior</v>
          </cell>
          <cell r="L2294" t="str">
            <v>Si</v>
          </cell>
          <cell r="O2294" t="str">
            <v>Médico</v>
          </cell>
        </row>
        <row r="2295">
          <cell r="C2295" t="str">
            <v xml:space="preserve">Oylenin González Castillo </v>
          </cell>
          <cell r="E2295" t="str">
            <v>F</v>
          </cell>
          <cell r="F2295" t="str">
            <v>mestiza</v>
          </cell>
          <cell r="K2295" t="str">
            <v>Técnico Superior</v>
          </cell>
          <cell r="L2295" t="str">
            <v>Si</v>
          </cell>
          <cell r="O2295" t="str">
            <v>Médico</v>
          </cell>
        </row>
        <row r="2296">
          <cell r="C2296" t="str">
            <v xml:space="preserve">Pilar Labañino Cuadrado </v>
          </cell>
          <cell r="E2296" t="str">
            <v>F</v>
          </cell>
          <cell r="F2296" t="str">
            <v>blanca</v>
          </cell>
          <cell r="K2296" t="str">
            <v>Técnico Superior</v>
          </cell>
          <cell r="L2296" t="str">
            <v>Si</v>
          </cell>
          <cell r="O2296" t="str">
            <v>Médico</v>
          </cell>
        </row>
        <row r="2297">
          <cell r="C2297" t="str">
            <v xml:space="preserve">Pilar Vispo Garcia </v>
          </cell>
          <cell r="E2297" t="str">
            <v>F</v>
          </cell>
          <cell r="F2297" t="str">
            <v>mestiza</v>
          </cell>
          <cell r="K2297" t="str">
            <v>Técnico Superior</v>
          </cell>
          <cell r="L2297" t="str">
            <v>Si</v>
          </cell>
          <cell r="O2297" t="str">
            <v>Médico</v>
          </cell>
        </row>
        <row r="2298">
          <cell r="C2298" t="str">
            <v xml:space="preserve">Raubel Sánchez Martinez </v>
          </cell>
          <cell r="E2298" t="str">
            <v>M</v>
          </cell>
          <cell r="F2298" t="str">
            <v>mestiza</v>
          </cell>
          <cell r="K2298" t="str">
            <v>Técnico Superior</v>
          </cell>
          <cell r="L2298" t="str">
            <v>Si</v>
          </cell>
          <cell r="O2298" t="str">
            <v>Médico</v>
          </cell>
        </row>
        <row r="2299">
          <cell r="C2299" t="str">
            <v>Robert Obregon Zamora</v>
          </cell>
          <cell r="E2299" t="str">
            <v>M</v>
          </cell>
          <cell r="F2299" t="str">
            <v>mestiza</v>
          </cell>
          <cell r="K2299" t="str">
            <v>Técnico Superior</v>
          </cell>
          <cell r="L2299" t="str">
            <v>Si</v>
          </cell>
          <cell r="O2299" t="str">
            <v>Médico</v>
          </cell>
        </row>
        <row r="2300">
          <cell r="C2300" t="str">
            <v xml:space="preserve">Roberto Serrano Delis </v>
          </cell>
          <cell r="E2300" t="str">
            <v>M</v>
          </cell>
          <cell r="F2300" t="str">
            <v>negra</v>
          </cell>
          <cell r="K2300" t="str">
            <v>Técnico Superior</v>
          </cell>
          <cell r="L2300" t="str">
            <v>Si</v>
          </cell>
          <cell r="O2300" t="str">
            <v>Médico</v>
          </cell>
        </row>
        <row r="2301">
          <cell r="C2301" t="str">
            <v xml:space="preserve">Rocio López Rosalez </v>
          </cell>
          <cell r="E2301" t="str">
            <v>F</v>
          </cell>
          <cell r="F2301" t="str">
            <v>blanca</v>
          </cell>
          <cell r="K2301" t="str">
            <v>Técnico Superior</v>
          </cell>
          <cell r="L2301" t="str">
            <v>Si</v>
          </cell>
          <cell r="O2301" t="str">
            <v>Médico</v>
          </cell>
        </row>
        <row r="2302">
          <cell r="C2302" t="str">
            <v xml:space="preserve">Roilan Adriel Cala La O </v>
          </cell>
          <cell r="E2302" t="str">
            <v>M</v>
          </cell>
          <cell r="F2302" t="str">
            <v>mestiza</v>
          </cell>
          <cell r="K2302" t="str">
            <v>Técnico Superior</v>
          </cell>
          <cell r="L2302" t="str">
            <v>Si</v>
          </cell>
          <cell r="O2302" t="str">
            <v>Médico</v>
          </cell>
        </row>
        <row r="2303">
          <cell r="C2303" t="str">
            <v xml:space="preserve">Roldan Sánchez Duharte </v>
          </cell>
          <cell r="E2303" t="str">
            <v>M</v>
          </cell>
          <cell r="F2303" t="str">
            <v>mestiza</v>
          </cell>
          <cell r="K2303" t="str">
            <v>Técnico Superior</v>
          </cell>
          <cell r="L2303" t="str">
            <v>Si</v>
          </cell>
          <cell r="O2303" t="str">
            <v>Médico</v>
          </cell>
        </row>
        <row r="2304">
          <cell r="C2304" t="str">
            <v>Rosaida Benavides Palmero</v>
          </cell>
          <cell r="E2304" t="str">
            <v>F</v>
          </cell>
          <cell r="F2304" t="str">
            <v>mestiza</v>
          </cell>
          <cell r="K2304" t="str">
            <v>Técnico Superior</v>
          </cell>
          <cell r="L2304" t="str">
            <v>Si</v>
          </cell>
          <cell r="O2304" t="str">
            <v>Médico</v>
          </cell>
        </row>
        <row r="2305">
          <cell r="C2305" t="str">
            <v xml:space="preserve">ROSALIA MONTENEGRO VINENT </v>
          </cell>
          <cell r="E2305" t="str">
            <v>F</v>
          </cell>
          <cell r="F2305" t="str">
            <v>negra</v>
          </cell>
          <cell r="K2305" t="str">
            <v>Técnico Superior</v>
          </cell>
          <cell r="L2305" t="str">
            <v>Si</v>
          </cell>
          <cell r="O2305" t="str">
            <v>Médico</v>
          </cell>
        </row>
        <row r="2306">
          <cell r="C2306" t="str">
            <v>Arletis Soname Logas</v>
          </cell>
          <cell r="E2306" t="str">
            <v>F</v>
          </cell>
          <cell r="F2306" t="str">
            <v>mestiza</v>
          </cell>
          <cell r="K2306" t="str">
            <v>Técnico Superior</v>
          </cell>
          <cell r="L2306" t="str">
            <v>No</v>
          </cell>
          <cell r="O2306" t="str">
            <v>Médico</v>
          </cell>
        </row>
        <row r="2307">
          <cell r="C2307" t="str">
            <v xml:space="preserve">Rosana Ramos Freyre </v>
          </cell>
          <cell r="E2307" t="str">
            <v>F</v>
          </cell>
          <cell r="F2307" t="str">
            <v>mestiza</v>
          </cell>
          <cell r="K2307" t="str">
            <v>Técnico Superior</v>
          </cell>
          <cell r="L2307" t="str">
            <v>Si</v>
          </cell>
          <cell r="O2307" t="str">
            <v>Médico</v>
          </cell>
        </row>
        <row r="2308">
          <cell r="C2308" t="str">
            <v xml:space="preserve">Sinelis Fajardo Rios </v>
          </cell>
          <cell r="E2308" t="str">
            <v>F</v>
          </cell>
          <cell r="F2308" t="str">
            <v>blanca</v>
          </cell>
          <cell r="K2308" t="str">
            <v>Cuadro</v>
          </cell>
          <cell r="L2308" t="str">
            <v>Si</v>
          </cell>
          <cell r="O2308" t="str">
            <v>Médico</v>
          </cell>
        </row>
        <row r="2309">
          <cell r="C2309" t="str">
            <v xml:space="preserve">Sulanis Duharte Romero </v>
          </cell>
          <cell r="E2309" t="str">
            <v>F</v>
          </cell>
          <cell r="F2309" t="str">
            <v>negra</v>
          </cell>
          <cell r="K2309" t="str">
            <v>Cuadro</v>
          </cell>
          <cell r="L2309" t="str">
            <v>Si</v>
          </cell>
          <cell r="O2309" t="str">
            <v>Médico</v>
          </cell>
        </row>
        <row r="2310">
          <cell r="C2310" t="str">
            <v xml:space="preserve">Suliannis Segurado Reyes </v>
          </cell>
          <cell r="E2310" t="str">
            <v>F</v>
          </cell>
          <cell r="F2310" t="str">
            <v>mestiza</v>
          </cell>
          <cell r="K2310" t="str">
            <v>Técnico Superior</v>
          </cell>
          <cell r="L2310" t="str">
            <v>Si</v>
          </cell>
          <cell r="O2310" t="str">
            <v>Médico</v>
          </cell>
        </row>
        <row r="2311">
          <cell r="C2311" t="str">
            <v xml:space="preserve">Suney Molina Bueno </v>
          </cell>
          <cell r="E2311" t="str">
            <v>F</v>
          </cell>
          <cell r="F2311" t="str">
            <v>mestiza</v>
          </cell>
          <cell r="K2311" t="str">
            <v>Técnico Superior</v>
          </cell>
          <cell r="L2311" t="str">
            <v>Si</v>
          </cell>
          <cell r="O2311" t="str">
            <v>Médico</v>
          </cell>
        </row>
        <row r="2312">
          <cell r="C2312" t="str">
            <v xml:space="preserve">Thaimi Hernandez Saldiñas </v>
          </cell>
          <cell r="E2312" t="str">
            <v>F</v>
          </cell>
          <cell r="F2312" t="str">
            <v>mestiza</v>
          </cell>
          <cell r="K2312" t="str">
            <v>Técnico Superior</v>
          </cell>
          <cell r="L2312" t="str">
            <v>Si</v>
          </cell>
          <cell r="O2312" t="str">
            <v>Médico</v>
          </cell>
        </row>
        <row r="2313">
          <cell r="C2313" t="str">
            <v xml:space="preserve">Valia Maceira Castillo </v>
          </cell>
          <cell r="E2313" t="str">
            <v>F</v>
          </cell>
          <cell r="F2313" t="str">
            <v>blanca</v>
          </cell>
          <cell r="K2313" t="str">
            <v>Técnico Superior</v>
          </cell>
          <cell r="L2313" t="str">
            <v>Si</v>
          </cell>
          <cell r="O2313" t="str">
            <v>Médico</v>
          </cell>
        </row>
        <row r="2314">
          <cell r="C2314" t="str">
            <v xml:space="preserve">Wilber Dayan Castillo Suñol </v>
          </cell>
          <cell r="E2314" t="str">
            <v>M</v>
          </cell>
          <cell r="F2314" t="str">
            <v>blanca</v>
          </cell>
          <cell r="K2314" t="str">
            <v>Técnico Superior</v>
          </cell>
          <cell r="L2314" t="str">
            <v>Si</v>
          </cell>
          <cell r="O2314" t="str">
            <v>Médico</v>
          </cell>
        </row>
        <row r="2315">
          <cell r="C2315" t="str">
            <v xml:space="preserve">Yadira Fernández Gorguet </v>
          </cell>
          <cell r="E2315" t="str">
            <v>F</v>
          </cell>
          <cell r="F2315" t="str">
            <v>negra</v>
          </cell>
          <cell r="K2315" t="str">
            <v>Técnico Superior</v>
          </cell>
          <cell r="L2315" t="str">
            <v>Si</v>
          </cell>
          <cell r="O2315" t="str">
            <v>Médico</v>
          </cell>
        </row>
        <row r="2316">
          <cell r="C2316" t="str">
            <v xml:space="preserve">Yadira Kindelán Hechavarría </v>
          </cell>
          <cell r="E2316" t="str">
            <v>F</v>
          </cell>
          <cell r="F2316" t="str">
            <v>mestiza</v>
          </cell>
          <cell r="K2316" t="str">
            <v>Técnico Superior</v>
          </cell>
          <cell r="L2316" t="str">
            <v>Si</v>
          </cell>
          <cell r="O2316" t="str">
            <v>Médico</v>
          </cell>
        </row>
        <row r="2317">
          <cell r="C2317" t="str">
            <v xml:space="preserve">yamila ortiz guzman </v>
          </cell>
          <cell r="E2317" t="str">
            <v>F</v>
          </cell>
          <cell r="F2317" t="str">
            <v>blanca</v>
          </cell>
          <cell r="K2317" t="str">
            <v>Técnico Superior</v>
          </cell>
          <cell r="L2317" t="str">
            <v>Si</v>
          </cell>
          <cell r="O2317" t="str">
            <v>Médico</v>
          </cell>
        </row>
        <row r="2318">
          <cell r="C2318" t="str">
            <v xml:space="preserve">Yamili Thaureaux Sanchez </v>
          </cell>
          <cell r="E2318" t="str">
            <v>F</v>
          </cell>
          <cell r="F2318" t="str">
            <v>mestiza</v>
          </cell>
          <cell r="K2318" t="str">
            <v>Técnico Superior</v>
          </cell>
          <cell r="L2318" t="str">
            <v>Si</v>
          </cell>
          <cell r="O2318" t="str">
            <v>Médico</v>
          </cell>
        </row>
        <row r="2319">
          <cell r="C2319" t="str">
            <v xml:space="preserve">Yamilka Constante Bell </v>
          </cell>
          <cell r="E2319" t="str">
            <v>F</v>
          </cell>
          <cell r="F2319" t="str">
            <v>negra</v>
          </cell>
          <cell r="K2319" t="str">
            <v>Técnico Superior</v>
          </cell>
          <cell r="L2319" t="str">
            <v>Si</v>
          </cell>
          <cell r="O2319" t="str">
            <v>Médico</v>
          </cell>
        </row>
        <row r="2320">
          <cell r="C2320" t="str">
            <v xml:space="preserve">Yamilka Romero Quiala </v>
          </cell>
          <cell r="E2320" t="str">
            <v>F</v>
          </cell>
          <cell r="F2320" t="str">
            <v>mestiza</v>
          </cell>
          <cell r="K2320" t="str">
            <v>Cuadro</v>
          </cell>
          <cell r="L2320" t="str">
            <v>Si</v>
          </cell>
          <cell r="O2320" t="str">
            <v>Médico</v>
          </cell>
        </row>
        <row r="2321">
          <cell r="C2321" t="str">
            <v xml:space="preserve">Yanai De La Mercedes Fernández Jaca </v>
          </cell>
          <cell r="E2321" t="str">
            <v>F</v>
          </cell>
          <cell r="F2321" t="str">
            <v>negra</v>
          </cell>
          <cell r="K2321" t="str">
            <v>Técnico Superior</v>
          </cell>
          <cell r="L2321" t="str">
            <v>Si</v>
          </cell>
          <cell r="O2321" t="str">
            <v>Médico</v>
          </cell>
        </row>
        <row r="2322">
          <cell r="C2322" t="str">
            <v xml:space="preserve">Yanai Segura Brizo </v>
          </cell>
          <cell r="E2322" t="str">
            <v>F</v>
          </cell>
          <cell r="F2322" t="str">
            <v>mestiza</v>
          </cell>
          <cell r="K2322" t="str">
            <v>Técnico Superior</v>
          </cell>
          <cell r="L2322" t="str">
            <v>Si</v>
          </cell>
          <cell r="O2322" t="str">
            <v>Médico</v>
          </cell>
        </row>
        <row r="2323">
          <cell r="C2323" t="str">
            <v xml:space="preserve">Yanara Montoya Perez </v>
          </cell>
          <cell r="E2323" t="str">
            <v>F</v>
          </cell>
          <cell r="F2323" t="str">
            <v>mestiza</v>
          </cell>
          <cell r="K2323" t="str">
            <v>Técnico Superior</v>
          </cell>
          <cell r="L2323" t="str">
            <v>Si</v>
          </cell>
          <cell r="O2323" t="str">
            <v>Médico</v>
          </cell>
        </row>
        <row r="2324">
          <cell r="C2324" t="str">
            <v xml:space="preserve">Yaneisi Yen Correoso </v>
          </cell>
          <cell r="E2324" t="str">
            <v>F</v>
          </cell>
          <cell r="F2324" t="str">
            <v>negra</v>
          </cell>
          <cell r="K2324" t="str">
            <v>Técnico Superior</v>
          </cell>
          <cell r="L2324" t="str">
            <v>Si</v>
          </cell>
          <cell r="O2324" t="str">
            <v>Médico</v>
          </cell>
        </row>
        <row r="2325">
          <cell r="C2325" t="str">
            <v>Yaneisy Elena Muñoz Rizo</v>
          </cell>
          <cell r="E2325" t="str">
            <v>F</v>
          </cell>
          <cell r="F2325" t="str">
            <v>mestiza</v>
          </cell>
          <cell r="K2325" t="str">
            <v>Técnico Superior</v>
          </cell>
          <cell r="L2325" t="str">
            <v>Si</v>
          </cell>
          <cell r="O2325" t="str">
            <v>Médico</v>
          </cell>
        </row>
        <row r="2326">
          <cell r="C2326" t="str">
            <v xml:space="preserve">Yanet Boloy Alfonso </v>
          </cell>
          <cell r="E2326" t="str">
            <v>F</v>
          </cell>
          <cell r="F2326" t="str">
            <v>blanca</v>
          </cell>
          <cell r="K2326" t="str">
            <v>Técnico Superior</v>
          </cell>
          <cell r="L2326" t="str">
            <v>Si</v>
          </cell>
          <cell r="O2326" t="str">
            <v>Médico</v>
          </cell>
        </row>
        <row r="2327">
          <cell r="C2327" t="str">
            <v xml:space="preserve">YANEYSI MUNIVE GONZALEZ </v>
          </cell>
          <cell r="E2327" t="str">
            <v>F</v>
          </cell>
          <cell r="F2327" t="str">
            <v>negra</v>
          </cell>
          <cell r="K2327" t="str">
            <v>Técnico Superior</v>
          </cell>
          <cell r="L2327" t="str">
            <v>Si</v>
          </cell>
          <cell r="O2327" t="str">
            <v>Médico</v>
          </cell>
        </row>
        <row r="2328">
          <cell r="C2328" t="str">
            <v xml:space="preserve">Yanier Noblet Vizcay </v>
          </cell>
          <cell r="E2328" t="str">
            <v>M</v>
          </cell>
          <cell r="F2328" t="str">
            <v>negra</v>
          </cell>
          <cell r="K2328" t="str">
            <v>Técnico Superior</v>
          </cell>
          <cell r="L2328" t="str">
            <v>Si</v>
          </cell>
          <cell r="O2328" t="str">
            <v>Médico</v>
          </cell>
        </row>
        <row r="2329">
          <cell r="C2329" t="str">
            <v xml:space="preserve">Yanisley Orama Cabrera </v>
          </cell>
          <cell r="E2329" t="str">
            <v>F</v>
          </cell>
          <cell r="F2329" t="str">
            <v>mestiza</v>
          </cell>
          <cell r="K2329" t="str">
            <v>Técnico Superior</v>
          </cell>
          <cell r="L2329" t="str">
            <v>Si</v>
          </cell>
          <cell r="O2329" t="str">
            <v>Médico</v>
          </cell>
        </row>
        <row r="2330">
          <cell r="C2330" t="str">
            <v xml:space="preserve">Yaniuris Calzada Cardero </v>
          </cell>
          <cell r="E2330" t="str">
            <v>M</v>
          </cell>
          <cell r="F2330" t="str">
            <v>mestiza</v>
          </cell>
          <cell r="K2330" t="str">
            <v>Técnico Superior</v>
          </cell>
          <cell r="L2330" t="str">
            <v>Si</v>
          </cell>
          <cell r="O2330" t="str">
            <v>Médico</v>
          </cell>
        </row>
        <row r="2331">
          <cell r="C2331" t="str">
            <v xml:space="preserve">Yaniuska Ramirez Arce </v>
          </cell>
          <cell r="E2331" t="str">
            <v>F</v>
          </cell>
          <cell r="F2331" t="str">
            <v>blanca</v>
          </cell>
          <cell r="K2331" t="str">
            <v>Técnico Superior</v>
          </cell>
          <cell r="L2331" t="str">
            <v>Si</v>
          </cell>
          <cell r="O2331" t="str">
            <v>Médico</v>
          </cell>
        </row>
        <row r="2332">
          <cell r="C2332" t="str">
            <v xml:space="preserve">YAQUELIN LOPEZ Duvergel </v>
          </cell>
          <cell r="E2332" t="str">
            <v>F</v>
          </cell>
          <cell r="F2332" t="str">
            <v>mestiza</v>
          </cell>
          <cell r="K2332" t="str">
            <v>Técnico Superior</v>
          </cell>
          <cell r="L2332" t="str">
            <v>Si</v>
          </cell>
          <cell r="O2332" t="str">
            <v>Médico</v>
          </cell>
        </row>
        <row r="2333">
          <cell r="C2333" t="str">
            <v xml:space="preserve">Yariel Santiago Ferrer López </v>
          </cell>
          <cell r="E2333" t="str">
            <v>M</v>
          </cell>
          <cell r="F2333" t="str">
            <v>mestiza</v>
          </cell>
          <cell r="K2333" t="str">
            <v>Técnico Superior</v>
          </cell>
          <cell r="L2333" t="str">
            <v>Si</v>
          </cell>
          <cell r="O2333" t="str">
            <v>Médico</v>
          </cell>
        </row>
        <row r="2334">
          <cell r="C2334" t="str">
            <v xml:space="preserve">Yarilin Fernández Sánchez </v>
          </cell>
          <cell r="E2334" t="str">
            <v>F</v>
          </cell>
          <cell r="F2334" t="str">
            <v>mestiza</v>
          </cell>
          <cell r="K2334" t="str">
            <v>Técnico Superior</v>
          </cell>
          <cell r="L2334" t="str">
            <v>Si</v>
          </cell>
          <cell r="O2334" t="str">
            <v>Médico</v>
          </cell>
        </row>
        <row r="2335">
          <cell r="C2335" t="str">
            <v xml:space="preserve">YASMANY BAVASTRO MONTES DE OCA </v>
          </cell>
          <cell r="E2335" t="str">
            <v>M</v>
          </cell>
          <cell r="F2335" t="str">
            <v>mestiza</v>
          </cell>
          <cell r="K2335" t="str">
            <v>Técnico Superior</v>
          </cell>
          <cell r="L2335" t="str">
            <v>Si</v>
          </cell>
          <cell r="O2335" t="str">
            <v>Médico</v>
          </cell>
        </row>
        <row r="2336">
          <cell r="C2336" t="str">
            <v xml:space="preserve">Yelenis Celena Alayo Padilla </v>
          </cell>
          <cell r="E2336" t="str">
            <v>F</v>
          </cell>
          <cell r="F2336" t="str">
            <v>negra</v>
          </cell>
          <cell r="K2336" t="str">
            <v>Técnico Superior</v>
          </cell>
          <cell r="L2336" t="str">
            <v>Si</v>
          </cell>
          <cell r="O2336" t="str">
            <v>Médico</v>
          </cell>
        </row>
        <row r="2337">
          <cell r="C2337" t="str">
            <v xml:space="preserve">Yessica María Campos Nariño </v>
          </cell>
          <cell r="E2337" t="str">
            <v>F</v>
          </cell>
          <cell r="F2337" t="str">
            <v>mestiza</v>
          </cell>
          <cell r="K2337" t="str">
            <v>Técnico Superior</v>
          </cell>
          <cell r="L2337" t="str">
            <v>Si</v>
          </cell>
          <cell r="O2337" t="str">
            <v>Médico</v>
          </cell>
        </row>
        <row r="2338">
          <cell r="C2338" t="str">
            <v xml:space="preserve">YICEL GE AGUILAR </v>
          </cell>
          <cell r="E2338" t="str">
            <v>F</v>
          </cell>
          <cell r="F2338" t="str">
            <v>mestiza</v>
          </cell>
          <cell r="K2338" t="str">
            <v>Técnico Superior</v>
          </cell>
          <cell r="L2338" t="str">
            <v>Si</v>
          </cell>
          <cell r="O2338" t="str">
            <v>Médico</v>
          </cell>
        </row>
        <row r="2339">
          <cell r="C2339" t="str">
            <v xml:space="preserve">Yilena Cobas Tamayo </v>
          </cell>
          <cell r="E2339" t="str">
            <v>F</v>
          </cell>
          <cell r="F2339" t="str">
            <v>negra</v>
          </cell>
          <cell r="K2339" t="str">
            <v>Técnico Superior</v>
          </cell>
          <cell r="L2339" t="str">
            <v>Si</v>
          </cell>
          <cell r="O2339" t="str">
            <v>Médico</v>
          </cell>
        </row>
        <row r="2340">
          <cell r="C2340" t="str">
            <v xml:space="preserve">Yodelkis Orozco Tamayo </v>
          </cell>
          <cell r="E2340" t="str">
            <v>F</v>
          </cell>
          <cell r="F2340" t="str">
            <v>negra</v>
          </cell>
          <cell r="K2340" t="str">
            <v>Técnico Superior</v>
          </cell>
          <cell r="L2340" t="str">
            <v>Si</v>
          </cell>
          <cell r="O2340" t="str">
            <v>Médico</v>
          </cell>
        </row>
        <row r="2341">
          <cell r="C2341" t="str">
            <v xml:space="preserve">Yoendris Cumbá Danger </v>
          </cell>
          <cell r="E2341" t="str">
            <v>M</v>
          </cell>
          <cell r="F2341" t="str">
            <v>mestiza</v>
          </cell>
          <cell r="K2341" t="str">
            <v>Técnico Superior</v>
          </cell>
          <cell r="L2341" t="str">
            <v>Si</v>
          </cell>
          <cell r="O2341" t="str">
            <v>Médico</v>
          </cell>
        </row>
        <row r="2342">
          <cell r="C2342" t="str">
            <v xml:space="preserve">Yohadis Mislei Perez Arencibia </v>
          </cell>
          <cell r="E2342" t="str">
            <v>F</v>
          </cell>
          <cell r="F2342" t="str">
            <v>mestiza</v>
          </cell>
          <cell r="K2342" t="str">
            <v>Técnico Superior</v>
          </cell>
          <cell r="L2342" t="str">
            <v>Si</v>
          </cell>
          <cell r="O2342" t="str">
            <v>Médico</v>
          </cell>
        </row>
        <row r="2343">
          <cell r="C2343" t="str">
            <v xml:space="preserve">Yumelis Vazquez Pinel </v>
          </cell>
          <cell r="E2343" t="str">
            <v>F</v>
          </cell>
          <cell r="F2343" t="str">
            <v>mestiza</v>
          </cell>
          <cell r="K2343" t="str">
            <v>Técnico Superior</v>
          </cell>
          <cell r="L2343" t="str">
            <v>Si</v>
          </cell>
          <cell r="O2343" t="str">
            <v>Médico</v>
          </cell>
        </row>
        <row r="2344">
          <cell r="C2344" t="str">
            <v xml:space="preserve">YUMILEDIS RODRIGUEZ ALAYO </v>
          </cell>
          <cell r="E2344" t="str">
            <v>F</v>
          </cell>
          <cell r="F2344" t="str">
            <v>blanca</v>
          </cell>
          <cell r="K2344" t="str">
            <v>Técnico Superior</v>
          </cell>
          <cell r="L2344" t="str">
            <v>Si</v>
          </cell>
          <cell r="O2344" t="str">
            <v>Médico</v>
          </cell>
        </row>
        <row r="2345">
          <cell r="C2345" t="str">
            <v xml:space="preserve">Yuneiky Berroa Mustelier </v>
          </cell>
          <cell r="E2345" t="str">
            <v>F</v>
          </cell>
          <cell r="F2345" t="str">
            <v>mestiza</v>
          </cell>
          <cell r="K2345" t="str">
            <v>Técnico Superior</v>
          </cell>
          <cell r="L2345" t="str">
            <v>Si</v>
          </cell>
          <cell r="O2345" t="str">
            <v>Médico</v>
          </cell>
        </row>
        <row r="2346">
          <cell r="C2346" t="str">
            <v xml:space="preserve">Yuneisy Despaigne Melendez </v>
          </cell>
          <cell r="E2346" t="str">
            <v>F</v>
          </cell>
          <cell r="F2346" t="str">
            <v>negra</v>
          </cell>
          <cell r="K2346" t="str">
            <v>Técnico Superior</v>
          </cell>
          <cell r="L2346" t="str">
            <v>Si</v>
          </cell>
          <cell r="O2346" t="str">
            <v>Médico</v>
          </cell>
        </row>
        <row r="2347">
          <cell r="C2347" t="str">
            <v>Yasiel Lamote Mendoza</v>
          </cell>
          <cell r="E2347" t="str">
            <v>M</v>
          </cell>
          <cell r="F2347" t="str">
            <v>Mestiza</v>
          </cell>
          <cell r="K2347" t="str">
            <v>Técnico Superior</v>
          </cell>
          <cell r="L2347" t="str">
            <v>No</v>
          </cell>
          <cell r="O2347" t="str">
            <v>Médico</v>
          </cell>
        </row>
        <row r="2348">
          <cell r="C2348" t="str">
            <v>Mirneyis Candeaux Ortiz</v>
          </cell>
          <cell r="E2348" t="str">
            <v>F</v>
          </cell>
          <cell r="F2348" t="str">
            <v>blanca</v>
          </cell>
          <cell r="K2348" t="str">
            <v>Técnico Superior</v>
          </cell>
          <cell r="L2348" t="str">
            <v>No</v>
          </cell>
          <cell r="O2348" t="str">
            <v>Médico</v>
          </cell>
        </row>
        <row r="2349">
          <cell r="C2349" t="str">
            <v>Diva Carmen Díaz Ferrer</v>
          </cell>
          <cell r="E2349" t="str">
            <v>F</v>
          </cell>
          <cell r="F2349" t="str">
            <v>blanca</v>
          </cell>
          <cell r="K2349" t="str">
            <v>Técnico Superior</v>
          </cell>
          <cell r="L2349" t="str">
            <v>Si</v>
          </cell>
          <cell r="O2349" t="str">
            <v>Médico</v>
          </cell>
        </row>
        <row r="2350">
          <cell r="C2350" t="str">
            <v>Robisleidys Ramirez Garbey</v>
          </cell>
          <cell r="E2350" t="str">
            <v>M</v>
          </cell>
          <cell r="F2350" t="str">
            <v>Mestiza</v>
          </cell>
          <cell r="K2350" t="str">
            <v>Técnico Superior</v>
          </cell>
          <cell r="L2350" t="str">
            <v>No</v>
          </cell>
          <cell r="O2350" t="str">
            <v>Médico</v>
          </cell>
        </row>
        <row r="2351">
          <cell r="C2351" t="str">
            <v>Glenda Elianis Figueroa Romero</v>
          </cell>
          <cell r="E2351" t="str">
            <v>F</v>
          </cell>
          <cell r="F2351" t="str">
            <v>mestiza</v>
          </cell>
          <cell r="K2351" t="str">
            <v>Técnico Superior</v>
          </cell>
          <cell r="L2351" t="str">
            <v>No</v>
          </cell>
          <cell r="O2351" t="str">
            <v>Médico</v>
          </cell>
        </row>
        <row r="2352">
          <cell r="C2352" t="str">
            <v>Yunier Castañeda González</v>
          </cell>
          <cell r="E2352" t="str">
            <v>M</v>
          </cell>
          <cell r="F2352" t="str">
            <v>mestiza</v>
          </cell>
          <cell r="K2352" t="str">
            <v>Técnico Superior</v>
          </cell>
          <cell r="L2352" t="str">
            <v>No</v>
          </cell>
          <cell r="O2352" t="str">
            <v>Médico</v>
          </cell>
        </row>
        <row r="2353">
          <cell r="C2353" t="str">
            <v>Neilyn Peña Fernandez</v>
          </cell>
          <cell r="E2353" t="str">
            <v>F</v>
          </cell>
          <cell r="F2353" t="str">
            <v>mestiza</v>
          </cell>
          <cell r="K2353" t="str">
            <v>Técnico Superior</v>
          </cell>
          <cell r="L2353" t="str">
            <v>Si</v>
          </cell>
          <cell r="O2353" t="str">
            <v>Médico</v>
          </cell>
        </row>
        <row r="2354">
          <cell r="C2354" t="str">
            <v>Alba Rojas Alveaux</v>
          </cell>
          <cell r="E2354" t="str">
            <v>F</v>
          </cell>
          <cell r="F2354" t="str">
            <v>mestiza</v>
          </cell>
          <cell r="K2354" t="str">
            <v>Técnico Superior</v>
          </cell>
          <cell r="L2354" t="str">
            <v>Si</v>
          </cell>
          <cell r="O2354" t="str">
            <v>Médico</v>
          </cell>
        </row>
        <row r="2355">
          <cell r="C2355" t="str">
            <v>María Julia Ross Rodriguez</v>
          </cell>
          <cell r="E2355" t="str">
            <v>F</v>
          </cell>
          <cell r="F2355" t="str">
            <v>negra</v>
          </cell>
          <cell r="K2355" t="str">
            <v>Técnico Superior</v>
          </cell>
          <cell r="L2355" t="str">
            <v>Si</v>
          </cell>
          <cell r="O2355" t="str">
            <v>Médico</v>
          </cell>
        </row>
        <row r="2356">
          <cell r="C2356" t="str">
            <v>Rosa Elena Alvarez</v>
          </cell>
          <cell r="E2356" t="str">
            <v>F</v>
          </cell>
          <cell r="F2356" t="str">
            <v>mestiza</v>
          </cell>
          <cell r="K2356" t="str">
            <v>Técnico Superior</v>
          </cell>
          <cell r="L2356" t="str">
            <v>Si</v>
          </cell>
          <cell r="O2356" t="str">
            <v>Médico</v>
          </cell>
        </row>
        <row r="2357">
          <cell r="C2357" t="str">
            <v>Deisy Crespo Berenguer</v>
          </cell>
          <cell r="E2357" t="str">
            <v>F</v>
          </cell>
          <cell r="F2357" t="str">
            <v>blanca</v>
          </cell>
          <cell r="K2357" t="str">
            <v>Técnico Superior</v>
          </cell>
          <cell r="L2357" t="str">
            <v>Si</v>
          </cell>
          <cell r="O2357" t="str">
            <v>Médico</v>
          </cell>
        </row>
        <row r="2358">
          <cell r="C2358" t="str">
            <v>Arislandy Crespo Gamboa</v>
          </cell>
          <cell r="E2358" t="str">
            <v>M</v>
          </cell>
          <cell r="F2358" t="str">
            <v>blanca</v>
          </cell>
          <cell r="K2358" t="str">
            <v>Técnico Superior</v>
          </cell>
          <cell r="L2358" t="str">
            <v>Si</v>
          </cell>
          <cell r="O2358" t="str">
            <v>Médico</v>
          </cell>
        </row>
        <row r="2359">
          <cell r="C2359" t="str">
            <v>Marialis Fabré Léon</v>
          </cell>
          <cell r="E2359" t="str">
            <v>F</v>
          </cell>
          <cell r="F2359" t="str">
            <v>negra</v>
          </cell>
          <cell r="K2359" t="str">
            <v>Técnico Superior</v>
          </cell>
          <cell r="L2359" t="str">
            <v>Si</v>
          </cell>
          <cell r="O2359" t="str">
            <v>Médico</v>
          </cell>
        </row>
        <row r="2360">
          <cell r="C2360" t="str">
            <v>Grechen Aimé Caballero Pouyou</v>
          </cell>
          <cell r="E2360" t="str">
            <v>F</v>
          </cell>
          <cell r="F2360" t="str">
            <v>mestiza</v>
          </cell>
          <cell r="K2360" t="str">
            <v>Técnico Superior</v>
          </cell>
          <cell r="L2360" t="str">
            <v>Si</v>
          </cell>
          <cell r="O2360" t="str">
            <v>Médico</v>
          </cell>
        </row>
        <row r="2361">
          <cell r="C2361" t="str">
            <v>Carlos Ernesto Montero Guzman</v>
          </cell>
          <cell r="E2361" t="str">
            <v>M</v>
          </cell>
          <cell r="F2361" t="str">
            <v>mestiza</v>
          </cell>
          <cell r="K2361" t="str">
            <v>Técnico Superior</v>
          </cell>
          <cell r="L2361" t="str">
            <v>Si</v>
          </cell>
          <cell r="O2361" t="str">
            <v>Médico</v>
          </cell>
        </row>
        <row r="2362">
          <cell r="C2362" t="str">
            <v>Diana Haizea Hopuy Mendoza</v>
          </cell>
          <cell r="E2362" t="str">
            <v>F</v>
          </cell>
          <cell r="F2362" t="str">
            <v>mestiza</v>
          </cell>
          <cell r="K2362" t="str">
            <v>Técnico Superior</v>
          </cell>
          <cell r="L2362" t="str">
            <v>Si</v>
          </cell>
          <cell r="O2362" t="str">
            <v>Médico</v>
          </cell>
        </row>
        <row r="2363">
          <cell r="C2363" t="str">
            <v>Arelis Legna Pineda Fuentes</v>
          </cell>
          <cell r="E2363" t="str">
            <v>F</v>
          </cell>
          <cell r="F2363" t="str">
            <v>mestiza</v>
          </cell>
          <cell r="K2363" t="str">
            <v>Técnico Superior</v>
          </cell>
          <cell r="L2363" t="str">
            <v>Si</v>
          </cell>
          <cell r="O2363" t="str">
            <v>Médico</v>
          </cell>
        </row>
        <row r="2364">
          <cell r="C2364" t="str">
            <v>Mileidys Vazquez Mustelier</v>
          </cell>
          <cell r="E2364" t="str">
            <v>F</v>
          </cell>
          <cell r="F2364" t="str">
            <v>negra</v>
          </cell>
          <cell r="K2364" t="str">
            <v>Técnico Superior</v>
          </cell>
          <cell r="L2364" t="str">
            <v>No</v>
          </cell>
          <cell r="O2364" t="str">
            <v>Médico</v>
          </cell>
        </row>
        <row r="2365">
          <cell r="C2365" t="str">
            <v>Adis maura León Hausty</v>
          </cell>
          <cell r="E2365" t="str">
            <v>F</v>
          </cell>
          <cell r="F2365" t="str">
            <v>blanca</v>
          </cell>
          <cell r="K2365" t="str">
            <v>Técnico Superior</v>
          </cell>
          <cell r="L2365" t="str">
            <v>Si</v>
          </cell>
          <cell r="O2365" t="str">
            <v>Médico</v>
          </cell>
        </row>
        <row r="2366">
          <cell r="C2366" t="str">
            <v>Caridad Verdecia Carmenate</v>
          </cell>
          <cell r="E2366" t="str">
            <v>F</v>
          </cell>
          <cell r="F2366" t="str">
            <v>mestiza</v>
          </cell>
          <cell r="K2366" t="str">
            <v>Técnico Superior</v>
          </cell>
          <cell r="L2366" t="str">
            <v>Si</v>
          </cell>
          <cell r="O2366" t="str">
            <v>Psicólogo de la Salud</v>
          </cell>
        </row>
        <row r="2367">
          <cell r="C2367" t="str">
            <v>Irania Torres López</v>
          </cell>
          <cell r="E2367" t="str">
            <v>F</v>
          </cell>
          <cell r="F2367" t="str">
            <v>mestiza</v>
          </cell>
          <cell r="K2367" t="str">
            <v>Técnico Superior</v>
          </cell>
          <cell r="L2367" t="str">
            <v>Si</v>
          </cell>
          <cell r="O2367" t="str">
            <v>Psicólogo de la Salud</v>
          </cell>
        </row>
        <row r="2368">
          <cell r="C2368" t="str">
            <v>Ayelin Copello Lussón</v>
          </cell>
          <cell r="E2368" t="str">
            <v>F</v>
          </cell>
          <cell r="F2368" t="str">
            <v>mestiza</v>
          </cell>
          <cell r="K2368" t="str">
            <v>Técnico Medio</v>
          </cell>
          <cell r="L2368" t="str">
            <v>Si</v>
          </cell>
          <cell r="M2368" t="str">
            <v>Farmacia dispensarial e industrial</v>
          </cell>
          <cell r="O2368" t="str">
            <v>Técnico Formado Salud</v>
          </cell>
        </row>
        <row r="2369">
          <cell r="C2369" t="str">
            <v>Carlos Ramón Torres Suñol</v>
          </cell>
          <cell r="E2369" t="str">
            <v>M</v>
          </cell>
          <cell r="F2369" t="str">
            <v>blanca</v>
          </cell>
          <cell r="K2369" t="str">
            <v>Operario</v>
          </cell>
          <cell r="L2369" t="str">
            <v>Si</v>
          </cell>
          <cell r="O2369" t="str">
            <v>Técnico Formado Salud</v>
          </cell>
        </row>
        <row r="2370">
          <cell r="C2370" t="str">
            <v>Dalila lopez godinez</v>
          </cell>
          <cell r="E2370" t="str">
            <v>F</v>
          </cell>
          <cell r="F2370" t="str">
            <v>blanca</v>
          </cell>
          <cell r="K2370" t="str">
            <v>Operario</v>
          </cell>
          <cell r="L2370" t="str">
            <v>Si</v>
          </cell>
          <cell r="O2370" t="str">
            <v>Técnico Formado Salud</v>
          </cell>
        </row>
        <row r="2371">
          <cell r="C2371" t="str">
            <v>Dianez Cristo Pérez</v>
          </cell>
          <cell r="E2371" t="str">
            <v>F</v>
          </cell>
          <cell r="F2371" t="str">
            <v>blanca</v>
          </cell>
          <cell r="K2371" t="str">
            <v>Técnico Medio</v>
          </cell>
          <cell r="L2371" t="str">
            <v>Si</v>
          </cell>
          <cell r="M2371" t="str">
            <v>Atención estomatológica y prótesis dental</v>
          </cell>
          <cell r="O2371" t="str">
            <v>Técnico Formado Salud</v>
          </cell>
        </row>
        <row r="2372">
          <cell r="C2372" t="str">
            <v>Geoenelis Guerra Lambert</v>
          </cell>
          <cell r="E2372" t="str">
            <v>F</v>
          </cell>
          <cell r="F2372" t="str">
            <v>mestiza</v>
          </cell>
          <cell r="K2372" t="str">
            <v>Técnico Medio</v>
          </cell>
          <cell r="L2372" t="str">
            <v>Si</v>
          </cell>
          <cell r="M2372" t="str">
            <v>Oftalmología</v>
          </cell>
          <cell r="O2372" t="str">
            <v>Técnico Formado Salud</v>
          </cell>
        </row>
        <row r="2373">
          <cell r="C2373" t="str">
            <v>Idalgis Arce Moracen</v>
          </cell>
          <cell r="E2373" t="str">
            <v>F</v>
          </cell>
          <cell r="F2373" t="str">
            <v>mestiza</v>
          </cell>
          <cell r="K2373" t="str">
            <v>Operario</v>
          </cell>
          <cell r="L2373" t="str">
            <v>Si</v>
          </cell>
          <cell r="O2373" t="str">
            <v>Técnico Formado Salud</v>
          </cell>
        </row>
        <row r="2374">
          <cell r="C2374" t="str">
            <v>Leanet Leon Pérez</v>
          </cell>
          <cell r="E2374" t="str">
            <v>F</v>
          </cell>
          <cell r="F2374" t="str">
            <v>blanca</v>
          </cell>
          <cell r="K2374" t="str">
            <v>Técnico Superior</v>
          </cell>
          <cell r="L2374" t="str">
            <v>Si</v>
          </cell>
          <cell r="O2374" t="str">
            <v>Lic. en Tecnología de la Salud</v>
          </cell>
        </row>
        <row r="2375">
          <cell r="C2375" t="str">
            <v>Lilianis Martinez González</v>
          </cell>
          <cell r="E2375" t="str">
            <v>F</v>
          </cell>
          <cell r="F2375" t="str">
            <v>mestiza</v>
          </cell>
          <cell r="K2375" t="str">
            <v>Técnico Medio</v>
          </cell>
          <cell r="L2375" t="str">
            <v>Si</v>
          </cell>
          <cell r="M2375" t="str">
            <v>Podología</v>
          </cell>
          <cell r="O2375" t="str">
            <v>Técnico Formado Salud</v>
          </cell>
        </row>
        <row r="2376">
          <cell r="C2376" t="str">
            <v>Luz Marina Acosta Navea</v>
          </cell>
          <cell r="E2376" t="str">
            <v>F</v>
          </cell>
          <cell r="F2376" t="str">
            <v>blanca</v>
          </cell>
          <cell r="K2376" t="str">
            <v>Servicio</v>
          </cell>
          <cell r="L2376" t="str">
            <v>Si</v>
          </cell>
          <cell r="O2376" t="str">
            <v>Técnico Formado Salud</v>
          </cell>
        </row>
        <row r="2377">
          <cell r="C2377" t="str">
            <v>Mirelis Mustelier García</v>
          </cell>
          <cell r="E2377" t="str">
            <v>F</v>
          </cell>
          <cell r="F2377" t="str">
            <v>mestiza</v>
          </cell>
          <cell r="K2377" t="str">
            <v>Técnico Medio</v>
          </cell>
          <cell r="L2377" t="str">
            <v>Si</v>
          </cell>
          <cell r="O2377" t="str">
            <v>Técnico No Formado Salud</v>
          </cell>
        </row>
        <row r="2378">
          <cell r="C2378" t="str">
            <v>Nayis Kirenia Alcolea Montes De Oca</v>
          </cell>
          <cell r="E2378" t="str">
            <v>F</v>
          </cell>
          <cell r="F2378" t="str">
            <v>mestiza</v>
          </cell>
          <cell r="K2378" t="str">
            <v>Operario</v>
          </cell>
          <cell r="L2378" t="str">
            <v>Si</v>
          </cell>
          <cell r="O2378" t="str">
            <v>Técnico Formado Salud</v>
          </cell>
        </row>
        <row r="2379">
          <cell r="C2379" t="str">
            <v>Niurka Peinado López</v>
          </cell>
          <cell r="E2379" t="str">
            <v>F</v>
          </cell>
          <cell r="F2379" t="str">
            <v>blanca</v>
          </cell>
          <cell r="K2379" t="str">
            <v>Técnico Medio</v>
          </cell>
          <cell r="L2379" t="str">
            <v>Si</v>
          </cell>
          <cell r="M2379" t="str">
            <v>Farmacia dispensarial e industrial</v>
          </cell>
          <cell r="O2379" t="str">
            <v>Técnico Formado Salud</v>
          </cell>
        </row>
        <row r="2380">
          <cell r="C2380" t="str">
            <v>Yamirian Valenciano Silva</v>
          </cell>
          <cell r="E2380" t="str">
            <v>F</v>
          </cell>
          <cell r="F2380" t="str">
            <v>mestiza</v>
          </cell>
          <cell r="K2380" t="str">
            <v>Técnico Medio</v>
          </cell>
          <cell r="L2380" t="str">
            <v>Si</v>
          </cell>
          <cell r="O2380" t="str">
            <v>Técnico Formado Salud</v>
          </cell>
        </row>
        <row r="2381">
          <cell r="C2381" t="str">
            <v>Yanet Gonzalez Altarriba</v>
          </cell>
          <cell r="E2381" t="str">
            <v>F</v>
          </cell>
          <cell r="F2381" t="str">
            <v>mestiza</v>
          </cell>
          <cell r="K2381" t="str">
            <v>Operario</v>
          </cell>
          <cell r="L2381" t="str">
            <v>Si</v>
          </cell>
          <cell r="O2381" t="str">
            <v>Técnico Formado Salud</v>
          </cell>
        </row>
        <row r="2382">
          <cell r="C2382" t="str">
            <v>Rumais González Ortíz</v>
          </cell>
          <cell r="E2382" t="str">
            <v>F</v>
          </cell>
          <cell r="F2382" t="str">
            <v>mestiza</v>
          </cell>
          <cell r="K2382" t="str">
            <v>Técnico Medio</v>
          </cell>
          <cell r="L2382" t="str">
            <v>Si</v>
          </cell>
          <cell r="M2382" t="str">
            <v>Atención estomatológica y prótesis dental</v>
          </cell>
          <cell r="O2382" t="str">
            <v>Técnico Formado Salud</v>
          </cell>
        </row>
        <row r="2383">
          <cell r="C2383" t="str">
            <v>Radames Franco Torres</v>
          </cell>
          <cell r="E2383" t="str">
            <v>M</v>
          </cell>
          <cell r="F2383" t="str">
            <v>mestiza</v>
          </cell>
          <cell r="K2383" t="str">
            <v>Técnico Medio</v>
          </cell>
          <cell r="L2383" t="str">
            <v>Si</v>
          </cell>
          <cell r="O2383" t="str">
            <v>Técnico Formado Salud</v>
          </cell>
        </row>
        <row r="2384">
          <cell r="C2384" t="str">
            <v>Brenda Maritza Massó Sierra</v>
          </cell>
          <cell r="E2384" t="str">
            <v>F</v>
          </cell>
          <cell r="F2384" t="str">
            <v>mestiza</v>
          </cell>
          <cell r="K2384" t="str">
            <v>Técnico Medio</v>
          </cell>
          <cell r="L2384" t="str">
            <v>Si</v>
          </cell>
          <cell r="M2384" t="str">
            <v>Estadística de Salud</v>
          </cell>
          <cell r="O2384" t="str">
            <v>Técnico Formado Salud</v>
          </cell>
        </row>
        <row r="2385">
          <cell r="C2385" t="str">
            <v>Ana Esther Sánchez Sabournin</v>
          </cell>
          <cell r="E2385" t="str">
            <v>F</v>
          </cell>
          <cell r="F2385" t="str">
            <v>Negra</v>
          </cell>
          <cell r="K2385" t="str">
            <v>Técnico Superior</v>
          </cell>
          <cell r="L2385" t="str">
            <v>No</v>
          </cell>
          <cell r="O2385" t="str">
            <v>Lic. Enfermería</v>
          </cell>
        </row>
        <row r="2386">
          <cell r="C2386" t="str">
            <v>Arlett Díaz Reyes</v>
          </cell>
          <cell r="E2386" t="str">
            <v>F</v>
          </cell>
          <cell r="F2386" t="str">
            <v>mestiza</v>
          </cell>
          <cell r="K2386" t="str">
            <v>Técnico Superior</v>
          </cell>
          <cell r="L2386" t="str">
            <v>No</v>
          </cell>
          <cell r="O2386" t="str">
            <v>Lic. Enfermería</v>
          </cell>
        </row>
        <row r="2387">
          <cell r="C2387" t="str">
            <v>Dunia Sarmiento Jordan</v>
          </cell>
          <cell r="E2387" t="str">
            <v>F</v>
          </cell>
          <cell r="F2387" t="str">
            <v>mestiza</v>
          </cell>
          <cell r="K2387" t="str">
            <v>Técnico Superior</v>
          </cell>
          <cell r="L2387" t="str">
            <v>No</v>
          </cell>
          <cell r="O2387" t="str">
            <v>Lic. Enfermería</v>
          </cell>
        </row>
        <row r="2388">
          <cell r="C2388" t="str">
            <v>Kenia Torres Ramos</v>
          </cell>
          <cell r="E2388" t="str">
            <v>F</v>
          </cell>
          <cell r="F2388" t="str">
            <v>mestiza</v>
          </cell>
          <cell r="K2388" t="str">
            <v>Técnico Superior</v>
          </cell>
          <cell r="L2388" t="str">
            <v>No</v>
          </cell>
          <cell r="O2388" t="str">
            <v>Lic. Enfermería</v>
          </cell>
        </row>
        <row r="2389">
          <cell r="C2389" t="str">
            <v>Liduska Delis Moraga</v>
          </cell>
          <cell r="E2389" t="str">
            <v>F</v>
          </cell>
          <cell r="F2389" t="str">
            <v>mestiza</v>
          </cell>
          <cell r="K2389" t="str">
            <v>Técnico Superior</v>
          </cell>
          <cell r="L2389" t="str">
            <v>No</v>
          </cell>
          <cell r="O2389" t="str">
            <v>Lic. Enfermería</v>
          </cell>
        </row>
        <row r="2390">
          <cell r="C2390" t="str">
            <v xml:space="preserve">amarelis Nariño de leon </v>
          </cell>
          <cell r="E2390" t="str">
            <v>F</v>
          </cell>
          <cell r="F2390" t="str">
            <v>mestiza</v>
          </cell>
          <cell r="K2390" t="str">
            <v>Cuadro</v>
          </cell>
          <cell r="L2390" t="str">
            <v>Si</v>
          </cell>
          <cell r="O2390" t="str">
            <v>Lic. Enfermería</v>
          </cell>
        </row>
        <row r="2391">
          <cell r="C2391" t="str">
            <v xml:space="preserve">Annia Gonzalez Rodriguez </v>
          </cell>
          <cell r="E2391" t="str">
            <v>F</v>
          </cell>
          <cell r="F2391" t="str">
            <v>mestiza</v>
          </cell>
          <cell r="K2391" t="str">
            <v>Técnico Superior</v>
          </cell>
          <cell r="L2391" t="str">
            <v>Si</v>
          </cell>
          <cell r="O2391" t="str">
            <v>Lic. Enfermería</v>
          </cell>
        </row>
        <row r="2392">
          <cell r="C2392" t="str">
            <v xml:space="preserve">Aracelis Sarmirnto Arce </v>
          </cell>
          <cell r="E2392" t="str">
            <v>F</v>
          </cell>
          <cell r="F2392" t="str">
            <v>mestiza</v>
          </cell>
          <cell r="K2392" t="str">
            <v>Técnico Superior</v>
          </cell>
          <cell r="L2392" t="str">
            <v>Si</v>
          </cell>
          <cell r="O2392" t="str">
            <v>Lic. Enfermería</v>
          </cell>
        </row>
        <row r="2393">
          <cell r="C2393" t="str">
            <v xml:space="preserve">Arturo Reux Despaigne </v>
          </cell>
          <cell r="E2393" t="str">
            <v>M</v>
          </cell>
          <cell r="F2393" t="str">
            <v>negra</v>
          </cell>
          <cell r="K2393" t="str">
            <v>Técnico Superior</v>
          </cell>
          <cell r="L2393" t="str">
            <v>Si</v>
          </cell>
          <cell r="O2393" t="str">
            <v>Lic. Enfermería</v>
          </cell>
        </row>
        <row r="2394">
          <cell r="C2394" t="str">
            <v>Birmania Vaillant Martinez</v>
          </cell>
          <cell r="E2394" t="str">
            <v>F</v>
          </cell>
          <cell r="F2394" t="str">
            <v>negra</v>
          </cell>
          <cell r="K2394" t="str">
            <v>Técnico Superior</v>
          </cell>
          <cell r="L2394" t="str">
            <v>Si</v>
          </cell>
          <cell r="O2394" t="str">
            <v>Lic. Enfermería</v>
          </cell>
        </row>
        <row r="2395">
          <cell r="C2395" t="str">
            <v xml:space="preserve">Caridad Nariño Cuevas </v>
          </cell>
          <cell r="E2395" t="str">
            <v>F</v>
          </cell>
          <cell r="F2395" t="str">
            <v>negra</v>
          </cell>
          <cell r="K2395" t="str">
            <v>Técnico Superior</v>
          </cell>
          <cell r="L2395" t="str">
            <v>Si</v>
          </cell>
          <cell r="O2395" t="str">
            <v>Lic. Enfermería</v>
          </cell>
        </row>
        <row r="2396">
          <cell r="C2396" t="str">
            <v>Caridad Ramirez Arce</v>
          </cell>
          <cell r="E2396" t="str">
            <v>F</v>
          </cell>
          <cell r="F2396" t="str">
            <v>mestiza</v>
          </cell>
          <cell r="K2396" t="str">
            <v>Técnico Superior</v>
          </cell>
          <cell r="L2396" t="str">
            <v>Si</v>
          </cell>
          <cell r="O2396" t="str">
            <v>Lic. Enfermería</v>
          </cell>
        </row>
        <row r="2397">
          <cell r="C2397" t="str">
            <v xml:space="preserve">Carlos Rafael Lusson Cobas </v>
          </cell>
          <cell r="E2397" t="str">
            <v>M</v>
          </cell>
          <cell r="F2397" t="str">
            <v>mestiza</v>
          </cell>
          <cell r="K2397" t="str">
            <v>Técnico Superior</v>
          </cell>
          <cell r="L2397" t="str">
            <v>Si</v>
          </cell>
          <cell r="O2397" t="str">
            <v>Lic. Enfermería</v>
          </cell>
        </row>
        <row r="2398">
          <cell r="C2398" t="str">
            <v>Claudia Barrientos Crespo</v>
          </cell>
          <cell r="E2398" t="str">
            <v>F</v>
          </cell>
          <cell r="F2398" t="str">
            <v>blanca</v>
          </cell>
          <cell r="K2398" t="str">
            <v>Técnico Superior</v>
          </cell>
          <cell r="L2398" t="str">
            <v>Si</v>
          </cell>
          <cell r="O2398" t="str">
            <v>Lic. Enfermería</v>
          </cell>
        </row>
        <row r="2399">
          <cell r="C2399" t="str">
            <v xml:space="preserve">Coralis Montero Del Rio </v>
          </cell>
          <cell r="E2399" t="str">
            <v>F</v>
          </cell>
          <cell r="F2399" t="str">
            <v>negra</v>
          </cell>
          <cell r="K2399" t="str">
            <v>Técnico Superior</v>
          </cell>
          <cell r="L2399" t="str">
            <v>Si</v>
          </cell>
          <cell r="O2399" t="str">
            <v>Lic. Enfermería</v>
          </cell>
        </row>
        <row r="2400">
          <cell r="C2400" t="str">
            <v xml:space="preserve">Dayamis Ge Tellez </v>
          </cell>
          <cell r="E2400" t="str">
            <v>F</v>
          </cell>
          <cell r="F2400" t="str">
            <v>mestiza</v>
          </cell>
          <cell r="K2400" t="str">
            <v>Técnico Superior</v>
          </cell>
          <cell r="L2400" t="str">
            <v>Si</v>
          </cell>
          <cell r="O2400" t="str">
            <v>Lic. Enfermería</v>
          </cell>
        </row>
        <row r="2401">
          <cell r="C2401" t="str">
            <v xml:space="preserve">Dianna Rosa Pardo Cordero </v>
          </cell>
          <cell r="E2401" t="str">
            <v>F</v>
          </cell>
          <cell r="F2401" t="str">
            <v>negra</v>
          </cell>
          <cell r="K2401" t="str">
            <v>Técnico Superior</v>
          </cell>
          <cell r="L2401" t="str">
            <v>Si</v>
          </cell>
          <cell r="O2401" t="str">
            <v>Lic. Enfermería</v>
          </cell>
        </row>
        <row r="2402">
          <cell r="C2402" t="str">
            <v xml:space="preserve">Eudeyis Romero Vargas </v>
          </cell>
          <cell r="E2402" t="str">
            <v>F</v>
          </cell>
          <cell r="F2402" t="str">
            <v>mestiza</v>
          </cell>
          <cell r="K2402" t="str">
            <v>Técnico Superior</v>
          </cell>
          <cell r="L2402" t="str">
            <v>Si</v>
          </cell>
          <cell r="O2402" t="str">
            <v>Lic. Enfermería</v>
          </cell>
        </row>
        <row r="2403">
          <cell r="C2403" t="str">
            <v xml:space="preserve">Gisela Estalella Bell </v>
          </cell>
          <cell r="E2403" t="str">
            <v>M</v>
          </cell>
          <cell r="F2403" t="str">
            <v>negra</v>
          </cell>
          <cell r="K2403" t="str">
            <v>Técnico Superior</v>
          </cell>
          <cell r="L2403" t="str">
            <v>Si</v>
          </cell>
          <cell r="O2403" t="str">
            <v>Lic. Enfermería</v>
          </cell>
        </row>
        <row r="2404">
          <cell r="C2404" t="str">
            <v xml:space="preserve">Haydee Delas Ramirez </v>
          </cell>
          <cell r="E2404" t="str">
            <v>F</v>
          </cell>
          <cell r="F2404" t="str">
            <v>negra</v>
          </cell>
          <cell r="K2404" t="str">
            <v>Técnico Superior</v>
          </cell>
          <cell r="L2404" t="str">
            <v>Si</v>
          </cell>
          <cell r="O2404" t="str">
            <v>Lic. Enfermería</v>
          </cell>
        </row>
        <row r="2405">
          <cell r="C2405" t="str">
            <v xml:space="preserve">Idalsy Fresneda Vega </v>
          </cell>
          <cell r="E2405" t="str">
            <v>F</v>
          </cell>
          <cell r="F2405" t="str">
            <v>blanca</v>
          </cell>
          <cell r="K2405" t="str">
            <v>Técnico Superior</v>
          </cell>
          <cell r="L2405" t="str">
            <v>Si</v>
          </cell>
          <cell r="O2405" t="str">
            <v>Lic. Enfermería</v>
          </cell>
        </row>
        <row r="2406">
          <cell r="C2406" t="str">
            <v xml:space="preserve">Inalvis Ortiz Gracial </v>
          </cell>
          <cell r="E2406" t="str">
            <v>F</v>
          </cell>
          <cell r="F2406" t="str">
            <v>mestiza</v>
          </cell>
          <cell r="K2406" t="str">
            <v>Técnico Superior</v>
          </cell>
          <cell r="L2406" t="str">
            <v>Si</v>
          </cell>
          <cell r="O2406" t="str">
            <v>Lic. Enfermería</v>
          </cell>
        </row>
        <row r="2407">
          <cell r="C2407" t="str">
            <v>Isabel Rodriguez Mesa</v>
          </cell>
          <cell r="E2407" t="str">
            <v>F</v>
          </cell>
          <cell r="F2407" t="str">
            <v>negra</v>
          </cell>
          <cell r="K2407" t="str">
            <v>Técnico Superior</v>
          </cell>
          <cell r="L2407" t="str">
            <v>Si</v>
          </cell>
          <cell r="O2407" t="str">
            <v>Lic. Enfermería</v>
          </cell>
        </row>
        <row r="2408">
          <cell r="C2408" t="str">
            <v xml:space="preserve">LOIDA MELENDEZ MARTINEZ </v>
          </cell>
          <cell r="E2408" t="str">
            <v>F</v>
          </cell>
          <cell r="F2408" t="str">
            <v>negra</v>
          </cell>
          <cell r="K2408" t="str">
            <v>Técnico Superior</v>
          </cell>
          <cell r="L2408" t="str">
            <v>Si</v>
          </cell>
          <cell r="O2408" t="str">
            <v>Lic. Enfermería</v>
          </cell>
        </row>
        <row r="2409">
          <cell r="C2409" t="str">
            <v>Maida Ortiz Pardo</v>
          </cell>
          <cell r="E2409" t="str">
            <v>F</v>
          </cell>
          <cell r="F2409" t="str">
            <v>mestiza</v>
          </cell>
          <cell r="K2409" t="str">
            <v>Técnico Superior</v>
          </cell>
          <cell r="L2409" t="str">
            <v>Si</v>
          </cell>
          <cell r="O2409" t="str">
            <v>Lic. Enfermería</v>
          </cell>
        </row>
        <row r="2410">
          <cell r="C2410" t="str">
            <v>Maidelis Carbajal dominguez</v>
          </cell>
          <cell r="E2410" t="str">
            <v>F</v>
          </cell>
          <cell r="F2410" t="str">
            <v>mestiza</v>
          </cell>
          <cell r="K2410" t="str">
            <v>Técnico Superior</v>
          </cell>
          <cell r="L2410" t="str">
            <v>Si</v>
          </cell>
          <cell r="O2410" t="str">
            <v>Lic. Enfermería</v>
          </cell>
        </row>
        <row r="2411">
          <cell r="C2411" t="str">
            <v xml:space="preserve">Mairelvys Moreno Rodriguez </v>
          </cell>
          <cell r="E2411" t="str">
            <v>F</v>
          </cell>
          <cell r="F2411" t="str">
            <v>blanca</v>
          </cell>
          <cell r="K2411" t="str">
            <v>Técnico Superior</v>
          </cell>
          <cell r="L2411" t="str">
            <v>Si</v>
          </cell>
          <cell r="O2411" t="str">
            <v>Lic. Enfermería</v>
          </cell>
        </row>
        <row r="2412">
          <cell r="C2412" t="str">
            <v xml:space="preserve">Marbelis De La Caridad Hernendez Cobas </v>
          </cell>
          <cell r="E2412" t="str">
            <v>F</v>
          </cell>
          <cell r="F2412" t="str">
            <v>mestiza</v>
          </cell>
          <cell r="K2412" t="str">
            <v>Técnico Superior</v>
          </cell>
          <cell r="L2412" t="str">
            <v>Si</v>
          </cell>
          <cell r="O2412" t="str">
            <v>Lic. Enfermería</v>
          </cell>
        </row>
        <row r="2413">
          <cell r="C2413" t="str">
            <v>Maria Caridad Ferrer Mustelier</v>
          </cell>
          <cell r="E2413" t="str">
            <v>F</v>
          </cell>
          <cell r="F2413" t="str">
            <v>negra</v>
          </cell>
          <cell r="K2413" t="str">
            <v>Técnico Superior</v>
          </cell>
          <cell r="L2413" t="str">
            <v>Si</v>
          </cell>
          <cell r="O2413" t="str">
            <v>Lic. Enfermería</v>
          </cell>
        </row>
        <row r="2414">
          <cell r="C2414" t="str">
            <v xml:space="preserve">Maria Teresa Gonzalez Muñoz </v>
          </cell>
          <cell r="E2414" t="str">
            <v>F</v>
          </cell>
          <cell r="F2414" t="str">
            <v>mestiza</v>
          </cell>
          <cell r="K2414" t="str">
            <v>Técnico Superior</v>
          </cell>
          <cell r="L2414" t="str">
            <v>Si</v>
          </cell>
          <cell r="O2414" t="str">
            <v>Lic. Enfermería</v>
          </cell>
        </row>
        <row r="2415">
          <cell r="C2415" t="str">
            <v xml:space="preserve">Mariana Crombet Menendez </v>
          </cell>
          <cell r="E2415" t="str">
            <v>F</v>
          </cell>
          <cell r="F2415" t="str">
            <v>mestiza</v>
          </cell>
          <cell r="K2415" t="str">
            <v>Técnico Superior</v>
          </cell>
          <cell r="L2415" t="str">
            <v>Si</v>
          </cell>
          <cell r="O2415" t="str">
            <v>Lic. Enfermería</v>
          </cell>
        </row>
        <row r="2416">
          <cell r="C2416" t="str">
            <v xml:space="preserve">Marilin Bueno Ferrer </v>
          </cell>
          <cell r="E2416" t="str">
            <v>F</v>
          </cell>
          <cell r="F2416" t="str">
            <v>mestiza</v>
          </cell>
          <cell r="K2416" t="str">
            <v>Técnico Superior</v>
          </cell>
          <cell r="L2416" t="str">
            <v>Si</v>
          </cell>
          <cell r="O2416" t="str">
            <v>Lic. Enfermería</v>
          </cell>
        </row>
        <row r="2417">
          <cell r="C2417" t="str">
            <v xml:space="preserve">Melaine Sanchez Alvarez </v>
          </cell>
          <cell r="E2417" t="str">
            <v>F</v>
          </cell>
          <cell r="F2417" t="str">
            <v>mestiza</v>
          </cell>
          <cell r="K2417" t="str">
            <v>Técnico Superior</v>
          </cell>
          <cell r="L2417" t="str">
            <v>Si</v>
          </cell>
          <cell r="O2417" t="str">
            <v>Lic. Enfermería</v>
          </cell>
        </row>
        <row r="2418">
          <cell r="C2418" t="str">
            <v xml:space="preserve">Mileidis Castellanos Pereira </v>
          </cell>
          <cell r="E2418" t="str">
            <v>F</v>
          </cell>
          <cell r="F2418" t="str">
            <v>mestiza</v>
          </cell>
          <cell r="K2418" t="str">
            <v>Técnico Superior</v>
          </cell>
          <cell r="L2418" t="str">
            <v>Si</v>
          </cell>
          <cell r="O2418" t="str">
            <v>Lic. Enfermería</v>
          </cell>
        </row>
        <row r="2419">
          <cell r="C2419" t="str">
            <v xml:space="preserve">Naclys Arencibia Orozco </v>
          </cell>
          <cell r="E2419" t="str">
            <v>F</v>
          </cell>
          <cell r="F2419" t="str">
            <v>blanca</v>
          </cell>
          <cell r="K2419" t="str">
            <v>Técnico Superior</v>
          </cell>
          <cell r="L2419" t="str">
            <v>Si</v>
          </cell>
          <cell r="O2419" t="str">
            <v>Lic. Enfermería</v>
          </cell>
        </row>
        <row r="2420">
          <cell r="C2420" t="str">
            <v xml:space="preserve">Niubis Reyes Carrión </v>
          </cell>
          <cell r="E2420" t="str">
            <v>F</v>
          </cell>
          <cell r="F2420" t="str">
            <v>negra</v>
          </cell>
          <cell r="K2420" t="str">
            <v>Técnico Superior</v>
          </cell>
          <cell r="L2420" t="str">
            <v>Si</v>
          </cell>
          <cell r="O2420" t="str">
            <v>Lic. Enfermería</v>
          </cell>
        </row>
        <row r="2421">
          <cell r="C2421" t="str">
            <v>Niurka Despaigne Caballero</v>
          </cell>
          <cell r="E2421" t="str">
            <v>F</v>
          </cell>
          <cell r="F2421" t="str">
            <v>negra</v>
          </cell>
          <cell r="K2421" t="str">
            <v>Técnico Superior</v>
          </cell>
          <cell r="L2421" t="str">
            <v>Si</v>
          </cell>
          <cell r="O2421" t="str">
            <v>Lic. Enfermería</v>
          </cell>
        </row>
        <row r="2422">
          <cell r="C2422" t="str">
            <v xml:space="preserve">Nuri Escudero Matamoros </v>
          </cell>
          <cell r="E2422" t="str">
            <v>F</v>
          </cell>
          <cell r="F2422" t="str">
            <v>blanca</v>
          </cell>
          <cell r="K2422" t="str">
            <v>Técnico Superior</v>
          </cell>
          <cell r="L2422" t="str">
            <v>Si</v>
          </cell>
          <cell r="O2422" t="str">
            <v>Lic. Enfermería</v>
          </cell>
        </row>
        <row r="2423">
          <cell r="C2423" t="str">
            <v xml:space="preserve">Odalys Tumbarell Nohay </v>
          </cell>
          <cell r="E2423" t="str">
            <v>F</v>
          </cell>
          <cell r="F2423" t="str">
            <v>negra</v>
          </cell>
          <cell r="K2423" t="str">
            <v>Técnico Superior</v>
          </cell>
          <cell r="L2423" t="str">
            <v>Si</v>
          </cell>
          <cell r="O2423" t="str">
            <v>Lic. Enfermería</v>
          </cell>
        </row>
        <row r="2424">
          <cell r="C2424" t="str">
            <v>Raiza Heredia Villalon</v>
          </cell>
          <cell r="E2424" t="str">
            <v>F</v>
          </cell>
          <cell r="F2424" t="str">
            <v>blanca</v>
          </cell>
          <cell r="K2424" t="str">
            <v>Técnico Superior</v>
          </cell>
          <cell r="L2424" t="str">
            <v>Si</v>
          </cell>
          <cell r="O2424" t="str">
            <v>Lic. Enfermería</v>
          </cell>
        </row>
        <row r="2425">
          <cell r="C2425" t="str">
            <v xml:space="preserve">Sorania Aroche D Armas </v>
          </cell>
          <cell r="E2425" t="str">
            <v>F</v>
          </cell>
          <cell r="F2425" t="str">
            <v>mestiza</v>
          </cell>
          <cell r="K2425" t="str">
            <v>Técnico Superior</v>
          </cell>
          <cell r="L2425" t="str">
            <v>Si</v>
          </cell>
          <cell r="O2425" t="str">
            <v>Lic. Enfermería</v>
          </cell>
        </row>
        <row r="2426">
          <cell r="C2426" t="str">
            <v>Amarilis Gutierrez Gorguet</v>
          </cell>
          <cell r="E2426" t="str">
            <v>F</v>
          </cell>
          <cell r="F2426" t="str">
            <v>negra</v>
          </cell>
          <cell r="K2426" t="str">
            <v>Técnico Superior</v>
          </cell>
          <cell r="L2426" t="str">
            <v>Si</v>
          </cell>
          <cell r="O2426" t="str">
            <v>Lic. Enfermería</v>
          </cell>
        </row>
        <row r="2427">
          <cell r="C2427" t="str">
            <v>YAMIRA CARRION SANCHEZ</v>
          </cell>
          <cell r="E2427" t="str">
            <v>F</v>
          </cell>
          <cell r="F2427" t="str">
            <v>negra</v>
          </cell>
          <cell r="K2427" t="str">
            <v>Técnico Superior</v>
          </cell>
          <cell r="L2427" t="str">
            <v>Si</v>
          </cell>
          <cell r="O2427" t="str">
            <v>Lic. Enfermería</v>
          </cell>
        </row>
        <row r="2428">
          <cell r="C2428" t="str">
            <v>Yamisel Castillo Calderin</v>
          </cell>
          <cell r="E2428" t="str">
            <v>F</v>
          </cell>
          <cell r="F2428" t="str">
            <v>negra</v>
          </cell>
          <cell r="K2428" t="str">
            <v>Técnico Superior</v>
          </cell>
          <cell r="L2428" t="str">
            <v>Si</v>
          </cell>
          <cell r="O2428" t="str">
            <v>Lic. Enfermería</v>
          </cell>
        </row>
        <row r="2429">
          <cell r="C2429" t="str">
            <v xml:space="preserve">Yamnis Ramirez Rodriguez </v>
          </cell>
          <cell r="E2429" t="str">
            <v>F</v>
          </cell>
          <cell r="F2429" t="str">
            <v>mestiza</v>
          </cell>
          <cell r="K2429" t="str">
            <v>Técnico Superior</v>
          </cell>
          <cell r="L2429" t="str">
            <v>Si</v>
          </cell>
          <cell r="O2429" t="str">
            <v>Lic. Enfermería</v>
          </cell>
        </row>
        <row r="2430">
          <cell r="C2430" t="str">
            <v xml:space="preserve">Yanelis Lamontaña Alvarez </v>
          </cell>
          <cell r="E2430" t="str">
            <v>F</v>
          </cell>
          <cell r="F2430" t="str">
            <v>mestiza</v>
          </cell>
          <cell r="K2430" t="str">
            <v>Técnico Superior</v>
          </cell>
          <cell r="L2430" t="str">
            <v>Si</v>
          </cell>
          <cell r="O2430" t="str">
            <v>Lic. Enfermería</v>
          </cell>
        </row>
        <row r="2431">
          <cell r="C2431" t="str">
            <v xml:space="preserve">Yanet Ortíz Cumba </v>
          </cell>
          <cell r="E2431" t="str">
            <v>F</v>
          </cell>
          <cell r="F2431" t="str">
            <v>blanca</v>
          </cell>
          <cell r="K2431" t="str">
            <v>Técnico Superior</v>
          </cell>
          <cell r="L2431" t="str">
            <v>Si</v>
          </cell>
          <cell r="O2431" t="str">
            <v>Lic. Enfermería</v>
          </cell>
        </row>
        <row r="2432">
          <cell r="C2432" t="str">
            <v xml:space="preserve">Yudelaine Lacoste Ricardo </v>
          </cell>
          <cell r="E2432" t="str">
            <v>F</v>
          </cell>
          <cell r="F2432" t="str">
            <v>mestiza</v>
          </cell>
          <cell r="K2432" t="str">
            <v>Técnico Superior</v>
          </cell>
          <cell r="L2432" t="str">
            <v>Si</v>
          </cell>
          <cell r="O2432" t="str">
            <v>Lic. Enfermería</v>
          </cell>
        </row>
        <row r="2433">
          <cell r="C2433" t="str">
            <v>Yuneisi Barrientos Salomón</v>
          </cell>
          <cell r="E2433" t="str">
            <v>F</v>
          </cell>
          <cell r="F2433" t="str">
            <v>negra</v>
          </cell>
          <cell r="K2433" t="str">
            <v>Técnico Superior</v>
          </cell>
          <cell r="L2433" t="str">
            <v>Si</v>
          </cell>
          <cell r="O2433" t="str">
            <v>Lic. Enfermería</v>
          </cell>
        </row>
        <row r="2434">
          <cell r="C2434" t="str">
            <v xml:space="preserve">Yurinelki Cobas García </v>
          </cell>
          <cell r="E2434" t="str">
            <v>F</v>
          </cell>
          <cell r="F2434" t="str">
            <v>mestiza</v>
          </cell>
          <cell r="K2434" t="str">
            <v>Técnico Superior</v>
          </cell>
          <cell r="L2434" t="str">
            <v>Si</v>
          </cell>
          <cell r="O2434" t="str">
            <v>Lic. Enfermería</v>
          </cell>
        </row>
        <row r="2435">
          <cell r="C2435" t="str">
            <v xml:space="preserve">Yusimi Isaac Ramirez </v>
          </cell>
          <cell r="E2435" t="str">
            <v>F</v>
          </cell>
          <cell r="F2435" t="str">
            <v>mestiza</v>
          </cell>
          <cell r="K2435" t="str">
            <v>Técnico Superior</v>
          </cell>
          <cell r="L2435" t="str">
            <v>Si</v>
          </cell>
          <cell r="O2435" t="str">
            <v>Lic. Enfermería</v>
          </cell>
        </row>
        <row r="2436">
          <cell r="C2436" t="str">
            <v>Yucleris Téllez Salas</v>
          </cell>
          <cell r="E2436" t="str">
            <v>F</v>
          </cell>
          <cell r="F2436" t="str">
            <v>mestiza</v>
          </cell>
          <cell r="K2436" t="str">
            <v>Técnico Superior</v>
          </cell>
          <cell r="L2436" t="str">
            <v>No</v>
          </cell>
          <cell r="O2436" t="str">
            <v>Lic. Enfermería</v>
          </cell>
        </row>
        <row r="2437">
          <cell r="C2437" t="str">
            <v>Yilian Asin Bueno</v>
          </cell>
          <cell r="E2437" t="str">
            <v>F</v>
          </cell>
          <cell r="F2437" t="str">
            <v>blanca</v>
          </cell>
          <cell r="K2437" t="str">
            <v>Técnico Superior</v>
          </cell>
          <cell r="L2437" t="str">
            <v>No</v>
          </cell>
          <cell r="O2437" t="str">
            <v>Lic. Enfermería</v>
          </cell>
        </row>
        <row r="2438">
          <cell r="C2438" t="str">
            <v>Adis Margarita Martinez Lorez</v>
          </cell>
          <cell r="E2438" t="str">
            <v>F</v>
          </cell>
          <cell r="F2438" t="str">
            <v>mestiza</v>
          </cell>
          <cell r="K2438" t="str">
            <v>Técnico Medio</v>
          </cell>
          <cell r="L2438" t="str">
            <v>Si</v>
          </cell>
          <cell r="O2438" t="str">
            <v>Otros No Técnicos</v>
          </cell>
        </row>
        <row r="2439">
          <cell r="C2439" t="str">
            <v>ADOLFO PARADA ROMERO</v>
          </cell>
          <cell r="E2439" t="str">
            <v>M</v>
          </cell>
          <cell r="F2439" t="str">
            <v>mestiza</v>
          </cell>
          <cell r="K2439" t="str">
            <v>Servicio</v>
          </cell>
          <cell r="L2439" t="str">
            <v>Si</v>
          </cell>
          <cell r="O2439" t="str">
            <v>Otros No Técnicos</v>
          </cell>
        </row>
        <row r="2440">
          <cell r="C2440" t="str">
            <v>Adriana Bell Ferrera</v>
          </cell>
          <cell r="E2440" t="str">
            <v>F</v>
          </cell>
          <cell r="F2440" t="str">
            <v>negra</v>
          </cell>
          <cell r="K2440" t="str">
            <v>Servicio</v>
          </cell>
          <cell r="L2440" t="str">
            <v>Si</v>
          </cell>
          <cell r="O2440" t="str">
            <v>Otros No Técnicos</v>
          </cell>
        </row>
        <row r="2441">
          <cell r="C2441" t="str">
            <v xml:space="preserve">ALEXIS ORTIZ CALZADO </v>
          </cell>
          <cell r="E2441" t="str">
            <v>M</v>
          </cell>
          <cell r="F2441" t="str">
            <v>blanca</v>
          </cell>
          <cell r="K2441" t="str">
            <v>Operario</v>
          </cell>
          <cell r="L2441" t="str">
            <v>Si</v>
          </cell>
          <cell r="O2441" t="str">
            <v>Otros No Técnicos</v>
          </cell>
        </row>
        <row r="2442">
          <cell r="C2442" t="str">
            <v xml:space="preserve">ALFREDO FORMESA DELIS </v>
          </cell>
          <cell r="E2442" t="str">
            <v>M</v>
          </cell>
          <cell r="F2442" t="str">
            <v>mestiza</v>
          </cell>
          <cell r="K2442" t="str">
            <v>Operario</v>
          </cell>
          <cell r="L2442" t="str">
            <v>Si</v>
          </cell>
          <cell r="O2442" t="str">
            <v>Otros No Técnicos</v>
          </cell>
        </row>
        <row r="2443">
          <cell r="C2443" t="str">
            <v>Alfredo Hechavarría Sagarra</v>
          </cell>
          <cell r="E2443" t="str">
            <v>M</v>
          </cell>
          <cell r="F2443" t="str">
            <v>negra</v>
          </cell>
          <cell r="K2443" t="str">
            <v>Operario</v>
          </cell>
          <cell r="L2443" t="str">
            <v>Si</v>
          </cell>
          <cell r="O2443" t="str">
            <v>Otros No Técnicos</v>
          </cell>
        </row>
        <row r="2444">
          <cell r="C2444" t="str">
            <v>Amarilis tomas sablon</v>
          </cell>
          <cell r="E2444" t="str">
            <v>F</v>
          </cell>
          <cell r="F2444" t="str">
            <v>mestiza</v>
          </cell>
          <cell r="K2444" t="str">
            <v>Servicio</v>
          </cell>
          <cell r="L2444" t="str">
            <v>Si</v>
          </cell>
          <cell r="O2444" t="str">
            <v>Otros No Técnicos</v>
          </cell>
        </row>
        <row r="2445">
          <cell r="C2445" t="str">
            <v>Ana Cecilia  Correoso Quiala</v>
          </cell>
          <cell r="E2445" t="str">
            <v>F</v>
          </cell>
          <cell r="F2445" t="str">
            <v>negra</v>
          </cell>
          <cell r="K2445" t="str">
            <v>Servicio</v>
          </cell>
          <cell r="L2445" t="str">
            <v>Si</v>
          </cell>
          <cell r="O2445" t="str">
            <v>Otros No Técnicos</v>
          </cell>
        </row>
        <row r="2446">
          <cell r="C2446" t="str">
            <v>Ana Gladys Laugart Nuñez</v>
          </cell>
          <cell r="E2446" t="str">
            <v>F</v>
          </cell>
          <cell r="F2446" t="str">
            <v>negra</v>
          </cell>
          <cell r="K2446" t="str">
            <v>Servicio</v>
          </cell>
          <cell r="L2446" t="str">
            <v>Si</v>
          </cell>
          <cell r="O2446" t="str">
            <v>Otros No Técnicos</v>
          </cell>
        </row>
        <row r="2447">
          <cell r="C2447" t="str">
            <v>Ana Ibis Cuello Labrada</v>
          </cell>
          <cell r="E2447" t="str">
            <v>F</v>
          </cell>
          <cell r="F2447" t="str">
            <v>mestiza</v>
          </cell>
          <cell r="K2447" t="str">
            <v>Servicio</v>
          </cell>
          <cell r="L2447" t="str">
            <v>Si</v>
          </cell>
          <cell r="O2447" t="str">
            <v>Otros No Técnicos</v>
          </cell>
        </row>
        <row r="2448">
          <cell r="C2448" t="str">
            <v>Ana Julia Fernandez Ochoa</v>
          </cell>
          <cell r="E2448" t="str">
            <v>F</v>
          </cell>
          <cell r="F2448" t="str">
            <v>mestiza</v>
          </cell>
          <cell r="K2448" t="str">
            <v>Servicio</v>
          </cell>
          <cell r="L2448" t="str">
            <v>Si</v>
          </cell>
          <cell r="O2448" t="str">
            <v>Otros No Técnicos</v>
          </cell>
        </row>
        <row r="2449">
          <cell r="C2449" t="str">
            <v xml:space="preserve">Ana Maria Coureaux Martínez </v>
          </cell>
          <cell r="E2449" t="str">
            <v>F</v>
          </cell>
          <cell r="F2449" t="str">
            <v>negra</v>
          </cell>
          <cell r="K2449" t="str">
            <v>Operario</v>
          </cell>
          <cell r="L2449" t="str">
            <v>Si</v>
          </cell>
          <cell r="O2449" t="str">
            <v>Otros No Técnicos</v>
          </cell>
        </row>
        <row r="2450">
          <cell r="C2450" t="str">
            <v>Ana Mirian heredia modey</v>
          </cell>
          <cell r="E2450" t="str">
            <v>F</v>
          </cell>
          <cell r="F2450" t="str">
            <v>negra</v>
          </cell>
          <cell r="K2450" t="str">
            <v>Servicio</v>
          </cell>
          <cell r="L2450" t="str">
            <v>Si</v>
          </cell>
          <cell r="O2450" t="str">
            <v>Otros No Técnicos</v>
          </cell>
        </row>
        <row r="2451">
          <cell r="C2451" t="str">
            <v>Anisley Zalazar Arzuaga</v>
          </cell>
          <cell r="E2451" t="str">
            <v>F</v>
          </cell>
          <cell r="F2451" t="str">
            <v>mestiza</v>
          </cell>
          <cell r="K2451" t="str">
            <v>Operario</v>
          </cell>
          <cell r="L2451" t="str">
            <v>Si</v>
          </cell>
          <cell r="O2451" t="str">
            <v>Otros No Técnicos</v>
          </cell>
        </row>
        <row r="2452">
          <cell r="C2452" t="str">
            <v>Arquimedes De Leon Fernandez</v>
          </cell>
          <cell r="E2452" t="str">
            <v>M</v>
          </cell>
          <cell r="F2452" t="str">
            <v>negra</v>
          </cell>
          <cell r="K2452" t="str">
            <v>Servicio</v>
          </cell>
          <cell r="L2452" t="str">
            <v>Si</v>
          </cell>
          <cell r="O2452" t="str">
            <v>Otros No Técnicos</v>
          </cell>
        </row>
        <row r="2453">
          <cell r="C2453" t="str">
            <v>Arquimedes Regeiferos Carrión</v>
          </cell>
          <cell r="E2453" t="str">
            <v>M</v>
          </cell>
          <cell r="F2453" t="str">
            <v>mestiza</v>
          </cell>
          <cell r="K2453" t="str">
            <v>Servicio</v>
          </cell>
          <cell r="L2453" t="str">
            <v>Si</v>
          </cell>
          <cell r="O2453" t="str">
            <v>Otros No Técnicos</v>
          </cell>
        </row>
        <row r="2454">
          <cell r="C2454" t="str">
            <v>Carlos Argote Salazar</v>
          </cell>
          <cell r="E2454" t="str">
            <v>M</v>
          </cell>
          <cell r="F2454" t="str">
            <v>mestiza</v>
          </cell>
          <cell r="K2454" t="str">
            <v>Servicio</v>
          </cell>
          <cell r="L2454" t="str">
            <v>Si</v>
          </cell>
          <cell r="O2454" t="str">
            <v>Otros No Técnicos</v>
          </cell>
        </row>
        <row r="2455">
          <cell r="C2455" t="str">
            <v>Carmen  Valenciano Mustelier</v>
          </cell>
          <cell r="E2455" t="str">
            <v>F</v>
          </cell>
          <cell r="F2455" t="str">
            <v>mestiza</v>
          </cell>
          <cell r="K2455" t="str">
            <v>Servicio</v>
          </cell>
          <cell r="L2455" t="str">
            <v>Si</v>
          </cell>
          <cell r="O2455" t="str">
            <v>Otros No Técnicos</v>
          </cell>
        </row>
        <row r="2456">
          <cell r="C2456" t="str">
            <v>CONSUELO SALAZAR MARTINEZ</v>
          </cell>
          <cell r="E2456" t="str">
            <v>F</v>
          </cell>
          <cell r="F2456" t="str">
            <v>negra</v>
          </cell>
          <cell r="K2456" t="str">
            <v>Servicio</v>
          </cell>
          <cell r="L2456" t="str">
            <v>Si</v>
          </cell>
          <cell r="O2456" t="str">
            <v>Otros No Técnicos</v>
          </cell>
        </row>
        <row r="2457">
          <cell r="C2457" t="str">
            <v>Damaris Cumbá Tellez</v>
          </cell>
          <cell r="E2457" t="str">
            <v>F</v>
          </cell>
          <cell r="F2457" t="str">
            <v>mestiza</v>
          </cell>
          <cell r="K2457" t="str">
            <v>Administrativo</v>
          </cell>
          <cell r="L2457" t="str">
            <v>Si</v>
          </cell>
          <cell r="O2457" t="str">
            <v>Otros No Técnicos</v>
          </cell>
        </row>
        <row r="2458">
          <cell r="C2458" t="str">
            <v>Damaris Rodriguez Fernandez</v>
          </cell>
          <cell r="E2458" t="str">
            <v>F</v>
          </cell>
          <cell r="F2458" t="str">
            <v>negra</v>
          </cell>
          <cell r="K2458" t="str">
            <v>Servicio</v>
          </cell>
          <cell r="L2458" t="str">
            <v>Si</v>
          </cell>
          <cell r="O2458" t="str">
            <v>Otros No Técnicos</v>
          </cell>
        </row>
        <row r="2459">
          <cell r="C2459" t="str">
            <v>Danis Castillo  Donatien</v>
          </cell>
          <cell r="E2459" t="str">
            <v>F</v>
          </cell>
          <cell r="F2459" t="str">
            <v>negra</v>
          </cell>
          <cell r="K2459" t="str">
            <v>Operario</v>
          </cell>
          <cell r="L2459" t="str">
            <v>Si</v>
          </cell>
          <cell r="O2459" t="str">
            <v>Otros No Técnicos</v>
          </cell>
        </row>
        <row r="2460">
          <cell r="C2460" t="str">
            <v xml:space="preserve">Denis Ortiz Ortiz </v>
          </cell>
          <cell r="E2460" t="str">
            <v>M</v>
          </cell>
          <cell r="F2460" t="str">
            <v>blanca</v>
          </cell>
          <cell r="K2460" t="str">
            <v>Operario</v>
          </cell>
          <cell r="L2460" t="str">
            <v>Si</v>
          </cell>
          <cell r="O2460" t="str">
            <v>Otros No Técnicos</v>
          </cell>
        </row>
        <row r="2461">
          <cell r="C2461" t="str">
            <v>Deysi Calunga Reyes</v>
          </cell>
          <cell r="E2461" t="str">
            <v>F</v>
          </cell>
          <cell r="F2461" t="str">
            <v>mestiza</v>
          </cell>
          <cell r="K2461" t="str">
            <v>Servicio</v>
          </cell>
          <cell r="L2461" t="str">
            <v>Si</v>
          </cell>
          <cell r="O2461" t="str">
            <v>Otros No Técnicos</v>
          </cell>
        </row>
        <row r="2462">
          <cell r="C2462" t="str">
            <v>Edilberto Bosch Bustamante</v>
          </cell>
          <cell r="E2462" t="str">
            <v>M</v>
          </cell>
          <cell r="F2462" t="str">
            <v>mestiza</v>
          </cell>
          <cell r="K2462" t="str">
            <v>Operario</v>
          </cell>
          <cell r="L2462" t="str">
            <v>Si</v>
          </cell>
          <cell r="O2462" t="str">
            <v>Otros No Técnicos</v>
          </cell>
        </row>
        <row r="2463">
          <cell r="C2463" t="str">
            <v>Eduardo Antonio Santana Serrano</v>
          </cell>
          <cell r="E2463" t="str">
            <v>M</v>
          </cell>
          <cell r="F2463" t="str">
            <v>mestiza</v>
          </cell>
          <cell r="K2463" t="str">
            <v>Operario</v>
          </cell>
          <cell r="L2463" t="str">
            <v>Si</v>
          </cell>
          <cell r="O2463" t="str">
            <v>Otros No Técnicos</v>
          </cell>
        </row>
        <row r="2464">
          <cell r="C2464" t="str">
            <v>Eduardo Jimenez Ortiz</v>
          </cell>
          <cell r="E2464" t="str">
            <v>M</v>
          </cell>
          <cell r="F2464" t="str">
            <v>mestiza</v>
          </cell>
          <cell r="K2464" t="str">
            <v>Operario</v>
          </cell>
          <cell r="L2464" t="str">
            <v>Si</v>
          </cell>
          <cell r="O2464" t="str">
            <v>Otros No Técnicos</v>
          </cell>
        </row>
        <row r="2465">
          <cell r="C2465" t="str">
            <v>Eduardo Montoya Casas</v>
          </cell>
          <cell r="E2465" t="str">
            <v>M</v>
          </cell>
          <cell r="F2465" t="str">
            <v>mestiza</v>
          </cell>
          <cell r="K2465" t="str">
            <v>Servicio</v>
          </cell>
          <cell r="L2465" t="str">
            <v>Si</v>
          </cell>
          <cell r="O2465" t="str">
            <v>Otros No Técnicos</v>
          </cell>
        </row>
        <row r="2466">
          <cell r="C2466" t="str">
            <v>Eliades Jain Laurencio</v>
          </cell>
          <cell r="E2466" t="str">
            <v>M</v>
          </cell>
          <cell r="F2466" t="str">
            <v>mestiza</v>
          </cell>
          <cell r="K2466" t="str">
            <v>Servicio</v>
          </cell>
          <cell r="L2466" t="str">
            <v>Si</v>
          </cell>
          <cell r="O2466" t="str">
            <v>Otros No Técnicos</v>
          </cell>
        </row>
        <row r="2467">
          <cell r="C2467" t="str">
            <v>Elizabeht Montero Ochoa</v>
          </cell>
          <cell r="E2467" t="str">
            <v>F</v>
          </cell>
          <cell r="F2467" t="str">
            <v>blanca</v>
          </cell>
          <cell r="K2467" t="str">
            <v>Administrativo</v>
          </cell>
          <cell r="L2467" t="str">
            <v>Si</v>
          </cell>
          <cell r="O2467" t="str">
            <v>Otros No Técnicos</v>
          </cell>
        </row>
        <row r="2468">
          <cell r="C2468" t="str">
            <v>Elizabet Leonela Román  Guerra</v>
          </cell>
          <cell r="E2468" t="str">
            <v>F</v>
          </cell>
          <cell r="F2468" t="str">
            <v>blanca</v>
          </cell>
          <cell r="K2468" t="str">
            <v>Operario</v>
          </cell>
          <cell r="L2468" t="str">
            <v>Si</v>
          </cell>
          <cell r="O2468" t="str">
            <v>Otros No Técnicos</v>
          </cell>
        </row>
        <row r="2469">
          <cell r="C2469" t="str">
            <v>Elizabeth alvarez suarez</v>
          </cell>
          <cell r="E2469" t="str">
            <v>F</v>
          </cell>
          <cell r="F2469" t="str">
            <v>mestiza</v>
          </cell>
          <cell r="K2469" t="str">
            <v>Operario</v>
          </cell>
          <cell r="L2469" t="str">
            <v>Si</v>
          </cell>
          <cell r="O2469" t="str">
            <v>Otros No Técnicos</v>
          </cell>
        </row>
        <row r="2470">
          <cell r="C2470" t="str">
            <v>Enerolisa Delás Magdariaga</v>
          </cell>
          <cell r="E2470" t="str">
            <v>F</v>
          </cell>
          <cell r="F2470" t="str">
            <v>mestiza</v>
          </cell>
          <cell r="K2470" t="str">
            <v>Servicio</v>
          </cell>
          <cell r="L2470" t="str">
            <v>Si</v>
          </cell>
          <cell r="O2470" t="str">
            <v>Otros No Técnicos</v>
          </cell>
        </row>
        <row r="2471">
          <cell r="C2471" t="str">
            <v>Eriberto Castillo Padilla</v>
          </cell>
          <cell r="E2471" t="str">
            <v>M</v>
          </cell>
          <cell r="F2471" t="str">
            <v>mestiza</v>
          </cell>
          <cell r="K2471" t="str">
            <v>Operario</v>
          </cell>
          <cell r="L2471" t="str">
            <v>Si</v>
          </cell>
          <cell r="O2471" t="str">
            <v>Otros No Técnicos</v>
          </cell>
        </row>
        <row r="2472">
          <cell r="C2472" t="str">
            <v>Erik Baute Sanchez</v>
          </cell>
          <cell r="E2472" t="str">
            <v>M</v>
          </cell>
          <cell r="F2472" t="str">
            <v>negra</v>
          </cell>
          <cell r="K2472" t="str">
            <v>Operario</v>
          </cell>
          <cell r="L2472" t="str">
            <v>Si</v>
          </cell>
          <cell r="O2472" t="str">
            <v>Otros No Técnicos</v>
          </cell>
        </row>
        <row r="2473">
          <cell r="C2473" t="str">
            <v>Erik Lien Pérez Chi</v>
          </cell>
          <cell r="E2473" t="str">
            <v>M</v>
          </cell>
          <cell r="F2473" t="str">
            <v>mestiza</v>
          </cell>
          <cell r="K2473" t="str">
            <v>Operario</v>
          </cell>
          <cell r="L2473" t="str">
            <v>Si</v>
          </cell>
          <cell r="O2473" t="str">
            <v>Otros No Técnicos</v>
          </cell>
        </row>
        <row r="2474">
          <cell r="C2474" t="str">
            <v xml:space="preserve">Ernesto Leon Acosta </v>
          </cell>
          <cell r="E2474" t="str">
            <v>M</v>
          </cell>
          <cell r="F2474" t="str">
            <v>mestiza</v>
          </cell>
          <cell r="K2474" t="str">
            <v>Operario</v>
          </cell>
          <cell r="L2474" t="str">
            <v>Si</v>
          </cell>
          <cell r="O2474" t="str">
            <v>Otros No Técnicos</v>
          </cell>
        </row>
        <row r="2475">
          <cell r="C2475" t="str">
            <v>Esmerido Castañeda Oriz</v>
          </cell>
          <cell r="E2475" t="str">
            <v>M</v>
          </cell>
          <cell r="F2475" t="str">
            <v>negra</v>
          </cell>
          <cell r="K2475" t="str">
            <v>Servicio</v>
          </cell>
          <cell r="L2475" t="str">
            <v>Si</v>
          </cell>
          <cell r="O2475" t="str">
            <v>Otros No Técnicos</v>
          </cell>
        </row>
        <row r="2476">
          <cell r="C2476" t="str">
            <v>Esperanza Leyva  Salazar</v>
          </cell>
          <cell r="E2476" t="str">
            <v>F</v>
          </cell>
          <cell r="F2476" t="str">
            <v>negra</v>
          </cell>
          <cell r="K2476" t="str">
            <v>Operario</v>
          </cell>
          <cell r="L2476" t="str">
            <v>Si</v>
          </cell>
          <cell r="O2476" t="str">
            <v>Otros No Técnicos</v>
          </cell>
        </row>
        <row r="2477">
          <cell r="C2477" t="str">
            <v xml:space="preserve">EUGENIO ANTONIO QUEVEDO OÑATE </v>
          </cell>
          <cell r="E2477" t="str">
            <v>M</v>
          </cell>
          <cell r="F2477" t="str">
            <v>mestiza</v>
          </cell>
          <cell r="K2477" t="str">
            <v>Operario</v>
          </cell>
          <cell r="L2477" t="str">
            <v>Si</v>
          </cell>
          <cell r="O2477" t="str">
            <v>Otros No Técnicos</v>
          </cell>
        </row>
        <row r="2478">
          <cell r="C2478" t="str">
            <v>FERNANDO MUSTELIER CARABALLO</v>
          </cell>
          <cell r="E2478" t="str">
            <v>M</v>
          </cell>
          <cell r="F2478" t="str">
            <v>negra</v>
          </cell>
          <cell r="K2478" t="str">
            <v>Servicio</v>
          </cell>
          <cell r="L2478" t="str">
            <v>Si</v>
          </cell>
          <cell r="O2478" t="str">
            <v>Otros No Técnicos</v>
          </cell>
        </row>
        <row r="2479">
          <cell r="C2479" t="str">
            <v>Francisco Lee Carbonell</v>
          </cell>
          <cell r="E2479" t="str">
            <v>M</v>
          </cell>
          <cell r="F2479" t="str">
            <v>mestiza</v>
          </cell>
          <cell r="K2479" t="str">
            <v>Operario</v>
          </cell>
          <cell r="L2479" t="str">
            <v>Si</v>
          </cell>
          <cell r="O2479" t="str">
            <v>Otros No Técnicos</v>
          </cell>
        </row>
        <row r="2480">
          <cell r="C2480" t="str">
            <v>GILBERTO COBAS PUPO</v>
          </cell>
          <cell r="E2480" t="str">
            <v>M</v>
          </cell>
          <cell r="F2480" t="str">
            <v>mestiza</v>
          </cell>
          <cell r="K2480" t="str">
            <v>Operario</v>
          </cell>
          <cell r="L2480" t="str">
            <v>Si</v>
          </cell>
          <cell r="O2480" t="str">
            <v>Otros No Técnicos</v>
          </cell>
        </row>
        <row r="2481">
          <cell r="C2481" t="str">
            <v>Gilberto Zamora almenarez</v>
          </cell>
          <cell r="E2481" t="str">
            <v>M</v>
          </cell>
          <cell r="F2481" t="str">
            <v>mestiza</v>
          </cell>
          <cell r="K2481" t="str">
            <v>Operario</v>
          </cell>
          <cell r="L2481" t="str">
            <v>Si</v>
          </cell>
          <cell r="O2481" t="str">
            <v>Otros No Técnicos</v>
          </cell>
        </row>
        <row r="2482">
          <cell r="C2482" t="str">
            <v>Graciela Vera Vera</v>
          </cell>
          <cell r="E2482" t="str">
            <v>F</v>
          </cell>
          <cell r="F2482" t="str">
            <v>mestiza</v>
          </cell>
          <cell r="K2482" t="str">
            <v>Administrativo</v>
          </cell>
          <cell r="L2482" t="str">
            <v>Si</v>
          </cell>
          <cell r="O2482" t="str">
            <v>Otros No Técnicos</v>
          </cell>
        </row>
        <row r="2483">
          <cell r="C2483" t="str">
            <v>Idalia López Obregón</v>
          </cell>
          <cell r="E2483" t="str">
            <v>F</v>
          </cell>
          <cell r="F2483" t="str">
            <v>mestiza</v>
          </cell>
          <cell r="K2483" t="str">
            <v>Servicio</v>
          </cell>
          <cell r="L2483" t="str">
            <v>Si</v>
          </cell>
          <cell r="O2483" t="str">
            <v>Otros No Técnicos</v>
          </cell>
        </row>
        <row r="2484">
          <cell r="C2484" t="str">
            <v>Isabel Cristina Semanat Barrientos</v>
          </cell>
          <cell r="E2484" t="str">
            <v>F</v>
          </cell>
          <cell r="F2484" t="str">
            <v>negra</v>
          </cell>
          <cell r="K2484" t="str">
            <v>Operario</v>
          </cell>
          <cell r="L2484" t="str">
            <v>Si</v>
          </cell>
          <cell r="O2484" t="str">
            <v>Otros No Técnicos</v>
          </cell>
        </row>
        <row r="2485">
          <cell r="C2485" t="str">
            <v>Ismael Carrión Nariño</v>
          </cell>
          <cell r="E2485" t="str">
            <v>M</v>
          </cell>
          <cell r="F2485" t="str">
            <v>negra</v>
          </cell>
          <cell r="K2485" t="str">
            <v>Operario</v>
          </cell>
          <cell r="L2485" t="str">
            <v>Si</v>
          </cell>
          <cell r="O2485" t="str">
            <v>Otros No Técnicos</v>
          </cell>
        </row>
        <row r="2486">
          <cell r="C2486" t="str">
            <v>Jesús Ferrera Gonzalez</v>
          </cell>
          <cell r="E2486" t="str">
            <v>M</v>
          </cell>
          <cell r="F2486" t="str">
            <v>mestiza</v>
          </cell>
          <cell r="K2486" t="str">
            <v>Operario</v>
          </cell>
          <cell r="L2486" t="str">
            <v>Si</v>
          </cell>
          <cell r="O2486" t="str">
            <v>Otros No Técnicos</v>
          </cell>
        </row>
        <row r="2487">
          <cell r="C2487" t="str">
            <v>Jorge Isidro Lastre Colás</v>
          </cell>
          <cell r="E2487" t="str">
            <v>M</v>
          </cell>
          <cell r="F2487" t="str">
            <v>mestiza</v>
          </cell>
          <cell r="K2487" t="str">
            <v>Operario</v>
          </cell>
          <cell r="L2487" t="str">
            <v>Si</v>
          </cell>
          <cell r="O2487" t="str">
            <v>Otros No Técnicos</v>
          </cell>
        </row>
        <row r="2488">
          <cell r="C2488" t="str">
            <v>José Antonio Peña Domenech</v>
          </cell>
          <cell r="E2488" t="str">
            <v>M</v>
          </cell>
          <cell r="F2488" t="str">
            <v>blanca</v>
          </cell>
          <cell r="K2488" t="str">
            <v>Operario</v>
          </cell>
          <cell r="L2488" t="str">
            <v>Si</v>
          </cell>
          <cell r="O2488" t="str">
            <v>Otros No Técnicos</v>
          </cell>
        </row>
        <row r="2489">
          <cell r="C2489" t="str">
            <v>Juana Madelaine Parra Orozco</v>
          </cell>
          <cell r="E2489" t="str">
            <v>F</v>
          </cell>
          <cell r="F2489" t="str">
            <v>mestiza</v>
          </cell>
          <cell r="K2489" t="str">
            <v>Servicio</v>
          </cell>
          <cell r="L2489" t="str">
            <v>Si</v>
          </cell>
          <cell r="O2489" t="str">
            <v>Otros No Técnicos</v>
          </cell>
        </row>
        <row r="2490">
          <cell r="C2490" t="str">
            <v>Leticia Hechavarria Argote</v>
          </cell>
          <cell r="E2490" t="str">
            <v>F</v>
          </cell>
          <cell r="F2490" t="str">
            <v>mestiza</v>
          </cell>
          <cell r="K2490" t="str">
            <v>Servicio</v>
          </cell>
          <cell r="L2490" t="str">
            <v>Si</v>
          </cell>
          <cell r="O2490" t="str">
            <v>Otros No Técnicos</v>
          </cell>
        </row>
        <row r="2491">
          <cell r="C2491" t="str">
            <v>Lidia Fabars Blanco</v>
          </cell>
          <cell r="E2491" t="str">
            <v>F</v>
          </cell>
          <cell r="F2491" t="str">
            <v>negra</v>
          </cell>
          <cell r="K2491" t="str">
            <v>Administrativo</v>
          </cell>
          <cell r="L2491" t="str">
            <v>Si</v>
          </cell>
          <cell r="O2491" t="str">
            <v>Otros No Técnicos</v>
          </cell>
        </row>
        <row r="2492">
          <cell r="C2492" t="str">
            <v>Lisandra padilla cobas</v>
          </cell>
          <cell r="E2492" t="str">
            <v>F</v>
          </cell>
          <cell r="F2492" t="str">
            <v>negra</v>
          </cell>
          <cell r="K2492" t="str">
            <v>Operario</v>
          </cell>
          <cell r="L2492" t="str">
            <v>Si</v>
          </cell>
          <cell r="O2492" t="str">
            <v>Otros No Técnicos</v>
          </cell>
        </row>
        <row r="2493">
          <cell r="C2493" t="str">
            <v>Lucia Zalazar Rosillo</v>
          </cell>
          <cell r="E2493" t="str">
            <v>F</v>
          </cell>
          <cell r="F2493" t="str">
            <v>negra</v>
          </cell>
          <cell r="K2493" t="str">
            <v>Servicio</v>
          </cell>
          <cell r="L2493" t="str">
            <v>Si</v>
          </cell>
          <cell r="O2493" t="str">
            <v>Otros No Técnicos</v>
          </cell>
        </row>
        <row r="2494">
          <cell r="C2494" t="str">
            <v>Luis Enrrique Gutierrez Orozco</v>
          </cell>
          <cell r="E2494" t="str">
            <v>M</v>
          </cell>
          <cell r="F2494" t="str">
            <v>mestiza</v>
          </cell>
          <cell r="K2494" t="str">
            <v>Operario</v>
          </cell>
          <cell r="L2494" t="str">
            <v>Si</v>
          </cell>
          <cell r="O2494" t="str">
            <v>Otros No Técnicos</v>
          </cell>
        </row>
        <row r="2495">
          <cell r="C2495" t="str">
            <v>Luis Garcés delgado</v>
          </cell>
          <cell r="E2495" t="str">
            <v>M</v>
          </cell>
          <cell r="F2495" t="str">
            <v>blanca</v>
          </cell>
          <cell r="K2495" t="str">
            <v>Operario</v>
          </cell>
          <cell r="L2495" t="str">
            <v>Si</v>
          </cell>
          <cell r="O2495" t="str">
            <v>Otros No Técnicos</v>
          </cell>
        </row>
        <row r="2496">
          <cell r="C2496" t="str">
            <v>Luis Mario Bermudez Frometa</v>
          </cell>
          <cell r="E2496" t="str">
            <v>M</v>
          </cell>
          <cell r="F2496" t="str">
            <v>mestiza</v>
          </cell>
          <cell r="K2496" t="str">
            <v>Servicio</v>
          </cell>
          <cell r="L2496" t="str">
            <v>Si</v>
          </cell>
          <cell r="O2496" t="str">
            <v>Otros No Técnicos</v>
          </cell>
        </row>
        <row r="2497">
          <cell r="C2497" t="str">
            <v>Maria Caridad acosta zamora</v>
          </cell>
          <cell r="E2497" t="str">
            <v>F</v>
          </cell>
          <cell r="F2497" t="str">
            <v>mestiza</v>
          </cell>
          <cell r="K2497" t="str">
            <v>Administrativo</v>
          </cell>
          <cell r="L2497" t="str">
            <v>Si</v>
          </cell>
          <cell r="O2497" t="str">
            <v>Otros No Técnicos</v>
          </cell>
        </row>
        <row r="2498">
          <cell r="C2498" t="str">
            <v>Maria Irzula Mendoza</v>
          </cell>
          <cell r="E2498" t="str">
            <v>F</v>
          </cell>
          <cell r="F2498" t="str">
            <v>mestiza</v>
          </cell>
          <cell r="K2498" t="str">
            <v>Servicio</v>
          </cell>
          <cell r="L2498" t="str">
            <v>Si</v>
          </cell>
          <cell r="O2498" t="str">
            <v>Otros No Técnicos</v>
          </cell>
        </row>
        <row r="2499">
          <cell r="C2499" t="str">
            <v>Maricela Baute Sanchez</v>
          </cell>
          <cell r="E2499" t="str">
            <v>F</v>
          </cell>
          <cell r="F2499" t="str">
            <v>negra</v>
          </cell>
          <cell r="K2499" t="str">
            <v>Servicio</v>
          </cell>
          <cell r="L2499" t="str">
            <v>Si</v>
          </cell>
          <cell r="O2499" t="str">
            <v>Otros No Técnicos</v>
          </cell>
        </row>
        <row r="2500">
          <cell r="C2500" t="str">
            <v>Maricela Santana Reyes</v>
          </cell>
          <cell r="E2500" t="str">
            <v>F</v>
          </cell>
          <cell r="F2500" t="str">
            <v>blanca</v>
          </cell>
          <cell r="K2500" t="str">
            <v>Servicio</v>
          </cell>
          <cell r="L2500" t="str">
            <v>Si</v>
          </cell>
          <cell r="O2500" t="str">
            <v>Otros No Técnicos</v>
          </cell>
        </row>
        <row r="2501">
          <cell r="C2501" t="str">
            <v>Mariela Frometa veranes</v>
          </cell>
          <cell r="E2501" t="str">
            <v>F</v>
          </cell>
          <cell r="F2501" t="str">
            <v>negra</v>
          </cell>
          <cell r="K2501" t="str">
            <v>Operario</v>
          </cell>
          <cell r="L2501" t="str">
            <v>Si</v>
          </cell>
          <cell r="O2501" t="str">
            <v>Otros No Técnicos</v>
          </cell>
        </row>
        <row r="2502">
          <cell r="C2502" t="str">
            <v>MATILDE ARZUAGA RIOS</v>
          </cell>
          <cell r="E2502" t="str">
            <v>F</v>
          </cell>
          <cell r="F2502" t="str">
            <v>mestiza</v>
          </cell>
          <cell r="K2502" t="str">
            <v>Servicio</v>
          </cell>
          <cell r="L2502" t="str">
            <v>Si</v>
          </cell>
          <cell r="O2502" t="str">
            <v>Otros No Técnicos</v>
          </cell>
        </row>
        <row r="2503">
          <cell r="C2503" t="str">
            <v>Mayler Michel Castro</v>
          </cell>
          <cell r="E2503" t="str">
            <v>M</v>
          </cell>
          <cell r="F2503" t="str">
            <v>negra</v>
          </cell>
          <cell r="K2503" t="str">
            <v>Operario</v>
          </cell>
          <cell r="L2503" t="str">
            <v>Si</v>
          </cell>
          <cell r="O2503" t="str">
            <v>Otros No Técnicos</v>
          </cell>
        </row>
        <row r="2504">
          <cell r="C2504" t="str">
            <v>Maylin Ortiz Bles</v>
          </cell>
          <cell r="E2504" t="str">
            <v>F</v>
          </cell>
          <cell r="F2504" t="str">
            <v>negra</v>
          </cell>
          <cell r="K2504" t="str">
            <v>Servicio</v>
          </cell>
          <cell r="L2504" t="str">
            <v>Si</v>
          </cell>
          <cell r="O2504" t="str">
            <v>Otros No Técnicos</v>
          </cell>
        </row>
        <row r="2505">
          <cell r="C2505" t="str">
            <v>MIGUEL CASTILLO HERNANDEZ</v>
          </cell>
          <cell r="E2505" t="str">
            <v>M</v>
          </cell>
          <cell r="F2505" t="str">
            <v>blanca</v>
          </cell>
          <cell r="K2505" t="str">
            <v>Servicio</v>
          </cell>
          <cell r="L2505" t="str">
            <v>Si</v>
          </cell>
          <cell r="O2505" t="str">
            <v>Otros No Técnicos</v>
          </cell>
        </row>
        <row r="2506">
          <cell r="C2506" t="str">
            <v>Milaidis Guerrero Carrión</v>
          </cell>
          <cell r="E2506" t="str">
            <v>F</v>
          </cell>
          <cell r="F2506" t="str">
            <v>mestiza</v>
          </cell>
          <cell r="K2506" t="str">
            <v>Servicio</v>
          </cell>
          <cell r="L2506" t="str">
            <v>Si</v>
          </cell>
          <cell r="O2506" t="str">
            <v>Otros No Técnicos</v>
          </cell>
        </row>
        <row r="2507">
          <cell r="C2507" t="str">
            <v>Mileisy Figueredo Castillo</v>
          </cell>
          <cell r="E2507" t="str">
            <v>F</v>
          </cell>
          <cell r="F2507" t="str">
            <v>negra</v>
          </cell>
          <cell r="K2507" t="str">
            <v>Administrativo</v>
          </cell>
          <cell r="L2507" t="str">
            <v>Si</v>
          </cell>
          <cell r="O2507" t="str">
            <v>Otros No Técnicos</v>
          </cell>
        </row>
        <row r="2508">
          <cell r="C2508" t="str">
            <v>Mirialis Negret Bueno</v>
          </cell>
          <cell r="E2508" t="str">
            <v>F</v>
          </cell>
          <cell r="F2508" t="str">
            <v>negra</v>
          </cell>
          <cell r="K2508" t="str">
            <v>Operario</v>
          </cell>
          <cell r="L2508" t="str">
            <v>Si</v>
          </cell>
          <cell r="O2508" t="str">
            <v>Otros No Técnicos</v>
          </cell>
        </row>
        <row r="2509">
          <cell r="C2509" t="str">
            <v>Neudis Tellez Contador</v>
          </cell>
          <cell r="E2509" t="str">
            <v>M</v>
          </cell>
          <cell r="F2509" t="str">
            <v>mestiza</v>
          </cell>
          <cell r="K2509" t="str">
            <v>Servicio</v>
          </cell>
          <cell r="L2509" t="str">
            <v>Si</v>
          </cell>
          <cell r="O2509" t="str">
            <v>Otros No Técnicos</v>
          </cell>
        </row>
        <row r="2510">
          <cell r="C2510" t="str">
            <v>Niurvis Carrión  Cardero</v>
          </cell>
          <cell r="E2510" t="str">
            <v>F</v>
          </cell>
          <cell r="F2510" t="str">
            <v>mestiza</v>
          </cell>
          <cell r="K2510" t="str">
            <v>Operario</v>
          </cell>
          <cell r="L2510" t="str">
            <v>Si</v>
          </cell>
          <cell r="O2510" t="str">
            <v>Otros No Técnicos</v>
          </cell>
        </row>
        <row r="2511">
          <cell r="C2511" t="str">
            <v>Noelis Fajardo Rios</v>
          </cell>
          <cell r="E2511" t="str">
            <v>F</v>
          </cell>
          <cell r="F2511" t="str">
            <v>blanca</v>
          </cell>
          <cell r="K2511" t="str">
            <v>Servicio</v>
          </cell>
          <cell r="L2511" t="str">
            <v>Si</v>
          </cell>
          <cell r="O2511" t="str">
            <v>Otros No Técnicos</v>
          </cell>
        </row>
        <row r="2512">
          <cell r="C2512" t="str">
            <v>Noemi Muir Mayeta</v>
          </cell>
          <cell r="E2512" t="str">
            <v>F</v>
          </cell>
          <cell r="F2512" t="str">
            <v>mestiza</v>
          </cell>
          <cell r="K2512" t="str">
            <v>Servicio</v>
          </cell>
          <cell r="L2512" t="str">
            <v>Si</v>
          </cell>
          <cell r="O2512" t="str">
            <v>Otros No Técnicos</v>
          </cell>
        </row>
        <row r="2513">
          <cell r="C2513" t="str">
            <v>Norma Victorero Mendoza</v>
          </cell>
          <cell r="E2513" t="str">
            <v>F</v>
          </cell>
          <cell r="F2513" t="str">
            <v>mestiza</v>
          </cell>
          <cell r="K2513" t="str">
            <v>Servicio</v>
          </cell>
          <cell r="L2513" t="str">
            <v>Si</v>
          </cell>
          <cell r="O2513" t="str">
            <v>Otros No Técnicos</v>
          </cell>
        </row>
        <row r="2514">
          <cell r="C2514" t="str">
            <v>NURELIS MARTINEZ VARELA</v>
          </cell>
          <cell r="E2514" t="str">
            <v>F</v>
          </cell>
          <cell r="F2514" t="str">
            <v>mestiza</v>
          </cell>
          <cell r="K2514" t="str">
            <v>Operario</v>
          </cell>
          <cell r="L2514" t="str">
            <v>Si</v>
          </cell>
          <cell r="O2514" t="str">
            <v>Otros No Técnicos</v>
          </cell>
        </row>
        <row r="2515">
          <cell r="C2515" t="str">
            <v>ORLANDO CARRION CARRION</v>
          </cell>
          <cell r="E2515" t="str">
            <v>M</v>
          </cell>
          <cell r="F2515" t="str">
            <v>mestiza</v>
          </cell>
          <cell r="K2515" t="str">
            <v>Operario</v>
          </cell>
          <cell r="L2515" t="str">
            <v>Si</v>
          </cell>
          <cell r="O2515" t="str">
            <v>Otros No Técnicos</v>
          </cell>
        </row>
        <row r="2516">
          <cell r="C2516" t="str">
            <v>OSMANIS ESCALANTE LAUGART</v>
          </cell>
          <cell r="E2516" t="str">
            <v>M</v>
          </cell>
          <cell r="F2516" t="str">
            <v>negra</v>
          </cell>
          <cell r="K2516" t="str">
            <v>Operario</v>
          </cell>
          <cell r="L2516" t="str">
            <v>Si</v>
          </cell>
          <cell r="O2516" t="str">
            <v>Otros No Técnicos</v>
          </cell>
        </row>
        <row r="2517">
          <cell r="C2517" t="str">
            <v>Rafael Guillermo Bosch Gonzalez</v>
          </cell>
          <cell r="E2517" t="str">
            <v>M</v>
          </cell>
          <cell r="F2517" t="str">
            <v>mestiza</v>
          </cell>
          <cell r="K2517" t="str">
            <v>Operario</v>
          </cell>
          <cell r="L2517" t="str">
            <v>Si</v>
          </cell>
          <cell r="O2517" t="str">
            <v>Otros No Técnicos</v>
          </cell>
        </row>
        <row r="2518">
          <cell r="C2518" t="str">
            <v>Raudel Chacón Torres</v>
          </cell>
          <cell r="E2518" t="str">
            <v>M</v>
          </cell>
          <cell r="F2518" t="str">
            <v>mestiza</v>
          </cell>
          <cell r="K2518" t="str">
            <v>Operario</v>
          </cell>
          <cell r="L2518" t="str">
            <v>Si</v>
          </cell>
          <cell r="O2518" t="str">
            <v>Otros No Técnicos</v>
          </cell>
        </row>
        <row r="2519">
          <cell r="C2519" t="str">
            <v>Reveca Arrate pérez</v>
          </cell>
          <cell r="E2519" t="str">
            <v>F</v>
          </cell>
          <cell r="F2519" t="str">
            <v>mestiza</v>
          </cell>
          <cell r="K2519" t="str">
            <v>Servicio</v>
          </cell>
          <cell r="L2519" t="str">
            <v>Si</v>
          </cell>
          <cell r="O2519" t="str">
            <v>Otros No Técnicos</v>
          </cell>
        </row>
        <row r="2520">
          <cell r="C2520" t="str">
            <v>Reynaldo Rodriguez Riviaux</v>
          </cell>
          <cell r="E2520" t="str">
            <v>M</v>
          </cell>
          <cell r="F2520" t="str">
            <v>mestiza</v>
          </cell>
          <cell r="K2520" t="str">
            <v>Operario</v>
          </cell>
          <cell r="L2520" t="str">
            <v>Si</v>
          </cell>
          <cell r="O2520" t="str">
            <v>Otros No Técnicos</v>
          </cell>
        </row>
        <row r="2521">
          <cell r="C2521" t="str">
            <v>Roilandis Enrrique Pérez Massó</v>
          </cell>
          <cell r="E2521" t="str">
            <v>M</v>
          </cell>
          <cell r="F2521" t="str">
            <v>negra</v>
          </cell>
          <cell r="K2521" t="str">
            <v>Servicio</v>
          </cell>
          <cell r="L2521" t="str">
            <v>Si</v>
          </cell>
          <cell r="O2521" t="str">
            <v>Otros No Técnicos</v>
          </cell>
        </row>
        <row r="2522">
          <cell r="C2522" t="str">
            <v>Rosa Erlinda Rodriguez Alvarez</v>
          </cell>
          <cell r="E2522" t="str">
            <v>F</v>
          </cell>
          <cell r="F2522" t="str">
            <v>mestiza</v>
          </cell>
          <cell r="K2522" t="str">
            <v>Operario</v>
          </cell>
          <cell r="L2522" t="str">
            <v>Si</v>
          </cell>
          <cell r="O2522" t="str">
            <v>Otros No Técnicos</v>
          </cell>
        </row>
        <row r="2523">
          <cell r="C2523" t="str">
            <v>Rosa María Moreira Bles</v>
          </cell>
          <cell r="E2523" t="str">
            <v>F</v>
          </cell>
          <cell r="F2523" t="str">
            <v>mestiza</v>
          </cell>
          <cell r="K2523" t="str">
            <v>Servicio</v>
          </cell>
          <cell r="L2523" t="str">
            <v>Si</v>
          </cell>
          <cell r="O2523" t="str">
            <v>Otros No Técnicos</v>
          </cell>
        </row>
        <row r="2524">
          <cell r="C2524" t="str">
            <v>Rosalina Batista Cala</v>
          </cell>
          <cell r="E2524" t="str">
            <v>F</v>
          </cell>
          <cell r="F2524" t="str">
            <v>mestiza</v>
          </cell>
          <cell r="K2524" t="str">
            <v>Servicio</v>
          </cell>
          <cell r="L2524" t="str">
            <v>Si</v>
          </cell>
          <cell r="O2524" t="str">
            <v>Otros No Técnicos</v>
          </cell>
        </row>
        <row r="2525">
          <cell r="C2525" t="str">
            <v>Rubel ortiz Ortiz</v>
          </cell>
          <cell r="E2525" t="str">
            <v>M</v>
          </cell>
          <cell r="F2525" t="str">
            <v>blanca</v>
          </cell>
          <cell r="K2525" t="str">
            <v>Operario</v>
          </cell>
          <cell r="L2525" t="str">
            <v>Si</v>
          </cell>
          <cell r="O2525" t="str">
            <v>Otros No Técnicos</v>
          </cell>
        </row>
        <row r="2526">
          <cell r="C2526" t="str">
            <v>Sandra María Valenciano Camacho</v>
          </cell>
          <cell r="E2526" t="str">
            <v>F</v>
          </cell>
          <cell r="F2526" t="str">
            <v>mestiza</v>
          </cell>
          <cell r="K2526" t="str">
            <v>Operario</v>
          </cell>
          <cell r="L2526" t="str">
            <v>Si</v>
          </cell>
          <cell r="O2526" t="str">
            <v>Otros No Técnicos</v>
          </cell>
        </row>
        <row r="2527">
          <cell r="C2527" t="str">
            <v>Santiago Rivero Hurtado</v>
          </cell>
          <cell r="E2527" t="str">
            <v>M</v>
          </cell>
          <cell r="F2527" t="str">
            <v>negra</v>
          </cell>
          <cell r="K2527" t="str">
            <v>Operario</v>
          </cell>
          <cell r="L2527" t="str">
            <v>Si</v>
          </cell>
          <cell r="O2527" t="str">
            <v>Otros No Técnicos</v>
          </cell>
        </row>
        <row r="2528">
          <cell r="C2528" t="str">
            <v>SANTOS PEREZ VERA</v>
          </cell>
          <cell r="E2528" t="str">
            <v>M</v>
          </cell>
          <cell r="F2528" t="str">
            <v>negra</v>
          </cell>
          <cell r="K2528" t="str">
            <v>Operario</v>
          </cell>
          <cell r="L2528" t="str">
            <v>Si</v>
          </cell>
          <cell r="O2528" t="str">
            <v>Otros No Técnicos</v>
          </cell>
        </row>
        <row r="2529">
          <cell r="C2529" t="str">
            <v>Sonia Castañeda Ramos</v>
          </cell>
          <cell r="E2529" t="str">
            <v>F</v>
          </cell>
          <cell r="F2529" t="str">
            <v>mestiza</v>
          </cell>
          <cell r="K2529" t="str">
            <v>Servicio</v>
          </cell>
          <cell r="L2529" t="str">
            <v>Si</v>
          </cell>
          <cell r="O2529" t="str">
            <v>Otros No Técnicos</v>
          </cell>
        </row>
        <row r="2530">
          <cell r="C2530" t="str">
            <v>Tomás Rios Montes de Oca</v>
          </cell>
          <cell r="E2530" t="str">
            <v>M</v>
          </cell>
          <cell r="F2530" t="str">
            <v>mestiza</v>
          </cell>
          <cell r="K2530" t="str">
            <v>Servicio</v>
          </cell>
          <cell r="L2530" t="str">
            <v>Si</v>
          </cell>
          <cell r="O2530" t="str">
            <v>Otros No Técnicos</v>
          </cell>
        </row>
        <row r="2531">
          <cell r="C2531" t="str">
            <v>Yuliet Ortiz Ortiz</v>
          </cell>
          <cell r="E2531" t="str">
            <v>F</v>
          </cell>
          <cell r="F2531" t="str">
            <v>mestiza</v>
          </cell>
          <cell r="K2531" t="str">
            <v>Servicio</v>
          </cell>
          <cell r="L2531" t="str">
            <v>No</v>
          </cell>
          <cell r="O2531" t="str">
            <v>Otros No Técnicos</v>
          </cell>
        </row>
        <row r="2532">
          <cell r="C2532" t="str">
            <v>Yanicey Anaya Benavides</v>
          </cell>
          <cell r="E2532" t="str">
            <v>F</v>
          </cell>
          <cell r="F2532" t="str">
            <v>negra</v>
          </cell>
          <cell r="K2532" t="str">
            <v>Operario</v>
          </cell>
          <cell r="L2532" t="str">
            <v>Si</v>
          </cell>
          <cell r="O2532" t="str">
            <v>Otros No Técnicos</v>
          </cell>
        </row>
        <row r="2533">
          <cell r="C2533" t="str">
            <v>Yariset Olivarez David</v>
          </cell>
          <cell r="E2533" t="str">
            <v>F</v>
          </cell>
          <cell r="F2533" t="str">
            <v>mestiza</v>
          </cell>
          <cell r="K2533" t="str">
            <v>Operario</v>
          </cell>
          <cell r="L2533" t="str">
            <v>Si</v>
          </cell>
          <cell r="O2533" t="str">
            <v>Otros No Técnicos</v>
          </cell>
        </row>
        <row r="2534">
          <cell r="C2534" t="str">
            <v>Yarlenis martinez padilla</v>
          </cell>
          <cell r="E2534" t="str">
            <v>F</v>
          </cell>
          <cell r="F2534" t="str">
            <v>mestiza</v>
          </cell>
          <cell r="K2534" t="str">
            <v>Operario</v>
          </cell>
          <cell r="L2534" t="str">
            <v>Si</v>
          </cell>
          <cell r="O2534" t="str">
            <v>Otros No Técnicos</v>
          </cell>
        </row>
        <row r="2535">
          <cell r="C2535" t="str">
            <v>YAUMELIS MORA VERDECIA</v>
          </cell>
          <cell r="E2535" t="str">
            <v>F</v>
          </cell>
          <cell r="F2535" t="str">
            <v>negra</v>
          </cell>
          <cell r="K2535" t="str">
            <v>Servicio</v>
          </cell>
          <cell r="L2535" t="str">
            <v>Si</v>
          </cell>
          <cell r="O2535" t="str">
            <v>Otros No Técnicos</v>
          </cell>
        </row>
        <row r="2536">
          <cell r="C2536" t="str">
            <v>Yenny Moragas Cobas</v>
          </cell>
          <cell r="E2536" t="str">
            <v>M</v>
          </cell>
          <cell r="F2536" t="str">
            <v>blanca</v>
          </cell>
          <cell r="K2536" t="str">
            <v>Servicio</v>
          </cell>
          <cell r="L2536" t="str">
            <v>Si</v>
          </cell>
          <cell r="O2536" t="str">
            <v>Otros No Técnicos</v>
          </cell>
        </row>
        <row r="2537">
          <cell r="C2537" t="str">
            <v>Yisel Vega Hernández</v>
          </cell>
          <cell r="E2537" t="str">
            <v>F</v>
          </cell>
          <cell r="F2537" t="str">
            <v>blanca</v>
          </cell>
          <cell r="K2537" t="str">
            <v>Operario</v>
          </cell>
          <cell r="L2537" t="str">
            <v>Si</v>
          </cell>
          <cell r="O2537" t="str">
            <v>Otros No Técnicos</v>
          </cell>
        </row>
        <row r="2538">
          <cell r="C2538" t="str">
            <v>YOANDRIS ELIAS Izaguirre</v>
          </cell>
          <cell r="E2538" t="str">
            <v>M</v>
          </cell>
          <cell r="F2538" t="str">
            <v>negra</v>
          </cell>
          <cell r="K2538" t="str">
            <v>Operario</v>
          </cell>
          <cell r="L2538" t="str">
            <v>Si</v>
          </cell>
          <cell r="O2538" t="str">
            <v>Otros No Técnicos</v>
          </cell>
        </row>
        <row r="2539">
          <cell r="C2539" t="str">
            <v>Yohandra Riviaux Martínez</v>
          </cell>
          <cell r="E2539" t="str">
            <v>F</v>
          </cell>
          <cell r="F2539" t="str">
            <v>negra</v>
          </cell>
          <cell r="K2539" t="str">
            <v>Servicio</v>
          </cell>
          <cell r="L2539" t="str">
            <v>Si</v>
          </cell>
          <cell r="O2539" t="str">
            <v>Otros No Técnicos</v>
          </cell>
        </row>
        <row r="2540">
          <cell r="C2540" t="str">
            <v>Yohendris Dominguez Pérez</v>
          </cell>
          <cell r="E2540" t="str">
            <v>M</v>
          </cell>
          <cell r="F2540" t="str">
            <v>mestiza</v>
          </cell>
          <cell r="K2540" t="str">
            <v>Operario</v>
          </cell>
          <cell r="L2540" t="str">
            <v>Si</v>
          </cell>
          <cell r="O2540" t="str">
            <v>Otros No Técnicos</v>
          </cell>
        </row>
        <row r="2541">
          <cell r="C2541" t="str">
            <v>Yonar Casals Cobas</v>
          </cell>
          <cell r="E2541" t="str">
            <v>M</v>
          </cell>
          <cell r="F2541" t="str">
            <v>blanca</v>
          </cell>
          <cell r="K2541" t="str">
            <v>Operario</v>
          </cell>
          <cell r="L2541" t="str">
            <v>Si</v>
          </cell>
          <cell r="O2541" t="str">
            <v>Otros No Técnicos</v>
          </cell>
        </row>
        <row r="2542">
          <cell r="C2542" t="str">
            <v>Yorlenis Chaveco irzula</v>
          </cell>
          <cell r="E2542" t="str">
            <v>M</v>
          </cell>
          <cell r="F2542" t="str">
            <v>mestiza</v>
          </cell>
          <cell r="K2542" t="str">
            <v>Operario</v>
          </cell>
          <cell r="L2542" t="str">
            <v>Si</v>
          </cell>
          <cell r="O2542" t="str">
            <v>Otros No Técnicos</v>
          </cell>
        </row>
        <row r="2543">
          <cell r="C2543" t="str">
            <v>Yudimila Zalazar Irzula</v>
          </cell>
          <cell r="E2543" t="str">
            <v>F</v>
          </cell>
          <cell r="F2543" t="str">
            <v>mestiza</v>
          </cell>
          <cell r="K2543" t="str">
            <v>Operario</v>
          </cell>
          <cell r="L2543" t="str">
            <v>Si</v>
          </cell>
          <cell r="O2543" t="str">
            <v>Otros No Técnicos</v>
          </cell>
        </row>
        <row r="2544">
          <cell r="C2544" t="str">
            <v>Yumaira mendoza cuesta</v>
          </cell>
          <cell r="E2544" t="str">
            <v>F</v>
          </cell>
          <cell r="F2544" t="str">
            <v>mestiza</v>
          </cell>
          <cell r="K2544" t="str">
            <v>Operario</v>
          </cell>
          <cell r="L2544" t="str">
            <v>Si</v>
          </cell>
          <cell r="O2544" t="str">
            <v>Otros No Técnicos</v>
          </cell>
        </row>
        <row r="2545">
          <cell r="C2545" t="str">
            <v>Yunelkis Almenares Reyes</v>
          </cell>
          <cell r="E2545" t="str">
            <v>F</v>
          </cell>
          <cell r="F2545" t="str">
            <v>mestiza</v>
          </cell>
          <cell r="K2545" t="str">
            <v>Operario</v>
          </cell>
          <cell r="L2545" t="str">
            <v>Si</v>
          </cell>
          <cell r="O2545" t="str">
            <v>Otros No Técnicos</v>
          </cell>
        </row>
        <row r="2546">
          <cell r="C2546" t="str">
            <v>Maritza García Pérez</v>
          </cell>
          <cell r="E2546" t="str">
            <v>F</v>
          </cell>
          <cell r="F2546" t="str">
            <v>mestiza</v>
          </cell>
          <cell r="K2546" t="str">
            <v>Servicio</v>
          </cell>
          <cell r="L2546" t="str">
            <v>No</v>
          </cell>
          <cell r="O2546" t="str">
            <v>Otros No Técnicos</v>
          </cell>
        </row>
        <row r="2547">
          <cell r="C2547" t="str">
            <v>Maikel Morales Puentes</v>
          </cell>
          <cell r="E2547" t="str">
            <v>M</v>
          </cell>
          <cell r="F2547" t="str">
            <v>mestiza</v>
          </cell>
          <cell r="K2547" t="str">
            <v>Operario</v>
          </cell>
          <cell r="L2547" t="str">
            <v>No</v>
          </cell>
          <cell r="O2547" t="str">
            <v>Otros No Técnicos</v>
          </cell>
        </row>
        <row r="2548">
          <cell r="C2548" t="str">
            <v>Magalis García SpeeK</v>
          </cell>
          <cell r="E2548" t="str">
            <v>F</v>
          </cell>
          <cell r="F2548" t="str">
            <v>mestiza</v>
          </cell>
          <cell r="K2548" t="str">
            <v>Servicio</v>
          </cell>
          <cell r="L2548" t="str">
            <v>No</v>
          </cell>
          <cell r="O2548" t="str">
            <v>Otros No Técnicos</v>
          </cell>
        </row>
        <row r="2549">
          <cell r="C2549" t="str">
            <v>Daniel Martinez Gracial</v>
          </cell>
          <cell r="E2549" t="str">
            <v>M</v>
          </cell>
          <cell r="F2549" t="str">
            <v>mestiza</v>
          </cell>
          <cell r="K2549" t="str">
            <v>Servicio</v>
          </cell>
          <cell r="L2549" t="str">
            <v>No</v>
          </cell>
          <cell r="O2549" t="str">
            <v>Otros No Técnicos</v>
          </cell>
        </row>
        <row r="2550">
          <cell r="C2550" t="str">
            <v>Yamilka Garbey Chararán</v>
          </cell>
          <cell r="E2550" t="str">
            <v>F</v>
          </cell>
          <cell r="F2550" t="str">
            <v>mestiza</v>
          </cell>
          <cell r="K2550" t="str">
            <v>Servicio</v>
          </cell>
          <cell r="L2550" t="str">
            <v>No</v>
          </cell>
          <cell r="O2550" t="str">
            <v>Otros No Técnicos</v>
          </cell>
        </row>
        <row r="2551">
          <cell r="C2551" t="str">
            <v>Milagros Pineda López</v>
          </cell>
          <cell r="E2551" t="str">
            <v>F</v>
          </cell>
          <cell r="F2551" t="str">
            <v>mestiza</v>
          </cell>
          <cell r="K2551" t="str">
            <v>Servicio</v>
          </cell>
          <cell r="L2551" t="str">
            <v>No</v>
          </cell>
          <cell r="O2551" t="str">
            <v>Otros No Técnicos</v>
          </cell>
        </row>
        <row r="2552">
          <cell r="C2552" t="str">
            <v>Luis Cordovi Rodriguez</v>
          </cell>
          <cell r="E2552" t="str">
            <v>M</v>
          </cell>
          <cell r="F2552" t="str">
            <v>mestiza</v>
          </cell>
          <cell r="K2552" t="str">
            <v>Operario</v>
          </cell>
          <cell r="L2552" t="str">
            <v>No</v>
          </cell>
          <cell r="O2552" t="str">
            <v>Otros No Técnicos</v>
          </cell>
        </row>
        <row r="2553">
          <cell r="C2553" t="str">
            <v>Guillermo Rafael Bazo Martinez</v>
          </cell>
          <cell r="E2553" t="str">
            <v>M</v>
          </cell>
          <cell r="F2553" t="str">
            <v>Mestiza</v>
          </cell>
          <cell r="K2553" t="str">
            <v>Operario</v>
          </cell>
          <cell r="L2553" t="str">
            <v>No</v>
          </cell>
          <cell r="O2553" t="str">
            <v>Otros No Técnicos</v>
          </cell>
        </row>
        <row r="2554">
          <cell r="C2554" t="str">
            <v>Sainet Torres Barban</v>
          </cell>
          <cell r="E2554" t="str">
            <v>F</v>
          </cell>
          <cell r="F2554" t="str">
            <v>Mestiza</v>
          </cell>
          <cell r="K2554" t="str">
            <v>Operario</v>
          </cell>
          <cell r="L2554" t="str">
            <v>No</v>
          </cell>
          <cell r="O2554" t="str">
            <v>Otros No Técnicos</v>
          </cell>
        </row>
        <row r="2555">
          <cell r="C2555" t="str">
            <v>Yamilaidys Ge Correa</v>
          </cell>
          <cell r="E2555" t="str">
            <v>F</v>
          </cell>
          <cell r="F2555" t="str">
            <v>mestiza</v>
          </cell>
          <cell r="K2555" t="str">
            <v>Operario</v>
          </cell>
          <cell r="L2555" t="str">
            <v>No</v>
          </cell>
          <cell r="O2555" t="str">
            <v>Otros No Técnicos</v>
          </cell>
        </row>
        <row r="2556">
          <cell r="C2556" t="str">
            <v>Eloy Gonzalez Verdecia</v>
          </cell>
          <cell r="E2556" t="str">
            <v>M</v>
          </cell>
          <cell r="F2556" t="str">
            <v>mestiza</v>
          </cell>
          <cell r="K2556" t="str">
            <v>Servicio</v>
          </cell>
          <cell r="L2556" t="str">
            <v>No</v>
          </cell>
          <cell r="O2556" t="str">
            <v>Otros No Técnicos</v>
          </cell>
        </row>
        <row r="2557">
          <cell r="C2557" t="str">
            <v>Yordiz Carrion Anaya</v>
          </cell>
          <cell r="E2557" t="str">
            <v>M</v>
          </cell>
          <cell r="F2557" t="str">
            <v>mestiza</v>
          </cell>
          <cell r="K2557" t="str">
            <v>Servicio</v>
          </cell>
          <cell r="L2557" t="str">
            <v>No</v>
          </cell>
          <cell r="O2557" t="str">
            <v>Otros No Técnicos</v>
          </cell>
        </row>
        <row r="2558">
          <cell r="C2558" t="str">
            <v>Grisel del Rosario Ortiz</v>
          </cell>
          <cell r="E2558" t="str">
            <v>F</v>
          </cell>
          <cell r="F2558" t="str">
            <v>mestiza</v>
          </cell>
          <cell r="K2558" t="str">
            <v>Servicio</v>
          </cell>
          <cell r="L2558" t="str">
            <v>No</v>
          </cell>
          <cell r="O2558" t="str">
            <v>Otros No Técnicos</v>
          </cell>
        </row>
        <row r="2559">
          <cell r="C2559" t="str">
            <v>Julia Esther Noa Pozo</v>
          </cell>
          <cell r="E2559" t="str">
            <v>F</v>
          </cell>
          <cell r="F2559" t="str">
            <v>Negra</v>
          </cell>
          <cell r="K2559" t="str">
            <v>Servicio</v>
          </cell>
          <cell r="L2559" t="str">
            <v>No</v>
          </cell>
          <cell r="O2559" t="str">
            <v>Otros No Técnicos</v>
          </cell>
        </row>
        <row r="2560">
          <cell r="C2560" t="str">
            <v>Luis Miguel Valenciano Ortiz</v>
          </cell>
          <cell r="E2560" t="str">
            <v>M</v>
          </cell>
          <cell r="F2560" t="str">
            <v>mestiza</v>
          </cell>
          <cell r="K2560" t="str">
            <v>Servicio</v>
          </cell>
          <cell r="L2560" t="str">
            <v>No</v>
          </cell>
          <cell r="O2560" t="str">
            <v>Otros Profesionales y Especialidades</v>
          </cell>
        </row>
        <row r="2561">
          <cell r="C2561" t="str">
            <v>Jorge Luis Castillo Ortiz</v>
          </cell>
          <cell r="E2561" t="str">
            <v>M</v>
          </cell>
          <cell r="F2561" t="str">
            <v>Blanca</v>
          </cell>
          <cell r="K2561" t="str">
            <v>Servicio</v>
          </cell>
          <cell r="L2561" t="str">
            <v>No</v>
          </cell>
          <cell r="O2561" t="str">
            <v>Otros No Técnicos</v>
          </cell>
        </row>
        <row r="2562">
          <cell r="C2562" t="str">
            <v>Ariolquis ortis castellanos</v>
          </cell>
          <cell r="E2562" t="str">
            <v>M</v>
          </cell>
          <cell r="F2562" t="str">
            <v>mestiza</v>
          </cell>
          <cell r="K2562" t="str">
            <v>Operario</v>
          </cell>
          <cell r="L2562" t="str">
            <v>Si</v>
          </cell>
          <cell r="O2562" t="str">
            <v>Técnico No Formado Salud</v>
          </cell>
        </row>
        <row r="2563">
          <cell r="C2563" t="str">
            <v>DARIEL Maury Martinez</v>
          </cell>
          <cell r="E2563" t="str">
            <v>M</v>
          </cell>
          <cell r="F2563" t="str">
            <v>negra</v>
          </cell>
          <cell r="K2563" t="str">
            <v>Operario</v>
          </cell>
          <cell r="L2563" t="str">
            <v>Si</v>
          </cell>
          <cell r="O2563" t="str">
            <v>Técnico No Formado Salud</v>
          </cell>
        </row>
        <row r="2564">
          <cell r="C2564" t="str">
            <v>Diarelis Reyes Cobas</v>
          </cell>
          <cell r="E2564" t="str">
            <v>F</v>
          </cell>
          <cell r="F2564" t="str">
            <v>negra</v>
          </cell>
          <cell r="K2564" t="str">
            <v>Técnico Medio</v>
          </cell>
          <cell r="L2564" t="str">
            <v>Si</v>
          </cell>
          <cell r="O2564" t="str">
            <v>Técnico No Formado Salud</v>
          </cell>
        </row>
        <row r="2565">
          <cell r="C2565" t="str">
            <v>Esteban Amador Cumbá</v>
          </cell>
          <cell r="E2565" t="str">
            <v>M</v>
          </cell>
          <cell r="F2565" t="str">
            <v>mestiza</v>
          </cell>
          <cell r="K2565" t="str">
            <v>Servicio</v>
          </cell>
          <cell r="L2565" t="str">
            <v>Si</v>
          </cell>
          <cell r="O2565" t="str">
            <v>Técnico No Formado Salud</v>
          </cell>
        </row>
        <row r="2566">
          <cell r="C2566" t="str">
            <v>Karelsy Godinez Dominguez</v>
          </cell>
          <cell r="E2566" t="str">
            <v>F</v>
          </cell>
          <cell r="F2566" t="str">
            <v>mestiza</v>
          </cell>
          <cell r="K2566" t="str">
            <v>Técnico Medio</v>
          </cell>
          <cell r="L2566" t="str">
            <v>Si</v>
          </cell>
          <cell r="O2566" t="str">
            <v>Técnico No Formado Salud</v>
          </cell>
        </row>
        <row r="2567">
          <cell r="C2567" t="str">
            <v>Laritza Castillo Berenger</v>
          </cell>
          <cell r="E2567" t="str">
            <v>F</v>
          </cell>
          <cell r="F2567" t="str">
            <v>mestiza</v>
          </cell>
          <cell r="K2567" t="str">
            <v>Administrativo</v>
          </cell>
          <cell r="L2567" t="str">
            <v>Si</v>
          </cell>
          <cell r="O2567" t="str">
            <v>Técnico No Formado Salud</v>
          </cell>
        </row>
        <row r="2568">
          <cell r="C2568" t="str">
            <v>Mariela Jardines Carrión</v>
          </cell>
          <cell r="E2568" t="str">
            <v>F</v>
          </cell>
          <cell r="F2568" t="str">
            <v>negra</v>
          </cell>
          <cell r="K2568" t="str">
            <v>Servicio</v>
          </cell>
          <cell r="L2568" t="str">
            <v>Si</v>
          </cell>
          <cell r="O2568" t="str">
            <v>Técnico No Formado Salud</v>
          </cell>
        </row>
        <row r="2569">
          <cell r="C2569" t="str">
            <v>Maydoli Corona Castillo</v>
          </cell>
          <cell r="E2569" t="str">
            <v>F</v>
          </cell>
          <cell r="F2569" t="str">
            <v>negra</v>
          </cell>
          <cell r="K2569" t="str">
            <v>Servicio</v>
          </cell>
          <cell r="L2569" t="str">
            <v>Si</v>
          </cell>
          <cell r="O2569" t="str">
            <v>Técnico No Formado Salud</v>
          </cell>
        </row>
        <row r="2570">
          <cell r="C2570" t="str">
            <v>Mileysis Elias Torres</v>
          </cell>
          <cell r="E2570" t="str">
            <v>F</v>
          </cell>
          <cell r="F2570" t="str">
            <v>mestiza</v>
          </cell>
          <cell r="K2570" t="str">
            <v>Técnico Medio</v>
          </cell>
          <cell r="L2570" t="str">
            <v>Si</v>
          </cell>
          <cell r="O2570" t="str">
            <v>Técnico No Formado Salud</v>
          </cell>
        </row>
        <row r="2571">
          <cell r="C2571" t="str">
            <v>Norayda medina martinez</v>
          </cell>
          <cell r="E2571" t="str">
            <v>F</v>
          </cell>
          <cell r="F2571" t="str">
            <v>negra</v>
          </cell>
          <cell r="K2571" t="str">
            <v>Técnico Medio</v>
          </cell>
          <cell r="L2571" t="str">
            <v>Si</v>
          </cell>
          <cell r="O2571" t="str">
            <v>Técnico No Formado Salud</v>
          </cell>
        </row>
        <row r="2572">
          <cell r="C2572" t="str">
            <v>Yanay Despaigne Rizo</v>
          </cell>
          <cell r="E2572" t="str">
            <v>F</v>
          </cell>
          <cell r="F2572" t="str">
            <v>negra</v>
          </cell>
          <cell r="K2572" t="str">
            <v>Técnico Medio</v>
          </cell>
          <cell r="L2572" t="str">
            <v>Si</v>
          </cell>
          <cell r="O2572" t="str">
            <v>Técnico No Formado Salud</v>
          </cell>
        </row>
        <row r="2573">
          <cell r="C2573" t="str">
            <v>Yarelis Bell Serrano</v>
          </cell>
          <cell r="E2573" t="str">
            <v>F</v>
          </cell>
          <cell r="F2573" t="str">
            <v>mestiza</v>
          </cell>
          <cell r="K2573" t="str">
            <v>Técnico Medio</v>
          </cell>
          <cell r="L2573" t="str">
            <v>Si</v>
          </cell>
          <cell r="O2573" t="str">
            <v>Técnico No Formado Salud</v>
          </cell>
        </row>
        <row r="2574">
          <cell r="C2574" t="str">
            <v>Yurdelis Léon Mulen</v>
          </cell>
          <cell r="E2574" t="str">
            <v>F</v>
          </cell>
          <cell r="F2574" t="str">
            <v>mestiza</v>
          </cell>
          <cell r="K2574" t="str">
            <v>Técnico Medio</v>
          </cell>
          <cell r="L2574" t="str">
            <v>Si</v>
          </cell>
          <cell r="O2574" t="str">
            <v>Técnico No Formado Salud</v>
          </cell>
        </row>
        <row r="2575">
          <cell r="C2575" t="str">
            <v>ZADAISI RIVAS CHINEA</v>
          </cell>
          <cell r="E2575" t="str">
            <v>F</v>
          </cell>
          <cell r="F2575" t="str">
            <v>blanca</v>
          </cell>
          <cell r="K2575" t="str">
            <v>Servicio</v>
          </cell>
          <cell r="L2575" t="str">
            <v>Si</v>
          </cell>
          <cell r="O2575" t="str">
            <v>Técnico No Formado Salud</v>
          </cell>
        </row>
        <row r="2576">
          <cell r="C2576" t="str">
            <v>Yanelis Téllez Romero</v>
          </cell>
          <cell r="E2576" t="str">
            <v>F</v>
          </cell>
          <cell r="F2576" t="str">
            <v>Blanca</v>
          </cell>
          <cell r="K2576" t="str">
            <v>Técnico Medio</v>
          </cell>
          <cell r="L2576" t="str">
            <v>No</v>
          </cell>
          <cell r="O2576" t="str">
            <v>Técnico No Formado Salud</v>
          </cell>
        </row>
        <row r="2577">
          <cell r="C2577" t="str">
            <v>Yoandris Alayo Lamote</v>
          </cell>
          <cell r="E2577" t="str">
            <v>M</v>
          </cell>
          <cell r="F2577" t="str">
            <v>Negra</v>
          </cell>
          <cell r="K2577" t="str">
            <v>Técnico Superior</v>
          </cell>
          <cell r="L2577" t="str">
            <v>No</v>
          </cell>
          <cell r="O2577" t="str">
            <v>Otros Profesionales y Especialidades</v>
          </cell>
        </row>
        <row r="2578">
          <cell r="C2578" t="str">
            <v>Yuliet Silano Pupo</v>
          </cell>
          <cell r="E2578" t="str">
            <v>F</v>
          </cell>
          <cell r="F2578" t="str">
            <v>Negra</v>
          </cell>
          <cell r="K2578" t="str">
            <v>Técnico Medio</v>
          </cell>
          <cell r="L2578" t="str">
            <v>No</v>
          </cell>
          <cell r="O2578" t="str">
            <v>Otros Profesionales y Especialidades</v>
          </cell>
        </row>
        <row r="2579">
          <cell r="C2579" t="str">
            <v>Orlando Torres Marquez</v>
          </cell>
          <cell r="E2579" t="str">
            <v>M</v>
          </cell>
          <cell r="F2579" t="str">
            <v>Blanca</v>
          </cell>
          <cell r="K2579" t="str">
            <v>Operario</v>
          </cell>
          <cell r="L2579" t="str">
            <v>No</v>
          </cell>
          <cell r="O2579" t="str">
            <v>Técnico No Formado Salud</v>
          </cell>
        </row>
        <row r="2580">
          <cell r="C2580" t="str">
            <v>Anauridis Garzón Beltran</v>
          </cell>
          <cell r="E2580" t="str">
            <v>F</v>
          </cell>
          <cell r="F2580" t="str">
            <v>mestiza</v>
          </cell>
          <cell r="K2580" t="str">
            <v>Técnico Superior</v>
          </cell>
          <cell r="L2580" t="str">
            <v>Si</v>
          </cell>
          <cell r="O2580" t="str">
            <v>Otros Profesionales y Especialidades</v>
          </cell>
        </row>
        <row r="2581">
          <cell r="C2581" t="str">
            <v>Anival Boloy López</v>
          </cell>
          <cell r="E2581" t="str">
            <v>M</v>
          </cell>
          <cell r="F2581" t="str">
            <v>mestiza</v>
          </cell>
          <cell r="K2581" t="str">
            <v>Servicio</v>
          </cell>
          <cell r="L2581" t="str">
            <v>Si</v>
          </cell>
          <cell r="O2581" t="str">
            <v>Otros Profesionales y Especialidades</v>
          </cell>
        </row>
        <row r="2582">
          <cell r="C2582" t="str">
            <v>Edelmira Rizo Garbey</v>
          </cell>
          <cell r="E2582" t="str">
            <v>F</v>
          </cell>
          <cell r="F2582" t="str">
            <v>negra</v>
          </cell>
          <cell r="K2582" t="str">
            <v>Técnico Superior</v>
          </cell>
          <cell r="L2582" t="str">
            <v>Si</v>
          </cell>
          <cell r="O2582" t="str">
            <v>Otros Profesionales y Especialidades</v>
          </cell>
        </row>
        <row r="2583">
          <cell r="C2583" t="str">
            <v>Juan Bautista Clejer Pardo</v>
          </cell>
          <cell r="E2583" t="str">
            <v>M</v>
          </cell>
          <cell r="F2583" t="str">
            <v>negra</v>
          </cell>
          <cell r="K2583" t="str">
            <v>Técnico Superior</v>
          </cell>
          <cell r="L2583" t="str">
            <v>Si</v>
          </cell>
          <cell r="O2583" t="str">
            <v>Otros Profesionales y Especialidades</v>
          </cell>
        </row>
        <row r="2584">
          <cell r="C2584" t="str">
            <v>Maricela Diaz Pacheco</v>
          </cell>
          <cell r="E2584" t="str">
            <v>F</v>
          </cell>
          <cell r="F2584" t="str">
            <v>blanca</v>
          </cell>
          <cell r="K2584" t="str">
            <v>Técnico Superior</v>
          </cell>
          <cell r="L2584" t="str">
            <v>Si</v>
          </cell>
          <cell r="O2584" t="str">
            <v>Otros Profesionales y Especialidades</v>
          </cell>
        </row>
        <row r="2585">
          <cell r="C2585" t="str">
            <v>Maylin Caridad Revilla Anaya</v>
          </cell>
          <cell r="E2585" t="str">
            <v>F</v>
          </cell>
          <cell r="F2585" t="str">
            <v>mestiza</v>
          </cell>
          <cell r="K2585" t="str">
            <v>Técnico Superior</v>
          </cell>
          <cell r="L2585" t="str">
            <v>Si</v>
          </cell>
          <cell r="O2585" t="str">
            <v>Otros Profesionales y Especialidades</v>
          </cell>
        </row>
        <row r="2586">
          <cell r="C2586" t="str">
            <v>Mileidys duharte spek</v>
          </cell>
          <cell r="E2586" t="str">
            <v>F</v>
          </cell>
          <cell r="F2586" t="str">
            <v>negra</v>
          </cell>
          <cell r="K2586" t="str">
            <v>Técnico Superior</v>
          </cell>
          <cell r="L2586" t="str">
            <v>Si</v>
          </cell>
          <cell r="O2586" t="str">
            <v>Otros Profesionales y Especialidades</v>
          </cell>
        </row>
        <row r="2587">
          <cell r="C2587" t="str">
            <v>Solveig Alvarado Calás</v>
          </cell>
          <cell r="E2587" t="str">
            <v>F</v>
          </cell>
          <cell r="F2587" t="str">
            <v>blanca</v>
          </cell>
          <cell r="K2587" t="str">
            <v>Técnico Superior</v>
          </cell>
          <cell r="L2587" t="str">
            <v>Si</v>
          </cell>
          <cell r="O2587" t="str">
            <v>Otros Profesionales y Especialidades</v>
          </cell>
        </row>
        <row r="2588">
          <cell r="C2588" t="str">
            <v>Vivian Luna Hernandez</v>
          </cell>
          <cell r="E2588" t="str">
            <v>F</v>
          </cell>
          <cell r="F2588" t="str">
            <v>negra</v>
          </cell>
          <cell r="K2588" t="str">
            <v>Técnico Superior</v>
          </cell>
          <cell r="L2588" t="str">
            <v>Si</v>
          </cell>
          <cell r="O2588" t="str">
            <v>Otros Profesionales y Especialidades</v>
          </cell>
        </row>
        <row r="2589">
          <cell r="C2589" t="str">
            <v>Yordanis Areas Bartelemy</v>
          </cell>
          <cell r="E2589" t="str">
            <v>M</v>
          </cell>
          <cell r="F2589" t="str">
            <v>blanca</v>
          </cell>
          <cell r="K2589" t="str">
            <v>Técnico Superior</v>
          </cell>
          <cell r="L2589" t="str">
            <v>Si</v>
          </cell>
          <cell r="O2589" t="str">
            <v>Otros Profesionales y Especialidades</v>
          </cell>
        </row>
        <row r="2590">
          <cell r="C2590" t="str">
            <v>Yordanis Luna Cuevas</v>
          </cell>
          <cell r="E2590" t="str">
            <v>F</v>
          </cell>
          <cell r="F2590" t="str">
            <v>mestiza</v>
          </cell>
          <cell r="K2590" t="str">
            <v>Técnico Medio</v>
          </cell>
          <cell r="L2590" t="str">
            <v>Si</v>
          </cell>
          <cell r="O2590" t="str">
            <v>Otros Profesionales y Especialidades</v>
          </cell>
        </row>
        <row r="2591">
          <cell r="C2591" t="str">
            <v>Yuliesca Veranes Hechavarria</v>
          </cell>
          <cell r="E2591" t="str">
            <v>F</v>
          </cell>
          <cell r="F2591" t="str">
            <v>mestiza</v>
          </cell>
          <cell r="K2591" t="str">
            <v>Técnico Superior</v>
          </cell>
          <cell r="L2591" t="str">
            <v>Si</v>
          </cell>
          <cell r="O2591" t="str">
            <v>Otros Profesionales y Especialidades</v>
          </cell>
        </row>
        <row r="2592">
          <cell r="C2592" t="str">
            <v>Lilibeth Bacallao Sánchez</v>
          </cell>
          <cell r="E2592" t="str">
            <v>F</v>
          </cell>
          <cell r="F2592" t="str">
            <v>Blanca</v>
          </cell>
          <cell r="K2592" t="str">
            <v>Técnico Superior</v>
          </cell>
          <cell r="L2592" t="str">
            <v>No</v>
          </cell>
          <cell r="O2592" t="str">
            <v>Otros Profesionales y Especialidades</v>
          </cell>
        </row>
        <row r="2593">
          <cell r="C2593" t="str">
            <v>Aliani Vidal Vaillant</v>
          </cell>
          <cell r="E2593" t="str">
            <v>F</v>
          </cell>
          <cell r="F2593" t="str">
            <v>mestiza</v>
          </cell>
          <cell r="K2593" t="str">
            <v>Técnico Superior</v>
          </cell>
          <cell r="L2593" t="str">
            <v>Si</v>
          </cell>
          <cell r="O2593" t="str">
            <v>Lic. en Tecnología de la Salud</v>
          </cell>
        </row>
        <row r="2594">
          <cell r="C2594" t="str">
            <v>Alina Cuello Concepcion</v>
          </cell>
          <cell r="E2594" t="str">
            <v>F</v>
          </cell>
          <cell r="F2594" t="str">
            <v>mestiza</v>
          </cell>
          <cell r="K2594" t="str">
            <v>Técnico Superior</v>
          </cell>
          <cell r="L2594" t="str">
            <v>Si</v>
          </cell>
          <cell r="O2594" t="str">
            <v>Lic. en Tecnología de la Salud</v>
          </cell>
        </row>
        <row r="2595">
          <cell r="C2595" t="str">
            <v>Ana Delia Carrión Ramos</v>
          </cell>
          <cell r="E2595" t="str">
            <v>F</v>
          </cell>
          <cell r="F2595" t="str">
            <v>mestiza</v>
          </cell>
          <cell r="K2595" t="str">
            <v>Técnico Superior</v>
          </cell>
          <cell r="L2595" t="str">
            <v>Si</v>
          </cell>
          <cell r="O2595" t="str">
            <v>Lic. en Tecnología de la Salud</v>
          </cell>
        </row>
        <row r="2596">
          <cell r="C2596" t="str">
            <v>Anai Pinel Barreira</v>
          </cell>
          <cell r="E2596" t="str">
            <v>F</v>
          </cell>
          <cell r="F2596" t="str">
            <v>mestiza</v>
          </cell>
          <cell r="K2596" t="str">
            <v>Técnico Superior</v>
          </cell>
          <cell r="L2596" t="str">
            <v>Si</v>
          </cell>
          <cell r="O2596" t="str">
            <v>Lic. en Tecnología de la Salud</v>
          </cell>
        </row>
        <row r="2597">
          <cell r="C2597" t="str">
            <v>Arelis Cedeño Hechavarría</v>
          </cell>
          <cell r="E2597" t="str">
            <v>F</v>
          </cell>
          <cell r="F2597" t="str">
            <v>mestiza</v>
          </cell>
          <cell r="K2597" t="str">
            <v>Técnico Superior</v>
          </cell>
          <cell r="L2597" t="str">
            <v>Si</v>
          </cell>
          <cell r="O2597" t="str">
            <v>Lic. en Tecnología de la Salud</v>
          </cell>
        </row>
        <row r="2598">
          <cell r="C2598" t="str">
            <v>Arlen Torres Plutin</v>
          </cell>
          <cell r="E2598" t="str">
            <v>M</v>
          </cell>
          <cell r="F2598" t="str">
            <v>mestiza</v>
          </cell>
          <cell r="K2598" t="str">
            <v>Técnico Superior</v>
          </cell>
          <cell r="L2598" t="str">
            <v>Si</v>
          </cell>
          <cell r="O2598" t="str">
            <v>Lic. en Tecnología de la Salud</v>
          </cell>
        </row>
        <row r="2599">
          <cell r="C2599" t="str">
            <v>Beatriz Vicente Mengana</v>
          </cell>
          <cell r="E2599" t="str">
            <v>F</v>
          </cell>
          <cell r="F2599" t="str">
            <v>mestiza</v>
          </cell>
          <cell r="K2599" t="str">
            <v>Técnico Superior</v>
          </cell>
          <cell r="L2599" t="str">
            <v>Si</v>
          </cell>
          <cell r="O2599" t="str">
            <v>Lic. en Tecnología de la Salud</v>
          </cell>
        </row>
        <row r="2600">
          <cell r="C2600" t="str">
            <v>Carmen Delia Garcia Hernández</v>
          </cell>
          <cell r="E2600" t="str">
            <v>F</v>
          </cell>
          <cell r="F2600" t="str">
            <v>mestiza</v>
          </cell>
          <cell r="K2600" t="str">
            <v>Técnico Superior</v>
          </cell>
          <cell r="L2600" t="str">
            <v>Si</v>
          </cell>
          <cell r="O2600" t="str">
            <v>Lic. en Tecnología de la Salud</v>
          </cell>
        </row>
        <row r="2601">
          <cell r="C2601" t="str">
            <v>Yulina Estalella Gonzalez</v>
          </cell>
          <cell r="E2601" t="str">
            <v>F</v>
          </cell>
          <cell r="F2601" t="str">
            <v>mestiza</v>
          </cell>
          <cell r="K2601" t="str">
            <v>Técnico Superior</v>
          </cell>
          <cell r="L2601" t="str">
            <v>No</v>
          </cell>
          <cell r="O2601" t="str">
            <v>Lic. en Tecnología de la Salud</v>
          </cell>
        </row>
        <row r="2602">
          <cell r="C2602" t="str">
            <v>Dailys  del Rosario Candel Serrano</v>
          </cell>
          <cell r="E2602" t="str">
            <v>F</v>
          </cell>
          <cell r="F2602" t="str">
            <v>mestiza</v>
          </cell>
          <cell r="K2602" t="str">
            <v>Técnico Superior</v>
          </cell>
          <cell r="L2602" t="str">
            <v>Si</v>
          </cell>
          <cell r="O2602" t="str">
            <v>Lic. en Tecnología de la Salud</v>
          </cell>
        </row>
        <row r="2603">
          <cell r="C2603" t="str">
            <v>Daniuska Alvarez Reynoso</v>
          </cell>
          <cell r="E2603" t="str">
            <v>F</v>
          </cell>
          <cell r="F2603" t="str">
            <v>mestiza</v>
          </cell>
          <cell r="K2603" t="str">
            <v>Técnico Superior</v>
          </cell>
          <cell r="L2603" t="str">
            <v>Si</v>
          </cell>
          <cell r="O2603" t="str">
            <v>Lic. en Tecnología de la Salud</v>
          </cell>
        </row>
        <row r="2604">
          <cell r="C2604" t="str">
            <v>Dayamis Gonzalez Nariño</v>
          </cell>
          <cell r="E2604" t="str">
            <v>F</v>
          </cell>
          <cell r="F2604" t="str">
            <v>mestiza</v>
          </cell>
          <cell r="K2604" t="str">
            <v>Técnico Superior</v>
          </cell>
          <cell r="L2604" t="str">
            <v>Si</v>
          </cell>
          <cell r="O2604" t="str">
            <v>Lic. en Tecnología de la Salud</v>
          </cell>
        </row>
        <row r="2605">
          <cell r="C2605" t="str">
            <v>Dayana Badell Yañez</v>
          </cell>
          <cell r="E2605" t="str">
            <v>F</v>
          </cell>
          <cell r="F2605" t="str">
            <v>mestiza</v>
          </cell>
          <cell r="K2605" t="str">
            <v>Técnico Superior</v>
          </cell>
          <cell r="L2605" t="str">
            <v>Si</v>
          </cell>
          <cell r="O2605" t="str">
            <v>Lic. en Tecnología de la Salud</v>
          </cell>
        </row>
        <row r="2606">
          <cell r="C2606" t="str">
            <v>Deyami Castillo Escudero</v>
          </cell>
          <cell r="E2606" t="str">
            <v>F</v>
          </cell>
          <cell r="F2606" t="str">
            <v>blanca</v>
          </cell>
          <cell r="K2606" t="str">
            <v>Técnico Superior</v>
          </cell>
          <cell r="L2606" t="str">
            <v>Si</v>
          </cell>
          <cell r="O2606" t="str">
            <v>Lic. en Tecnología de la Salud</v>
          </cell>
        </row>
        <row r="2607">
          <cell r="C2607" t="str">
            <v>Doniel Durruty Herrera</v>
          </cell>
          <cell r="E2607" t="str">
            <v>M</v>
          </cell>
          <cell r="F2607" t="str">
            <v>negra</v>
          </cell>
          <cell r="K2607" t="str">
            <v>Técnico Superior</v>
          </cell>
          <cell r="L2607" t="str">
            <v>Si</v>
          </cell>
          <cell r="O2607" t="str">
            <v>Lic. en Tecnología de la Salud</v>
          </cell>
        </row>
        <row r="2608">
          <cell r="C2608" t="str">
            <v>Edelmis Lellet Limonta</v>
          </cell>
          <cell r="E2608" t="str">
            <v>F</v>
          </cell>
          <cell r="F2608" t="str">
            <v>mestiza</v>
          </cell>
          <cell r="K2608" t="str">
            <v>Técnico Superior</v>
          </cell>
          <cell r="L2608" t="str">
            <v>Si</v>
          </cell>
          <cell r="O2608" t="str">
            <v>Lic. en Tecnología de la Salud</v>
          </cell>
        </row>
        <row r="2609">
          <cell r="C2609" t="str">
            <v>Egmelaine Matamoros Tellez</v>
          </cell>
          <cell r="E2609" t="str">
            <v>F</v>
          </cell>
          <cell r="F2609" t="str">
            <v>mestiza</v>
          </cell>
          <cell r="K2609" t="str">
            <v>Técnico Superior</v>
          </cell>
          <cell r="L2609" t="str">
            <v>Si</v>
          </cell>
          <cell r="O2609" t="str">
            <v>Lic. en Tecnología de la Salud</v>
          </cell>
        </row>
        <row r="2610">
          <cell r="C2610" t="str">
            <v>Gisel De La Rosa Mustelier</v>
          </cell>
          <cell r="E2610" t="str">
            <v>F</v>
          </cell>
          <cell r="F2610" t="str">
            <v>mestiza</v>
          </cell>
          <cell r="K2610" t="str">
            <v>Técnico Superior</v>
          </cell>
          <cell r="L2610" t="str">
            <v>Si</v>
          </cell>
          <cell r="O2610" t="str">
            <v>Lic. en Tecnología de la Salud</v>
          </cell>
        </row>
        <row r="2611">
          <cell r="C2611" t="str">
            <v>Idalmis Torres Lopez</v>
          </cell>
          <cell r="E2611" t="str">
            <v>F</v>
          </cell>
          <cell r="F2611" t="str">
            <v>mestiza</v>
          </cell>
          <cell r="K2611" t="str">
            <v>Técnico Superior</v>
          </cell>
          <cell r="L2611" t="str">
            <v>Si</v>
          </cell>
          <cell r="O2611" t="str">
            <v>Lic. en Tecnología de la Salud</v>
          </cell>
        </row>
        <row r="2612">
          <cell r="C2612" t="str">
            <v>Idania González Hidalgo</v>
          </cell>
          <cell r="E2612" t="str">
            <v>F</v>
          </cell>
          <cell r="F2612" t="str">
            <v>mestiza</v>
          </cell>
          <cell r="K2612" t="str">
            <v>Técnico Superior</v>
          </cell>
          <cell r="L2612" t="str">
            <v>Si</v>
          </cell>
          <cell r="O2612" t="str">
            <v>Lic. en Tecnología de la Salud</v>
          </cell>
        </row>
        <row r="2613">
          <cell r="C2613" t="str">
            <v>Idelnia Venero López</v>
          </cell>
          <cell r="E2613" t="str">
            <v>F</v>
          </cell>
          <cell r="F2613" t="str">
            <v>mestiza</v>
          </cell>
          <cell r="K2613" t="str">
            <v>Técnico Superior</v>
          </cell>
          <cell r="L2613" t="str">
            <v>Si</v>
          </cell>
          <cell r="O2613" t="str">
            <v>Lic. en Tecnología de la Salud</v>
          </cell>
        </row>
        <row r="2614">
          <cell r="C2614" t="str">
            <v>Isneli Arse Ruiz</v>
          </cell>
          <cell r="E2614" t="str">
            <v>F</v>
          </cell>
          <cell r="F2614" t="str">
            <v>negra</v>
          </cell>
          <cell r="K2614" t="str">
            <v>Técnico Superior</v>
          </cell>
          <cell r="L2614" t="str">
            <v>Si</v>
          </cell>
          <cell r="O2614" t="str">
            <v>Lic. en Tecnología de la Salud</v>
          </cell>
        </row>
        <row r="2615">
          <cell r="C2615" t="str">
            <v>Isoday Garcia Pérez</v>
          </cell>
          <cell r="E2615" t="str">
            <v>F</v>
          </cell>
          <cell r="F2615" t="str">
            <v>mestiza</v>
          </cell>
          <cell r="K2615" t="str">
            <v>Técnico Superior</v>
          </cell>
          <cell r="L2615" t="str">
            <v>Si</v>
          </cell>
          <cell r="O2615" t="str">
            <v>Lic. en Tecnología de la Salud</v>
          </cell>
        </row>
        <row r="2616">
          <cell r="C2616" t="str">
            <v>JORGE LUIS GARCIA LEON</v>
          </cell>
          <cell r="E2616" t="str">
            <v>M</v>
          </cell>
          <cell r="F2616" t="str">
            <v>mestiza</v>
          </cell>
          <cell r="K2616" t="str">
            <v>Técnico Superior</v>
          </cell>
          <cell r="L2616" t="str">
            <v>Si</v>
          </cell>
          <cell r="O2616" t="str">
            <v>Lic. en Tecnología de la Salud</v>
          </cell>
        </row>
        <row r="2617">
          <cell r="C2617" t="str">
            <v>Jorge Peña Domenech</v>
          </cell>
          <cell r="E2617" t="str">
            <v>M</v>
          </cell>
          <cell r="F2617" t="str">
            <v>blanca</v>
          </cell>
          <cell r="K2617" t="str">
            <v>Técnico Superior</v>
          </cell>
          <cell r="L2617" t="str">
            <v>Si</v>
          </cell>
          <cell r="O2617" t="str">
            <v>Lic. en Tecnología de la Salud</v>
          </cell>
        </row>
        <row r="2618">
          <cell r="C2618" t="str">
            <v>Jose  Orlando Cardero Guevara</v>
          </cell>
          <cell r="E2618" t="str">
            <v>M</v>
          </cell>
          <cell r="F2618" t="str">
            <v>mestiza</v>
          </cell>
          <cell r="K2618" t="str">
            <v>Cuadro</v>
          </cell>
          <cell r="L2618" t="str">
            <v>Si</v>
          </cell>
          <cell r="O2618" t="str">
            <v>Lic. en Tecnología de la Salud</v>
          </cell>
        </row>
        <row r="2619">
          <cell r="C2619" t="str">
            <v>José Antonio Coss Ramirez</v>
          </cell>
          <cell r="E2619" t="str">
            <v>M</v>
          </cell>
          <cell r="F2619" t="str">
            <v>negra</v>
          </cell>
          <cell r="K2619" t="str">
            <v>Técnico Superior</v>
          </cell>
          <cell r="L2619" t="str">
            <v>Si</v>
          </cell>
          <cell r="O2619" t="str">
            <v>Lic. en Tecnología de la Salud</v>
          </cell>
        </row>
        <row r="2620">
          <cell r="C2620" t="str">
            <v>Juan Alberto Franco Torres</v>
          </cell>
          <cell r="E2620" t="str">
            <v>M</v>
          </cell>
          <cell r="F2620" t="str">
            <v>blanca</v>
          </cell>
          <cell r="K2620" t="str">
            <v>Técnico Superior</v>
          </cell>
          <cell r="L2620" t="str">
            <v>Si</v>
          </cell>
          <cell r="O2620" t="str">
            <v>Lic. en Tecnología de la Salud</v>
          </cell>
        </row>
        <row r="2621">
          <cell r="C2621" t="str">
            <v>Leonelvis Calderin García</v>
          </cell>
          <cell r="E2621" t="str">
            <v>M</v>
          </cell>
          <cell r="F2621" t="str">
            <v>negra</v>
          </cell>
          <cell r="K2621" t="str">
            <v>Técnico Superior</v>
          </cell>
          <cell r="L2621" t="str">
            <v>Si</v>
          </cell>
          <cell r="O2621" t="str">
            <v>Lic. en Tecnología de la Salud</v>
          </cell>
        </row>
        <row r="2622">
          <cell r="C2622" t="str">
            <v>LEONOR GUERRA BORIS</v>
          </cell>
          <cell r="E2622" t="str">
            <v>F</v>
          </cell>
          <cell r="F2622" t="str">
            <v>negra</v>
          </cell>
          <cell r="K2622" t="str">
            <v>Técnico Superior</v>
          </cell>
          <cell r="L2622" t="str">
            <v>Si</v>
          </cell>
          <cell r="O2622" t="str">
            <v>Lic. en Tecnología de la Salud</v>
          </cell>
        </row>
        <row r="2623">
          <cell r="C2623" t="str">
            <v>Leyanis Sierra Carnota</v>
          </cell>
          <cell r="E2623" t="str">
            <v>F</v>
          </cell>
          <cell r="F2623" t="str">
            <v>mestiza</v>
          </cell>
          <cell r="K2623" t="str">
            <v>Técnico Superior</v>
          </cell>
          <cell r="L2623" t="str">
            <v>Si</v>
          </cell>
          <cell r="O2623" t="str">
            <v>Lic. en Tecnología de la Salud</v>
          </cell>
        </row>
        <row r="2624">
          <cell r="C2624" t="str">
            <v>Licet Caballero Viamonte</v>
          </cell>
          <cell r="E2624" t="str">
            <v>F</v>
          </cell>
          <cell r="F2624" t="str">
            <v>negra</v>
          </cell>
          <cell r="K2624" t="str">
            <v>Técnico Superior</v>
          </cell>
          <cell r="L2624" t="str">
            <v>Si</v>
          </cell>
          <cell r="O2624" t="str">
            <v>Lic. en Tecnología de la Salud</v>
          </cell>
        </row>
        <row r="2625">
          <cell r="C2625" t="str">
            <v>Lilian Torres Mejias</v>
          </cell>
          <cell r="E2625" t="str">
            <v>F</v>
          </cell>
          <cell r="F2625" t="str">
            <v>mestiza</v>
          </cell>
          <cell r="K2625" t="str">
            <v>Técnico Superior</v>
          </cell>
          <cell r="L2625" t="str">
            <v>Si</v>
          </cell>
          <cell r="O2625" t="str">
            <v>Lic. en Tecnología de la Salud</v>
          </cell>
        </row>
        <row r="2626">
          <cell r="C2626" t="str">
            <v>Lloryana Escudero Pérez</v>
          </cell>
          <cell r="E2626" t="str">
            <v>F</v>
          </cell>
          <cell r="F2626" t="str">
            <v>blanca</v>
          </cell>
          <cell r="K2626" t="str">
            <v>Técnico Superior</v>
          </cell>
          <cell r="L2626" t="str">
            <v>Si</v>
          </cell>
          <cell r="O2626" t="str">
            <v>Lic. en Tecnología de la Salud</v>
          </cell>
        </row>
        <row r="2627">
          <cell r="C2627" t="str">
            <v>Lucila Soria Lores</v>
          </cell>
          <cell r="E2627" t="str">
            <v>F</v>
          </cell>
          <cell r="F2627" t="str">
            <v>mestiza</v>
          </cell>
          <cell r="K2627" t="str">
            <v>Técnico Superior</v>
          </cell>
          <cell r="L2627" t="str">
            <v>Si</v>
          </cell>
          <cell r="O2627" t="str">
            <v>Lic. en Tecnología de la Salud</v>
          </cell>
        </row>
        <row r="2628">
          <cell r="C2628" t="str">
            <v>Luis Enrique Ibañez Soto</v>
          </cell>
          <cell r="E2628" t="str">
            <v>M</v>
          </cell>
          <cell r="F2628" t="str">
            <v>mestiza</v>
          </cell>
          <cell r="K2628" t="str">
            <v>Técnico Superior</v>
          </cell>
          <cell r="L2628" t="str">
            <v>Si</v>
          </cell>
          <cell r="O2628" t="str">
            <v>Lic. en Tecnología de la Salud</v>
          </cell>
        </row>
        <row r="2629">
          <cell r="C2629" t="str">
            <v>Madelayne Martínez Pozo</v>
          </cell>
          <cell r="E2629" t="str">
            <v>F</v>
          </cell>
          <cell r="F2629" t="str">
            <v>mestiza</v>
          </cell>
          <cell r="K2629" t="str">
            <v>Técnico Superior</v>
          </cell>
          <cell r="L2629" t="str">
            <v>Si</v>
          </cell>
          <cell r="O2629" t="str">
            <v>Lic. en Tecnología de la Salud</v>
          </cell>
        </row>
        <row r="2630">
          <cell r="C2630" t="str">
            <v>Marbileibis Reyes Escalona</v>
          </cell>
          <cell r="E2630" t="str">
            <v>F</v>
          </cell>
          <cell r="F2630" t="str">
            <v>mestiza</v>
          </cell>
          <cell r="K2630" t="str">
            <v>Técnico Superior</v>
          </cell>
          <cell r="L2630" t="str">
            <v>Si</v>
          </cell>
          <cell r="O2630" t="str">
            <v>Lic. en Tecnología de la Salud</v>
          </cell>
        </row>
        <row r="2631">
          <cell r="C2631" t="str">
            <v>Marileidis Ochoa Rizo</v>
          </cell>
          <cell r="E2631" t="str">
            <v>F</v>
          </cell>
          <cell r="F2631" t="str">
            <v>mestiza</v>
          </cell>
          <cell r="K2631" t="str">
            <v>Técnico Superior</v>
          </cell>
          <cell r="L2631" t="str">
            <v>Si</v>
          </cell>
          <cell r="O2631" t="str">
            <v>Lic. en Tecnología de la Salud</v>
          </cell>
        </row>
        <row r="2632">
          <cell r="C2632" t="str">
            <v>Marisnorbis Ruiz Riquelme</v>
          </cell>
          <cell r="E2632" t="str">
            <v>F</v>
          </cell>
          <cell r="F2632" t="str">
            <v>negra</v>
          </cell>
          <cell r="K2632" t="str">
            <v>Técnico Superior</v>
          </cell>
          <cell r="L2632" t="str">
            <v>Si</v>
          </cell>
          <cell r="O2632" t="str">
            <v>Lic. en Tecnología de la Salud</v>
          </cell>
        </row>
        <row r="2633">
          <cell r="C2633" t="str">
            <v>Marlenes Guevara Hechavaria</v>
          </cell>
          <cell r="E2633" t="str">
            <v>F</v>
          </cell>
          <cell r="F2633" t="str">
            <v>negra</v>
          </cell>
          <cell r="K2633" t="str">
            <v>Técnico Superior</v>
          </cell>
          <cell r="L2633" t="str">
            <v>Si</v>
          </cell>
          <cell r="O2633" t="str">
            <v>Lic. en Tecnología de la Salud</v>
          </cell>
        </row>
        <row r="2634">
          <cell r="C2634" t="str">
            <v>Maylin Legrá Bandera</v>
          </cell>
          <cell r="E2634" t="str">
            <v>F</v>
          </cell>
          <cell r="F2634" t="str">
            <v>blanca</v>
          </cell>
          <cell r="K2634" t="str">
            <v>Técnico Superior</v>
          </cell>
          <cell r="L2634" t="str">
            <v>Si</v>
          </cell>
          <cell r="O2634" t="str">
            <v>Lic. en Tecnología de la Salud</v>
          </cell>
        </row>
        <row r="2635">
          <cell r="C2635" t="str">
            <v>Merilús Vegó Ramirez</v>
          </cell>
          <cell r="E2635" t="str">
            <v>F</v>
          </cell>
          <cell r="F2635" t="str">
            <v>negra</v>
          </cell>
          <cell r="K2635" t="str">
            <v>Técnico Superior</v>
          </cell>
          <cell r="L2635" t="str">
            <v>Si</v>
          </cell>
          <cell r="O2635" t="str">
            <v>Lic. en Tecnología de la Salud</v>
          </cell>
        </row>
        <row r="2636">
          <cell r="C2636" t="str">
            <v>Mileydis DEL Rio Verdecia</v>
          </cell>
          <cell r="E2636" t="str">
            <v>F</v>
          </cell>
          <cell r="F2636" t="str">
            <v>mestiza</v>
          </cell>
          <cell r="K2636" t="str">
            <v>Cuadro</v>
          </cell>
          <cell r="L2636" t="str">
            <v>Si</v>
          </cell>
          <cell r="O2636" t="str">
            <v>Lic. en Tecnología de la Salud</v>
          </cell>
        </row>
        <row r="2637">
          <cell r="C2637" t="str">
            <v>Miriela Perdomo Vinent</v>
          </cell>
          <cell r="E2637" t="str">
            <v>F</v>
          </cell>
          <cell r="F2637" t="str">
            <v>mestiza</v>
          </cell>
          <cell r="K2637" t="str">
            <v>Cuadro</v>
          </cell>
          <cell r="L2637" t="str">
            <v>Si</v>
          </cell>
          <cell r="O2637" t="str">
            <v>Lic. en Tecnología de la Salud</v>
          </cell>
        </row>
        <row r="2638">
          <cell r="C2638" t="str">
            <v>Mirna  Esther Duharte Figueroa</v>
          </cell>
          <cell r="E2638" t="str">
            <v>F</v>
          </cell>
          <cell r="F2638" t="str">
            <v>negra</v>
          </cell>
          <cell r="K2638" t="str">
            <v>Técnico Superior</v>
          </cell>
          <cell r="L2638" t="str">
            <v>Si</v>
          </cell>
          <cell r="O2638" t="str">
            <v>Lic. en Tecnología de la Salud</v>
          </cell>
        </row>
        <row r="2639">
          <cell r="C2639" t="str">
            <v>Mirna Torres Castro</v>
          </cell>
          <cell r="E2639" t="str">
            <v>F</v>
          </cell>
          <cell r="F2639" t="str">
            <v>mestiza</v>
          </cell>
          <cell r="K2639" t="str">
            <v>Técnico Superior</v>
          </cell>
          <cell r="L2639" t="str">
            <v>Si</v>
          </cell>
          <cell r="O2639" t="str">
            <v>Lic. en Tecnología de la Salud</v>
          </cell>
        </row>
        <row r="2640">
          <cell r="C2640" t="str">
            <v>Noreidis Mustelier Gutierres</v>
          </cell>
          <cell r="E2640" t="str">
            <v>F</v>
          </cell>
          <cell r="F2640" t="str">
            <v>mestiza</v>
          </cell>
          <cell r="K2640" t="str">
            <v>Técnico Superior</v>
          </cell>
          <cell r="L2640" t="str">
            <v>Si</v>
          </cell>
          <cell r="O2640" t="str">
            <v>Lic. en Tecnología de la Salud</v>
          </cell>
        </row>
        <row r="2641">
          <cell r="C2641" t="str">
            <v>Norlen Herrera Arce</v>
          </cell>
          <cell r="E2641" t="str">
            <v>F</v>
          </cell>
          <cell r="F2641" t="str">
            <v>mestiza</v>
          </cell>
          <cell r="K2641" t="str">
            <v>Técnico Superior</v>
          </cell>
          <cell r="L2641" t="str">
            <v>Si</v>
          </cell>
          <cell r="O2641" t="str">
            <v>Lic. en Tecnología de la Salud</v>
          </cell>
        </row>
        <row r="2642">
          <cell r="C2642" t="str">
            <v>Olga Lidia Camué García</v>
          </cell>
          <cell r="E2642" t="str">
            <v>F</v>
          </cell>
          <cell r="F2642" t="str">
            <v>negra</v>
          </cell>
          <cell r="K2642" t="str">
            <v>Técnico Superior</v>
          </cell>
          <cell r="L2642" t="str">
            <v>Si</v>
          </cell>
          <cell r="O2642" t="str">
            <v>Lic. en Tecnología de la Salud</v>
          </cell>
        </row>
        <row r="2643">
          <cell r="C2643" t="str">
            <v>Orlenis Ruiz LaO</v>
          </cell>
          <cell r="E2643" t="str">
            <v>M</v>
          </cell>
          <cell r="F2643" t="str">
            <v>mestiza</v>
          </cell>
          <cell r="K2643" t="str">
            <v>Técnico Superior</v>
          </cell>
          <cell r="L2643" t="str">
            <v>Si</v>
          </cell>
          <cell r="O2643" t="str">
            <v>Lic. en Tecnología de la Salud</v>
          </cell>
        </row>
        <row r="2644">
          <cell r="C2644" t="str">
            <v>Pedro Jesús Castellano Castillo</v>
          </cell>
          <cell r="E2644" t="str">
            <v>M</v>
          </cell>
          <cell r="F2644" t="str">
            <v>negra</v>
          </cell>
          <cell r="K2644" t="str">
            <v>Técnico Superior</v>
          </cell>
          <cell r="L2644" t="str">
            <v>Si</v>
          </cell>
          <cell r="O2644" t="str">
            <v>Lic. en Tecnología de la Salud</v>
          </cell>
        </row>
        <row r="2645">
          <cell r="C2645" t="str">
            <v>Rodolfo Eduards Rabelo</v>
          </cell>
          <cell r="E2645" t="str">
            <v>M</v>
          </cell>
          <cell r="F2645" t="str">
            <v>negra</v>
          </cell>
          <cell r="K2645" t="str">
            <v>Técnico Superior</v>
          </cell>
          <cell r="L2645" t="str">
            <v>Si</v>
          </cell>
          <cell r="O2645" t="str">
            <v>Lic. en Tecnología de la Salud</v>
          </cell>
        </row>
        <row r="2646">
          <cell r="C2646" t="str">
            <v>Romelia Roble Galindo</v>
          </cell>
          <cell r="E2646" t="str">
            <v>F</v>
          </cell>
          <cell r="F2646" t="str">
            <v>negra</v>
          </cell>
          <cell r="K2646" t="str">
            <v>Técnico Superior</v>
          </cell>
          <cell r="L2646" t="str">
            <v>Si</v>
          </cell>
          <cell r="O2646" t="str">
            <v>Lic. en Tecnología de la Salud</v>
          </cell>
        </row>
        <row r="2647">
          <cell r="C2647" t="str">
            <v>Rosaida Roble Galindo</v>
          </cell>
          <cell r="E2647" t="str">
            <v>F</v>
          </cell>
          <cell r="F2647" t="str">
            <v>mestiza</v>
          </cell>
          <cell r="K2647" t="str">
            <v>Técnico Superior</v>
          </cell>
          <cell r="L2647" t="str">
            <v>Si</v>
          </cell>
          <cell r="O2647" t="str">
            <v>Lic. en Tecnología de la Salud</v>
          </cell>
        </row>
        <row r="2648">
          <cell r="C2648" t="str">
            <v>Roxana Guerra Benito</v>
          </cell>
          <cell r="E2648" t="str">
            <v>F</v>
          </cell>
          <cell r="F2648" t="str">
            <v>mestiza</v>
          </cell>
          <cell r="K2648" t="str">
            <v>Técnico Superior</v>
          </cell>
          <cell r="L2648" t="str">
            <v>Si</v>
          </cell>
          <cell r="O2648" t="str">
            <v>Lic. en Tecnología de la Salud</v>
          </cell>
        </row>
        <row r="2649">
          <cell r="C2649" t="str">
            <v>Suleidi Santiago Delgado</v>
          </cell>
          <cell r="E2649" t="str">
            <v>F</v>
          </cell>
          <cell r="F2649" t="str">
            <v>blanca</v>
          </cell>
          <cell r="K2649" t="str">
            <v>Técnico Superior</v>
          </cell>
          <cell r="L2649" t="str">
            <v>Si</v>
          </cell>
          <cell r="O2649" t="str">
            <v>Lic. en Tecnología de la Salud</v>
          </cell>
        </row>
        <row r="2650">
          <cell r="C2650" t="str">
            <v>Teresa Aguilar Pérez</v>
          </cell>
          <cell r="E2650" t="str">
            <v>F</v>
          </cell>
          <cell r="F2650" t="str">
            <v>blanca</v>
          </cell>
          <cell r="K2650" t="str">
            <v>Técnico Superior</v>
          </cell>
          <cell r="L2650" t="str">
            <v>Si</v>
          </cell>
          <cell r="O2650" t="str">
            <v>Lic. en Tecnología de la Salud</v>
          </cell>
        </row>
        <row r="2651">
          <cell r="C2651" t="str">
            <v>Wilfredo Moreno Pérez</v>
          </cell>
          <cell r="E2651" t="str">
            <v>M</v>
          </cell>
          <cell r="F2651" t="str">
            <v>mestiza</v>
          </cell>
          <cell r="K2651" t="str">
            <v>Cuadro</v>
          </cell>
          <cell r="L2651" t="str">
            <v>Si</v>
          </cell>
          <cell r="O2651" t="str">
            <v>Lic. en Tecnología de la Salud</v>
          </cell>
        </row>
        <row r="2652">
          <cell r="C2652" t="str">
            <v>Wilfredo Rondon Acevedo</v>
          </cell>
          <cell r="E2652" t="str">
            <v>M</v>
          </cell>
          <cell r="F2652" t="str">
            <v>mestiza</v>
          </cell>
          <cell r="K2652" t="str">
            <v>Técnico Superior</v>
          </cell>
          <cell r="L2652" t="str">
            <v>Si</v>
          </cell>
          <cell r="O2652" t="str">
            <v>Lic. en Tecnología de la Salud</v>
          </cell>
        </row>
        <row r="2653">
          <cell r="C2653" t="str">
            <v>Wilmer Aponte González</v>
          </cell>
          <cell r="E2653" t="str">
            <v>M</v>
          </cell>
          <cell r="F2653" t="str">
            <v>mestiza</v>
          </cell>
          <cell r="K2653" t="str">
            <v>Técnico Superior</v>
          </cell>
          <cell r="L2653" t="str">
            <v>Si</v>
          </cell>
          <cell r="O2653" t="str">
            <v>Lic. en Tecnología de la Salud</v>
          </cell>
        </row>
        <row r="2654">
          <cell r="C2654" t="str">
            <v>Yadileidy Mora Hidalgo</v>
          </cell>
          <cell r="E2654" t="str">
            <v>F</v>
          </cell>
          <cell r="F2654" t="str">
            <v>mestiza</v>
          </cell>
          <cell r="K2654" t="str">
            <v>Técnico Superior</v>
          </cell>
          <cell r="L2654" t="str">
            <v>Si</v>
          </cell>
          <cell r="O2654" t="str">
            <v>Lic. en Tecnología de la Salud</v>
          </cell>
        </row>
        <row r="2655">
          <cell r="C2655" t="str">
            <v>Yailen Perez Arias</v>
          </cell>
          <cell r="E2655" t="str">
            <v>F</v>
          </cell>
          <cell r="F2655" t="str">
            <v>blanca</v>
          </cell>
          <cell r="K2655" t="str">
            <v>Técnico Superior</v>
          </cell>
          <cell r="L2655" t="str">
            <v>Si</v>
          </cell>
          <cell r="O2655" t="str">
            <v>Lic. en Tecnología de la Salud</v>
          </cell>
        </row>
        <row r="2656">
          <cell r="C2656" t="str">
            <v>Yailenis Gonzalez Cobas</v>
          </cell>
          <cell r="E2656" t="str">
            <v>F</v>
          </cell>
          <cell r="F2656" t="str">
            <v>mestiza</v>
          </cell>
          <cell r="K2656" t="str">
            <v>Técnico Superior</v>
          </cell>
          <cell r="L2656" t="str">
            <v>Si</v>
          </cell>
          <cell r="O2656" t="str">
            <v>Lic. en Tecnología de la Salud</v>
          </cell>
        </row>
        <row r="2657">
          <cell r="C2657" t="str">
            <v>Yamilet Dogmecg Alayo</v>
          </cell>
          <cell r="E2657" t="str">
            <v>F</v>
          </cell>
          <cell r="F2657" t="str">
            <v>mestiza</v>
          </cell>
          <cell r="K2657" t="str">
            <v>Técnico Superior</v>
          </cell>
          <cell r="L2657" t="str">
            <v>Si</v>
          </cell>
          <cell r="O2657" t="str">
            <v>Lic. en Tecnología de la Salud</v>
          </cell>
        </row>
        <row r="2658">
          <cell r="C2658" t="str">
            <v>Yanelis Medina Ferrer</v>
          </cell>
          <cell r="E2658" t="str">
            <v>F</v>
          </cell>
          <cell r="F2658" t="str">
            <v>mestiza</v>
          </cell>
          <cell r="K2658" t="str">
            <v>Técnico Superior</v>
          </cell>
          <cell r="L2658" t="str">
            <v>Si</v>
          </cell>
          <cell r="O2658" t="str">
            <v>Lic. en Tecnología de la Salud</v>
          </cell>
        </row>
        <row r="2659">
          <cell r="C2659" t="str">
            <v>Yanet Lastre Lobaina</v>
          </cell>
          <cell r="E2659" t="str">
            <v>F</v>
          </cell>
          <cell r="F2659" t="str">
            <v>mestiza</v>
          </cell>
          <cell r="K2659" t="str">
            <v>Técnico Superior</v>
          </cell>
          <cell r="L2659" t="str">
            <v>Si</v>
          </cell>
          <cell r="O2659" t="str">
            <v>Lic. en Tecnología de la Salud</v>
          </cell>
        </row>
        <row r="2660">
          <cell r="C2660" t="str">
            <v>Yanet León Zapata</v>
          </cell>
          <cell r="E2660" t="str">
            <v>F</v>
          </cell>
          <cell r="F2660" t="str">
            <v>blanca</v>
          </cell>
          <cell r="K2660" t="str">
            <v>Técnico Superior</v>
          </cell>
          <cell r="L2660" t="str">
            <v>Si</v>
          </cell>
          <cell r="O2660" t="str">
            <v>Lic. en Tecnología de la Salud</v>
          </cell>
        </row>
        <row r="2661">
          <cell r="C2661" t="str">
            <v>Yaneysi Prades Hernandez</v>
          </cell>
          <cell r="E2661" t="str">
            <v>F</v>
          </cell>
          <cell r="F2661" t="str">
            <v>mestiza</v>
          </cell>
          <cell r="K2661" t="str">
            <v>Técnico Superior</v>
          </cell>
          <cell r="L2661" t="str">
            <v>Si</v>
          </cell>
          <cell r="O2661" t="str">
            <v>Lic. en Tecnología de la Salud</v>
          </cell>
        </row>
        <row r="2662">
          <cell r="C2662" t="str">
            <v>Yaqueline Lay Silveira</v>
          </cell>
          <cell r="E2662" t="str">
            <v>F</v>
          </cell>
          <cell r="F2662" t="str">
            <v>mestiza</v>
          </cell>
          <cell r="K2662" t="str">
            <v>Técnico Superior</v>
          </cell>
          <cell r="L2662" t="str">
            <v>Si</v>
          </cell>
          <cell r="O2662" t="str">
            <v>Lic. en Tecnología de la Salud</v>
          </cell>
        </row>
        <row r="2663">
          <cell r="C2663" t="str">
            <v>Yaritza Ramos Alcalá</v>
          </cell>
          <cell r="E2663" t="str">
            <v>F</v>
          </cell>
          <cell r="F2663" t="str">
            <v>mestiza</v>
          </cell>
          <cell r="K2663" t="str">
            <v>Cuadro</v>
          </cell>
          <cell r="L2663" t="str">
            <v>Si</v>
          </cell>
          <cell r="O2663" t="str">
            <v>Lic. en Tecnología de la Salud</v>
          </cell>
        </row>
        <row r="2664">
          <cell r="C2664" t="str">
            <v>Yasmary Pérez Torres</v>
          </cell>
          <cell r="E2664" t="str">
            <v>F</v>
          </cell>
          <cell r="F2664" t="str">
            <v>mestiza</v>
          </cell>
          <cell r="K2664" t="str">
            <v>Técnico Superior</v>
          </cell>
          <cell r="L2664" t="str">
            <v>Si</v>
          </cell>
          <cell r="O2664" t="str">
            <v>Lic. en Tecnología de la Salud</v>
          </cell>
        </row>
        <row r="2665">
          <cell r="C2665" t="str">
            <v>Yenisleydis Rojas Perez</v>
          </cell>
          <cell r="E2665" t="str">
            <v>F</v>
          </cell>
          <cell r="F2665" t="str">
            <v>mestiza</v>
          </cell>
          <cell r="K2665" t="str">
            <v>Técnico Superior</v>
          </cell>
          <cell r="L2665" t="str">
            <v>Si</v>
          </cell>
          <cell r="O2665" t="str">
            <v>Lic. en Tecnología de la Salud</v>
          </cell>
        </row>
        <row r="2666">
          <cell r="C2666" t="str">
            <v>Yennis Mayeta Fuentes</v>
          </cell>
          <cell r="E2666" t="str">
            <v>F</v>
          </cell>
          <cell r="F2666" t="str">
            <v>negra</v>
          </cell>
          <cell r="K2666" t="str">
            <v>Técnico Superior</v>
          </cell>
          <cell r="L2666" t="str">
            <v>Si</v>
          </cell>
          <cell r="O2666" t="str">
            <v>Lic. en Tecnología de la Salud</v>
          </cell>
        </row>
        <row r="2667">
          <cell r="C2667" t="str">
            <v>Yiliana Linarez Rios</v>
          </cell>
          <cell r="E2667" t="str">
            <v>F</v>
          </cell>
          <cell r="F2667" t="str">
            <v>mestiza</v>
          </cell>
          <cell r="K2667" t="str">
            <v>Técnico Superior</v>
          </cell>
          <cell r="L2667" t="str">
            <v>Si</v>
          </cell>
          <cell r="O2667" t="str">
            <v>Lic. en Tecnología de la Salud</v>
          </cell>
        </row>
        <row r="2668">
          <cell r="C2668" t="str">
            <v>Yinet Cumba Montes De Oca</v>
          </cell>
          <cell r="E2668" t="str">
            <v>F</v>
          </cell>
          <cell r="F2668" t="str">
            <v>mestiza</v>
          </cell>
          <cell r="K2668" t="str">
            <v>Técnico Superior</v>
          </cell>
          <cell r="L2668" t="str">
            <v>Si</v>
          </cell>
          <cell r="O2668" t="str">
            <v>Lic. en Tecnología de la Salud</v>
          </cell>
        </row>
        <row r="2669">
          <cell r="C2669" t="str">
            <v xml:space="preserve">Yoenni Heredia Ruiz </v>
          </cell>
          <cell r="E2669" t="str">
            <v>M</v>
          </cell>
          <cell r="F2669" t="str">
            <v>mestiza</v>
          </cell>
          <cell r="K2669" t="str">
            <v>Técnico Superior</v>
          </cell>
          <cell r="L2669" t="str">
            <v>Si</v>
          </cell>
          <cell r="O2669" t="str">
            <v>Lic. en Tecnología de la Salud</v>
          </cell>
        </row>
        <row r="2670">
          <cell r="C2670" t="str">
            <v>Yudelis Rosabal Carrion</v>
          </cell>
          <cell r="E2670" t="str">
            <v>F</v>
          </cell>
          <cell r="F2670" t="str">
            <v>mestiza</v>
          </cell>
          <cell r="K2670" t="str">
            <v>Técnico Superior</v>
          </cell>
          <cell r="L2670" t="str">
            <v>Si</v>
          </cell>
          <cell r="O2670" t="str">
            <v>Lic. en Tecnología de la Salud</v>
          </cell>
        </row>
        <row r="2671">
          <cell r="C2671" t="str">
            <v>Yudelkis Ferrera Caballero</v>
          </cell>
          <cell r="E2671" t="str">
            <v>F</v>
          </cell>
          <cell r="F2671" t="str">
            <v>mestiza</v>
          </cell>
          <cell r="K2671" t="str">
            <v>Técnico Superior</v>
          </cell>
          <cell r="L2671" t="str">
            <v>Si</v>
          </cell>
          <cell r="O2671" t="str">
            <v>Lic. en Tecnología de la Salud</v>
          </cell>
        </row>
        <row r="2672">
          <cell r="C2672" t="str">
            <v>Yudivia Del Rio Rocourt</v>
          </cell>
          <cell r="E2672" t="str">
            <v>F</v>
          </cell>
          <cell r="F2672" t="str">
            <v>mestiza</v>
          </cell>
          <cell r="K2672" t="str">
            <v>Técnico Superior</v>
          </cell>
          <cell r="L2672" t="str">
            <v>Si</v>
          </cell>
          <cell r="O2672" t="str">
            <v>Lic. en Tecnología de la Salud</v>
          </cell>
        </row>
        <row r="2673">
          <cell r="C2673" t="str">
            <v>Yudmila García Obregón</v>
          </cell>
          <cell r="E2673" t="str">
            <v>F</v>
          </cell>
          <cell r="F2673" t="str">
            <v>blanca</v>
          </cell>
          <cell r="K2673" t="str">
            <v>Técnico Superior</v>
          </cell>
          <cell r="L2673" t="str">
            <v>Si</v>
          </cell>
          <cell r="O2673" t="str">
            <v>Lic. en Tecnología de la Salud</v>
          </cell>
        </row>
        <row r="2674">
          <cell r="C2674" t="str">
            <v>Yumileisy Soler Cisnero</v>
          </cell>
          <cell r="E2674" t="str">
            <v>F</v>
          </cell>
          <cell r="F2674" t="str">
            <v>negra</v>
          </cell>
          <cell r="K2674" t="str">
            <v>Técnico Superior</v>
          </cell>
          <cell r="L2674" t="str">
            <v>Si</v>
          </cell>
          <cell r="O2674" t="str">
            <v>Lic. en Tecnología de la Salud</v>
          </cell>
        </row>
        <row r="2675">
          <cell r="C2675" t="str">
            <v>Yasdiel Puente Gutierrez</v>
          </cell>
          <cell r="E2675" t="str">
            <v>M</v>
          </cell>
          <cell r="F2675" t="str">
            <v>mestiza</v>
          </cell>
          <cell r="K2675" t="str">
            <v>Técnico Superior</v>
          </cell>
          <cell r="L2675" t="str">
            <v>No</v>
          </cell>
          <cell r="O2675" t="str">
            <v>Lic. en Tecnología de la Salud</v>
          </cell>
        </row>
        <row r="2676">
          <cell r="C2676" t="str">
            <v>Yuneisi Sarmiento Telllez</v>
          </cell>
          <cell r="E2676" t="str">
            <v>F</v>
          </cell>
          <cell r="F2676" t="str">
            <v>blanca</v>
          </cell>
          <cell r="K2676" t="str">
            <v>Técnico Superior</v>
          </cell>
          <cell r="L2676" t="str">
            <v>Si</v>
          </cell>
          <cell r="O2676" t="str">
            <v>Lic. en Tecnología de la Salud</v>
          </cell>
        </row>
        <row r="2677">
          <cell r="C2677" t="str">
            <v>Yunileisy Rodriguez Guia</v>
          </cell>
          <cell r="E2677" t="str">
            <v>F</v>
          </cell>
          <cell r="F2677" t="str">
            <v>mestiza</v>
          </cell>
          <cell r="K2677" t="str">
            <v>Técnico Superior</v>
          </cell>
          <cell r="L2677" t="str">
            <v>Si</v>
          </cell>
          <cell r="O2677" t="str">
            <v>Lic. en Tecnología de la Salud</v>
          </cell>
        </row>
        <row r="2678">
          <cell r="C2678" t="str">
            <v>YUNIOR REGUIFERO GOMEZ</v>
          </cell>
          <cell r="E2678" t="str">
            <v>M</v>
          </cell>
          <cell r="F2678" t="str">
            <v>mestiza</v>
          </cell>
          <cell r="K2678" t="str">
            <v>Técnico Superior</v>
          </cell>
          <cell r="L2678" t="str">
            <v>Si</v>
          </cell>
          <cell r="O2678" t="str">
            <v>Lic. en Tecnología de la Salud</v>
          </cell>
        </row>
        <row r="2679">
          <cell r="C2679" t="str">
            <v xml:space="preserve">YUREIDA PUENTES  GUTIERREZ </v>
          </cell>
          <cell r="E2679" t="str">
            <v>F</v>
          </cell>
          <cell r="F2679" t="str">
            <v>mestiza</v>
          </cell>
          <cell r="K2679" t="str">
            <v>Técnico Superior</v>
          </cell>
          <cell r="L2679" t="str">
            <v>Si</v>
          </cell>
          <cell r="O2679" t="str">
            <v>Lic. en Tecnología de la Salud</v>
          </cell>
        </row>
        <row r="2680">
          <cell r="C2680" t="str">
            <v>Yurenia García Díaz</v>
          </cell>
          <cell r="E2680" t="str">
            <v>F</v>
          </cell>
          <cell r="F2680" t="str">
            <v>blanca</v>
          </cell>
          <cell r="K2680" t="str">
            <v>Técnico Superior</v>
          </cell>
          <cell r="L2680" t="str">
            <v>Si</v>
          </cell>
          <cell r="O2680" t="str">
            <v>Lic. en Tecnología de la Salud</v>
          </cell>
        </row>
        <row r="2681">
          <cell r="C2681" t="str">
            <v>Yurideysis Sanchez Navea</v>
          </cell>
          <cell r="E2681" t="str">
            <v>F</v>
          </cell>
          <cell r="F2681" t="str">
            <v>mestiza</v>
          </cell>
          <cell r="K2681" t="str">
            <v>Técnico Superior</v>
          </cell>
          <cell r="L2681" t="str">
            <v>Si</v>
          </cell>
          <cell r="O2681" t="str">
            <v>Lic. en Tecnología de la Salud</v>
          </cell>
        </row>
        <row r="2682">
          <cell r="C2682" t="str">
            <v>Yurileysi Castillo Molina</v>
          </cell>
          <cell r="E2682" t="str">
            <v>F</v>
          </cell>
          <cell r="F2682" t="str">
            <v>mestiza</v>
          </cell>
          <cell r="K2682" t="str">
            <v>Técnico Superior</v>
          </cell>
          <cell r="L2682" t="str">
            <v>Si</v>
          </cell>
          <cell r="O2682" t="str">
            <v>Lic. en Tecnología de la Salud</v>
          </cell>
        </row>
        <row r="2683">
          <cell r="C2683" t="str">
            <v>Yuriseydi Fernandez Cause</v>
          </cell>
          <cell r="E2683" t="str">
            <v>F</v>
          </cell>
          <cell r="F2683" t="str">
            <v>mestiza</v>
          </cell>
          <cell r="K2683" t="str">
            <v>Técnico Superior</v>
          </cell>
          <cell r="L2683" t="str">
            <v>Si</v>
          </cell>
          <cell r="O2683" t="str">
            <v>Lic. en Tecnología de la Salud</v>
          </cell>
        </row>
        <row r="2684">
          <cell r="C2684" t="str">
            <v>Yuslaidi Carrion Samé</v>
          </cell>
          <cell r="E2684" t="str">
            <v>F</v>
          </cell>
          <cell r="F2684" t="str">
            <v>mestiza</v>
          </cell>
          <cell r="K2684" t="str">
            <v>Técnico Superior</v>
          </cell>
          <cell r="L2684" t="str">
            <v>Si</v>
          </cell>
          <cell r="O2684" t="str">
            <v>Lic. en Tecnología de la Salud</v>
          </cell>
        </row>
        <row r="2685">
          <cell r="C2685" t="str">
            <v>Yuslenia Betancourt Rodriguez</v>
          </cell>
          <cell r="E2685" t="str">
            <v>F</v>
          </cell>
          <cell r="F2685" t="str">
            <v>mestiza</v>
          </cell>
          <cell r="K2685" t="str">
            <v>Técnico Superior</v>
          </cell>
          <cell r="L2685" t="str">
            <v>Si</v>
          </cell>
          <cell r="O2685" t="str">
            <v>Lic. en Tecnología de la Salud</v>
          </cell>
        </row>
        <row r="2686">
          <cell r="C2686" t="str">
            <v>Yusmaida Anet Cintra</v>
          </cell>
          <cell r="E2686" t="str">
            <v>F</v>
          </cell>
          <cell r="F2686" t="str">
            <v>blanca</v>
          </cell>
          <cell r="K2686" t="str">
            <v>Técnico Superior</v>
          </cell>
          <cell r="L2686" t="str">
            <v>Si</v>
          </cell>
          <cell r="O2686" t="str">
            <v>Lic. en Tecnología de la Salud</v>
          </cell>
        </row>
        <row r="2687">
          <cell r="C2687" t="str">
            <v>Iliana Suñol Cuello</v>
          </cell>
          <cell r="E2687" t="str">
            <v>F</v>
          </cell>
          <cell r="F2687" t="str">
            <v>Negra</v>
          </cell>
          <cell r="K2687" t="str">
            <v>Técnico Superior</v>
          </cell>
          <cell r="L2687" t="str">
            <v>Si</v>
          </cell>
          <cell r="O2687" t="str">
            <v>Lic. en Tecnología de la Salud</v>
          </cell>
        </row>
        <row r="2688">
          <cell r="C2688" t="str">
            <v>Oscar Suárez Carrión</v>
          </cell>
          <cell r="E2688" t="str">
            <v>M</v>
          </cell>
          <cell r="F2688" t="str">
            <v>mestiza</v>
          </cell>
          <cell r="K2688" t="str">
            <v>Operario</v>
          </cell>
          <cell r="L2688" t="str">
            <v>No</v>
          </cell>
          <cell r="O2688" t="str">
            <v>Otros No Técnicos</v>
          </cell>
        </row>
        <row r="2689">
          <cell r="C2689" t="str">
            <v>Henry Lescay Soler</v>
          </cell>
          <cell r="E2689" t="str">
            <v>m</v>
          </cell>
          <cell r="F2689" t="str">
            <v>mestiza</v>
          </cell>
          <cell r="K2689" t="str">
            <v>Operario</v>
          </cell>
          <cell r="L2689" t="str">
            <v>No</v>
          </cell>
          <cell r="O2689" t="str">
            <v>Otros No Técnicos</v>
          </cell>
        </row>
        <row r="2690">
          <cell r="C2690" t="str">
            <v>Carmen Julia Peñalver Cuello</v>
          </cell>
          <cell r="E2690" t="str">
            <v>F</v>
          </cell>
          <cell r="F2690" t="str">
            <v>negra</v>
          </cell>
          <cell r="K2690" t="str">
            <v>Técnico Superior</v>
          </cell>
          <cell r="L2690" t="str">
            <v>No</v>
          </cell>
          <cell r="O2690" t="str">
            <v>Lic. en Tecnología de la Salud</v>
          </cell>
        </row>
        <row r="2691">
          <cell r="C2691" t="str">
            <v>Dariel Alejandro Castellano Diaz</v>
          </cell>
          <cell r="E2691" t="str">
            <v>M</v>
          </cell>
          <cell r="F2691" t="str">
            <v>negra</v>
          </cell>
          <cell r="K2691" t="str">
            <v>Técnico Superior</v>
          </cell>
          <cell r="L2691" t="str">
            <v>Si</v>
          </cell>
          <cell r="O2691" t="str">
            <v>Lic. en Tecnología de la Salud</v>
          </cell>
        </row>
        <row r="2692">
          <cell r="C2692" t="str">
            <v>Sheila Lianet Arce Reus</v>
          </cell>
          <cell r="E2692" t="str">
            <v>F</v>
          </cell>
          <cell r="F2692" t="str">
            <v>negra</v>
          </cell>
          <cell r="K2692" t="str">
            <v>Técnico Medio</v>
          </cell>
          <cell r="L2692" t="str">
            <v>No</v>
          </cell>
          <cell r="O2692" t="str">
            <v>Técnico No Formado Salud</v>
          </cell>
        </row>
        <row r="2693">
          <cell r="C2693" t="str">
            <v>Maite Castellano Izaguirre</v>
          </cell>
          <cell r="E2693" t="str">
            <v>F</v>
          </cell>
          <cell r="F2693" t="str">
            <v>mestiza</v>
          </cell>
          <cell r="K2693" t="str">
            <v>Técnico Superior</v>
          </cell>
          <cell r="L2693" t="str">
            <v>No</v>
          </cell>
          <cell r="O2693" t="str">
            <v>Lic. en Tecnología de la Salud</v>
          </cell>
        </row>
        <row r="2694">
          <cell r="C2694" t="str">
            <v>Yumarqui Ramos Mojena</v>
          </cell>
          <cell r="E2694" t="str">
            <v>F</v>
          </cell>
          <cell r="F2694" t="str">
            <v>mestiza</v>
          </cell>
          <cell r="K2694" t="str">
            <v>Técnico Medio</v>
          </cell>
          <cell r="L2694" t="str">
            <v>No</v>
          </cell>
          <cell r="O2694" t="str">
            <v>Técnico No Formado Salud</v>
          </cell>
        </row>
        <row r="2695">
          <cell r="C2695" t="str">
            <v>Roberto Santos Mandaleon</v>
          </cell>
          <cell r="E2695" t="str">
            <v>M</v>
          </cell>
          <cell r="F2695" t="str">
            <v>mestiza</v>
          </cell>
          <cell r="K2695" t="str">
            <v>Operario</v>
          </cell>
          <cell r="L2695" t="str">
            <v>No</v>
          </cell>
          <cell r="O2695" t="str">
            <v>Otros No Técnicos</v>
          </cell>
        </row>
        <row r="2696">
          <cell r="C2696" t="str">
            <v>Thalia Tellez León</v>
          </cell>
          <cell r="E2696" t="str">
            <v>F</v>
          </cell>
          <cell r="F2696" t="str">
            <v>mestiza</v>
          </cell>
          <cell r="K2696" t="str">
            <v>Operario</v>
          </cell>
          <cell r="L2696" t="str">
            <v>No</v>
          </cell>
          <cell r="O2696" t="str">
            <v>Otros No Técnicos</v>
          </cell>
        </row>
        <row r="2697">
          <cell r="C2697" t="str">
            <v>Margenis Martinez Fabré</v>
          </cell>
          <cell r="E2697" t="str">
            <v>M</v>
          </cell>
          <cell r="F2697" t="str">
            <v>mestiza</v>
          </cell>
          <cell r="K2697" t="str">
            <v>Operario</v>
          </cell>
          <cell r="L2697" t="str">
            <v>No</v>
          </cell>
          <cell r="O2697" t="str">
            <v>Otros No Técnicos</v>
          </cell>
        </row>
        <row r="2698">
          <cell r="C2698" t="str">
            <v>Liliane Garbes Alayo</v>
          </cell>
          <cell r="E2698" t="str">
            <v>F</v>
          </cell>
          <cell r="F2698" t="str">
            <v>mestiza</v>
          </cell>
          <cell r="K2698" t="str">
            <v>Operario</v>
          </cell>
          <cell r="L2698" t="str">
            <v>No</v>
          </cell>
          <cell r="O2698" t="str">
            <v>Otros No Técnicos</v>
          </cell>
        </row>
        <row r="2699">
          <cell r="C2699" t="str">
            <v>Yanisleydis Almaguer Alayo</v>
          </cell>
          <cell r="E2699" t="str">
            <v>F</v>
          </cell>
          <cell r="F2699" t="str">
            <v>mestiza</v>
          </cell>
          <cell r="K2699" t="str">
            <v>Servicio</v>
          </cell>
          <cell r="L2699" t="str">
            <v>No</v>
          </cell>
          <cell r="O2699" t="str">
            <v>Otros No Técnicos</v>
          </cell>
        </row>
        <row r="2700">
          <cell r="C2700" t="str">
            <v>Yurisleydis Roncourt Revilla</v>
          </cell>
          <cell r="E2700" t="str">
            <v>F</v>
          </cell>
          <cell r="F2700" t="str">
            <v>mestiza</v>
          </cell>
          <cell r="K2700" t="str">
            <v>Técnico Superior</v>
          </cell>
          <cell r="L2700" t="str">
            <v>No</v>
          </cell>
          <cell r="O2700" t="str">
            <v>Lic. Enfermería</v>
          </cell>
        </row>
        <row r="2701">
          <cell r="C2701" t="str">
            <v>Milagros Tellez Martinez</v>
          </cell>
          <cell r="E2701" t="str">
            <v>F</v>
          </cell>
          <cell r="F2701" t="str">
            <v>negra</v>
          </cell>
          <cell r="K2701" t="str">
            <v>Técnico Superior</v>
          </cell>
          <cell r="L2701" t="str">
            <v>Si</v>
          </cell>
          <cell r="O2701" t="str">
            <v>Lic. en Tecnología de la Salud</v>
          </cell>
        </row>
        <row r="2702">
          <cell r="C2702" t="str">
            <v>Julia Santos Perez</v>
          </cell>
          <cell r="E2702" t="str">
            <v>F</v>
          </cell>
          <cell r="F2702" t="str">
            <v>mestiza</v>
          </cell>
          <cell r="K2702" t="str">
            <v>Técnico Superior</v>
          </cell>
          <cell r="L2702" t="str">
            <v>Si</v>
          </cell>
          <cell r="O2702" t="str">
            <v>Lic. en Tecnología de la Salud</v>
          </cell>
        </row>
        <row r="2703">
          <cell r="C2703" t="str">
            <v>Yanileidis Bubaine Adames</v>
          </cell>
          <cell r="E2703" t="str">
            <v>F</v>
          </cell>
          <cell r="F2703" t="str">
            <v>mestiza</v>
          </cell>
          <cell r="K2703" t="str">
            <v>Operario</v>
          </cell>
          <cell r="L2703" t="str">
            <v>No</v>
          </cell>
          <cell r="O2703" t="str">
            <v>Otros No Técnicos</v>
          </cell>
        </row>
        <row r="2704">
          <cell r="C2704" t="str">
            <v>Ayelis Plana Sese</v>
          </cell>
          <cell r="E2704" t="str">
            <v>F</v>
          </cell>
          <cell r="F2704" t="str">
            <v>negra</v>
          </cell>
          <cell r="K2704" t="str">
            <v>Técnico Medio</v>
          </cell>
          <cell r="L2704" t="str">
            <v>No</v>
          </cell>
          <cell r="O2704" t="str">
            <v>Enfermería</v>
          </cell>
        </row>
        <row r="2705">
          <cell r="C2705" t="str">
            <v>Joel Yosvani Pérez Léon</v>
          </cell>
          <cell r="E2705" t="str">
            <v>M</v>
          </cell>
          <cell r="F2705" t="str">
            <v>blanca</v>
          </cell>
          <cell r="K2705" t="str">
            <v>Servicio</v>
          </cell>
          <cell r="L2705" t="str">
            <v>No</v>
          </cell>
          <cell r="O2705" t="str">
            <v>Otros No Técnicos</v>
          </cell>
        </row>
        <row r="2706">
          <cell r="C2706" t="str">
            <v>Mercedes Yanara Sanchez Mustelier</v>
          </cell>
          <cell r="E2706" t="str">
            <v>F</v>
          </cell>
          <cell r="F2706" t="str">
            <v>mestiza</v>
          </cell>
          <cell r="K2706" t="str">
            <v>Técnico Medio</v>
          </cell>
          <cell r="L2706" t="str">
            <v>No</v>
          </cell>
          <cell r="O2706" t="str">
            <v>Técnico No Formado Salud</v>
          </cell>
        </row>
        <row r="2707">
          <cell r="C2707" t="str">
            <v>Yerandis Leliebre Casanova</v>
          </cell>
          <cell r="E2707" t="str">
            <v>M</v>
          </cell>
          <cell r="F2707" t="str">
            <v>negra</v>
          </cell>
          <cell r="K2707" t="str">
            <v>Servicio</v>
          </cell>
          <cell r="L2707" t="str">
            <v>No</v>
          </cell>
          <cell r="O2707" t="str">
            <v>Otros No Técnicos</v>
          </cell>
        </row>
        <row r="2708">
          <cell r="C2708" t="str">
            <v>Carlos Asiel Castillo Fernandez</v>
          </cell>
          <cell r="E2708" t="str">
            <v>M</v>
          </cell>
          <cell r="F2708" t="str">
            <v>negra</v>
          </cell>
          <cell r="K2708" t="str">
            <v>Operario</v>
          </cell>
          <cell r="L2708" t="str">
            <v>No</v>
          </cell>
          <cell r="O2708" t="str">
            <v>Técnico No Formado Salud</v>
          </cell>
        </row>
        <row r="2709">
          <cell r="C2709" t="str">
            <v>Linne Soto León</v>
          </cell>
          <cell r="E2709" t="str">
            <v>F</v>
          </cell>
          <cell r="F2709" t="str">
            <v>negra</v>
          </cell>
          <cell r="K2709" t="str">
            <v>Técnico Superior</v>
          </cell>
          <cell r="L2709" t="str">
            <v>No</v>
          </cell>
          <cell r="O2709" t="str">
            <v>Otros Profesionales y Especialidades</v>
          </cell>
        </row>
        <row r="2710">
          <cell r="C2710" t="str">
            <v>Yaumara Lahera Carreño</v>
          </cell>
          <cell r="E2710" t="str">
            <v>F</v>
          </cell>
          <cell r="F2710" t="str">
            <v>mestiza</v>
          </cell>
          <cell r="K2710" t="str">
            <v>Cuadro</v>
          </cell>
          <cell r="L2710" t="str">
            <v>Si</v>
          </cell>
          <cell r="O2710" t="str">
            <v>Médico</v>
          </cell>
        </row>
        <row r="2711">
          <cell r="C2711" t="str">
            <v>Dayana Fuentes Diaz</v>
          </cell>
          <cell r="E2711" t="str">
            <v>F</v>
          </cell>
          <cell r="F2711" t="str">
            <v>mestiza</v>
          </cell>
          <cell r="K2711" t="str">
            <v>Técnico Superior</v>
          </cell>
          <cell r="L2711" t="str">
            <v>No</v>
          </cell>
          <cell r="O2711" t="str">
            <v>Médico</v>
          </cell>
        </row>
        <row r="2712">
          <cell r="C2712" t="str">
            <v>Leonnis Carbonell Otamendi</v>
          </cell>
          <cell r="E2712" t="str">
            <v>M</v>
          </cell>
          <cell r="F2712" t="str">
            <v>negra</v>
          </cell>
          <cell r="K2712" t="str">
            <v>Servicio</v>
          </cell>
          <cell r="L2712" t="str">
            <v>No</v>
          </cell>
          <cell r="O2712" t="str">
            <v>Otros No Técnicos</v>
          </cell>
        </row>
        <row r="2713">
          <cell r="C2713" t="str">
            <v>Carla Martinez Ortiz</v>
          </cell>
          <cell r="E2713" t="str">
            <v>F</v>
          </cell>
          <cell r="F2713" t="str">
            <v>mestiza</v>
          </cell>
          <cell r="K2713" t="str">
            <v>Servicio</v>
          </cell>
          <cell r="L2713" t="str">
            <v>No</v>
          </cell>
          <cell r="O2713" t="str">
            <v>Otros No Técnicos</v>
          </cell>
        </row>
        <row r="2714">
          <cell r="C2714" t="str">
            <v>Aime Ramos Rivera</v>
          </cell>
          <cell r="E2714" t="str">
            <v>F</v>
          </cell>
          <cell r="F2714" t="str">
            <v>mestiza</v>
          </cell>
          <cell r="K2714" t="str">
            <v>Servicio</v>
          </cell>
          <cell r="L2714" t="str">
            <v>No</v>
          </cell>
          <cell r="O2714" t="str">
            <v>Otros No Técnicos</v>
          </cell>
        </row>
        <row r="2715">
          <cell r="C2715" t="str">
            <v>Raiza de la Caridad Menerio Pileta</v>
          </cell>
          <cell r="E2715" t="str">
            <v>F</v>
          </cell>
          <cell r="F2715" t="str">
            <v>Mestiza</v>
          </cell>
          <cell r="K2715" t="str">
            <v>Operario</v>
          </cell>
          <cell r="L2715" t="str">
            <v>No</v>
          </cell>
          <cell r="O2715" t="str">
            <v>Otros No Técnicos</v>
          </cell>
        </row>
        <row r="2716">
          <cell r="C2716" t="str">
            <v>Iralis Hechavarria carbajal</v>
          </cell>
          <cell r="E2716" t="str">
            <v>F</v>
          </cell>
          <cell r="F2716" t="str">
            <v>Mestiza</v>
          </cell>
          <cell r="K2716" t="str">
            <v>Operario</v>
          </cell>
          <cell r="L2716" t="str">
            <v>No</v>
          </cell>
          <cell r="O2716" t="str">
            <v>Otros No Técnicos</v>
          </cell>
        </row>
        <row r="2717">
          <cell r="C2717" t="str">
            <v>Roilan Roman Macias</v>
          </cell>
          <cell r="E2717" t="str">
            <v>F</v>
          </cell>
          <cell r="F2717" t="str">
            <v>mestiza</v>
          </cell>
          <cell r="K2717" t="str">
            <v>Técnico Superior</v>
          </cell>
          <cell r="L2717" t="str">
            <v>Si</v>
          </cell>
          <cell r="O2717" t="str">
            <v>Médico</v>
          </cell>
        </row>
        <row r="2718">
          <cell r="C2718" t="str">
            <v>RAFAEL TORRES ESCOBAR</v>
          </cell>
          <cell r="E2718" t="str">
            <v>M</v>
          </cell>
          <cell r="F2718" t="str">
            <v>mestiza</v>
          </cell>
          <cell r="K2718" t="str">
            <v>Servicio</v>
          </cell>
          <cell r="L2718" t="str">
            <v>Si</v>
          </cell>
          <cell r="O2718" t="str">
            <v>Otros No Técnicos</v>
          </cell>
        </row>
        <row r="2719">
          <cell r="C2719" t="str">
            <v>Yasel Rodriguez Rodriguez</v>
          </cell>
          <cell r="E2719" t="str">
            <v>M</v>
          </cell>
          <cell r="F2719" t="str">
            <v>mestiza</v>
          </cell>
          <cell r="K2719" t="str">
            <v>Servicio</v>
          </cell>
          <cell r="L2719" t="str">
            <v>No</v>
          </cell>
          <cell r="O2719" t="str">
            <v>Otros No Técnicos</v>
          </cell>
        </row>
        <row r="2720">
          <cell r="C2720" t="str">
            <v>Eric Torres Romero</v>
          </cell>
          <cell r="E2720" t="str">
            <v>M</v>
          </cell>
          <cell r="F2720" t="str">
            <v>mestiza</v>
          </cell>
          <cell r="K2720" t="str">
            <v>Servicio</v>
          </cell>
          <cell r="L2720" t="str">
            <v>No</v>
          </cell>
          <cell r="O2720" t="str">
            <v>Otros No Técnicos</v>
          </cell>
        </row>
        <row r="2721">
          <cell r="C2721" t="str">
            <v>Victor Santiago Lopez</v>
          </cell>
          <cell r="E2721" t="str">
            <v>M</v>
          </cell>
          <cell r="F2721" t="str">
            <v>blanca</v>
          </cell>
          <cell r="K2721" t="str">
            <v>Operario</v>
          </cell>
          <cell r="L2721" t="str">
            <v>Si</v>
          </cell>
          <cell r="O2721" t="str">
            <v>Otros No Técnicos</v>
          </cell>
        </row>
        <row r="2722">
          <cell r="C2722" t="str">
            <v>Lilianet Melo Rodríguez</v>
          </cell>
          <cell r="E2722" t="str">
            <v>F</v>
          </cell>
          <cell r="F2722" t="str">
            <v>blanca</v>
          </cell>
          <cell r="K2722" t="str">
            <v>Técnico Superior</v>
          </cell>
          <cell r="L2722" t="str">
            <v>Si</v>
          </cell>
          <cell r="O2722" t="str">
            <v>Médico</v>
          </cell>
        </row>
        <row r="2723">
          <cell r="C2723" t="str">
            <v>Victor Hugo Castillo Gonzalez</v>
          </cell>
          <cell r="E2723" t="str">
            <v>m</v>
          </cell>
          <cell r="F2723" t="str">
            <v>negra</v>
          </cell>
          <cell r="K2723" t="str">
            <v>Técnico Superior</v>
          </cell>
          <cell r="L2723" t="str">
            <v>No</v>
          </cell>
          <cell r="O2723" t="str">
            <v>Otros Profesionales y Especialidades</v>
          </cell>
        </row>
        <row r="2724">
          <cell r="C2724" t="str">
            <v>Maria de Jesus Ferrer Hechavarria</v>
          </cell>
          <cell r="E2724" t="str">
            <v>F</v>
          </cell>
          <cell r="F2724" t="str">
            <v>mestiza</v>
          </cell>
          <cell r="K2724" t="str">
            <v>Técnico Medio</v>
          </cell>
          <cell r="L2724" t="str">
            <v>No</v>
          </cell>
          <cell r="M2724" t="str">
            <v>Bandaje ortopédico</v>
          </cell>
          <cell r="O2724" t="str">
            <v>Técnico Formado Salud</v>
          </cell>
        </row>
        <row r="2725">
          <cell r="O2725" t="str">
            <v/>
          </cell>
        </row>
        <row r="2726">
          <cell r="O2726" t="str">
            <v/>
          </cell>
        </row>
        <row r="2727">
          <cell r="O2727" t="str">
            <v/>
          </cell>
        </row>
        <row r="2728">
          <cell r="O2728" t="str">
            <v/>
          </cell>
        </row>
        <row r="2729">
          <cell r="O2729" t="str">
            <v/>
          </cell>
        </row>
        <row r="2730">
          <cell r="O2730" t="str">
            <v/>
          </cell>
        </row>
        <row r="2731">
          <cell r="O2731" t="str">
            <v/>
          </cell>
        </row>
        <row r="2732">
          <cell r="O2732" t="str">
            <v/>
          </cell>
        </row>
        <row r="2733">
          <cell r="O2733" t="str">
            <v/>
          </cell>
        </row>
        <row r="2734">
          <cell r="O2734" t="str">
            <v/>
          </cell>
        </row>
        <row r="2735">
          <cell r="O2735" t="str">
            <v/>
          </cell>
        </row>
        <row r="2736">
          <cell r="O2736" t="str">
            <v/>
          </cell>
        </row>
        <row r="2737">
          <cell r="O2737" t="str">
            <v/>
          </cell>
        </row>
        <row r="2738">
          <cell r="O2738" t="str">
            <v/>
          </cell>
        </row>
        <row r="2739">
          <cell r="O2739" t="str">
            <v/>
          </cell>
        </row>
        <row r="2740">
          <cell r="O2740" t="str">
            <v/>
          </cell>
        </row>
        <row r="2741">
          <cell r="O2741" t="str">
            <v/>
          </cell>
        </row>
        <row r="2742">
          <cell r="O2742" t="str">
            <v/>
          </cell>
        </row>
        <row r="2743">
          <cell r="O2743" t="str">
            <v/>
          </cell>
        </row>
        <row r="2744">
          <cell r="O2744" t="str">
            <v/>
          </cell>
        </row>
        <row r="2745">
          <cell r="O2745" t="str">
            <v/>
          </cell>
        </row>
        <row r="2746">
          <cell r="O2746" t="str">
            <v/>
          </cell>
        </row>
        <row r="2747">
          <cell r="O2747" t="str">
            <v/>
          </cell>
        </row>
        <row r="2748">
          <cell r="O2748" t="str">
            <v/>
          </cell>
        </row>
        <row r="2749">
          <cell r="O2749" t="str">
            <v/>
          </cell>
        </row>
        <row r="2750">
          <cell r="O2750" t="str">
            <v/>
          </cell>
        </row>
        <row r="2751">
          <cell r="O2751" t="str">
            <v/>
          </cell>
        </row>
        <row r="2752">
          <cell r="O2752" t="str">
            <v/>
          </cell>
        </row>
        <row r="2753">
          <cell r="O2753" t="str">
            <v/>
          </cell>
        </row>
        <row r="2754">
          <cell r="O2754" t="str">
            <v/>
          </cell>
        </row>
        <row r="2755">
          <cell r="O2755" t="str">
            <v/>
          </cell>
        </row>
        <row r="2756">
          <cell r="O2756" t="str">
            <v/>
          </cell>
        </row>
        <row r="2757">
          <cell r="O2757" t="str">
            <v/>
          </cell>
        </row>
        <row r="2758">
          <cell r="O2758" t="str">
            <v/>
          </cell>
        </row>
        <row r="2759">
          <cell r="O2759" t="str">
            <v/>
          </cell>
        </row>
        <row r="2760">
          <cell r="O2760" t="str">
            <v/>
          </cell>
        </row>
        <row r="2761">
          <cell r="O2761" t="str">
            <v/>
          </cell>
        </row>
        <row r="2762">
          <cell r="O2762" t="str">
            <v/>
          </cell>
        </row>
        <row r="2763">
          <cell r="O2763" t="str">
            <v/>
          </cell>
        </row>
        <row r="2764">
          <cell r="O2764" t="str">
            <v/>
          </cell>
        </row>
        <row r="2765">
          <cell r="O2765" t="str">
            <v/>
          </cell>
        </row>
        <row r="2766">
          <cell r="O2766" t="str">
            <v/>
          </cell>
        </row>
        <row r="2767">
          <cell r="O2767" t="str">
            <v/>
          </cell>
        </row>
        <row r="2768">
          <cell r="O2768" t="str">
            <v/>
          </cell>
        </row>
        <row r="2769">
          <cell r="O2769" t="str">
            <v/>
          </cell>
        </row>
        <row r="2770">
          <cell r="O2770" t="str">
            <v/>
          </cell>
        </row>
        <row r="2771">
          <cell r="O2771" t="str">
            <v/>
          </cell>
        </row>
        <row r="2772">
          <cell r="O2772" t="str">
            <v/>
          </cell>
        </row>
        <row r="2773">
          <cell r="O2773" t="str">
            <v/>
          </cell>
        </row>
        <row r="2774">
          <cell r="O2774" t="str">
            <v/>
          </cell>
        </row>
        <row r="2775">
          <cell r="O2775" t="str">
            <v/>
          </cell>
        </row>
        <row r="2776">
          <cell r="O2776" t="str">
            <v/>
          </cell>
        </row>
        <row r="2777">
          <cell r="O2777" t="str">
            <v/>
          </cell>
        </row>
        <row r="2778">
          <cell r="O2778" t="str">
            <v/>
          </cell>
        </row>
        <row r="2779">
          <cell r="O2779" t="str">
            <v/>
          </cell>
        </row>
        <row r="2780">
          <cell r="O2780" t="str">
            <v/>
          </cell>
        </row>
        <row r="2781">
          <cell r="O2781" t="str">
            <v/>
          </cell>
        </row>
        <row r="2782">
          <cell r="O2782" t="str">
            <v/>
          </cell>
        </row>
        <row r="2783">
          <cell r="O2783" t="str">
            <v/>
          </cell>
        </row>
        <row r="2784">
          <cell r="O2784" t="str">
            <v/>
          </cell>
        </row>
        <row r="2785">
          <cell r="O2785" t="str">
            <v/>
          </cell>
        </row>
        <row r="2786">
          <cell r="O2786" t="str">
            <v/>
          </cell>
        </row>
        <row r="2787">
          <cell r="O2787" t="str">
            <v/>
          </cell>
        </row>
        <row r="2788">
          <cell r="O2788" t="str">
            <v/>
          </cell>
        </row>
        <row r="2789">
          <cell r="O2789" t="str">
            <v/>
          </cell>
        </row>
        <row r="2790">
          <cell r="O2790" t="str">
            <v/>
          </cell>
        </row>
        <row r="2791">
          <cell r="O2791" t="str">
            <v/>
          </cell>
        </row>
        <row r="2792">
          <cell r="O2792" t="str">
            <v/>
          </cell>
        </row>
        <row r="2793">
          <cell r="O2793" t="str">
            <v/>
          </cell>
        </row>
        <row r="2794">
          <cell r="O2794" t="str">
            <v/>
          </cell>
        </row>
        <row r="2795">
          <cell r="O2795" t="str">
            <v/>
          </cell>
        </row>
        <row r="2796">
          <cell r="O2796" t="str">
            <v/>
          </cell>
        </row>
        <row r="2797">
          <cell r="O2797" t="str">
            <v/>
          </cell>
        </row>
        <row r="2798">
          <cell r="O2798" t="str">
            <v/>
          </cell>
        </row>
        <row r="2799">
          <cell r="O2799" t="str">
            <v/>
          </cell>
        </row>
        <row r="2800">
          <cell r="O2800" t="str">
            <v/>
          </cell>
        </row>
        <row r="2801">
          <cell r="O2801" t="str">
            <v/>
          </cell>
        </row>
        <row r="2802">
          <cell r="O2802" t="str">
            <v/>
          </cell>
        </row>
        <row r="2803">
          <cell r="O2803" t="str">
            <v/>
          </cell>
        </row>
        <row r="2804">
          <cell r="O2804" t="str">
            <v/>
          </cell>
        </row>
        <row r="2805">
          <cell r="O2805" t="str">
            <v/>
          </cell>
        </row>
        <row r="2806">
          <cell r="O2806" t="str">
            <v/>
          </cell>
        </row>
        <row r="2807">
          <cell r="O2807" t="str">
            <v/>
          </cell>
        </row>
        <row r="2808">
          <cell r="O2808" t="str">
            <v/>
          </cell>
        </row>
        <row r="2809">
          <cell r="O2809" t="str">
            <v/>
          </cell>
        </row>
        <row r="2810">
          <cell r="O2810" t="str">
            <v/>
          </cell>
        </row>
        <row r="2811">
          <cell r="O2811" t="str">
            <v/>
          </cell>
        </row>
        <row r="2812">
          <cell r="O2812" t="str">
            <v/>
          </cell>
        </row>
        <row r="2813">
          <cell r="O2813" t="str">
            <v/>
          </cell>
        </row>
        <row r="2814">
          <cell r="O2814" t="str">
            <v/>
          </cell>
        </row>
        <row r="2815">
          <cell r="O2815" t="str">
            <v/>
          </cell>
        </row>
        <row r="2816">
          <cell r="O2816" t="str">
            <v/>
          </cell>
        </row>
        <row r="2817">
          <cell r="O2817" t="str">
            <v/>
          </cell>
        </row>
        <row r="2818">
          <cell r="O2818" t="str">
            <v/>
          </cell>
        </row>
        <row r="2819">
          <cell r="O2819" t="str">
            <v/>
          </cell>
        </row>
        <row r="2820">
          <cell r="O2820" t="str">
            <v/>
          </cell>
        </row>
        <row r="2821">
          <cell r="O2821" t="str">
            <v/>
          </cell>
        </row>
        <row r="2822">
          <cell r="O2822" t="str">
            <v/>
          </cell>
        </row>
        <row r="2823">
          <cell r="O2823" t="str">
            <v/>
          </cell>
        </row>
        <row r="2824">
          <cell r="O2824" t="str">
            <v/>
          </cell>
        </row>
        <row r="2825">
          <cell r="O2825" t="str">
            <v/>
          </cell>
        </row>
        <row r="2826">
          <cell r="O2826" t="str">
            <v/>
          </cell>
        </row>
        <row r="2827">
          <cell r="O2827" t="str">
            <v/>
          </cell>
        </row>
        <row r="2828">
          <cell r="O2828" t="str">
            <v/>
          </cell>
        </row>
        <row r="2829">
          <cell r="O2829" t="str">
            <v/>
          </cell>
        </row>
        <row r="2830">
          <cell r="O2830" t="str">
            <v/>
          </cell>
        </row>
        <row r="2831">
          <cell r="O2831" t="str">
            <v/>
          </cell>
        </row>
        <row r="2832">
          <cell r="O2832" t="str">
            <v/>
          </cell>
        </row>
        <row r="2833">
          <cell r="O2833" t="str">
            <v/>
          </cell>
        </row>
        <row r="2834">
          <cell r="O2834" t="str">
            <v/>
          </cell>
        </row>
        <row r="2835">
          <cell r="O2835" t="str">
            <v/>
          </cell>
        </row>
        <row r="2836">
          <cell r="O2836" t="str">
            <v/>
          </cell>
        </row>
        <row r="2837">
          <cell r="O2837" t="str">
            <v/>
          </cell>
        </row>
        <row r="2838">
          <cell r="O2838" t="str">
            <v/>
          </cell>
        </row>
        <row r="2839">
          <cell r="O2839" t="str">
            <v/>
          </cell>
        </row>
        <row r="2840">
          <cell r="O2840" t="str">
            <v/>
          </cell>
        </row>
        <row r="2841">
          <cell r="O2841" t="str">
            <v/>
          </cell>
        </row>
        <row r="2842">
          <cell r="O2842" t="str">
            <v/>
          </cell>
        </row>
        <row r="2843">
          <cell r="O2843" t="str">
            <v/>
          </cell>
        </row>
        <row r="2844">
          <cell r="O2844" t="str">
            <v/>
          </cell>
        </row>
        <row r="2845">
          <cell r="O2845" t="str">
            <v/>
          </cell>
        </row>
        <row r="2846">
          <cell r="O2846" t="str">
            <v/>
          </cell>
        </row>
        <row r="2847">
          <cell r="O2847" t="str">
            <v/>
          </cell>
        </row>
        <row r="2848">
          <cell r="O2848" t="str">
            <v/>
          </cell>
        </row>
        <row r="2849">
          <cell r="O2849" t="str">
            <v/>
          </cell>
        </row>
        <row r="2850">
          <cell r="O2850" t="str">
            <v/>
          </cell>
        </row>
        <row r="2851">
          <cell r="O2851" t="str">
            <v/>
          </cell>
        </row>
        <row r="2852">
          <cell r="O2852" t="str">
            <v/>
          </cell>
        </row>
        <row r="2853">
          <cell r="O2853" t="str">
            <v/>
          </cell>
        </row>
        <row r="2854">
          <cell r="O2854" t="str">
            <v/>
          </cell>
        </row>
        <row r="2855">
          <cell r="O2855" t="str">
            <v/>
          </cell>
        </row>
        <row r="2856">
          <cell r="O2856" t="str">
            <v/>
          </cell>
        </row>
        <row r="2857">
          <cell r="O2857" t="str">
            <v/>
          </cell>
        </row>
        <row r="2858">
          <cell r="O2858" t="str">
            <v/>
          </cell>
        </row>
        <row r="2859">
          <cell r="O2859" t="str">
            <v/>
          </cell>
        </row>
        <row r="2860">
          <cell r="O2860" t="str">
            <v/>
          </cell>
        </row>
        <row r="2861">
          <cell r="O2861" t="str">
            <v/>
          </cell>
        </row>
        <row r="2862">
          <cell r="O2862" t="str">
            <v/>
          </cell>
        </row>
        <row r="2863">
          <cell r="O2863" t="str">
            <v/>
          </cell>
        </row>
        <row r="2864">
          <cell r="O2864" t="str">
            <v/>
          </cell>
        </row>
        <row r="2865">
          <cell r="O2865" t="str">
            <v/>
          </cell>
        </row>
        <row r="2866">
          <cell r="O2866" t="str">
            <v/>
          </cell>
        </row>
        <row r="2867">
          <cell r="O2867" t="str">
            <v/>
          </cell>
        </row>
        <row r="2868">
          <cell r="O2868" t="str">
            <v/>
          </cell>
        </row>
        <row r="2869">
          <cell r="O2869" t="str">
            <v/>
          </cell>
        </row>
        <row r="2870">
          <cell r="O2870" t="str">
            <v/>
          </cell>
        </row>
        <row r="2871">
          <cell r="O2871" t="str">
            <v/>
          </cell>
        </row>
        <row r="2872">
          <cell r="O2872" t="str">
            <v/>
          </cell>
        </row>
        <row r="2873">
          <cell r="O2873" t="str">
            <v/>
          </cell>
        </row>
        <row r="2874">
          <cell r="O2874" t="str">
            <v/>
          </cell>
        </row>
        <row r="2875">
          <cell r="O2875" t="str">
            <v/>
          </cell>
        </row>
        <row r="2876">
          <cell r="O2876" t="str">
            <v/>
          </cell>
        </row>
        <row r="2877">
          <cell r="O2877" t="str">
            <v/>
          </cell>
        </row>
        <row r="2878">
          <cell r="O2878" t="str">
            <v/>
          </cell>
        </row>
        <row r="2879">
          <cell r="O2879" t="str">
            <v/>
          </cell>
        </row>
        <row r="2880">
          <cell r="O2880" t="str">
            <v/>
          </cell>
        </row>
        <row r="2881">
          <cell r="O2881" t="str">
            <v/>
          </cell>
        </row>
        <row r="2882">
          <cell r="O2882" t="str">
            <v/>
          </cell>
        </row>
        <row r="2883">
          <cell r="O2883" t="str">
            <v/>
          </cell>
        </row>
        <row r="2884">
          <cell r="O2884" t="str">
            <v/>
          </cell>
        </row>
        <row r="2885">
          <cell r="O2885" t="str">
            <v/>
          </cell>
        </row>
        <row r="2886">
          <cell r="O2886" t="str">
            <v/>
          </cell>
        </row>
        <row r="2887">
          <cell r="O2887" t="str">
            <v/>
          </cell>
        </row>
        <row r="2888">
          <cell r="O2888" t="str">
            <v/>
          </cell>
        </row>
        <row r="2889">
          <cell r="O2889" t="str">
            <v/>
          </cell>
        </row>
        <row r="2890">
          <cell r="O2890" t="str">
            <v/>
          </cell>
        </row>
        <row r="2891">
          <cell r="O2891" t="str">
            <v/>
          </cell>
        </row>
        <row r="2892">
          <cell r="O2892" t="str">
            <v/>
          </cell>
        </row>
        <row r="2893">
          <cell r="O2893" t="str">
            <v/>
          </cell>
        </row>
        <row r="2894">
          <cell r="O2894" t="str">
            <v/>
          </cell>
        </row>
        <row r="2895">
          <cell r="O2895" t="str">
            <v/>
          </cell>
        </row>
        <row r="2896">
          <cell r="O2896" t="str">
            <v/>
          </cell>
        </row>
        <row r="2897">
          <cell r="O2897" t="str">
            <v/>
          </cell>
        </row>
        <row r="2898">
          <cell r="O2898" t="str">
            <v/>
          </cell>
        </row>
        <row r="2899">
          <cell r="O2899" t="str">
            <v/>
          </cell>
        </row>
        <row r="2900">
          <cell r="O2900" t="str">
            <v/>
          </cell>
        </row>
        <row r="2901">
          <cell r="O2901" t="str">
            <v/>
          </cell>
        </row>
        <row r="2902">
          <cell r="O2902" t="str">
            <v/>
          </cell>
        </row>
        <row r="2903">
          <cell r="O2903" t="str">
            <v/>
          </cell>
        </row>
        <row r="2904">
          <cell r="O2904" t="str">
            <v/>
          </cell>
        </row>
        <row r="2905">
          <cell r="O2905" t="str">
            <v/>
          </cell>
        </row>
        <row r="2906">
          <cell r="O2906" t="str">
            <v/>
          </cell>
        </row>
        <row r="2907">
          <cell r="O2907" t="str">
            <v/>
          </cell>
        </row>
        <row r="2908">
          <cell r="O2908" t="str">
            <v/>
          </cell>
        </row>
        <row r="2909">
          <cell r="O2909" t="str">
            <v/>
          </cell>
        </row>
        <row r="2910">
          <cell r="O2910" t="str">
            <v/>
          </cell>
        </row>
        <row r="2911">
          <cell r="O2911" t="str">
            <v/>
          </cell>
        </row>
        <row r="2912">
          <cell r="O2912" t="str">
            <v/>
          </cell>
        </row>
        <row r="2913">
          <cell r="O2913" t="str">
            <v/>
          </cell>
        </row>
        <row r="2914">
          <cell r="O2914" t="str">
            <v/>
          </cell>
        </row>
        <row r="2915">
          <cell r="O2915" t="str">
            <v/>
          </cell>
        </row>
        <row r="2916">
          <cell r="O2916" t="str">
            <v/>
          </cell>
        </row>
        <row r="2917">
          <cell r="O2917" t="str">
            <v/>
          </cell>
        </row>
        <row r="2918">
          <cell r="O2918" t="str">
            <v/>
          </cell>
        </row>
        <row r="2919">
          <cell r="O2919" t="str">
            <v/>
          </cell>
        </row>
        <row r="2920">
          <cell r="O2920" t="str">
            <v/>
          </cell>
        </row>
        <row r="2921">
          <cell r="O2921" t="str">
            <v/>
          </cell>
        </row>
        <row r="2922">
          <cell r="O2922" t="str">
            <v/>
          </cell>
        </row>
        <row r="2923">
          <cell r="O2923" t="str">
            <v/>
          </cell>
        </row>
        <row r="2924">
          <cell r="O2924" t="str">
            <v/>
          </cell>
        </row>
        <row r="2925">
          <cell r="O2925" t="str">
            <v/>
          </cell>
        </row>
        <row r="2926">
          <cell r="O2926" t="str">
            <v/>
          </cell>
        </row>
        <row r="2927">
          <cell r="O2927" t="str">
            <v/>
          </cell>
        </row>
        <row r="2928">
          <cell r="O2928" t="str">
            <v/>
          </cell>
        </row>
        <row r="2929">
          <cell r="O2929" t="str">
            <v/>
          </cell>
        </row>
        <row r="2930">
          <cell r="O2930" t="str">
            <v/>
          </cell>
        </row>
        <row r="2931">
          <cell r="O2931" t="str">
            <v/>
          </cell>
        </row>
        <row r="2932">
          <cell r="O2932" t="str">
            <v/>
          </cell>
        </row>
        <row r="2933">
          <cell r="O2933" t="str">
            <v/>
          </cell>
        </row>
        <row r="2934">
          <cell r="O2934" t="str">
            <v/>
          </cell>
        </row>
        <row r="2935">
          <cell r="O2935" t="str">
            <v/>
          </cell>
        </row>
        <row r="2936">
          <cell r="O2936" t="str">
            <v/>
          </cell>
        </row>
        <row r="2937">
          <cell r="O2937" t="str">
            <v/>
          </cell>
        </row>
        <row r="2938">
          <cell r="O2938" t="str">
            <v/>
          </cell>
        </row>
        <row r="2939">
          <cell r="O2939" t="str">
            <v/>
          </cell>
        </row>
        <row r="2940">
          <cell r="O2940" t="str">
            <v/>
          </cell>
        </row>
        <row r="2941">
          <cell r="O2941" t="str">
            <v/>
          </cell>
        </row>
        <row r="2942">
          <cell r="O2942" t="str">
            <v/>
          </cell>
        </row>
        <row r="2943">
          <cell r="O2943" t="str">
            <v/>
          </cell>
        </row>
        <row r="2944">
          <cell r="O2944" t="str">
            <v/>
          </cell>
        </row>
        <row r="2945">
          <cell r="O2945" t="str">
            <v/>
          </cell>
        </row>
        <row r="2946">
          <cell r="O2946" t="str">
            <v/>
          </cell>
        </row>
        <row r="2947">
          <cell r="O2947" t="str">
            <v/>
          </cell>
        </row>
        <row r="2948">
          <cell r="O2948" t="str">
            <v/>
          </cell>
        </row>
        <row r="2949">
          <cell r="O2949" t="str">
            <v/>
          </cell>
        </row>
        <row r="2950">
          <cell r="O2950" t="str">
            <v/>
          </cell>
        </row>
        <row r="2951">
          <cell r="O2951" t="str">
            <v/>
          </cell>
        </row>
        <row r="2952">
          <cell r="O2952" t="str">
            <v/>
          </cell>
        </row>
        <row r="2953">
          <cell r="O2953" t="str">
            <v/>
          </cell>
        </row>
        <row r="2954">
          <cell r="O2954" t="str">
            <v/>
          </cell>
        </row>
        <row r="2955">
          <cell r="O2955" t="str">
            <v/>
          </cell>
        </row>
        <row r="2956">
          <cell r="O2956" t="str">
            <v/>
          </cell>
        </row>
        <row r="2957">
          <cell r="O2957" t="str">
            <v/>
          </cell>
        </row>
        <row r="2958">
          <cell r="O2958" t="str">
            <v/>
          </cell>
        </row>
        <row r="2959">
          <cell r="O2959" t="str">
            <v/>
          </cell>
        </row>
        <row r="2960">
          <cell r="O2960" t="str">
            <v/>
          </cell>
        </row>
        <row r="2961">
          <cell r="O2961" t="str">
            <v/>
          </cell>
        </row>
        <row r="2962">
          <cell r="O2962" t="str">
            <v/>
          </cell>
        </row>
        <row r="2963">
          <cell r="O2963" t="str">
            <v/>
          </cell>
        </row>
        <row r="2964">
          <cell r="O2964" t="str">
            <v/>
          </cell>
        </row>
        <row r="2965">
          <cell r="O2965" t="str">
            <v/>
          </cell>
        </row>
        <row r="2966">
          <cell r="O2966" t="str">
            <v/>
          </cell>
        </row>
        <row r="2967">
          <cell r="O2967" t="str">
            <v/>
          </cell>
        </row>
        <row r="2968">
          <cell r="O2968" t="str">
            <v/>
          </cell>
        </row>
        <row r="2969">
          <cell r="O2969" t="str">
            <v/>
          </cell>
        </row>
        <row r="2970">
          <cell r="O2970" t="str">
            <v/>
          </cell>
        </row>
        <row r="2971">
          <cell r="O2971" t="str">
            <v/>
          </cell>
        </row>
        <row r="2972">
          <cell r="O2972" t="str">
            <v/>
          </cell>
        </row>
        <row r="2973">
          <cell r="O2973" t="str">
            <v/>
          </cell>
        </row>
        <row r="2974">
          <cell r="O2974" t="str">
            <v/>
          </cell>
        </row>
        <row r="2975">
          <cell r="O2975" t="str">
            <v/>
          </cell>
        </row>
        <row r="2976">
          <cell r="O2976" t="str">
            <v/>
          </cell>
        </row>
        <row r="2977">
          <cell r="O2977" t="str">
            <v/>
          </cell>
        </row>
        <row r="2978">
          <cell r="O2978" t="str">
            <v/>
          </cell>
        </row>
        <row r="2979">
          <cell r="O2979" t="str">
            <v/>
          </cell>
        </row>
        <row r="2980">
          <cell r="O2980" t="str">
            <v/>
          </cell>
        </row>
        <row r="2981">
          <cell r="O2981" t="str">
            <v/>
          </cell>
        </row>
        <row r="2982">
          <cell r="O2982" t="str">
            <v/>
          </cell>
        </row>
        <row r="2983">
          <cell r="O2983" t="str">
            <v/>
          </cell>
        </row>
        <row r="2984">
          <cell r="O2984" t="str">
            <v/>
          </cell>
        </row>
        <row r="2985">
          <cell r="O2985" t="str">
            <v/>
          </cell>
        </row>
        <row r="2986">
          <cell r="O2986" t="str">
            <v/>
          </cell>
        </row>
        <row r="2987">
          <cell r="O2987" t="str">
            <v/>
          </cell>
        </row>
        <row r="2988">
          <cell r="O2988" t="str">
            <v/>
          </cell>
        </row>
        <row r="2989">
          <cell r="O2989" t="str">
            <v/>
          </cell>
        </row>
        <row r="2990">
          <cell r="O2990" t="str">
            <v/>
          </cell>
        </row>
        <row r="2991">
          <cell r="O2991" t="str">
            <v/>
          </cell>
        </row>
        <row r="2992">
          <cell r="O2992" t="str">
            <v/>
          </cell>
        </row>
        <row r="2993">
          <cell r="O2993" t="str">
            <v/>
          </cell>
        </row>
        <row r="2994">
          <cell r="O2994" t="str">
            <v/>
          </cell>
        </row>
        <row r="2995">
          <cell r="O2995" t="str">
            <v/>
          </cell>
        </row>
        <row r="2996">
          <cell r="O2996" t="str">
            <v/>
          </cell>
        </row>
        <row r="2997">
          <cell r="O2997" t="str">
            <v/>
          </cell>
        </row>
        <row r="2998">
          <cell r="O2998" t="str">
            <v/>
          </cell>
        </row>
        <row r="2999">
          <cell r="O2999" t="str">
            <v/>
          </cell>
        </row>
        <row r="3000">
          <cell r="O3000" t="str">
            <v/>
          </cell>
        </row>
        <row r="3001">
          <cell r="O3001" t="str">
            <v/>
          </cell>
        </row>
        <row r="3002">
          <cell r="O3002" t="str">
            <v/>
          </cell>
        </row>
        <row r="3003">
          <cell r="O3003" t="str">
            <v/>
          </cell>
        </row>
        <row r="3004">
          <cell r="O3004" t="str">
            <v/>
          </cell>
        </row>
        <row r="3005">
          <cell r="O3005" t="str">
            <v/>
          </cell>
        </row>
        <row r="3006">
          <cell r="O3006" t="str">
            <v/>
          </cell>
        </row>
        <row r="3007">
          <cell r="O3007" t="str">
            <v/>
          </cell>
        </row>
        <row r="3008">
          <cell r="O3008" t="str">
            <v/>
          </cell>
        </row>
        <row r="3009">
          <cell r="O3009" t="str">
            <v/>
          </cell>
        </row>
        <row r="3010">
          <cell r="O3010" t="str">
            <v/>
          </cell>
        </row>
        <row r="3011">
          <cell r="O3011" t="str">
            <v/>
          </cell>
        </row>
        <row r="3012">
          <cell r="O3012" t="str">
            <v/>
          </cell>
        </row>
        <row r="3013">
          <cell r="O3013" t="str">
            <v/>
          </cell>
        </row>
        <row r="3014">
          <cell r="O3014" t="str">
            <v/>
          </cell>
        </row>
        <row r="3015">
          <cell r="O3015" t="str">
            <v/>
          </cell>
        </row>
        <row r="3016">
          <cell r="O3016" t="str">
            <v/>
          </cell>
        </row>
        <row r="3017">
          <cell r="O3017" t="str">
            <v/>
          </cell>
        </row>
        <row r="3018">
          <cell r="O3018" t="str">
            <v/>
          </cell>
        </row>
        <row r="3019">
          <cell r="O3019" t="str">
            <v/>
          </cell>
        </row>
        <row r="3020">
          <cell r="O3020" t="str">
            <v/>
          </cell>
        </row>
        <row r="3021">
          <cell r="O3021" t="str">
            <v/>
          </cell>
        </row>
        <row r="3022">
          <cell r="O3022" t="str">
            <v/>
          </cell>
        </row>
        <row r="3023">
          <cell r="O3023" t="str">
            <v/>
          </cell>
        </row>
        <row r="3024">
          <cell r="O3024" t="str">
            <v/>
          </cell>
        </row>
        <row r="3025">
          <cell r="O3025" t="str">
            <v/>
          </cell>
        </row>
        <row r="3026">
          <cell r="O3026" t="str">
            <v/>
          </cell>
        </row>
        <row r="3027">
          <cell r="O3027" t="str">
            <v/>
          </cell>
        </row>
        <row r="3028">
          <cell r="O3028" t="str">
            <v/>
          </cell>
        </row>
        <row r="3029">
          <cell r="O3029" t="str">
            <v/>
          </cell>
        </row>
        <row r="3030">
          <cell r="O3030" t="str">
            <v/>
          </cell>
        </row>
        <row r="3031">
          <cell r="O3031" t="str">
            <v/>
          </cell>
        </row>
        <row r="3032">
          <cell r="O3032" t="str">
            <v/>
          </cell>
        </row>
        <row r="3033">
          <cell r="O3033" t="str">
            <v/>
          </cell>
        </row>
        <row r="3034">
          <cell r="O3034" t="str">
            <v/>
          </cell>
        </row>
        <row r="3035">
          <cell r="O3035" t="str">
            <v/>
          </cell>
        </row>
        <row r="3036">
          <cell r="O3036" t="str">
            <v/>
          </cell>
        </row>
        <row r="3037">
          <cell r="O3037" t="str">
            <v/>
          </cell>
        </row>
        <row r="3038">
          <cell r="O3038" t="str">
            <v/>
          </cell>
        </row>
        <row r="3039">
          <cell r="O3039" t="str">
            <v/>
          </cell>
        </row>
        <row r="3040">
          <cell r="O3040" t="str">
            <v/>
          </cell>
        </row>
        <row r="3041">
          <cell r="O3041" t="str">
            <v/>
          </cell>
        </row>
        <row r="3042">
          <cell r="O3042" t="str">
            <v/>
          </cell>
        </row>
        <row r="3043">
          <cell r="O3043" t="str">
            <v/>
          </cell>
        </row>
        <row r="3044">
          <cell r="O3044" t="str">
            <v/>
          </cell>
        </row>
        <row r="3045">
          <cell r="O3045" t="str">
            <v/>
          </cell>
        </row>
        <row r="3046">
          <cell r="O3046" t="str">
            <v/>
          </cell>
        </row>
        <row r="3047">
          <cell r="O3047" t="str">
            <v/>
          </cell>
        </row>
        <row r="3048">
          <cell r="O3048" t="str">
            <v/>
          </cell>
        </row>
        <row r="3049">
          <cell r="O3049" t="str">
            <v/>
          </cell>
        </row>
        <row r="3050">
          <cell r="O3050" t="str">
            <v/>
          </cell>
        </row>
        <row r="3051">
          <cell r="O3051" t="str">
            <v/>
          </cell>
        </row>
        <row r="3052">
          <cell r="O3052" t="str">
            <v/>
          </cell>
        </row>
        <row r="3053">
          <cell r="O3053" t="str">
            <v/>
          </cell>
        </row>
        <row r="3054">
          <cell r="O3054" t="str">
            <v/>
          </cell>
        </row>
        <row r="3055">
          <cell r="O3055" t="str">
            <v/>
          </cell>
        </row>
        <row r="3056">
          <cell r="O3056" t="str">
            <v/>
          </cell>
        </row>
        <row r="3057">
          <cell r="O3057" t="str">
            <v/>
          </cell>
        </row>
        <row r="3058">
          <cell r="O3058" t="str">
            <v/>
          </cell>
        </row>
        <row r="3059">
          <cell r="O3059" t="str">
            <v/>
          </cell>
        </row>
        <row r="3060">
          <cell r="O3060" t="str">
            <v/>
          </cell>
        </row>
        <row r="3061">
          <cell r="O3061" t="str">
            <v/>
          </cell>
        </row>
        <row r="3062">
          <cell r="O3062" t="str">
            <v/>
          </cell>
        </row>
        <row r="3063">
          <cell r="O3063" t="str">
            <v/>
          </cell>
        </row>
        <row r="3064">
          <cell r="O3064" t="str">
            <v/>
          </cell>
        </row>
        <row r="3065">
          <cell r="O3065" t="str">
            <v/>
          </cell>
        </row>
        <row r="3066">
          <cell r="O3066" t="str">
            <v/>
          </cell>
        </row>
        <row r="3067">
          <cell r="O3067" t="str">
            <v/>
          </cell>
        </row>
        <row r="3068">
          <cell r="O3068" t="str">
            <v/>
          </cell>
        </row>
        <row r="3069">
          <cell r="O3069" t="str">
            <v/>
          </cell>
        </row>
        <row r="3070">
          <cell r="O3070" t="str">
            <v/>
          </cell>
        </row>
        <row r="3071">
          <cell r="O3071" t="str">
            <v/>
          </cell>
        </row>
        <row r="3072">
          <cell r="O3072" t="str">
            <v/>
          </cell>
        </row>
        <row r="3073">
          <cell r="O3073" t="str">
            <v/>
          </cell>
        </row>
        <row r="3074">
          <cell r="O3074" t="str">
            <v/>
          </cell>
        </row>
        <row r="3075">
          <cell r="O3075" t="str">
            <v/>
          </cell>
        </row>
        <row r="3076">
          <cell r="O3076" t="str">
            <v/>
          </cell>
        </row>
        <row r="3077">
          <cell r="O3077" t="str">
            <v/>
          </cell>
        </row>
        <row r="3078">
          <cell r="O3078" t="str">
            <v/>
          </cell>
        </row>
        <row r="3079">
          <cell r="O3079" t="str">
            <v/>
          </cell>
        </row>
        <row r="3080">
          <cell r="O3080" t="str">
            <v/>
          </cell>
        </row>
        <row r="3081">
          <cell r="O3081" t="str">
            <v/>
          </cell>
        </row>
        <row r="3082">
          <cell r="O3082" t="str">
            <v/>
          </cell>
        </row>
        <row r="3083">
          <cell r="O3083" t="str">
            <v/>
          </cell>
        </row>
        <row r="3084">
          <cell r="O3084" t="str">
            <v/>
          </cell>
        </row>
        <row r="3085">
          <cell r="O3085" t="str">
            <v/>
          </cell>
        </row>
        <row r="3086">
          <cell r="O3086" t="str">
            <v/>
          </cell>
        </row>
        <row r="3087">
          <cell r="O3087" t="str">
            <v/>
          </cell>
        </row>
        <row r="3088">
          <cell r="O3088" t="str">
            <v/>
          </cell>
        </row>
        <row r="3089">
          <cell r="O3089" t="str">
            <v/>
          </cell>
        </row>
        <row r="3090">
          <cell r="O3090" t="str">
            <v/>
          </cell>
        </row>
        <row r="3091">
          <cell r="O3091" t="str">
            <v/>
          </cell>
        </row>
        <row r="3092">
          <cell r="O3092" t="str">
            <v/>
          </cell>
        </row>
        <row r="3093">
          <cell r="O3093" t="str">
            <v/>
          </cell>
        </row>
        <row r="3094">
          <cell r="O3094" t="str">
            <v/>
          </cell>
        </row>
        <row r="3095">
          <cell r="O3095" t="str">
            <v/>
          </cell>
        </row>
        <row r="3096">
          <cell r="O3096" t="str">
            <v/>
          </cell>
        </row>
        <row r="3097">
          <cell r="O3097" t="str">
            <v/>
          </cell>
        </row>
        <row r="3098">
          <cell r="O3098" t="str">
            <v/>
          </cell>
        </row>
        <row r="3099">
          <cell r="O3099" t="str">
            <v/>
          </cell>
        </row>
        <row r="3100">
          <cell r="O3100" t="str">
            <v/>
          </cell>
        </row>
        <row r="3101">
          <cell r="O3101" t="str">
            <v/>
          </cell>
        </row>
        <row r="3102">
          <cell r="O3102" t="str">
            <v/>
          </cell>
        </row>
        <row r="3103">
          <cell r="O3103" t="str">
            <v/>
          </cell>
        </row>
        <row r="3104">
          <cell r="O3104" t="str">
            <v/>
          </cell>
        </row>
        <row r="3105">
          <cell r="O3105" t="str">
            <v/>
          </cell>
        </row>
        <row r="3106">
          <cell r="O3106" t="str">
            <v/>
          </cell>
        </row>
        <row r="3107">
          <cell r="O3107" t="str">
            <v/>
          </cell>
        </row>
        <row r="3108">
          <cell r="O3108" t="str">
            <v/>
          </cell>
        </row>
        <row r="3109">
          <cell r="O3109" t="str">
            <v/>
          </cell>
        </row>
        <row r="3110">
          <cell r="O3110" t="str">
            <v/>
          </cell>
        </row>
        <row r="3111">
          <cell r="O3111" t="str">
            <v/>
          </cell>
        </row>
        <row r="3112">
          <cell r="O3112" t="str">
            <v/>
          </cell>
        </row>
        <row r="3113">
          <cell r="O3113" t="str">
            <v/>
          </cell>
        </row>
        <row r="3114">
          <cell r="O3114" t="str">
            <v/>
          </cell>
        </row>
        <row r="3115">
          <cell r="O3115" t="str">
            <v/>
          </cell>
        </row>
        <row r="3116">
          <cell r="O3116" t="str">
            <v/>
          </cell>
        </row>
        <row r="3117">
          <cell r="O3117" t="str">
            <v/>
          </cell>
        </row>
        <row r="3118">
          <cell r="O3118" t="str">
            <v/>
          </cell>
        </row>
        <row r="3119">
          <cell r="O3119" t="str">
            <v/>
          </cell>
        </row>
        <row r="3120">
          <cell r="O3120" t="str">
            <v/>
          </cell>
        </row>
        <row r="3121">
          <cell r="O3121" t="str">
            <v/>
          </cell>
        </row>
        <row r="3122">
          <cell r="O3122" t="str">
            <v/>
          </cell>
        </row>
        <row r="3123">
          <cell r="O3123" t="str">
            <v/>
          </cell>
        </row>
        <row r="3124">
          <cell r="O3124" t="str">
            <v/>
          </cell>
        </row>
        <row r="3125">
          <cell r="O3125" t="str">
            <v/>
          </cell>
        </row>
        <row r="3126">
          <cell r="O3126" t="str">
            <v/>
          </cell>
        </row>
        <row r="3127">
          <cell r="O3127" t="str">
            <v/>
          </cell>
        </row>
        <row r="3128">
          <cell r="O3128" t="str">
            <v/>
          </cell>
        </row>
        <row r="3129">
          <cell r="O3129" t="str">
            <v/>
          </cell>
        </row>
        <row r="3130">
          <cell r="O3130" t="str">
            <v/>
          </cell>
        </row>
        <row r="3131">
          <cell r="O3131" t="str">
            <v/>
          </cell>
        </row>
        <row r="3132">
          <cell r="O3132" t="str">
            <v/>
          </cell>
        </row>
        <row r="3133">
          <cell r="O3133" t="str">
            <v/>
          </cell>
        </row>
        <row r="3134">
          <cell r="O3134" t="str">
            <v/>
          </cell>
        </row>
        <row r="3135">
          <cell r="O3135" t="str">
            <v/>
          </cell>
        </row>
        <row r="3136">
          <cell r="O3136" t="str">
            <v/>
          </cell>
        </row>
        <row r="3137">
          <cell r="O3137" t="str">
            <v/>
          </cell>
        </row>
        <row r="3138">
          <cell r="O3138" t="str">
            <v/>
          </cell>
        </row>
        <row r="3139">
          <cell r="O3139" t="str">
            <v/>
          </cell>
        </row>
        <row r="3140">
          <cell r="O3140" t="str">
            <v/>
          </cell>
        </row>
        <row r="3141">
          <cell r="O3141" t="str">
            <v/>
          </cell>
        </row>
        <row r="3142">
          <cell r="O3142" t="str">
            <v/>
          </cell>
        </row>
        <row r="3143">
          <cell r="O3143" t="str">
            <v/>
          </cell>
        </row>
        <row r="3144">
          <cell r="O3144" t="str">
            <v/>
          </cell>
        </row>
        <row r="3145">
          <cell r="O3145" t="str">
            <v/>
          </cell>
        </row>
        <row r="3146">
          <cell r="O3146" t="str">
            <v/>
          </cell>
        </row>
        <row r="3147">
          <cell r="O3147" t="str">
            <v/>
          </cell>
        </row>
        <row r="3148">
          <cell r="O3148" t="str">
            <v/>
          </cell>
        </row>
        <row r="3149">
          <cell r="O3149" t="str">
            <v/>
          </cell>
        </row>
        <row r="3150">
          <cell r="O3150" t="str">
            <v/>
          </cell>
        </row>
        <row r="3151">
          <cell r="O3151" t="str">
            <v/>
          </cell>
        </row>
        <row r="3152">
          <cell r="O3152" t="str">
            <v/>
          </cell>
        </row>
        <row r="3153">
          <cell r="O3153" t="str">
            <v/>
          </cell>
        </row>
        <row r="3154">
          <cell r="O3154" t="str">
            <v/>
          </cell>
        </row>
        <row r="3155">
          <cell r="O3155" t="str">
            <v/>
          </cell>
        </row>
        <row r="3156">
          <cell r="O3156" t="str">
            <v/>
          </cell>
        </row>
        <row r="3157">
          <cell r="O3157" t="str">
            <v/>
          </cell>
        </row>
        <row r="3158">
          <cell r="O3158" t="str">
            <v/>
          </cell>
        </row>
        <row r="3159">
          <cell r="O3159" t="str">
            <v/>
          </cell>
        </row>
        <row r="3160">
          <cell r="O3160" t="str">
            <v/>
          </cell>
        </row>
        <row r="3161">
          <cell r="O3161" t="str">
            <v/>
          </cell>
        </row>
        <row r="3162">
          <cell r="O3162" t="str">
            <v/>
          </cell>
        </row>
        <row r="3163">
          <cell r="O3163" t="str">
            <v/>
          </cell>
        </row>
        <row r="3164">
          <cell r="O3164" t="str">
            <v/>
          </cell>
        </row>
        <row r="3165">
          <cell r="O3165" t="str">
            <v/>
          </cell>
        </row>
        <row r="3166">
          <cell r="O3166" t="str">
            <v/>
          </cell>
        </row>
        <row r="3167">
          <cell r="O3167" t="str">
            <v/>
          </cell>
        </row>
        <row r="3168">
          <cell r="O3168" t="str">
            <v/>
          </cell>
        </row>
        <row r="3169">
          <cell r="O3169" t="str">
            <v/>
          </cell>
        </row>
        <row r="3170">
          <cell r="O3170" t="str">
            <v/>
          </cell>
        </row>
        <row r="3171">
          <cell r="O3171" t="str">
            <v/>
          </cell>
        </row>
        <row r="3172">
          <cell r="O3172" t="str">
            <v/>
          </cell>
        </row>
        <row r="3173">
          <cell r="O3173" t="str">
            <v/>
          </cell>
        </row>
        <row r="3174">
          <cell r="O3174" t="str">
            <v/>
          </cell>
        </row>
        <row r="3175">
          <cell r="O3175" t="str">
            <v/>
          </cell>
        </row>
        <row r="3176">
          <cell r="O3176" t="str">
            <v/>
          </cell>
        </row>
        <row r="3177">
          <cell r="O3177" t="str">
            <v/>
          </cell>
        </row>
        <row r="3178">
          <cell r="O3178" t="str">
            <v/>
          </cell>
        </row>
        <row r="3179">
          <cell r="O3179" t="str">
            <v/>
          </cell>
        </row>
        <row r="3180">
          <cell r="O3180" t="str">
            <v/>
          </cell>
        </row>
        <row r="3181">
          <cell r="O3181" t="str">
            <v/>
          </cell>
        </row>
        <row r="3182">
          <cell r="O3182" t="str">
            <v/>
          </cell>
        </row>
        <row r="3183">
          <cell r="O3183" t="str">
            <v/>
          </cell>
        </row>
        <row r="3184">
          <cell r="O3184" t="str">
            <v/>
          </cell>
        </row>
        <row r="3185">
          <cell r="O3185" t="str">
            <v/>
          </cell>
        </row>
        <row r="3186">
          <cell r="O3186" t="str">
            <v/>
          </cell>
        </row>
        <row r="3187">
          <cell r="O3187" t="str">
            <v/>
          </cell>
        </row>
        <row r="3188">
          <cell r="O3188" t="str">
            <v/>
          </cell>
        </row>
        <row r="3189">
          <cell r="O3189" t="str">
            <v/>
          </cell>
        </row>
        <row r="3190">
          <cell r="O3190" t="str">
            <v/>
          </cell>
        </row>
        <row r="3191">
          <cell r="O3191" t="str">
            <v/>
          </cell>
        </row>
        <row r="3192">
          <cell r="O3192" t="str">
            <v/>
          </cell>
        </row>
        <row r="3193">
          <cell r="O3193" t="str">
            <v/>
          </cell>
        </row>
        <row r="3194">
          <cell r="O3194" t="str">
            <v/>
          </cell>
        </row>
        <row r="3195">
          <cell r="O3195" t="str">
            <v/>
          </cell>
        </row>
        <row r="3196">
          <cell r="O3196" t="str">
            <v/>
          </cell>
        </row>
        <row r="3197">
          <cell r="O3197" t="str">
            <v/>
          </cell>
        </row>
        <row r="3198">
          <cell r="O3198" t="str">
            <v/>
          </cell>
        </row>
        <row r="3199">
          <cell r="O3199" t="str">
            <v/>
          </cell>
        </row>
        <row r="3200">
          <cell r="O3200" t="str">
            <v/>
          </cell>
        </row>
        <row r="3201">
          <cell r="O3201" t="str">
            <v/>
          </cell>
        </row>
        <row r="3202">
          <cell r="O3202" t="str">
            <v/>
          </cell>
        </row>
        <row r="3203">
          <cell r="O3203" t="str">
            <v/>
          </cell>
        </row>
        <row r="3204">
          <cell r="O3204" t="str">
            <v/>
          </cell>
        </row>
        <row r="3205">
          <cell r="O3205" t="str">
            <v/>
          </cell>
        </row>
        <row r="3206">
          <cell r="O3206" t="str">
            <v/>
          </cell>
        </row>
        <row r="3207">
          <cell r="O3207" t="str">
            <v/>
          </cell>
        </row>
        <row r="3208">
          <cell r="O3208" t="str">
            <v/>
          </cell>
        </row>
        <row r="3209">
          <cell r="O3209" t="str">
            <v/>
          </cell>
        </row>
        <row r="3210">
          <cell r="O3210" t="str">
            <v/>
          </cell>
        </row>
        <row r="3211">
          <cell r="O3211" t="str">
            <v/>
          </cell>
        </row>
        <row r="3212">
          <cell r="O3212" t="str">
            <v/>
          </cell>
        </row>
        <row r="3213">
          <cell r="O3213" t="str">
            <v/>
          </cell>
        </row>
        <row r="3214">
          <cell r="O3214" t="str">
            <v/>
          </cell>
        </row>
        <row r="3215">
          <cell r="O3215" t="str">
            <v/>
          </cell>
        </row>
        <row r="3216">
          <cell r="O3216" t="str">
            <v/>
          </cell>
        </row>
        <row r="3217">
          <cell r="O3217" t="str">
            <v/>
          </cell>
        </row>
        <row r="3218">
          <cell r="O3218" t="str">
            <v/>
          </cell>
        </row>
        <row r="3219">
          <cell r="O3219" t="str">
            <v/>
          </cell>
        </row>
        <row r="3220">
          <cell r="O3220" t="str">
            <v/>
          </cell>
        </row>
        <row r="3221">
          <cell r="O3221" t="str">
            <v/>
          </cell>
        </row>
        <row r="3222">
          <cell r="O3222" t="str">
            <v/>
          </cell>
        </row>
        <row r="3223">
          <cell r="O3223" t="str">
            <v/>
          </cell>
        </row>
        <row r="3224">
          <cell r="O3224" t="str">
            <v/>
          </cell>
        </row>
        <row r="3225">
          <cell r="O3225" t="str">
            <v/>
          </cell>
        </row>
        <row r="3226">
          <cell r="O3226" t="str">
            <v/>
          </cell>
        </row>
        <row r="3227">
          <cell r="O3227" t="str">
            <v/>
          </cell>
        </row>
        <row r="3228">
          <cell r="O3228" t="str">
            <v/>
          </cell>
        </row>
        <row r="3229">
          <cell r="O3229" t="str">
            <v/>
          </cell>
        </row>
        <row r="3230">
          <cell r="O3230" t="str">
            <v/>
          </cell>
        </row>
        <row r="3231">
          <cell r="O3231" t="str">
            <v/>
          </cell>
        </row>
        <row r="3232">
          <cell r="O3232" t="str">
            <v/>
          </cell>
        </row>
        <row r="3233">
          <cell r="O3233" t="str">
            <v/>
          </cell>
        </row>
        <row r="3234">
          <cell r="O3234" t="str">
            <v/>
          </cell>
        </row>
        <row r="3235">
          <cell r="O3235" t="str">
            <v/>
          </cell>
        </row>
        <row r="3236">
          <cell r="O3236" t="str">
            <v/>
          </cell>
        </row>
        <row r="3237">
          <cell r="O3237" t="str">
            <v/>
          </cell>
        </row>
        <row r="3238">
          <cell r="O3238" t="str">
            <v/>
          </cell>
        </row>
        <row r="3239">
          <cell r="O3239" t="str">
            <v/>
          </cell>
        </row>
        <row r="3240">
          <cell r="O3240" t="str">
            <v/>
          </cell>
        </row>
        <row r="3241">
          <cell r="O3241" t="str">
            <v/>
          </cell>
        </row>
        <row r="3242">
          <cell r="O3242" t="str">
            <v/>
          </cell>
        </row>
        <row r="3243">
          <cell r="O3243" t="str">
            <v/>
          </cell>
        </row>
        <row r="3244">
          <cell r="O3244" t="str">
            <v/>
          </cell>
        </row>
        <row r="3245">
          <cell r="O3245" t="str">
            <v/>
          </cell>
        </row>
        <row r="3246">
          <cell r="O3246" t="str">
            <v/>
          </cell>
        </row>
        <row r="3247">
          <cell r="O3247" t="str">
            <v/>
          </cell>
        </row>
        <row r="3248">
          <cell r="O3248" t="str">
            <v/>
          </cell>
        </row>
        <row r="3249">
          <cell r="O3249" t="str">
            <v/>
          </cell>
        </row>
        <row r="3250">
          <cell r="O3250" t="str">
            <v/>
          </cell>
        </row>
        <row r="3251">
          <cell r="O3251" t="str">
            <v/>
          </cell>
        </row>
        <row r="3252">
          <cell r="O3252" t="str">
            <v/>
          </cell>
        </row>
        <row r="3253">
          <cell r="O3253" t="str">
            <v/>
          </cell>
        </row>
        <row r="3254">
          <cell r="O3254" t="str">
            <v/>
          </cell>
        </row>
        <row r="3255">
          <cell r="O3255" t="str">
            <v/>
          </cell>
        </row>
        <row r="3256">
          <cell r="O3256" t="str">
            <v/>
          </cell>
        </row>
        <row r="3257">
          <cell r="O3257" t="str">
            <v/>
          </cell>
        </row>
        <row r="3258">
          <cell r="O3258" t="str">
            <v/>
          </cell>
        </row>
        <row r="3259">
          <cell r="O3259" t="str">
            <v/>
          </cell>
        </row>
        <row r="3260">
          <cell r="O3260" t="str">
            <v/>
          </cell>
        </row>
        <row r="3261">
          <cell r="O3261" t="str">
            <v/>
          </cell>
        </row>
        <row r="3262">
          <cell r="O3262" t="str">
            <v/>
          </cell>
        </row>
        <row r="3263">
          <cell r="O3263" t="str">
            <v/>
          </cell>
        </row>
        <row r="3264">
          <cell r="O3264" t="str">
            <v/>
          </cell>
        </row>
        <row r="3265">
          <cell r="O3265" t="str">
            <v/>
          </cell>
        </row>
        <row r="3266">
          <cell r="O3266" t="str">
            <v/>
          </cell>
        </row>
        <row r="3267">
          <cell r="O3267" t="str">
            <v/>
          </cell>
        </row>
        <row r="3268">
          <cell r="O3268" t="str">
            <v/>
          </cell>
        </row>
        <row r="3269">
          <cell r="O3269" t="str">
            <v/>
          </cell>
        </row>
        <row r="3270">
          <cell r="O3270" t="str">
            <v/>
          </cell>
        </row>
        <row r="3271">
          <cell r="O3271" t="str">
            <v/>
          </cell>
        </row>
        <row r="3272">
          <cell r="O3272" t="str">
            <v/>
          </cell>
        </row>
        <row r="3273">
          <cell r="O3273" t="str">
            <v/>
          </cell>
        </row>
        <row r="3274">
          <cell r="O3274" t="str">
            <v/>
          </cell>
        </row>
        <row r="3275">
          <cell r="O3275" t="str">
            <v/>
          </cell>
        </row>
        <row r="3276">
          <cell r="O3276" t="str">
            <v/>
          </cell>
        </row>
        <row r="3277">
          <cell r="O3277" t="str">
            <v/>
          </cell>
        </row>
        <row r="3278">
          <cell r="O3278" t="str">
            <v/>
          </cell>
        </row>
        <row r="3279">
          <cell r="O3279" t="str">
            <v/>
          </cell>
        </row>
        <row r="3280">
          <cell r="O3280" t="str">
            <v/>
          </cell>
        </row>
        <row r="3281">
          <cell r="O3281" t="str">
            <v/>
          </cell>
        </row>
        <row r="3282">
          <cell r="O3282" t="str">
            <v/>
          </cell>
        </row>
        <row r="3283">
          <cell r="O3283" t="str">
            <v/>
          </cell>
        </row>
        <row r="3284">
          <cell r="O3284" t="str">
            <v/>
          </cell>
        </row>
        <row r="3285">
          <cell r="O3285" t="str">
            <v/>
          </cell>
        </row>
        <row r="3286">
          <cell r="O3286" t="str">
            <v/>
          </cell>
        </row>
        <row r="3287">
          <cell r="O3287" t="str">
            <v/>
          </cell>
        </row>
        <row r="3288">
          <cell r="O3288" t="str">
            <v/>
          </cell>
        </row>
        <row r="3289">
          <cell r="O3289" t="str">
            <v/>
          </cell>
        </row>
        <row r="3290">
          <cell r="O3290" t="str">
            <v/>
          </cell>
        </row>
        <row r="3291">
          <cell r="O3291" t="str">
            <v/>
          </cell>
        </row>
        <row r="3292">
          <cell r="O3292" t="str">
            <v/>
          </cell>
        </row>
        <row r="3293">
          <cell r="O3293" t="str">
            <v/>
          </cell>
        </row>
        <row r="3294">
          <cell r="O3294" t="str">
            <v/>
          </cell>
        </row>
        <row r="3295">
          <cell r="O3295" t="str">
            <v/>
          </cell>
        </row>
        <row r="3296">
          <cell r="O3296" t="str">
            <v/>
          </cell>
        </row>
        <row r="3297">
          <cell r="O3297" t="str">
            <v/>
          </cell>
        </row>
        <row r="3298">
          <cell r="O3298" t="str">
            <v/>
          </cell>
        </row>
        <row r="3299">
          <cell r="O3299" t="str">
            <v/>
          </cell>
        </row>
        <row r="3300">
          <cell r="O3300" t="str">
            <v/>
          </cell>
        </row>
        <row r="3301">
          <cell r="O3301" t="str">
            <v/>
          </cell>
        </row>
        <row r="3302">
          <cell r="O3302" t="str">
            <v/>
          </cell>
        </row>
        <row r="3303">
          <cell r="O3303" t="str">
            <v/>
          </cell>
        </row>
        <row r="3304">
          <cell r="O3304" t="str">
            <v/>
          </cell>
        </row>
        <row r="3305">
          <cell r="O3305" t="str">
            <v/>
          </cell>
        </row>
        <row r="3306">
          <cell r="O3306" t="str">
            <v/>
          </cell>
        </row>
        <row r="3307">
          <cell r="O3307" t="str">
            <v/>
          </cell>
        </row>
        <row r="3308">
          <cell r="O3308" t="str">
            <v/>
          </cell>
        </row>
        <row r="3309">
          <cell r="O3309" t="str">
            <v/>
          </cell>
        </row>
        <row r="3310">
          <cell r="O3310" t="str">
            <v/>
          </cell>
        </row>
        <row r="3311">
          <cell r="O3311" t="str">
            <v/>
          </cell>
        </row>
        <row r="3312">
          <cell r="O3312" t="str">
            <v/>
          </cell>
        </row>
        <row r="3313">
          <cell r="O3313" t="str">
            <v/>
          </cell>
        </row>
        <row r="3314">
          <cell r="O3314" t="str">
            <v/>
          </cell>
        </row>
        <row r="3315">
          <cell r="O3315" t="str">
            <v/>
          </cell>
        </row>
        <row r="3316">
          <cell r="O3316" t="str">
            <v/>
          </cell>
        </row>
        <row r="3317">
          <cell r="O3317" t="str">
            <v/>
          </cell>
        </row>
        <row r="3318">
          <cell r="O3318" t="str">
            <v/>
          </cell>
        </row>
        <row r="3319">
          <cell r="O3319" t="str">
            <v/>
          </cell>
        </row>
        <row r="3320">
          <cell r="O3320" t="str">
            <v/>
          </cell>
        </row>
        <row r="3321">
          <cell r="O3321" t="str">
            <v/>
          </cell>
        </row>
        <row r="3322">
          <cell r="O3322" t="str">
            <v/>
          </cell>
        </row>
        <row r="3323">
          <cell r="O3323" t="str">
            <v/>
          </cell>
        </row>
        <row r="3324">
          <cell r="O3324" t="str">
            <v/>
          </cell>
        </row>
        <row r="3325">
          <cell r="O3325" t="str">
            <v/>
          </cell>
        </row>
        <row r="3326">
          <cell r="O3326" t="str">
            <v/>
          </cell>
        </row>
        <row r="3327">
          <cell r="O3327" t="str">
            <v/>
          </cell>
        </row>
        <row r="3328">
          <cell r="O3328" t="str">
            <v/>
          </cell>
        </row>
        <row r="3329">
          <cell r="O3329" t="str">
            <v/>
          </cell>
        </row>
        <row r="3330">
          <cell r="O3330" t="str">
            <v/>
          </cell>
        </row>
        <row r="3331">
          <cell r="O3331" t="str">
            <v/>
          </cell>
        </row>
        <row r="3332">
          <cell r="O3332" t="str">
            <v/>
          </cell>
        </row>
        <row r="3333">
          <cell r="O3333" t="str">
            <v/>
          </cell>
        </row>
        <row r="3334">
          <cell r="O3334" t="str">
            <v/>
          </cell>
        </row>
        <row r="3335">
          <cell r="O3335" t="str">
            <v/>
          </cell>
        </row>
        <row r="3336">
          <cell r="O3336" t="str">
            <v/>
          </cell>
        </row>
        <row r="3337">
          <cell r="O3337" t="str">
            <v/>
          </cell>
        </row>
        <row r="3338">
          <cell r="O3338" t="str">
            <v/>
          </cell>
        </row>
        <row r="3339">
          <cell r="O3339" t="str">
            <v/>
          </cell>
        </row>
        <row r="3340">
          <cell r="O3340" t="str">
            <v/>
          </cell>
        </row>
        <row r="3341">
          <cell r="O3341" t="str">
            <v/>
          </cell>
        </row>
        <row r="3342">
          <cell r="O3342" t="str">
            <v/>
          </cell>
        </row>
        <row r="3343">
          <cell r="O3343" t="str">
            <v/>
          </cell>
        </row>
        <row r="3344">
          <cell r="O3344" t="str">
            <v/>
          </cell>
        </row>
        <row r="3345">
          <cell r="O3345" t="str">
            <v/>
          </cell>
        </row>
        <row r="3346">
          <cell r="O3346" t="str">
            <v/>
          </cell>
        </row>
        <row r="3347">
          <cell r="O3347" t="str">
            <v/>
          </cell>
        </row>
        <row r="3348">
          <cell r="O3348" t="str">
            <v/>
          </cell>
        </row>
        <row r="3349">
          <cell r="O3349" t="str">
            <v/>
          </cell>
        </row>
        <row r="3350">
          <cell r="O3350" t="str">
            <v/>
          </cell>
        </row>
        <row r="3351">
          <cell r="O3351" t="str">
            <v/>
          </cell>
        </row>
        <row r="3352">
          <cell r="O3352" t="str">
            <v/>
          </cell>
        </row>
        <row r="3353">
          <cell r="O3353" t="str">
            <v/>
          </cell>
        </row>
        <row r="3354">
          <cell r="O3354" t="str">
            <v/>
          </cell>
        </row>
        <row r="3355">
          <cell r="O3355" t="str">
            <v/>
          </cell>
        </row>
        <row r="3356">
          <cell r="O3356" t="str">
            <v/>
          </cell>
        </row>
        <row r="3357">
          <cell r="O3357" t="str">
            <v/>
          </cell>
        </row>
        <row r="3358">
          <cell r="O3358" t="str">
            <v/>
          </cell>
        </row>
        <row r="3359">
          <cell r="O3359" t="str">
            <v/>
          </cell>
        </row>
        <row r="3360">
          <cell r="O3360" t="str">
            <v/>
          </cell>
        </row>
        <row r="3361">
          <cell r="O3361" t="str">
            <v/>
          </cell>
        </row>
        <row r="3362">
          <cell r="O3362" t="str">
            <v/>
          </cell>
        </row>
        <row r="3363">
          <cell r="O3363" t="str">
            <v/>
          </cell>
        </row>
        <row r="3364">
          <cell r="O3364" t="str">
            <v/>
          </cell>
        </row>
        <row r="3365">
          <cell r="O3365" t="str">
            <v/>
          </cell>
        </row>
        <row r="3366">
          <cell r="O3366" t="str">
            <v/>
          </cell>
        </row>
        <row r="3367">
          <cell r="O3367" t="str">
            <v/>
          </cell>
        </row>
        <row r="3368">
          <cell r="O3368" t="str">
            <v/>
          </cell>
        </row>
        <row r="3369">
          <cell r="O3369" t="str">
            <v/>
          </cell>
        </row>
        <row r="3370">
          <cell r="O3370" t="str">
            <v/>
          </cell>
        </row>
        <row r="3371">
          <cell r="O3371" t="str">
            <v/>
          </cell>
        </row>
        <row r="3372">
          <cell r="O3372" t="str">
            <v/>
          </cell>
        </row>
        <row r="3373">
          <cell r="O3373" t="str">
            <v/>
          </cell>
        </row>
        <row r="3374">
          <cell r="O3374" t="str">
            <v/>
          </cell>
        </row>
        <row r="3375">
          <cell r="O3375" t="str">
            <v/>
          </cell>
        </row>
        <row r="3376">
          <cell r="O3376" t="str">
            <v/>
          </cell>
        </row>
        <row r="3377">
          <cell r="O3377" t="str">
            <v/>
          </cell>
        </row>
        <row r="3378">
          <cell r="O3378" t="str">
            <v/>
          </cell>
        </row>
        <row r="3379">
          <cell r="O3379" t="str">
            <v/>
          </cell>
        </row>
        <row r="3380">
          <cell r="O3380" t="str">
            <v/>
          </cell>
        </row>
        <row r="3381">
          <cell r="O3381" t="str">
            <v/>
          </cell>
        </row>
        <row r="3382">
          <cell r="O3382" t="str">
            <v/>
          </cell>
        </row>
        <row r="3383">
          <cell r="O3383" t="str">
            <v/>
          </cell>
        </row>
        <row r="3384">
          <cell r="O3384" t="str">
            <v/>
          </cell>
        </row>
        <row r="3385">
          <cell r="O3385" t="str">
            <v/>
          </cell>
        </row>
        <row r="3386">
          <cell r="O3386" t="str">
            <v/>
          </cell>
        </row>
        <row r="3387">
          <cell r="O3387" t="str">
            <v/>
          </cell>
        </row>
        <row r="3388">
          <cell r="O3388" t="str">
            <v/>
          </cell>
        </row>
        <row r="3389">
          <cell r="O3389" t="str">
            <v/>
          </cell>
        </row>
        <row r="3390">
          <cell r="O3390" t="str">
            <v/>
          </cell>
        </row>
        <row r="3391">
          <cell r="O3391" t="str">
            <v/>
          </cell>
        </row>
        <row r="3392">
          <cell r="O3392" t="str">
            <v/>
          </cell>
        </row>
        <row r="3393">
          <cell r="O3393" t="str">
            <v/>
          </cell>
        </row>
        <row r="3394">
          <cell r="O3394" t="str">
            <v/>
          </cell>
        </row>
        <row r="3395">
          <cell r="O3395" t="str">
            <v/>
          </cell>
        </row>
        <row r="3396">
          <cell r="O3396" t="str">
            <v/>
          </cell>
        </row>
        <row r="3397">
          <cell r="O3397" t="str">
            <v/>
          </cell>
        </row>
        <row r="3398">
          <cell r="O3398" t="str">
            <v/>
          </cell>
        </row>
        <row r="3399">
          <cell r="O3399" t="str">
            <v/>
          </cell>
        </row>
        <row r="3400">
          <cell r="O3400" t="str">
            <v/>
          </cell>
        </row>
        <row r="3401">
          <cell r="O3401" t="str">
            <v/>
          </cell>
        </row>
        <row r="3402">
          <cell r="O3402" t="str">
            <v/>
          </cell>
        </row>
        <row r="3403">
          <cell r="O3403" t="str">
            <v/>
          </cell>
        </row>
        <row r="3404">
          <cell r="O3404" t="str">
            <v/>
          </cell>
        </row>
        <row r="3405">
          <cell r="O3405" t="str">
            <v/>
          </cell>
        </row>
        <row r="3406">
          <cell r="O3406" t="str">
            <v/>
          </cell>
        </row>
        <row r="3407">
          <cell r="O3407" t="str">
            <v/>
          </cell>
        </row>
        <row r="3408">
          <cell r="O3408" t="str">
            <v/>
          </cell>
        </row>
        <row r="3409">
          <cell r="O3409" t="str">
            <v/>
          </cell>
        </row>
        <row r="3410">
          <cell r="O3410" t="str">
            <v/>
          </cell>
        </row>
        <row r="3411">
          <cell r="O3411" t="str">
            <v/>
          </cell>
        </row>
        <row r="3412">
          <cell r="O3412" t="str">
            <v/>
          </cell>
        </row>
        <row r="3413">
          <cell r="O3413" t="str">
            <v/>
          </cell>
        </row>
        <row r="3414">
          <cell r="O3414" t="str">
            <v/>
          </cell>
        </row>
        <row r="3415">
          <cell r="O3415" t="str">
            <v/>
          </cell>
        </row>
        <row r="3416">
          <cell r="O3416" t="str">
            <v/>
          </cell>
        </row>
        <row r="3417">
          <cell r="O3417" t="str">
            <v/>
          </cell>
        </row>
        <row r="3418">
          <cell r="O3418" t="str">
            <v/>
          </cell>
        </row>
        <row r="3419">
          <cell r="O3419" t="str">
            <v/>
          </cell>
        </row>
        <row r="3420">
          <cell r="O3420" t="str">
            <v/>
          </cell>
        </row>
        <row r="3421">
          <cell r="O3421" t="str">
            <v/>
          </cell>
        </row>
        <row r="3422">
          <cell r="O3422" t="str">
            <v/>
          </cell>
        </row>
        <row r="3423">
          <cell r="O3423" t="str">
            <v/>
          </cell>
        </row>
        <row r="3424">
          <cell r="O3424" t="str">
            <v/>
          </cell>
        </row>
        <row r="3425">
          <cell r="O3425" t="str">
            <v/>
          </cell>
        </row>
        <row r="3426">
          <cell r="O3426" t="str">
            <v/>
          </cell>
        </row>
        <row r="3427">
          <cell r="O3427" t="str">
            <v/>
          </cell>
        </row>
        <row r="3428">
          <cell r="O3428" t="str">
            <v/>
          </cell>
        </row>
        <row r="3429">
          <cell r="O3429" t="str">
            <v/>
          </cell>
        </row>
        <row r="3430">
          <cell r="O3430" t="str">
            <v/>
          </cell>
        </row>
        <row r="3431">
          <cell r="O3431" t="str">
            <v/>
          </cell>
        </row>
        <row r="3432">
          <cell r="O3432" t="str">
            <v/>
          </cell>
        </row>
        <row r="3433">
          <cell r="O3433" t="str">
            <v/>
          </cell>
        </row>
        <row r="3434">
          <cell r="O3434" t="str">
            <v/>
          </cell>
        </row>
        <row r="3435">
          <cell r="O3435" t="str">
            <v/>
          </cell>
        </row>
        <row r="3436">
          <cell r="O3436" t="str">
            <v/>
          </cell>
        </row>
        <row r="3437">
          <cell r="O3437" t="str">
            <v/>
          </cell>
        </row>
        <row r="3438">
          <cell r="O3438" t="str">
            <v/>
          </cell>
        </row>
        <row r="3439">
          <cell r="O3439" t="str">
            <v/>
          </cell>
        </row>
        <row r="3440">
          <cell r="O3440" t="str">
            <v/>
          </cell>
        </row>
        <row r="3441">
          <cell r="O3441" t="str">
            <v/>
          </cell>
        </row>
        <row r="3442">
          <cell r="O3442" t="str">
            <v/>
          </cell>
        </row>
        <row r="3443">
          <cell r="O3443" t="str">
            <v/>
          </cell>
        </row>
        <row r="3444">
          <cell r="O3444" t="str">
            <v/>
          </cell>
        </row>
        <row r="3445">
          <cell r="O3445" t="str">
            <v/>
          </cell>
        </row>
        <row r="3446">
          <cell r="O3446" t="str">
            <v/>
          </cell>
        </row>
        <row r="3447">
          <cell r="O3447" t="str">
            <v/>
          </cell>
        </row>
        <row r="3448">
          <cell r="O3448" t="str">
            <v/>
          </cell>
        </row>
        <row r="3449">
          <cell r="O3449" t="str">
            <v/>
          </cell>
        </row>
        <row r="3450">
          <cell r="O3450" t="str">
            <v/>
          </cell>
        </row>
        <row r="3451">
          <cell r="O3451" t="str">
            <v/>
          </cell>
        </row>
        <row r="3452">
          <cell r="O3452" t="str">
            <v/>
          </cell>
        </row>
        <row r="3453">
          <cell r="O3453" t="str">
            <v/>
          </cell>
        </row>
        <row r="3454">
          <cell r="O3454" t="str">
            <v/>
          </cell>
        </row>
        <row r="3455">
          <cell r="O3455" t="str">
            <v/>
          </cell>
        </row>
        <row r="3456">
          <cell r="O3456" t="str">
            <v/>
          </cell>
        </row>
        <row r="3457">
          <cell r="O3457" t="str">
            <v/>
          </cell>
        </row>
        <row r="3458">
          <cell r="O3458" t="str">
            <v/>
          </cell>
        </row>
        <row r="3459">
          <cell r="O3459" t="str">
            <v/>
          </cell>
        </row>
        <row r="3460">
          <cell r="O3460" t="str">
            <v/>
          </cell>
        </row>
        <row r="3461">
          <cell r="O3461" t="str">
            <v/>
          </cell>
        </row>
        <row r="3462">
          <cell r="O3462" t="str">
            <v/>
          </cell>
        </row>
        <row r="3463">
          <cell r="O3463" t="str">
            <v/>
          </cell>
        </row>
        <row r="3464">
          <cell r="O3464" t="str">
            <v/>
          </cell>
        </row>
        <row r="3465">
          <cell r="O3465" t="str">
            <v/>
          </cell>
        </row>
        <row r="3466">
          <cell r="O3466" t="str">
            <v/>
          </cell>
        </row>
        <row r="3467">
          <cell r="O3467" t="str">
            <v/>
          </cell>
        </row>
        <row r="3468">
          <cell r="O3468" t="str">
            <v/>
          </cell>
        </row>
        <row r="3469">
          <cell r="O3469" t="str">
            <v/>
          </cell>
        </row>
        <row r="3470">
          <cell r="O3470" t="str">
            <v/>
          </cell>
        </row>
        <row r="3471">
          <cell r="O3471" t="str">
            <v/>
          </cell>
        </row>
        <row r="3472">
          <cell r="O3472" t="str">
            <v/>
          </cell>
        </row>
        <row r="3473">
          <cell r="O3473" t="str">
            <v/>
          </cell>
        </row>
        <row r="3474">
          <cell r="O3474" t="str">
            <v/>
          </cell>
        </row>
        <row r="3475">
          <cell r="O3475" t="str">
            <v/>
          </cell>
        </row>
        <row r="3476">
          <cell r="O3476" t="str">
            <v/>
          </cell>
        </row>
        <row r="3477">
          <cell r="O3477" t="str">
            <v/>
          </cell>
        </row>
        <row r="3478">
          <cell r="O3478" t="str">
            <v/>
          </cell>
        </row>
        <row r="3479">
          <cell r="O3479" t="str">
            <v/>
          </cell>
        </row>
        <row r="3480">
          <cell r="O3480" t="str">
            <v/>
          </cell>
        </row>
        <row r="3481">
          <cell r="O3481" t="str">
            <v/>
          </cell>
        </row>
        <row r="3482">
          <cell r="O3482" t="str">
            <v/>
          </cell>
        </row>
        <row r="3483">
          <cell r="O3483" t="str">
            <v/>
          </cell>
        </row>
        <row r="3484">
          <cell r="O3484" t="str">
            <v/>
          </cell>
        </row>
        <row r="3485">
          <cell r="O3485" t="str">
            <v/>
          </cell>
        </row>
        <row r="3486">
          <cell r="O3486" t="str">
            <v/>
          </cell>
        </row>
        <row r="3487">
          <cell r="O3487" t="str">
            <v/>
          </cell>
        </row>
        <row r="3488">
          <cell r="O3488" t="str">
            <v/>
          </cell>
        </row>
        <row r="3489">
          <cell r="O3489" t="str">
            <v/>
          </cell>
        </row>
        <row r="3490">
          <cell r="O3490" t="str">
            <v/>
          </cell>
        </row>
        <row r="3491">
          <cell r="O3491" t="str">
            <v/>
          </cell>
        </row>
        <row r="3492">
          <cell r="O3492" t="str">
            <v/>
          </cell>
        </row>
        <row r="3493">
          <cell r="O3493" t="str">
            <v/>
          </cell>
        </row>
        <row r="3494">
          <cell r="O3494" t="str">
            <v/>
          </cell>
        </row>
        <row r="3495">
          <cell r="O3495" t="str">
            <v/>
          </cell>
        </row>
        <row r="3496">
          <cell r="O3496" t="str">
            <v/>
          </cell>
        </row>
        <row r="3497">
          <cell r="O3497" t="str">
            <v/>
          </cell>
        </row>
        <row r="3498">
          <cell r="O3498" t="str">
            <v/>
          </cell>
        </row>
        <row r="3499">
          <cell r="O3499" t="str">
            <v/>
          </cell>
        </row>
        <row r="3500">
          <cell r="O3500" t="str">
            <v/>
          </cell>
        </row>
        <row r="3501">
          <cell r="O3501" t="str">
            <v/>
          </cell>
        </row>
        <row r="3502">
          <cell r="O3502" t="str">
            <v/>
          </cell>
        </row>
        <row r="3503">
          <cell r="O3503" t="str">
            <v/>
          </cell>
        </row>
        <row r="3504">
          <cell r="O3504" t="str">
            <v/>
          </cell>
        </row>
        <row r="3505">
          <cell r="O3505" t="str">
            <v/>
          </cell>
        </row>
        <row r="3506">
          <cell r="O3506" t="str">
            <v/>
          </cell>
        </row>
        <row r="3507">
          <cell r="O3507" t="str">
            <v/>
          </cell>
        </row>
        <row r="3508">
          <cell r="O3508" t="str">
            <v/>
          </cell>
        </row>
        <row r="3509">
          <cell r="O3509" t="str">
            <v/>
          </cell>
        </row>
        <row r="3510">
          <cell r="O3510" t="str">
            <v/>
          </cell>
        </row>
        <row r="3511">
          <cell r="O3511" t="str">
            <v/>
          </cell>
        </row>
        <row r="3512">
          <cell r="O3512" t="str">
            <v/>
          </cell>
        </row>
        <row r="3513">
          <cell r="O3513" t="str">
            <v/>
          </cell>
        </row>
        <row r="3514">
          <cell r="O3514" t="str">
            <v/>
          </cell>
        </row>
        <row r="3515">
          <cell r="O3515" t="str">
            <v/>
          </cell>
        </row>
        <row r="3516">
          <cell r="O3516" t="str">
            <v/>
          </cell>
        </row>
        <row r="3517">
          <cell r="O3517" t="str">
            <v/>
          </cell>
        </row>
        <row r="3518">
          <cell r="O3518" t="str">
            <v/>
          </cell>
        </row>
        <row r="3519">
          <cell r="O3519" t="str">
            <v/>
          </cell>
        </row>
        <row r="3520">
          <cell r="O3520" t="str">
            <v/>
          </cell>
        </row>
        <row r="3521">
          <cell r="O3521" t="str">
            <v/>
          </cell>
        </row>
        <row r="3522">
          <cell r="O3522" t="str">
            <v/>
          </cell>
        </row>
        <row r="3523">
          <cell r="O3523" t="str">
            <v/>
          </cell>
        </row>
        <row r="3524">
          <cell r="O3524" t="str">
            <v/>
          </cell>
        </row>
        <row r="3525">
          <cell r="O3525" t="str">
            <v/>
          </cell>
        </row>
        <row r="3526">
          <cell r="O3526" t="str">
            <v/>
          </cell>
        </row>
        <row r="3527">
          <cell r="O3527" t="str">
            <v/>
          </cell>
        </row>
        <row r="3528">
          <cell r="O3528" t="str">
            <v/>
          </cell>
        </row>
        <row r="3529">
          <cell r="O3529" t="str">
            <v/>
          </cell>
        </row>
        <row r="3530">
          <cell r="O3530" t="str">
            <v/>
          </cell>
        </row>
        <row r="3531">
          <cell r="O3531" t="str">
            <v/>
          </cell>
        </row>
        <row r="3532">
          <cell r="O3532" t="str">
            <v/>
          </cell>
        </row>
        <row r="3533">
          <cell r="O3533" t="str">
            <v/>
          </cell>
        </row>
        <row r="3534">
          <cell r="O3534" t="str">
            <v/>
          </cell>
        </row>
        <row r="3535">
          <cell r="O3535" t="str">
            <v/>
          </cell>
        </row>
        <row r="3536">
          <cell r="O3536" t="str">
            <v/>
          </cell>
        </row>
        <row r="3537">
          <cell r="O3537" t="str">
            <v/>
          </cell>
        </row>
        <row r="3538">
          <cell r="O3538" t="str">
            <v/>
          </cell>
        </row>
        <row r="3539">
          <cell r="O3539" t="str">
            <v/>
          </cell>
        </row>
        <row r="3540">
          <cell r="O3540" t="str">
            <v/>
          </cell>
        </row>
        <row r="3541">
          <cell r="O3541" t="str">
            <v/>
          </cell>
        </row>
        <row r="3542">
          <cell r="O3542" t="str">
            <v/>
          </cell>
        </row>
        <row r="3543">
          <cell r="O3543" t="str">
            <v/>
          </cell>
        </row>
        <row r="3544">
          <cell r="O3544" t="str">
            <v/>
          </cell>
        </row>
        <row r="3545">
          <cell r="O3545" t="str">
            <v/>
          </cell>
        </row>
        <row r="3546">
          <cell r="O3546" t="str">
            <v/>
          </cell>
        </row>
        <row r="3547">
          <cell r="O3547" t="str">
            <v/>
          </cell>
        </row>
        <row r="3548">
          <cell r="O3548" t="str">
            <v/>
          </cell>
        </row>
        <row r="3549">
          <cell r="O3549" t="str">
            <v/>
          </cell>
        </row>
        <row r="3550">
          <cell r="O3550" t="str">
            <v/>
          </cell>
        </row>
        <row r="3551">
          <cell r="O3551" t="str">
            <v/>
          </cell>
        </row>
        <row r="3552">
          <cell r="O3552" t="str">
            <v/>
          </cell>
        </row>
        <row r="3553">
          <cell r="O3553" t="str">
            <v/>
          </cell>
        </row>
        <row r="3554">
          <cell r="O3554" t="str">
            <v/>
          </cell>
        </row>
        <row r="3555">
          <cell r="O3555" t="str">
            <v/>
          </cell>
        </row>
        <row r="3556">
          <cell r="O3556" t="str">
            <v/>
          </cell>
        </row>
        <row r="3557">
          <cell r="O3557" t="str">
            <v/>
          </cell>
        </row>
        <row r="3558">
          <cell r="O3558" t="str">
            <v/>
          </cell>
        </row>
        <row r="3559">
          <cell r="O3559" t="str">
            <v/>
          </cell>
        </row>
        <row r="3560">
          <cell r="O3560" t="str">
            <v/>
          </cell>
        </row>
        <row r="3561">
          <cell r="O3561" t="str">
            <v/>
          </cell>
        </row>
        <row r="3562">
          <cell r="O3562" t="str">
            <v/>
          </cell>
        </row>
        <row r="3563">
          <cell r="O3563" t="str">
            <v/>
          </cell>
        </row>
        <row r="3564">
          <cell r="O3564" t="str">
            <v/>
          </cell>
        </row>
        <row r="3565">
          <cell r="O3565" t="str">
            <v/>
          </cell>
        </row>
        <row r="3566">
          <cell r="O3566" t="str">
            <v/>
          </cell>
        </row>
        <row r="3567">
          <cell r="O3567" t="str">
            <v/>
          </cell>
        </row>
        <row r="3568">
          <cell r="O3568" t="str">
            <v/>
          </cell>
        </row>
        <row r="3569">
          <cell r="O3569" t="str">
            <v/>
          </cell>
        </row>
        <row r="3570">
          <cell r="O3570" t="str">
            <v/>
          </cell>
        </row>
        <row r="3571">
          <cell r="O3571" t="str">
            <v/>
          </cell>
        </row>
        <row r="3572">
          <cell r="O3572" t="str">
            <v/>
          </cell>
        </row>
        <row r="3573">
          <cell r="O3573" t="str">
            <v/>
          </cell>
        </row>
        <row r="3574">
          <cell r="O3574" t="str">
            <v/>
          </cell>
        </row>
        <row r="3575">
          <cell r="O3575" t="str">
            <v/>
          </cell>
        </row>
        <row r="3576">
          <cell r="O3576" t="str">
            <v/>
          </cell>
        </row>
        <row r="3577">
          <cell r="O3577" t="str">
            <v/>
          </cell>
        </row>
        <row r="3578">
          <cell r="O3578" t="str">
            <v/>
          </cell>
        </row>
        <row r="3579">
          <cell r="O3579" t="str">
            <v/>
          </cell>
        </row>
        <row r="3580">
          <cell r="O3580" t="str">
            <v/>
          </cell>
        </row>
        <row r="3581">
          <cell r="O3581" t="str">
            <v/>
          </cell>
        </row>
        <row r="3582">
          <cell r="O3582" t="str">
            <v/>
          </cell>
        </row>
        <row r="3583">
          <cell r="O3583" t="str">
            <v/>
          </cell>
        </row>
        <row r="3584">
          <cell r="O3584" t="str">
            <v/>
          </cell>
        </row>
        <row r="3585">
          <cell r="O3585" t="str">
            <v/>
          </cell>
        </row>
        <row r="3586">
          <cell r="O3586" t="str">
            <v/>
          </cell>
        </row>
        <row r="3587">
          <cell r="O3587" t="str">
            <v/>
          </cell>
        </row>
        <row r="3588">
          <cell r="O3588" t="str">
            <v/>
          </cell>
        </row>
        <row r="3589">
          <cell r="O3589" t="str">
            <v/>
          </cell>
        </row>
        <row r="3590">
          <cell r="O3590" t="str">
            <v/>
          </cell>
        </row>
        <row r="3591">
          <cell r="O3591" t="str">
            <v/>
          </cell>
        </row>
        <row r="3592">
          <cell r="O3592" t="str">
            <v/>
          </cell>
        </row>
        <row r="3593">
          <cell r="O3593" t="str">
            <v/>
          </cell>
        </row>
        <row r="3594">
          <cell r="O3594" t="str">
            <v/>
          </cell>
        </row>
        <row r="3595">
          <cell r="O3595" t="str">
            <v/>
          </cell>
        </row>
        <row r="3596">
          <cell r="O3596" t="str">
            <v/>
          </cell>
        </row>
        <row r="3597">
          <cell r="O3597" t="str">
            <v/>
          </cell>
        </row>
        <row r="3598">
          <cell r="O3598" t="str">
            <v/>
          </cell>
        </row>
        <row r="3599">
          <cell r="O3599" t="str">
            <v/>
          </cell>
        </row>
        <row r="3600">
          <cell r="O3600" t="str">
            <v/>
          </cell>
        </row>
        <row r="3601">
          <cell r="O3601" t="str">
            <v/>
          </cell>
        </row>
        <row r="3602">
          <cell r="O3602" t="str">
            <v/>
          </cell>
        </row>
        <row r="3603">
          <cell r="O3603" t="str">
            <v/>
          </cell>
        </row>
        <row r="3604">
          <cell r="O3604" t="str">
            <v/>
          </cell>
        </row>
        <row r="3605">
          <cell r="O3605" t="str">
            <v/>
          </cell>
        </row>
        <row r="3606">
          <cell r="O3606" t="str">
            <v/>
          </cell>
        </row>
        <row r="3607">
          <cell r="O3607" t="str">
            <v/>
          </cell>
        </row>
        <row r="3608">
          <cell r="O3608" t="str">
            <v/>
          </cell>
        </row>
        <row r="3609">
          <cell r="O3609" t="str">
            <v/>
          </cell>
        </row>
        <row r="3610">
          <cell r="O3610" t="str">
            <v/>
          </cell>
        </row>
        <row r="3611">
          <cell r="O3611" t="str">
            <v/>
          </cell>
        </row>
        <row r="3612">
          <cell r="O3612" t="str">
            <v/>
          </cell>
        </row>
        <row r="3613">
          <cell r="O3613" t="str">
            <v/>
          </cell>
        </row>
        <row r="3614">
          <cell r="O3614" t="str">
            <v/>
          </cell>
        </row>
        <row r="3615">
          <cell r="O3615" t="str">
            <v/>
          </cell>
        </row>
        <row r="3616">
          <cell r="O3616" t="str">
            <v/>
          </cell>
        </row>
        <row r="3617">
          <cell r="O3617" t="str">
            <v/>
          </cell>
        </row>
        <row r="3618">
          <cell r="O3618" t="str">
            <v/>
          </cell>
        </row>
        <row r="3619">
          <cell r="O3619" t="str">
            <v/>
          </cell>
        </row>
        <row r="3620">
          <cell r="O3620" t="str">
            <v/>
          </cell>
        </row>
        <row r="3621">
          <cell r="O3621" t="str">
            <v/>
          </cell>
        </row>
        <row r="3622">
          <cell r="O3622" t="str">
            <v/>
          </cell>
        </row>
        <row r="3623">
          <cell r="O3623" t="str">
            <v/>
          </cell>
        </row>
        <row r="3624">
          <cell r="O3624" t="str">
            <v/>
          </cell>
        </row>
        <row r="3625">
          <cell r="O3625" t="str">
            <v/>
          </cell>
        </row>
        <row r="3626">
          <cell r="O3626" t="str">
            <v/>
          </cell>
        </row>
        <row r="3627">
          <cell r="O3627" t="str">
            <v/>
          </cell>
        </row>
        <row r="3628">
          <cell r="O3628" t="str">
            <v/>
          </cell>
        </row>
        <row r="3629">
          <cell r="O3629" t="str">
            <v/>
          </cell>
        </row>
        <row r="3630">
          <cell r="O3630" t="str">
            <v/>
          </cell>
        </row>
        <row r="3631">
          <cell r="O3631" t="str">
            <v/>
          </cell>
        </row>
        <row r="3632">
          <cell r="O3632" t="str">
            <v/>
          </cell>
        </row>
        <row r="3633">
          <cell r="O3633" t="str">
            <v/>
          </cell>
        </row>
        <row r="3634">
          <cell r="O3634" t="str">
            <v/>
          </cell>
        </row>
        <row r="3635">
          <cell r="O3635" t="str">
            <v/>
          </cell>
        </row>
        <row r="3636">
          <cell r="O3636" t="str">
            <v/>
          </cell>
        </row>
        <row r="3637">
          <cell r="O3637" t="str">
            <v/>
          </cell>
        </row>
        <row r="3638">
          <cell r="O3638" t="str">
            <v/>
          </cell>
        </row>
        <row r="3639">
          <cell r="O3639" t="str">
            <v/>
          </cell>
        </row>
        <row r="3640">
          <cell r="O3640" t="str">
            <v/>
          </cell>
        </row>
        <row r="3641">
          <cell r="O3641" t="str">
            <v/>
          </cell>
        </row>
        <row r="3642">
          <cell r="O3642" t="str">
            <v/>
          </cell>
        </row>
        <row r="3643">
          <cell r="O3643" t="str">
            <v/>
          </cell>
        </row>
        <row r="3644">
          <cell r="O3644" t="str">
            <v/>
          </cell>
        </row>
        <row r="3645">
          <cell r="O3645" t="str">
            <v/>
          </cell>
        </row>
        <row r="3646">
          <cell r="O3646" t="str">
            <v/>
          </cell>
        </row>
        <row r="3647">
          <cell r="O3647" t="str">
            <v/>
          </cell>
        </row>
        <row r="3648">
          <cell r="O3648" t="str">
            <v/>
          </cell>
        </row>
        <row r="3649">
          <cell r="O3649" t="str">
            <v/>
          </cell>
        </row>
        <row r="3650">
          <cell r="O3650" t="str">
            <v/>
          </cell>
        </row>
        <row r="3651">
          <cell r="O3651" t="str">
            <v/>
          </cell>
        </row>
        <row r="3652">
          <cell r="O3652" t="str">
            <v/>
          </cell>
        </row>
        <row r="3653">
          <cell r="O3653" t="str">
            <v/>
          </cell>
        </row>
        <row r="3654">
          <cell r="O3654" t="str">
            <v/>
          </cell>
        </row>
        <row r="3655">
          <cell r="O3655" t="str">
            <v/>
          </cell>
        </row>
        <row r="3656">
          <cell r="O3656" t="str">
            <v/>
          </cell>
        </row>
        <row r="3657">
          <cell r="O3657" t="str">
            <v/>
          </cell>
        </row>
        <row r="3658">
          <cell r="O3658" t="str">
            <v/>
          </cell>
        </row>
        <row r="3659">
          <cell r="O3659" t="str">
            <v/>
          </cell>
        </row>
        <row r="3660">
          <cell r="O3660" t="str">
            <v/>
          </cell>
        </row>
        <row r="3661">
          <cell r="O3661" t="str">
            <v/>
          </cell>
        </row>
        <row r="3662">
          <cell r="O3662" t="str">
            <v/>
          </cell>
        </row>
        <row r="3663">
          <cell r="O3663" t="str">
            <v/>
          </cell>
        </row>
        <row r="3664">
          <cell r="O3664" t="str">
            <v/>
          </cell>
        </row>
        <row r="3665">
          <cell r="O3665" t="str">
            <v/>
          </cell>
        </row>
        <row r="3666">
          <cell r="O3666" t="str">
            <v/>
          </cell>
        </row>
        <row r="3667">
          <cell r="O3667" t="str">
            <v/>
          </cell>
        </row>
        <row r="3668">
          <cell r="O3668" t="str">
            <v/>
          </cell>
        </row>
        <row r="3669">
          <cell r="O3669" t="str">
            <v/>
          </cell>
        </row>
        <row r="3670">
          <cell r="O3670" t="str">
            <v/>
          </cell>
        </row>
        <row r="3671">
          <cell r="O3671" t="str">
            <v/>
          </cell>
        </row>
        <row r="3672">
          <cell r="O3672" t="str">
            <v/>
          </cell>
        </row>
        <row r="3673">
          <cell r="O3673" t="str">
            <v/>
          </cell>
        </row>
        <row r="3674">
          <cell r="O3674" t="str">
            <v/>
          </cell>
        </row>
        <row r="3675">
          <cell r="O3675" t="str">
            <v/>
          </cell>
        </row>
        <row r="3676">
          <cell r="O3676" t="str">
            <v/>
          </cell>
        </row>
        <row r="3677">
          <cell r="O3677" t="str">
            <v/>
          </cell>
        </row>
        <row r="3678">
          <cell r="O3678" t="str">
            <v/>
          </cell>
        </row>
        <row r="3679">
          <cell r="O3679" t="str">
            <v/>
          </cell>
        </row>
        <row r="3680">
          <cell r="O3680" t="str">
            <v/>
          </cell>
        </row>
        <row r="3681">
          <cell r="O3681" t="str">
            <v/>
          </cell>
        </row>
        <row r="3682">
          <cell r="O3682" t="str">
            <v/>
          </cell>
        </row>
        <row r="3683">
          <cell r="O3683" t="str">
            <v/>
          </cell>
        </row>
        <row r="3684">
          <cell r="O3684" t="str">
            <v/>
          </cell>
        </row>
        <row r="3685">
          <cell r="O3685" t="str">
            <v/>
          </cell>
        </row>
        <row r="3686">
          <cell r="O3686" t="str">
            <v/>
          </cell>
        </row>
        <row r="3687">
          <cell r="O3687" t="str">
            <v/>
          </cell>
        </row>
        <row r="3688">
          <cell r="O3688" t="str">
            <v/>
          </cell>
        </row>
        <row r="3689">
          <cell r="O3689" t="str">
            <v/>
          </cell>
        </row>
        <row r="3690">
          <cell r="O3690" t="str">
            <v/>
          </cell>
        </row>
        <row r="3691">
          <cell r="O3691" t="str">
            <v/>
          </cell>
        </row>
        <row r="3692">
          <cell r="O3692" t="str">
            <v/>
          </cell>
        </row>
        <row r="3693">
          <cell r="O3693" t="str">
            <v/>
          </cell>
        </row>
        <row r="3694">
          <cell r="O3694" t="str">
            <v/>
          </cell>
        </row>
        <row r="3695">
          <cell r="O3695" t="str">
            <v/>
          </cell>
        </row>
        <row r="3696">
          <cell r="O3696" t="str">
            <v/>
          </cell>
        </row>
        <row r="3697">
          <cell r="O3697" t="str">
            <v/>
          </cell>
        </row>
        <row r="3698">
          <cell r="O3698" t="str">
            <v/>
          </cell>
        </row>
        <row r="3699">
          <cell r="O3699" t="str">
            <v/>
          </cell>
        </row>
        <row r="3700">
          <cell r="O3700" t="str">
            <v/>
          </cell>
        </row>
        <row r="3701">
          <cell r="O3701" t="str">
            <v/>
          </cell>
        </row>
        <row r="3702">
          <cell r="O3702" t="str">
            <v/>
          </cell>
        </row>
        <row r="3703">
          <cell r="O3703" t="str">
            <v/>
          </cell>
        </row>
        <row r="3704">
          <cell r="O3704" t="str">
            <v/>
          </cell>
        </row>
        <row r="3705">
          <cell r="O3705" t="str">
            <v/>
          </cell>
        </row>
        <row r="3706">
          <cell r="O3706" t="str">
            <v/>
          </cell>
        </row>
        <row r="3707">
          <cell r="O3707" t="str">
            <v/>
          </cell>
        </row>
        <row r="3708">
          <cell r="O3708" t="str">
            <v/>
          </cell>
        </row>
        <row r="3709">
          <cell r="O3709" t="str">
            <v/>
          </cell>
        </row>
        <row r="3710">
          <cell r="O3710" t="str">
            <v/>
          </cell>
        </row>
        <row r="3711">
          <cell r="O3711" t="str">
            <v/>
          </cell>
        </row>
        <row r="3712">
          <cell r="O3712" t="str">
            <v/>
          </cell>
        </row>
        <row r="3713">
          <cell r="O3713" t="str">
            <v/>
          </cell>
        </row>
        <row r="3714">
          <cell r="O3714" t="str">
            <v/>
          </cell>
        </row>
        <row r="3715">
          <cell r="O3715" t="str">
            <v/>
          </cell>
        </row>
        <row r="3716">
          <cell r="O3716" t="str">
            <v/>
          </cell>
        </row>
        <row r="3717">
          <cell r="O3717" t="str">
            <v/>
          </cell>
        </row>
        <row r="3718">
          <cell r="O3718" t="str">
            <v/>
          </cell>
        </row>
        <row r="3719">
          <cell r="O3719" t="str">
            <v/>
          </cell>
        </row>
        <row r="3720">
          <cell r="O3720" t="str">
            <v/>
          </cell>
        </row>
        <row r="3721">
          <cell r="O3721" t="str">
            <v/>
          </cell>
        </row>
        <row r="3722">
          <cell r="O3722" t="str">
            <v/>
          </cell>
        </row>
        <row r="3723">
          <cell r="O3723" t="str">
            <v/>
          </cell>
        </row>
        <row r="3724">
          <cell r="O3724" t="str">
            <v/>
          </cell>
        </row>
        <row r="3725">
          <cell r="O3725" t="str">
            <v/>
          </cell>
        </row>
        <row r="3726">
          <cell r="O3726" t="str">
            <v/>
          </cell>
        </row>
        <row r="3727">
          <cell r="O3727" t="str">
            <v/>
          </cell>
        </row>
        <row r="3728">
          <cell r="O3728" t="str">
            <v/>
          </cell>
        </row>
        <row r="3729">
          <cell r="O3729" t="str">
            <v/>
          </cell>
        </row>
        <row r="3730">
          <cell r="O3730" t="str">
            <v/>
          </cell>
        </row>
        <row r="3731">
          <cell r="O3731" t="str">
            <v/>
          </cell>
        </row>
        <row r="3732">
          <cell r="O3732" t="str">
            <v/>
          </cell>
        </row>
        <row r="3733">
          <cell r="O3733" t="str">
            <v/>
          </cell>
        </row>
        <row r="3734">
          <cell r="O3734" t="str">
            <v/>
          </cell>
        </row>
        <row r="3735">
          <cell r="O3735" t="str">
            <v/>
          </cell>
        </row>
        <row r="3736">
          <cell r="O3736" t="str">
            <v/>
          </cell>
        </row>
        <row r="3737">
          <cell r="O3737" t="str">
            <v/>
          </cell>
        </row>
        <row r="3738">
          <cell r="O3738" t="str">
            <v/>
          </cell>
        </row>
        <row r="3739">
          <cell r="O3739" t="str">
            <v/>
          </cell>
        </row>
        <row r="3740">
          <cell r="O3740" t="str">
            <v/>
          </cell>
        </row>
        <row r="3741">
          <cell r="O3741" t="str">
            <v/>
          </cell>
        </row>
        <row r="3742">
          <cell r="O3742" t="str">
            <v/>
          </cell>
        </row>
        <row r="3743">
          <cell r="O3743" t="str">
            <v/>
          </cell>
        </row>
        <row r="3744">
          <cell r="O3744" t="str">
            <v/>
          </cell>
        </row>
        <row r="3745">
          <cell r="O3745" t="str">
            <v/>
          </cell>
        </row>
        <row r="3746">
          <cell r="O3746" t="str">
            <v/>
          </cell>
        </row>
        <row r="3747">
          <cell r="O3747" t="str">
            <v/>
          </cell>
        </row>
        <row r="3748">
          <cell r="O3748" t="str">
            <v/>
          </cell>
        </row>
        <row r="3749">
          <cell r="O3749" t="str">
            <v/>
          </cell>
        </row>
        <row r="3750">
          <cell r="O3750" t="str">
            <v/>
          </cell>
        </row>
        <row r="3751">
          <cell r="O3751" t="str">
            <v/>
          </cell>
        </row>
        <row r="3752">
          <cell r="O3752" t="str">
            <v/>
          </cell>
        </row>
        <row r="3753">
          <cell r="O3753" t="str">
            <v/>
          </cell>
        </row>
        <row r="3754">
          <cell r="O3754" t="str">
            <v/>
          </cell>
        </row>
        <row r="3755">
          <cell r="O3755" t="str">
            <v/>
          </cell>
        </row>
        <row r="3756">
          <cell r="O3756" t="str">
            <v/>
          </cell>
        </row>
        <row r="3757">
          <cell r="O3757" t="str">
            <v/>
          </cell>
        </row>
        <row r="3758">
          <cell r="O3758" t="str">
            <v/>
          </cell>
        </row>
        <row r="3759">
          <cell r="O3759" t="str">
            <v/>
          </cell>
        </row>
        <row r="3760">
          <cell r="O3760" t="str">
            <v/>
          </cell>
        </row>
        <row r="3761">
          <cell r="O3761" t="str">
            <v/>
          </cell>
        </row>
        <row r="3762">
          <cell r="O3762" t="str">
            <v/>
          </cell>
        </row>
        <row r="3763">
          <cell r="O3763" t="str">
            <v/>
          </cell>
        </row>
        <row r="3764">
          <cell r="O3764" t="str">
            <v/>
          </cell>
        </row>
        <row r="3765">
          <cell r="O3765" t="str">
            <v/>
          </cell>
        </row>
        <row r="3766">
          <cell r="O3766" t="str">
            <v/>
          </cell>
        </row>
        <row r="3767">
          <cell r="O3767" t="str">
            <v/>
          </cell>
        </row>
        <row r="3768">
          <cell r="O3768" t="str">
            <v/>
          </cell>
        </row>
        <row r="3769">
          <cell r="O3769" t="str">
            <v/>
          </cell>
        </row>
        <row r="3770">
          <cell r="O3770" t="str">
            <v/>
          </cell>
        </row>
        <row r="3771">
          <cell r="O3771" t="str">
            <v/>
          </cell>
        </row>
        <row r="3772">
          <cell r="O3772" t="str">
            <v/>
          </cell>
        </row>
        <row r="3773">
          <cell r="O3773" t="str">
            <v/>
          </cell>
        </row>
        <row r="3774">
          <cell r="O3774" t="str">
            <v/>
          </cell>
        </row>
        <row r="3775">
          <cell r="O3775" t="str">
            <v/>
          </cell>
        </row>
        <row r="3776">
          <cell r="O3776" t="str">
            <v/>
          </cell>
        </row>
        <row r="3777">
          <cell r="O3777" t="str">
            <v/>
          </cell>
        </row>
        <row r="3778">
          <cell r="O3778" t="str">
            <v/>
          </cell>
        </row>
        <row r="3779">
          <cell r="O3779" t="str">
            <v/>
          </cell>
        </row>
        <row r="3780">
          <cell r="O3780" t="str">
            <v/>
          </cell>
        </row>
        <row r="3781">
          <cell r="O3781" t="str">
            <v/>
          </cell>
        </row>
        <row r="3782">
          <cell r="O3782" t="str">
            <v/>
          </cell>
        </row>
        <row r="3783">
          <cell r="O3783" t="str">
            <v/>
          </cell>
        </row>
        <row r="3784">
          <cell r="O3784" t="str">
            <v/>
          </cell>
        </row>
        <row r="3785">
          <cell r="O3785" t="str">
            <v/>
          </cell>
        </row>
        <row r="3786">
          <cell r="O3786" t="str">
            <v/>
          </cell>
        </row>
        <row r="3787">
          <cell r="O3787" t="str">
            <v/>
          </cell>
        </row>
        <row r="3788">
          <cell r="O3788" t="str">
            <v/>
          </cell>
        </row>
        <row r="3789">
          <cell r="O3789" t="str">
            <v/>
          </cell>
        </row>
        <row r="3790">
          <cell r="O3790" t="str">
            <v/>
          </cell>
        </row>
        <row r="3791">
          <cell r="O3791" t="str">
            <v/>
          </cell>
        </row>
        <row r="3792">
          <cell r="O3792" t="str">
            <v/>
          </cell>
        </row>
        <row r="3793">
          <cell r="O3793" t="str">
            <v/>
          </cell>
        </row>
        <row r="3794">
          <cell r="O3794" t="str">
            <v/>
          </cell>
        </row>
        <row r="3795">
          <cell r="O3795" t="str">
            <v/>
          </cell>
        </row>
        <row r="3796">
          <cell r="O3796" t="str">
            <v/>
          </cell>
        </row>
        <row r="3797">
          <cell r="O3797" t="str">
            <v/>
          </cell>
        </row>
        <row r="3798">
          <cell r="O3798" t="str">
            <v/>
          </cell>
        </row>
        <row r="3799">
          <cell r="O3799" t="str">
            <v/>
          </cell>
        </row>
        <row r="3800">
          <cell r="O3800" t="str">
            <v/>
          </cell>
        </row>
        <row r="3801">
          <cell r="O3801" t="str">
            <v/>
          </cell>
        </row>
        <row r="3802">
          <cell r="O3802" t="str">
            <v/>
          </cell>
        </row>
        <row r="3803">
          <cell r="O3803" t="str">
            <v/>
          </cell>
        </row>
        <row r="3804">
          <cell r="O3804" t="str">
            <v/>
          </cell>
        </row>
        <row r="3805">
          <cell r="O3805" t="str">
            <v/>
          </cell>
        </row>
        <row r="3806">
          <cell r="O3806" t="str">
            <v/>
          </cell>
        </row>
        <row r="3807">
          <cell r="O3807" t="str">
            <v/>
          </cell>
        </row>
        <row r="3808">
          <cell r="O3808" t="str">
            <v/>
          </cell>
        </row>
        <row r="3809">
          <cell r="O3809" t="str">
            <v/>
          </cell>
        </row>
        <row r="3810">
          <cell r="O3810" t="str">
            <v/>
          </cell>
        </row>
        <row r="3811">
          <cell r="O3811" t="str">
            <v/>
          </cell>
        </row>
        <row r="3812">
          <cell r="O3812" t="str">
            <v/>
          </cell>
        </row>
        <row r="3813">
          <cell r="O3813" t="str">
            <v/>
          </cell>
        </row>
        <row r="3814">
          <cell r="O3814" t="str">
            <v/>
          </cell>
        </row>
        <row r="3815">
          <cell r="O3815" t="str">
            <v/>
          </cell>
        </row>
        <row r="3816">
          <cell r="O3816" t="str">
            <v/>
          </cell>
        </row>
        <row r="3817">
          <cell r="O3817" t="str">
            <v/>
          </cell>
        </row>
        <row r="3818">
          <cell r="O3818" t="str">
            <v/>
          </cell>
        </row>
        <row r="3819">
          <cell r="O3819" t="str">
            <v/>
          </cell>
        </row>
        <row r="3820">
          <cell r="O3820" t="str">
            <v/>
          </cell>
        </row>
        <row r="3821">
          <cell r="O3821" t="str">
            <v/>
          </cell>
        </row>
        <row r="3822">
          <cell r="O3822" t="str">
            <v/>
          </cell>
        </row>
        <row r="3823">
          <cell r="O3823" t="str">
            <v/>
          </cell>
        </row>
        <row r="3824">
          <cell r="O3824" t="str">
            <v/>
          </cell>
        </row>
        <row r="3825">
          <cell r="O3825" t="str">
            <v/>
          </cell>
        </row>
        <row r="3826">
          <cell r="O3826" t="str">
            <v/>
          </cell>
        </row>
        <row r="3827">
          <cell r="O3827" t="str">
            <v/>
          </cell>
        </row>
        <row r="3828">
          <cell r="O3828" t="str">
            <v/>
          </cell>
        </row>
        <row r="3829">
          <cell r="O3829" t="str">
            <v/>
          </cell>
        </row>
        <row r="3830">
          <cell r="O3830" t="str">
            <v/>
          </cell>
        </row>
        <row r="3831">
          <cell r="O3831" t="str">
            <v/>
          </cell>
        </row>
        <row r="3832">
          <cell r="O3832" t="str">
            <v/>
          </cell>
        </row>
        <row r="3833">
          <cell r="O3833" t="str">
            <v/>
          </cell>
        </row>
        <row r="3834">
          <cell r="O3834" t="str">
            <v/>
          </cell>
        </row>
        <row r="3835">
          <cell r="O3835" t="str">
            <v/>
          </cell>
        </row>
        <row r="3836">
          <cell r="O3836" t="str">
            <v/>
          </cell>
        </row>
        <row r="3837">
          <cell r="O3837" t="str">
            <v/>
          </cell>
        </row>
        <row r="3838">
          <cell r="O3838" t="str">
            <v/>
          </cell>
        </row>
        <row r="3839">
          <cell r="O3839" t="str">
            <v/>
          </cell>
        </row>
        <row r="3840">
          <cell r="O3840" t="str">
            <v/>
          </cell>
        </row>
        <row r="3841">
          <cell r="O3841" t="str">
            <v/>
          </cell>
        </row>
        <row r="3842">
          <cell r="O3842" t="str">
            <v/>
          </cell>
        </row>
        <row r="3843">
          <cell r="O3843" t="str">
            <v/>
          </cell>
        </row>
        <row r="3844">
          <cell r="O3844" t="str">
            <v/>
          </cell>
        </row>
        <row r="3845">
          <cell r="O3845" t="str">
            <v/>
          </cell>
        </row>
        <row r="3846">
          <cell r="O3846" t="str">
            <v/>
          </cell>
        </row>
        <row r="3847">
          <cell r="O3847" t="str">
            <v/>
          </cell>
        </row>
        <row r="3848">
          <cell r="O3848" t="str">
            <v/>
          </cell>
        </row>
        <row r="3849">
          <cell r="O3849" t="str">
            <v/>
          </cell>
        </row>
        <row r="3850">
          <cell r="O3850" t="str">
            <v/>
          </cell>
        </row>
        <row r="3851">
          <cell r="O3851" t="str">
            <v/>
          </cell>
        </row>
        <row r="3852">
          <cell r="O3852" t="str">
            <v/>
          </cell>
        </row>
        <row r="3853">
          <cell r="O3853" t="str">
            <v/>
          </cell>
        </row>
        <row r="3854">
          <cell r="O3854" t="str">
            <v/>
          </cell>
        </row>
        <row r="3855">
          <cell r="O3855" t="str">
            <v/>
          </cell>
        </row>
        <row r="3856">
          <cell r="O3856" t="str">
            <v/>
          </cell>
        </row>
        <row r="3857">
          <cell r="O3857" t="str">
            <v/>
          </cell>
        </row>
        <row r="3858">
          <cell r="O3858" t="str">
            <v/>
          </cell>
        </row>
        <row r="3859">
          <cell r="O3859" t="str">
            <v/>
          </cell>
        </row>
        <row r="3860">
          <cell r="O3860" t="str">
            <v/>
          </cell>
        </row>
        <row r="3861">
          <cell r="O3861" t="str">
            <v/>
          </cell>
        </row>
        <row r="3862">
          <cell r="O3862" t="str">
            <v/>
          </cell>
        </row>
        <row r="3863">
          <cell r="O3863" t="str">
            <v/>
          </cell>
        </row>
        <row r="3864">
          <cell r="O3864" t="str">
            <v/>
          </cell>
        </row>
        <row r="3865">
          <cell r="O3865" t="str">
            <v/>
          </cell>
        </row>
        <row r="3866">
          <cell r="O3866" t="str">
            <v/>
          </cell>
        </row>
        <row r="3867">
          <cell r="O3867" t="str">
            <v/>
          </cell>
        </row>
        <row r="3868">
          <cell r="O3868" t="str">
            <v/>
          </cell>
        </row>
        <row r="3869">
          <cell r="O3869" t="str">
            <v/>
          </cell>
        </row>
        <row r="3870">
          <cell r="O3870" t="str">
            <v/>
          </cell>
        </row>
        <row r="3871">
          <cell r="O3871" t="str">
            <v/>
          </cell>
        </row>
        <row r="3872">
          <cell r="O3872" t="str">
            <v/>
          </cell>
        </row>
        <row r="3873">
          <cell r="O3873" t="str">
            <v/>
          </cell>
        </row>
        <row r="3874">
          <cell r="O3874" t="str">
            <v/>
          </cell>
        </row>
        <row r="3875">
          <cell r="O3875" t="str">
            <v/>
          </cell>
        </row>
        <row r="3876">
          <cell r="O3876" t="str">
            <v/>
          </cell>
        </row>
        <row r="3877">
          <cell r="O3877" t="str">
            <v/>
          </cell>
        </row>
        <row r="3878">
          <cell r="O3878" t="str">
            <v/>
          </cell>
        </row>
        <row r="3879">
          <cell r="O3879" t="str">
            <v/>
          </cell>
        </row>
        <row r="3880">
          <cell r="O3880" t="str">
            <v/>
          </cell>
        </row>
        <row r="3881">
          <cell r="O3881" t="str">
            <v/>
          </cell>
        </row>
        <row r="3882">
          <cell r="O3882" t="str">
            <v/>
          </cell>
        </row>
        <row r="3883">
          <cell r="O3883" t="str">
            <v/>
          </cell>
        </row>
        <row r="3884">
          <cell r="O3884" t="str">
            <v/>
          </cell>
        </row>
        <row r="3885">
          <cell r="O3885" t="str">
            <v/>
          </cell>
        </row>
        <row r="3886">
          <cell r="O3886" t="str">
            <v/>
          </cell>
        </row>
        <row r="3887">
          <cell r="O3887" t="str">
            <v/>
          </cell>
        </row>
        <row r="3888">
          <cell r="O3888" t="str">
            <v/>
          </cell>
        </row>
        <row r="3889">
          <cell r="O3889" t="str">
            <v/>
          </cell>
        </row>
        <row r="3890">
          <cell r="O3890" t="str">
            <v/>
          </cell>
        </row>
        <row r="3891">
          <cell r="O3891" t="str">
            <v/>
          </cell>
        </row>
        <row r="3892">
          <cell r="O3892" t="str">
            <v/>
          </cell>
        </row>
        <row r="3893">
          <cell r="O3893" t="str">
            <v/>
          </cell>
        </row>
        <row r="3894">
          <cell r="O3894" t="str">
            <v/>
          </cell>
        </row>
        <row r="3895">
          <cell r="O3895" t="str">
            <v/>
          </cell>
        </row>
        <row r="3896">
          <cell r="O3896" t="str">
            <v/>
          </cell>
        </row>
        <row r="3897">
          <cell r="O3897" t="str">
            <v/>
          </cell>
        </row>
        <row r="3898">
          <cell r="O3898" t="str">
            <v/>
          </cell>
        </row>
        <row r="3899">
          <cell r="O3899" t="str">
            <v/>
          </cell>
        </row>
        <row r="3900">
          <cell r="O3900" t="str">
            <v/>
          </cell>
        </row>
        <row r="3901">
          <cell r="O3901" t="str">
            <v/>
          </cell>
        </row>
        <row r="3902">
          <cell r="O3902" t="str">
            <v/>
          </cell>
        </row>
        <row r="3903">
          <cell r="O3903" t="str">
            <v/>
          </cell>
        </row>
        <row r="3904">
          <cell r="O3904" t="str">
            <v/>
          </cell>
        </row>
        <row r="3905">
          <cell r="O3905" t="str">
            <v/>
          </cell>
        </row>
        <row r="3906">
          <cell r="O3906" t="str">
            <v/>
          </cell>
        </row>
        <row r="3907">
          <cell r="O3907" t="str">
            <v/>
          </cell>
        </row>
        <row r="3908">
          <cell r="O3908" t="str">
            <v/>
          </cell>
        </row>
        <row r="3909">
          <cell r="O3909" t="str">
            <v/>
          </cell>
        </row>
        <row r="3910">
          <cell r="O3910" t="str">
            <v/>
          </cell>
        </row>
        <row r="3911">
          <cell r="O3911" t="str">
            <v/>
          </cell>
        </row>
        <row r="3912">
          <cell r="O3912" t="str">
            <v/>
          </cell>
        </row>
        <row r="3913">
          <cell r="O3913" t="str">
            <v/>
          </cell>
        </row>
        <row r="3914">
          <cell r="O3914" t="str">
            <v/>
          </cell>
        </row>
        <row r="3915">
          <cell r="O3915" t="str">
            <v/>
          </cell>
        </row>
        <row r="3916">
          <cell r="O3916" t="str">
            <v/>
          </cell>
        </row>
        <row r="3917">
          <cell r="O3917" t="str">
            <v/>
          </cell>
        </row>
        <row r="3918">
          <cell r="O3918" t="str">
            <v/>
          </cell>
        </row>
        <row r="3919">
          <cell r="O3919" t="str">
            <v/>
          </cell>
        </row>
        <row r="3920">
          <cell r="O3920" t="str">
            <v/>
          </cell>
        </row>
        <row r="3921">
          <cell r="O3921" t="str">
            <v/>
          </cell>
        </row>
        <row r="3922">
          <cell r="O3922" t="str">
            <v/>
          </cell>
        </row>
        <row r="3923">
          <cell r="O3923" t="str">
            <v/>
          </cell>
        </row>
        <row r="3924">
          <cell r="O3924" t="str">
            <v/>
          </cell>
        </row>
        <row r="3925">
          <cell r="O3925" t="str">
            <v/>
          </cell>
        </row>
        <row r="3926">
          <cell r="O3926" t="str">
            <v/>
          </cell>
        </row>
        <row r="3927">
          <cell r="O3927" t="str">
            <v/>
          </cell>
        </row>
        <row r="3928">
          <cell r="O3928" t="str">
            <v/>
          </cell>
        </row>
        <row r="3929">
          <cell r="O3929" t="str">
            <v/>
          </cell>
        </row>
        <row r="3930">
          <cell r="O3930" t="str">
            <v/>
          </cell>
        </row>
        <row r="3931">
          <cell r="O3931" t="str">
            <v/>
          </cell>
        </row>
        <row r="3932">
          <cell r="O3932" t="str">
            <v/>
          </cell>
        </row>
        <row r="3933">
          <cell r="O3933" t="str">
            <v/>
          </cell>
        </row>
        <row r="3934">
          <cell r="O3934" t="str">
            <v/>
          </cell>
        </row>
        <row r="3935">
          <cell r="O3935" t="str">
            <v/>
          </cell>
        </row>
        <row r="3936">
          <cell r="O3936" t="str">
            <v/>
          </cell>
        </row>
        <row r="3937">
          <cell r="O3937" t="str">
            <v/>
          </cell>
        </row>
        <row r="3938">
          <cell r="O3938" t="str">
            <v/>
          </cell>
        </row>
        <row r="3939">
          <cell r="O3939" t="str">
            <v/>
          </cell>
        </row>
        <row r="3940">
          <cell r="O3940" t="str">
            <v/>
          </cell>
        </row>
        <row r="3941">
          <cell r="O3941" t="str">
            <v/>
          </cell>
        </row>
        <row r="3942">
          <cell r="O3942" t="str">
            <v/>
          </cell>
        </row>
        <row r="3943">
          <cell r="O3943" t="str">
            <v/>
          </cell>
        </row>
        <row r="3944">
          <cell r="O3944" t="str">
            <v/>
          </cell>
        </row>
        <row r="3945">
          <cell r="O3945" t="str">
            <v/>
          </cell>
        </row>
        <row r="3946">
          <cell r="O3946" t="str">
            <v/>
          </cell>
        </row>
        <row r="3947">
          <cell r="O3947" t="str">
            <v/>
          </cell>
        </row>
        <row r="3948">
          <cell r="O3948" t="str">
            <v/>
          </cell>
        </row>
        <row r="3949">
          <cell r="O3949" t="str">
            <v/>
          </cell>
        </row>
        <row r="3950">
          <cell r="O3950" t="str">
            <v/>
          </cell>
        </row>
        <row r="3951">
          <cell r="O3951" t="str">
            <v/>
          </cell>
        </row>
        <row r="3952">
          <cell r="O3952" t="str">
            <v/>
          </cell>
        </row>
        <row r="3953">
          <cell r="O3953" t="str">
            <v/>
          </cell>
        </row>
        <row r="3954">
          <cell r="O3954" t="str">
            <v/>
          </cell>
        </row>
        <row r="3955">
          <cell r="O3955" t="str">
            <v/>
          </cell>
        </row>
        <row r="3956">
          <cell r="O3956" t="str">
            <v/>
          </cell>
        </row>
        <row r="3957">
          <cell r="O3957" t="str">
            <v/>
          </cell>
        </row>
        <row r="3958">
          <cell r="O3958" t="str">
            <v/>
          </cell>
        </row>
        <row r="3959">
          <cell r="O3959" t="str">
            <v/>
          </cell>
        </row>
        <row r="3960">
          <cell r="O3960" t="str">
            <v/>
          </cell>
        </row>
        <row r="3961">
          <cell r="O3961" t="str">
            <v/>
          </cell>
        </row>
        <row r="3962">
          <cell r="O3962" t="str">
            <v/>
          </cell>
        </row>
        <row r="3963">
          <cell r="O3963" t="str">
            <v/>
          </cell>
        </row>
        <row r="3964">
          <cell r="O3964" t="str">
            <v/>
          </cell>
        </row>
        <row r="3965">
          <cell r="O3965" t="str">
            <v/>
          </cell>
        </row>
        <row r="3966">
          <cell r="O3966" t="str">
            <v/>
          </cell>
        </row>
        <row r="3967">
          <cell r="O3967" t="str">
            <v/>
          </cell>
        </row>
        <row r="3968">
          <cell r="O3968" t="str">
            <v/>
          </cell>
        </row>
        <row r="3969">
          <cell r="O3969" t="str">
            <v/>
          </cell>
        </row>
        <row r="3970">
          <cell r="O3970" t="str">
            <v/>
          </cell>
        </row>
        <row r="3971">
          <cell r="O3971" t="str">
            <v/>
          </cell>
        </row>
        <row r="3972">
          <cell r="O3972" t="str">
            <v/>
          </cell>
        </row>
        <row r="3973">
          <cell r="O3973" t="str">
            <v/>
          </cell>
        </row>
        <row r="3974">
          <cell r="O3974" t="str">
            <v/>
          </cell>
        </row>
        <row r="3975">
          <cell r="O3975" t="str">
            <v/>
          </cell>
        </row>
        <row r="3976">
          <cell r="O3976" t="str">
            <v/>
          </cell>
        </row>
        <row r="3977">
          <cell r="O3977" t="str">
            <v/>
          </cell>
        </row>
        <row r="3978">
          <cell r="O3978" t="str">
            <v/>
          </cell>
        </row>
        <row r="3979">
          <cell r="O3979" t="str">
            <v/>
          </cell>
        </row>
        <row r="3980">
          <cell r="O3980" t="str">
            <v/>
          </cell>
        </row>
        <row r="3981">
          <cell r="O3981" t="str">
            <v/>
          </cell>
        </row>
        <row r="3982">
          <cell r="O3982" t="str">
            <v/>
          </cell>
        </row>
        <row r="3983">
          <cell r="O3983" t="str">
            <v/>
          </cell>
        </row>
        <row r="3984">
          <cell r="O3984" t="str">
            <v/>
          </cell>
        </row>
        <row r="3985">
          <cell r="O3985" t="str">
            <v/>
          </cell>
        </row>
        <row r="3986">
          <cell r="O3986" t="str">
            <v/>
          </cell>
        </row>
        <row r="3987">
          <cell r="O3987" t="str">
            <v/>
          </cell>
        </row>
        <row r="3988">
          <cell r="O3988" t="str">
            <v/>
          </cell>
        </row>
        <row r="3989">
          <cell r="O3989" t="str">
            <v/>
          </cell>
        </row>
        <row r="3990">
          <cell r="O3990" t="str">
            <v/>
          </cell>
        </row>
        <row r="3991">
          <cell r="O3991" t="str">
            <v/>
          </cell>
        </row>
        <row r="3992">
          <cell r="O3992" t="str">
            <v/>
          </cell>
        </row>
        <row r="3993">
          <cell r="O3993" t="str">
            <v/>
          </cell>
        </row>
        <row r="3994">
          <cell r="O3994" t="str">
            <v/>
          </cell>
        </row>
        <row r="3995">
          <cell r="O3995" t="str">
            <v/>
          </cell>
        </row>
        <row r="3996">
          <cell r="O3996" t="str">
            <v/>
          </cell>
        </row>
        <row r="3997">
          <cell r="O3997" t="str">
            <v/>
          </cell>
        </row>
        <row r="3998">
          <cell r="O3998" t="str">
            <v/>
          </cell>
        </row>
        <row r="3999">
          <cell r="O3999" t="str">
            <v/>
          </cell>
        </row>
        <row r="4000">
          <cell r="O4000" t="str">
            <v/>
          </cell>
        </row>
        <row r="4001">
          <cell r="O4001" t="str">
            <v/>
          </cell>
        </row>
        <row r="4002">
          <cell r="O4002" t="str">
            <v/>
          </cell>
        </row>
        <row r="4003">
          <cell r="O4003" t="str">
            <v/>
          </cell>
        </row>
        <row r="4004">
          <cell r="O4004" t="str">
            <v/>
          </cell>
        </row>
        <row r="4005">
          <cell r="O4005" t="str">
            <v/>
          </cell>
        </row>
        <row r="4006">
          <cell r="O4006" t="str">
            <v/>
          </cell>
        </row>
        <row r="4007">
          <cell r="O4007" t="str">
            <v/>
          </cell>
        </row>
        <row r="4008">
          <cell r="O4008" t="str">
            <v/>
          </cell>
        </row>
        <row r="4009">
          <cell r="O4009" t="str">
            <v/>
          </cell>
        </row>
        <row r="4010">
          <cell r="O4010" t="str">
            <v/>
          </cell>
        </row>
        <row r="4011">
          <cell r="O4011" t="str">
            <v/>
          </cell>
        </row>
        <row r="4012">
          <cell r="O4012" t="str">
            <v/>
          </cell>
        </row>
        <row r="4013">
          <cell r="O4013" t="str">
            <v/>
          </cell>
        </row>
        <row r="4014">
          <cell r="O4014" t="str">
            <v/>
          </cell>
        </row>
        <row r="4015">
          <cell r="O4015" t="str">
            <v/>
          </cell>
        </row>
        <row r="4016">
          <cell r="O4016" t="str">
            <v/>
          </cell>
        </row>
        <row r="4017">
          <cell r="O4017" t="str">
            <v/>
          </cell>
        </row>
        <row r="4018">
          <cell r="O4018" t="str">
            <v/>
          </cell>
        </row>
        <row r="4019">
          <cell r="O4019" t="str">
            <v/>
          </cell>
        </row>
        <row r="4020">
          <cell r="O4020" t="str">
            <v/>
          </cell>
        </row>
        <row r="4021">
          <cell r="O4021" t="str">
            <v/>
          </cell>
        </row>
        <row r="4022">
          <cell r="O4022" t="str">
            <v/>
          </cell>
        </row>
        <row r="4023">
          <cell r="O4023" t="str">
            <v/>
          </cell>
        </row>
        <row r="4024">
          <cell r="O4024" t="str">
            <v/>
          </cell>
        </row>
        <row r="4025">
          <cell r="O4025" t="str">
            <v/>
          </cell>
        </row>
        <row r="4026">
          <cell r="O4026" t="str">
            <v/>
          </cell>
        </row>
        <row r="4027">
          <cell r="O4027" t="str">
            <v/>
          </cell>
        </row>
        <row r="4028">
          <cell r="O4028" t="str">
            <v/>
          </cell>
        </row>
        <row r="4029">
          <cell r="O4029" t="str">
            <v/>
          </cell>
        </row>
        <row r="4030">
          <cell r="O4030" t="str">
            <v/>
          </cell>
        </row>
        <row r="4031">
          <cell r="O4031" t="str">
            <v/>
          </cell>
        </row>
        <row r="4032">
          <cell r="O4032" t="str">
            <v/>
          </cell>
        </row>
        <row r="4033">
          <cell r="O4033" t="str">
            <v/>
          </cell>
        </row>
        <row r="4034">
          <cell r="O4034" t="str">
            <v/>
          </cell>
        </row>
        <row r="4035">
          <cell r="O4035" t="str">
            <v/>
          </cell>
        </row>
        <row r="4036">
          <cell r="O4036" t="str">
            <v/>
          </cell>
        </row>
        <row r="4037">
          <cell r="O4037" t="str">
            <v/>
          </cell>
        </row>
        <row r="4038">
          <cell r="O4038" t="str">
            <v/>
          </cell>
        </row>
        <row r="4039">
          <cell r="O4039" t="str">
            <v/>
          </cell>
        </row>
        <row r="4040">
          <cell r="O4040" t="str">
            <v/>
          </cell>
        </row>
        <row r="4041">
          <cell r="O4041" t="str">
            <v/>
          </cell>
        </row>
        <row r="4042">
          <cell r="O4042" t="str">
            <v/>
          </cell>
        </row>
        <row r="4043">
          <cell r="O4043" t="str">
            <v/>
          </cell>
        </row>
        <row r="4044">
          <cell r="O4044" t="str">
            <v/>
          </cell>
        </row>
        <row r="4045">
          <cell r="O4045" t="str">
            <v/>
          </cell>
        </row>
        <row r="4046">
          <cell r="O4046" t="str">
            <v/>
          </cell>
        </row>
        <row r="4047">
          <cell r="O4047" t="str">
            <v/>
          </cell>
        </row>
        <row r="4048">
          <cell r="O4048" t="str">
            <v/>
          </cell>
        </row>
        <row r="4049">
          <cell r="O4049" t="str">
            <v/>
          </cell>
        </row>
        <row r="4050">
          <cell r="O4050" t="str">
            <v/>
          </cell>
        </row>
        <row r="4051">
          <cell r="O4051" t="str">
            <v/>
          </cell>
        </row>
        <row r="4052">
          <cell r="O4052" t="str">
            <v/>
          </cell>
        </row>
        <row r="4053">
          <cell r="O4053" t="str">
            <v/>
          </cell>
        </row>
        <row r="4054">
          <cell r="O4054" t="str">
            <v/>
          </cell>
        </row>
        <row r="4055">
          <cell r="O4055" t="str">
            <v/>
          </cell>
        </row>
        <row r="4056">
          <cell r="O4056" t="str">
            <v/>
          </cell>
        </row>
        <row r="4057">
          <cell r="O4057" t="str">
            <v/>
          </cell>
        </row>
        <row r="4058">
          <cell r="O4058" t="str">
            <v/>
          </cell>
        </row>
        <row r="4059">
          <cell r="O4059" t="str">
            <v/>
          </cell>
        </row>
        <row r="4060">
          <cell r="O4060" t="str">
            <v/>
          </cell>
        </row>
        <row r="4061">
          <cell r="O4061" t="str">
            <v/>
          </cell>
        </row>
        <row r="4062">
          <cell r="O4062" t="str">
            <v/>
          </cell>
        </row>
        <row r="4063">
          <cell r="O4063" t="str">
            <v/>
          </cell>
        </row>
        <row r="4064">
          <cell r="O4064" t="str">
            <v/>
          </cell>
        </row>
        <row r="4065">
          <cell r="O4065" t="str">
            <v/>
          </cell>
        </row>
        <row r="4066">
          <cell r="O4066" t="str">
            <v/>
          </cell>
        </row>
        <row r="4067">
          <cell r="O4067" t="str">
            <v/>
          </cell>
        </row>
        <row r="4068">
          <cell r="O4068" t="str">
            <v/>
          </cell>
        </row>
        <row r="4069">
          <cell r="O4069" t="str">
            <v/>
          </cell>
        </row>
        <row r="4070">
          <cell r="O4070" t="str">
            <v/>
          </cell>
        </row>
        <row r="4071">
          <cell r="O4071" t="str">
            <v/>
          </cell>
        </row>
        <row r="4072">
          <cell r="O4072" t="str">
            <v/>
          </cell>
        </row>
        <row r="4073">
          <cell r="O4073" t="str">
            <v/>
          </cell>
        </row>
        <row r="4074">
          <cell r="O4074" t="str">
            <v/>
          </cell>
        </row>
        <row r="4075">
          <cell r="O4075" t="str">
            <v/>
          </cell>
        </row>
        <row r="4076">
          <cell r="O4076" t="str">
            <v/>
          </cell>
        </row>
        <row r="4077">
          <cell r="O4077" t="str">
            <v/>
          </cell>
        </row>
        <row r="4078">
          <cell r="O4078" t="str">
            <v/>
          </cell>
        </row>
        <row r="4079">
          <cell r="O4079" t="str">
            <v/>
          </cell>
        </row>
        <row r="4080">
          <cell r="O4080" t="str">
            <v/>
          </cell>
        </row>
        <row r="4081">
          <cell r="O4081" t="str">
            <v/>
          </cell>
        </row>
        <row r="4082">
          <cell r="O4082" t="str">
            <v/>
          </cell>
        </row>
        <row r="4083">
          <cell r="O4083" t="str">
            <v/>
          </cell>
        </row>
        <row r="4084">
          <cell r="O4084" t="str">
            <v/>
          </cell>
        </row>
        <row r="4085">
          <cell r="O4085" t="str">
            <v/>
          </cell>
        </row>
        <row r="4086">
          <cell r="O4086" t="str">
            <v/>
          </cell>
        </row>
        <row r="4087">
          <cell r="O4087" t="str">
            <v/>
          </cell>
        </row>
        <row r="4088">
          <cell r="O4088" t="str">
            <v/>
          </cell>
        </row>
        <row r="4089">
          <cell r="O4089" t="str">
            <v/>
          </cell>
        </row>
        <row r="4090">
          <cell r="O4090" t="str">
            <v/>
          </cell>
        </row>
        <row r="4091">
          <cell r="O4091" t="str">
            <v/>
          </cell>
        </row>
        <row r="4092">
          <cell r="O4092" t="str">
            <v/>
          </cell>
        </row>
        <row r="4093">
          <cell r="O4093" t="str">
            <v/>
          </cell>
        </row>
        <row r="4094">
          <cell r="O4094" t="str">
            <v/>
          </cell>
        </row>
        <row r="4095">
          <cell r="O4095" t="str">
            <v/>
          </cell>
        </row>
        <row r="4096">
          <cell r="O4096" t="str">
            <v/>
          </cell>
        </row>
        <row r="4097">
          <cell r="O4097" t="str">
            <v/>
          </cell>
        </row>
        <row r="4098">
          <cell r="O4098" t="str">
            <v/>
          </cell>
        </row>
        <row r="4099">
          <cell r="O4099" t="str">
            <v/>
          </cell>
        </row>
        <row r="4100">
          <cell r="O4100" t="str">
            <v/>
          </cell>
        </row>
        <row r="4101">
          <cell r="O4101" t="str">
            <v/>
          </cell>
        </row>
        <row r="4102">
          <cell r="O4102" t="str">
            <v/>
          </cell>
        </row>
        <row r="4103">
          <cell r="O4103" t="str">
            <v/>
          </cell>
        </row>
        <row r="4104">
          <cell r="O4104" t="str">
            <v/>
          </cell>
        </row>
        <row r="4105">
          <cell r="O4105" t="str">
            <v/>
          </cell>
        </row>
        <row r="4106">
          <cell r="O4106" t="str">
            <v/>
          </cell>
        </row>
        <row r="4107">
          <cell r="O4107" t="str">
            <v/>
          </cell>
        </row>
        <row r="4108">
          <cell r="O4108" t="str">
            <v/>
          </cell>
        </row>
        <row r="4109">
          <cell r="O4109" t="str">
            <v/>
          </cell>
        </row>
        <row r="4110">
          <cell r="O4110" t="str">
            <v/>
          </cell>
        </row>
        <row r="4111">
          <cell r="O4111" t="str">
            <v/>
          </cell>
        </row>
        <row r="4112">
          <cell r="O4112" t="str">
            <v/>
          </cell>
        </row>
        <row r="4113">
          <cell r="O4113" t="str">
            <v/>
          </cell>
        </row>
        <row r="4114">
          <cell r="O4114" t="str">
            <v/>
          </cell>
        </row>
        <row r="4115">
          <cell r="O4115" t="str">
            <v/>
          </cell>
        </row>
        <row r="4116">
          <cell r="O4116" t="str">
            <v/>
          </cell>
        </row>
        <row r="4117">
          <cell r="O4117" t="str">
            <v/>
          </cell>
        </row>
        <row r="4118">
          <cell r="O4118" t="str">
            <v/>
          </cell>
        </row>
        <row r="4119">
          <cell r="O4119" t="str">
            <v/>
          </cell>
        </row>
        <row r="4120">
          <cell r="O4120" t="str">
            <v/>
          </cell>
        </row>
        <row r="4121">
          <cell r="O4121" t="str">
            <v/>
          </cell>
        </row>
        <row r="4122">
          <cell r="O4122" t="str">
            <v/>
          </cell>
        </row>
        <row r="4123">
          <cell r="O4123" t="str">
            <v/>
          </cell>
        </row>
        <row r="4124">
          <cell r="O4124" t="str">
            <v/>
          </cell>
        </row>
        <row r="4125">
          <cell r="O4125" t="str">
            <v/>
          </cell>
        </row>
        <row r="4126">
          <cell r="O4126" t="str">
            <v/>
          </cell>
        </row>
        <row r="4127">
          <cell r="O4127" t="str">
            <v/>
          </cell>
        </row>
        <row r="4128">
          <cell r="O4128" t="str">
            <v/>
          </cell>
        </row>
        <row r="4129">
          <cell r="O4129" t="str">
            <v/>
          </cell>
        </row>
        <row r="4130">
          <cell r="O4130" t="str">
            <v/>
          </cell>
        </row>
        <row r="4131">
          <cell r="O4131" t="str">
            <v/>
          </cell>
        </row>
        <row r="4132">
          <cell r="O4132" t="str">
            <v/>
          </cell>
        </row>
        <row r="4133">
          <cell r="O4133" t="str">
            <v/>
          </cell>
        </row>
        <row r="4134">
          <cell r="O4134" t="str">
            <v/>
          </cell>
        </row>
        <row r="4135">
          <cell r="O4135" t="str">
            <v/>
          </cell>
        </row>
        <row r="4136">
          <cell r="O4136" t="str">
            <v/>
          </cell>
        </row>
        <row r="4137">
          <cell r="O4137" t="str">
            <v/>
          </cell>
        </row>
        <row r="4138">
          <cell r="O4138" t="str">
            <v/>
          </cell>
        </row>
        <row r="4139">
          <cell r="O4139" t="str">
            <v/>
          </cell>
        </row>
        <row r="4140">
          <cell r="O4140" t="str">
            <v/>
          </cell>
        </row>
        <row r="4141">
          <cell r="O4141" t="str">
            <v/>
          </cell>
        </row>
        <row r="4142">
          <cell r="O4142" t="str">
            <v/>
          </cell>
        </row>
        <row r="4143">
          <cell r="O4143" t="str">
            <v/>
          </cell>
        </row>
        <row r="4144">
          <cell r="O4144" t="str">
            <v/>
          </cell>
        </row>
        <row r="4145">
          <cell r="O4145" t="str">
            <v/>
          </cell>
        </row>
        <row r="4146">
          <cell r="O4146" t="str">
            <v/>
          </cell>
        </row>
        <row r="4147">
          <cell r="O4147" t="str">
            <v/>
          </cell>
        </row>
        <row r="4148">
          <cell r="O4148" t="str">
            <v/>
          </cell>
        </row>
        <row r="4149">
          <cell r="O4149" t="str">
            <v/>
          </cell>
        </row>
        <row r="4150">
          <cell r="O4150" t="str">
            <v/>
          </cell>
        </row>
        <row r="4151">
          <cell r="O4151" t="str">
            <v/>
          </cell>
        </row>
        <row r="4152">
          <cell r="O4152" t="str">
            <v/>
          </cell>
        </row>
        <row r="4153">
          <cell r="O4153" t="str">
            <v/>
          </cell>
        </row>
        <row r="4154">
          <cell r="O4154" t="str">
            <v/>
          </cell>
        </row>
        <row r="4155">
          <cell r="O4155" t="str">
            <v/>
          </cell>
        </row>
        <row r="4156">
          <cell r="O4156" t="str">
            <v/>
          </cell>
        </row>
        <row r="4157">
          <cell r="O4157" t="str">
            <v/>
          </cell>
        </row>
        <row r="4158">
          <cell r="O4158" t="str">
            <v/>
          </cell>
        </row>
        <row r="4159">
          <cell r="O4159" t="str">
            <v/>
          </cell>
        </row>
        <row r="4160">
          <cell r="O4160" t="str">
            <v/>
          </cell>
        </row>
        <row r="4161">
          <cell r="O4161" t="str">
            <v/>
          </cell>
        </row>
        <row r="4162">
          <cell r="O4162" t="str">
            <v/>
          </cell>
        </row>
        <row r="4163">
          <cell r="O4163" t="str">
            <v/>
          </cell>
        </row>
        <row r="4164">
          <cell r="O4164" t="str">
            <v/>
          </cell>
        </row>
        <row r="4165">
          <cell r="O4165" t="str">
            <v/>
          </cell>
        </row>
        <row r="4166">
          <cell r="O4166" t="str">
            <v/>
          </cell>
        </row>
        <row r="4167">
          <cell r="O4167" t="str">
            <v/>
          </cell>
        </row>
        <row r="4168">
          <cell r="O4168" t="str">
            <v/>
          </cell>
        </row>
        <row r="4169">
          <cell r="O4169" t="str">
            <v/>
          </cell>
        </row>
        <row r="4170">
          <cell r="O4170" t="str">
            <v/>
          </cell>
        </row>
        <row r="4171">
          <cell r="O4171" t="str">
            <v/>
          </cell>
        </row>
        <row r="4172">
          <cell r="O4172" t="str">
            <v/>
          </cell>
        </row>
        <row r="4173">
          <cell r="O4173" t="str">
            <v/>
          </cell>
        </row>
        <row r="4174">
          <cell r="O4174" t="str">
            <v/>
          </cell>
        </row>
        <row r="4175">
          <cell r="O4175" t="str">
            <v/>
          </cell>
        </row>
        <row r="4176">
          <cell r="O4176" t="str">
            <v/>
          </cell>
        </row>
        <row r="4177">
          <cell r="O4177" t="str">
            <v/>
          </cell>
        </row>
        <row r="4178">
          <cell r="O4178" t="str">
            <v/>
          </cell>
        </row>
        <row r="4179">
          <cell r="O4179" t="str">
            <v/>
          </cell>
        </row>
        <row r="4180">
          <cell r="O4180" t="str">
            <v/>
          </cell>
        </row>
        <row r="4181">
          <cell r="O4181" t="str">
            <v/>
          </cell>
        </row>
        <row r="4182">
          <cell r="O4182" t="str">
            <v/>
          </cell>
        </row>
        <row r="4183">
          <cell r="O4183" t="str">
            <v/>
          </cell>
        </row>
        <row r="4184">
          <cell r="O4184" t="str">
            <v/>
          </cell>
        </row>
        <row r="4185">
          <cell r="O4185" t="str">
            <v/>
          </cell>
        </row>
        <row r="4186">
          <cell r="O4186" t="str">
            <v/>
          </cell>
        </row>
        <row r="4187">
          <cell r="O4187" t="str">
            <v/>
          </cell>
        </row>
        <row r="4188">
          <cell r="O4188" t="str">
            <v/>
          </cell>
        </row>
        <row r="4189">
          <cell r="O4189" t="str">
            <v/>
          </cell>
        </row>
        <row r="4190">
          <cell r="O4190" t="str">
            <v/>
          </cell>
        </row>
        <row r="4191">
          <cell r="O4191" t="str">
            <v/>
          </cell>
        </row>
        <row r="4192">
          <cell r="O4192" t="str">
            <v/>
          </cell>
        </row>
        <row r="4193">
          <cell r="O4193" t="str">
            <v/>
          </cell>
        </row>
        <row r="4194">
          <cell r="O4194" t="str">
            <v/>
          </cell>
        </row>
        <row r="4195">
          <cell r="O4195" t="str">
            <v/>
          </cell>
        </row>
        <row r="4196">
          <cell r="O4196" t="str">
            <v/>
          </cell>
        </row>
        <row r="4197">
          <cell r="O4197" t="str">
            <v/>
          </cell>
        </row>
        <row r="4198">
          <cell r="O4198" t="str">
            <v/>
          </cell>
        </row>
        <row r="4199">
          <cell r="O4199" t="str">
            <v/>
          </cell>
        </row>
        <row r="4200">
          <cell r="O4200" t="str">
            <v/>
          </cell>
        </row>
        <row r="4201">
          <cell r="O4201" t="str">
            <v/>
          </cell>
        </row>
        <row r="4202">
          <cell r="O4202" t="str">
            <v/>
          </cell>
        </row>
        <row r="4203">
          <cell r="O4203" t="str">
            <v/>
          </cell>
        </row>
        <row r="4204">
          <cell r="O4204" t="str">
            <v/>
          </cell>
        </row>
        <row r="4205">
          <cell r="O4205" t="str">
            <v/>
          </cell>
        </row>
        <row r="4206">
          <cell r="O4206" t="str">
            <v/>
          </cell>
        </row>
        <row r="4207">
          <cell r="O4207" t="str">
            <v/>
          </cell>
        </row>
        <row r="4208">
          <cell r="O4208" t="str">
            <v/>
          </cell>
        </row>
        <row r="4209">
          <cell r="O4209" t="str">
            <v/>
          </cell>
        </row>
        <row r="4210">
          <cell r="O4210" t="str">
            <v/>
          </cell>
        </row>
        <row r="4211">
          <cell r="O4211" t="str">
            <v/>
          </cell>
        </row>
        <row r="4212">
          <cell r="O4212" t="str">
            <v/>
          </cell>
        </row>
        <row r="4213">
          <cell r="O4213" t="str">
            <v/>
          </cell>
        </row>
        <row r="4214">
          <cell r="O4214" t="str">
            <v/>
          </cell>
        </row>
        <row r="4215">
          <cell r="O4215" t="str">
            <v/>
          </cell>
        </row>
        <row r="4216">
          <cell r="O4216" t="str">
            <v/>
          </cell>
        </row>
        <row r="4217">
          <cell r="O4217" t="str">
            <v/>
          </cell>
        </row>
        <row r="4218">
          <cell r="O4218" t="str">
            <v/>
          </cell>
        </row>
        <row r="4219">
          <cell r="O4219" t="str">
            <v/>
          </cell>
        </row>
        <row r="4220">
          <cell r="O4220" t="str">
            <v/>
          </cell>
        </row>
        <row r="4221">
          <cell r="O4221" t="str">
            <v/>
          </cell>
        </row>
        <row r="4222">
          <cell r="O4222" t="str">
            <v/>
          </cell>
        </row>
        <row r="4223">
          <cell r="O4223" t="str">
            <v/>
          </cell>
        </row>
        <row r="4224">
          <cell r="O4224" t="str">
            <v/>
          </cell>
        </row>
        <row r="4225">
          <cell r="O4225" t="str">
            <v/>
          </cell>
        </row>
        <row r="4226">
          <cell r="O4226" t="str">
            <v/>
          </cell>
        </row>
        <row r="4227">
          <cell r="O4227" t="str">
            <v/>
          </cell>
        </row>
        <row r="4228">
          <cell r="O4228" t="str">
            <v/>
          </cell>
        </row>
        <row r="4229">
          <cell r="O4229" t="str">
            <v/>
          </cell>
        </row>
        <row r="4230">
          <cell r="O4230" t="str">
            <v/>
          </cell>
        </row>
        <row r="4231">
          <cell r="O4231" t="str">
            <v/>
          </cell>
        </row>
        <row r="4232">
          <cell r="O4232" t="str">
            <v/>
          </cell>
        </row>
        <row r="4233">
          <cell r="O4233" t="str">
            <v/>
          </cell>
        </row>
        <row r="4234">
          <cell r="O4234" t="str">
            <v/>
          </cell>
        </row>
        <row r="4235">
          <cell r="O4235" t="str">
            <v/>
          </cell>
        </row>
        <row r="4236">
          <cell r="O4236" t="str">
            <v/>
          </cell>
        </row>
        <row r="4237">
          <cell r="O4237" t="str">
            <v/>
          </cell>
        </row>
        <row r="4238">
          <cell r="O4238" t="str">
            <v/>
          </cell>
        </row>
        <row r="4239">
          <cell r="O4239" t="str">
            <v/>
          </cell>
        </row>
        <row r="4240">
          <cell r="O4240" t="str">
            <v/>
          </cell>
        </row>
        <row r="4241">
          <cell r="O4241" t="str">
            <v/>
          </cell>
        </row>
        <row r="4242">
          <cell r="O4242" t="str">
            <v/>
          </cell>
        </row>
        <row r="4243">
          <cell r="O4243" t="str">
            <v/>
          </cell>
        </row>
        <row r="4244">
          <cell r="O4244" t="str">
            <v/>
          </cell>
        </row>
        <row r="4245">
          <cell r="O4245" t="str">
            <v/>
          </cell>
        </row>
        <row r="4246">
          <cell r="O4246" t="str">
            <v/>
          </cell>
        </row>
        <row r="4247">
          <cell r="O4247" t="str">
            <v/>
          </cell>
        </row>
        <row r="4248">
          <cell r="O4248" t="str">
            <v/>
          </cell>
        </row>
        <row r="4249">
          <cell r="O4249" t="str">
            <v/>
          </cell>
        </row>
        <row r="4250">
          <cell r="O4250" t="str">
            <v/>
          </cell>
        </row>
        <row r="4251">
          <cell r="O4251" t="str">
            <v/>
          </cell>
        </row>
        <row r="4252">
          <cell r="O4252" t="str">
            <v/>
          </cell>
        </row>
        <row r="4253">
          <cell r="O4253" t="str">
            <v/>
          </cell>
        </row>
        <row r="4254">
          <cell r="O4254" t="str">
            <v/>
          </cell>
        </row>
        <row r="4255">
          <cell r="O4255" t="str">
            <v/>
          </cell>
        </row>
        <row r="4256">
          <cell r="O4256" t="str">
            <v/>
          </cell>
        </row>
        <row r="4257">
          <cell r="O4257" t="str">
            <v/>
          </cell>
        </row>
        <row r="4258">
          <cell r="O4258" t="str">
            <v/>
          </cell>
        </row>
        <row r="4259">
          <cell r="O4259" t="str">
            <v/>
          </cell>
        </row>
        <row r="4260">
          <cell r="O4260" t="str">
            <v/>
          </cell>
        </row>
        <row r="4261">
          <cell r="O4261" t="str">
            <v/>
          </cell>
        </row>
        <row r="4262">
          <cell r="O4262" t="str">
            <v/>
          </cell>
        </row>
        <row r="4263">
          <cell r="O4263" t="str">
            <v/>
          </cell>
        </row>
        <row r="4264">
          <cell r="O4264" t="str">
            <v/>
          </cell>
        </row>
        <row r="4265">
          <cell r="O4265" t="str">
            <v/>
          </cell>
        </row>
        <row r="4266">
          <cell r="O4266" t="str">
            <v/>
          </cell>
        </row>
        <row r="4267">
          <cell r="O4267" t="str">
            <v/>
          </cell>
        </row>
        <row r="4268">
          <cell r="O4268" t="str">
            <v/>
          </cell>
        </row>
        <row r="4269">
          <cell r="O4269" t="str">
            <v/>
          </cell>
        </row>
        <row r="4270">
          <cell r="O4270" t="str">
            <v/>
          </cell>
        </row>
        <row r="4271">
          <cell r="O4271" t="str">
            <v/>
          </cell>
        </row>
        <row r="4272">
          <cell r="O4272" t="str">
            <v/>
          </cell>
        </row>
        <row r="4273">
          <cell r="O4273" t="str">
            <v/>
          </cell>
        </row>
        <row r="4274">
          <cell r="O4274" t="str">
            <v/>
          </cell>
        </row>
        <row r="4275">
          <cell r="O4275" t="str">
            <v/>
          </cell>
        </row>
        <row r="4276">
          <cell r="O4276" t="str">
            <v/>
          </cell>
        </row>
        <row r="4277">
          <cell r="O4277" t="str">
            <v/>
          </cell>
        </row>
        <row r="4278">
          <cell r="O4278" t="str">
            <v/>
          </cell>
        </row>
        <row r="4279">
          <cell r="O4279" t="str">
            <v/>
          </cell>
        </row>
        <row r="4280">
          <cell r="O4280" t="str">
            <v/>
          </cell>
        </row>
        <row r="4281">
          <cell r="O4281" t="str">
            <v/>
          </cell>
        </row>
        <row r="4282">
          <cell r="O4282" t="str">
            <v/>
          </cell>
        </row>
        <row r="4283">
          <cell r="O4283" t="str">
            <v/>
          </cell>
        </row>
        <row r="4284">
          <cell r="O4284" t="str">
            <v/>
          </cell>
        </row>
        <row r="4285">
          <cell r="O4285" t="str">
            <v/>
          </cell>
        </row>
        <row r="4286">
          <cell r="O4286" t="str">
            <v/>
          </cell>
        </row>
        <row r="4287">
          <cell r="O4287" t="str">
            <v/>
          </cell>
        </row>
        <row r="4288">
          <cell r="O4288" t="str">
            <v/>
          </cell>
        </row>
        <row r="4289">
          <cell r="O4289" t="str">
            <v/>
          </cell>
        </row>
        <row r="4290">
          <cell r="O4290" t="str">
            <v/>
          </cell>
        </row>
        <row r="4291">
          <cell r="O4291" t="str">
            <v/>
          </cell>
        </row>
        <row r="4292">
          <cell r="O4292" t="str">
            <v/>
          </cell>
        </row>
        <row r="4293">
          <cell r="O4293" t="str">
            <v/>
          </cell>
        </row>
        <row r="4294">
          <cell r="O4294" t="str">
            <v/>
          </cell>
        </row>
        <row r="4295">
          <cell r="O4295" t="str">
            <v/>
          </cell>
        </row>
        <row r="4296">
          <cell r="O4296" t="str">
            <v/>
          </cell>
        </row>
        <row r="4297">
          <cell r="O4297" t="str">
            <v/>
          </cell>
        </row>
        <row r="4298">
          <cell r="O4298" t="str">
            <v/>
          </cell>
        </row>
        <row r="4299">
          <cell r="O4299" t="str">
            <v/>
          </cell>
        </row>
        <row r="4300">
          <cell r="O4300" t="str">
            <v/>
          </cell>
        </row>
        <row r="4301">
          <cell r="O4301" t="str">
            <v/>
          </cell>
        </row>
        <row r="4302">
          <cell r="O4302" t="str">
            <v/>
          </cell>
        </row>
        <row r="4303">
          <cell r="O4303" t="str">
            <v/>
          </cell>
        </row>
        <row r="4304">
          <cell r="O4304" t="str">
            <v/>
          </cell>
        </row>
        <row r="4305">
          <cell r="O4305" t="str">
            <v/>
          </cell>
        </row>
        <row r="4306">
          <cell r="O4306" t="str">
            <v/>
          </cell>
        </row>
        <row r="4307">
          <cell r="O4307" t="str">
            <v/>
          </cell>
        </row>
        <row r="4308">
          <cell r="O4308" t="str">
            <v/>
          </cell>
        </row>
        <row r="4309">
          <cell r="O4309" t="str">
            <v/>
          </cell>
        </row>
        <row r="4310">
          <cell r="O4310" t="str">
            <v/>
          </cell>
        </row>
        <row r="4311">
          <cell r="O4311" t="str">
            <v/>
          </cell>
        </row>
        <row r="4312">
          <cell r="O4312" t="str">
            <v/>
          </cell>
        </row>
        <row r="4313">
          <cell r="O4313" t="str">
            <v/>
          </cell>
        </row>
        <row r="4314">
          <cell r="O4314" t="str">
            <v/>
          </cell>
        </row>
        <row r="4315">
          <cell r="O4315" t="str">
            <v/>
          </cell>
        </row>
        <row r="4316">
          <cell r="O4316" t="str">
            <v/>
          </cell>
        </row>
        <row r="4317">
          <cell r="O4317" t="str">
            <v/>
          </cell>
        </row>
        <row r="4318">
          <cell r="O4318" t="str">
            <v/>
          </cell>
        </row>
        <row r="4319">
          <cell r="O4319" t="str">
            <v/>
          </cell>
        </row>
        <row r="4320">
          <cell r="O4320" t="str">
            <v/>
          </cell>
        </row>
        <row r="4321">
          <cell r="O4321" t="str">
            <v/>
          </cell>
        </row>
        <row r="4322">
          <cell r="O4322" t="str">
            <v/>
          </cell>
        </row>
        <row r="4323">
          <cell r="O4323" t="str">
            <v/>
          </cell>
        </row>
        <row r="4324">
          <cell r="O4324" t="str">
            <v/>
          </cell>
        </row>
        <row r="4325">
          <cell r="O4325" t="str">
            <v/>
          </cell>
        </row>
        <row r="4326">
          <cell r="O4326" t="str">
            <v/>
          </cell>
        </row>
        <row r="4327">
          <cell r="O4327" t="str">
            <v/>
          </cell>
        </row>
        <row r="4328">
          <cell r="O4328" t="str">
            <v/>
          </cell>
        </row>
        <row r="4329">
          <cell r="O4329" t="str">
            <v/>
          </cell>
        </row>
        <row r="4330">
          <cell r="O4330" t="str">
            <v/>
          </cell>
        </row>
        <row r="4331">
          <cell r="O4331" t="str">
            <v/>
          </cell>
        </row>
        <row r="4332">
          <cell r="O4332" t="str">
            <v/>
          </cell>
        </row>
        <row r="4333">
          <cell r="O4333" t="str">
            <v/>
          </cell>
        </row>
        <row r="4334">
          <cell r="O4334" t="str">
            <v/>
          </cell>
        </row>
        <row r="4335">
          <cell r="O4335" t="str">
            <v/>
          </cell>
        </row>
        <row r="4336">
          <cell r="O4336" t="str">
            <v/>
          </cell>
        </row>
        <row r="4337">
          <cell r="O4337" t="str">
            <v/>
          </cell>
        </row>
        <row r="4338">
          <cell r="O4338" t="str">
            <v/>
          </cell>
        </row>
        <row r="4339">
          <cell r="O4339" t="str">
            <v/>
          </cell>
        </row>
        <row r="4340">
          <cell r="O4340" t="str">
            <v/>
          </cell>
        </row>
        <row r="4341">
          <cell r="O4341" t="str">
            <v/>
          </cell>
        </row>
        <row r="4342">
          <cell r="O4342" t="str">
            <v/>
          </cell>
        </row>
        <row r="4343">
          <cell r="O4343" t="str">
            <v/>
          </cell>
        </row>
        <row r="4344">
          <cell r="O4344" t="str">
            <v/>
          </cell>
        </row>
        <row r="4345">
          <cell r="O4345" t="str">
            <v/>
          </cell>
        </row>
        <row r="4346">
          <cell r="O4346" t="str">
            <v/>
          </cell>
        </row>
        <row r="4347">
          <cell r="O4347" t="str">
            <v/>
          </cell>
        </row>
        <row r="4348">
          <cell r="O4348" t="str">
            <v/>
          </cell>
        </row>
        <row r="4349">
          <cell r="O4349" t="str">
            <v/>
          </cell>
        </row>
        <row r="4350">
          <cell r="O4350" t="str">
            <v/>
          </cell>
        </row>
        <row r="4351">
          <cell r="O4351" t="str">
            <v/>
          </cell>
        </row>
        <row r="4352">
          <cell r="O4352" t="str">
            <v/>
          </cell>
        </row>
        <row r="4353">
          <cell r="O4353" t="str">
            <v/>
          </cell>
        </row>
        <row r="4354">
          <cell r="O4354" t="str">
            <v/>
          </cell>
        </row>
        <row r="4355">
          <cell r="O4355" t="str">
            <v/>
          </cell>
        </row>
        <row r="4356">
          <cell r="O4356" t="str">
            <v/>
          </cell>
        </row>
        <row r="4357">
          <cell r="O4357" t="str">
            <v/>
          </cell>
        </row>
        <row r="4358">
          <cell r="O4358" t="str">
            <v/>
          </cell>
        </row>
        <row r="4359">
          <cell r="O4359" t="str">
            <v/>
          </cell>
        </row>
        <row r="4360">
          <cell r="O4360" t="str">
            <v/>
          </cell>
        </row>
        <row r="4361">
          <cell r="O4361" t="str">
            <v/>
          </cell>
        </row>
        <row r="4362">
          <cell r="O4362" t="str">
            <v/>
          </cell>
        </row>
        <row r="4363">
          <cell r="O4363" t="str">
            <v/>
          </cell>
        </row>
        <row r="4364">
          <cell r="O4364" t="str">
            <v/>
          </cell>
        </row>
        <row r="4365">
          <cell r="O4365" t="str">
            <v/>
          </cell>
        </row>
        <row r="4366">
          <cell r="O4366" t="str">
            <v/>
          </cell>
        </row>
        <row r="4367">
          <cell r="O4367" t="str">
            <v/>
          </cell>
        </row>
        <row r="4368">
          <cell r="O4368" t="str">
            <v/>
          </cell>
        </row>
        <row r="4369">
          <cell r="O4369" t="str">
            <v/>
          </cell>
        </row>
        <row r="4370">
          <cell r="O4370" t="str">
            <v/>
          </cell>
        </row>
        <row r="4371">
          <cell r="O4371" t="str">
            <v/>
          </cell>
        </row>
        <row r="4372">
          <cell r="O4372" t="str">
            <v/>
          </cell>
        </row>
        <row r="4373">
          <cell r="O4373" t="str">
            <v/>
          </cell>
        </row>
        <row r="4374">
          <cell r="O4374" t="str">
            <v/>
          </cell>
        </row>
        <row r="4375">
          <cell r="O4375" t="str">
            <v/>
          </cell>
        </row>
        <row r="4376">
          <cell r="O4376" t="str">
            <v/>
          </cell>
        </row>
        <row r="4377">
          <cell r="O4377" t="str">
            <v/>
          </cell>
        </row>
        <row r="4378">
          <cell r="O4378" t="str">
            <v/>
          </cell>
        </row>
        <row r="4379">
          <cell r="O4379" t="str">
            <v/>
          </cell>
        </row>
        <row r="4380">
          <cell r="O4380" t="str">
            <v/>
          </cell>
        </row>
        <row r="4381">
          <cell r="O4381" t="str">
            <v/>
          </cell>
        </row>
        <row r="4382">
          <cell r="O4382" t="str">
            <v/>
          </cell>
        </row>
        <row r="4383">
          <cell r="O4383" t="str">
            <v/>
          </cell>
        </row>
        <row r="4384">
          <cell r="O4384" t="str">
            <v/>
          </cell>
        </row>
        <row r="4385">
          <cell r="O4385" t="str">
            <v/>
          </cell>
        </row>
        <row r="4386">
          <cell r="O4386" t="str">
            <v/>
          </cell>
        </row>
        <row r="4387">
          <cell r="O4387" t="str">
            <v/>
          </cell>
        </row>
        <row r="4388">
          <cell r="O4388" t="str">
            <v/>
          </cell>
        </row>
        <row r="4389">
          <cell r="O4389" t="str">
            <v/>
          </cell>
        </row>
        <row r="4390">
          <cell r="O4390" t="str">
            <v/>
          </cell>
        </row>
        <row r="4391">
          <cell r="O4391" t="str">
            <v/>
          </cell>
        </row>
        <row r="4392">
          <cell r="O4392" t="str">
            <v/>
          </cell>
        </row>
        <row r="4393">
          <cell r="O4393" t="str">
            <v/>
          </cell>
        </row>
        <row r="4394">
          <cell r="O4394" t="str">
            <v/>
          </cell>
        </row>
        <row r="4395">
          <cell r="O4395" t="str">
            <v/>
          </cell>
        </row>
        <row r="4396">
          <cell r="O4396" t="str">
            <v/>
          </cell>
        </row>
        <row r="4397">
          <cell r="O4397" t="str">
            <v/>
          </cell>
        </row>
        <row r="4398">
          <cell r="O4398" t="str">
            <v/>
          </cell>
        </row>
        <row r="4399">
          <cell r="O4399" t="str">
            <v/>
          </cell>
        </row>
        <row r="4400">
          <cell r="O4400" t="str">
            <v/>
          </cell>
        </row>
        <row r="4401">
          <cell r="O4401" t="str">
            <v/>
          </cell>
        </row>
        <row r="4402">
          <cell r="O4402" t="str">
            <v/>
          </cell>
        </row>
        <row r="4403">
          <cell r="O4403" t="str">
            <v/>
          </cell>
        </row>
        <row r="4404">
          <cell r="O4404" t="str">
            <v/>
          </cell>
        </row>
        <row r="4405">
          <cell r="O4405" t="str">
            <v/>
          </cell>
        </row>
        <row r="4406">
          <cell r="O4406" t="str">
            <v/>
          </cell>
        </row>
        <row r="4407">
          <cell r="O4407" t="str">
            <v/>
          </cell>
        </row>
        <row r="4408">
          <cell r="O4408" t="str">
            <v/>
          </cell>
        </row>
        <row r="4409">
          <cell r="O4409" t="str">
            <v/>
          </cell>
        </row>
        <row r="4410">
          <cell r="O4410" t="str">
            <v/>
          </cell>
        </row>
        <row r="4411">
          <cell r="O4411" t="str">
            <v/>
          </cell>
        </row>
        <row r="4412">
          <cell r="O4412" t="str">
            <v/>
          </cell>
        </row>
        <row r="4413">
          <cell r="O4413" t="str">
            <v/>
          </cell>
        </row>
        <row r="4414">
          <cell r="O4414" t="str">
            <v/>
          </cell>
        </row>
        <row r="4415">
          <cell r="O4415" t="str">
            <v/>
          </cell>
        </row>
        <row r="4416">
          <cell r="O4416" t="str">
            <v/>
          </cell>
        </row>
        <row r="4417">
          <cell r="O4417" t="str">
            <v/>
          </cell>
        </row>
        <row r="4418">
          <cell r="O4418" t="str">
            <v/>
          </cell>
        </row>
        <row r="4419">
          <cell r="O4419" t="str">
            <v/>
          </cell>
        </row>
        <row r="4420">
          <cell r="O4420" t="str">
            <v/>
          </cell>
        </row>
        <row r="4421">
          <cell r="O4421" t="str">
            <v/>
          </cell>
        </row>
        <row r="4422">
          <cell r="O4422" t="str">
            <v/>
          </cell>
        </row>
        <row r="4423">
          <cell r="O4423" t="str">
            <v/>
          </cell>
        </row>
        <row r="4424">
          <cell r="O4424" t="str">
            <v/>
          </cell>
        </row>
        <row r="4425">
          <cell r="O4425" t="str">
            <v/>
          </cell>
        </row>
        <row r="4426">
          <cell r="O4426" t="str">
            <v/>
          </cell>
        </row>
        <row r="4427">
          <cell r="O4427" t="str">
            <v/>
          </cell>
        </row>
        <row r="4428">
          <cell r="O4428" t="str">
            <v/>
          </cell>
        </row>
        <row r="4429">
          <cell r="O4429" t="str">
            <v/>
          </cell>
        </row>
        <row r="4430">
          <cell r="O4430" t="str">
            <v/>
          </cell>
        </row>
        <row r="4431">
          <cell r="O4431" t="str">
            <v/>
          </cell>
        </row>
        <row r="4432">
          <cell r="O4432" t="str">
            <v/>
          </cell>
        </row>
        <row r="4433">
          <cell r="O4433" t="str">
            <v/>
          </cell>
        </row>
        <row r="4434">
          <cell r="O4434" t="str">
            <v/>
          </cell>
        </row>
        <row r="4435">
          <cell r="O4435" t="str">
            <v/>
          </cell>
        </row>
        <row r="4436">
          <cell r="O4436" t="str">
            <v/>
          </cell>
        </row>
        <row r="4437">
          <cell r="O4437" t="str">
            <v/>
          </cell>
        </row>
        <row r="4438">
          <cell r="O4438" t="str">
            <v/>
          </cell>
        </row>
        <row r="4439">
          <cell r="O4439" t="str">
            <v/>
          </cell>
        </row>
        <row r="4440">
          <cell r="O4440" t="str">
            <v/>
          </cell>
        </row>
        <row r="4441">
          <cell r="O4441" t="str">
            <v/>
          </cell>
        </row>
        <row r="4442">
          <cell r="O4442" t="str">
            <v/>
          </cell>
        </row>
        <row r="4443">
          <cell r="O4443" t="str">
            <v/>
          </cell>
        </row>
        <row r="4444">
          <cell r="O4444" t="str">
            <v/>
          </cell>
        </row>
        <row r="4445">
          <cell r="O4445" t="str">
            <v/>
          </cell>
        </row>
        <row r="4446">
          <cell r="O4446" t="str">
            <v/>
          </cell>
        </row>
        <row r="4447">
          <cell r="O4447" t="str">
            <v/>
          </cell>
        </row>
        <row r="4448">
          <cell r="O4448" t="str">
            <v/>
          </cell>
        </row>
        <row r="4449">
          <cell r="O4449" t="str">
            <v/>
          </cell>
        </row>
        <row r="4450">
          <cell r="O4450" t="str">
            <v/>
          </cell>
        </row>
        <row r="4451">
          <cell r="O4451" t="str">
            <v/>
          </cell>
        </row>
        <row r="4452">
          <cell r="O4452" t="str">
            <v/>
          </cell>
        </row>
        <row r="4453">
          <cell r="O4453" t="str">
            <v/>
          </cell>
        </row>
        <row r="4454">
          <cell r="O4454" t="str">
            <v/>
          </cell>
        </row>
        <row r="4455">
          <cell r="O4455" t="str">
            <v/>
          </cell>
        </row>
        <row r="4456">
          <cell r="O4456" t="str">
            <v/>
          </cell>
        </row>
        <row r="4457">
          <cell r="O4457" t="str">
            <v/>
          </cell>
        </row>
        <row r="4458">
          <cell r="O4458" t="str">
            <v/>
          </cell>
        </row>
        <row r="4459">
          <cell r="O4459" t="str">
            <v/>
          </cell>
        </row>
        <row r="4460">
          <cell r="O4460" t="str">
            <v/>
          </cell>
        </row>
        <row r="4461">
          <cell r="O4461" t="str">
            <v/>
          </cell>
        </row>
        <row r="4462">
          <cell r="O4462" t="str">
            <v/>
          </cell>
        </row>
        <row r="4463">
          <cell r="O4463" t="str">
            <v/>
          </cell>
        </row>
        <row r="4464">
          <cell r="O4464" t="str">
            <v/>
          </cell>
        </row>
        <row r="4465">
          <cell r="O4465" t="str">
            <v/>
          </cell>
        </row>
        <row r="4466">
          <cell r="O4466" t="str">
            <v/>
          </cell>
        </row>
        <row r="4467">
          <cell r="O4467" t="str">
            <v/>
          </cell>
        </row>
        <row r="4468">
          <cell r="O4468" t="str">
            <v/>
          </cell>
        </row>
        <row r="4469">
          <cell r="O4469" t="str">
            <v/>
          </cell>
        </row>
        <row r="4470">
          <cell r="O4470" t="str">
            <v/>
          </cell>
        </row>
        <row r="4471">
          <cell r="O4471" t="str">
            <v/>
          </cell>
        </row>
        <row r="4472">
          <cell r="O4472" t="str">
            <v/>
          </cell>
        </row>
        <row r="4473">
          <cell r="O4473" t="str">
            <v/>
          </cell>
        </row>
        <row r="4474">
          <cell r="O4474" t="str">
            <v/>
          </cell>
        </row>
        <row r="4475">
          <cell r="O4475" t="str">
            <v/>
          </cell>
        </row>
        <row r="4476">
          <cell r="O4476" t="str">
            <v/>
          </cell>
        </row>
        <row r="4477">
          <cell r="O4477" t="str">
            <v/>
          </cell>
        </row>
        <row r="4478">
          <cell r="O4478" t="str">
            <v/>
          </cell>
        </row>
        <row r="4479">
          <cell r="O4479" t="str">
            <v/>
          </cell>
        </row>
        <row r="4480">
          <cell r="O4480" t="str">
            <v/>
          </cell>
        </row>
        <row r="4481">
          <cell r="O4481" t="str">
            <v/>
          </cell>
        </row>
        <row r="4482">
          <cell r="O4482" t="str">
            <v/>
          </cell>
        </row>
        <row r="4483">
          <cell r="O4483" t="str">
            <v/>
          </cell>
        </row>
        <row r="4484">
          <cell r="O4484" t="str">
            <v/>
          </cell>
        </row>
        <row r="4485">
          <cell r="O4485" t="str">
            <v/>
          </cell>
        </row>
        <row r="4486">
          <cell r="O4486" t="str">
            <v/>
          </cell>
        </row>
        <row r="4487">
          <cell r="O4487" t="str">
            <v/>
          </cell>
        </row>
        <row r="4488">
          <cell r="O4488" t="str">
            <v/>
          </cell>
        </row>
        <row r="4489">
          <cell r="O4489" t="str">
            <v/>
          </cell>
        </row>
        <row r="4490">
          <cell r="O4490" t="str">
            <v/>
          </cell>
        </row>
        <row r="4491">
          <cell r="O4491" t="str">
            <v/>
          </cell>
        </row>
        <row r="4492">
          <cell r="O4492" t="str">
            <v/>
          </cell>
        </row>
        <row r="4493">
          <cell r="O4493" t="str">
            <v/>
          </cell>
        </row>
        <row r="4494">
          <cell r="O4494" t="str">
            <v/>
          </cell>
        </row>
        <row r="4495">
          <cell r="O4495" t="str">
            <v/>
          </cell>
        </row>
        <row r="4496">
          <cell r="O4496" t="str">
            <v/>
          </cell>
        </row>
        <row r="4497">
          <cell r="O4497" t="str">
            <v/>
          </cell>
        </row>
        <row r="4498">
          <cell r="O4498" t="str">
            <v/>
          </cell>
        </row>
        <row r="4499">
          <cell r="O4499" t="str">
            <v/>
          </cell>
        </row>
        <row r="4500">
          <cell r="O4500" t="str">
            <v/>
          </cell>
        </row>
        <row r="4501">
          <cell r="O4501" t="str">
            <v/>
          </cell>
        </row>
        <row r="4502">
          <cell r="O4502" t="str">
            <v/>
          </cell>
        </row>
        <row r="4503">
          <cell r="O4503" t="str">
            <v/>
          </cell>
        </row>
        <row r="4504">
          <cell r="O4504" t="str">
            <v/>
          </cell>
        </row>
        <row r="4505">
          <cell r="O4505" t="str">
            <v/>
          </cell>
        </row>
        <row r="4506">
          <cell r="O4506" t="str">
            <v/>
          </cell>
        </row>
        <row r="4507">
          <cell r="O4507" t="str">
            <v/>
          </cell>
        </row>
        <row r="4508">
          <cell r="O4508" t="str">
            <v/>
          </cell>
        </row>
        <row r="4509">
          <cell r="O4509" t="str">
            <v/>
          </cell>
        </row>
        <row r="4510">
          <cell r="O4510" t="str">
            <v/>
          </cell>
        </row>
        <row r="4511">
          <cell r="O4511" t="str">
            <v/>
          </cell>
        </row>
        <row r="4512">
          <cell r="O4512" t="str">
            <v/>
          </cell>
        </row>
        <row r="4513">
          <cell r="O4513" t="str">
            <v/>
          </cell>
        </row>
        <row r="4514">
          <cell r="O4514" t="str">
            <v/>
          </cell>
        </row>
        <row r="4515">
          <cell r="O4515" t="str">
            <v/>
          </cell>
        </row>
        <row r="4516">
          <cell r="O4516" t="str">
            <v/>
          </cell>
        </row>
        <row r="4517">
          <cell r="O4517" t="str">
            <v/>
          </cell>
        </row>
        <row r="4518">
          <cell r="O4518" t="str">
            <v/>
          </cell>
        </row>
        <row r="4519">
          <cell r="O4519" t="str">
            <v/>
          </cell>
        </row>
        <row r="4520">
          <cell r="O4520" t="str">
            <v/>
          </cell>
        </row>
        <row r="4521">
          <cell r="O4521" t="str">
            <v/>
          </cell>
        </row>
        <row r="4522">
          <cell r="O4522" t="str">
            <v/>
          </cell>
        </row>
        <row r="4523">
          <cell r="O4523" t="str">
            <v/>
          </cell>
        </row>
        <row r="4524">
          <cell r="O4524" t="str">
            <v/>
          </cell>
        </row>
        <row r="4525">
          <cell r="O4525" t="str">
            <v/>
          </cell>
        </row>
        <row r="4526">
          <cell r="O4526" t="str">
            <v/>
          </cell>
        </row>
        <row r="4527">
          <cell r="O4527" t="str">
            <v/>
          </cell>
        </row>
        <row r="4528">
          <cell r="O4528" t="str">
            <v/>
          </cell>
        </row>
        <row r="4529">
          <cell r="O4529" t="str">
            <v/>
          </cell>
        </row>
        <row r="4530">
          <cell r="O4530" t="str">
            <v/>
          </cell>
        </row>
        <row r="4531">
          <cell r="O4531" t="str">
            <v/>
          </cell>
        </row>
        <row r="4532">
          <cell r="O4532" t="str">
            <v/>
          </cell>
        </row>
        <row r="4533">
          <cell r="O4533" t="str">
            <v/>
          </cell>
        </row>
        <row r="4534">
          <cell r="O4534" t="str">
            <v/>
          </cell>
        </row>
        <row r="4535">
          <cell r="O4535" t="str">
            <v/>
          </cell>
        </row>
        <row r="4536">
          <cell r="O4536" t="str">
            <v/>
          </cell>
        </row>
        <row r="4537">
          <cell r="O4537" t="str">
            <v/>
          </cell>
        </row>
        <row r="4538">
          <cell r="O4538" t="str">
            <v/>
          </cell>
        </row>
        <row r="4539">
          <cell r="O4539" t="str">
            <v/>
          </cell>
        </row>
        <row r="4540">
          <cell r="O4540" t="str">
            <v/>
          </cell>
        </row>
        <row r="4541">
          <cell r="O4541" t="str">
            <v/>
          </cell>
        </row>
        <row r="4542">
          <cell r="O4542" t="str">
            <v/>
          </cell>
        </row>
        <row r="4543">
          <cell r="O4543" t="str">
            <v/>
          </cell>
        </row>
        <row r="4544">
          <cell r="O4544" t="str">
            <v/>
          </cell>
        </row>
        <row r="4545">
          <cell r="O4545" t="str">
            <v/>
          </cell>
        </row>
        <row r="4546">
          <cell r="O4546" t="str">
            <v/>
          </cell>
        </row>
        <row r="4547">
          <cell r="O4547" t="str">
            <v/>
          </cell>
        </row>
        <row r="4548">
          <cell r="O4548" t="str">
            <v/>
          </cell>
        </row>
        <row r="4549">
          <cell r="O4549" t="str">
            <v/>
          </cell>
        </row>
        <row r="4550">
          <cell r="O4550" t="str">
            <v/>
          </cell>
        </row>
        <row r="4551">
          <cell r="O4551" t="str">
            <v/>
          </cell>
        </row>
        <row r="4552">
          <cell r="O4552" t="str">
            <v/>
          </cell>
        </row>
        <row r="4553">
          <cell r="O4553" t="str">
            <v/>
          </cell>
        </row>
        <row r="4554">
          <cell r="O4554" t="str">
            <v/>
          </cell>
        </row>
        <row r="4555">
          <cell r="O4555" t="str">
            <v/>
          </cell>
        </row>
        <row r="4556">
          <cell r="O4556" t="str">
            <v/>
          </cell>
        </row>
        <row r="4557">
          <cell r="O4557" t="str">
            <v/>
          </cell>
        </row>
        <row r="4558">
          <cell r="O4558" t="str">
            <v/>
          </cell>
        </row>
        <row r="4559">
          <cell r="O4559" t="str">
            <v/>
          </cell>
        </row>
        <row r="4560">
          <cell r="O4560" t="str">
            <v/>
          </cell>
        </row>
        <row r="4561">
          <cell r="O4561" t="str">
            <v/>
          </cell>
        </row>
        <row r="4562">
          <cell r="O4562" t="str">
            <v/>
          </cell>
        </row>
        <row r="4563">
          <cell r="O4563" t="str">
            <v/>
          </cell>
        </row>
        <row r="4564">
          <cell r="O4564" t="str">
            <v/>
          </cell>
        </row>
        <row r="4565">
          <cell r="O4565" t="str">
            <v/>
          </cell>
        </row>
        <row r="4566">
          <cell r="O4566" t="str">
            <v/>
          </cell>
        </row>
        <row r="4567">
          <cell r="O4567" t="str">
            <v/>
          </cell>
        </row>
        <row r="4568">
          <cell r="O4568" t="str">
            <v/>
          </cell>
        </row>
        <row r="4569">
          <cell r="O4569" t="str">
            <v/>
          </cell>
        </row>
        <row r="4570">
          <cell r="O4570" t="str">
            <v/>
          </cell>
        </row>
        <row r="4571">
          <cell r="O4571" t="str">
            <v/>
          </cell>
        </row>
        <row r="4572">
          <cell r="O4572" t="str">
            <v/>
          </cell>
        </row>
        <row r="4573">
          <cell r="O4573" t="str">
            <v/>
          </cell>
        </row>
        <row r="4574">
          <cell r="O4574" t="str">
            <v/>
          </cell>
        </row>
        <row r="4575">
          <cell r="O4575" t="str">
            <v/>
          </cell>
        </row>
        <row r="4576">
          <cell r="O4576" t="str">
            <v/>
          </cell>
        </row>
        <row r="4577">
          <cell r="O4577" t="str">
            <v/>
          </cell>
        </row>
        <row r="4578">
          <cell r="O4578" t="str">
            <v/>
          </cell>
        </row>
        <row r="4579">
          <cell r="O4579" t="str">
            <v/>
          </cell>
        </row>
        <row r="4580">
          <cell r="O4580" t="str">
            <v/>
          </cell>
        </row>
        <row r="4581">
          <cell r="O4581" t="str">
            <v/>
          </cell>
        </row>
        <row r="4582">
          <cell r="O4582" t="str">
            <v/>
          </cell>
        </row>
        <row r="4583">
          <cell r="O4583" t="str">
            <v/>
          </cell>
        </row>
        <row r="4584">
          <cell r="O4584" t="str">
            <v/>
          </cell>
        </row>
        <row r="4585">
          <cell r="O4585" t="str">
            <v/>
          </cell>
        </row>
        <row r="4586">
          <cell r="O4586" t="str">
            <v/>
          </cell>
        </row>
        <row r="4587">
          <cell r="O4587" t="str">
            <v/>
          </cell>
        </row>
        <row r="4588">
          <cell r="O4588" t="str">
            <v/>
          </cell>
        </row>
        <row r="4589">
          <cell r="O4589" t="str">
            <v/>
          </cell>
        </row>
        <row r="4590">
          <cell r="O4590" t="str">
            <v/>
          </cell>
        </row>
        <row r="4591">
          <cell r="O4591" t="str">
            <v/>
          </cell>
        </row>
        <row r="4592">
          <cell r="O4592" t="str">
            <v/>
          </cell>
        </row>
        <row r="4593">
          <cell r="O4593" t="str">
            <v/>
          </cell>
        </row>
        <row r="4594">
          <cell r="O4594" t="str">
            <v/>
          </cell>
        </row>
        <row r="4595">
          <cell r="O4595" t="str">
            <v/>
          </cell>
        </row>
        <row r="4596">
          <cell r="O4596" t="str">
            <v/>
          </cell>
        </row>
        <row r="4597">
          <cell r="O4597" t="str">
            <v/>
          </cell>
        </row>
        <row r="4598">
          <cell r="O4598" t="str">
            <v/>
          </cell>
        </row>
        <row r="4599">
          <cell r="O4599" t="str">
            <v/>
          </cell>
        </row>
        <row r="4600">
          <cell r="O4600" t="str">
            <v/>
          </cell>
        </row>
        <row r="4601">
          <cell r="O4601" t="str">
            <v/>
          </cell>
        </row>
        <row r="4602">
          <cell r="O4602" t="str">
            <v/>
          </cell>
        </row>
        <row r="4603">
          <cell r="O4603" t="str">
            <v/>
          </cell>
        </row>
        <row r="4604">
          <cell r="O4604" t="str">
            <v/>
          </cell>
        </row>
        <row r="4605">
          <cell r="O4605" t="str">
            <v/>
          </cell>
        </row>
        <row r="4606">
          <cell r="O4606" t="str">
            <v/>
          </cell>
        </row>
        <row r="4607">
          <cell r="O4607" t="str">
            <v/>
          </cell>
        </row>
        <row r="4608">
          <cell r="O4608" t="str">
            <v/>
          </cell>
        </row>
        <row r="4609">
          <cell r="O4609" t="str">
            <v/>
          </cell>
        </row>
        <row r="4610">
          <cell r="O4610" t="str">
            <v/>
          </cell>
        </row>
        <row r="4611">
          <cell r="O4611" t="str">
            <v/>
          </cell>
        </row>
        <row r="4612">
          <cell r="O4612" t="str">
            <v/>
          </cell>
        </row>
        <row r="4613">
          <cell r="O4613" t="str">
            <v/>
          </cell>
        </row>
        <row r="4614">
          <cell r="O4614" t="str">
            <v/>
          </cell>
        </row>
        <row r="4615">
          <cell r="O4615" t="str">
            <v/>
          </cell>
        </row>
        <row r="4616">
          <cell r="O4616" t="str">
            <v/>
          </cell>
        </row>
        <row r="4617">
          <cell r="O4617" t="str">
            <v/>
          </cell>
        </row>
        <row r="4618">
          <cell r="O4618" t="str">
            <v/>
          </cell>
        </row>
        <row r="4619">
          <cell r="O4619" t="str">
            <v/>
          </cell>
        </row>
        <row r="4620">
          <cell r="O4620" t="str">
            <v/>
          </cell>
        </row>
        <row r="4621">
          <cell r="O4621" t="str">
            <v/>
          </cell>
        </row>
        <row r="4622">
          <cell r="O4622" t="str">
            <v/>
          </cell>
        </row>
        <row r="4623">
          <cell r="O4623" t="str">
            <v/>
          </cell>
        </row>
        <row r="4624">
          <cell r="O4624" t="str">
            <v/>
          </cell>
        </row>
        <row r="4625">
          <cell r="O4625" t="str">
            <v/>
          </cell>
        </row>
        <row r="4626">
          <cell r="O4626" t="str">
            <v/>
          </cell>
        </row>
        <row r="4627">
          <cell r="O4627" t="str">
            <v/>
          </cell>
        </row>
        <row r="4628">
          <cell r="O4628" t="str">
            <v/>
          </cell>
        </row>
        <row r="4629">
          <cell r="O4629" t="str">
            <v/>
          </cell>
        </row>
        <row r="4630">
          <cell r="O4630" t="str">
            <v/>
          </cell>
        </row>
        <row r="4631">
          <cell r="O4631" t="str">
            <v/>
          </cell>
        </row>
        <row r="4632">
          <cell r="O4632" t="str">
            <v/>
          </cell>
        </row>
        <row r="4633">
          <cell r="O4633" t="str">
            <v/>
          </cell>
        </row>
        <row r="4634">
          <cell r="O4634" t="str">
            <v/>
          </cell>
        </row>
        <row r="4635">
          <cell r="O4635" t="str">
            <v/>
          </cell>
        </row>
        <row r="4636">
          <cell r="O4636" t="str">
            <v/>
          </cell>
        </row>
        <row r="4637">
          <cell r="O4637" t="str">
            <v/>
          </cell>
        </row>
        <row r="4638">
          <cell r="O4638" t="str">
            <v/>
          </cell>
        </row>
        <row r="4639">
          <cell r="O4639" t="str">
            <v/>
          </cell>
        </row>
        <row r="4640">
          <cell r="O4640" t="str">
            <v/>
          </cell>
        </row>
        <row r="4641">
          <cell r="O4641" t="str">
            <v/>
          </cell>
        </row>
        <row r="4642">
          <cell r="O4642" t="str">
            <v/>
          </cell>
        </row>
        <row r="4643">
          <cell r="O4643" t="str">
            <v/>
          </cell>
        </row>
        <row r="4644">
          <cell r="O4644" t="str">
            <v/>
          </cell>
        </row>
        <row r="4645">
          <cell r="O4645" t="str">
            <v/>
          </cell>
        </row>
        <row r="4646">
          <cell r="O4646" t="str">
            <v/>
          </cell>
        </row>
        <row r="4647">
          <cell r="O4647" t="str">
            <v/>
          </cell>
        </row>
        <row r="4648">
          <cell r="O4648" t="str">
            <v/>
          </cell>
        </row>
        <row r="4649">
          <cell r="O4649" t="str">
            <v/>
          </cell>
        </row>
        <row r="4650">
          <cell r="O4650" t="str">
            <v/>
          </cell>
        </row>
        <row r="4651">
          <cell r="O4651" t="str">
            <v/>
          </cell>
        </row>
        <row r="4652">
          <cell r="O4652" t="str">
            <v/>
          </cell>
        </row>
        <row r="4653">
          <cell r="O4653" t="str">
            <v/>
          </cell>
        </row>
        <row r="4654">
          <cell r="O4654" t="str">
            <v/>
          </cell>
        </row>
        <row r="4655">
          <cell r="O4655" t="str">
            <v/>
          </cell>
        </row>
        <row r="4656">
          <cell r="O4656" t="str">
            <v/>
          </cell>
        </row>
        <row r="4657">
          <cell r="O4657" t="str">
            <v/>
          </cell>
        </row>
        <row r="4658">
          <cell r="O4658" t="str">
            <v/>
          </cell>
        </row>
        <row r="4659">
          <cell r="O4659" t="str">
            <v/>
          </cell>
        </row>
        <row r="4660">
          <cell r="O4660" t="str">
            <v/>
          </cell>
        </row>
        <row r="4661">
          <cell r="O4661" t="str">
            <v/>
          </cell>
        </row>
        <row r="4662">
          <cell r="O4662" t="str">
            <v/>
          </cell>
        </row>
        <row r="4663">
          <cell r="O4663" t="str">
            <v/>
          </cell>
        </row>
        <row r="4664">
          <cell r="O4664" t="str">
            <v/>
          </cell>
        </row>
        <row r="4665">
          <cell r="O4665" t="str">
            <v/>
          </cell>
        </row>
        <row r="4666">
          <cell r="O4666" t="str">
            <v/>
          </cell>
        </row>
        <row r="4667">
          <cell r="O4667" t="str">
            <v/>
          </cell>
        </row>
        <row r="4668">
          <cell r="O4668" t="str">
            <v/>
          </cell>
        </row>
        <row r="4669">
          <cell r="O4669" t="str">
            <v/>
          </cell>
        </row>
        <row r="4670">
          <cell r="O4670" t="str">
            <v/>
          </cell>
        </row>
        <row r="4671">
          <cell r="O4671" t="str">
            <v/>
          </cell>
        </row>
        <row r="4672">
          <cell r="O4672" t="str">
            <v/>
          </cell>
        </row>
        <row r="4673">
          <cell r="O4673" t="str">
            <v/>
          </cell>
        </row>
        <row r="4674">
          <cell r="O4674" t="str">
            <v/>
          </cell>
        </row>
        <row r="4675">
          <cell r="O4675" t="str">
            <v/>
          </cell>
        </row>
        <row r="4676">
          <cell r="O4676" t="str">
            <v/>
          </cell>
        </row>
        <row r="4677">
          <cell r="O4677" t="str">
            <v/>
          </cell>
        </row>
        <row r="4678">
          <cell r="O4678" t="str">
            <v/>
          </cell>
        </row>
        <row r="4679">
          <cell r="O4679" t="str">
            <v/>
          </cell>
        </row>
        <row r="4680">
          <cell r="O4680" t="str">
            <v/>
          </cell>
        </row>
        <row r="4681">
          <cell r="O4681" t="str">
            <v/>
          </cell>
        </row>
        <row r="4682">
          <cell r="O4682" t="str">
            <v/>
          </cell>
        </row>
        <row r="4683">
          <cell r="O4683" t="str">
            <v/>
          </cell>
        </row>
        <row r="4684">
          <cell r="O4684" t="str">
            <v/>
          </cell>
        </row>
        <row r="4685">
          <cell r="O4685" t="str">
            <v/>
          </cell>
        </row>
        <row r="4686">
          <cell r="O4686" t="str">
            <v/>
          </cell>
        </row>
        <row r="4687">
          <cell r="O4687" t="str">
            <v/>
          </cell>
        </row>
        <row r="4688">
          <cell r="O4688" t="str">
            <v/>
          </cell>
        </row>
        <row r="4689">
          <cell r="O4689" t="str">
            <v/>
          </cell>
        </row>
        <row r="4690">
          <cell r="O4690" t="str">
            <v/>
          </cell>
        </row>
        <row r="4691">
          <cell r="O4691" t="str">
            <v/>
          </cell>
        </row>
        <row r="4692">
          <cell r="O4692" t="str">
            <v/>
          </cell>
        </row>
        <row r="4693">
          <cell r="O4693" t="str">
            <v/>
          </cell>
        </row>
        <row r="4694">
          <cell r="O4694" t="str">
            <v/>
          </cell>
        </row>
        <row r="4695">
          <cell r="O4695" t="str">
            <v/>
          </cell>
        </row>
        <row r="4696">
          <cell r="O4696" t="str">
            <v/>
          </cell>
        </row>
        <row r="4697">
          <cell r="O4697" t="str">
            <v/>
          </cell>
        </row>
        <row r="4698">
          <cell r="O4698" t="str">
            <v/>
          </cell>
        </row>
        <row r="4699">
          <cell r="O4699" t="str">
            <v/>
          </cell>
        </row>
        <row r="4700">
          <cell r="O4700" t="str">
            <v/>
          </cell>
        </row>
        <row r="4701">
          <cell r="O4701" t="str">
            <v/>
          </cell>
        </row>
        <row r="4702">
          <cell r="O4702" t="str">
            <v/>
          </cell>
        </row>
        <row r="4703">
          <cell r="O4703" t="str">
            <v/>
          </cell>
        </row>
        <row r="4704">
          <cell r="O4704" t="str">
            <v/>
          </cell>
        </row>
        <row r="4705">
          <cell r="O4705" t="str">
            <v/>
          </cell>
        </row>
        <row r="4706">
          <cell r="O4706" t="str">
            <v/>
          </cell>
        </row>
        <row r="4707">
          <cell r="O4707" t="str">
            <v/>
          </cell>
        </row>
        <row r="4708">
          <cell r="O4708" t="str">
            <v/>
          </cell>
        </row>
        <row r="4709">
          <cell r="O4709" t="str">
            <v/>
          </cell>
        </row>
        <row r="4710">
          <cell r="O4710" t="str">
            <v/>
          </cell>
        </row>
        <row r="4711">
          <cell r="O4711" t="str">
            <v/>
          </cell>
        </row>
        <row r="4712">
          <cell r="O4712" t="str">
            <v/>
          </cell>
        </row>
        <row r="4713">
          <cell r="O4713" t="str">
            <v/>
          </cell>
        </row>
        <row r="4714">
          <cell r="O4714" t="str">
            <v/>
          </cell>
        </row>
        <row r="4715">
          <cell r="O4715" t="str">
            <v/>
          </cell>
        </row>
        <row r="4716">
          <cell r="O4716" t="str">
            <v/>
          </cell>
        </row>
        <row r="4717">
          <cell r="O4717" t="str">
            <v/>
          </cell>
        </row>
        <row r="4718">
          <cell r="O4718" t="str">
            <v/>
          </cell>
        </row>
        <row r="4719">
          <cell r="O4719" t="str">
            <v/>
          </cell>
        </row>
        <row r="4720">
          <cell r="O4720" t="str">
            <v/>
          </cell>
        </row>
        <row r="4721">
          <cell r="O4721" t="str">
            <v/>
          </cell>
        </row>
        <row r="4722">
          <cell r="O4722" t="str">
            <v/>
          </cell>
        </row>
        <row r="4723">
          <cell r="O4723" t="str">
            <v/>
          </cell>
        </row>
        <row r="4724">
          <cell r="O4724" t="str">
            <v/>
          </cell>
        </row>
        <row r="4725">
          <cell r="O4725" t="str">
            <v/>
          </cell>
        </row>
        <row r="4726">
          <cell r="O4726" t="str">
            <v/>
          </cell>
        </row>
        <row r="4727">
          <cell r="O4727" t="str">
            <v/>
          </cell>
        </row>
        <row r="4728">
          <cell r="O4728" t="str">
            <v/>
          </cell>
        </row>
        <row r="4729">
          <cell r="O4729" t="str">
            <v/>
          </cell>
        </row>
        <row r="4730">
          <cell r="O4730" t="str">
            <v/>
          </cell>
        </row>
        <row r="4731">
          <cell r="O4731" t="str">
            <v/>
          </cell>
        </row>
        <row r="4732">
          <cell r="O4732" t="str">
            <v/>
          </cell>
        </row>
        <row r="4733">
          <cell r="O4733" t="str">
            <v/>
          </cell>
        </row>
        <row r="4734">
          <cell r="O4734" t="str">
            <v/>
          </cell>
        </row>
        <row r="4735">
          <cell r="O4735" t="str">
            <v/>
          </cell>
        </row>
        <row r="4736">
          <cell r="O4736" t="str">
            <v/>
          </cell>
        </row>
        <row r="4737">
          <cell r="O4737" t="str">
            <v/>
          </cell>
        </row>
        <row r="4738">
          <cell r="O4738" t="str">
            <v/>
          </cell>
        </row>
        <row r="4739">
          <cell r="O4739" t="str">
            <v/>
          </cell>
        </row>
        <row r="4740">
          <cell r="O4740" t="str">
            <v/>
          </cell>
        </row>
        <row r="4741">
          <cell r="O4741" t="str">
            <v/>
          </cell>
        </row>
        <row r="4742">
          <cell r="O4742" t="str">
            <v/>
          </cell>
        </row>
        <row r="4743">
          <cell r="O4743" t="str">
            <v/>
          </cell>
        </row>
        <row r="4744">
          <cell r="O4744" t="str">
            <v/>
          </cell>
        </row>
        <row r="4745">
          <cell r="O4745" t="str">
            <v/>
          </cell>
        </row>
        <row r="4746">
          <cell r="O4746" t="str">
            <v/>
          </cell>
        </row>
        <row r="4747">
          <cell r="O4747" t="str">
            <v/>
          </cell>
        </row>
        <row r="4748">
          <cell r="O4748" t="str">
            <v/>
          </cell>
        </row>
        <row r="4749">
          <cell r="O4749" t="str">
            <v/>
          </cell>
        </row>
        <row r="4750">
          <cell r="O4750" t="str">
            <v/>
          </cell>
        </row>
        <row r="4751">
          <cell r="O4751" t="str">
            <v/>
          </cell>
        </row>
        <row r="4752">
          <cell r="O4752" t="str">
            <v/>
          </cell>
        </row>
        <row r="4753">
          <cell r="O4753" t="str">
            <v/>
          </cell>
        </row>
        <row r="4754">
          <cell r="O4754" t="str">
            <v/>
          </cell>
        </row>
        <row r="4755">
          <cell r="O4755" t="str">
            <v/>
          </cell>
        </row>
        <row r="4756">
          <cell r="O4756" t="str">
            <v/>
          </cell>
        </row>
        <row r="4757">
          <cell r="O4757" t="str">
            <v/>
          </cell>
        </row>
        <row r="4758">
          <cell r="O4758" t="str">
            <v/>
          </cell>
        </row>
        <row r="4759">
          <cell r="O4759" t="str">
            <v/>
          </cell>
        </row>
        <row r="4760">
          <cell r="O4760" t="str">
            <v/>
          </cell>
        </row>
        <row r="4761">
          <cell r="O4761" t="str">
            <v/>
          </cell>
        </row>
        <row r="4762">
          <cell r="O4762" t="str">
            <v/>
          </cell>
        </row>
        <row r="4763">
          <cell r="O4763" t="str">
            <v/>
          </cell>
        </row>
        <row r="4764">
          <cell r="O4764" t="str">
            <v/>
          </cell>
        </row>
        <row r="4765">
          <cell r="O4765" t="str">
            <v/>
          </cell>
        </row>
        <row r="4766">
          <cell r="O4766" t="str">
            <v/>
          </cell>
        </row>
        <row r="4767">
          <cell r="O4767" t="str">
            <v/>
          </cell>
        </row>
        <row r="4768">
          <cell r="O4768" t="str">
            <v/>
          </cell>
        </row>
        <row r="4769">
          <cell r="O4769" t="str">
            <v/>
          </cell>
        </row>
        <row r="4770">
          <cell r="O4770" t="str">
            <v/>
          </cell>
        </row>
        <row r="4771">
          <cell r="O4771" t="str">
            <v/>
          </cell>
        </row>
        <row r="4772">
          <cell r="O4772" t="str">
            <v/>
          </cell>
        </row>
        <row r="4773">
          <cell r="O4773" t="str">
            <v/>
          </cell>
        </row>
        <row r="4774">
          <cell r="O4774" t="str">
            <v/>
          </cell>
        </row>
        <row r="4775">
          <cell r="O4775" t="str">
            <v/>
          </cell>
        </row>
        <row r="4776">
          <cell r="O4776" t="str">
            <v/>
          </cell>
        </row>
        <row r="4777">
          <cell r="O4777" t="str">
            <v/>
          </cell>
        </row>
        <row r="4778">
          <cell r="O4778" t="str">
            <v/>
          </cell>
        </row>
        <row r="4779">
          <cell r="O4779" t="str">
            <v/>
          </cell>
        </row>
        <row r="4780">
          <cell r="O4780" t="str">
            <v/>
          </cell>
        </row>
        <row r="4781">
          <cell r="O4781" t="str">
            <v/>
          </cell>
        </row>
        <row r="4782">
          <cell r="O4782" t="str">
            <v/>
          </cell>
        </row>
        <row r="4783">
          <cell r="O4783" t="str">
            <v/>
          </cell>
        </row>
        <row r="4784">
          <cell r="O4784" t="str">
            <v/>
          </cell>
        </row>
        <row r="4785">
          <cell r="O4785" t="str">
            <v/>
          </cell>
        </row>
        <row r="4786">
          <cell r="O4786" t="str">
            <v/>
          </cell>
        </row>
        <row r="4787">
          <cell r="O4787" t="str">
            <v/>
          </cell>
        </row>
        <row r="4788">
          <cell r="O4788" t="str">
            <v/>
          </cell>
        </row>
        <row r="4789">
          <cell r="O4789" t="str">
            <v/>
          </cell>
        </row>
        <row r="4790">
          <cell r="O4790" t="str">
            <v/>
          </cell>
        </row>
        <row r="4791">
          <cell r="O4791" t="str">
            <v/>
          </cell>
        </row>
        <row r="4792">
          <cell r="O4792" t="str">
            <v/>
          </cell>
        </row>
        <row r="4793">
          <cell r="O4793" t="str">
            <v/>
          </cell>
        </row>
        <row r="4794">
          <cell r="O4794" t="str">
            <v/>
          </cell>
        </row>
        <row r="4795">
          <cell r="O4795" t="str">
            <v/>
          </cell>
        </row>
        <row r="4796">
          <cell r="O4796" t="str">
            <v/>
          </cell>
        </row>
        <row r="4797">
          <cell r="O4797" t="str">
            <v/>
          </cell>
        </row>
        <row r="4798">
          <cell r="O4798" t="str">
            <v/>
          </cell>
        </row>
        <row r="4799">
          <cell r="O4799" t="str">
            <v/>
          </cell>
        </row>
        <row r="4800">
          <cell r="O4800" t="str">
            <v/>
          </cell>
        </row>
        <row r="4801">
          <cell r="O4801" t="str">
            <v/>
          </cell>
        </row>
        <row r="4802">
          <cell r="O4802" t="str">
            <v/>
          </cell>
        </row>
        <row r="4803">
          <cell r="O4803" t="str">
            <v/>
          </cell>
        </row>
        <row r="4804">
          <cell r="O4804" t="str">
            <v/>
          </cell>
        </row>
        <row r="4805">
          <cell r="O4805" t="str">
            <v/>
          </cell>
        </row>
        <row r="4806">
          <cell r="O4806" t="str">
            <v/>
          </cell>
        </row>
        <row r="4807">
          <cell r="O4807" t="str">
            <v/>
          </cell>
        </row>
        <row r="4808">
          <cell r="O4808" t="str">
            <v/>
          </cell>
        </row>
        <row r="4809">
          <cell r="O4809" t="str">
            <v/>
          </cell>
        </row>
        <row r="4810">
          <cell r="O4810" t="str">
            <v/>
          </cell>
        </row>
        <row r="4811">
          <cell r="O4811" t="str">
            <v/>
          </cell>
        </row>
        <row r="4812">
          <cell r="O4812" t="str">
            <v/>
          </cell>
        </row>
        <row r="4813">
          <cell r="O4813" t="str">
            <v/>
          </cell>
        </row>
        <row r="4814">
          <cell r="O4814" t="str">
            <v/>
          </cell>
        </row>
        <row r="4815">
          <cell r="O4815" t="str">
            <v/>
          </cell>
        </row>
        <row r="4816">
          <cell r="O4816" t="str">
            <v/>
          </cell>
        </row>
        <row r="4817">
          <cell r="O4817" t="str">
            <v/>
          </cell>
        </row>
        <row r="4818">
          <cell r="O4818" t="str">
            <v/>
          </cell>
        </row>
        <row r="4819">
          <cell r="O4819" t="str">
            <v/>
          </cell>
        </row>
        <row r="4820">
          <cell r="O4820" t="str">
            <v/>
          </cell>
        </row>
        <row r="4821">
          <cell r="O4821" t="str">
            <v/>
          </cell>
        </row>
        <row r="4822">
          <cell r="O4822" t="str">
            <v/>
          </cell>
        </row>
        <row r="4823">
          <cell r="O4823" t="str">
            <v/>
          </cell>
        </row>
        <row r="4824">
          <cell r="O4824" t="str">
            <v/>
          </cell>
        </row>
        <row r="4825">
          <cell r="O4825" t="str">
            <v/>
          </cell>
        </row>
        <row r="4826">
          <cell r="O4826" t="str">
            <v/>
          </cell>
        </row>
        <row r="4827">
          <cell r="O4827" t="str">
            <v/>
          </cell>
        </row>
        <row r="4828">
          <cell r="O4828" t="str">
            <v/>
          </cell>
        </row>
        <row r="4829">
          <cell r="O4829" t="str">
            <v/>
          </cell>
        </row>
        <row r="4830">
          <cell r="O4830" t="str">
            <v/>
          </cell>
        </row>
        <row r="4831">
          <cell r="O4831" t="str">
            <v/>
          </cell>
        </row>
        <row r="4832">
          <cell r="O4832" t="str">
            <v/>
          </cell>
        </row>
        <row r="4833">
          <cell r="O4833" t="str">
            <v/>
          </cell>
        </row>
        <row r="4834">
          <cell r="O4834" t="str">
            <v/>
          </cell>
        </row>
        <row r="4835">
          <cell r="O4835" t="str">
            <v/>
          </cell>
        </row>
        <row r="4836">
          <cell r="O4836" t="str">
            <v/>
          </cell>
        </row>
        <row r="4837">
          <cell r="O4837" t="str">
            <v/>
          </cell>
        </row>
        <row r="4838">
          <cell r="O4838" t="str">
            <v/>
          </cell>
        </row>
        <row r="4839">
          <cell r="O4839" t="str">
            <v/>
          </cell>
        </row>
        <row r="4840">
          <cell r="O4840" t="str">
            <v/>
          </cell>
        </row>
        <row r="4841">
          <cell r="O4841" t="str">
            <v/>
          </cell>
        </row>
        <row r="4842">
          <cell r="O4842" t="str">
            <v/>
          </cell>
        </row>
        <row r="4843">
          <cell r="O4843" t="str">
            <v/>
          </cell>
        </row>
        <row r="4844">
          <cell r="O4844" t="str">
            <v/>
          </cell>
        </row>
        <row r="4845">
          <cell r="O4845" t="str">
            <v/>
          </cell>
        </row>
        <row r="4846">
          <cell r="O4846" t="str">
            <v/>
          </cell>
        </row>
        <row r="4847">
          <cell r="O4847" t="str">
            <v/>
          </cell>
        </row>
        <row r="4848">
          <cell r="O4848" t="str">
            <v/>
          </cell>
        </row>
        <row r="4849">
          <cell r="O4849" t="str">
            <v/>
          </cell>
        </row>
        <row r="4850">
          <cell r="O4850" t="str">
            <v/>
          </cell>
        </row>
        <row r="4851">
          <cell r="O4851" t="str">
            <v/>
          </cell>
        </row>
        <row r="4852">
          <cell r="O4852" t="str">
            <v/>
          </cell>
        </row>
        <row r="4853">
          <cell r="O4853" t="str">
            <v/>
          </cell>
        </row>
        <row r="4854">
          <cell r="O4854" t="str">
            <v/>
          </cell>
        </row>
        <row r="4855">
          <cell r="O4855" t="str">
            <v/>
          </cell>
        </row>
        <row r="4856">
          <cell r="O4856" t="str">
            <v/>
          </cell>
        </row>
        <row r="4857">
          <cell r="O4857" t="str">
            <v/>
          </cell>
        </row>
        <row r="4858">
          <cell r="O4858" t="str">
            <v/>
          </cell>
        </row>
        <row r="4859">
          <cell r="O4859" t="str">
            <v/>
          </cell>
        </row>
        <row r="4860">
          <cell r="O4860" t="str">
            <v/>
          </cell>
        </row>
        <row r="4861">
          <cell r="O4861" t="str">
            <v/>
          </cell>
        </row>
        <row r="4862">
          <cell r="O4862" t="str">
            <v/>
          </cell>
        </row>
        <row r="4863">
          <cell r="O4863" t="str">
            <v/>
          </cell>
        </row>
        <row r="4864">
          <cell r="O4864" t="str">
            <v/>
          </cell>
        </row>
        <row r="4865">
          <cell r="O4865" t="str">
            <v/>
          </cell>
        </row>
        <row r="4866">
          <cell r="O4866" t="str">
            <v/>
          </cell>
        </row>
        <row r="4867">
          <cell r="O4867" t="str">
            <v/>
          </cell>
        </row>
        <row r="4868">
          <cell r="O4868" t="str">
            <v/>
          </cell>
        </row>
        <row r="4869">
          <cell r="O4869" t="str">
            <v/>
          </cell>
        </row>
        <row r="4870">
          <cell r="O4870" t="str">
            <v/>
          </cell>
        </row>
        <row r="4871">
          <cell r="O4871" t="str">
            <v/>
          </cell>
        </row>
        <row r="4872">
          <cell r="O4872" t="str">
            <v/>
          </cell>
        </row>
        <row r="4873">
          <cell r="O4873" t="str">
            <v/>
          </cell>
        </row>
        <row r="4874">
          <cell r="O4874" t="str">
            <v/>
          </cell>
        </row>
        <row r="4875">
          <cell r="O4875" t="str">
            <v/>
          </cell>
        </row>
        <row r="4876">
          <cell r="O4876" t="str">
            <v/>
          </cell>
        </row>
        <row r="4877">
          <cell r="O4877" t="str">
            <v/>
          </cell>
        </row>
        <row r="4878">
          <cell r="O4878" t="str">
            <v/>
          </cell>
        </row>
        <row r="4879">
          <cell r="O4879" t="str">
            <v/>
          </cell>
        </row>
        <row r="4880">
          <cell r="O4880" t="str">
            <v/>
          </cell>
        </row>
        <row r="4881">
          <cell r="O4881" t="str">
            <v/>
          </cell>
        </row>
        <row r="4882">
          <cell r="O4882" t="str">
            <v/>
          </cell>
        </row>
        <row r="4883">
          <cell r="O4883" t="str">
            <v/>
          </cell>
        </row>
        <row r="4884">
          <cell r="O4884" t="str">
            <v/>
          </cell>
        </row>
        <row r="4885">
          <cell r="O4885" t="str">
            <v/>
          </cell>
        </row>
        <row r="4886">
          <cell r="O4886" t="str">
            <v/>
          </cell>
        </row>
        <row r="4887">
          <cell r="O4887" t="str">
            <v/>
          </cell>
        </row>
        <row r="4888">
          <cell r="O4888" t="str">
            <v/>
          </cell>
        </row>
        <row r="4889">
          <cell r="O4889" t="str">
            <v/>
          </cell>
        </row>
        <row r="4890">
          <cell r="O4890" t="str">
            <v/>
          </cell>
        </row>
        <row r="4891">
          <cell r="O4891" t="str">
            <v/>
          </cell>
        </row>
        <row r="4892">
          <cell r="O4892" t="str">
            <v/>
          </cell>
        </row>
        <row r="4893">
          <cell r="O4893" t="str">
            <v/>
          </cell>
        </row>
        <row r="4894">
          <cell r="O4894" t="str">
            <v/>
          </cell>
        </row>
        <row r="4895">
          <cell r="O4895" t="str">
            <v/>
          </cell>
        </row>
        <row r="4896">
          <cell r="O4896" t="str">
            <v/>
          </cell>
        </row>
        <row r="4897">
          <cell r="O4897" t="str">
            <v/>
          </cell>
        </row>
        <row r="4898">
          <cell r="O4898" t="str">
            <v/>
          </cell>
        </row>
        <row r="4899">
          <cell r="O4899" t="str">
            <v/>
          </cell>
        </row>
        <row r="4900">
          <cell r="O4900" t="str">
            <v/>
          </cell>
        </row>
        <row r="4901">
          <cell r="O4901" t="str">
            <v/>
          </cell>
        </row>
        <row r="4902">
          <cell r="O4902" t="str">
            <v/>
          </cell>
        </row>
        <row r="4903">
          <cell r="O4903" t="str">
            <v/>
          </cell>
        </row>
        <row r="4904">
          <cell r="O4904" t="str">
            <v/>
          </cell>
        </row>
        <row r="4905">
          <cell r="O4905" t="str">
            <v/>
          </cell>
        </row>
        <row r="4906">
          <cell r="O4906" t="str">
            <v/>
          </cell>
        </row>
        <row r="4907">
          <cell r="O4907" t="str">
            <v/>
          </cell>
        </row>
        <row r="4908">
          <cell r="O4908" t="str">
            <v/>
          </cell>
        </row>
        <row r="4909">
          <cell r="O4909" t="str">
            <v/>
          </cell>
        </row>
        <row r="4910">
          <cell r="O4910" t="str">
            <v/>
          </cell>
        </row>
        <row r="4911">
          <cell r="O4911" t="str">
            <v/>
          </cell>
        </row>
        <row r="4912">
          <cell r="O4912" t="str">
            <v/>
          </cell>
        </row>
        <row r="4913">
          <cell r="O4913" t="str">
            <v/>
          </cell>
        </row>
        <row r="4914">
          <cell r="O4914" t="str">
            <v/>
          </cell>
        </row>
        <row r="4915">
          <cell r="O4915" t="str">
            <v/>
          </cell>
        </row>
        <row r="4916">
          <cell r="O4916" t="str">
            <v/>
          </cell>
        </row>
        <row r="4917">
          <cell r="O4917" t="str">
            <v/>
          </cell>
        </row>
        <row r="4918">
          <cell r="O4918" t="str">
            <v/>
          </cell>
        </row>
        <row r="4919">
          <cell r="O4919" t="str">
            <v/>
          </cell>
        </row>
        <row r="4920">
          <cell r="O4920" t="str">
            <v/>
          </cell>
        </row>
        <row r="4921">
          <cell r="O4921" t="str">
            <v/>
          </cell>
        </row>
        <row r="4922">
          <cell r="O4922" t="str">
            <v/>
          </cell>
        </row>
        <row r="4923">
          <cell r="O4923" t="str">
            <v/>
          </cell>
        </row>
        <row r="4924">
          <cell r="O4924" t="str">
            <v/>
          </cell>
        </row>
        <row r="4925">
          <cell r="O4925" t="str">
            <v/>
          </cell>
        </row>
        <row r="4926">
          <cell r="O4926" t="str">
            <v/>
          </cell>
        </row>
        <row r="4927">
          <cell r="O4927" t="str">
            <v/>
          </cell>
        </row>
        <row r="4928">
          <cell r="O4928" t="str">
            <v/>
          </cell>
        </row>
        <row r="4929">
          <cell r="O4929" t="str">
            <v/>
          </cell>
        </row>
        <row r="4930">
          <cell r="O4930" t="str">
            <v/>
          </cell>
        </row>
        <row r="4931">
          <cell r="O4931" t="str">
            <v/>
          </cell>
        </row>
        <row r="4932">
          <cell r="O4932" t="str">
            <v/>
          </cell>
        </row>
        <row r="4933">
          <cell r="O4933" t="str">
            <v/>
          </cell>
        </row>
        <row r="4934">
          <cell r="O4934" t="str">
            <v/>
          </cell>
        </row>
        <row r="4935">
          <cell r="O4935" t="str">
            <v/>
          </cell>
        </row>
        <row r="4936">
          <cell r="O4936" t="str">
            <v/>
          </cell>
        </row>
        <row r="4937">
          <cell r="O4937" t="str">
            <v/>
          </cell>
        </row>
        <row r="4938">
          <cell r="O4938" t="str">
            <v/>
          </cell>
        </row>
        <row r="4939">
          <cell r="O4939" t="str">
            <v/>
          </cell>
        </row>
        <row r="4940">
          <cell r="O4940" t="str">
            <v/>
          </cell>
        </row>
        <row r="4941">
          <cell r="O4941" t="str">
            <v/>
          </cell>
        </row>
        <row r="4942">
          <cell r="O4942" t="str">
            <v/>
          </cell>
        </row>
        <row r="4943">
          <cell r="O4943" t="str">
            <v/>
          </cell>
        </row>
        <row r="4944">
          <cell r="O4944" t="str">
            <v/>
          </cell>
        </row>
        <row r="4945">
          <cell r="O4945" t="str">
            <v/>
          </cell>
        </row>
        <row r="4946">
          <cell r="O4946" t="str">
            <v/>
          </cell>
        </row>
        <row r="4947">
          <cell r="O4947" t="str">
            <v/>
          </cell>
        </row>
        <row r="4948">
          <cell r="O4948" t="str">
            <v/>
          </cell>
        </row>
        <row r="4949">
          <cell r="O4949" t="str">
            <v/>
          </cell>
        </row>
        <row r="4950">
          <cell r="O4950" t="str">
            <v/>
          </cell>
        </row>
        <row r="4951">
          <cell r="O4951" t="str">
            <v/>
          </cell>
        </row>
        <row r="4952">
          <cell r="O4952" t="str">
            <v/>
          </cell>
        </row>
        <row r="4953">
          <cell r="O4953" t="str">
            <v/>
          </cell>
        </row>
        <row r="4954">
          <cell r="O4954" t="str">
            <v/>
          </cell>
        </row>
        <row r="4955">
          <cell r="O4955" t="str">
            <v/>
          </cell>
        </row>
        <row r="4956">
          <cell r="O4956" t="str">
            <v/>
          </cell>
        </row>
        <row r="4957">
          <cell r="O4957" t="str">
            <v/>
          </cell>
        </row>
        <row r="4958">
          <cell r="O4958" t="str">
            <v/>
          </cell>
        </row>
        <row r="4959">
          <cell r="O4959" t="str">
            <v/>
          </cell>
        </row>
        <row r="4960">
          <cell r="O4960" t="str">
            <v/>
          </cell>
        </row>
        <row r="4961">
          <cell r="O4961" t="str">
            <v/>
          </cell>
        </row>
        <row r="4962">
          <cell r="O4962" t="str">
            <v/>
          </cell>
        </row>
        <row r="4963">
          <cell r="O4963" t="str">
            <v/>
          </cell>
        </row>
        <row r="4964">
          <cell r="O4964" t="str">
            <v/>
          </cell>
        </row>
        <row r="4965">
          <cell r="O4965" t="str">
            <v/>
          </cell>
        </row>
        <row r="4966">
          <cell r="O4966" t="str">
            <v/>
          </cell>
        </row>
        <row r="4967">
          <cell r="O4967" t="str">
            <v/>
          </cell>
        </row>
        <row r="4968">
          <cell r="O4968" t="str">
            <v/>
          </cell>
        </row>
        <row r="4969">
          <cell r="O4969" t="str">
            <v/>
          </cell>
        </row>
        <row r="4970">
          <cell r="O4970" t="str">
            <v/>
          </cell>
        </row>
        <row r="4971">
          <cell r="O4971" t="str">
            <v/>
          </cell>
        </row>
        <row r="4972">
          <cell r="O4972" t="str">
            <v/>
          </cell>
        </row>
        <row r="4973">
          <cell r="O4973" t="str">
            <v/>
          </cell>
        </row>
        <row r="4974">
          <cell r="O4974" t="str">
            <v/>
          </cell>
        </row>
        <row r="4975">
          <cell r="O4975" t="str">
            <v/>
          </cell>
        </row>
        <row r="4976">
          <cell r="O4976" t="str">
            <v/>
          </cell>
        </row>
        <row r="4977">
          <cell r="O4977" t="str">
            <v/>
          </cell>
        </row>
        <row r="4978">
          <cell r="O4978" t="str">
            <v/>
          </cell>
        </row>
        <row r="4979">
          <cell r="O4979" t="str">
            <v/>
          </cell>
        </row>
        <row r="4980">
          <cell r="O4980" t="str">
            <v/>
          </cell>
        </row>
        <row r="4981">
          <cell r="O4981" t="str">
            <v/>
          </cell>
        </row>
        <row r="4982">
          <cell r="O4982" t="str">
            <v/>
          </cell>
        </row>
        <row r="4983">
          <cell r="O4983" t="str">
            <v/>
          </cell>
        </row>
        <row r="4984">
          <cell r="O4984" t="str">
            <v/>
          </cell>
        </row>
        <row r="4985">
          <cell r="O4985" t="str">
            <v/>
          </cell>
        </row>
        <row r="4986">
          <cell r="O4986" t="str">
            <v/>
          </cell>
        </row>
        <row r="4987">
          <cell r="O4987" t="str">
            <v/>
          </cell>
        </row>
        <row r="4988">
          <cell r="O4988" t="str">
            <v/>
          </cell>
        </row>
        <row r="4989">
          <cell r="O4989" t="str">
            <v/>
          </cell>
        </row>
        <row r="4990">
          <cell r="O4990" t="str">
            <v/>
          </cell>
        </row>
        <row r="4991">
          <cell r="O4991" t="str">
            <v/>
          </cell>
        </row>
        <row r="4992">
          <cell r="O4992" t="str">
            <v/>
          </cell>
        </row>
        <row r="4993">
          <cell r="O4993" t="str">
            <v/>
          </cell>
        </row>
        <row r="4994">
          <cell r="O4994" t="str">
            <v/>
          </cell>
        </row>
        <row r="4995">
          <cell r="O4995" t="str">
            <v/>
          </cell>
        </row>
        <row r="4996">
          <cell r="O4996" t="str">
            <v/>
          </cell>
        </row>
        <row r="4997">
          <cell r="O4997" t="str">
            <v/>
          </cell>
        </row>
        <row r="4998">
          <cell r="O4998" t="str">
            <v/>
          </cell>
        </row>
        <row r="4999">
          <cell r="O4999" t="str">
            <v/>
          </cell>
        </row>
        <row r="5000">
          <cell r="O5000" t="str">
            <v/>
          </cell>
        </row>
        <row r="5001">
          <cell r="O5001" t="str">
            <v/>
          </cell>
        </row>
        <row r="5002">
          <cell r="O5002" t="str">
            <v/>
          </cell>
        </row>
        <row r="5003">
          <cell r="O5003" t="str">
            <v/>
          </cell>
        </row>
        <row r="5004">
          <cell r="O5004" t="str">
            <v/>
          </cell>
        </row>
        <row r="5005">
          <cell r="O5005" t="str">
            <v/>
          </cell>
        </row>
        <row r="5006">
          <cell r="O5006" t="str">
            <v/>
          </cell>
        </row>
        <row r="5007">
          <cell r="O5007" t="str">
            <v/>
          </cell>
        </row>
        <row r="5008">
          <cell r="O5008" t="str">
            <v/>
          </cell>
        </row>
        <row r="5009">
          <cell r="O5009" t="str">
            <v/>
          </cell>
        </row>
        <row r="5010">
          <cell r="O5010" t="str">
            <v/>
          </cell>
        </row>
        <row r="5011">
          <cell r="O5011" t="str">
            <v/>
          </cell>
        </row>
        <row r="5012">
          <cell r="O5012" t="str">
            <v/>
          </cell>
        </row>
        <row r="5013">
          <cell r="O5013" t="str">
            <v/>
          </cell>
        </row>
        <row r="5014">
          <cell r="O5014" t="str">
            <v/>
          </cell>
        </row>
        <row r="5015">
          <cell r="O5015" t="str">
            <v/>
          </cell>
        </row>
        <row r="5016">
          <cell r="O5016" t="str">
            <v/>
          </cell>
        </row>
        <row r="5017">
          <cell r="O5017" t="str">
            <v/>
          </cell>
        </row>
        <row r="5018">
          <cell r="O5018" t="str">
            <v/>
          </cell>
        </row>
        <row r="5019">
          <cell r="O5019" t="str">
            <v/>
          </cell>
        </row>
        <row r="5020">
          <cell r="O5020" t="str">
            <v/>
          </cell>
        </row>
        <row r="5021">
          <cell r="O5021" t="str">
            <v/>
          </cell>
        </row>
        <row r="5022">
          <cell r="O5022" t="str">
            <v/>
          </cell>
        </row>
        <row r="5023">
          <cell r="O5023" t="str">
            <v/>
          </cell>
        </row>
        <row r="5024">
          <cell r="O5024" t="str">
            <v/>
          </cell>
        </row>
        <row r="5025">
          <cell r="O5025" t="str">
            <v/>
          </cell>
        </row>
        <row r="5026">
          <cell r="O5026" t="str">
            <v/>
          </cell>
        </row>
        <row r="5027">
          <cell r="O5027" t="str">
            <v/>
          </cell>
        </row>
        <row r="5028">
          <cell r="O5028" t="str">
            <v/>
          </cell>
        </row>
        <row r="5029">
          <cell r="O5029" t="str">
            <v/>
          </cell>
        </row>
        <row r="5030">
          <cell r="O5030" t="str">
            <v/>
          </cell>
        </row>
        <row r="5031">
          <cell r="O5031" t="str">
            <v/>
          </cell>
        </row>
        <row r="5032">
          <cell r="O5032" t="str">
            <v/>
          </cell>
        </row>
        <row r="5033">
          <cell r="O5033" t="str">
            <v/>
          </cell>
        </row>
        <row r="5034">
          <cell r="O5034" t="str">
            <v/>
          </cell>
        </row>
        <row r="5035">
          <cell r="O5035" t="str">
            <v/>
          </cell>
        </row>
        <row r="5036">
          <cell r="O5036" t="str">
            <v/>
          </cell>
        </row>
        <row r="5037">
          <cell r="O5037" t="str">
            <v/>
          </cell>
        </row>
        <row r="5038">
          <cell r="O5038" t="str">
            <v/>
          </cell>
        </row>
        <row r="5039">
          <cell r="O5039" t="str">
            <v/>
          </cell>
        </row>
        <row r="5040">
          <cell r="O5040" t="str">
            <v/>
          </cell>
        </row>
        <row r="5041">
          <cell r="O5041" t="str">
            <v/>
          </cell>
        </row>
        <row r="5042">
          <cell r="O5042" t="str">
            <v/>
          </cell>
        </row>
        <row r="5043">
          <cell r="O5043" t="str">
            <v/>
          </cell>
        </row>
        <row r="5044">
          <cell r="O5044" t="str">
            <v/>
          </cell>
        </row>
        <row r="5045">
          <cell r="O5045" t="str">
            <v/>
          </cell>
        </row>
        <row r="5046">
          <cell r="O5046" t="str">
            <v/>
          </cell>
        </row>
        <row r="5047">
          <cell r="O5047" t="str">
            <v/>
          </cell>
        </row>
        <row r="5048">
          <cell r="O5048" t="str">
            <v/>
          </cell>
        </row>
        <row r="5049">
          <cell r="O5049" t="str">
            <v/>
          </cell>
        </row>
        <row r="5050">
          <cell r="O5050" t="str">
            <v/>
          </cell>
        </row>
        <row r="5051">
          <cell r="O5051" t="str">
            <v/>
          </cell>
        </row>
        <row r="5052">
          <cell r="O5052" t="str">
            <v/>
          </cell>
        </row>
        <row r="5053">
          <cell r="O5053" t="str">
            <v/>
          </cell>
        </row>
        <row r="5054">
          <cell r="O5054" t="str">
            <v/>
          </cell>
        </row>
        <row r="5055">
          <cell r="O5055" t="str">
            <v/>
          </cell>
        </row>
        <row r="5056">
          <cell r="O5056" t="str">
            <v/>
          </cell>
        </row>
        <row r="5057">
          <cell r="O5057" t="str">
            <v/>
          </cell>
        </row>
        <row r="5058">
          <cell r="O5058" t="str">
            <v/>
          </cell>
        </row>
        <row r="5059">
          <cell r="O5059" t="str">
            <v/>
          </cell>
        </row>
        <row r="5060">
          <cell r="O5060" t="str">
            <v/>
          </cell>
        </row>
        <row r="5061">
          <cell r="O5061" t="str">
            <v/>
          </cell>
        </row>
        <row r="5062">
          <cell r="O5062" t="str">
            <v/>
          </cell>
        </row>
        <row r="5063">
          <cell r="O5063" t="str">
            <v/>
          </cell>
        </row>
        <row r="5064">
          <cell r="O5064" t="str">
            <v/>
          </cell>
        </row>
        <row r="5065">
          <cell r="O5065" t="str">
            <v/>
          </cell>
        </row>
        <row r="5066">
          <cell r="O5066" t="str">
            <v/>
          </cell>
        </row>
        <row r="5067">
          <cell r="O5067" t="str">
            <v/>
          </cell>
        </row>
        <row r="5068">
          <cell r="O5068" t="str">
            <v/>
          </cell>
        </row>
        <row r="5069">
          <cell r="O5069" t="str">
            <v/>
          </cell>
        </row>
        <row r="5070">
          <cell r="O5070" t="str">
            <v/>
          </cell>
        </row>
        <row r="5071">
          <cell r="O5071" t="str">
            <v/>
          </cell>
        </row>
        <row r="5072">
          <cell r="O5072" t="str">
            <v/>
          </cell>
        </row>
        <row r="5073">
          <cell r="O5073" t="str">
            <v/>
          </cell>
        </row>
        <row r="5074">
          <cell r="O5074" t="str">
            <v/>
          </cell>
        </row>
        <row r="5075">
          <cell r="O5075" t="str">
            <v/>
          </cell>
        </row>
        <row r="5076">
          <cell r="O5076" t="str">
            <v/>
          </cell>
        </row>
        <row r="5077">
          <cell r="O5077" t="str">
            <v/>
          </cell>
        </row>
        <row r="5078">
          <cell r="O5078" t="str">
            <v/>
          </cell>
        </row>
        <row r="5079">
          <cell r="O5079" t="str">
            <v/>
          </cell>
        </row>
        <row r="5080">
          <cell r="O5080" t="str">
            <v/>
          </cell>
        </row>
        <row r="5081">
          <cell r="O5081" t="str">
            <v/>
          </cell>
        </row>
        <row r="5082">
          <cell r="O5082" t="str">
            <v/>
          </cell>
        </row>
        <row r="5083">
          <cell r="O5083" t="str">
            <v/>
          </cell>
        </row>
        <row r="5084">
          <cell r="O5084" t="str">
            <v/>
          </cell>
        </row>
        <row r="5085">
          <cell r="O5085" t="str">
            <v/>
          </cell>
        </row>
        <row r="5086">
          <cell r="O5086" t="str">
            <v/>
          </cell>
        </row>
        <row r="5087">
          <cell r="O5087" t="str">
            <v/>
          </cell>
        </row>
        <row r="5088">
          <cell r="O5088" t="str">
            <v/>
          </cell>
        </row>
        <row r="5089">
          <cell r="O5089" t="str">
            <v/>
          </cell>
        </row>
        <row r="5090">
          <cell r="O5090" t="str">
            <v/>
          </cell>
        </row>
        <row r="5091">
          <cell r="O5091" t="str">
            <v/>
          </cell>
        </row>
        <row r="5092">
          <cell r="O5092" t="str">
            <v/>
          </cell>
        </row>
        <row r="5093">
          <cell r="O5093" t="str">
            <v/>
          </cell>
        </row>
        <row r="5094">
          <cell r="O5094" t="str">
            <v/>
          </cell>
        </row>
        <row r="5095">
          <cell r="O5095" t="str">
            <v/>
          </cell>
        </row>
        <row r="5096">
          <cell r="O5096" t="str">
            <v/>
          </cell>
        </row>
        <row r="5097">
          <cell r="O5097" t="str">
            <v/>
          </cell>
        </row>
        <row r="5098">
          <cell r="O5098" t="str">
            <v/>
          </cell>
        </row>
        <row r="5099">
          <cell r="O5099" t="str">
            <v/>
          </cell>
        </row>
        <row r="5100">
          <cell r="O5100" t="str">
            <v/>
          </cell>
        </row>
        <row r="5101">
          <cell r="O5101" t="str">
            <v/>
          </cell>
        </row>
        <row r="5102">
          <cell r="O5102" t="str">
            <v/>
          </cell>
        </row>
        <row r="5103">
          <cell r="O5103" t="str">
            <v/>
          </cell>
        </row>
        <row r="5104">
          <cell r="O5104" t="str">
            <v/>
          </cell>
        </row>
        <row r="5105">
          <cell r="O5105" t="str">
            <v/>
          </cell>
        </row>
        <row r="5106">
          <cell r="O5106" t="str">
            <v/>
          </cell>
        </row>
        <row r="5107">
          <cell r="O5107" t="str">
            <v/>
          </cell>
        </row>
        <row r="5108">
          <cell r="O5108" t="str">
            <v/>
          </cell>
        </row>
        <row r="5109">
          <cell r="O5109" t="str">
            <v/>
          </cell>
        </row>
        <row r="5110">
          <cell r="O5110" t="str">
            <v/>
          </cell>
        </row>
        <row r="5111">
          <cell r="O5111" t="str">
            <v/>
          </cell>
        </row>
        <row r="5112">
          <cell r="O5112" t="str">
            <v/>
          </cell>
        </row>
        <row r="5113">
          <cell r="O5113" t="str">
            <v/>
          </cell>
        </row>
        <row r="5114">
          <cell r="O5114" t="str">
            <v/>
          </cell>
        </row>
        <row r="5115">
          <cell r="O5115" t="str">
            <v/>
          </cell>
        </row>
        <row r="5116">
          <cell r="O5116" t="str">
            <v/>
          </cell>
        </row>
        <row r="5117">
          <cell r="O5117" t="str">
            <v/>
          </cell>
        </row>
        <row r="5118">
          <cell r="O5118" t="str">
            <v/>
          </cell>
        </row>
        <row r="5119">
          <cell r="O5119" t="str">
            <v/>
          </cell>
        </row>
        <row r="5120">
          <cell r="O5120" t="str">
            <v/>
          </cell>
        </row>
        <row r="5121">
          <cell r="O5121" t="str">
            <v/>
          </cell>
        </row>
        <row r="5122">
          <cell r="O5122" t="str">
            <v/>
          </cell>
        </row>
        <row r="5123">
          <cell r="O5123" t="str">
            <v/>
          </cell>
        </row>
        <row r="5124">
          <cell r="O5124" t="str">
            <v/>
          </cell>
        </row>
        <row r="5125">
          <cell r="O5125" t="str">
            <v/>
          </cell>
        </row>
        <row r="5126">
          <cell r="O5126" t="str">
            <v/>
          </cell>
        </row>
        <row r="5127">
          <cell r="O5127" t="str">
            <v/>
          </cell>
        </row>
        <row r="5128">
          <cell r="O5128" t="str">
            <v/>
          </cell>
        </row>
        <row r="5129">
          <cell r="O5129" t="str">
            <v/>
          </cell>
        </row>
        <row r="5130">
          <cell r="O5130" t="str">
            <v/>
          </cell>
        </row>
        <row r="5131">
          <cell r="O5131" t="str">
            <v/>
          </cell>
        </row>
        <row r="5132">
          <cell r="O5132" t="str">
            <v/>
          </cell>
        </row>
        <row r="5133">
          <cell r="O5133" t="str">
            <v/>
          </cell>
        </row>
        <row r="5134">
          <cell r="O5134" t="str">
            <v/>
          </cell>
        </row>
        <row r="5135">
          <cell r="O5135" t="str">
            <v/>
          </cell>
        </row>
        <row r="5136">
          <cell r="O5136" t="str">
            <v/>
          </cell>
        </row>
        <row r="5137">
          <cell r="O5137" t="str">
            <v/>
          </cell>
        </row>
        <row r="5138">
          <cell r="O5138" t="str">
            <v/>
          </cell>
        </row>
        <row r="5139">
          <cell r="O5139" t="str">
            <v/>
          </cell>
        </row>
        <row r="5140">
          <cell r="O5140" t="str">
            <v/>
          </cell>
        </row>
        <row r="5141">
          <cell r="O5141" t="str">
            <v/>
          </cell>
        </row>
        <row r="5142">
          <cell r="O5142" t="str">
            <v/>
          </cell>
        </row>
        <row r="5143">
          <cell r="O5143" t="str">
            <v/>
          </cell>
        </row>
        <row r="5144">
          <cell r="O5144" t="str">
            <v/>
          </cell>
        </row>
        <row r="5145">
          <cell r="O5145" t="str">
            <v/>
          </cell>
        </row>
        <row r="5146">
          <cell r="O5146" t="str">
            <v/>
          </cell>
        </row>
        <row r="5147">
          <cell r="O5147" t="str">
            <v/>
          </cell>
        </row>
        <row r="5148">
          <cell r="O5148" t="str">
            <v/>
          </cell>
        </row>
        <row r="5149">
          <cell r="O5149" t="str">
            <v/>
          </cell>
        </row>
        <row r="5150">
          <cell r="O5150" t="str">
            <v/>
          </cell>
        </row>
        <row r="5151">
          <cell r="O5151" t="str">
            <v/>
          </cell>
        </row>
        <row r="5152">
          <cell r="O5152" t="str">
            <v/>
          </cell>
        </row>
        <row r="5153">
          <cell r="O5153" t="str">
            <v/>
          </cell>
        </row>
        <row r="5154">
          <cell r="O5154" t="str">
            <v/>
          </cell>
        </row>
        <row r="5155">
          <cell r="O5155" t="str">
            <v/>
          </cell>
        </row>
        <row r="5156">
          <cell r="O5156" t="str">
            <v/>
          </cell>
        </row>
        <row r="5157">
          <cell r="O5157" t="str">
            <v/>
          </cell>
        </row>
        <row r="5158">
          <cell r="O5158" t="str">
            <v/>
          </cell>
        </row>
        <row r="5159">
          <cell r="O5159" t="str">
            <v/>
          </cell>
        </row>
        <row r="5160">
          <cell r="O5160" t="str">
            <v/>
          </cell>
        </row>
        <row r="5161">
          <cell r="O5161" t="str">
            <v/>
          </cell>
        </row>
        <row r="5162">
          <cell r="O5162" t="str">
            <v/>
          </cell>
        </row>
        <row r="5163">
          <cell r="O5163" t="str">
            <v/>
          </cell>
        </row>
        <row r="5164">
          <cell r="O5164" t="str">
            <v/>
          </cell>
        </row>
        <row r="5165">
          <cell r="O5165" t="str">
            <v/>
          </cell>
        </row>
        <row r="5166">
          <cell r="O5166" t="str">
            <v/>
          </cell>
        </row>
        <row r="5167">
          <cell r="O5167" t="str">
            <v/>
          </cell>
        </row>
        <row r="5168">
          <cell r="O5168" t="str">
            <v/>
          </cell>
        </row>
        <row r="5169">
          <cell r="O5169" t="str">
            <v/>
          </cell>
        </row>
        <row r="5170">
          <cell r="O5170" t="str">
            <v/>
          </cell>
        </row>
        <row r="5171">
          <cell r="O5171" t="str">
            <v/>
          </cell>
        </row>
        <row r="5172">
          <cell r="O5172" t="str">
            <v/>
          </cell>
        </row>
        <row r="5173">
          <cell r="O5173" t="str">
            <v/>
          </cell>
        </row>
        <row r="5174">
          <cell r="O5174" t="str">
            <v/>
          </cell>
        </row>
        <row r="5175">
          <cell r="O5175" t="str">
            <v/>
          </cell>
        </row>
        <row r="5176">
          <cell r="O5176" t="str">
            <v/>
          </cell>
        </row>
        <row r="5177">
          <cell r="O5177" t="str">
            <v/>
          </cell>
        </row>
        <row r="5178">
          <cell r="O5178" t="str">
            <v/>
          </cell>
        </row>
        <row r="5179">
          <cell r="O5179" t="str">
            <v/>
          </cell>
        </row>
        <row r="5180">
          <cell r="O5180" t="str">
            <v/>
          </cell>
        </row>
        <row r="5181">
          <cell r="O5181" t="str">
            <v/>
          </cell>
        </row>
        <row r="5182">
          <cell r="O5182" t="str">
            <v/>
          </cell>
        </row>
        <row r="5183">
          <cell r="O5183" t="str">
            <v/>
          </cell>
        </row>
        <row r="5184">
          <cell r="O5184" t="str">
            <v/>
          </cell>
        </row>
        <row r="5185">
          <cell r="O5185" t="str">
            <v/>
          </cell>
        </row>
        <row r="5186">
          <cell r="O5186" t="str">
            <v/>
          </cell>
        </row>
        <row r="5187">
          <cell r="O5187" t="str">
            <v/>
          </cell>
        </row>
        <row r="5188">
          <cell r="O5188" t="str">
            <v/>
          </cell>
        </row>
        <row r="5189">
          <cell r="O5189" t="str">
            <v/>
          </cell>
        </row>
        <row r="5190">
          <cell r="O5190" t="str">
            <v/>
          </cell>
        </row>
        <row r="5191">
          <cell r="O5191" t="str">
            <v/>
          </cell>
        </row>
        <row r="5192">
          <cell r="O5192" t="str">
            <v/>
          </cell>
        </row>
        <row r="5193">
          <cell r="O5193" t="str">
            <v/>
          </cell>
        </row>
        <row r="5194">
          <cell r="O5194" t="str">
            <v/>
          </cell>
        </row>
        <row r="5195">
          <cell r="O5195" t="str">
            <v/>
          </cell>
        </row>
        <row r="5196">
          <cell r="O5196" t="str">
            <v/>
          </cell>
        </row>
        <row r="5197">
          <cell r="O5197" t="str">
            <v/>
          </cell>
        </row>
        <row r="5198">
          <cell r="O5198" t="str">
            <v/>
          </cell>
        </row>
        <row r="5199">
          <cell r="O5199" t="str">
            <v/>
          </cell>
        </row>
        <row r="5200">
          <cell r="O5200" t="str">
            <v/>
          </cell>
        </row>
        <row r="5201">
          <cell r="O5201" t="str">
            <v/>
          </cell>
        </row>
        <row r="5202">
          <cell r="O5202" t="str">
            <v/>
          </cell>
        </row>
        <row r="5203">
          <cell r="O5203" t="str">
            <v/>
          </cell>
        </row>
        <row r="5204">
          <cell r="O5204" t="str">
            <v/>
          </cell>
        </row>
        <row r="5205">
          <cell r="O5205" t="str">
            <v/>
          </cell>
        </row>
        <row r="5206">
          <cell r="O5206" t="str">
            <v/>
          </cell>
        </row>
        <row r="5207">
          <cell r="O5207" t="str">
            <v/>
          </cell>
        </row>
        <row r="5208">
          <cell r="O5208" t="str">
            <v/>
          </cell>
        </row>
        <row r="5209">
          <cell r="O5209" t="str">
            <v/>
          </cell>
        </row>
        <row r="5210">
          <cell r="O5210" t="str">
            <v/>
          </cell>
        </row>
        <row r="5211">
          <cell r="O5211" t="str">
            <v/>
          </cell>
        </row>
        <row r="5212">
          <cell r="O5212" t="str">
            <v/>
          </cell>
        </row>
        <row r="5213">
          <cell r="O5213" t="str">
            <v/>
          </cell>
        </row>
        <row r="5214">
          <cell r="O5214" t="str">
            <v/>
          </cell>
        </row>
        <row r="5215">
          <cell r="O5215" t="str">
            <v/>
          </cell>
        </row>
        <row r="5216">
          <cell r="O5216" t="str">
            <v/>
          </cell>
        </row>
        <row r="5217">
          <cell r="O5217" t="str">
            <v/>
          </cell>
        </row>
        <row r="5218">
          <cell r="O5218" t="str">
            <v/>
          </cell>
        </row>
        <row r="5219">
          <cell r="O5219" t="str">
            <v/>
          </cell>
        </row>
        <row r="5220">
          <cell r="O5220" t="str">
            <v/>
          </cell>
        </row>
        <row r="5221">
          <cell r="O5221" t="str">
            <v/>
          </cell>
        </row>
        <row r="5222">
          <cell r="O5222" t="str">
            <v/>
          </cell>
        </row>
        <row r="5223">
          <cell r="O5223" t="str">
            <v/>
          </cell>
        </row>
        <row r="5224">
          <cell r="O5224" t="str">
            <v/>
          </cell>
        </row>
        <row r="5225">
          <cell r="O5225" t="str">
            <v/>
          </cell>
        </row>
        <row r="5226">
          <cell r="O5226" t="str">
            <v/>
          </cell>
        </row>
        <row r="5227">
          <cell r="O5227" t="str">
            <v/>
          </cell>
        </row>
        <row r="5228">
          <cell r="O5228" t="str">
            <v/>
          </cell>
        </row>
        <row r="5229">
          <cell r="O5229" t="str">
            <v/>
          </cell>
        </row>
        <row r="5230">
          <cell r="O5230" t="str">
            <v/>
          </cell>
        </row>
        <row r="5231">
          <cell r="O5231" t="str">
            <v/>
          </cell>
        </row>
        <row r="5232">
          <cell r="O5232" t="str">
            <v/>
          </cell>
        </row>
        <row r="5233">
          <cell r="O5233" t="str">
            <v/>
          </cell>
        </row>
        <row r="5234">
          <cell r="O5234" t="str">
            <v/>
          </cell>
        </row>
        <row r="5235">
          <cell r="O5235" t="str">
            <v/>
          </cell>
        </row>
        <row r="5236">
          <cell r="O5236" t="str">
            <v/>
          </cell>
        </row>
        <row r="5237">
          <cell r="O5237" t="str">
            <v/>
          </cell>
        </row>
        <row r="5238">
          <cell r="O5238" t="str">
            <v/>
          </cell>
        </row>
        <row r="5239">
          <cell r="O5239" t="str">
            <v/>
          </cell>
        </row>
        <row r="5240">
          <cell r="O5240" t="str">
            <v/>
          </cell>
        </row>
        <row r="5241">
          <cell r="O5241" t="str">
            <v/>
          </cell>
        </row>
        <row r="5242">
          <cell r="O5242" t="str">
            <v/>
          </cell>
        </row>
        <row r="5243">
          <cell r="O5243" t="str">
            <v/>
          </cell>
        </row>
        <row r="5244">
          <cell r="O5244" t="str">
            <v/>
          </cell>
        </row>
        <row r="5245">
          <cell r="O5245" t="str">
            <v/>
          </cell>
        </row>
        <row r="5246">
          <cell r="O5246" t="str">
            <v/>
          </cell>
        </row>
        <row r="5247">
          <cell r="O5247" t="str">
            <v/>
          </cell>
        </row>
        <row r="5248">
          <cell r="O5248" t="str">
            <v/>
          </cell>
        </row>
        <row r="5249">
          <cell r="O5249" t="str">
            <v/>
          </cell>
        </row>
        <row r="5250">
          <cell r="O5250" t="str">
            <v/>
          </cell>
        </row>
        <row r="5251">
          <cell r="O5251" t="str">
            <v/>
          </cell>
        </row>
        <row r="5252">
          <cell r="O5252" t="str">
            <v/>
          </cell>
        </row>
        <row r="5253">
          <cell r="O5253" t="str">
            <v/>
          </cell>
        </row>
        <row r="5254">
          <cell r="O5254" t="str">
            <v/>
          </cell>
        </row>
        <row r="5255">
          <cell r="O5255" t="str">
            <v/>
          </cell>
        </row>
        <row r="5256">
          <cell r="O5256" t="str">
            <v/>
          </cell>
        </row>
        <row r="5257">
          <cell r="O5257" t="str">
            <v/>
          </cell>
        </row>
        <row r="5258">
          <cell r="O5258" t="str">
            <v/>
          </cell>
        </row>
        <row r="5259">
          <cell r="O5259" t="str">
            <v/>
          </cell>
        </row>
        <row r="5260">
          <cell r="O5260" t="str">
            <v/>
          </cell>
        </row>
        <row r="5261">
          <cell r="O5261" t="str">
            <v/>
          </cell>
        </row>
        <row r="5262">
          <cell r="O5262" t="str">
            <v/>
          </cell>
        </row>
        <row r="5263">
          <cell r="O5263" t="str">
            <v/>
          </cell>
        </row>
        <row r="5264">
          <cell r="O5264" t="str">
            <v/>
          </cell>
        </row>
        <row r="5265">
          <cell r="O5265" t="str">
            <v/>
          </cell>
        </row>
        <row r="5266">
          <cell r="O5266" t="str">
            <v/>
          </cell>
        </row>
        <row r="5267">
          <cell r="O5267" t="str">
            <v/>
          </cell>
        </row>
        <row r="5268">
          <cell r="O5268" t="str">
            <v/>
          </cell>
        </row>
        <row r="5269">
          <cell r="O5269" t="str">
            <v/>
          </cell>
        </row>
        <row r="5270">
          <cell r="O5270" t="str">
            <v/>
          </cell>
        </row>
        <row r="5271">
          <cell r="O5271" t="str">
            <v/>
          </cell>
        </row>
        <row r="5272">
          <cell r="O5272" t="str">
            <v/>
          </cell>
        </row>
        <row r="5273">
          <cell r="O5273" t="str">
            <v/>
          </cell>
        </row>
        <row r="5274">
          <cell r="O5274" t="str">
            <v/>
          </cell>
        </row>
        <row r="5275">
          <cell r="O5275" t="str">
            <v/>
          </cell>
        </row>
        <row r="5276">
          <cell r="O5276" t="str">
            <v/>
          </cell>
        </row>
        <row r="5277">
          <cell r="O5277" t="str">
            <v/>
          </cell>
        </row>
        <row r="5278">
          <cell r="O5278" t="str">
            <v/>
          </cell>
        </row>
        <row r="5279">
          <cell r="O5279" t="str">
            <v/>
          </cell>
        </row>
        <row r="5280">
          <cell r="O5280" t="str">
            <v/>
          </cell>
        </row>
        <row r="5281">
          <cell r="O5281" t="str">
            <v/>
          </cell>
        </row>
        <row r="5282">
          <cell r="O5282" t="str">
            <v/>
          </cell>
        </row>
        <row r="5283">
          <cell r="O5283" t="str">
            <v/>
          </cell>
        </row>
        <row r="5284">
          <cell r="O5284" t="str">
            <v/>
          </cell>
        </row>
        <row r="5285">
          <cell r="O5285" t="str">
            <v/>
          </cell>
        </row>
        <row r="5286">
          <cell r="O5286" t="str">
            <v/>
          </cell>
        </row>
        <row r="5287">
          <cell r="O5287" t="str">
            <v/>
          </cell>
        </row>
        <row r="5288">
          <cell r="O5288" t="str">
            <v/>
          </cell>
        </row>
        <row r="5289">
          <cell r="O5289" t="str">
            <v/>
          </cell>
        </row>
        <row r="5290">
          <cell r="O5290" t="str">
            <v/>
          </cell>
        </row>
        <row r="5291">
          <cell r="O5291" t="str">
            <v/>
          </cell>
        </row>
        <row r="5292">
          <cell r="O5292" t="str">
            <v/>
          </cell>
        </row>
        <row r="5293">
          <cell r="O5293" t="str">
            <v/>
          </cell>
        </row>
        <row r="5294">
          <cell r="O5294" t="str">
            <v/>
          </cell>
        </row>
        <row r="5295">
          <cell r="O5295" t="str">
            <v/>
          </cell>
        </row>
        <row r="5296">
          <cell r="O5296" t="str">
            <v/>
          </cell>
        </row>
        <row r="5297">
          <cell r="O5297" t="str">
            <v/>
          </cell>
        </row>
        <row r="5298">
          <cell r="O5298" t="str">
            <v/>
          </cell>
        </row>
        <row r="5299">
          <cell r="O5299" t="str">
            <v/>
          </cell>
        </row>
        <row r="5300">
          <cell r="O5300" t="str">
            <v/>
          </cell>
        </row>
        <row r="5301">
          <cell r="O5301" t="str">
            <v/>
          </cell>
        </row>
        <row r="5302">
          <cell r="O5302" t="str">
            <v/>
          </cell>
        </row>
        <row r="5303">
          <cell r="O5303" t="str">
            <v/>
          </cell>
        </row>
        <row r="5304">
          <cell r="O5304" t="str">
            <v/>
          </cell>
        </row>
        <row r="5305">
          <cell r="O5305" t="str">
            <v/>
          </cell>
        </row>
        <row r="5306">
          <cell r="O5306" t="str">
            <v/>
          </cell>
        </row>
        <row r="5307">
          <cell r="O5307" t="str">
            <v/>
          </cell>
        </row>
        <row r="5308">
          <cell r="O5308" t="str">
            <v/>
          </cell>
        </row>
        <row r="5309">
          <cell r="O5309" t="str">
            <v/>
          </cell>
        </row>
        <row r="5310">
          <cell r="O5310" t="str">
            <v/>
          </cell>
        </row>
        <row r="5311">
          <cell r="O5311" t="str">
            <v/>
          </cell>
        </row>
        <row r="5312">
          <cell r="O5312" t="str">
            <v/>
          </cell>
        </row>
        <row r="5313">
          <cell r="O5313" t="str">
            <v/>
          </cell>
        </row>
        <row r="5314">
          <cell r="O5314" t="str">
            <v/>
          </cell>
        </row>
        <row r="5315">
          <cell r="O5315" t="str">
            <v/>
          </cell>
        </row>
        <row r="5316">
          <cell r="O5316" t="str">
            <v/>
          </cell>
        </row>
        <row r="5317">
          <cell r="O5317" t="str">
            <v/>
          </cell>
        </row>
        <row r="5318">
          <cell r="O5318" t="str">
            <v/>
          </cell>
        </row>
        <row r="5319">
          <cell r="O5319" t="str">
            <v/>
          </cell>
        </row>
        <row r="5320">
          <cell r="O5320" t="str">
            <v/>
          </cell>
        </row>
        <row r="5321">
          <cell r="O5321" t="str">
            <v/>
          </cell>
        </row>
        <row r="5322">
          <cell r="O5322" t="str">
            <v/>
          </cell>
        </row>
        <row r="5323">
          <cell r="O5323" t="str">
            <v/>
          </cell>
        </row>
        <row r="5324">
          <cell r="O5324" t="str">
            <v/>
          </cell>
        </row>
        <row r="5325">
          <cell r="O5325" t="str">
            <v/>
          </cell>
        </row>
        <row r="5326">
          <cell r="O5326" t="str">
            <v/>
          </cell>
        </row>
        <row r="5327">
          <cell r="O5327" t="str">
            <v/>
          </cell>
        </row>
        <row r="5328">
          <cell r="O5328" t="str">
            <v/>
          </cell>
        </row>
        <row r="5329">
          <cell r="O5329" t="str">
            <v/>
          </cell>
        </row>
        <row r="5330">
          <cell r="O5330" t="str">
            <v/>
          </cell>
        </row>
        <row r="5331">
          <cell r="O5331" t="str">
            <v/>
          </cell>
        </row>
        <row r="5332">
          <cell r="O5332" t="str">
            <v/>
          </cell>
        </row>
        <row r="5333">
          <cell r="O5333" t="str">
            <v/>
          </cell>
        </row>
        <row r="5334">
          <cell r="O5334" t="str">
            <v/>
          </cell>
        </row>
        <row r="5335">
          <cell r="O5335" t="str">
            <v/>
          </cell>
        </row>
        <row r="5336">
          <cell r="O5336" t="str">
            <v/>
          </cell>
        </row>
        <row r="5337">
          <cell r="O5337" t="str">
            <v/>
          </cell>
        </row>
        <row r="5338">
          <cell r="O5338" t="str">
            <v/>
          </cell>
        </row>
        <row r="5339">
          <cell r="O5339" t="str">
            <v/>
          </cell>
        </row>
        <row r="5340">
          <cell r="O5340" t="str">
            <v/>
          </cell>
        </row>
        <row r="5341">
          <cell r="O5341" t="str">
            <v/>
          </cell>
        </row>
        <row r="5342">
          <cell r="O5342" t="str">
            <v/>
          </cell>
        </row>
        <row r="5343">
          <cell r="O5343" t="str">
            <v/>
          </cell>
        </row>
        <row r="5344">
          <cell r="O5344" t="str">
            <v/>
          </cell>
        </row>
        <row r="5345">
          <cell r="O5345" t="str">
            <v/>
          </cell>
        </row>
        <row r="5346">
          <cell r="O5346" t="str">
            <v/>
          </cell>
        </row>
        <row r="5347">
          <cell r="O5347" t="str">
            <v/>
          </cell>
        </row>
        <row r="5348">
          <cell r="O5348" t="str">
            <v/>
          </cell>
        </row>
        <row r="5349">
          <cell r="O5349" t="str">
            <v/>
          </cell>
        </row>
        <row r="5350">
          <cell r="O5350" t="str">
            <v/>
          </cell>
        </row>
        <row r="5351">
          <cell r="O5351" t="str">
            <v/>
          </cell>
        </row>
        <row r="5352">
          <cell r="O5352" t="str">
            <v/>
          </cell>
        </row>
        <row r="5353">
          <cell r="O5353" t="str">
            <v/>
          </cell>
        </row>
        <row r="5354">
          <cell r="O5354" t="str">
            <v/>
          </cell>
        </row>
        <row r="5355">
          <cell r="O5355" t="str">
            <v/>
          </cell>
        </row>
        <row r="5356">
          <cell r="O5356" t="str">
            <v/>
          </cell>
        </row>
        <row r="5357">
          <cell r="O5357" t="str">
            <v/>
          </cell>
        </row>
        <row r="5358">
          <cell r="O5358" t="str">
            <v/>
          </cell>
        </row>
        <row r="5359">
          <cell r="O5359" t="str">
            <v/>
          </cell>
        </row>
        <row r="5360">
          <cell r="O5360" t="str">
            <v/>
          </cell>
        </row>
        <row r="5361">
          <cell r="O5361" t="str">
            <v/>
          </cell>
        </row>
        <row r="5362">
          <cell r="O5362" t="str">
            <v/>
          </cell>
        </row>
        <row r="5363">
          <cell r="O5363" t="str">
            <v/>
          </cell>
        </row>
        <row r="5364">
          <cell r="O5364" t="str">
            <v/>
          </cell>
        </row>
        <row r="5365">
          <cell r="O5365" t="str">
            <v/>
          </cell>
        </row>
        <row r="5366">
          <cell r="O5366" t="str">
            <v/>
          </cell>
        </row>
        <row r="5367">
          <cell r="O5367" t="str">
            <v/>
          </cell>
        </row>
        <row r="5368">
          <cell r="O5368" t="str">
            <v/>
          </cell>
        </row>
        <row r="5369">
          <cell r="O5369" t="str">
            <v/>
          </cell>
        </row>
        <row r="5370">
          <cell r="O5370" t="str">
            <v/>
          </cell>
        </row>
        <row r="5371">
          <cell r="O5371" t="str">
            <v/>
          </cell>
        </row>
        <row r="5372">
          <cell r="O5372" t="str">
            <v/>
          </cell>
        </row>
        <row r="5373">
          <cell r="O5373" t="str">
            <v/>
          </cell>
        </row>
        <row r="5374">
          <cell r="O5374" t="str">
            <v/>
          </cell>
        </row>
        <row r="5375">
          <cell r="O5375" t="str">
            <v/>
          </cell>
        </row>
        <row r="5376">
          <cell r="O5376" t="str">
            <v/>
          </cell>
        </row>
        <row r="5377">
          <cell r="O5377" t="str">
            <v/>
          </cell>
        </row>
        <row r="5378">
          <cell r="O5378" t="str">
            <v/>
          </cell>
        </row>
        <row r="5379">
          <cell r="O5379" t="str">
            <v/>
          </cell>
        </row>
        <row r="5380">
          <cell r="O5380" t="str">
            <v/>
          </cell>
        </row>
        <row r="5381">
          <cell r="O5381" t="str">
            <v/>
          </cell>
        </row>
        <row r="5382">
          <cell r="O5382" t="str">
            <v/>
          </cell>
        </row>
        <row r="5383">
          <cell r="O5383" t="str">
            <v/>
          </cell>
        </row>
        <row r="5384">
          <cell r="O5384" t="str">
            <v/>
          </cell>
        </row>
        <row r="5385">
          <cell r="O5385" t="str">
            <v/>
          </cell>
        </row>
        <row r="5386">
          <cell r="O5386" t="str">
            <v/>
          </cell>
        </row>
        <row r="5387">
          <cell r="O5387" t="str">
            <v/>
          </cell>
        </row>
        <row r="5388">
          <cell r="O5388" t="str">
            <v/>
          </cell>
        </row>
        <row r="5389">
          <cell r="O5389" t="str">
            <v/>
          </cell>
        </row>
        <row r="5390">
          <cell r="O5390" t="str">
            <v/>
          </cell>
        </row>
        <row r="5391">
          <cell r="O5391" t="str">
            <v/>
          </cell>
        </row>
        <row r="5392">
          <cell r="O5392" t="str">
            <v/>
          </cell>
        </row>
        <row r="5393">
          <cell r="O5393" t="str">
            <v/>
          </cell>
        </row>
        <row r="5394">
          <cell r="O5394" t="str">
            <v/>
          </cell>
        </row>
        <row r="5395">
          <cell r="O5395" t="str">
            <v/>
          </cell>
        </row>
        <row r="5396">
          <cell r="O5396" t="str">
            <v/>
          </cell>
        </row>
        <row r="5397">
          <cell r="O5397" t="str">
            <v/>
          </cell>
        </row>
        <row r="5398">
          <cell r="O5398" t="str">
            <v/>
          </cell>
        </row>
        <row r="5399">
          <cell r="O5399" t="str">
            <v/>
          </cell>
        </row>
        <row r="5400">
          <cell r="O5400" t="str">
            <v/>
          </cell>
        </row>
        <row r="5401">
          <cell r="O5401" t="str">
            <v/>
          </cell>
        </row>
        <row r="5402">
          <cell r="O5402" t="str">
            <v/>
          </cell>
        </row>
        <row r="5403">
          <cell r="O5403" t="str">
            <v/>
          </cell>
        </row>
        <row r="5404">
          <cell r="O5404" t="str">
            <v/>
          </cell>
        </row>
        <row r="5405">
          <cell r="O5405" t="str">
            <v/>
          </cell>
        </row>
        <row r="5406">
          <cell r="O5406" t="str">
            <v/>
          </cell>
        </row>
        <row r="5407">
          <cell r="O5407" t="str">
            <v/>
          </cell>
        </row>
        <row r="5408">
          <cell r="O5408" t="str">
            <v/>
          </cell>
        </row>
        <row r="5409">
          <cell r="O5409" t="str">
            <v/>
          </cell>
        </row>
        <row r="5410">
          <cell r="O5410" t="str">
            <v/>
          </cell>
        </row>
        <row r="5411">
          <cell r="O5411" t="str">
            <v/>
          </cell>
        </row>
        <row r="5412">
          <cell r="O5412" t="str">
            <v/>
          </cell>
        </row>
        <row r="5413">
          <cell r="O5413" t="str">
            <v/>
          </cell>
        </row>
        <row r="5414">
          <cell r="O5414" t="str">
            <v/>
          </cell>
        </row>
        <row r="5415">
          <cell r="O5415" t="str">
            <v/>
          </cell>
        </row>
        <row r="5416">
          <cell r="O5416" t="str">
            <v/>
          </cell>
        </row>
        <row r="5417">
          <cell r="O5417" t="str">
            <v/>
          </cell>
        </row>
        <row r="5418">
          <cell r="O5418" t="str">
            <v/>
          </cell>
        </row>
        <row r="5419">
          <cell r="O5419" t="str">
            <v/>
          </cell>
        </row>
        <row r="5420">
          <cell r="O5420" t="str">
            <v/>
          </cell>
        </row>
        <row r="5421">
          <cell r="O5421" t="str">
            <v/>
          </cell>
        </row>
        <row r="5422">
          <cell r="O5422" t="str">
            <v/>
          </cell>
        </row>
        <row r="5423">
          <cell r="O5423" t="str">
            <v/>
          </cell>
        </row>
        <row r="5424">
          <cell r="O5424" t="str">
            <v/>
          </cell>
        </row>
        <row r="5425">
          <cell r="O5425" t="str">
            <v/>
          </cell>
        </row>
        <row r="5426">
          <cell r="O5426" t="str">
            <v/>
          </cell>
        </row>
        <row r="5427">
          <cell r="O5427" t="str">
            <v/>
          </cell>
        </row>
        <row r="5428">
          <cell r="O5428" t="str">
            <v/>
          </cell>
        </row>
        <row r="5429">
          <cell r="O5429" t="str">
            <v/>
          </cell>
        </row>
        <row r="5430">
          <cell r="O5430" t="str">
            <v/>
          </cell>
        </row>
        <row r="5431">
          <cell r="O5431" t="str">
            <v/>
          </cell>
        </row>
        <row r="5432">
          <cell r="O5432" t="str">
            <v/>
          </cell>
        </row>
        <row r="5433">
          <cell r="O5433" t="str">
            <v/>
          </cell>
        </row>
        <row r="5434">
          <cell r="O5434" t="str">
            <v/>
          </cell>
        </row>
        <row r="5435">
          <cell r="O5435" t="str">
            <v/>
          </cell>
        </row>
        <row r="5436">
          <cell r="O5436" t="str">
            <v/>
          </cell>
        </row>
        <row r="5437">
          <cell r="O5437" t="str">
            <v/>
          </cell>
        </row>
        <row r="5438">
          <cell r="O5438" t="str">
            <v/>
          </cell>
        </row>
        <row r="5439">
          <cell r="O5439" t="str">
            <v/>
          </cell>
        </row>
        <row r="5440">
          <cell r="O5440" t="str">
            <v/>
          </cell>
        </row>
        <row r="5441">
          <cell r="O5441" t="str">
            <v/>
          </cell>
        </row>
        <row r="5442">
          <cell r="O5442" t="str">
            <v/>
          </cell>
        </row>
        <row r="5443">
          <cell r="O5443" t="str">
            <v/>
          </cell>
        </row>
        <row r="5444">
          <cell r="O5444" t="str">
            <v/>
          </cell>
        </row>
        <row r="5445">
          <cell r="O5445" t="str">
            <v/>
          </cell>
        </row>
        <row r="5446">
          <cell r="O5446" t="str">
            <v/>
          </cell>
        </row>
        <row r="5447">
          <cell r="O5447" t="str">
            <v/>
          </cell>
        </row>
        <row r="5448">
          <cell r="O5448" t="str">
            <v/>
          </cell>
        </row>
        <row r="5449">
          <cell r="O5449" t="str">
            <v/>
          </cell>
        </row>
        <row r="5450">
          <cell r="O5450" t="str">
            <v/>
          </cell>
        </row>
        <row r="5451">
          <cell r="O5451" t="str">
            <v/>
          </cell>
        </row>
        <row r="5452">
          <cell r="O5452" t="str">
            <v/>
          </cell>
        </row>
        <row r="5453">
          <cell r="O5453" t="str">
            <v/>
          </cell>
        </row>
        <row r="5454">
          <cell r="O5454" t="str">
            <v/>
          </cell>
        </row>
        <row r="5455">
          <cell r="O5455" t="str">
            <v/>
          </cell>
        </row>
        <row r="5456">
          <cell r="O5456" t="str">
            <v/>
          </cell>
        </row>
        <row r="5457">
          <cell r="O5457" t="str">
            <v/>
          </cell>
        </row>
        <row r="5458">
          <cell r="O5458" t="str">
            <v/>
          </cell>
        </row>
        <row r="5459">
          <cell r="O5459" t="str">
            <v/>
          </cell>
        </row>
        <row r="5460">
          <cell r="O5460" t="str">
            <v/>
          </cell>
        </row>
        <row r="5461">
          <cell r="O5461" t="str">
            <v/>
          </cell>
        </row>
        <row r="5462">
          <cell r="O5462" t="str">
            <v/>
          </cell>
        </row>
        <row r="5463">
          <cell r="O5463" t="str">
            <v/>
          </cell>
        </row>
        <row r="5464">
          <cell r="O5464" t="str">
            <v/>
          </cell>
        </row>
        <row r="5465">
          <cell r="O5465" t="str">
            <v/>
          </cell>
        </row>
        <row r="5466">
          <cell r="O5466" t="str">
            <v/>
          </cell>
        </row>
        <row r="5467">
          <cell r="O5467" t="str">
            <v/>
          </cell>
        </row>
        <row r="5468">
          <cell r="O5468" t="str">
            <v/>
          </cell>
        </row>
        <row r="5469">
          <cell r="O5469" t="str">
            <v/>
          </cell>
        </row>
        <row r="5470">
          <cell r="O5470" t="str">
            <v/>
          </cell>
        </row>
        <row r="5471">
          <cell r="O5471" t="str">
            <v/>
          </cell>
        </row>
        <row r="5472">
          <cell r="O5472" t="str">
            <v/>
          </cell>
        </row>
        <row r="5473">
          <cell r="O5473" t="str">
            <v/>
          </cell>
        </row>
        <row r="5474">
          <cell r="O5474" t="str">
            <v/>
          </cell>
        </row>
        <row r="5475">
          <cell r="O5475" t="str">
            <v/>
          </cell>
        </row>
        <row r="5476">
          <cell r="O5476" t="str">
            <v/>
          </cell>
        </row>
        <row r="5477">
          <cell r="O5477" t="str">
            <v/>
          </cell>
        </row>
        <row r="5478">
          <cell r="O5478" t="str">
            <v/>
          </cell>
        </row>
        <row r="5479">
          <cell r="O5479" t="str">
            <v/>
          </cell>
        </row>
        <row r="5480">
          <cell r="O5480" t="str">
            <v/>
          </cell>
        </row>
        <row r="5481">
          <cell r="O5481" t="str">
            <v/>
          </cell>
        </row>
        <row r="5482">
          <cell r="O5482" t="str">
            <v/>
          </cell>
        </row>
        <row r="5483">
          <cell r="O5483" t="str">
            <v/>
          </cell>
        </row>
        <row r="5484">
          <cell r="O5484" t="str">
            <v/>
          </cell>
        </row>
        <row r="5485">
          <cell r="O5485" t="str">
            <v/>
          </cell>
        </row>
        <row r="5486">
          <cell r="O5486" t="str">
            <v/>
          </cell>
        </row>
        <row r="5487">
          <cell r="O5487" t="str">
            <v/>
          </cell>
        </row>
        <row r="5488">
          <cell r="O5488" t="str">
            <v/>
          </cell>
        </row>
        <row r="5489">
          <cell r="O5489" t="str">
            <v/>
          </cell>
        </row>
        <row r="5490">
          <cell r="O5490" t="str">
            <v/>
          </cell>
        </row>
        <row r="5491">
          <cell r="O5491" t="str">
            <v/>
          </cell>
        </row>
        <row r="5492">
          <cell r="O5492" t="str">
            <v/>
          </cell>
        </row>
        <row r="5493">
          <cell r="O5493" t="str">
            <v/>
          </cell>
        </row>
        <row r="5494">
          <cell r="O5494" t="str">
            <v/>
          </cell>
        </row>
        <row r="5495">
          <cell r="O5495" t="str">
            <v/>
          </cell>
        </row>
        <row r="5496">
          <cell r="O5496" t="str">
            <v/>
          </cell>
        </row>
        <row r="5497">
          <cell r="O5497" t="str">
            <v/>
          </cell>
        </row>
        <row r="5498">
          <cell r="O5498" t="str">
            <v/>
          </cell>
        </row>
        <row r="5499">
          <cell r="O5499" t="str">
            <v/>
          </cell>
        </row>
        <row r="5500">
          <cell r="O5500" t="str">
            <v/>
          </cell>
        </row>
        <row r="5501">
          <cell r="O5501" t="str">
            <v/>
          </cell>
        </row>
        <row r="5502">
          <cell r="O5502" t="str">
            <v/>
          </cell>
        </row>
        <row r="5503">
          <cell r="O5503" t="str">
            <v/>
          </cell>
        </row>
        <row r="5504">
          <cell r="O5504" t="str">
            <v/>
          </cell>
        </row>
        <row r="5505">
          <cell r="O5505" t="str">
            <v/>
          </cell>
        </row>
        <row r="5506">
          <cell r="O5506" t="str">
            <v/>
          </cell>
        </row>
        <row r="5507">
          <cell r="O5507" t="str">
            <v/>
          </cell>
        </row>
        <row r="5508">
          <cell r="O5508" t="str">
            <v/>
          </cell>
        </row>
        <row r="5509">
          <cell r="O5509" t="str">
            <v/>
          </cell>
        </row>
        <row r="5510">
          <cell r="O5510" t="str">
            <v/>
          </cell>
        </row>
        <row r="5511">
          <cell r="O5511" t="str">
            <v/>
          </cell>
        </row>
        <row r="5512">
          <cell r="O5512" t="str">
            <v/>
          </cell>
        </row>
        <row r="5513">
          <cell r="O5513" t="str">
            <v/>
          </cell>
        </row>
        <row r="5514">
          <cell r="O5514" t="str">
            <v/>
          </cell>
        </row>
        <row r="5515">
          <cell r="O5515" t="str">
            <v/>
          </cell>
        </row>
        <row r="5516">
          <cell r="O5516" t="str">
            <v/>
          </cell>
        </row>
        <row r="5517">
          <cell r="O5517" t="str">
            <v/>
          </cell>
        </row>
        <row r="5518">
          <cell r="O5518" t="str">
            <v/>
          </cell>
        </row>
        <row r="5519">
          <cell r="O5519" t="str">
            <v/>
          </cell>
        </row>
        <row r="5520">
          <cell r="O5520" t="str">
            <v/>
          </cell>
        </row>
        <row r="5521">
          <cell r="O5521" t="str">
            <v/>
          </cell>
        </row>
        <row r="5522">
          <cell r="O5522" t="str">
            <v/>
          </cell>
        </row>
        <row r="5523">
          <cell r="O5523" t="str">
            <v/>
          </cell>
        </row>
        <row r="5524">
          <cell r="O5524" t="str">
            <v/>
          </cell>
        </row>
        <row r="5525">
          <cell r="O5525" t="str">
            <v/>
          </cell>
        </row>
        <row r="5526">
          <cell r="O5526" t="str">
            <v/>
          </cell>
        </row>
        <row r="5527">
          <cell r="O5527" t="str">
            <v/>
          </cell>
        </row>
        <row r="5528">
          <cell r="O5528" t="str">
            <v/>
          </cell>
        </row>
        <row r="5529">
          <cell r="O5529" t="str">
            <v/>
          </cell>
        </row>
        <row r="5530">
          <cell r="O5530" t="str">
            <v/>
          </cell>
        </row>
        <row r="5531">
          <cell r="O5531" t="str">
            <v/>
          </cell>
        </row>
        <row r="5532">
          <cell r="O5532" t="str">
            <v/>
          </cell>
        </row>
        <row r="5533">
          <cell r="O5533" t="str">
            <v/>
          </cell>
        </row>
        <row r="5534">
          <cell r="O5534" t="str">
            <v/>
          </cell>
        </row>
        <row r="5535">
          <cell r="O5535" t="str">
            <v/>
          </cell>
        </row>
        <row r="5536">
          <cell r="O5536" t="str">
            <v/>
          </cell>
        </row>
        <row r="5537">
          <cell r="O5537" t="str">
            <v/>
          </cell>
        </row>
        <row r="5538">
          <cell r="O5538" t="str">
            <v/>
          </cell>
        </row>
        <row r="5539">
          <cell r="O5539" t="str">
            <v/>
          </cell>
        </row>
        <row r="5540">
          <cell r="O5540" t="str">
            <v/>
          </cell>
        </row>
        <row r="5541">
          <cell r="O5541" t="str">
            <v/>
          </cell>
        </row>
        <row r="5542">
          <cell r="O5542" t="str">
            <v/>
          </cell>
        </row>
        <row r="5543">
          <cell r="O5543" t="str">
            <v/>
          </cell>
        </row>
        <row r="5544">
          <cell r="O5544" t="str">
            <v/>
          </cell>
        </row>
        <row r="5545">
          <cell r="O5545" t="str">
            <v/>
          </cell>
        </row>
        <row r="5546">
          <cell r="O5546" t="str">
            <v/>
          </cell>
        </row>
        <row r="5547">
          <cell r="O5547" t="str">
            <v/>
          </cell>
        </row>
        <row r="5548">
          <cell r="O5548" t="str">
            <v/>
          </cell>
        </row>
        <row r="5549">
          <cell r="O5549" t="str">
            <v/>
          </cell>
        </row>
        <row r="5550">
          <cell r="O5550" t="str">
            <v/>
          </cell>
        </row>
        <row r="5551">
          <cell r="O5551" t="str">
            <v/>
          </cell>
        </row>
        <row r="5552">
          <cell r="O5552" t="str">
            <v/>
          </cell>
        </row>
        <row r="5553">
          <cell r="O5553" t="str">
            <v/>
          </cell>
        </row>
        <row r="5554">
          <cell r="O5554" t="str">
            <v/>
          </cell>
        </row>
        <row r="5555">
          <cell r="O5555" t="str">
            <v/>
          </cell>
        </row>
        <row r="5556">
          <cell r="O5556" t="str">
            <v/>
          </cell>
        </row>
        <row r="5557">
          <cell r="O5557" t="str">
            <v/>
          </cell>
        </row>
        <row r="5558">
          <cell r="O5558" t="str">
            <v/>
          </cell>
        </row>
        <row r="5559">
          <cell r="O5559" t="str">
            <v/>
          </cell>
        </row>
        <row r="5560">
          <cell r="O5560" t="str">
            <v/>
          </cell>
        </row>
        <row r="5561">
          <cell r="O5561" t="str">
            <v/>
          </cell>
        </row>
        <row r="5562">
          <cell r="O5562" t="str">
            <v/>
          </cell>
        </row>
        <row r="5563">
          <cell r="O5563" t="str">
            <v/>
          </cell>
        </row>
        <row r="5564">
          <cell r="O5564" t="str">
            <v/>
          </cell>
        </row>
        <row r="5565">
          <cell r="O5565" t="str">
            <v/>
          </cell>
        </row>
        <row r="5566">
          <cell r="O5566" t="str">
            <v/>
          </cell>
        </row>
        <row r="5567">
          <cell r="O5567" t="str">
            <v/>
          </cell>
        </row>
        <row r="5568">
          <cell r="O5568" t="str">
            <v/>
          </cell>
        </row>
        <row r="5569">
          <cell r="O5569" t="str">
            <v/>
          </cell>
        </row>
        <row r="5570">
          <cell r="O5570" t="str">
            <v/>
          </cell>
        </row>
        <row r="5571">
          <cell r="O5571" t="str">
            <v/>
          </cell>
        </row>
        <row r="5572">
          <cell r="O5572" t="str">
            <v/>
          </cell>
        </row>
        <row r="5573">
          <cell r="O5573" t="str">
            <v/>
          </cell>
        </row>
        <row r="5574">
          <cell r="O5574" t="str">
            <v/>
          </cell>
        </row>
        <row r="5575">
          <cell r="O5575" t="str">
            <v/>
          </cell>
        </row>
        <row r="5576">
          <cell r="O5576" t="str">
            <v/>
          </cell>
        </row>
        <row r="5577">
          <cell r="O5577" t="str">
            <v/>
          </cell>
        </row>
        <row r="5578">
          <cell r="O5578" t="str">
            <v/>
          </cell>
        </row>
        <row r="5579">
          <cell r="O5579" t="str">
            <v/>
          </cell>
        </row>
        <row r="5580">
          <cell r="O5580" t="str">
            <v/>
          </cell>
        </row>
        <row r="5581">
          <cell r="O5581" t="str">
            <v/>
          </cell>
        </row>
        <row r="5582">
          <cell r="O5582" t="str">
            <v/>
          </cell>
        </row>
        <row r="5583">
          <cell r="O5583" t="str">
            <v/>
          </cell>
        </row>
        <row r="5584">
          <cell r="O5584" t="str">
            <v/>
          </cell>
        </row>
        <row r="5585">
          <cell r="O5585" t="str">
            <v/>
          </cell>
        </row>
        <row r="5586">
          <cell r="O5586" t="str">
            <v/>
          </cell>
        </row>
        <row r="5587">
          <cell r="O5587" t="str">
            <v/>
          </cell>
        </row>
        <row r="5588">
          <cell r="O5588" t="str">
            <v/>
          </cell>
        </row>
        <row r="5589">
          <cell r="O5589" t="str">
            <v/>
          </cell>
        </row>
        <row r="5590">
          <cell r="O5590" t="str">
            <v/>
          </cell>
        </row>
        <row r="5591">
          <cell r="O5591" t="str">
            <v/>
          </cell>
        </row>
        <row r="5592">
          <cell r="O5592" t="str">
            <v/>
          </cell>
        </row>
        <row r="5593">
          <cell r="O5593" t="str">
            <v/>
          </cell>
        </row>
        <row r="5594">
          <cell r="O5594" t="str">
            <v/>
          </cell>
        </row>
        <row r="5595">
          <cell r="O5595" t="str">
            <v/>
          </cell>
        </row>
        <row r="5596">
          <cell r="O5596" t="str">
            <v/>
          </cell>
        </row>
        <row r="5597">
          <cell r="O5597" t="str">
            <v/>
          </cell>
        </row>
        <row r="5598">
          <cell r="O5598" t="str">
            <v/>
          </cell>
        </row>
        <row r="5599">
          <cell r="O5599" t="str">
            <v/>
          </cell>
        </row>
        <row r="5600">
          <cell r="O5600" t="str">
            <v/>
          </cell>
        </row>
        <row r="5601">
          <cell r="O5601" t="str">
            <v/>
          </cell>
        </row>
        <row r="5602">
          <cell r="O5602" t="str">
            <v/>
          </cell>
        </row>
        <row r="5603">
          <cell r="O5603" t="str">
            <v/>
          </cell>
        </row>
        <row r="5604">
          <cell r="O5604" t="str">
            <v/>
          </cell>
        </row>
        <row r="5605">
          <cell r="O5605" t="str">
            <v/>
          </cell>
        </row>
        <row r="5606">
          <cell r="O5606" t="str">
            <v/>
          </cell>
        </row>
        <row r="5607">
          <cell r="O5607" t="str">
            <v/>
          </cell>
        </row>
        <row r="5608">
          <cell r="O5608" t="str">
            <v/>
          </cell>
        </row>
        <row r="5609">
          <cell r="O5609" t="str">
            <v/>
          </cell>
        </row>
        <row r="5610">
          <cell r="O5610" t="str">
            <v/>
          </cell>
        </row>
        <row r="5611">
          <cell r="O5611" t="str">
            <v/>
          </cell>
        </row>
        <row r="5612">
          <cell r="O5612" t="str">
            <v/>
          </cell>
        </row>
        <row r="5613">
          <cell r="O5613" t="str">
            <v/>
          </cell>
        </row>
        <row r="5614">
          <cell r="O5614" t="str">
            <v/>
          </cell>
        </row>
        <row r="5615">
          <cell r="O5615" t="str">
            <v/>
          </cell>
        </row>
        <row r="5616">
          <cell r="O5616" t="str">
            <v/>
          </cell>
        </row>
        <row r="5617">
          <cell r="O5617" t="str">
            <v/>
          </cell>
        </row>
        <row r="5618">
          <cell r="O5618" t="str">
            <v/>
          </cell>
        </row>
        <row r="5619">
          <cell r="O5619" t="str">
            <v/>
          </cell>
        </row>
        <row r="5620">
          <cell r="O5620" t="str">
            <v/>
          </cell>
        </row>
        <row r="5621">
          <cell r="O5621" t="str">
            <v/>
          </cell>
        </row>
        <row r="5622">
          <cell r="O5622" t="str">
            <v/>
          </cell>
        </row>
        <row r="5623">
          <cell r="O5623" t="str">
            <v/>
          </cell>
        </row>
        <row r="5624">
          <cell r="O5624" t="str">
            <v/>
          </cell>
        </row>
        <row r="5625">
          <cell r="O5625" t="str">
            <v/>
          </cell>
        </row>
        <row r="5626">
          <cell r="O5626" t="str">
            <v/>
          </cell>
        </row>
        <row r="5627">
          <cell r="O5627" t="str">
            <v/>
          </cell>
        </row>
        <row r="5628">
          <cell r="O5628" t="str">
            <v/>
          </cell>
        </row>
        <row r="5629">
          <cell r="O5629" t="str">
            <v/>
          </cell>
        </row>
        <row r="5630">
          <cell r="O5630" t="str">
            <v/>
          </cell>
        </row>
        <row r="5631">
          <cell r="O5631" t="str">
            <v/>
          </cell>
        </row>
        <row r="5632">
          <cell r="O5632" t="str">
            <v/>
          </cell>
        </row>
        <row r="5633">
          <cell r="O5633" t="str">
            <v/>
          </cell>
        </row>
        <row r="5634">
          <cell r="O5634" t="str">
            <v/>
          </cell>
        </row>
        <row r="5635">
          <cell r="O5635" t="str">
            <v/>
          </cell>
        </row>
        <row r="5636">
          <cell r="O5636" t="str">
            <v/>
          </cell>
        </row>
        <row r="5637">
          <cell r="O5637" t="str">
            <v/>
          </cell>
        </row>
        <row r="5638">
          <cell r="O5638" t="str">
            <v/>
          </cell>
        </row>
        <row r="5639">
          <cell r="O5639" t="str">
            <v/>
          </cell>
        </row>
        <row r="5640">
          <cell r="O5640" t="str">
            <v/>
          </cell>
        </row>
        <row r="5641">
          <cell r="O5641" t="str">
            <v/>
          </cell>
        </row>
        <row r="5642">
          <cell r="O5642" t="str">
            <v/>
          </cell>
        </row>
        <row r="5643">
          <cell r="O5643" t="str">
            <v/>
          </cell>
        </row>
        <row r="5644">
          <cell r="O5644" t="str">
            <v/>
          </cell>
        </row>
        <row r="5645">
          <cell r="O5645" t="str">
            <v/>
          </cell>
        </row>
        <row r="5646">
          <cell r="O5646" t="str">
            <v/>
          </cell>
        </row>
        <row r="5647">
          <cell r="O5647" t="str">
            <v/>
          </cell>
        </row>
        <row r="5648">
          <cell r="O5648" t="str">
            <v/>
          </cell>
        </row>
        <row r="5649">
          <cell r="O5649" t="str">
            <v/>
          </cell>
        </row>
        <row r="5650">
          <cell r="O5650" t="str">
            <v/>
          </cell>
        </row>
        <row r="5651">
          <cell r="O5651" t="str">
            <v/>
          </cell>
        </row>
        <row r="5652">
          <cell r="O5652" t="str">
            <v/>
          </cell>
        </row>
        <row r="5653">
          <cell r="O5653" t="str">
            <v/>
          </cell>
        </row>
        <row r="5654">
          <cell r="O5654" t="str">
            <v/>
          </cell>
        </row>
        <row r="5655">
          <cell r="O5655" t="str">
            <v/>
          </cell>
        </row>
        <row r="5656">
          <cell r="O5656" t="str">
            <v/>
          </cell>
        </row>
        <row r="5657">
          <cell r="O5657" t="str">
            <v/>
          </cell>
        </row>
        <row r="5658">
          <cell r="O5658" t="str">
            <v/>
          </cell>
        </row>
        <row r="5659">
          <cell r="O5659" t="str">
            <v/>
          </cell>
        </row>
        <row r="5660">
          <cell r="O5660" t="str">
            <v/>
          </cell>
        </row>
        <row r="5661">
          <cell r="O5661" t="str">
            <v/>
          </cell>
        </row>
        <row r="5662">
          <cell r="O5662" t="str">
            <v/>
          </cell>
        </row>
        <row r="5663">
          <cell r="O5663" t="str">
            <v/>
          </cell>
        </row>
        <row r="5664">
          <cell r="O5664" t="str">
            <v/>
          </cell>
        </row>
        <row r="5665">
          <cell r="O5665" t="str">
            <v/>
          </cell>
        </row>
        <row r="5666">
          <cell r="O5666" t="str">
            <v/>
          </cell>
        </row>
        <row r="5667">
          <cell r="O5667" t="str">
            <v/>
          </cell>
        </row>
        <row r="5668">
          <cell r="O5668" t="str">
            <v/>
          </cell>
        </row>
        <row r="5669">
          <cell r="O5669" t="str">
            <v/>
          </cell>
        </row>
        <row r="5670">
          <cell r="O5670" t="str">
            <v/>
          </cell>
        </row>
        <row r="5671">
          <cell r="O5671" t="str">
            <v/>
          </cell>
        </row>
        <row r="5672">
          <cell r="O5672" t="str">
            <v/>
          </cell>
        </row>
        <row r="5673">
          <cell r="O5673" t="str">
            <v/>
          </cell>
        </row>
        <row r="5674">
          <cell r="O5674" t="str">
            <v/>
          </cell>
        </row>
        <row r="5675">
          <cell r="O5675" t="str">
            <v/>
          </cell>
        </row>
        <row r="5676">
          <cell r="O5676" t="str">
            <v/>
          </cell>
        </row>
        <row r="5677">
          <cell r="O5677" t="str">
            <v/>
          </cell>
        </row>
        <row r="5678">
          <cell r="O5678" t="str">
            <v/>
          </cell>
        </row>
        <row r="5679">
          <cell r="O5679" t="str">
            <v/>
          </cell>
        </row>
        <row r="5680">
          <cell r="O5680" t="str">
            <v/>
          </cell>
        </row>
        <row r="5681">
          <cell r="O5681" t="str">
            <v/>
          </cell>
        </row>
        <row r="5682">
          <cell r="O5682" t="str">
            <v/>
          </cell>
        </row>
        <row r="5683">
          <cell r="O5683" t="str">
            <v/>
          </cell>
        </row>
        <row r="5684">
          <cell r="O5684" t="str">
            <v/>
          </cell>
        </row>
        <row r="5685">
          <cell r="O5685" t="str">
            <v/>
          </cell>
        </row>
        <row r="5686">
          <cell r="O5686" t="str">
            <v/>
          </cell>
        </row>
        <row r="5687">
          <cell r="O5687" t="str">
            <v/>
          </cell>
        </row>
        <row r="5688">
          <cell r="O5688" t="str">
            <v/>
          </cell>
        </row>
        <row r="5689">
          <cell r="O5689" t="str">
            <v/>
          </cell>
        </row>
        <row r="5690">
          <cell r="O5690" t="str">
            <v/>
          </cell>
        </row>
        <row r="5691">
          <cell r="O5691" t="str">
            <v/>
          </cell>
        </row>
        <row r="5692">
          <cell r="O5692" t="str">
            <v/>
          </cell>
        </row>
        <row r="5693">
          <cell r="O5693" t="str">
            <v/>
          </cell>
        </row>
        <row r="5694">
          <cell r="O5694" t="str">
            <v/>
          </cell>
        </row>
        <row r="5695">
          <cell r="O5695" t="str">
            <v/>
          </cell>
        </row>
        <row r="5696">
          <cell r="O5696" t="str">
            <v/>
          </cell>
        </row>
        <row r="5697">
          <cell r="O5697" t="str">
            <v/>
          </cell>
        </row>
        <row r="5698">
          <cell r="O5698" t="str">
            <v/>
          </cell>
        </row>
        <row r="5699">
          <cell r="O5699" t="str">
            <v/>
          </cell>
        </row>
        <row r="5700">
          <cell r="O5700" t="str">
            <v/>
          </cell>
        </row>
        <row r="5701">
          <cell r="O5701" t="str">
            <v/>
          </cell>
        </row>
        <row r="5702">
          <cell r="O5702" t="str">
            <v/>
          </cell>
        </row>
        <row r="5703">
          <cell r="O5703" t="str">
            <v/>
          </cell>
        </row>
        <row r="5704">
          <cell r="O5704" t="str">
            <v/>
          </cell>
        </row>
        <row r="5705">
          <cell r="O5705" t="str">
            <v/>
          </cell>
        </row>
        <row r="5706">
          <cell r="O5706" t="str">
            <v/>
          </cell>
        </row>
        <row r="5707">
          <cell r="O5707" t="str">
            <v/>
          </cell>
        </row>
        <row r="5708">
          <cell r="O5708" t="str">
            <v/>
          </cell>
        </row>
        <row r="5709">
          <cell r="O5709" t="str">
            <v/>
          </cell>
        </row>
        <row r="5710">
          <cell r="O5710" t="str">
            <v/>
          </cell>
        </row>
        <row r="5711">
          <cell r="O5711" t="str">
            <v/>
          </cell>
        </row>
        <row r="5712">
          <cell r="O5712" t="str">
            <v/>
          </cell>
        </row>
        <row r="5713">
          <cell r="O5713" t="str">
            <v/>
          </cell>
        </row>
        <row r="5714">
          <cell r="O5714" t="str">
            <v/>
          </cell>
        </row>
        <row r="5715">
          <cell r="O5715" t="str">
            <v/>
          </cell>
        </row>
        <row r="5716">
          <cell r="O5716" t="str">
            <v/>
          </cell>
        </row>
        <row r="5717">
          <cell r="O5717" t="str">
            <v/>
          </cell>
        </row>
        <row r="5718">
          <cell r="O5718" t="str">
            <v/>
          </cell>
        </row>
        <row r="5719">
          <cell r="O5719" t="str">
            <v/>
          </cell>
        </row>
        <row r="5720">
          <cell r="O5720" t="str">
            <v/>
          </cell>
        </row>
        <row r="5721">
          <cell r="O5721" t="str">
            <v/>
          </cell>
        </row>
        <row r="5722">
          <cell r="O5722" t="str">
            <v/>
          </cell>
        </row>
        <row r="5723">
          <cell r="O5723" t="str">
            <v/>
          </cell>
        </row>
        <row r="5724">
          <cell r="O5724" t="str">
            <v/>
          </cell>
        </row>
        <row r="5725">
          <cell r="O5725" t="str">
            <v/>
          </cell>
        </row>
        <row r="5726">
          <cell r="O5726" t="str">
            <v/>
          </cell>
        </row>
        <row r="5727">
          <cell r="O5727" t="str">
            <v/>
          </cell>
        </row>
        <row r="5728">
          <cell r="O5728" t="str">
            <v/>
          </cell>
        </row>
        <row r="5729">
          <cell r="O5729" t="str">
            <v/>
          </cell>
        </row>
        <row r="5730">
          <cell r="O5730" t="str">
            <v/>
          </cell>
        </row>
        <row r="5731">
          <cell r="O5731" t="str">
            <v/>
          </cell>
        </row>
        <row r="5732">
          <cell r="O5732" t="str">
            <v/>
          </cell>
        </row>
        <row r="5733">
          <cell r="O5733" t="str">
            <v/>
          </cell>
        </row>
        <row r="5734">
          <cell r="O5734" t="str">
            <v/>
          </cell>
        </row>
        <row r="5735">
          <cell r="O5735" t="str">
            <v/>
          </cell>
        </row>
        <row r="5736">
          <cell r="O5736" t="str">
            <v/>
          </cell>
        </row>
        <row r="5737">
          <cell r="O5737" t="str">
            <v/>
          </cell>
        </row>
        <row r="5738">
          <cell r="O5738" t="str">
            <v/>
          </cell>
        </row>
        <row r="5739">
          <cell r="O5739" t="str">
            <v/>
          </cell>
        </row>
        <row r="5740">
          <cell r="O5740" t="str">
            <v/>
          </cell>
        </row>
        <row r="5741">
          <cell r="O5741" t="str">
            <v/>
          </cell>
        </row>
        <row r="5742">
          <cell r="O5742" t="str">
            <v/>
          </cell>
        </row>
        <row r="5743">
          <cell r="O5743" t="str">
            <v/>
          </cell>
        </row>
        <row r="5744">
          <cell r="O5744" t="str">
            <v/>
          </cell>
        </row>
        <row r="5745">
          <cell r="O5745" t="str">
            <v/>
          </cell>
        </row>
        <row r="5746">
          <cell r="O5746" t="str">
            <v/>
          </cell>
        </row>
        <row r="5747">
          <cell r="O5747" t="str">
            <v/>
          </cell>
        </row>
        <row r="5748">
          <cell r="O5748" t="str">
            <v/>
          </cell>
        </row>
        <row r="5749">
          <cell r="O5749" t="str">
            <v/>
          </cell>
        </row>
        <row r="5750">
          <cell r="O5750" t="str">
            <v/>
          </cell>
        </row>
        <row r="5751">
          <cell r="O5751" t="str">
            <v/>
          </cell>
        </row>
        <row r="5752">
          <cell r="O5752" t="str">
            <v/>
          </cell>
        </row>
        <row r="5753">
          <cell r="O5753" t="str">
            <v/>
          </cell>
        </row>
        <row r="5754">
          <cell r="O5754" t="str">
            <v/>
          </cell>
        </row>
        <row r="5755">
          <cell r="O5755" t="str">
            <v/>
          </cell>
        </row>
        <row r="5756">
          <cell r="O5756" t="str">
            <v/>
          </cell>
        </row>
        <row r="5757">
          <cell r="O5757" t="str">
            <v/>
          </cell>
        </row>
        <row r="5758">
          <cell r="O5758" t="str">
            <v/>
          </cell>
        </row>
        <row r="5759">
          <cell r="O5759" t="str">
            <v/>
          </cell>
        </row>
        <row r="5760">
          <cell r="O5760" t="str">
            <v/>
          </cell>
        </row>
        <row r="5761">
          <cell r="O5761" t="str">
            <v/>
          </cell>
        </row>
        <row r="5762">
          <cell r="O5762" t="str">
            <v/>
          </cell>
        </row>
        <row r="5763">
          <cell r="O5763" t="str">
            <v/>
          </cell>
        </row>
        <row r="5764">
          <cell r="O5764" t="str">
            <v/>
          </cell>
        </row>
        <row r="5765">
          <cell r="O5765" t="str">
            <v/>
          </cell>
        </row>
        <row r="5766">
          <cell r="O5766" t="str">
            <v/>
          </cell>
        </row>
        <row r="5767">
          <cell r="O5767" t="str">
            <v/>
          </cell>
        </row>
        <row r="5768">
          <cell r="O5768" t="str">
            <v/>
          </cell>
        </row>
        <row r="5769">
          <cell r="O5769" t="str">
            <v/>
          </cell>
        </row>
        <row r="5770">
          <cell r="O5770" t="str">
            <v/>
          </cell>
        </row>
        <row r="5771">
          <cell r="O5771" t="str">
            <v/>
          </cell>
        </row>
        <row r="5772">
          <cell r="O5772" t="str">
            <v/>
          </cell>
        </row>
        <row r="5773">
          <cell r="O5773" t="str">
            <v/>
          </cell>
        </row>
        <row r="5774">
          <cell r="O5774" t="str">
            <v/>
          </cell>
        </row>
        <row r="5775">
          <cell r="O5775" t="str">
            <v/>
          </cell>
        </row>
        <row r="5776">
          <cell r="O5776" t="str">
            <v/>
          </cell>
        </row>
        <row r="5777">
          <cell r="O5777" t="str">
            <v/>
          </cell>
        </row>
        <row r="5778">
          <cell r="O5778" t="str">
            <v/>
          </cell>
        </row>
        <row r="5779">
          <cell r="O5779" t="str">
            <v/>
          </cell>
        </row>
        <row r="5780">
          <cell r="O5780" t="str">
            <v/>
          </cell>
        </row>
        <row r="5781">
          <cell r="O5781" t="str">
            <v/>
          </cell>
        </row>
        <row r="5782">
          <cell r="O5782" t="str">
            <v/>
          </cell>
        </row>
        <row r="5783">
          <cell r="O5783" t="str">
            <v/>
          </cell>
        </row>
        <row r="5784">
          <cell r="O5784" t="str">
            <v/>
          </cell>
        </row>
        <row r="5785">
          <cell r="O5785" t="str">
            <v/>
          </cell>
        </row>
        <row r="5786">
          <cell r="O5786" t="str">
            <v/>
          </cell>
        </row>
        <row r="5787">
          <cell r="O5787" t="str">
            <v/>
          </cell>
        </row>
        <row r="5788">
          <cell r="O5788" t="str">
            <v/>
          </cell>
        </row>
        <row r="5789">
          <cell r="O5789" t="str">
            <v/>
          </cell>
        </row>
        <row r="5790">
          <cell r="O5790" t="str">
            <v/>
          </cell>
        </row>
        <row r="5791">
          <cell r="O5791" t="str">
            <v/>
          </cell>
        </row>
        <row r="5792">
          <cell r="O5792" t="str">
            <v/>
          </cell>
        </row>
        <row r="5793">
          <cell r="O5793" t="str">
            <v/>
          </cell>
        </row>
        <row r="5794">
          <cell r="O5794" t="str">
            <v/>
          </cell>
        </row>
        <row r="5795">
          <cell r="O5795" t="str">
            <v/>
          </cell>
        </row>
        <row r="5796">
          <cell r="O5796" t="str">
            <v/>
          </cell>
        </row>
        <row r="5797">
          <cell r="O5797" t="str">
            <v/>
          </cell>
        </row>
        <row r="5798">
          <cell r="O5798" t="str">
            <v/>
          </cell>
        </row>
        <row r="5799">
          <cell r="O5799" t="str">
            <v/>
          </cell>
        </row>
        <row r="5800">
          <cell r="O5800" t="str">
            <v/>
          </cell>
        </row>
        <row r="5801">
          <cell r="O5801" t="str">
            <v/>
          </cell>
        </row>
        <row r="5802">
          <cell r="O5802" t="str">
            <v/>
          </cell>
        </row>
        <row r="5803">
          <cell r="O5803" t="str">
            <v/>
          </cell>
        </row>
        <row r="5804">
          <cell r="O5804" t="str">
            <v/>
          </cell>
        </row>
        <row r="5805">
          <cell r="O5805" t="str">
            <v/>
          </cell>
        </row>
        <row r="5806">
          <cell r="O5806" t="str">
            <v/>
          </cell>
        </row>
        <row r="5807">
          <cell r="O5807" t="str">
            <v/>
          </cell>
        </row>
        <row r="5808">
          <cell r="O5808" t="str">
            <v/>
          </cell>
        </row>
        <row r="5809">
          <cell r="O5809" t="str">
            <v/>
          </cell>
        </row>
        <row r="5810">
          <cell r="O5810" t="str">
            <v/>
          </cell>
        </row>
        <row r="5811">
          <cell r="O5811" t="str">
            <v/>
          </cell>
        </row>
        <row r="5812">
          <cell r="O5812" t="str">
            <v/>
          </cell>
        </row>
        <row r="5813">
          <cell r="O5813" t="str">
            <v/>
          </cell>
        </row>
        <row r="5814">
          <cell r="O5814" t="str">
            <v/>
          </cell>
        </row>
        <row r="5815">
          <cell r="O5815" t="str">
            <v/>
          </cell>
        </row>
        <row r="5816">
          <cell r="O5816" t="str">
            <v/>
          </cell>
        </row>
        <row r="5817">
          <cell r="O5817" t="str">
            <v/>
          </cell>
        </row>
        <row r="5818">
          <cell r="O5818" t="str">
            <v/>
          </cell>
        </row>
        <row r="5819">
          <cell r="O5819" t="str">
            <v/>
          </cell>
        </row>
        <row r="5820">
          <cell r="O5820" t="str">
            <v/>
          </cell>
        </row>
        <row r="5821">
          <cell r="O5821" t="str">
            <v/>
          </cell>
        </row>
        <row r="5822">
          <cell r="O5822" t="str">
            <v/>
          </cell>
        </row>
        <row r="5823">
          <cell r="O5823" t="str">
            <v/>
          </cell>
        </row>
        <row r="5824">
          <cell r="O5824" t="str">
            <v/>
          </cell>
        </row>
        <row r="5825">
          <cell r="O5825" t="str">
            <v/>
          </cell>
        </row>
        <row r="5826">
          <cell r="O5826" t="str">
            <v/>
          </cell>
        </row>
        <row r="5827">
          <cell r="O5827" t="str">
            <v/>
          </cell>
        </row>
        <row r="5828">
          <cell r="O5828" t="str">
            <v/>
          </cell>
        </row>
        <row r="5829">
          <cell r="O5829" t="str">
            <v/>
          </cell>
        </row>
        <row r="5830">
          <cell r="O5830" t="str">
            <v/>
          </cell>
        </row>
        <row r="5831">
          <cell r="O5831" t="str">
            <v/>
          </cell>
        </row>
        <row r="5832">
          <cell r="O5832" t="str">
            <v/>
          </cell>
        </row>
        <row r="5833">
          <cell r="O5833" t="str">
            <v/>
          </cell>
        </row>
        <row r="5834">
          <cell r="O5834" t="str">
            <v/>
          </cell>
        </row>
        <row r="5835">
          <cell r="O5835" t="str">
            <v/>
          </cell>
        </row>
        <row r="5836">
          <cell r="O5836" t="str">
            <v/>
          </cell>
        </row>
        <row r="5837">
          <cell r="O5837" t="str">
            <v/>
          </cell>
        </row>
        <row r="5838">
          <cell r="O5838" t="str">
            <v/>
          </cell>
        </row>
        <row r="5839">
          <cell r="O5839" t="str">
            <v/>
          </cell>
        </row>
        <row r="5840">
          <cell r="O5840" t="str">
            <v/>
          </cell>
        </row>
        <row r="5841">
          <cell r="O5841" t="str">
            <v/>
          </cell>
        </row>
        <row r="5842">
          <cell r="O5842" t="str">
            <v/>
          </cell>
        </row>
        <row r="5843">
          <cell r="O5843" t="str">
            <v/>
          </cell>
        </row>
        <row r="5844">
          <cell r="O5844" t="str">
            <v/>
          </cell>
        </row>
        <row r="5845">
          <cell r="O5845" t="str">
            <v/>
          </cell>
        </row>
        <row r="5846">
          <cell r="O5846" t="str">
            <v/>
          </cell>
        </row>
        <row r="5847">
          <cell r="O5847" t="str">
            <v/>
          </cell>
        </row>
        <row r="5848">
          <cell r="O5848" t="str">
            <v/>
          </cell>
        </row>
        <row r="5849">
          <cell r="O5849" t="str">
            <v/>
          </cell>
        </row>
        <row r="5850">
          <cell r="O5850" t="str">
            <v/>
          </cell>
        </row>
        <row r="5851">
          <cell r="O5851" t="str">
            <v/>
          </cell>
        </row>
        <row r="5852">
          <cell r="O5852" t="str">
            <v/>
          </cell>
        </row>
        <row r="5853">
          <cell r="O5853" t="str">
            <v/>
          </cell>
        </row>
        <row r="5854">
          <cell r="O5854" t="str">
            <v/>
          </cell>
        </row>
        <row r="5855">
          <cell r="O5855" t="str">
            <v/>
          </cell>
        </row>
        <row r="5856">
          <cell r="O5856" t="str">
            <v/>
          </cell>
        </row>
        <row r="5857">
          <cell r="O5857" t="str">
            <v/>
          </cell>
        </row>
        <row r="5858">
          <cell r="O5858" t="str">
            <v/>
          </cell>
        </row>
        <row r="5859">
          <cell r="O5859" t="str">
            <v/>
          </cell>
        </row>
        <row r="5860">
          <cell r="O5860" t="str">
            <v/>
          </cell>
        </row>
        <row r="5861">
          <cell r="O5861" t="str">
            <v/>
          </cell>
        </row>
        <row r="5862">
          <cell r="O5862" t="str">
            <v/>
          </cell>
        </row>
        <row r="5863">
          <cell r="O5863" t="str">
            <v/>
          </cell>
        </row>
        <row r="5864">
          <cell r="O5864" t="str">
            <v/>
          </cell>
        </row>
        <row r="5865">
          <cell r="O5865" t="str">
            <v/>
          </cell>
        </row>
        <row r="5866">
          <cell r="O5866" t="str">
            <v/>
          </cell>
        </row>
        <row r="5867">
          <cell r="O5867" t="str">
            <v/>
          </cell>
        </row>
        <row r="5868">
          <cell r="O5868" t="str">
            <v/>
          </cell>
        </row>
        <row r="5869">
          <cell r="O5869" t="str">
            <v/>
          </cell>
        </row>
        <row r="5870">
          <cell r="O5870" t="str">
            <v/>
          </cell>
        </row>
        <row r="5871">
          <cell r="O5871" t="str">
            <v/>
          </cell>
        </row>
        <row r="5872">
          <cell r="O5872" t="str">
            <v/>
          </cell>
        </row>
        <row r="5873">
          <cell r="O5873" t="str">
            <v/>
          </cell>
        </row>
        <row r="5874">
          <cell r="O5874" t="str">
            <v/>
          </cell>
        </row>
        <row r="5875">
          <cell r="O5875" t="str">
            <v/>
          </cell>
        </row>
        <row r="5876">
          <cell r="O5876" t="str">
            <v/>
          </cell>
        </row>
        <row r="5877">
          <cell r="O5877" t="str">
            <v/>
          </cell>
        </row>
        <row r="5878">
          <cell r="O5878" t="str">
            <v/>
          </cell>
        </row>
        <row r="5879">
          <cell r="O5879" t="str">
            <v/>
          </cell>
        </row>
        <row r="5880">
          <cell r="O5880" t="str">
            <v/>
          </cell>
        </row>
        <row r="5881">
          <cell r="O5881" t="str">
            <v/>
          </cell>
        </row>
        <row r="5882">
          <cell r="O5882" t="str">
            <v/>
          </cell>
        </row>
        <row r="5883">
          <cell r="O5883" t="str">
            <v/>
          </cell>
        </row>
        <row r="5884">
          <cell r="O5884" t="str">
            <v/>
          </cell>
        </row>
        <row r="5885">
          <cell r="O5885" t="str">
            <v/>
          </cell>
        </row>
        <row r="5886">
          <cell r="O5886" t="str">
            <v/>
          </cell>
        </row>
        <row r="5887">
          <cell r="O5887" t="str">
            <v/>
          </cell>
        </row>
        <row r="5888">
          <cell r="O5888" t="str">
            <v/>
          </cell>
        </row>
        <row r="5889">
          <cell r="O5889" t="str">
            <v/>
          </cell>
        </row>
        <row r="5890">
          <cell r="O5890" t="str">
            <v/>
          </cell>
        </row>
        <row r="5891">
          <cell r="O5891" t="str">
            <v/>
          </cell>
        </row>
        <row r="5892">
          <cell r="O5892" t="str">
            <v/>
          </cell>
        </row>
        <row r="5893">
          <cell r="O5893" t="str">
            <v/>
          </cell>
        </row>
        <row r="5894">
          <cell r="O5894" t="str">
            <v/>
          </cell>
        </row>
        <row r="5895">
          <cell r="O5895" t="str">
            <v/>
          </cell>
        </row>
        <row r="5896">
          <cell r="O5896" t="str">
            <v/>
          </cell>
        </row>
        <row r="5897">
          <cell r="O5897" t="str">
            <v/>
          </cell>
        </row>
        <row r="5898">
          <cell r="O5898" t="str">
            <v/>
          </cell>
        </row>
        <row r="5899">
          <cell r="O5899" t="str">
            <v/>
          </cell>
        </row>
        <row r="5900">
          <cell r="O5900" t="str">
            <v/>
          </cell>
        </row>
        <row r="5901">
          <cell r="O5901" t="str">
            <v/>
          </cell>
        </row>
        <row r="5902">
          <cell r="O5902" t="str">
            <v/>
          </cell>
        </row>
        <row r="5903">
          <cell r="O5903" t="str">
            <v/>
          </cell>
        </row>
        <row r="5904">
          <cell r="O5904" t="str">
            <v/>
          </cell>
        </row>
        <row r="5905">
          <cell r="O5905" t="str">
            <v/>
          </cell>
        </row>
        <row r="5906">
          <cell r="O5906" t="str">
            <v/>
          </cell>
        </row>
        <row r="5907">
          <cell r="O5907" t="str">
            <v/>
          </cell>
        </row>
        <row r="5908">
          <cell r="O5908" t="str">
            <v/>
          </cell>
        </row>
        <row r="5909">
          <cell r="O5909" t="str">
            <v/>
          </cell>
        </row>
        <row r="5910">
          <cell r="O5910" t="str">
            <v/>
          </cell>
        </row>
        <row r="5911">
          <cell r="O5911" t="str">
            <v/>
          </cell>
        </row>
        <row r="5912">
          <cell r="O5912" t="str">
            <v/>
          </cell>
        </row>
        <row r="5913">
          <cell r="O5913" t="str">
            <v/>
          </cell>
        </row>
        <row r="5914">
          <cell r="O5914" t="str">
            <v/>
          </cell>
        </row>
        <row r="5915">
          <cell r="O5915" t="str">
            <v/>
          </cell>
        </row>
        <row r="5916">
          <cell r="O5916" t="str">
            <v/>
          </cell>
        </row>
        <row r="5917">
          <cell r="O5917" t="str">
            <v/>
          </cell>
        </row>
        <row r="5918">
          <cell r="O5918" t="str">
            <v/>
          </cell>
        </row>
        <row r="5919">
          <cell r="O5919" t="str">
            <v/>
          </cell>
        </row>
        <row r="5920">
          <cell r="O5920" t="str">
            <v/>
          </cell>
        </row>
        <row r="5921">
          <cell r="O5921" t="str">
            <v/>
          </cell>
        </row>
        <row r="5922">
          <cell r="O5922" t="str">
            <v/>
          </cell>
        </row>
        <row r="5923">
          <cell r="O5923" t="str">
            <v/>
          </cell>
        </row>
        <row r="5924">
          <cell r="O5924" t="str">
            <v/>
          </cell>
        </row>
        <row r="5925">
          <cell r="O5925" t="str">
            <v/>
          </cell>
        </row>
        <row r="5926">
          <cell r="O5926" t="str">
            <v/>
          </cell>
        </row>
        <row r="5927">
          <cell r="O5927" t="str">
            <v/>
          </cell>
        </row>
        <row r="5928">
          <cell r="O5928" t="str">
            <v/>
          </cell>
        </row>
        <row r="5929">
          <cell r="O5929" t="str">
            <v/>
          </cell>
        </row>
        <row r="5930">
          <cell r="O5930" t="str">
            <v/>
          </cell>
        </row>
        <row r="5931">
          <cell r="O5931" t="str">
            <v/>
          </cell>
        </row>
        <row r="5932">
          <cell r="O5932" t="str">
            <v/>
          </cell>
        </row>
        <row r="5933">
          <cell r="O5933" t="str">
            <v/>
          </cell>
        </row>
        <row r="5934">
          <cell r="O5934" t="str">
            <v/>
          </cell>
        </row>
        <row r="5935">
          <cell r="O5935" t="str">
            <v/>
          </cell>
        </row>
        <row r="5936">
          <cell r="O5936" t="str">
            <v/>
          </cell>
        </row>
        <row r="5937">
          <cell r="O5937" t="str">
            <v/>
          </cell>
        </row>
        <row r="5938">
          <cell r="O5938" t="str">
            <v/>
          </cell>
        </row>
        <row r="5939">
          <cell r="O5939" t="str">
            <v/>
          </cell>
        </row>
        <row r="5940">
          <cell r="O5940" t="str">
            <v/>
          </cell>
        </row>
        <row r="5941">
          <cell r="O5941" t="str">
            <v/>
          </cell>
        </row>
        <row r="5942">
          <cell r="O5942" t="str">
            <v/>
          </cell>
        </row>
        <row r="5943">
          <cell r="O5943" t="str">
            <v/>
          </cell>
        </row>
        <row r="5944">
          <cell r="O5944" t="str">
            <v/>
          </cell>
        </row>
        <row r="5945">
          <cell r="O5945" t="str">
            <v/>
          </cell>
        </row>
        <row r="5946">
          <cell r="O5946" t="str">
            <v/>
          </cell>
        </row>
        <row r="5947">
          <cell r="O5947" t="str">
            <v/>
          </cell>
        </row>
        <row r="5948">
          <cell r="O5948" t="str">
            <v/>
          </cell>
        </row>
        <row r="5949">
          <cell r="O5949" t="str">
            <v/>
          </cell>
        </row>
        <row r="5950">
          <cell r="O5950" t="str">
            <v/>
          </cell>
        </row>
        <row r="5951">
          <cell r="O5951" t="str">
            <v/>
          </cell>
        </row>
        <row r="5952">
          <cell r="O5952" t="str">
            <v/>
          </cell>
        </row>
        <row r="5953">
          <cell r="O5953" t="str">
            <v/>
          </cell>
        </row>
        <row r="5954">
          <cell r="O5954" t="str">
            <v/>
          </cell>
        </row>
        <row r="5955">
          <cell r="O5955" t="str">
            <v/>
          </cell>
        </row>
        <row r="5956">
          <cell r="O5956" t="str">
            <v/>
          </cell>
        </row>
        <row r="5957">
          <cell r="O5957" t="str">
            <v/>
          </cell>
        </row>
        <row r="5958">
          <cell r="O5958" t="str">
            <v/>
          </cell>
        </row>
        <row r="5959">
          <cell r="O5959" t="str">
            <v/>
          </cell>
        </row>
        <row r="5960">
          <cell r="O5960" t="str">
            <v/>
          </cell>
        </row>
        <row r="5961">
          <cell r="O5961" t="str">
            <v/>
          </cell>
        </row>
        <row r="5962">
          <cell r="O5962" t="str">
            <v/>
          </cell>
        </row>
        <row r="5963">
          <cell r="O5963" t="str">
            <v/>
          </cell>
        </row>
        <row r="5964">
          <cell r="O5964" t="str">
            <v/>
          </cell>
        </row>
        <row r="5965">
          <cell r="O5965" t="str">
            <v/>
          </cell>
        </row>
        <row r="5966">
          <cell r="O5966" t="str">
            <v/>
          </cell>
        </row>
        <row r="5967">
          <cell r="O5967" t="str">
            <v/>
          </cell>
        </row>
        <row r="5968">
          <cell r="O5968" t="str">
            <v/>
          </cell>
        </row>
        <row r="5969">
          <cell r="O5969" t="str">
            <v/>
          </cell>
        </row>
        <row r="5970">
          <cell r="O5970" t="str">
            <v/>
          </cell>
        </row>
        <row r="5971">
          <cell r="O5971" t="str">
            <v/>
          </cell>
        </row>
        <row r="5972">
          <cell r="O5972" t="str">
            <v/>
          </cell>
        </row>
        <row r="5973">
          <cell r="O5973" t="str">
            <v/>
          </cell>
        </row>
        <row r="5974">
          <cell r="O5974" t="str">
            <v/>
          </cell>
        </row>
        <row r="5975">
          <cell r="O5975" t="str">
            <v/>
          </cell>
        </row>
        <row r="5976">
          <cell r="O5976" t="str">
            <v/>
          </cell>
        </row>
        <row r="5977">
          <cell r="O5977" t="str">
            <v/>
          </cell>
        </row>
        <row r="5978">
          <cell r="O5978" t="str">
            <v/>
          </cell>
        </row>
        <row r="5979">
          <cell r="O5979" t="str">
            <v/>
          </cell>
        </row>
        <row r="5980">
          <cell r="O5980" t="str">
            <v/>
          </cell>
        </row>
        <row r="5981">
          <cell r="O5981" t="str">
            <v/>
          </cell>
        </row>
        <row r="5982">
          <cell r="O5982" t="str">
            <v/>
          </cell>
        </row>
        <row r="5983">
          <cell r="O5983" t="str">
            <v/>
          </cell>
        </row>
        <row r="5984">
          <cell r="O5984" t="str">
            <v/>
          </cell>
        </row>
        <row r="5985">
          <cell r="O5985" t="str">
            <v/>
          </cell>
        </row>
        <row r="5986">
          <cell r="O5986" t="str">
            <v/>
          </cell>
        </row>
        <row r="5987">
          <cell r="O5987" t="str">
            <v/>
          </cell>
        </row>
        <row r="5988">
          <cell r="O5988" t="str">
            <v/>
          </cell>
        </row>
        <row r="5989">
          <cell r="O5989" t="str">
            <v/>
          </cell>
        </row>
        <row r="5990">
          <cell r="O5990" t="str">
            <v/>
          </cell>
        </row>
        <row r="5991">
          <cell r="O5991" t="str">
            <v/>
          </cell>
        </row>
        <row r="5992">
          <cell r="O5992" t="str">
            <v/>
          </cell>
        </row>
        <row r="5993">
          <cell r="O5993" t="str">
            <v/>
          </cell>
        </row>
        <row r="5994">
          <cell r="O5994" t="str">
            <v/>
          </cell>
        </row>
        <row r="5995">
          <cell r="O5995" t="str">
            <v/>
          </cell>
        </row>
        <row r="5996">
          <cell r="O5996" t="str">
            <v/>
          </cell>
        </row>
        <row r="5997">
          <cell r="O5997" t="str">
            <v/>
          </cell>
        </row>
        <row r="5998">
          <cell r="O5998" t="str">
            <v/>
          </cell>
        </row>
        <row r="5999">
          <cell r="O5999" t="str">
            <v/>
          </cell>
        </row>
        <row r="6000">
          <cell r="O6000" t="str">
            <v/>
          </cell>
        </row>
        <row r="6001">
          <cell r="O6001" t="str">
            <v/>
          </cell>
        </row>
        <row r="6002">
          <cell r="O6002" t="str">
            <v/>
          </cell>
        </row>
        <row r="6003">
          <cell r="O6003" t="str">
            <v/>
          </cell>
        </row>
        <row r="6004">
          <cell r="O6004" t="str">
            <v/>
          </cell>
        </row>
        <row r="6005">
          <cell r="O6005" t="str">
            <v/>
          </cell>
        </row>
        <row r="6006">
          <cell r="O6006" t="str">
            <v/>
          </cell>
        </row>
        <row r="6007">
          <cell r="O6007" t="str">
            <v/>
          </cell>
        </row>
        <row r="6008">
          <cell r="O6008" t="str">
            <v/>
          </cell>
        </row>
        <row r="6009">
          <cell r="O6009" t="str">
            <v/>
          </cell>
        </row>
        <row r="6010">
          <cell r="O6010" t="str">
            <v/>
          </cell>
        </row>
        <row r="6011">
          <cell r="O6011" t="str">
            <v/>
          </cell>
        </row>
        <row r="6012">
          <cell r="O6012" t="str">
            <v/>
          </cell>
        </row>
        <row r="6013">
          <cell r="O6013" t="str">
            <v/>
          </cell>
        </row>
        <row r="6014">
          <cell r="O6014" t="str">
            <v/>
          </cell>
        </row>
        <row r="6015">
          <cell r="O6015" t="str">
            <v/>
          </cell>
        </row>
        <row r="6016">
          <cell r="O6016" t="str">
            <v/>
          </cell>
        </row>
        <row r="6017">
          <cell r="O6017" t="str">
            <v/>
          </cell>
        </row>
        <row r="6018">
          <cell r="O6018" t="str">
            <v/>
          </cell>
        </row>
        <row r="6019">
          <cell r="O6019" t="str">
            <v/>
          </cell>
        </row>
        <row r="6020">
          <cell r="O6020" t="str">
            <v/>
          </cell>
        </row>
        <row r="6021">
          <cell r="O6021" t="str">
            <v/>
          </cell>
        </row>
        <row r="6022">
          <cell r="O6022" t="str">
            <v/>
          </cell>
        </row>
        <row r="6023">
          <cell r="O6023" t="str">
            <v/>
          </cell>
        </row>
        <row r="6024">
          <cell r="O6024" t="str">
            <v/>
          </cell>
        </row>
        <row r="6025">
          <cell r="O6025" t="str">
            <v/>
          </cell>
        </row>
        <row r="6026">
          <cell r="O6026" t="str">
            <v/>
          </cell>
        </row>
        <row r="6027">
          <cell r="O6027" t="str">
            <v/>
          </cell>
        </row>
        <row r="6028">
          <cell r="O6028" t="str">
            <v/>
          </cell>
        </row>
        <row r="6029">
          <cell r="O6029" t="str">
            <v/>
          </cell>
        </row>
        <row r="6030">
          <cell r="O6030" t="str">
            <v/>
          </cell>
        </row>
        <row r="6031">
          <cell r="O6031" t="str">
            <v/>
          </cell>
        </row>
        <row r="6032">
          <cell r="O6032" t="str">
            <v/>
          </cell>
        </row>
        <row r="6033">
          <cell r="O6033" t="str">
            <v/>
          </cell>
        </row>
        <row r="6034">
          <cell r="O6034" t="str">
            <v/>
          </cell>
        </row>
        <row r="6035">
          <cell r="O6035" t="str">
            <v/>
          </cell>
        </row>
        <row r="6036">
          <cell r="O6036" t="str">
            <v/>
          </cell>
        </row>
        <row r="6037">
          <cell r="O6037" t="str">
            <v/>
          </cell>
        </row>
        <row r="6038">
          <cell r="O6038" t="str">
            <v/>
          </cell>
        </row>
        <row r="6039">
          <cell r="O6039" t="str">
            <v/>
          </cell>
        </row>
        <row r="6040">
          <cell r="O6040" t="str">
            <v/>
          </cell>
        </row>
        <row r="6041">
          <cell r="O6041" t="str">
            <v/>
          </cell>
        </row>
        <row r="6042">
          <cell r="O6042" t="str">
            <v/>
          </cell>
        </row>
        <row r="6043">
          <cell r="O6043" t="str">
            <v/>
          </cell>
        </row>
        <row r="6044">
          <cell r="O6044" t="str">
            <v/>
          </cell>
        </row>
        <row r="6045">
          <cell r="O6045" t="str">
            <v/>
          </cell>
        </row>
        <row r="6046">
          <cell r="O6046" t="str">
            <v/>
          </cell>
        </row>
        <row r="6047">
          <cell r="O6047" t="str">
            <v/>
          </cell>
        </row>
        <row r="6048">
          <cell r="O6048" t="str">
            <v/>
          </cell>
        </row>
        <row r="6049">
          <cell r="O6049" t="str">
            <v/>
          </cell>
        </row>
        <row r="6050">
          <cell r="O6050" t="str">
            <v/>
          </cell>
        </row>
        <row r="6051">
          <cell r="O6051" t="str">
            <v/>
          </cell>
        </row>
        <row r="6052">
          <cell r="O6052" t="str">
            <v/>
          </cell>
        </row>
        <row r="6053">
          <cell r="O6053" t="str">
            <v/>
          </cell>
        </row>
        <row r="6054">
          <cell r="O6054" t="str">
            <v/>
          </cell>
        </row>
        <row r="6055">
          <cell r="O6055" t="str">
            <v/>
          </cell>
        </row>
        <row r="6056">
          <cell r="O6056" t="str">
            <v/>
          </cell>
        </row>
        <row r="6057">
          <cell r="O6057" t="str">
            <v/>
          </cell>
        </row>
        <row r="6058">
          <cell r="O6058" t="str">
            <v/>
          </cell>
        </row>
        <row r="6059">
          <cell r="O6059" t="str">
            <v/>
          </cell>
        </row>
        <row r="6060">
          <cell r="O6060" t="str">
            <v/>
          </cell>
        </row>
        <row r="6061">
          <cell r="O6061" t="str">
            <v/>
          </cell>
        </row>
        <row r="6062">
          <cell r="O6062" t="str">
            <v/>
          </cell>
        </row>
        <row r="6063">
          <cell r="O6063" t="str">
            <v/>
          </cell>
        </row>
        <row r="6064">
          <cell r="O6064" t="str">
            <v/>
          </cell>
        </row>
        <row r="6065">
          <cell r="O6065" t="str">
            <v/>
          </cell>
        </row>
        <row r="6066">
          <cell r="O6066" t="str">
            <v/>
          </cell>
        </row>
        <row r="6067">
          <cell r="O6067" t="str">
            <v/>
          </cell>
        </row>
        <row r="6068">
          <cell r="O6068" t="str">
            <v/>
          </cell>
        </row>
        <row r="6069">
          <cell r="O6069" t="str">
            <v/>
          </cell>
        </row>
        <row r="6070">
          <cell r="O6070" t="str">
            <v/>
          </cell>
        </row>
        <row r="6071">
          <cell r="O6071" t="str">
            <v/>
          </cell>
        </row>
        <row r="6072">
          <cell r="O6072" t="str">
            <v/>
          </cell>
        </row>
        <row r="6073">
          <cell r="O6073" t="str">
            <v/>
          </cell>
        </row>
        <row r="6074">
          <cell r="O6074" t="str">
            <v/>
          </cell>
        </row>
        <row r="6075">
          <cell r="O6075" t="str">
            <v/>
          </cell>
        </row>
        <row r="6076">
          <cell r="O6076" t="str">
            <v/>
          </cell>
        </row>
        <row r="6077">
          <cell r="O6077" t="str">
            <v/>
          </cell>
        </row>
        <row r="6078">
          <cell r="O6078" t="str">
            <v/>
          </cell>
        </row>
        <row r="6079">
          <cell r="O6079" t="str">
            <v/>
          </cell>
        </row>
        <row r="6080">
          <cell r="O6080" t="str">
            <v/>
          </cell>
        </row>
        <row r="6081">
          <cell r="O6081" t="str">
            <v/>
          </cell>
        </row>
        <row r="6082">
          <cell r="O6082" t="str">
            <v/>
          </cell>
        </row>
        <row r="6083">
          <cell r="O6083" t="str">
            <v/>
          </cell>
        </row>
        <row r="6084">
          <cell r="O6084" t="str">
            <v/>
          </cell>
        </row>
        <row r="6085">
          <cell r="O6085" t="str">
            <v/>
          </cell>
        </row>
        <row r="6086">
          <cell r="O6086" t="str">
            <v/>
          </cell>
        </row>
        <row r="6087">
          <cell r="O6087" t="str">
            <v/>
          </cell>
        </row>
        <row r="6088">
          <cell r="O6088" t="str">
            <v/>
          </cell>
        </row>
        <row r="6089">
          <cell r="O6089" t="str">
            <v/>
          </cell>
        </row>
        <row r="6090">
          <cell r="O6090" t="str">
            <v/>
          </cell>
        </row>
        <row r="6091">
          <cell r="O6091" t="str">
            <v/>
          </cell>
        </row>
        <row r="6092">
          <cell r="O6092" t="str">
            <v/>
          </cell>
        </row>
        <row r="6093">
          <cell r="O6093" t="str">
            <v/>
          </cell>
        </row>
        <row r="6094">
          <cell r="O6094" t="str">
            <v/>
          </cell>
        </row>
        <row r="6095">
          <cell r="O6095" t="str">
            <v/>
          </cell>
        </row>
        <row r="6096">
          <cell r="O6096" t="str">
            <v/>
          </cell>
        </row>
        <row r="6097">
          <cell r="O6097" t="str">
            <v/>
          </cell>
        </row>
        <row r="6098">
          <cell r="O6098" t="str">
            <v/>
          </cell>
        </row>
        <row r="6099">
          <cell r="O6099" t="str">
            <v/>
          </cell>
        </row>
        <row r="6100">
          <cell r="O6100" t="str">
            <v/>
          </cell>
        </row>
        <row r="6101">
          <cell r="O6101" t="str">
            <v/>
          </cell>
        </row>
        <row r="6102">
          <cell r="O6102" t="str">
            <v/>
          </cell>
        </row>
        <row r="6103">
          <cell r="O6103" t="str">
            <v/>
          </cell>
        </row>
        <row r="6104">
          <cell r="O6104" t="str">
            <v/>
          </cell>
        </row>
        <row r="6105">
          <cell r="O6105" t="str">
            <v/>
          </cell>
        </row>
        <row r="6106">
          <cell r="O6106" t="str">
            <v/>
          </cell>
        </row>
        <row r="6107">
          <cell r="O6107" t="str">
            <v/>
          </cell>
        </row>
        <row r="6108">
          <cell r="O6108" t="str">
            <v/>
          </cell>
        </row>
        <row r="6109">
          <cell r="O6109" t="str">
            <v/>
          </cell>
        </row>
        <row r="6110">
          <cell r="O6110" t="str">
            <v/>
          </cell>
        </row>
        <row r="6111">
          <cell r="O6111" t="str">
            <v/>
          </cell>
        </row>
        <row r="6112">
          <cell r="O6112" t="str">
            <v/>
          </cell>
        </row>
        <row r="6113">
          <cell r="O6113" t="str">
            <v/>
          </cell>
        </row>
        <row r="6114">
          <cell r="O6114" t="str">
            <v/>
          </cell>
        </row>
        <row r="6115">
          <cell r="O6115" t="str">
            <v/>
          </cell>
        </row>
        <row r="6116">
          <cell r="O6116" t="str">
            <v/>
          </cell>
        </row>
        <row r="6117">
          <cell r="O6117" t="str">
            <v/>
          </cell>
        </row>
        <row r="6118">
          <cell r="O6118" t="str">
            <v/>
          </cell>
        </row>
        <row r="6119">
          <cell r="O6119" t="str">
            <v/>
          </cell>
        </row>
        <row r="6120">
          <cell r="O6120" t="str">
            <v/>
          </cell>
        </row>
        <row r="6121">
          <cell r="O6121" t="str">
            <v/>
          </cell>
        </row>
        <row r="6122">
          <cell r="O6122" t="str">
            <v/>
          </cell>
        </row>
        <row r="6123">
          <cell r="O6123" t="str">
            <v/>
          </cell>
        </row>
        <row r="6124">
          <cell r="O6124" t="str">
            <v/>
          </cell>
        </row>
        <row r="6125">
          <cell r="O6125" t="str">
            <v/>
          </cell>
        </row>
        <row r="6126">
          <cell r="O6126" t="str">
            <v/>
          </cell>
        </row>
        <row r="6127">
          <cell r="O6127" t="str">
            <v/>
          </cell>
        </row>
        <row r="6128">
          <cell r="O6128" t="str">
            <v/>
          </cell>
        </row>
        <row r="6129">
          <cell r="O6129" t="str">
            <v/>
          </cell>
        </row>
        <row r="6130">
          <cell r="O6130" t="str">
            <v/>
          </cell>
        </row>
        <row r="6131">
          <cell r="O6131" t="str">
            <v/>
          </cell>
        </row>
        <row r="6132">
          <cell r="O6132" t="str">
            <v/>
          </cell>
        </row>
        <row r="6133">
          <cell r="O6133" t="str">
            <v/>
          </cell>
        </row>
        <row r="6134">
          <cell r="O6134" t="str">
            <v/>
          </cell>
        </row>
        <row r="6135">
          <cell r="O6135" t="str">
            <v/>
          </cell>
        </row>
        <row r="6136">
          <cell r="O6136" t="str">
            <v/>
          </cell>
        </row>
        <row r="6137">
          <cell r="O6137" t="str">
            <v/>
          </cell>
        </row>
        <row r="6138">
          <cell r="O6138" t="str">
            <v/>
          </cell>
        </row>
        <row r="6139">
          <cell r="O6139" t="str">
            <v/>
          </cell>
        </row>
        <row r="6140">
          <cell r="O6140" t="str">
            <v/>
          </cell>
        </row>
        <row r="6141">
          <cell r="O6141" t="str">
            <v/>
          </cell>
        </row>
        <row r="6142">
          <cell r="O6142" t="str">
            <v/>
          </cell>
        </row>
        <row r="6143">
          <cell r="O6143" t="str">
            <v/>
          </cell>
        </row>
        <row r="6144">
          <cell r="O6144" t="str">
            <v/>
          </cell>
        </row>
        <row r="6145">
          <cell r="O6145" t="str">
            <v/>
          </cell>
        </row>
        <row r="6146">
          <cell r="O6146" t="str">
            <v/>
          </cell>
        </row>
        <row r="6147">
          <cell r="O6147" t="str">
            <v/>
          </cell>
        </row>
        <row r="6148">
          <cell r="O6148" t="str">
            <v/>
          </cell>
        </row>
        <row r="6149">
          <cell r="O6149" t="str">
            <v/>
          </cell>
        </row>
        <row r="6150">
          <cell r="O6150" t="str">
            <v/>
          </cell>
        </row>
        <row r="6151">
          <cell r="O6151" t="str">
            <v/>
          </cell>
        </row>
        <row r="6152">
          <cell r="O6152" t="str">
            <v/>
          </cell>
        </row>
        <row r="6153">
          <cell r="O6153" t="str">
            <v/>
          </cell>
        </row>
        <row r="6154">
          <cell r="O6154" t="str">
            <v/>
          </cell>
        </row>
        <row r="6155">
          <cell r="O6155" t="str">
            <v/>
          </cell>
        </row>
        <row r="6156">
          <cell r="O6156" t="str">
            <v/>
          </cell>
        </row>
        <row r="6157">
          <cell r="O6157" t="str">
            <v/>
          </cell>
        </row>
        <row r="6158">
          <cell r="O6158" t="str">
            <v/>
          </cell>
        </row>
        <row r="6159">
          <cell r="O6159" t="str">
            <v/>
          </cell>
        </row>
        <row r="6160">
          <cell r="O6160" t="str">
            <v/>
          </cell>
        </row>
        <row r="6161">
          <cell r="O6161" t="str">
            <v/>
          </cell>
        </row>
        <row r="6162">
          <cell r="O6162" t="str">
            <v/>
          </cell>
        </row>
        <row r="6163">
          <cell r="O6163" t="str">
            <v/>
          </cell>
        </row>
        <row r="6164">
          <cell r="O6164" t="str">
            <v/>
          </cell>
        </row>
        <row r="6165">
          <cell r="O6165" t="str">
            <v/>
          </cell>
        </row>
        <row r="6166">
          <cell r="O6166" t="str">
            <v/>
          </cell>
        </row>
        <row r="6167">
          <cell r="O6167" t="str">
            <v/>
          </cell>
        </row>
        <row r="6168">
          <cell r="O6168" t="str">
            <v/>
          </cell>
        </row>
        <row r="6169">
          <cell r="O6169" t="str">
            <v/>
          </cell>
        </row>
        <row r="6170">
          <cell r="O6170" t="str">
            <v/>
          </cell>
        </row>
        <row r="6171">
          <cell r="O6171" t="str">
            <v/>
          </cell>
        </row>
        <row r="6172">
          <cell r="O6172" t="str">
            <v/>
          </cell>
        </row>
        <row r="6173">
          <cell r="O6173" t="str">
            <v/>
          </cell>
        </row>
        <row r="6174">
          <cell r="O6174" t="str">
            <v/>
          </cell>
        </row>
        <row r="6175">
          <cell r="O6175" t="str">
            <v/>
          </cell>
        </row>
        <row r="6176">
          <cell r="O6176" t="str">
            <v/>
          </cell>
        </row>
        <row r="6177">
          <cell r="O6177" t="str">
            <v/>
          </cell>
        </row>
        <row r="6178">
          <cell r="O6178" t="str">
            <v/>
          </cell>
        </row>
        <row r="6179">
          <cell r="O6179" t="str">
            <v/>
          </cell>
        </row>
        <row r="6180">
          <cell r="O6180" t="str">
            <v/>
          </cell>
        </row>
        <row r="6181">
          <cell r="O6181" t="str">
            <v/>
          </cell>
        </row>
        <row r="6182">
          <cell r="O6182" t="str">
            <v/>
          </cell>
        </row>
        <row r="6183">
          <cell r="O6183" t="str">
            <v/>
          </cell>
        </row>
        <row r="6184">
          <cell r="O6184" t="str">
            <v/>
          </cell>
        </row>
        <row r="6185">
          <cell r="O6185" t="str">
            <v/>
          </cell>
        </row>
        <row r="6186">
          <cell r="O6186" t="str">
            <v/>
          </cell>
        </row>
        <row r="6187">
          <cell r="O6187" t="str">
            <v/>
          </cell>
        </row>
        <row r="6188">
          <cell r="O6188" t="str">
            <v/>
          </cell>
        </row>
        <row r="6189">
          <cell r="O6189" t="str">
            <v/>
          </cell>
        </row>
        <row r="6190">
          <cell r="O6190" t="str">
            <v/>
          </cell>
        </row>
        <row r="6191">
          <cell r="O6191" t="str">
            <v/>
          </cell>
        </row>
        <row r="6192">
          <cell r="O6192" t="str">
            <v/>
          </cell>
        </row>
        <row r="6193">
          <cell r="O6193" t="str">
            <v/>
          </cell>
        </row>
        <row r="6194">
          <cell r="O6194" t="str">
            <v/>
          </cell>
        </row>
        <row r="6195">
          <cell r="O6195" t="str">
            <v/>
          </cell>
        </row>
        <row r="6196">
          <cell r="O6196" t="str">
            <v/>
          </cell>
        </row>
        <row r="6197">
          <cell r="O6197" t="str">
            <v/>
          </cell>
        </row>
        <row r="6198">
          <cell r="O6198" t="str">
            <v/>
          </cell>
        </row>
        <row r="6199">
          <cell r="O6199" t="str">
            <v/>
          </cell>
        </row>
        <row r="6200">
          <cell r="O6200" t="str">
            <v/>
          </cell>
        </row>
        <row r="6201">
          <cell r="O6201" t="str">
            <v/>
          </cell>
        </row>
        <row r="6202">
          <cell r="O6202" t="str">
            <v/>
          </cell>
        </row>
        <row r="6203">
          <cell r="O6203" t="str">
            <v/>
          </cell>
        </row>
        <row r="6204">
          <cell r="O6204" t="str">
            <v/>
          </cell>
        </row>
        <row r="6205">
          <cell r="O6205" t="str">
            <v/>
          </cell>
        </row>
        <row r="6206">
          <cell r="O6206" t="str">
            <v/>
          </cell>
        </row>
        <row r="6207">
          <cell r="O6207" t="str">
            <v/>
          </cell>
        </row>
        <row r="6208">
          <cell r="O6208" t="str">
            <v/>
          </cell>
        </row>
        <row r="6209">
          <cell r="O6209" t="str">
            <v/>
          </cell>
        </row>
        <row r="6210">
          <cell r="O6210" t="str">
            <v/>
          </cell>
        </row>
        <row r="6211">
          <cell r="O6211" t="str">
            <v/>
          </cell>
        </row>
        <row r="6212">
          <cell r="O6212" t="str">
            <v/>
          </cell>
        </row>
        <row r="6213">
          <cell r="O6213" t="str">
            <v/>
          </cell>
        </row>
        <row r="6214">
          <cell r="O6214" t="str">
            <v/>
          </cell>
        </row>
        <row r="6215">
          <cell r="O6215" t="str">
            <v/>
          </cell>
        </row>
        <row r="6216">
          <cell r="O6216" t="str">
            <v/>
          </cell>
        </row>
        <row r="6217">
          <cell r="O6217" t="str">
            <v/>
          </cell>
        </row>
        <row r="6218">
          <cell r="O6218" t="str">
            <v/>
          </cell>
        </row>
        <row r="6219">
          <cell r="O6219" t="str">
            <v/>
          </cell>
        </row>
        <row r="6220">
          <cell r="O6220" t="str">
            <v/>
          </cell>
        </row>
        <row r="6221">
          <cell r="O6221" t="str">
            <v/>
          </cell>
        </row>
        <row r="6222">
          <cell r="O6222" t="str">
            <v/>
          </cell>
        </row>
        <row r="6223">
          <cell r="O6223" t="str">
            <v/>
          </cell>
        </row>
        <row r="6224">
          <cell r="O6224" t="str">
            <v/>
          </cell>
        </row>
        <row r="6225">
          <cell r="O6225" t="str">
            <v/>
          </cell>
        </row>
        <row r="6226">
          <cell r="O6226" t="str">
            <v/>
          </cell>
        </row>
        <row r="6227">
          <cell r="O6227" t="str">
            <v/>
          </cell>
        </row>
        <row r="6228">
          <cell r="O6228" t="str">
            <v/>
          </cell>
        </row>
        <row r="6229">
          <cell r="O6229" t="str">
            <v/>
          </cell>
        </row>
        <row r="6230">
          <cell r="O6230" t="str">
            <v/>
          </cell>
        </row>
        <row r="6231">
          <cell r="O6231" t="str">
            <v/>
          </cell>
        </row>
        <row r="6232">
          <cell r="O6232" t="str">
            <v/>
          </cell>
        </row>
        <row r="6233">
          <cell r="O6233" t="str">
            <v/>
          </cell>
        </row>
        <row r="6234">
          <cell r="O6234" t="str">
            <v/>
          </cell>
        </row>
        <row r="6235">
          <cell r="O6235" t="str">
            <v/>
          </cell>
        </row>
        <row r="6236">
          <cell r="O6236" t="str">
            <v/>
          </cell>
        </row>
        <row r="6237">
          <cell r="O6237" t="str">
            <v/>
          </cell>
        </row>
        <row r="6238">
          <cell r="O6238" t="str">
            <v/>
          </cell>
        </row>
        <row r="6239">
          <cell r="O6239" t="str">
            <v/>
          </cell>
        </row>
        <row r="6240">
          <cell r="O6240" t="str">
            <v/>
          </cell>
        </row>
        <row r="6241">
          <cell r="O6241" t="str">
            <v/>
          </cell>
        </row>
        <row r="6242">
          <cell r="O6242" t="str">
            <v/>
          </cell>
        </row>
        <row r="6243">
          <cell r="O6243" t="str">
            <v/>
          </cell>
        </row>
        <row r="6244">
          <cell r="O6244" t="str">
            <v/>
          </cell>
        </row>
        <row r="6245">
          <cell r="O6245" t="str">
            <v/>
          </cell>
        </row>
        <row r="6246">
          <cell r="O6246" t="str">
            <v/>
          </cell>
        </row>
        <row r="6247">
          <cell r="O6247" t="str">
            <v/>
          </cell>
        </row>
        <row r="6248">
          <cell r="O6248" t="str">
            <v/>
          </cell>
        </row>
        <row r="6249">
          <cell r="O6249" t="str">
            <v/>
          </cell>
        </row>
        <row r="6250">
          <cell r="O6250" t="str">
            <v/>
          </cell>
        </row>
        <row r="6251">
          <cell r="O6251" t="str">
            <v/>
          </cell>
        </row>
        <row r="6252">
          <cell r="O6252" t="str">
            <v/>
          </cell>
        </row>
        <row r="6253">
          <cell r="O6253" t="str">
            <v/>
          </cell>
        </row>
        <row r="6254">
          <cell r="O6254" t="str">
            <v/>
          </cell>
        </row>
        <row r="6255">
          <cell r="O6255" t="str">
            <v/>
          </cell>
        </row>
        <row r="6256">
          <cell r="O6256" t="str">
            <v/>
          </cell>
        </row>
        <row r="6257">
          <cell r="O6257" t="str">
            <v/>
          </cell>
        </row>
        <row r="6258">
          <cell r="O6258" t="str">
            <v/>
          </cell>
        </row>
        <row r="6259">
          <cell r="O6259" t="str">
            <v/>
          </cell>
        </row>
        <row r="6260">
          <cell r="O6260" t="str">
            <v/>
          </cell>
        </row>
        <row r="6261">
          <cell r="O6261" t="str">
            <v/>
          </cell>
        </row>
        <row r="6262">
          <cell r="O6262" t="str">
            <v/>
          </cell>
        </row>
        <row r="6263">
          <cell r="O6263" t="str">
            <v/>
          </cell>
        </row>
        <row r="6264">
          <cell r="O6264" t="str">
            <v/>
          </cell>
        </row>
        <row r="6265">
          <cell r="O6265" t="str">
            <v/>
          </cell>
        </row>
        <row r="6266">
          <cell r="O6266" t="str">
            <v/>
          </cell>
        </row>
        <row r="6267">
          <cell r="O6267" t="str">
            <v/>
          </cell>
        </row>
        <row r="6268">
          <cell r="O6268" t="str">
            <v/>
          </cell>
        </row>
        <row r="6269">
          <cell r="O6269" t="str">
            <v/>
          </cell>
        </row>
        <row r="6270">
          <cell r="O6270" t="str">
            <v/>
          </cell>
        </row>
        <row r="6271">
          <cell r="O6271" t="str">
            <v/>
          </cell>
        </row>
        <row r="6272">
          <cell r="O6272" t="str">
            <v/>
          </cell>
        </row>
        <row r="6273">
          <cell r="O6273" t="str">
            <v/>
          </cell>
        </row>
        <row r="6274">
          <cell r="O6274" t="str">
            <v/>
          </cell>
        </row>
        <row r="6275">
          <cell r="O6275" t="str">
            <v/>
          </cell>
        </row>
        <row r="6276">
          <cell r="O6276" t="str">
            <v/>
          </cell>
        </row>
        <row r="6277">
          <cell r="O6277" t="str">
            <v/>
          </cell>
        </row>
        <row r="6278">
          <cell r="O6278" t="str">
            <v/>
          </cell>
        </row>
        <row r="6279">
          <cell r="O6279" t="str">
            <v/>
          </cell>
        </row>
        <row r="6280">
          <cell r="O6280" t="str">
            <v/>
          </cell>
        </row>
        <row r="6281">
          <cell r="O6281" t="str">
            <v/>
          </cell>
        </row>
        <row r="6282">
          <cell r="O6282" t="str">
            <v/>
          </cell>
        </row>
        <row r="6283">
          <cell r="O6283" t="str">
            <v/>
          </cell>
        </row>
        <row r="6284">
          <cell r="O6284" t="str">
            <v/>
          </cell>
        </row>
        <row r="6285">
          <cell r="O6285" t="str">
            <v/>
          </cell>
        </row>
        <row r="6286">
          <cell r="O6286" t="str">
            <v/>
          </cell>
        </row>
        <row r="6287">
          <cell r="O6287" t="str">
            <v/>
          </cell>
        </row>
        <row r="6288">
          <cell r="O6288" t="str">
            <v/>
          </cell>
        </row>
        <row r="6289">
          <cell r="O6289" t="str">
            <v/>
          </cell>
        </row>
        <row r="6290">
          <cell r="O6290" t="str">
            <v/>
          </cell>
        </row>
        <row r="6291">
          <cell r="O6291" t="str">
            <v/>
          </cell>
        </row>
        <row r="6292">
          <cell r="O6292" t="str">
            <v/>
          </cell>
        </row>
        <row r="6293">
          <cell r="O6293" t="str">
            <v/>
          </cell>
        </row>
        <row r="6294">
          <cell r="O6294" t="str">
            <v/>
          </cell>
        </row>
        <row r="6295">
          <cell r="O6295" t="str">
            <v/>
          </cell>
        </row>
        <row r="6296">
          <cell r="O6296" t="str">
            <v/>
          </cell>
        </row>
        <row r="6297">
          <cell r="O6297" t="str">
            <v/>
          </cell>
        </row>
        <row r="6298">
          <cell r="O6298" t="str">
            <v/>
          </cell>
        </row>
        <row r="6299">
          <cell r="O6299" t="str">
            <v/>
          </cell>
        </row>
        <row r="6300">
          <cell r="O6300" t="str">
            <v/>
          </cell>
        </row>
        <row r="6301">
          <cell r="O6301" t="str">
            <v/>
          </cell>
        </row>
        <row r="6302">
          <cell r="O6302" t="str">
            <v/>
          </cell>
        </row>
        <row r="6303">
          <cell r="O6303" t="str">
            <v/>
          </cell>
        </row>
        <row r="6304">
          <cell r="O6304" t="str">
            <v/>
          </cell>
        </row>
        <row r="6305">
          <cell r="O6305" t="str">
            <v/>
          </cell>
        </row>
        <row r="6306">
          <cell r="O6306" t="str">
            <v/>
          </cell>
        </row>
        <row r="6307">
          <cell r="O6307" t="str">
            <v/>
          </cell>
        </row>
        <row r="6308">
          <cell r="O6308" t="str">
            <v/>
          </cell>
        </row>
        <row r="6309">
          <cell r="O6309" t="str">
            <v/>
          </cell>
        </row>
        <row r="6310">
          <cell r="O6310" t="str">
            <v/>
          </cell>
        </row>
        <row r="6311">
          <cell r="O6311" t="str">
            <v/>
          </cell>
        </row>
        <row r="6312">
          <cell r="O6312" t="str">
            <v/>
          </cell>
        </row>
        <row r="6313">
          <cell r="O6313" t="str">
            <v/>
          </cell>
        </row>
        <row r="6314">
          <cell r="O6314" t="str">
            <v/>
          </cell>
        </row>
        <row r="6315">
          <cell r="O6315" t="str">
            <v/>
          </cell>
        </row>
        <row r="6316">
          <cell r="O6316" t="str">
            <v/>
          </cell>
        </row>
        <row r="6317">
          <cell r="O6317" t="str">
            <v/>
          </cell>
        </row>
        <row r="6318">
          <cell r="O6318" t="str">
            <v/>
          </cell>
        </row>
        <row r="6319">
          <cell r="O6319" t="str">
            <v/>
          </cell>
        </row>
        <row r="6320">
          <cell r="O6320" t="str">
            <v/>
          </cell>
        </row>
        <row r="6321">
          <cell r="O6321" t="str">
            <v/>
          </cell>
        </row>
        <row r="6322">
          <cell r="O6322" t="str">
            <v/>
          </cell>
        </row>
        <row r="6323">
          <cell r="O6323" t="str">
            <v/>
          </cell>
        </row>
        <row r="6324">
          <cell r="O6324" t="str">
            <v/>
          </cell>
        </row>
        <row r="6325">
          <cell r="O6325" t="str">
            <v/>
          </cell>
        </row>
        <row r="6326">
          <cell r="O6326" t="str">
            <v/>
          </cell>
        </row>
        <row r="6327">
          <cell r="O6327" t="str">
            <v/>
          </cell>
        </row>
        <row r="6328">
          <cell r="O6328" t="str">
            <v/>
          </cell>
        </row>
        <row r="6329">
          <cell r="O6329" t="str">
            <v/>
          </cell>
        </row>
        <row r="6330">
          <cell r="O6330" t="str">
            <v/>
          </cell>
        </row>
        <row r="6331">
          <cell r="O6331" t="str">
            <v/>
          </cell>
        </row>
        <row r="6332">
          <cell r="O6332" t="str">
            <v/>
          </cell>
        </row>
        <row r="6333">
          <cell r="O6333" t="str">
            <v/>
          </cell>
        </row>
        <row r="6334">
          <cell r="O6334" t="str">
            <v/>
          </cell>
        </row>
        <row r="6335">
          <cell r="O6335" t="str">
            <v/>
          </cell>
        </row>
        <row r="6336">
          <cell r="O6336" t="str">
            <v/>
          </cell>
        </row>
        <row r="6337">
          <cell r="O6337" t="str">
            <v/>
          </cell>
        </row>
        <row r="6338">
          <cell r="O6338" t="str">
            <v/>
          </cell>
        </row>
        <row r="6339">
          <cell r="O6339" t="str">
            <v/>
          </cell>
        </row>
        <row r="6340">
          <cell r="O6340" t="str">
            <v/>
          </cell>
        </row>
        <row r="6341">
          <cell r="O6341" t="str">
            <v/>
          </cell>
        </row>
        <row r="6342">
          <cell r="O6342" t="str">
            <v/>
          </cell>
        </row>
        <row r="6343">
          <cell r="O6343" t="str">
            <v/>
          </cell>
        </row>
        <row r="6344">
          <cell r="O6344" t="str">
            <v/>
          </cell>
        </row>
        <row r="6345">
          <cell r="O6345" t="str">
            <v/>
          </cell>
        </row>
        <row r="6346">
          <cell r="O6346" t="str">
            <v/>
          </cell>
        </row>
        <row r="6347">
          <cell r="O6347" t="str">
            <v/>
          </cell>
        </row>
        <row r="6348">
          <cell r="O6348" t="str">
            <v/>
          </cell>
        </row>
        <row r="6349">
          <cell r="O6349" t="str">
            <v/>
          </cell>
        </row>
        <row r="6350">
          <cell r="O6350" t="str">
            <v/>
          </cell>
        </row>
        <row r="6351">
          <cell r="O6351" t="str">
            <v/>
          </cell>
        </row>
        <row r="6352">
          <cell r="O6352" t="str">
            <v/>
          </cell>
        </row>
        <row r="6353">
          <cell r="O6353" t="str">
            <v/>
          </cell>
        </row>
        <row r="6354">
          <cell r="O6354" t="str">
            <v/>
          </cell>
        </row>
        <row r="6355">
          <cell r="O6355" t="str">
            <v/>
          </cell>
        </row>
        <row r="6356">
          <cell r="O6356" t="str">
            <v/>
          </cell>
        </row>
        <row r="6357">
          <cell r="O6357" t="str">
            <v/>
          </cell>
        </row>
        <row r="6358">
          <cell r="O6358" t="str">
            <v/>
          </cell>
        </row>
        <row r="6359">
          <cell r="O6359" t="str">
            <v/>
          </cell>
        </row>
        <row r="6360">
          <cell r="O6360" t="str">
            <v/>
          </cell>
        </row>
        <row r="6361">
          <cell r="O6361" t="str">
            <v/>
          </cell>
        </row>
        <row r="6362">
          <cell r="O6362" t="str">
            <v/>
          </cell>
        </row>
        <row r="6363">
          <cell r="O6363" t="str">
            <v/>
          </cell>
        </row>
        <row r="6364">
          <cell r="O6364" t="str">
            <v/>
          </cell>
        </row>
        <row r="6365">
          <cell r="O6365" t="str">
            <v/>
          </cell>
        </row>
        <row r="6366">
          <cell r="O6366" t="str">
            <v/>
          </cell>
        </row>
        <row r="6367">
          <cell r="O6367" t="str">
            <v/>
          </cell>
        </row>
        <row r="6368">
          <cell r="O6368" t="str">
            <v/>
          </cell>
        </row>
        <row r="6369">
          <cell r="O6369" t="str">
            <v/>
          </cell>
        </row>
        <row r="6370">
          <cell r="O6370" t="str">
            <v/>
          </cell>
        </row>
        <row r="6371">
          <cell r="O6371" t="str">
            <v/>
          </cell>
        </row>
        <row r="6372">
          <cell r="O6372" t="str">
            <v/>
          </cell>
        </row>
        <row r="6373">
          <cell r="O6373" t="str">
            <v/>
          </cell>
        </row>
        <row r="6374">
          <cell r="O6374" t="str">
            <v/>
          </cell>
        </row>
        <row r="6375">
          <cell r="O6375" t="str">
            <v/>
          </cell>
        </row>
        <row r="6376">
          <cell r="O6376" t="str">
            <v/>
          </cell>
        </row>
        <row r="6377">
          <cell r="O6377" t="str">
            <v/>
          </cell>
        </row>
        <row r="6378">
          <cell r="O6378" t="str">
            <v/>
          </cell>
        </row>
        <row r="6379">
          <cell r="O6379" t="str">
            <v/>
          </cell>
        </row>
        <row r="6380">
          <cell r="O6380" t="str">
            <v/>
          </cell>
        </row>
        <row r="6381">
          <cell r="O6381" t="str">
            <v/>
          </cell>
        </row>
        <row r="6382">
          <cell r="O6382" t="str">
            <v/>
          </cell>
        </row>
        <row r="6383">
          <cell r="O6383" t="str">
            <v/>
          </cell>
        </row>
        <row r="6384">
          <cell r="O6384" t="str">
            <v/>
          </cell>
        </row>
        <row r="6385">
          <cell r="O6385" t="str">
            <v/>
          </cell>
        </row>
        <row r="6386">
          <cell r="O6386" t="str">
            <v/>
          </cell>
        </row>
        <row r="6387">
          <cell r="O6387" t="str">
            <v/>
          </cell>
        </row>
        <row r="6388">
          <cell r="O6388" t="str">
            <v/>
          </cell>
        </row>
        <row r="6389">
          <cell r="O6389" t="str">
            <v/>
          </cell>
        </row>
        <row r="6390">
          <cell r="O6390" t="str">
            <v/>
          </cell>
        </row>
        <row r="6391">
          <cell r="O6391" t="str">
            <v/>
          </cell>
        </row>
        <row r="6392">
          <cell r="O6392" t="str">
            <v/>
          </cell>
        </row>
        <row r="6393">
          <cell r="O6393" t="str">
            <v/>
          </cell>
        </row>
        <row r="6394">
          <cell r="O6394" t="str">
            <v/>
          </cell>
        </row>
        <row r="6395">
          <cell r="O6395" t="str">
            <v/>
          </cell>
        </row>
        <row r="6396">
          <cell r="O6396" t="str">
            <v/>
          </cell>
        </row>
        <row r="6397">
          <cell r="O6397" t="str">
            <v/>
          </cell>
        </row>
        <row r="6398">
          <cell r="O6398" t="str">
            <v/>
          </cell>
        </row>
        <row r="6399">
          <cell r="O6399" t="str">
            <v/>
          </cell>
        </row>
        <row r="6400">
          <cell r="O6400" t="str">
            <v/>
          </cell>
        </row>
        <row r="6401">
          <cell r="O6401" t="str">
            <v/>
          </cell>
        </row>
        <row r="6402">
          <cell r="O6402" t="str">
            <v/>
          </cell>
        </row>
        <row r="6403">
          <cell r="O6403" t="str">
            <v/>
          </cell>
        </row>
        <row r="6404">
          <cell r="O6404" t="str">
            <v/>
          </cell>
        </row>
        <row r="6405">
          <cell r="O6405" t="str">
            <v/>
          </cell>
        </row>
        <row r="6406">
          <cell r="O6406" t="str">
            <v/>
          </cell>
        </row>
        <row r="6407">
          <cell r="O6407" t="str">
            <v/>
          </cell>
        </row>
        <row r="6408">
          <cell r="O6408" t="str">
            <v/>
          </cell>
        </row>
        <row r="6409">
          <cell r="O6409" t="str">
            <v/>
          </cell>
        </row>
        <row r="6410">
          <cell r="O6410" t="str">
            <v/>
          </cell>
        </row>
        <row r="6411">
          <cell r="O6411" t="str">
            <v/>
          </cell>
        </row>
        <row r="6412">
          <cell r="O6412" t="str">
            <v/>
          </cell>
        </row>
        <row r="6413">
          <cell r="O6413" t="str">
            <v/>
          </cell>
        </row>
        <row r="6414">
          <cell r="O6414" t="str">
            <v/>
          </cell>
        </row>
        <row r="6415">
          <cell r="O6415" t="str">
            <v/>
          </cell>
        </row>
        <row r="6416">
          <cell r="O6416" t="str">
            <v/>
          </cell>
        </row>
        <row r="6417">
          <cell r="O6417" t="str">
            <v/>
          </cell>
        </row>
        <row r="6418">
          <cell r="O6418" t="str">
            <v/>
          </cell>
        </row>
        <row r="6419">
          <cell r="O6419" t="str">
            <v/>
          </cell>
        </row>
        <row r="6420">
          <cell r="O6420" t="str">
            <v/>
          </cell>
        </row>
        <row r="6421">
          <cell r="O6421" t="str">
            <v/>
          </cell>
        </row>
        <row r="6422">
          <cell r="O6422" t="str">
            <v/>
          </cell>
        </row>
        <row r="6423">
          <cell r="O6423" t="str">
            <v/>
          </cell>
        </row>
        <row r="6424">
          <cell r="O6424" t="str">
            <v/>
          </cell>
        </row>
        <row r="6425">
          <cell r="O6425" t="str">
            <v/>
          </cell>
        </row>
        <row r="6426">
          <cell r="O6426" t="str">
            <v/>
          </cell>
        </row>
        <row r="6427">
          <cell r="O6427" t="str">
            <v/>
          </cell>
        </row>
        <row r="6428">
          <cell r="O6428" t="str">
            <v/>
          </cell>
        </row>
        <row r="6429">
          <cell r="O6429" t="str">
            <v/>
          </cell>
        </row>
        <row r="6430">
          <cell r="O6430" t="str">
            <v/>
          </cell>
        </row>
        <row r="6431">
          <cell r="O6431" t="str">
            <v/>
          </cell>
        </row>
        <row r="6432">
          <cell r="O6432" t="str">
            <v/>
          </cell>
        </row>
        <row r="6433">
          <cell r="O6433" t="str">
            <v/>
          </cell>
        </row>
        <row r="6434">
          <cell r="O6434" t="str">
            <v/>
          </cell>
        </row>
        <row r="6435">
          <cell r="O6435" t="str">
            <v/>
          </cell>
        </row>
        <row r="6436">
          <cell r="O6436" t="str">
            <v/>
          </cell>
        </row>
        <row r="6437">
          <cell r="O6437" t="str">
            <v/>
          </cell>
        </row>
        <row r="6438">
          <cell r="O6438" t="str">
            <v/>
          </cell>
        </row>
        <row r="6439">
          <cell r="O6439" t="str">
            <v/>
          </cell>
        </row>
        <row r="6440">
          <cell r="O6440" t="str">
            <v/>
          </cell>
        </row>
        <row r="6441">
          <cell r="O6441" t="str">
            <v/>
          </cell>
        </row>
        <row r="6442">
          <cell r="O6442" t="str">
            <v/>
          </cell>
        </row>
        <row r="6443">
          <cell r="O6443" t="str">
            <v/>
          </cell>
        </row>
        <row r="6444">
          <cell r="O6444" t="str">
            <v/>
          </cell>
        </row>
        <row r="6445">
          <cell r="O6445" t="str">
            <v/>
          </cell>
        </row>
        <row r="6446">
          <cell r="O6446" t="str">
            <v/>
          </cell>
        </row>
        <row r="6447">
          <cell r="O6447" t="str">
            <v/>
          </cell>
        </row>
        <row r="6448">
          <cell r="O6448" t="str">
            <v/>
          </cell>
        </row>
        <row r="6449">
          <cell r="O6449" t="str">
            <v/>
          </cell>
        </row>
        <row r="6450">
          <cell r="O6450" t="str">
            <v/>
          </cell>
        </row>
        <row r="6451">
          <cell r="O6451" t="str">
            <v/>
          </cell>
        </row>
        <row r="6452">
          <cell r="O6452" t="str">
            <v/>
          </cell>
        </row>
        <row r="6453">
          <cell r="O6453" t="str">
            <v/>
          </cell>
        </row>
        <row r="6454">
          <cell r="O6454" t="str">
            <v/>
          </cell>
        </row>
        <row r="6455">
          <cell r="O6455" t="str">
            <v/>
          </cell>
        </row>
        <row r="6456">
          <cell r="O6456" t="str">
            <v/>
          </cell>
        </row>
        <row r="6457">
          <cell r="O6457" t="str">
            <v/>
          </cell>
        </row>
        <row r="6458">
          <cell r="O6458" t="str">
            <v/>
          </cell>
        </row>
        <row r="6459">
          <cell r="O6459" t="str">
            <v/>
          </cell>
        </row>
        <row r="6460">
          <cell r="O6460" t="str">
            <v/>
          </cell>
        </row>
        <row r="6461">
          <cell r="O6461" t="str">
            <v/>
          </cell>
        </row>
        <row r="6462">
          <cell r="O6462" t="str">
            <v/>
          </cell>
        </row>
        <row r="6463">
          <cell r="O6463" t="str">
            <v/>
          </cell>
        </row>
        <row r="6464">
          <cell r="O6464" t="str">
            <v/>
          </cell>
        </row>
        <row r="6465">
          <cell r="O6465" t="str">
            <v/>
          </cell>
        </row>
        <row r="6466">
          <cell r="O6466" t="str">
            <v/>
          </cell>
        </row>
        <row r="6467">
          <cell r="O6467" t="str">
            <v/>
          </cell>
        </row>
        <row r="6468">
          <cell r="O6468" t="str">
            <v/>
          </cell>
        </row>
        <row r="6469">
          <cell r="O6469" t="str">
            <v/>
          </cell>
        </row>
        <row r="6470">
          <cell r="O6470" t="str">
            <v/>
          </cell>
        </row>
        <row r="6471">
          <cell r="O6471" t="str">
            <v/>
          </cell>
        </row>
        <row r="6472">
          <cell r="O6472" t="str">
            <v/>
          </cell>
        </row>
        <row r="6473">
          <cell r="O6473" t="str">
            <v/>
          </cell>
        </row>
        <row r="6474">
          <cell r="O6474" t="str">
            <v/>
          </cell>
        </row>
        <row r="6475">
          <cell r="O6475" t="str">
            <v/>
          </cell>
        </row>
        <row r="6476">
          <cell r="O6476" t="str">
            <v/>
          </cell>
        </row>
        <row r="6477">
          <cell r="O6477" t="str">
            <v/>
          </cell>
        </row>
        <row r="6478">
          <cell r="O6478" t="str">
            <v/>
          </cell>
        </row>
        <row r="6479">
          <cell r="O6479" t="str">
            <v/>
          </cell>
        </row>
        <row r="6480">
          <cell r="O6480" t="str">
            <v/>
          </cell>
        </row>
        <row r="6481">
          <cell r="O6481" t="str">
            <v/>
          </cell>
        </row>
        <row r="6482">
          <cell r="O6482" t="str">
            <v/>
          </cell>
        </row>
        <row r="6483">
          <cell r="O6483" t="str">
            <v/>
          </cell>
        </row>
        <row r="6484">
          <cell r="O6484" t="str">
            <v/>
          </cell>
        </row>
        <row r="6485">
          <cell r="O6485" t="str">
            <v/>
          </cell>
        </row>
        <row r="6486">
          <cell r="O6486" t="str">
            <v/>
          </cell>
        </row>
        <row r="6487">
          <cell r="O6487" t="str">
            <v/>
          </cell>
        </row>
        <row r="6488">
          <cell r="O6488" t="str">
            <v/>
          </cell>
        </row>
        <row r="6489">
          <cell r="O6489" t="str">
            <v/>
          </cell>
        </row>
        <row r="6490">
          <cell r="O6490" t="str">
            <v/>
          </cell>
        </row>
        <row r="6491">
          <cell r="O6491" t="str">
            <v/>
          </cell>
        </row>
        <row r="6492">
          <cell r="O6492" t="str">
            <v/>
          </cell>
        </row>
        <row r="6493">
          <cell r="O6493" t="str">
            <v/>
          </cell>
        </row>
        <row r="6494">
          <cell r="O6494" t="str">
            <v/>
          </cell>
        </row>
        <row r="6495">
          <cell r="O6495" t="str">
            <v/>
          </cell>
        </row>
        <row r="6496">
          <cell r="O6496" t="str">
            <v/>
          </cell>
        </row>
        <row r="6497">
          <cell r="O6497" t="str">
            <v/>
          </cell>
        </row>
        <row r="6498">
          <cell r="O6498" t="str">
            <v/>
          </cell>
        </row>
        <row r="6499">
          <cell r="O6499" t="str">
            <v/>
          </cell>
        </row>
        <row r="6500">
          <cell r="O6500" t="str">
            <v/>
          </cell>
        </row>
        <row r="6501">
          <cell r="O6501" t="str">
            <v/>
          </cell>
        </row>
        <row r="6502">
          <cell r="O6502" t="str">
            <v/>
          </cell>
        </row>
        <row r="6503">
          <cell r="O6503" t="str">
            <v/>
          </cell>
        </row>
        <row r="6504">
          <cell r="O6504" t="str">
            <v/>
          </cell>
        </row>
        <row r="6505">
          <cell r="O6505" t="str">
            <v/>
          </cell>
        </row>
        <row r="6506">
          <cell r="O6506" t="str">
            <v/>
          </cell>
        </row>
        <row r="6507">
          <cell r="O6507" t="str">
            <v/>
          </cell>
        </row>
        <row r="6508">
          <cell r="O6508" t="str">
            <v/>
          </cell>
        </row>
        <row r="6509">
          <cell r="O6509" t="str">
            <v/>
          </cell>
        </row>
        <row r="6510">
          <cell r="O6510" t="str">
            <v/>
          </cell>
        </row>
        <row r="6511">
          <cell r="O6511" t="str">
            <v/>
          </cell>
        </row>
        <row r="6512">
          <cell r="O6512" t="str">
            <v/>
          </cell>
        </row>
        <row r="6513">
          <cell r="O6513" t="str">
            <v/>
          </cell>
        </row>
        <row r="6514">
          <cell r="O6514" t="str">
            <v/>
          </cell>
        </row>
        <row r="6515">
          <cell r="O6515" t="str">
            <v/>
          </cell>
        </row>
        <row r="6516">
          <cell r="O6516" t="str">
            <v/>
          </cell>
        </row>
        <row r="6517">
          <cell r="O6517" t="str">
            <v/>
          </cell>
        </row>
        <row r="6518">
          <cell r="O6518" t="str">
            <v/>
          </cell>
        </row>
        <row r="6519">
          <cell r="O6519" t="str">
            <v/>
          </cell>
        </row>
        <row r="6520">
          <cell r="O6520" t="str">
            <v/>
          </cell>
        </row>
        <row r="6521">
          <cell r="O6521" t="str">
            <v/>
          </cell>
        </row>
        <row r="6522">
          <cell r="O6522" t="str">
            <v/>
          </cell>
        </row>
        <row r="6523">
          <cell r="O6523" t="str">
            <v/>
          </cell>
        </row>
        <row r="6524">
          <cell r="O6524" t="str">
            <v/>
          </cell>
        </row>
        <row r="6525">
          <cell r="O6525" t="str">
            <v/>
          </cell>
        </row>
        <row r="6526">
          <cell r="O6526" t="str">
            <v/>
          </cell>
        </row>
        <row r="6527">
          <cell r="O6527" t="str">
            <v/>
          </cell>
        </row>
        <row r="6528">
          <cell r="O6528" t="str">
            <v/>
          </cell>
        </row>
        <row r="6529">
          <cell r="O6529" t="str">
            <v/>
          </cell>
        </row>
        <row r="6530">
          <cell r="O6530" t="str">
            <v/>
          </cell>
        </row>
        <row r="6531">
          <cell r="O6531" t="str">
            <v/>
          </cell>
        </row>
        <row r="6532">
          <cell r="O6532" t="str">
            <v/>
          </cell>
        </row>
        <row r="6533">
          <cell r="O6533" t="str">
            <v/>
          </cell>
        </row>
        <row r="6534">
          <cell r="O6534" t="str">
            <v/>
          </cell>
        </row>
        <row r="6535">
          <cell r="O6535" t="str">
            <v/>
          </cell>
        </row>
        <row r="6536">
          <cell r="O6536" t="str">
            <v/>
          </cell>
        </row>
        <row r="6537">
          <cell r="O6537" t="str">
            <v/>
          </cell>
        </row>
        <row r="6538">
          <cell r="O6538" t="str">
            <v/>
          </cell>
        </row>
        <row r="6539">
          <cell r="O6539" t="str">
            <v/>
          </cell>
        </row>
        <row r="6540">
          <cell r="O6540" t="str">
            <v/>
          </cell>
        </row>
        <row r="6541">
          <cell r="O6541" t="str">
            <v/>
          </cell>
        </row>
        <row r="6542">
          <cell r="O6542" t="str">
            <v/>
          </cell>
        </row>
        <row r="6543">
          <cell r="O6543" t="str">
            <v/>
          </cell>
        </row>
        <row r="6544">
          <cell r="O6544" t="str">
            <v/>
          </cell>
        </row>
        <row r="6545">
          <cell r="O6545" t="str">
            <v/>
          </cell>
        </row>
        <row r="6546">
          <cell r="O6546" t="str">
            <v/>
          </cell>
        </row>
        <row r="6547">
          <cell r="O6547" t="str">
            <v/>
          </cell>
        </row>
        <row r="6548">
          <cell r="O6548" t="str">
            <v/>
          </cell>
        </row>
        <row r="6549">
          <cell r="O6549" t="str">
            <v/>
          </cell>
        </row>
        <row r="6550">
          <cell r="O6550" t="str">
            <v/>
          </cell>
        </row>
        <row r="6551">
          <cell r="O6551" t="str">
            <v/>
          </cell>
        </row>
        <row r="6552">
          <cell r="O6552" t="str">
            <v/>
          </cell>
        </row>
        <row r="6553">
          <cell r="O6553" t="str">
            <v/>
          </cell>
        </row>
        <row r="6554">
          <cell r="O6554" t="str">
            <v/>
          </cell>
        </row>
        <row r="6555">
          <cell r="O6555" t="str">
            <v/>
          </cell>
        </row>
        <row r="6556">
          <cell r="O6556" t="str">
            <v/>
          </cell>
        </row>
        <row r="6557">
          <cell r="O6557" t="str">
            <v/>
          </cell>
        </row>
        <row r="6558">
          <cell r="O6558" t="str">
            <v/>
          </cell>
        </row>
        <row r="6559">
          <cell r="O6559" t="str">
            <v/>
          </cell>
        </row>
        <row r="6560">
          <cell r="O6560" t="str">
            <v/>
          </cell>
        </row>
        <row r="6561">
          <cell r="O6561" t="str">
            <v/>
          </cell>
        </row>
        <row r="6562">
          <cell r="O6562" t="str">
            <v/>
          </cell>
        </row>
        <row r="6563">
          <cell r="O6563" t="str">
            <v/>
          </cell>
        </row>
        <row r="6564">
          <cell r="O6564" t="str">
            <v/>
          </cell>
        </row>
        <row r="6565">
          <cell r="O6565" t="str">
            <v/>
          </cell>
        </row>
        <row r="6566">
          <cell r="O6566" t="str">
            <v/>
          </cell>
        </row>
        <row r="6567">
          <cell r="O6567" t="str">
            <v/>
          </cell>
        </row>
        <row r="6568">
          <cell r="O6568" t="str">
            <v/>
          </cell>
        </row>
        <row r="6569">
          <cell r="O6569" t="str">
            <v/>
          </cell>
        </row>
        <row r="6570">
          <cell r="O6570" t="str">
            <v/>
          </cell>
        </row>
        <row r="6571">
          <cell r="O6571" t="str">
            <v/>
          </cell>
        </row>
        <row r="6572">
          <cell r="O6572" t="str">
            <v/>
          </cell>
        </row>
        <row r="6573">
          <cell r="O6573" t="str">
            <v/>
          </cell>
        </row>
        <row r="6574">
          <cell r="O6574" t="str">
            <v/>
          </cell>
        </row>
        <row r="6575">
          <cell r="O6575" t="str">
            <v/>
          </cell>
        </row>
        <row r="6576">
          <cell r="O6576" t="str">
            <v/>
          </cell>
        </row>
        <row r="6577">
          <cell r="O6577" t="str">
            <v/>
          </cell>
        </row>
        <row r="6578">
          <cell r="O6578" t="str">
            <v/>
          </cell>
        </row>
        <row r="6579">
          <cell r="O6579" t="str">
            <v/>
          </cell>
        </row>
        <row r="6580">
          <cell r="O6580" t="str">
            <v/>
          </cell>
        </row>
        <row r="6581">
          <cell r="O6581" t="str">
            <v/>
          </cell>
        </row>
        <row r="6582">
          <cell r="O6582" t="str">
            <v/>
          </cell>
        </row>
        <row r="6583">
          <cell r="O6583" t="str">
            <v/>
          </cell>
        </row>
        <row r="6584">
          <cell r="O6584" t="str">
            <v/>
          </cell>
        </row>
        <row r="6585">
          <cell r="O6585" t="str">
            <v/>
          </cell>
        </row>
        <row r="6586">
          <cell r="O6586" t="str">
            <v/>
          </cell>
        </row>
        <row r="6587">
          <cell r="O6587" t="str">
            <v/>
          </cell>
        </row>
        <row r="6588">
          <cell r="O6588" t="str">
            <v/>
          </cell>
        </row>
        <row r="6589">
          <cell r="O6589" t="str">
            <v/>
          </cell>
        </row>
        <row r="6590">
          <cell r="O6590" t="str">
            <v/>
          </cell>
        </row>
        <row r="6591">
          <cell r="O6591" t="str">
            <v/>
          </cell>
        </row>
        <row r="6592">
          <cell r="O6592" t="str">
            <v/>
          </cell>
        </row>
        <row r="6593">
          <cell r="O6593" t="str">
            <v/>
          </cell>
        </row>
        <row r="6594">
          <cell r="O6594" t="str">
            <v/>
          </cell>
        </row>
        <row r="6595">
          <cell r="O6595" t="str">
            <v/>
          </cell>
        </row>
        <row r="6596">
          <cell r="O6596" t="str">
            <v/>
          </cell>
        </row>
        <row r="6597">
          <cell r="O6597" t="str">
            <v/>
          </cell>
        </row>
        <row r="6598">
          <cell r="O6598" t="str">
            <v/>
          </cell>
        </row>
        <row r="6599">
          <cell r="O6599" t="str">
            <v/>
          </cell>
        </row>
        <row r="6600">
          <cell r="O6600" t="str">
            <v/>
          </cell>
        </row>
        <row r="6601">
          <cell r="O6601" t="str">
            <v/>
          </cell>
        </row>
        <row r="6602">
          <cell r="O6602" t="str">
            <v/>
          </cell>
        </row>
        <row r="6603">
          <cell r="O6603" t="str">
            <v/>
          </cell>
        </row>
        <row r="6604">
          <cell r="O6604" t="str">
            <v/>
          </cell>
        </row>
        <row r="6605">
          <cell r="O6605" t="str">
            <v/>
          </cell>
        </row>
        <row r="6606">
          <cell r="O6606" t="str">
            <v/>
          </cell>
        </row>
        <row r="6607">
          <cell r="O6607" t="str">
            <v/>
          </cell>
        </row>
        <row r="6608">
          <cell r="O6608" t="str">
            <v/>
          </cell>
        </row>
        <row r="6609">
          <cell r="O6609" t="str">
            <v/>
          </cell>
        </row>
        <row r="6610">
          <cell r="O6610" t="str">
            <v/>
          </cell>
        </row>
        <row r="6611">
          <cell r="O6611" t="str">
            <v/>
          </cell>
        </row>
        <row r="6612">
          <cell r="O6612" t="str">
            <v/>
          </cell>
        </row>
        <row r="6613">
          <cell r="O6613" t="str">
            <v/>
          </cell>
        </row>
        <row r="6614">
          <cell r="O6614" t="str">
            <v/>
          </cell>
        </row>
        <row r="6615">
          <cell r="O6615" t="str">
            <v/>
          </cell>
        </row>
        <row r="6616">
          <cell r="O6616" t="str">
            <v/>
          </cell>
        </row>
        <row r="6617">
          <cell r="O6617" t="str">
            <v/>
          </cell>
        </row>
        <row r="6618">
          <cell r="O6618" t="str">
            <v/>
          </cell>
        </row>
        <row r="6619">
          <cell r="O6619" t="str">
            <v/>
          </cell>
        </row>
        <row r="6620">
          <cell r="O6620" t="str">
            <v/>
          </cell>
        </row>
        <row r="6621">
          <cell r="O6621" t="str">
            <v/>
          </cell>
        </row>
        <row r="6622">
          <cell r="O6622" t="str">
            <v/>
          </cell>
        </row>
        <row r="6623">
          <cell r="O6623" t="str">
            <v/>
          </cell>
        </row>
        <row r="6624">
          <cell r="O6624" t="str">
            <v/>
          </cell>
        </row>
        <row r="6625">
          <cell r="O6625" t="str">
            <v/>
          </cell>
        </row>
        <row r="6626">
          <cell r="O6626" t="str">
            <v/>
          </cell>
        </row>
        <row r="6627">
          <cell r="O6627" t="str">
            <v/>
          </cell>
        </row>
        <row r="6628">
          <cell r="O6628" t="str">
            <v/>
          </cell>
        </row>
        <row r="6629">
          <cell r="O6629" t="str">
            <v/>
          </cell>
        </row>
        <row r="6630">
          <cell r="O6630" t="str">
            <v/>
          </cell>
        </row>
        <row r="6631">
          <cell r="O6631" t="str">
            <v/>
          </cell>
        </row>
        <row r="6632">
          <cell r="O6632" t="str">
            <v/>
          </cell>
        </row>
        <row r="6633">
          <cell r="O6633" t="str">
            <v/>
          </cell>
        </row>
        <row r="6634">
          <cell r="O6634" t="str">
            <v/>
          </cell>
        </row>
        <row r="6635">
          <cell r="O6635" t="str">
            <v/>
          </cell>
        </row>
        <row r="6636">
          <cell r="O6636" t="str">
            <v/>
          </cell>
        </row>
        <row r="6637">
          <cell r="O6637" t="str">
            <v/>
          </cell>
        </row>
        <row r="6638">
          <cell r="O6638" t="str">
            <v/>
          </cell>
        </row>
        <row r="6639">
          <cell r="O6639" t="str">
            <v/>
          </cell>
        </row>
        <row r="6640">
          <cell r="O6640" t="str">
            <v/>
          </cell>
        </row>
        <row r="6641">
          <cell r="O6641" t="str">
            <v/>
          </cell>
        </row>
        <row r="6642">
          <cell r="O6642" t="str">
            <v/>
          </cell>
        </row>
        <row r="6643">
          <cell r="O6643" t="str">
            <v/>
          </cell>
        </row>
        <row r="6644">
          <cell r="O6644" t="str">
            <v/>
          </cell>
        </row>
        <row r="6645">
          <cell r="O6645" t="str">
            <v/>
          </cell>
        </row>
        <row r="6646">
          <cell r="O6646" t="str">
            <v/>
          </cell>
        </row>
        <row r="6647">
          <cell r="O6647" t="str">
            <v/>
          </cell>
        </row>
        <row r="6648">
          <cell r="O6648" t="str">
            <v/>
          </cell>
        </row>
        <row r="6649">
          <cell r="O6649" t="str">
            <v/>
          </cell>
        </row>
        <row r="6650">
          <cell r="O6650" t="str">
            <v/>
          </cell>
        </row>
        <row r="6651">
          <cell r="O6651" t="str">
            <v/>
          </cell>
        </row>
        <row r="6652">
          <cell r="O6652" t="str">
            <v/>
          </cell>
        </row>
        <row r="6653">
          <cell r="O6653" t="str">
            <v/>
          </cell>
        </row>
        <row r="6654">
          <cell r="O6654" t="str">
            <v/>
          </cell>
        </row>
        <row r="6655">
          <cell r="O6655" t="str">
            <v/>
          </cell>
        </row>
        <row r="6656">
          <cell r="O6656" t="str">
            <v/>
          </cell>
        </row>
        <row r="6657">
          <cell r="O6657" t="str">
            <v/>
          </cell>
        </row>
        <row r="6658">
          <cell r="O6658" t="str">
            <v/>
          </cell>
        </row>
        <row r="6659">
          <cell r="O6659" t="str">
            <v/>
          </cell>
        </row>
        <row r="6660">
          <cell r="O6660" t="str">
            <v/>
          </cell>
        </row>
        <row r="6661">
          <cell r="O6661" t="str">
            <v/>
          </cell>
        </row>
        <row r="6662">
          <cell r="O6662" t="str">
            <v/>
          </cell>
        </row>
        <row r="6663">
          <cell r="O6663" t="str">
            <v/>
          </cell>
        </row>
        <row r="6664">
          <cell r="O6664" t="str">
            <v/>
          </cell>
        </row>
        <row r="6665">
          <cell r="O6665" t="str">
            <v/>
          </cell>
        </row>
        <row r="6666">
          <cell r="O6666" t="str">
            <v/>
          </cell>
        </row>
        <row r="6667">
          <cell r="O6667" t="str">
            <v/>
          </cell>
        </row>
        <row r="6668">
          <cell r="O6668" t="str">
            <v/>
          </cell>
        </row>
        <row r="6669">
          <cell r="O6669" t="str">
            <v/>
          </cell>
        </row>
        <row r="6670">
          <cell r="O6670" t="str">
            <v/>
          </cell>
        </row>
        <row r="6671">
          <cell r="O6671" t="str">
            <v/>
          </cell>
        </row>
        <row r="6672">
          <cell r="O6672" t="str">
            <v/>
          </cell>
        </row>
        <row r="6673">
          <cell r="O6673" t="str">
            <v/>
          </cell>
        </row>
        <row r="6674">
          <cell r="O6674" t="str">
            <v/>
          </cell>
        </row>
        <row r="6675">
          <cell r="O6675" t="str">
            <v/>
          </cell>
        </row>
        <row r="6676">
          <cell r="O6676" t="str">
            <v/>
          </cell>
        </row>
        <row r="6677">
          <cell r="O6677" t="str">
            <v/>
          </cell>
        </row>
        <row r="6678">
          <cell r="O6678" t="str">
            <v/>
          </cell>
        </row>
        <row r="6679">
          <cell r="O6679" t="str">
            <v/>
          </cell>
        </row>
        <row r="6680">
          <cell r="O6680" t="str">
            <v/>
          </cell>
        </row>
        <row r="6681">
          <cell r="O6681" t="str">
            <v/>
          </cell>
        </row>
        <row r="6682">
          <cell r="O6682" t="str">
            <v/>
          </cell>
        </row>
        <row r="6683">
          <cell r="O6683" t="str">
            <v/>
          </cell>
        </row>
        <row r="6684">
          <cell r="O6684" t="str">
            <v/>
          </cell>
        </row>
        <row r="6685">
          <cell r="O6685" t="str">
            <v/>
          </cell>
        </row>
        <row r="6686">
          <cell r="O6686" t="str">
            <v/>
          </cell>
        </row>
        <row r="6687">
          <cell r="O6687" t="str">
            <v/>
          </cell>
        </row>
        <row r="6688">
          <cell r="O6688" t="str">
            <v/>
          </cell>
        </row>
        <row r="6689">
          <cell r="O6689" t="str">
            <v/>
          </cell>
        </row>
        <row r="6690">
          <cell r="O6690" t="str">
            <v/>
          </cell>
        </row>
        <row r="6691">
          <cell r="O6691" t="str">
            <v/>
          </cell>
        </row>
        <row r="6692">
          <cell r="O6692" t="str">
            <v/>
          </cell>
        </row>
        <row r="6693">
          <cell r="O6693" t="str">
            <v/>
          </cell>
        </row>
        <row r="6694">
          <cell r="O6694" t="str">
            <v/>
          </cell>
        </row>
        <row r="6695">
          <cell r="O6695" t="str">
            <v/>
          </cell>
        </row>
        <row r="6696">
          <cell r="O6696" t="str">
            <v/>
          </cell>
        </row>
        <row r="6697">
          <cell r="O6697" t="str">
            <v/>
          </cell>
        </row>
        <row r="6698">
          <cell r="O6698" t="str">
            <v/>
          </cell>
        </row>
        <row r="6699">
          <cell r="O6699" t="str">
            <v/>
          </cell>
        </row>
        <row r="6700">
          <cell r="O6700" t="str">
            <v/>
          </cell>
        </row>
        <row r="6701">
          <cell r="O6701" t="str">
            <v/>
          </cell>
        </row>
        <row r="6702">
          <cell r="O6702" t="str">
            <v/>
          </cell>
        </row>
        <row r="6703">
          <cell r="O6703" t="str">
            <v/>
          </cell>
        </row>
        <row r="6704">
          <cell r="O6704" t="str">
            <v/>
          </cell>
        </row>
        <row r="6705">
          <cell r="O6705" t="str">
            <v/>
          </cell>
        </row>
        <row r="6706">
          <cell r="O6706" t="str">
            <v/>
          </cell>
        </row>
        <row r="6707">
          <cell r="O6707" t="str">
            <v/>
          </cell>
        </row>
        <row r="6708">
          <cell r="O6708" t="str">
            <v/>
          </cell>
        </row>
        <row r="6709">
          <cell r="O6709" t="str">
            <v/>
          </cell>
        </row>
        <row r="6710">
          <cell r="O6710" t="str">
            <v/>
          </cell>
        </row>
        <row r="6711">
          <cell r="O6711" t="str">
            <v/>
          </cell>
        </row>
        <row r="6712">
          <cell r="O6712" t="str">
            <v/>
          </cell>
        </row>
        <row r="6713">
          <cell r="O6713" t="str">
            <v/>
          </cell>
        </row>
        <row r="6714">
          <cell r="O6714" t="str">
            <v/>
          </cell>
        </row>
        <row r="6715">
          <cell r="O6715" t="str">
            <v/>
          </cell>
        </row>
        <row r="6716">
          <cell r="O6716" t="str">
            <v/>
          </cell>
        </row>
        <row r="6717">
          <cell r="O6717" t="str">
            <v/>
          </cell>
        </row>
        <row r="6718">
          <cell r="O6718" t="str">
            <v/>
          </cell>
        </row>
        <row r="6719">
          <cell r="O6719" t="str">
            <v/>
          </cell>
        </row>
        <row r="6720">
          <cell r="O6720" t="str">
            <v/>
          </cell>
        </row>
        <row r="6721">
          <cell r="O6721" t="str">
            <v/>
          </cell>
        </row>
        <row r="6722">
          <cell r="O6722" t="str">
            <v/>
          </cell>
        </row>
        <row r="6723">
          <cell r="O6723" t="str">
            <v/>
          </cell>
        </row>
        <row r="6724">
          <cell r="O6724" t="str">
            <v/>
          </cell>
        </row>
        <row r="6725">
          <cell r="O6725" t="str">
            <v/>
          </cell>
        </row>
        <row r="6726">
          <cell r="O6726" t="str">
            <v/>
          </cell>
        </row>
        <row r="6727">
          <cell r="O6727" t="str">
            <v/>
          </cell>
        </row>
        <row r="6728">
          <cell r="O6728" t="str">
            <v/>
          </cell>
        </row>
        <row r="6729">
          <cell r="O6729" t="str">
            <v/>
          </cell>
        </row>
        <row r="6730">
          <cell r="O6730" t="str">
            <v/>
          </cell>
        </row>
        <row r="6731">
          <cell r="O6731" t="str">
            <v/>
          </cell>
        </row>
        <row r="6732">
          <cell r="O6732" t="str">
            <v/>
          </cell>
        </row>
        <row r="6733">
          <cell r="O6733" t="str">
            <v/>
          </cell>
        </row>
        <row r="6734">
          <cell r="O6734" t="str">
            <v/>
          </cell>
        </row>
        <row r="6735">
          <cell r="O6735" t="str">
            <v/>
          </cell>
        </row>
        <row r="6736">
          <cell r="O6736" t="str">
            <v/>
          </cell>
        </row>
        <row r="6737">
          <cell r="O6737" t="str">
            <v/>
          </cell>
        </row>
        <row r="6738">
          <cell r="O6738" t="str">
            <v/>
          </cell>
        </row>
        <row r="6739">
          <cell r="O6739" t="str">
            <v/>
          </cell>
        </row>
        <row r="6740">
          <cell r="O6740" t="str">
            <v/>
          </cell>
        </row>
        <row r="6741">
          <cell r="O6741" t="str">
            <v/>
          </cell>
        </row>
        <row r="6742">
          <cell r="O6742" t="str">
            <v/>
          </cell>
        </row>
        <row r="6743">
          <cell r="O6743" t="str">
            <v/>
          </cell>
        </row>
        <row r="6744">
          <cell r="O6744" t="str">
            <v/>
          </cell>
        </row>
        <row r="6745">
          <cell r="O6745" t="str">
            <v/>
          </cell>
        </row>
        <row r="6746">
          <cell r="O6746" t="str">
            <v/>
          </cell>
        </row>
        <row r="6747">
          <cell r="O6747" t="str">
            <v/>
          </cell>
        </row>
        <row r="6748">
          <cell r="O6748" t="str">
            <v/>
          </cell>
        </row>
        <row r="6749">
          <cell r="O6749" t="str">
            <v/>
          </cell>
        </row>
        <row r="6750">
          <cell r="O6750" t="str">
            <v/>
          </cell>
        </row>
        <row r="6751">
          <cell r="O6751" t="str">
            <v/>
          </cell>
        </row>
        <row r="6752">
          <cell r="O6752" t="str">
            <v/>
          </cell>
        </row>
        <row r="6753">
          <cell r="O6753" t="str">
            <v/>
          </cell>
        </row>
        <row r="6754">
          <cell r="O6754" t="str">
            <v/>
          </cell>
        </row>
        <row r="6755">
          <cell r="O6755" t="str">
            <v/>
          </cell>
        </row>
        <row r="6756">
          <cell r="O6756" t="str">
            <v/>
          </cell>
        </row>
        <row r="6757">
          <cell r="O6757" t="str">
            <v/>
          </cell>
        </row>
        <row r="6758">
          <cell r="O6758" t="str">
            <v/>
          </cell>
        </row>
        <row r="6759">
          <cell r="O6759" t="str">
            <v/>
          </cell>
        </row>
        <row r="6760">
          <cell r="O6760" t="str">
            <v/>
          </cell>
        </row>
        <row r="6761">
          <cell r="O6761" t="str">
            <v/>
          </cell>
        </row>
        <row r="6762">
          <cell r="O6762" t="str">
            <v/>
          </cell>
        </row>
        <row r="6763">
          <cell r="O6763" t="str">
            <v/>
          </cell>
        </row>
        <row r="6764">
          <cell r="O6764" t="str">
            <v/>
          </cell>
        </row>
        <row r="6765">
          <cell r="O6765" t="str">
            <v/>
          </cell>
        </row>
        <row r="6766">
          <cell r="O6766" t="str">
            <v/>
          </cell>
        </row>
        <row r="6767">
          <cell r="O6767" t="str">
            <v/>
          </cell>
        </row>
        <row r="6768">
          <cell r="O6768" t="str">
            <v/>
          </cell>
        </row>
        <row r="6769">
          <cell r="O6769" t="str">
            <v/>
          </cell>
        </row>
        <row r="6770">
          <cell r="O6770" t="str">
            <v/>
          </cell>
        </row>
        <row r="6771">
          <cell r="O6771" t="str">
            <v/>
          </cell>
        </row>
        <row r="6772">
          <cell r="O6772" t="str">
            <v/>
          </cell>
        </row>
        <row r="6773">
          <cell r="O6773" t="str">
            <v/>
          </cell>
        </row>
        <row r="6774">
          <cell r="O6774" t="str">
            <v/>
          </cell>
        </row>
        <row r="6775">
          <cell r="O6775" t="str">
            <v/>
          </cell>
        </row>
        <row r="6776">
          <cell r="O6776" t="str">
            <v/>
          </cell>
        </row>
        <row r="6777">
          <cell r="O6777" t="str">
            <v/>
          </cell>
        </row>
        <row r="6778">
          <cell r="O6778" t="str">
            <v/>
          </cell>
        </row>
        <row r="6779">
          <cell r="O6779" t="str">
            <v/>
          </cell>
        </row>
        <row r="6780">
          <cell r="O6780" t="str">
            <v/>
          </cell>
        </row>
        <row r="6781">
          <cell r="O6781" t="str">
            <v/>
          </cell>
        </row>
        <row r="6782">
          <cell r="O6782" t="str">
            <v/>
          </cell>
        </row>
        <row r="6783">
          <cell r="O6783" t="str">
            <v/>
          </cell>
        </row>
        <row r="6784">
          <cell r="O6784" t="str">
            <v/>
          </cell>
        </row>
        <row r="6785">
          <cell r="O6785" t="str">
            <v/>
          </cell>
        </row>
        <row r="6786">
          <cell r="O6786" t="str">
            <v/>
          </cell>
        </row>
        <row r="6787">
          <cell r="O6787" t="str">
            <v/>
          </cell>
        </row>
        <row r="6788">
          <cell r="O6788" t="str">
            <v/>
          </cell>
        </row>
        <row r="6789">
          <cell r="O6789" t="str">
            <v/>
          </cell>
        </row>
        <row r="6790">
          <cell r="O6790" t="str">
            <v/>
          </cell>
        </row>
        <row r="6791">
          <cell r="O6791" t="str">
            <v/>
          </cell>
        </row>
        <row r="6792">
          <cell r="O6792" t="str">
            <v/>
          </cell>
        </row>
        <row r="6793">
          <cell r="O6793" t="str">
            <v/>
          </cell>
        </row>
        <row r="6794">
          <cell r="O6794" t="str">
            <v/>
          </cell>
        </row>
        <row r="6795">
          <cell r="O6795" t="str">
            <v/>
          </cell>
        </row>
        <row r="6796">
          <cell r="O6796" t="str">
            <v/>
          </cell>
        </row>
        <row r="6797">
          <cell r="O6797" t="str">
            <v/>
          </cell>
        </row>
        <row r="6798">
          <cell r="O6798" t="str">
            <v/>
          </cell>
        </row>
        <row r="6799">
          <cell r="O6799" t="str">
            <v/>
          </cell>
        </row>
        <row r="6800">
          <cell r="O6800" t="str">
            <v/>
          </cell>
        </row>
        <row r="6801">
          <cell r="O6801" t="str">
            <v/>
          </cell>
        </row>
        <row r="6802">
          <cell r="O6802" t="str">
            <v/>
          </cell>
        </row>
        <row r="6803">
          <cell r="O6803" t="str">
            <v/>
          </cell>
        </row>
        <row r="6804">
          <cell r="O6804" t="str">
            <v/>
          </cell>
        </row>
        <row r="6805">
          <cell r="O6805" t="str">
            <v/>
          </cell>
        </row>
        <row r="6806">
          <cell r="O6806" t="str">
            <v/>
          </cell>
        </row>
        <row r="6807">
          <cell r="O6807" t="str">
            <v/>
          </cell>
        </row>
        <row r="6808">
          <cell r="O6808" t="str">
            <v/>
          </cell>
        </row>
        <row r="6809">
          <cell r="O6809" t="str">
            <v/>
          </cell>
        </row>
        <row r="6810">
          <cell r="O6810" t="str">
            <v/>
          </cell>
        </row>
        <row r="6811">
          <cell r="O6811" t="str">
            <v/>
          </cell>
        </row>
        <row r="6812">
          <cell r="O6812" t="str">
            <v/>
          </cell>
        </row>
        <row r="6813">
          <cell r="O6813" t="str">
            <v/>
          </cell>
        </row>
        <row r="6814">
          <cell r="O6814" t="str">
            <v/>
          </cell>
        </row>
        <row r="6815">
          <cell r="O6815" t="str">
            <v/>
          </cell>
        </row>
        <row r="6816">
          <cell r="O6816" t="str">
            <v/>
          </cell>
        </row>
        <row r="6817">
          <cell r="O6817" t="str">
            <v/>
          </cell>
        </row>
        <row r="6818">
          <cell r="O6818" t="str">
            <v/>
          </cell>
        </row>
        <row r="6819">
          <cell r="O6819" t="str">
            <v/>
          </cell>
        </row>
        <row r="6820">
          <cell r="O6820" t="str">
            <v/>
          </cell>
        </row>
        <row r="6821">
          <cell r="O6821" t="str">
            <v/>
          </cell>
        </row>
        <row r="6822">
          <cell r="O6822" t="str">
            <v/>
          </cell>
        </row>
        <row r="6823">
          <cell r="O6823" t="str">
            <v/>
          </cell>
        </row>
        <row r="6824">
          <cell r="O6824" t="str">
            <v/>
          </cell>
        </row>
        <row r="6825">
          <cell r="O6825" t="str">
            <v/>
          </cell>
        </row>
        <row r="6826">
          <cell r="O6826" t="str">
            <v/>
          </cell>
        </row>
        <row r="6827">
          <cell r="O6827" t="str">
            <v/>
          </cell>
        </row>
        <row r="6828">
          <cell r="O6828" t="str">
            <v/>
          </cell>
        </row>
        <row r="6829">
          <cell r="O6829" t="str">
            <v/>
          </cell>
        </row>
        <row r="6830">
          <cell r="O6830" t="str">
            <v/>
          </cell>
        </row>
        <row r="6831">
          <cell r="O6831" t="str">
            <v/>
          </cell>
        </row>
        <row r="6832">
          <cell r="O6832" t="str">
            <v/>
          </cell>
        </row>
        <row r="6833">
          <cell r="O6833" t="str">
            <v/>
          </cell>
        </row>
        <row r="6834">
          <cell r="O6834" t="str">
            <v/>
          </cell>
        </row>
        <row r="6835">
          <cell r="O6835" t="str">
            <v/>
          </cell>
        </row>
        <row r="6836">
          <cell r="O6836" t="str">
            <v/>
          </cell>
        </row>
        <row r="6837">
          <cell r="O6837" t="str">
            <v/>
          </cell>
        </row>
        <row r="6838">
          <cell r="O6838" t="str">
            <v/>
          </cell>
        </row>
        <row r="6839">
          <cell r="O6839" t="str">
            <v/>
          </cell>
        </row>
        <row r="6840">
          <cell r="O6840" t="str">
            <v/>
          </cell>
        </row>
        <row r="6841">
          <cell r="O6841" t="str">
            <v/>
          </cell>
        </row>
        <row r="6842">
          <cell r="O6842" t="str">
            <v/>
          </cell>
        </row>
        <row r="6843">
          <cell r="O6843" t="str">
            <v/>
          </cell>
        </row>
        <row r="6844">
          <cell r="O6844" t="str">
            <v/>
          </cell>
        </row>
        <row r="6845">
          <cell r="O6845" t="str">
            <v/>
          </cell>
        </row>
        <row r="6846">
          <cell r="O6846" t="str">
            <v/>
          </cell>
        </row>
        <row r="6847">
          <cell r="O6847" t="str">
            <v/>
          </cell>
        </row>
        <row r="6848">
          <cell r="O6848" t="str">
            <v/>
          </cell>
        </row>
        <row r="6849">
          <cell r="O6849" t="str">
            <v/>
          </cell>
        </row>
        <row r="6850">
          <cell r="O6850" t="str">
            <v/>
          </cell>
        </row>
        <row r="6851">
          <cell r="O6851" t="str">
            <v/>
          </cell>
        </row>
        <row r="6852">
          <cell r="O6852" t="str">
            <v/>
          </cell>
        </row>
        <row r="6853">
          <cell r="O6853" t="str">
            <v/>
          </cell>
        </row>
        <row r="6854">
          <cell r="O6854" t="str">
            <v/>
          </cell>
        </row>
        <row r="6855">
          <cell r="O6855" t="str">
            <v/>
          </cell>
        </row>
        <row r="6856">
          <cell r="O6856" t="str">
            <v/>
          </cell>
        </row>
        <row r="6857">
          <cell r="O6857" t="str">
            <v/>
          </cell>
        </row>
        <row r="6858">
          <cell r="O6858" t="str">
            <v/>
          </cell>
        </row>
        <row r="6859">
          <cell r="O6859" t="str">
            <v/>
          </cell>
        </row>
        <row r="6860">
          <cell r="O6860" t="str">
            <v/>
          </cell>
        </row>
        <row r="6861">
          <cell r="O6861" t="str">
            <v/>
          </cell>
        </row>
        <row r="6862">
          <cell r="O6862" t="str">
            <v/>
          </cell>
        </row>
        <row r="6863">
          <cell r="O6863" t="str">
            <v/>
          </cell>
        </row>
        <row r="6864">
          <cell r="O6864" t="str">
            <v/>
          </cell>
        </row>
        <row r="6865">
          <cell r="O6865" t="str">
            <v/>
          </cell>
        </row>
        <row r="6866">
          <cell r="O6866" t="str">
            <v/>
          </cell>
        </row>
        <row r="6867">
          <cell r="O6867" t="str">
            <v/>
          </cell>
        </row>
        <row r="6868">
          <cell r="O6868" t="str">
            <v/>
          </cell>
        </row>
        <row r="6869">
          <cell r="O6869" t="str">
            <v/>
          </cell>
        </row>
        <row r="6870">
          <cell r="O6870" t="str">
            <v/>
          </cell>
        </row>
        <row r="6871">
          <cell r="O6871" t="str">
            <v/>
          </cell>
        </row>
        <row r="6872">
          <cell r="O6872" t="str">
            <v/>
          </cell>
        </row>
        <row r="6873">
          <cell r="O6873" t="str">
            <v/>
          </cell>
        </row>
        <row r="6874">
          <cell r="O6874" t="str">
            <v/>
          </cell>
        </row>
        <row r="6875">
          <cell r="O6875" t="str">
            <v/>
          </cell>
        </row>
        <row r="6876">
          <cell r="O6876" t="str">
            <v/>
          </cell>
        </row>
        <row r="6877">
          <cell r="O6877" t="str">
            <v/>
          </cell>
        </row>
        <row r="6878">
          <cell r="O6878" t="str">
            <v/>
          </cell>
        </row>
        <row r="6879">
          <cell r="O6879" t="str">
            <v/>
          </cell>
        </row>
        <row r="6880">
          <cell r="O6880" t="str">
            <v/>
          </cell>
        </row>
        <row r="6881">
          <cell r="O6881" t="str">
            <v/>
          </cell>
        </row>
        <row r="6882">
          <cell r="O6882" t="str">
            <v/>
          </cell>
        </row>
        <row r="6883">
          <cell r="O6883" t="str">
            <v/>
          </cell>
        </row>
        <row r="6884">
          <cell r="O6884" t="str">
            <v/>
          </cell>
        </row>
        <row r="6885">
          <cell r="O6885" t="str">
            <v/>
          </cell>
        </row>
        <row r="6886">
          <cell r="O6886" t="str">
            <v/>
          </cell>
        </row>
        <row r="6887">
          <cell r="O6887" t="str">
            <v/>
          </cell>
        </row>
        <row r="6888">
          <cell r="O6888" t="str">
            <v/>
          </cell>
        </row>
        <row r="6889">
          <cell r="O6889" t="str">
            <v/>
          </cell>
        </row>
        <row r="6890">
          <cell r="O6890" t="str">
            <v/>
          </cell>
        </row>
        <row r="6891">
          <cell r="O6891" t="str">
            <v/>
          </cell>
        </row>
        <row r="6892">
          <cell r="O6892" t="str">
            <v/>
          </cell>
        </row>
        <row r="6893">
          <cell r="O6893" t="str">
            <v/>
          </cell>
        </row>
        <row r="6894">
          <cell r="O6894" t="str">
            <v/>
          </cell>
        </row>
        <row r="6895">
          <cell r="O6895" t="str">
            <v/>
          </cell>
        </row>
        <row r="6896">
          <cell r="O6896" t="str">
            <v/>
          </cell>
        </row>
        <row r="6897">
          <cell r="O6897" t="str">
            <v/>
          </cell>
        </row>
        <row r="6898">
          <cell r="O6898" t="str">
            <v/>
          </cell>
        </row>
        <row r="6899">
          <cell r="O6899" t="str">
            <v/>
          </cell>
        </row>
        <row r="6900">
          <cell r="O6900" t="str">
            <v/>
          </cell>
        </row>
        <row r="6901">
          <cell r="O6901" t="str">
            <v/>
          </cell>
        </row>
        <row r="6902">
          <cell r="O6902" t="str">
            <v/>
          </cell>
        </row>
        <row r="6903">
          <cell r="O6903" t="str">
            <v/>
          </cell>
        </row>
        <row r="6904">
          <cell r="O6904" t="str">
            <v/>
          </cell>
        </row>
        <row r="6905">
          <cell r="O6905" t="str">
            <v/>
          </cell>
        </row>
        <row r="6906">
          <cell r="O6906" t="str">
            <v/>
          </cell>
        </row>
        <row r="6907">
          <cell r="O6907" t="str">
            <v/>
          </cell>
        </row>
        <row r="6908">
          <cell r="O6908" t="str">
            <v/>
          </cell>
        </row>
        <row r="6909">
          <cell r="O6909" t="str">
            <v/>
          </cell>
        </row>
        <row r="6910">
          <cell r="O6910" t="str">
            <v/>
          </cell>
        </row>
        <row r="6911">
          <cell r="O6911" t="str">
            <v/>
          </cell>
        </row>
        <row r="6912">
          <cell r="O6912" t="str">
            <v/>
          </cell>
        </row>
        <row r="6913">
          <cell r="O6913" t="str">
            <v/>
          </cell>
        </row>
        <row r="6914">
          <cell r="O6914" t="str">
            <v/>
          </cell>
        </row>
        <row r="6915">
          <cell r="O6915" t="str">
            <v/>
          </cell>
        </row>
        <row r="6916">
          <cell r="O6916" t="str">
            <v/>
          </cell>
        </row>
        <row r="6917">
          <cell r="O6917" t="str">
            <v/>
          </cell>
        </row>
        <row r="6918">
          <cell r="O6918" t="str">
            <v/>
          </cell>
        </row>
        <row r="6919">
          <cell r="O6919" t="str">
            <v/>
          </cell>
        </row>
        <row r="6920">
          <cell r="O6920" t="str">
            <v/>
          </cell>
        </row>
        <row r="6921">
          <cell r="O6921" t="str">
            <v/>
          </cell>
        </row>
        <row r="6922">
          <cell r="O6922" t="str">
            <v/>
          </cell>
        </row>
        <row r="6923">
          <cell r="O6923" t="str">
            <v/>
          </cell>
        </row>
        <row r="6924">
          <cell r="O6924" t="str">
            <v/>
          </cell>
        </row>
        <row r="6925">
          <cell r="O6925" t="str">
            <v/>
          </cell>
        </row>
        <row r="6926">
          <cell r="O6926" t="str">
            <v/>
          </cell>
        </row>
        <row r="6927">
          <cell r="O6927" t="str">
            <v/>
          </cell>
        </row>
        <row r="6928">
          <cell r="O6928" t="str">
            <v/>
          </cell>
        </row>
        <row r="6929">
          <cell r="O6929" t="str">
            <v/>
          </cell>
        </row>
        <row r="6930">
          <cell r="O6930" t="str">
            <v/>
          </cell>
        </row>
        <row r="6931">
          <cell r="O6931" t="str">
            <v/>
          </cell>
        </row>
        <row r="6932">
          <cell r="O6932" t="str">
            <v/>
          </cell>
        </row>
        <row r="6933">
          <cell r="O6933" t="str">
            <v/>
          </cell>
        </row>
        <row r="6934">
          <cell r="O6934" t="str">
            <v/>
          </cell>
        </row>
        <row r="6935">
          <cell r="O6935" t="str">
            <v/>
          </cell>
        </row>
        <row r="6936">
          <cell r="O6936" t="str">
            <v/>
          </cell>
        </row>
        <row r="6937">
          <cell r="O6937" t="str">
            <v/>
          </cell>
        </row>
        <row r="6938">
          <cell r="O6938" t="str">
            <v/>
          </cell>
        </row>
        <row r="6939">
          <cell r="O6939" t="str">
            <v/>
          </cell>
        </row>
        <row r="6940">
          <cell r="O6940" t="str">
            <v/>
          </cell>
        </row>
        <row r="6941">
          <cell r="O6941" t="str">
            <v/>
          </cell>
        </row>
        <row r="6942">
          <cell r="O6942" t="str">
            <v/>
          </cell>
        </row>
        <row r="6943">
          <cell r="O6943" t="str">
            <v/>
          </cell>
        </row>
        <row r="6944">
          <cell r="O6944" t="str">
            <v/>
          </cell>
        </row>
        <row r="6945">
          <cell r="O6945" t="str">
            <v/>
          </cell>
        </row>
        <row r="6946">
          <cell r="O6946" t="str">
            <v/>
          </cell>
        </row>
        <row r="6947">
          <cell r="O6947" t="str">
            <v/>
          </cell>
        </row>
        <row r="6948">
          <cell r="O6948" t="str">
            <v/>
          </cell>
        </row>
        <row r="6949">
          <cell r="O6949" t="str">
            <v/>
          </cell>
        </row>
        <row r="6950">
          <cell r="O6950" t="str">
            <v/>
          </cell>
        </row>
        <row r="6951">
          <cell r="O6951" t="str">
            <v/>
          </cell>
        </row>
        <row r="6952">
          <cell r="O6952" t="str">
            <v/>
          </cell>
        </row>
        <row r="6953">
          <cell r="O6953" t="str">
            <v/>
          </cell>
        </row>
        <row r="6954">
          <cell r="O6954" t="str">
            <v/>
          </cell>
        </row>
        <row r="6955">
          <cell r="O6955" t="str">
            <v/>
          </cell>
        </row>
        <row r="6956">
          <cell r="O6956" t="str">
            <v/>
          </cell>
        </row>
        <row r="6957">
          <cell r="O6957" t="str">
            <v/>
          </cell>
        </row>
        <row r="6958">
          <cell r="O6958" t="str">
            <v/>
          </cell>
        </row>
        <row r="6959">
          <cell r="O6959" t="str">
            <v/>
          </cell>
        </row>
        <row r="6960">
          <cell r="O6960" t="str">
            <v/>
          </cell>
        </row>
        <row r="6961">
          <cell r="O6961" t="str">
            <v/>
          </cell>
        </row>
        <row r="6962">
          <cell r="O6962" t="str">
            <v/>
          </cell>
        </row>
        <row r="6963">
          <cell r="O6963" t="str">
            <v/>
          </cell>
        </row>
        <row r="6964">
          <cell r="O6964" t="str">
            <v/>
          </cell>
        </row>
        <row r="6965">
          <cell r="O6965" t="str">
            <v/>
          </cell>
        </row>
        <row r="6966">
          <cell r="O6966" t="str">
            <v/>
          </cell>
        </row>
        <row r="6967">
          <cell r="O6967" t="str">
            <v/>
          </cell>
        </row>
        <row r="6968">
          <cell r="O6968" t="str">
            <v/>
          </cell>
        </row>
        <row r="6969">
          <cell r="O6969" t="str">
            <v/>
          </cell>
        </row>
        <row r="6970">
          <cell r="O6970" t="str">
            <v/>
          </cell>
        </row>
        <row r="6971">
          <cell r="O6971" t="str">
            <v/>
          </cell>
        </row>
        <row r="6972">
          <cell r="O6972" t="str">
            <v/>
          </cell>
        </row>
        <row r="6973">
          <cell r="O6973" t="str">
            <v/>
          </cell>
        </row>
        <row r="6974">
          <cell r="O6974" t="str">
            <v/>
          </cell>
        </row>
        <row r="6975">
          <cell r="O6975" t="str">
            <v/>
          </cell>
        </row>
        <row r="6976">
          <cell r="O6976" t="str">
            <v/>
          </cell>
        </row>
        <row r="6977">
          <cell r="O6977" t="str">
            <v/>
          </cell>
        </row>
        <row r="6978">
          <cell r="O6978" t="str">
            <v/>
          </cell>
        </row>
        <row r="6979">
          <cell r="O6979" t="str">
            <v/>
          </cell>
        </row>
        <row r="6980">
          <cell r="O6980" t="str">
            <v/>
          </cell>
        </row>
        <row r="6981">
          <cell r="O6981" t="str">
            <v/>
          </cell>
        </row>
        <row r="6982">
          <cell r="O6982" t="str">
            <v/>
          </cell>
        </row>
        <row r="6983">
          <cell r="O6983" t="str">
            <v/>
          </cell>
        </row>
        <row r="6984">
          <cell r="O6984" t="str">
            <v/>
          </cell>
        </row>
        <row r="6985">
          <cell r="O6985" t="str">
            <v/>
          </cell>
        </row>
        <row r="6986">
          <cell r="O6986" t="str">
            <v/>
          </cell>
        </row>
        <row r="6987">
          <cell r="O6987" t="str">
            <v/>
          </cell>
        </row>
        <row r="6988">
          <cell r="O6988" t="str">
            <v/>
          </cell>
        </row>
        <row r="6989">
          <cell r="O6989" t="str">
            <v/>
          </cell>
        </row>
        <row r="6990">
          <cell r="O6990" t="str">
            <v/>
          </cell>
        </row>
        <row r="6991">
          <cell r="O6991" t="str">
            <v/>
          </cell>
        </row>
        <row r="6992">
          <cell r="O6992" t="str">
            <v/>
          </cell>
        </row>
        <row r="6993">
          <cell r="O6993" t="str">
            <v/>
          </cell>
        </row>
        <row r="6994">
          <cell r="O6994" t="str">
            <v/>
          </cell>
        </row>
        <row r="6995">
          <cell r="O6995" t="str">
            <v/>
          </cell>
        </row>
        <row r="6996">
          <cell r="O6996" t="str">
            <v/>
          </cell>
        </row>
        <row r="6997">
          <cell r="O6997" t="str">
            <v/>
          </cell>
        </row>
        <row r="6998">
          <cell r="O6998" t="str">
            <v/>
          </cell>
        </row>
        <row r="6999">
          <cell r="O6999" t="str">
            <v/>
          </cell>
        </row>
        <row r="7000">
          <cell r="O7000" t="str">
            <v/>
          </cell>
        </row>
        <row r="7001">
          <cell r="O7001" t="str">
            <v/>
          </cell>
        </row>
        <row r="7002">
          <cell r="O7002" t="str">
            <v/>
          </cell>
        </row>
        <row r="7003">
          <cell r="O7003" t="str">
            <v/>
          </cell>
        </row>
        <row r="7004">
          <cell r="O7004" t="str">
            <v/>
          </cell>
        </row>
        <row r="7005">
          <cell r="O7005" t="str">
            <v/>
          </cell>
        </row>
        <row r="7006">
          <cell r="O7006" t="str">
            <v/>
          </cell>
        </row>
        <row r="7007">
          <cell r="O7007" t="str">
            <v/>
          </cell>
        </row>
        <row r="7008">
          <cell r="O7008" t="str">
            <v/>
          </cell>
        </row>
        <row r="7009">
          <cell r="O7009" t="str">
            <v/>
          </cell>
        </row>
        <row r="7010">
          <cell r="O7010" t="str">
            <v/>
          </cell>
        </row>
        <row r="7011">
          <cell r="O7011" t="str">
            <v/>
          </cell>
        </row>
        <row r="7012">
          <cell r="O7012" t="str">
            <v/>
          </cell>
        </row>
        <row r="7013">
          <cell r="O7013" t="str">
            <v/>
          </cell>
        </row>
        <row r="7014">
          <cell r="O7014" t="str">
            <v/>
          </cell>
        </row>
        <row r="7015">
          <cell r="O7015" t="str">
            <v/>
          </cell>
        </row>
        <row r="7016">
          <cell r="O7016" t="str">
            <v/>
          </cell>
        </row>
        <row r="7017">
          <cell r="O7017" t="str">
            <v/>
          </cell>
        </row>
        <row r="7018">
          <cell r="O7018" t="str">
            <v/>
          </cell>
        </row>
        <row r="7019">
          <cell r="O7019" t="str">
            <v/>
          </cell>
        </row>
        <row r="7020">
          <cell r="O7020" t="str">
            <v/>
          </cell>
        </row>
        <row r="7021">
          <cell r="O7021" t="str">
            <v/>
          </cell>
        </row>
        <row r="7022">
          <cell r="O7022" t="str">
            <v/>
          </cell>
        </row>
        <row r="7023">
          <cell r="O7023" t="str">
            <v/>
          </cell>
        </row>
        <row r="7024">
          <cell r="O7024" t="str">
            <v/>
          </cell>
        </row>
        <row r="7025">
          <cell r="O7025" t="str">
            <v/>
          </cell>
        </row>
        <row r="7026">
          <cell r="O7026" t="str">
            <v/>
          </cell>
        </row>
        <row r="7027">
          <cell r="O7027" t="str">
            <v/>
          </cell>
        </row>
        <row r="7028">
          <cell r="O7028" t="str">
            <v/>
          </cell>
        </row>
        <row r="7029">
          <cell r="O7029" t="str">
            <v/>
          </cell>
        </row>
        <row r="7030">
          <cell r="O7030" t="str">
            <v/>
          </cell>
        </row>
        <row r="7031">
          <cell r="O7031" t="str">
            <v/>
          </cell>
        </row>
        <row r="7032">
          <cell r="O7032" t="str">
            <v/>
          </cell>
        </row>
        <row r="7033">
          <cell r="O7033" t="str">
            <v/>
          </cell>
        </row>
        <row r="7034">
          <cell r="O7034" t="str">
            <v/>
          </cell>
        </row>
        <row r="7035">
          <cell r="O7035" t="str">
            <v/>
          </cell>
        </row>
        <row r="7036">
          <cell r="O7036" t="str">
            <v/>
          </cell>
        </row>
        <row r="7037">
          <cell r="O7037" t="str">
            <v/>
          </cell>
        </row>
        <row r="7038">
          <cell r="O7038" t="str">
            <v/>
          </cell>
        </row>
        <row r="7039">
          <cell r="O7039" t="str">
            <v/>
          </cell>
        </row>
        <row r="7040">
          <cell r="O7040" t="str">
            <v/>
          </cell>
        </row>
        <row r="7041">
          <cell r="O7041" t="str">
            <v/>
          </cell>
        </row>
        <row r="7042">
          <cell r="O7042" t="str">
            <v/>
          </cell>
        </row>
        <row r="7043">
          <cell r="O7043" t="str">
            <v/>
          </cell>
        </row>
        <row r="7044">
          <cell r="O7044" t="str">
            <v/>
          </cell>
        </row>
        <row r="7045">
          <cell r="O7045" t="str">
            <v/>
          </cell>
        </row>
        <row r="7046">
          <cell r="O7046" t="str">
            <v/>
          </cell>
        </row>
        <row r="7047">
          <cell r="O7047" t="str">
            <v/>
          </cell>
        </row>
        <row r="7048">
          <cell r="O7048" t="str">
            <v/>
          </cell>
        </row>
        <row r="7049">
          <cell r="O7049" t="str">
            <v/>
          </cell>
        </row>
        <row r="7050">
          <cell r="O7050" t="str">
            <v/>
          </cell>
        </row>
        <row r="7051">
          <cell r="O7051" t="str">
            <v/>
          </cell>
        </row>
        <row r="7052">
          <cell r="O7052" t="str">
            <v/>
          </cell>
        </row>
        <row r="7053">
          <cell r="O7053" t="str">
            <v/>
          </cell>
        </row>
        <row r="7054">
          <cell r="O7054" t="str">
            <v/>
          </cell>
        </row>
        <row r="7055">
          <cell r="O7055" t="str">
            <v/>
          </cell>
        </row>
        <row r="7056">
          <cell r="O7056" t="str">
            <v/>
          </cell>
        </row>
        <row r="7057">
          <cell r="O7057" t="str">
            <v/>
          </cell>
        </row>
        <row r="7058">
          <cell r="O7058" t="str">
            <v/>
          </cell>
        </row>
        <row r="7059">
          <cell r="O7059" t="str">
            <v/>
          </cell>
        </row>
        <row r="7060">
          <cell r="O7060" t="str">
            <v/>
          </cell>
        </row>
        <row r="7061">
          <cell r="O7061" t="str">
            <v/>
          </cell>
        </row>
        <row r="7062">
          <cell r="O7062" t="str">
            <v/>
          </cell>
        </row>
        <row r="7063">
          <cell r="O7063" t="str">
            <v/>
          </cell>
        </row>
        <row r="7064">
          <cell r="O7064" t="str">
            <v/>
          </cell>
        </row>
        <row r="7065">
          <cell r="O7065" t="str">
            <v/>
          </cell>
        </row>
        <row r="7066">
          <cell r="O7066" t="str">
            <v/>
          </cell>
        </row>
        <row r="7067">
          <cell r="O7067" t="str">
            <v/>
          </cell>
        </row>
        <row r="7068">
          <cell r="O7068" t="str">
            <v/>
          </cell>
        </row>
        <row r="7069">
          <cell r="O7069" t="str">
            <v/>
          </cell>
        </row>
        <row r="7070">
          <cell r="O7070" t="str">
            <v/>
          </cell>
        </row>
        <row r="7071">
          <cell r="O7071" t="str">
            <v/>
          </cell>
        </row>
        <row r="7072">
          <cell r="O7072" t="str">
            <v/>
          </cell>
        </row>
        <row r="7073">
          <cell r="O7073" t="str">
            <v/>
          </cell>
        </row>
        <row r="7074">
          <cell r="O7074" t="str">
            <v/>
          </cell>
        </row>
        <row r="7075">
          <cell r="O7075" t="str">
            <v/>
          </cell>
        </row>
        <row r="7076">
          <cell r="O7076" t="str">
            <v/>
          </cell>
        </row>
        <row r="7077">
          <cell r="O7077" t="str">
            <v/>
          </cell>
        </row>
        <row r="7078">
          <cell r="O7078" t="str">
            <v/>
          </cell>
        </row>
        <row r="7079">
          <cell r="O7079" t="str">
            <v/>
          </cell>
        </row>
        <row r="7080">
          <cell r="O7080" t="str">
            <v/>
          </cell>
        </row>
        <row r="7081">
          <cell r="O7081" t="str">
            <v/>
          </cell>
        </row>
        <row r="7082">
          <cell r="O7082" t="str">
            <v/>
          </cell>
        </row>
        <row r="7083">
          <cell r="O7083" t="str">
            <v/>
          </cell>
        </row>
        <row r="7084">
          <cell r="O7084" t="str">
            <v/>
          </cell>
        </row>
        <row r="7085">
          <cell r="O7085" t="str">
            <v/>
          </cell>
        </row>
        <row r="7086">
          <cell r="O7086" t="str">
            <v/>
          </cell>
        </row>
        <row r="7087">
          <cell r="O7087" t="str">
            <v/>
          </cell>
        </row>
        <row r="7088">
          <cell r="O7088" t="str">
            <v/>
          </cell>
        </row>
        <row r="7089">
          <cell r="O7089" t="str">
            <v/>
          </cell>
        </row>
        <row r="7090">
          <cell r="O7090" t="str">
            <v/>
          </cell>
        </row>
        <row r="7091">
          <cell r="O7091" t="str">
            <v/>
          </cell>
        </row>
        <row r="7092">
          <cell r="O7092" t="str">
            <v/>
          </cell>
        </row>
        <row r="7093">
          <cell r="O7093" t="str">
            <v/>
          </cell>
        </row>
        <row r="7094">
          <cell r="O7094" t="str">
            <v/>
          </cell>
        </row>
        <row r="7095">
          <cell r="O7095" t="str">
            <v/>
          </cell>
        </row>
        <row r="7096">
          <cell r="O7096" t="str">
            <v/>
          </cell>
        </row>
        <row r="7097">
          <cell r="O7097" t="str">
            <v/>
          </cell>
        </row>
        <row r="7098">
          <cell r="O7098" t="str">
            <v/>
          </cell>
        </row>
        <row r="7099">
          <cell r="O7099" t="str">
            <v/>
          </cell>
        </row>
        <row r="7100">
          <cell r="O7100" t="str">
            <v/>
          </cell>
        </row>
        <row r="7101">
          <cell r="O7101" t="str">
            <v/>
          </cell>
        </row>
        <row r="7102">
          <cell r="O7102" t="str">
            <v/>
          </cell>
        </row>
        <row r="7103">
          <cell r="O7103" t="str">
            <v/>
          </cell>
        </row>
        <row r="7104">
          <cell r="O7104" t="str">
            <v/>
          </cell>
        </row>
        <row r="7105">
          <cell r="O7105" t="str">
            <v/>
          </cell>
        </row>
        <row r="7106">
          <cell r="O7106" t="str">
            <v/>
          </cell>
        </row>
        <row r="7107">
          <cell r="O7107" t="str">
            <v/>
          </cell>
        </row>
        <row r="7108">
          <cell r="O7108" t="str">
            <v/>
          </cell>
        </row>
        <row r="7109">
          <cell r="O7109" t="str">
            <v/>
          </cell>
        </row>
        <row r="7110">
          <cell r="O7110" t="str">
            <v/>
          </cell>
        </row>
        <row r="7111">
          <cell r="O7111" t="str">
            <v/>
          </cell>
        </row>
        <row r="7112">
          <cell r="O7112" t="str">
            <v/>
          </cell>
        </row>
        <row r="7113">
          <cell r="O7113" t="str">
            <v/>
          </cell>
        </row>
        <row r="7114">
          <cell r="O7114" t="str">
            <v/>
          </cell>
        </row>
        <row r="7115">
          <cell r="O7115" t="str">
            <v/>
          </cell>
        </row>
        <row r="7116">
          <cell r="O7116" t="str">
            <v/>
          </cell>
        </row>
        <row r="7117">
          <cell r="O7117" t="str">
            <v/>
          </cell>
        </row>
        <row r="7118">
          <cell r="O7118" t="str">
            <v/>
          </cell>
        </row>
        <row r="7119">
          <cell r="O7119" t="str">
            <v/>
          </cell>
        </row>
        <row r="7120">
          <cell r="O7120" t="str">
            <v/>
          </cell>
        </row>
        <row r="7121">
          <cell r="O7121" t="str">
            <v/>
          </cell>
        </row>
        <row r="7122">
          <cell r="O7122" t="str">
            <v/>
          </cell>
        </row>
        <row r="7123">
          <cell r="O7123" t="str">
            <v/>
          </cell>
        </row>
        <row r="7124">
          <cell r="O7124" t="str">
            <v/>
          </cell>
        </row>
        <row r="7125">
          <cell r="O7125" t="str">
            <v/>
          </cell>
        </row>
        <row r="7126">
          <cell r="O7126" t="str">
            <v/>
          </cell>
        </row>
        <row r="7127">
          <cell r="O7127" t="str">
            <v/>
          </cell>
        </row>
        <row r="7128">
          <cell r="O7128" t="str">
            <v/>
          </cell>
        </row>
        <row r="7129">
          <cell r="O7129" t="str">
            <v/>
          </cell>
        </row>
        <row r="7130">
          <cell r="O7130" t="str">
            <v/>
          </cell>
        </row>
        <row r="7131">
          <cell r="O7131" t="str">
            <v/>
          </cell>
        </row>
        <row r="7132">
          <cell r="O7132" t="str">
            <v/>
          </cell>
        </row>
        <row r="7133">
          <cell r="O7133" t="str">
            <v/>
          </cell>
        </row>
        <row r="7134">
          <cell r="O7134" t="str">
            <v/>
          </cell>
        </row>
        <row r="7135">
          <cell r="O7135" t="str">
            <v/>
          </cell>
        </row>
        <row r="7136">
          <cell r="O7136" t="str">
            <v/>
          </cell>
        </row>
        <row r="7137">
          <cell r="O7137" t="str">
            <v/>
          </cell>
        </row>
        <row r="7138">
          <cell r="O7138" t="str">
            <v/>
          </cell>
        </row>
        <row r="7139">
          <cell r="O7139" t="str">
            <v/>
          </cell>
        </row>
        <row r="7140">
          <cell r="O7140" t="str">
            <v/>
          </cell>
        </row>
        <row r="7141">
          <cell r="O7141" t="str">
            <v/>
          </cell>
        </row>
        <row r="7142">
          <cell r="O7142" t="str">
            <v/>
          </cell>
        </row>
        <row r="7143">
          <cell r="O7143" t="str">
            <v/>
          </cell>
        </row>
        <row r="7144">
          <cell r="O7144" t="str">
            <v/>
          </cell>
        </row>
        <row r="7145">
          <cell r="O7145" t="str">
            <v/>
          </cell>
        </row>
        <row r="7146">
          <cell r="O7146" t="str">
            <v/>
          </cell>
        </row>
        <row r="7147">
          <cell r="O7147" t="str">
            <v/>
          </cell>
        </row>
        <row r="7148">
          <cell r="O7148" t="str">
            <v/>
          </cell>
        </row>
        <row r="7149">
          <cell r="O7149" t="str">
            <v/>
          </cell>
        </row>
        <row r="7150">
          <cell r="O7150" t="str">
            <v/>
          </cell>
        </row>
        <row r="7151">
          <cell r="O7151" t="str">
            <v/>
          </cell>
        </row>
        <row r="7152">
          <cell r="O7152" t="str">
            <v/>
          </cell>
        </row>
        <row r="7153">
          <cell r="O7153" t="str">
            <v/>
          </cell>
        </row>
        <row r="7154">
          <cell r="O7154" t="str">
            <v/>
          </cell>
        </row>
        <row r="7155">
          <cell r="O7155" t="str">
            <v/>
          </cell>
        </row>
        <row r="7156">
          <cell r="O7156" t="str">
            <v/>
          </cell>
        </row>
        <row r="7157">
          <cell r="O7157" t="str">
            <v/>
          </cell>
        </row>
        <row r="7158">
          <cell r="O7158" t="str">
            <v/>
          </cell>
        </row>
        <row r="7159">
          <cell r="O7159" t="str">
            <v/>
          </cell>
        </row>
        <row r="7160">
          <cell r="O7160" t="str">
            <v/>
          </cell>
        </row>
        <row r="7161">
          <cell r="O7161" t="str">
            <v/>
          </cell>
        </row>
        <row r="7162">
          <cell r="O7162" t="str">
            <v/>
          </cell>
        </row>
        <row r="7163">
          <cell r="O7163" t="str">
            <v/>
          </cell>
        </row>
        <row r="7164">
          <cell r="O7164" t="str">
            <v/>
          </cell>
        </row>
        <row r="7165">
          <cell r="O7165" t="str">
            <v/>
          </cell>
        </row>
        <row r="7166">
          <cell r="O7166" t="str">
            <v/>
          </cell>
        </row>
        <row r="7167">
          <cell r="O7167" t="str">
            <v/>
          </cell>
        </row>
        <row r="7168">
          <cell r="O7168" t="str">
            <v/>
          </cell>
        </row>
        <row r="7169">
          <cell r="O7169" t="str">
            <v/>
          </cell>
        </row>
        <row r="7170">
          <cell r="O7170" t="str">
            <v/>
          </cell>
        </row>
        <row r="7171">
          <cell r="O7171" t="str">
            <v/>
          </cell>
        </row>
        <row r="7172">
          <cell r="O7172" t="str">
            <v/>
          </cell>
        </row>
        <row r="7173">
          <cell r="O7173" t="str">
            <v/>
          </cell>
        </row>
        <row r="7174">
          <cell r="O7174" t="str">
            <v/>
          </cell>
        </row>
        <row r="7175">
          <cell r="O7175" t="str">
            <v/>
          </cell>
        </row>
        <row r="7176">
          <cell r="O7176" t="str">
            <v/>
          </cell>
        </row>
        <row r="7177">
          <cell r="O7177" t="str">
            <v/>
          </cell>
        </row>
        <row r="7178">
          <cell r="O7178" t="str">
            <v/>
          </cell>
        </row>
        <row r="7179">
          <cell r="O7179" t="str">
            <v/>
          </cell>
        </row>
        <row r="7180">
          <cell r="O7180" t="str">
            <v/>
          </cell>
        </row>
        <row r="7181">
          <cell r="O7181" t="str">
            <v/>
          </cell>
        </row>
        <row r="7182">
          <cell r="O7182" t="str">
            <v/>
          </cell>
        </row>
        <row r="7183">
          <cell r="O7183" t="str">
            <v/>
          </cell>
        </row>
        <row r="7184">
          <cell r="O7184" t="str">
            <v/>
          </cell>
        </row>
        <row r="7185">
          <cell r="O7185" t="str">
            <v/>
          </cell>
        </row>
        <row r="7186">
          <cell r="O7186" t="str">
            <v/>
          </cell>
        </row>
        <row r="7187">
          <cell r="O7187" t="str">
            <v/>
          </cell>
        </row>
        <row r="7188">
          <cell r="O7188" t="str">
            <v/>
          </cell>
        </row>
        <row r="7189">
          <cell r="O7189" t="str">
            <v/>
          </cell>
        </row>
        <row r="7190">
          <cell r="O7190" t="str">
            <v/>
          </cell>
        </row>
        <row r="7191">
          <cell r="O7191" t="str">
            <v/>
          </cell>
        </row>
        <row r="7192">
          <cell r="O7192" t="str">
            <v/>
          </cell>
        </row>
        <row r="7193">
          <cell r="O7193" t="str">
            <v/>
          </cell>
        </row>
        <row r="7194">
          <cell r="O7194" t="str">
            <v/>
          </cell>
        </row>
        <row r="7195">
          <cell r="O7195" t="str">
            <v/>
          </cell>
        </row>
        <row r="7196">
          <cell r="O7196" t="str">
            <v/>
          </cell>
        </row>
        <row r="7197">
          <cell r="O7197" t="str">
            <v/>
          </cell>
        </row>
        <row r="7198">
          <cell r="O7198" t="str">
            <v/>
          </cell>
        </row>
        <row r="7199">
          <cell r="O7199" t="str">
            <v/>
          </cell>
        </row>
        <row r="7200">
          <cell r="O7200" t="str">
            <v/>
          </cell>
        </row>
        <row r="7201">
          <cell r="O7201" t="str">
            <v/>
          </cell>
        </row>
        <row r="7202">
          <cell r="O7202" t="str">
            <v/>
          </cell>
        </row>
        <row r="7203">
          <cell r="O7203" t="str">
            <v/>
          </cell>
        </row>
        <row r="7204">
          <cell r="O7204" t="str">
            <v/>
          </cell>
        </row>
        <row r="7205">
          <cell r="O7205" t="str">
            <v/>
          </cell>
        </row>
        <row r="7206">
          <cell r="O7206" t="str">
            <v/>
          </cell>
        </row>
        <row r="7207">
          <cell r="O7207" t="str">
            <v/>
          </cell>
        </row>
        <row r="7208">
          <cell r="O7208" t="str">
            <v/>
          </cell>
        </row>
        <row r="7209">
          <cell r="O7209" t="str">
            <v/>
          </cell>
        </row>
        <row r="7210">
          <cell r="O7210" t="str">
            <v/>
          </cell>
        </row>
        <row r="7211">
          <cell r="O7211" t="str">
            <v/>
          </cell>
        </row>
        <row r="7212">
          <cell r="O7212" t="str">
            <v/>
          </cell>
        </row>
        <row r="7213">
          <cell r="O7213" t="str">
            <v/>
          </cell>
        </row>
        <row r="7214">
          <cell r="O7214" t="str">
            <v/>
          </cell>
        </row>
        <row r="7215">
          <cell r="O7215" t="str">
            <v/>
          </cell>
        </row>
        <row r="7216">
          <cell r="O7216" t="str">
            <v/>
          </cell>
        </row>
        <row r="7217">
          <cell r="O7217" t="str">
            <v/>
          </cell>
        </row>
        <row r="7218">
          <cell r="O7218" t="str">
            <v/>
          </cell>
        </row>
        <row r="7219">
          <cell r="O7219" t="str">
            <v/>
          </cell>
        </row>
        <row r="7220">
          <cell r="O7220" t="str">
            <v/>
          </cell>
        </row>
        <row r="7221">
          <cell r="O7221" t="str">
            <v/>
          </cell>
        </row>
        <row r="7222">
          <cell r="O7222" t="str">
            <v/>
          </cell>
        </row>
        <row r="7223">
          <cell r="O7223" t="str">
            <v/>
          </cell>
        </row>
        <row r="7224">
          <cell r="O7224" t="str">
            <v/>
          </cell>
        </row>
        <row r="7225">
          <cell r="O7225" t="str">
            <v/>
          </cell>
        </row>
        <row r="7226">
          <cell r="O7226" t="str">
            <v/>
          </cell>
        </row>
        <row r="7227">
          <cell r="O7227" t="str">
            <v/>
          </cell>
        </row>
        <row r="7228">
          <cell r="O7228" t="str">
            <v/>
          </cell>
        </row>
        <row r="7229">
          <cell r="O7229" t="str">
            <v/>
          </cell>
        </row>
        <row r="7230">
          <cell r="O7230" t="str">
            <v/>
          </cell>
        </row>
        <row r="7231">
          <cell r="O7231" t="str">
            <v/>
          </cell>
        </row>
        <row r="7232">
          <cell r="O7232" t="str">
            <v/>
          </cell>
        </row>
        <row r="7233">
          <cell r="O7233" t="str">
            <v/>
          </cell>
        </row>
        <row r="7234">
          <cell r="O7234" t="str">
            <v/>
          </cell>
        </row>
        <row r="7235">
          <cell r="O7235" t="str">
            <v/>
          </cell>
        </row>
        <row r="7236">
          <cell r="O7236" t="str">
            <v/>
          </cell>
        </row>
        <row r="7237">
          <cell r="O7237" t="str">
            <v/>
          </cell>
        </row>
        <row r="7238">
          <cell r="O7238" t="str">
            <v/>
          </cell>
        </row>
        <row r="7239">
          <cell r="O7239" t="str">
            <v/>
          </cell>
        </row>
        <row r="7240">
          <cell r="O7240" t="str">
            <v/>
          </cell>
        </row>
        <row r="7241">
          <cell r="O7241" t="str">
            <v/>
          </cell>
        </row>
        <row r="7242">
          <cell r="O7242" t="str">
            <v/>
          </cell>
        </row>
        <row r="7243">
          <cell r="O7243" t="str">
            <v/>
          </cell>
        </row>
        <row r="7244">
          <cell r="O7244" t="str">
            <v/>
          </cell>
        </row>
        <row r="7245">
          <cell r="O7245" t="str">
            <v/>
          </cell>
        </row>
        <row r="7246">
          <cell r="O7246" t="str">
            <v/>
          </cell>
        </row>
        <row r="7247">
          <cell r="O7247" t="str">
            <v/>
          </cell>
        </row>
        <row r="7248">
          <cell r="O7248" t="str">
            <v/>
          </cell>
        </row>
        <row r="7249">
          <cell r="O7249" t="str">
            <v/>
          </cell>
        </row>
        <row r="7250">
          <cell r="O7250" t="str">
            <v/>
          </cell>
        </row>
        <row r="7251">
          <cell r="O7251" t="str">
            <v/>
          </cell>
        </row>
        <row r="7252">
          <cell r="O7252" t="str">
            <v/>
          </cell>
        </row>
        <row r="7253">
          <cell r="O7253" t="str">
            <v/>
          </cell>
        </row>
        <row r="7254">
          <cell r="O7254" t="str">
            <v/>
          </cell>
        </row>
        <row r="7255">
          <cell r="O7255" t="str">
            <v/>
          </cell>
        </row>
        <row r="7256">
          <cell r="O7256" t="str">
            <v/>
          </cell>
        </row>
        <row r="7257">
          <cell r="O7257" t="str">
            <v/>
          </cell>
        </row>
        <row r="7258">
          <cell r="O7258" t="str">
            <v/>
          </cell>
        </row>
        <row r="7259">
          <cell r="O7259" t="str">
            <v/>
          </cell>
        </row>
        <row r="7260">
          <cell r="O7260" t="str">
            <v/>
          </cell>
        </row>
        <row r="7261">
          <cell r="O7261" t="str">
            <v/>
          </cell>
        </row>
        <row r="7262">
          <cell r="O7262" t="str">
            <v/>
          </cell>
        </row>
        <row r="7263">
          <cell r="O7263" t="str">
            <v/>
          </cell>
        </row>
        <row r="7264">
          <cell r="O7264" t="str">
            <v/>
          </cell>
        </row>
        <row r="7265">
          <cell r="O7265" t="str">
            <v/>
          </cell>
        </row>
        <row r="7266">
          <cell r="O7266" t="str">
            <v/>
          </cell>
        </row>
        <row r="7267">
          <cell r="O7267" t="str">
            <v/>
          </cell>
        </row>
        <row r="7268">
          <cell r="O7268" t="str">
            <v/>
          </cell>
        </row>
        <row r="7269">
          <cell r="O7269" t="str">
            <v/>
          </cell>
        </row>
        <row r="7270">
          <cell r="O7270" t="str">
            <v/>
          </cell>
        </row>
        <row r="7271">
          <cell r="O7271" t="str">
            <v/>
          </cell>
        </row>
        <row r="7272">
          <cell r="O7272" t="str">
            <v/>
          </cell>
        </row>
        <row r="7273">
          <cell r="O7273" t="str">
            <v/>
          </cell>
        </row>
        <row r="7274">
          <cell r="O7274" t="str">
            <v/>
          </cell>
        </row>
        <row r="7275">
          <cell r="O7275" t="str">
            <v/>
          </cell>
        </row>
        <row r="7276">
          <cell r="O7276" t="str">
            <v/>
          </cell>
        </row>
        <row r="7277">
          <cell r="O7277" t="str">
            <v/>
          </cell>
        </row>
        <row r="7278">
          <cell r="O7278" t="str">
            <v/>
          </cell>
        </row>
        <row r="7279">
          <cell r="O7279" t="str">
            <v/>
          </cell>
        </row>
        <row r="7280">
          <cell r="O7280" t="str">
            <v/>
          </cell>
        </row>
        <row r="7281">
          <cell r="O7281" t="str">
            <v/>
          </cell>
        </row>
        <row r="7282">
          <cell r="O7282" t="str">
            <v/>
          </cell>
        </row>
        <row r="7283">
          <cell r="O7283" t="str">
            <v/>
          </cell>
        </row>
        <row r="7284">
          <cell r="O7284" t="str">
            <v/>
          </cell>
        </row>
        <row r="7285">
          <cell r="O7285" t="str">
            <v/>
          </cell>
        </row>
        <row r="7286">
          <cell r="O7286" t="str">
            <v/>
          </cell>
        </row>
        <row r="7287">
          <cell r="O7287" t="str">
            <v/>
          </cell>
        </row>
        <row r="7288">
          <cell r="O7288" t="str">
            <v/>
          </cell>
        </row>
        <row r="7289">
          <cell r="O7289" t="str">
            <v/>
          </cell>
        </row>
        <row r="7290">
          <cell r="O7290" t="str">
            <v/>
          </cell>
        </row>
        <row r="7291">
          <cell r="O7291" t="str">
            <v/>
          </cell>
        </row>
        <row r="7292">
          <cell r="O7292" t="str">
            <v/>
          </cell>
        </row>
        <row r="7293">
          <cell r="O7293" t="str">
            <v/>
          </cell>
        </row>
        <row r="7294">
          <cell r="O7294" t="str">
            <v/>
          </cell>
        </row>
        <row r="7295">
          <cell r="O7295" t="str">
            <v/>
          </cell>
        </row>
        <row r="7296">
          <cell r="O7296" t="str">
            <v/>
          </cell>
        </row>
        <row r="7297">
          <cell r="O7297" t="str">
            <v/>
          </cell>
        </row>
        <row r="7298">
          <cell r="O7298" t="str">
            <v/>
          </cell>
        </row>
        <row r="7299">
          <cell r="O7299" t="str">
            <v/>
          </cell>
        </row>
        <row r="7300">
          <cell r="O7300" t="str">
            <v/>
          </cell>
        </row>
        <row r="7301">
          <cell r="O7301" t="str">
            <v/>
          </cell>
        </row>
        <row r="7302">
          <cell r="O7302" t="str">
            <v/>
          </cell>
        </row>
        <row r="7303">
          <cell r="O7303" t="str">
            <v/>
          </cell>
        </row>
        <row r="7304">
          <cell r="O7304" t="str">
            <v/>
          </cell>
        </row>
        <row r="7305">
          <cell r="O7305" t="str">
            <v/>
          </cell>
        </row>
        <row r="7306">
          <cell r="O7306" t="str">
            <v/>
          </cell>
        </row>
        <row r="7307">
          <cell r="O7307" t="str">
            <v/>
          </cell>
        </row>
        <row r="7308">
          <cell r="O7308" t="str">
            <v/>
          </cell>
        </row>
        <row r="7309">
          <cell r="O7309" t="str">
            <v/>
          </cell>
        </row>
        <row r="7310">
          <cell r="O7310" t="str">
            <v/>
          </cell>
        </row>
        <row r="7311">
          <cell r="O7311" t="str">
            <v/>
          </cell>
        </row>
        <row r="7312">
          <cell r="O7312" t="str">
            <v/>
          </cell>
        </row>
        <row r="7313">
          <cell r="O7313" t="str">
            <v/>
          </cell>
        </row>
        <row r="7314">
          <cell r="O7314" t="str">
            <v/>
          </cell>
        </row>
        <row r="7315">
          <cell r="O7315" t="str">
            <v/>
          </cell>
        </row>
        <row r="7316">
          <cell r="O7316" t="str">
            <v/>
          </cell>
        </row>
        <row r="7317">
          <cell r="O7317" t="str">
            <v/>
          </cell>
        </row>
        <row r="7318">
          <cell r="O7318" t="str">
            <v/>
          </cell>
        </row>
        <row r="7319">
          <cell r="O7319" t="str">
            <v/>
          </cell>
        </row>
        <row r="7320">
          <cell r="O7320" t="str">
            <v/>
          </cell>
        </row>
        <row r="7321">
          <cell r="O7321" t="str">
            <v/>
          </cell>
        </row>
        <row r="7322">
          <cell r="O7322" t="str">
            <v/>
          </cell>
        </row>
        <row r="7323">
          <cell r="O7323" t="str">
            <v/>
          </cell>
        </row>
        <row r="7324">
          <cell r="O7324" t="str">
            <v/>
          </cell>
        </row>
        <row r="7325">
          <cell r="O7325" t="str">
            <v/>
          </cell>
        </row>
        <row r="7326">
          <cell r="O7326" t="str">
            <v/>
          </cell>
        </row>
        <row r="7327">
          <cell r="O7327" t="str">
            <v/>
          </cell>
        </row>
        <row r="7328">
          <cell r="O7328" t="str">
            <v/>
          </cell>
        </row>
        <row r="7329">
          <cell r="O7329" t="str">
            <v/>
          </cell>
        </row>
        <row r="7330">
          <cell r="O7330" t="str">
            <v/>
          </cell>
        </row>
        <row r="7331">
          <cell r="O7331" t="str">
            <v/>
          </cell>
        </row>
        <row r="7332">
          <cell r="O7332" t="str">
            <v/>
          </cell>
        </row>
        <row r="7333">
          <cell r="O7333" t="str">
            <v/>
          </cell>
        </row>
        <row r="7334">
          <cell r="O7334" t="str">
            <v/>
          </cell>
        </row>
        <row r="7335">
          <cell r="O7335" t="str">
            <v/>
          </cell>
        </row>
        <row r="7336">
          <cell r="O7336" t="str">
            <v/>
          </cell>
        </row>
        <row r="7337">
          <cell r="O7337" t="str">
            <v/>
          </cell>
        </row>
        <row r="7338">
          <cell r="O7338" t="str">
            <v/>
          </cell>
        </row>
        <row r="7339">
          <cell r="O7339" t="str">
            <v/>
          </cell>
        </row>
        <row r="7340">
          <cell r="O7340" t="str">
            <v/>
          </cell>
        </row>
        <row r="7341">
          <cell r="O7341" t="str">
            <v/>
          </cell>
        </row>
        <row r="7342">
          <cell r="O7342" t="str">
            <v/>
          </cell>
        </row>
        <row r="7343">
          <cell r="O7343" t="str">
            <v/>
          </cell>
        </row>
        <row r="7344">
          <cell r="O7344" t="str">
            <v/>
          </cell>
        </row>
        <row r="7345">
          <cell r="O7345" t="str">
            <v/>
          </cell>
        </row>
        <row r="7346">
          <cell r="O7346" t="str">
            <v/>
          </cell>
        </row>
        <row r="7347">
          <cell r="O7347" t="str">
            <v/>
          </cell>
        </row>
        <row r="7348">
          <cell r="O7348" t="str">
            <v/>
          </cell>
        </row>
        <row r="7349">
          <cell r="O7349" t="str">
            <v/>
          </cell>
        </row>
        <row r="7350">
          <cell r="O7350" t="str">
            <v/>
          </cell>
        </row>
        <row r="7351">
          <cell r="O7351" t="str">
            <v/>
          </cell>
        </row>
        <row r="7352">
          <cell r="O7352" t="str">
            <v/>
          </cell>
        </row>
        <row r="7353">
          <cell r="O7353" t="str">
            <v/>
          </cell>
        </row>
        <row r="7354">
          <cell r="O7354" t="str">
            <v/>
          </cell>
        </row>
        <row r="7355">
          <cell r="O7355" t="str">
            <v/>
          </cell>
        </row>
        <row r="7356">
          <cell r="O7356" t="str">
            <v/>
          </cell>
        </row>
        <row r="7357">
          <cell r="O7357" t="str">
            <v/>
          </cell>
        </row>
        <row r="7358">
          <cell r="O7358" t="str">
            <v/>
          </cell>
        </row>
        <row r="7359">
          <cell r="O7359" t="str">
            <v/>
          </cell>
        </row>
        <row r="7360">
          <cell r="O7360" t="str">
            <v/>
          </cell>
        </row>
        <row r="7361">
          <cell r="O7361" t="str">
            <v/>
          </cell>
        </row>
        <row r="7362">
          <cell r="O7362" t="str">
            <v/>
          </cell>
        </row>
        <row r="7363">
          <cell r="O7363" t="str">
            <v/>
          </cell>
        </row>
        <row r="7364">
          <cell r="O7364" t="str">
            <v/>
          </cell>
        </row>
        <row r="7365">
          <cell r="O7365" t="str">
            <v/>
          </cell>
        </row>
        <row r="7366">
          <cell r="O7366" t="str">
            <v/>
          </cell>
        </row>
        <row r="7367">
          <cell r="O7367" t="str">
            <v/>
          </cell>
        </row>
        <row r="7368">
          <cell r="O7368" t="str">
            <v/>
          </cell>
        </row>
        <row r="7369">
          <cell r="O7369" t="str">
            <v/>
          </cell>
        </row>
        <row r="7370">
          <cell r="O7370" t="str">
            <v/>
          </cell>
        </row>
        <row r="7371">
          <cell r="O7371" t="str">
            <v/>
          </cell>
        </row>
        <row r="7372">
          <cell r="O7372" t="str">
            <v/>
          </cell>
        </row>
        <row r="7373">
          <cell r="O7373" t="str">
            <v/>
          </cell>
        </row>
        <row r="7374">
          <cell r="O7374" t="str">
            <v/>
          </cell>
        </row>
        <row r="7375">
          <cell r="O7375" t="str">
            <v/>
          </cell>
        </row>
        <row r="7376">
          <cell r="O7376" t="str">
            <v/>
          </cell>
        </row>
        <row r="7377">
          <cell r="O7377" t="str">
            <v/>
          </cell>
        </row>
        <row r="7378">
          <cell r="O7378" t="str">
            <v/>
          </cell>
        </row>
        <row r="7379">
          <cell r="O7379" t="str">
            <v/>
          </cell>
        </row>
        <row r="7380">
          <cell r="O7380" t="str">
            <v/>
          </cell>
        </row>
        <row r="7381">
          <cell r="O7381" t="str">
            <v/>
          </cell>
        </row>
        <row r="7382">
          <cell r="O7382" t="str">
            <v/>
          </cell>
        </row>
        <row r="7383">
          <cell r="O7383" t="str">
            <v/>
          </cell>
        </row>
        <row r="7384">
          <cell r="O7384" t="str">
            <v/>
          </cell>
        </row>
        <row r="7385">
          <cell r="O7385" t="str">
            <v/>
          </cell>
        </row>
        <row r="7386">
          <cell r="O7386" t="str">
            <v/>
          </cell>
        </row>
        <row r="7387">
          <cell r="O7387" t="str">
            <v/>
          </cell>
        </row>
        <row r="7388">
          <cell r="O7388" t="str">
            <v/>
          </cell>
        </row>
        <row r="7389">
          <cell r="O7389" t="str">
            <v/>
          </cell>
        </row>
        <row r="7390">
          <cell r="O7390" t="str">
            <v/>
          </cell>
        </row>
        <row r="7391">
          <cell r="O7391" t="str">
            <v/>
          </cell>
        </row>
        <row r="7392">
          <cell r="O7392" t="str">
            <v/>
          </cell>
        </row>
        <row r="7393">
          <cell r="O7393" t="str">
            <v/>
          </cell>
        </row>
        <row r="7394">
          <cell r="O7394" t="str">
            <v/>
          </cell>
        </row>
        <row r="7395">
          <cell r="O7395" t="str">
            <v/>
          </cell>
        </row>
        <row r="7396">
          <cell r="O7396" t="str">
            <v/>
          </cell>
        </row>
        <row r="7397">
          <cell r="O7397" t="str">
            <v/>
          </cell>
        </row>
        <row r="7398">
          <cell r="O7398" t="str">
            <v/>
          </cell>
        </row>
        <row r="7399">
          <cell r="O7399" t="str">
            <v/>
          </cell>
        </row>
        <row r="7400">
          <cell r="O7400" t="str">
            <v/>
          </cell>
        </row>
        <row r="7401">
          <cell r="O7401" t="str">
            <v/>
          </cell>
        </row>
        <row r="7402">
          <cell r="O7402" t="str">
            <v/>
          </cell>
        </row>
        <row r="7403">
          <cell r="O7403" t="str">
            <v/>
          </cell>
        </row>
        <row r="7404">
          <cell r="O7404" t="str">
            <v/>
          </cell>
        </row>
        <row r="7405">
          <cell r="O7405" t="str">
            <v/>
          </cell>
        </row>
        <row r="7406">
          <cell r="O7406" t="str">
            <v/>
          </cell>
        </row>
        <row r="7407">
          <cell r="O7407" t="str">
            <v/>
          </cell>
        </row>
        <row r="7408">
          <cell r="O7408" t="str">
            <v/>
          </cell>
        </row>
        <row r="7409">
          <cell r="O7409" t="str">
            <v/>
          </cell>
        </row>
        <row r="7410">
          <cell r="O7410" t="str">
            <v/>
          </cell>
        </row>
        <row r="7411">
          <cell r="O7411" t="str">
            <v/>
          </cell>
        </row>
        <row r="7412">
          <cell r="O7412" t="str">
            <v/>
          </cell>
        </row>
        <row r="7413">
          <cell r="O7413" t="str">
            <v/>
          </cell>
        </row>
        <row r="7414">
          <cell r="O7414" t="str">
            <v/>
          </cell>
        </row>
        <row r="7415">
          <cell r="O7415" t="str">
            <v/>
          </cell>
        </row>
        <row r="7416">
          <cell r="O7416" t="str">
            <v/>
          </cell>
        </row>
        <row r="7417">
          <cell r="O7417" t="str">
            <v/>
          </cell>
        </row>
        <row r="7418">
          <cell r="O7418" t="str">
            <v/>
          </cell>
        </row>
        <row r="7419">
          <cell r="O7419" t="str">
            <v/>
          </cell>
        </row>
        <row r="7420">
          <cell r="O7420" t="str">
            <v/>
          </cell>
        </row>
        <row r="7421">
          <cell r="O7421" t="str">
            <v/>
          </cell>
        </row>
        <row r="7422">
          <cell r="O7422" t="str">
            <v/>
          </cell>
        </row>
        <row r="7423">
          <cell r="O7423" t="str">
            <v/>
          </cell>
        </row>
        <row r="7424">
          <cell r="O7424" t="str">
            <v/>
          </cell>
        </row>
        <row r="7425">
          <cell r="O7425" t="str">
            <v/>
          </cell>
        </row>
        <row r="7426">
          <cell r="O7426" t="str">
            <v/>
          </cell>
        </row>
        <row r="7427">
          <cell r="O7427" t="str">
            <v/>
          </cell>
        </row>
        <row r="7428">
          <cell r="O7428" t="str">
            <v/>
          </cell>
        </row>
        <row r="7429">
          <cell r="O7429" t="str">
            <v/>
          </cell>
        </row>
        <row r="7430">
          <cell r="O7430" t="str">
            <v/>
          </cell>
        </row>
        <row r="7431">
          <cell r="O7431" t="str">
            <v/>
          </cell>
        </row>
        <row r="7432">
          <cell r="O7432" t="str">
            <v/>
          </cell>
        </row>
        <row r="7433">
          <cell r="O7433" t="str">
            <v/>
          </cell>
        </row>
        <row r="7434">
          <cell r="O7434" t="str">
            <v/>
          </cell>
        </row>
        <row r="7435">
          <cell r="O7435" t="str">
            <v/>
          </cell>
        </row>
        <row r="7436">
          <cell r="O7436" t="str">
            <v/>
          </cell>
        </row>
        <row r="7437">
          <cell r="O7437" t="str">
            <v/>
          </cell>
        </row>
        <row r="7438">
          <cell r="O7438" t="str">
            <v/>
          </cell>
        </row>
        <row r="7439">
          <cell r="O7439" t="str">
            <v/>
          </cell>
        </row>
        <row r="7440">
          <cell r="O7440" t="str">
            <v/>
          </cell>
        </row>
        <row r="7441">
          <cell r="O7441" t="str">
            <v/>
          </cell>
        </row>
        <row r="7442">
          <cell r="O7442" t="str">
            <v/>
          </cell>
        </row>
        <row r="7443">
          <cell r="O7443" t="str">
            <v/>
          </cell>
        </row>
        <row r="7444">
          <cell r="O7444" t="str">
            <v/>
          </cell>
        </row>
        <row r="7445">
          <cell r="O7445" t="str">
            <v/>
          </cell>
        </row>
        <row r="7446">
          <cell r="O7446" t="str">
            <v/>
          </cell>
        </row>
        <row r="7447">
          <cell r="O7447" t="str">
            <v/>
          </cell>
        </row>
        <row r="7448">
          <cell r="O7448" t="str">
            <v/>
          </cell>
        </row>
        <row r="7449">
          <cell r="O7449" t="str">
            <v/>
          </cell>
        </row>
        <row r="7450">
          <cell r="O7450" t="str">
            <v/>
          </cell>
        </row>
        <row r="7451">
          <cell r="O7451" t="str">
            <v/>
          </cell>
        </row>
        <row r="7452">
          <cell r="O7452" t="str">
            <v/>
          </cell>
        </row>
        <row r="7453">
          <cell r="O7453" t="str">
            <v/>
          </cell>
        </row>
        <row r="7454">
          <cell r="O7454" t="str">
            <v/>
          </cell>
        </row>
        <row r="7455">
          <cell r="O7455" t="str">
            <v/>
          </cell>
        </row>
        <row r="7456">
          <cell r="O7456" t="str">
            <v/>
          </cell>
        </row>
        <row r="7457">
          <cell r="O7457" t="str">
            <v/>
          </cell>
        </row>
        <row r="7458">
          <cell r="O7458" t="str">
            <v/>
          </cell>
        </row>
        <row r="7459">
          <cell r="O7459" t="str">
            <v/>
          </cell>
        </row>
        <row r="7460">
          <cell r="O7460" t="str">
            <v/>
          </cell>
        </row>
        <row r="7461">
          <cell r="O7461" t="str">
            <v/>
          </cell>
        </row>
        <row r="7462">
          <cell r="O7462" t="str">
            <v/>
          </cell>
        </row>
        <row r="7463">
          <cell r="O7463" t="str">
            <v/>
          </cell>
        </row>
        <row r="7464">
          <cell r="O7464" t="str">
            <v/>
          </cell>
        </row>
        <row r="7465">
          <cell r="O7465" t="str">
            <v/>
          </cell>
        </row>
        <row r="7466">
          <cell r="O7466" t="str">
            <v/>
          </cell>
        </row>
        <row r="7467">
          <cell r="O7467" t="str">
            <v/>
          </cell>
        </row>
        <row r="7468">
          <cell r="O7468" t="str">
            <v/>
          </cell>
        </row>
        <row r="7469">
          <cell r="O7469" t="str">
            <v/>
          </cell>
        </row>
        <row r="7470">
          <cell r="O7470" t="str">
            <v/>
          </cell>
        </row>
        <row r="7471">
          <cell r="O7471" t="str">
            <v/>
          </cell>
        </row>
        <row r="7472">
          <cell r="O7472" t="str">
            <v/>
          </cell>
        </row>
        <row r="7473">
          <cell r="O7473" t="str">
            <v/>
          </cell>
        </row>
        <row r="7474">
          <cell r="O7474" t="str">
            <v/>
          </cell>
        </row>
        <row r="7475">
          <cell r="O7475" t="str">
            <v/>
          </cell>
        </row>
        <row r="7476">
          <cell r="O7476" t="str">
            <v/>
          </cell>
        </row>
        <row r="7477">
          <cell r="O7477" t="str">
            <v/>
          </cell>
        </row>
        <row r="7478">
          <cell r="O7478" t="str">
            <v/>
          </cell>
        </row>
        <row r="7479">
          <cell r="O7479" t="str">
            <v/>
          </cell>
        </row>
        <row r="7480">
          <cell r="O7480" t="str">
            <v/>
          </cell>
        </row>
        <row r="7481">
          <cell r="O7481" t="str">
            <v/>
          </cell>
        </row>
        <row r="7482">
          <cell r="O7482" t="str">
            <v/>
          </cell>
        </row>
        <row r="7483">
          <cell r="O7483" t="str">
            <v/>
          </cell>
        </row>
        <row r="7484">
          <cell r="O7484" t="str">
            <v/>
          </cell>
        </row>
        <row r="7485">
          <cell r="O7485" t="str">
            <v/>
          </cell>
        </row>
        <row r="7486">
          <cell r="O7486" t="str">
            <v/>
          </cell>
        </row>
        <row r="7487">
          <cell r="O7487" t="str">
            <v/>
          </cell>
        </row>
        <row r="7488">
          <cell r="O7488" t="str">
            <v/>
          </cell>
        </row>
        <row r="7489">
          <cell r="O7489" t="str">
            <v/>
          </cell>
        </row>
        <row r="7490">
          <cell r="O7490" t="str">
            <v/>
          </cell>
        </row>
        <row r="7491">
          <cell r="O7491" t="str">
            <v/>
          </cell>
        </row>
        <row r="7492">
          <cell r="O7492" t="str">
            <v/>
          </cell>
        </row>
        <row r="7493">
          <cell r="O7493" t="str">
            <v/>
          </cell>
        </row>
        <row r="7494">
          <cell r="O7494" t="str">
            <v/>
          </cell>
        </row>
        <row r="7495">
          <cell r="O7495" t="str">
            <v/>
          </cell>
        </row>
        <row r="7496">
          <cell r="O7496" t="str">
            <v/>
          </cell>
        </row>
        <row r="7497">
          <cell r="O7497" t="str">
            <v/>
          </cell>
        </row>
        <row r="7498">
          <cell r="O7498" t="str">
            <v/>
          </cell>
        </row>
        <row r="7499">
          <cell r="O7499" t="str">
            <v/>
          </cell>
        </row>
        <row r="7500">
          <cell r="O7500" t="str">
            <v/>
          </cell>
        </row>
        <row r="7501">
          <cell r="O7501" t="str">
            <v/>
          </cell>
        </row>
        <row r="7502">
          <cell r="O7502" t="str">
            <v/>
          </cell>
        </row>
        <row r="7503">
          <cell r="O7503" t="str">
            <v/>
          </cell>
        </row>
        <row r="7504">
          <cell r="O7504" t="str">
            <v/>
          </cell>
        </row>
        <row r="7505">
          <cell r="O7505" t="str">
            <v/>
          </cell>
        </row>
        <row r="7506">
          <cell r="O7506" t="str">
            <v/>
          </cell>
        </row>
        <row r="7507">
          <cell r="O7507" t="str">
            <v/>
          </cell>
        </row>
        <row r="7508">
          <cell r="O7508" t="str">
            <v/>
          </cell>
        </row>
        <row r="7509">
          <cell r="O7509" t="str">
            <v/>
          </cell>
        </row>
        <row r="7510">
          <cell r="O7510" t="str">
            <v/>
          </cell>
        </row>
        <row r="7511">
          <cell r="O7511" t="str">
            <v/>
          </cell>
        </row>
        <row r="7512">
          <cell r="O7512" t="str">
            <v/>
          </cell>
        </row>
        <row r="7513">
          <cell r="O7513" t="str">
            <v/>
          </cell>
        </row>
        <row r="7514">
          <cell r="O7514" t="str">
            <v/>
          </cell>
        </row>
        <row r="7515">
          <cell r="O7515" t="str">
            <v/>
          </cell>
        </row>
        <row r="7516">
          <cell r="O7516" t="str">
            <v/>
          </cell>
        </row>
        <row r="7517">
          <cell r="O7517" t="str">
            <v/>
          </cell>
        </row>
        <row r="7518">
          <cell r="O7518" t="str">
            <v/>
          </cell>
        </row>
        <row r="7519">
          <cell r="O7519" t="str">
            <v/>
          </cell>
        </row>
        <row r="7520">
          <cell r="O7520" t="str">
            <v/>
          </cell>
        </row>
        <row r="7521">
          <cell r="O7521" t="str">
            <v/>
          </cell>
        </row>
        <row r="7522">
          <cell r="O7522" t="str">
            <v/>
          </cell>
        </row>
        <row r="7523">
          <cell r="O7523" t="str">
            <v/>
          </cell>
        </row>
        <row r="7524">
          <cell r="O7524" t="str">
            <v/>
          </cell>
        </row>
        <row r="7525">
          <cell r="O7525" t="str">
            <v/>
          </cell>
        </row>
        <row r="7526">
          <cell r="O7526" t="str">
            <v/>
          </cell>
        </row>
        <row r="7527">
          <cell r="O7527" t="str">
            <v/>
          </cell>
        </row>
        <row r="7528">
          <cell r="O7528" t="str">
            <v/>
          </cell>
        </row>
        <row r="7529">
          <cell r="O7529" t="str">
            <v/>
          </cell>
        </row>
        <row r="7530">
          <cell r="O7530" t="str">
            <v/>
          </cell>
        </row>
        <row r="7531">
          <cell r="O7531" t="str">
            <v/>
          </cell>
        </row>
        <row r="7532">
          <cell r="O7532" t="str">
            <v/>
          </cell>
        </row>
        <row r="7533">
          <cell r="O7533" t="str">
            <v/>
          </cell>
        </row>
        <row r="7534">
          <cell r="O7534" t="str">
            <v/>
          </cell>
        </row>
        <row r="7535">
          <cell r="O7535" t="str">
            <v/>
          </cell>
        </row>
        <row r="7536">
          <cell r="O7536" t="str">
            <v/>
          </cell>
        </row>
        <row r="7537">
          <cell r="O7537" t="str">
            <v/>
          </cell>
        </row>
        <row r="7538">
          <cell r="O7538" t="str">
            <v/>
          </cell>
        </row>
        <row r="7539">
          <cell r="O7539" t="str">
            <v/>
          </cell>
        </row>
        <row r="7540">
          <cell r="O7540" t="str">
            <v/>
          </cell>
        </row>
        <row r="7541">
          <cell r="O7541" t="str">
            <v/>
          </cell>
        </row>
        <row r="7542">
          <cell r="O7542" t="str">
            <v/>
          </cell>
        </row>
        <row r="7543">
          <cell r="O7543" t="str">
            <v/>
          </cell>
        </row>
        <row r="7544">
          <cell r="O7544" t="str">
            <v/>
          </cell>
        </row>
        <row r="7545">
          <cell r="O7545" t="str">
            <v/>
          </cell>
        </row>
        <row r="7546">
          <cell r="O7546" t="str">
            <v/>
          </cell>
        </row>
        <row r="7547">
          <cell r="O7547" t="str">
            <v/>
          </cell>
        </row>
        <row r="7548">
          <cell r="O7548" t="str">
            <v/>
          </cell>
        </row>
        <row r="7549">
          <cell r="O7549" t="str">
            <v/>
          </cell>
        </row>
        <row r="7550">
          <cell r="O7550" t="str">
            <v/>
          </cell>
        </row>
        <row r="7551">
          <cell r="O7551" t="str">
            <v/>
          </cell>
        </row>
        <row r="7552">
          <cell r="O7552" t="str">
            <v/>
          </cell>
        </row>
        <row r="7553">
          <cell r="O7553" t="str">
            <v/>
          </cell>
        </row>
        <row r="7554">
          <cell r="O7554" t="str">
            <v/>
          </cell>
        </row>
        <row r="7555">
          <cell r="O7555" t="str">
            <v/>
          </cell>
        </row>
        <row r="7556">
          <cell r="O7556" t="str">
            <v/>
          </cell>
        </row>
        <row r="7557">
          <cell r="O7557" t="str">
            <v/>
          </cell>
        </row>
        <row r="7558">
          <cell r="O7558" t="str">
            <v/>
          </cell>
        </row>
        <row r="7559">
          <cell r="O7559" t="str">
            <v/>
          </cell>
        </row>
        <row r="7560">
          <cell r="O7560" t="str">
            <v/>
          </cell>
        </row>
        <row r="7561">
          <cell r="O7561" t="str">
            <v/>
          </cell>
        </row>
        <row r="7562">
          <cell r="O7562" t="str">
            <v/>
          </cell>
        </row>
        <row r="7563">
          <cell r="O7563" t="str">
            <v/>
          </cell>
        </row>
        <row r="7564">
          <cell r="O7564" t="str">
            <v/>
          </cell>
        </row>
        <row r="7565">
          <cell r="O7565" t="str">
            <v/>
          </cell>
        </row>
        <row r="7566">
          <cell r="O7566" t="str">
            <v/>
          </cell>
        </row>
        <row r="7567">
          <cell r="O7567" t="str">
            <v/>
          </cell>
        </row>
        <row r="7568">
          <cell r="O7568" t="str">
            <v/>
          </cell>
        </row>
        <row r="7569">
          <cell r="O7569" t="str">
            <v/>
          </cell>
        </row>
        <row r="7570">
          <cell r="O7570" t="str">
            <v/>
          </cell>
        </row>
        <row r="7571">
          <cell r="O7571" t="str">
            <v/>
          </cell>
        </row>
        <row r="7572">
          <cell r="O7572" t="str">
            <v/>
          </cell>
        </row>
        <row r="7573">
          <cell r="O7573" t="str">
            <v/>
          </cell>
        </row>
        <row r="7574">
          <cell r="O7574" t="str">
            <v/>
          </cell>
        </row>
        <row r="7575">
          <cell r="O7575" t="str">
            <v/>
          </cell>
        </row>
        <row r="7576">
          <cell r="O7576" t="str">
            <v/>
          </cell>
        </row>
        <row r="7577">
          <cell r="O7577" t="str">
            <v/>
          </cell>
        </row>
        <row r="7578">
          <cell r="O7578" t="str">
            <v/>
          </cell>
        </row>
        <row r="7579">
          <cell r="O7579" t="str">
            <v/>
          </cell>
        </row>
        <row r="7580">
          <cell r="O7580" t="str">
            <v/>
          </cell>
        </row>
        <row r="7581">
          <cell r="O7581" t="str">
            <v/>
          </cell>
        </row>
        <row r="7582">
          <cell r="O7582" t="str">
            <v/>
          </cell>
        </row>
        <row r="7583">
          <cell r="O7583" t="str">
            <v/>
          </cell>
        </row>
        <row r="7584">
          <cell r="O7584" t="str">
            <v/>
          </cell>
        </row>
        <row r="7585">
          <cell r="O7585" t="str">
            <v/>
          </cell>
        </row>
        <row r="7586">
          <cell r="O7586" t="str">
            <v/>
          </cell>
        </row>
        <row r="7587">
          <cell r="O7587" t="str">
            <v/>
          </cell>
        </row>
        <row r="7588">
          <cell r="O7588" t="str">
            <v/>
          </cell>
        </row>
        <row r="7589">
          <cell r="O7589" t="str">
            <v/>
          </cell>
        </row>
        <row r="7590">
          <cell r="O7590" t="str">
            <v/>
          </cell>
        </row>
        <row r="7591">
          <cell r="O7591" t="str">
            <v/>
          </cell>
        </row>
        <row r="7592">
          <cell r="O7592" t="str">
            <v/>
          </cell>
        </row>
        <row r="7593">
          <cell r="O7593" t="str">
            <v/>
          </cell>
        </row>
        <row r="7594">
          <cell r="O7594" t="str">
            <v/>
          </cell>
        </row>
        <row r="7595">
          <cell r="O7595" t="str">
            <v/>
          </cell>
        </row>
        <row r="7596">
          <cell r="O7596" t="str">
            <v/>
          </cell>
        </row>
        <row r="7597">
          <cell r="O7597" t="str">
            <v/>
          </cell>
        </row>
        <row r="7598">
          <cell r="O7598" t="str">
            <v/>
          </cell>
        </row>
        <row r="7599">
          <cell r="O7599" t="str">
            <v/>
          </cell>
        </row>
        <row r="7600">
          <cell r="O7600" t="str">
            <v/>
          </cell>
        </row>
        <row r="7601">
          <cell r="O7601" t="str">
            <v/>
          </cell>
        </row>
        <row r="7602">
          <cell r="O7602" t="str">
            <v/>
          </cell>
        </row>
        <row r="7603">
          <cell r="O7603" t="str">
            <v/>
          </cell>
        </row>
        <row r="7604">
          <cell r="O7604" t="str">
            <v/>
          </cell>
        </row>
        <row r="7605">
          <cell r="O7605" t="str">
            <v/>
          </cell>
        </row>
        <row r="7606">
          <cell r="O7606" t="str">
            <v/>
          </cell>
        </row>
        <row r="7607">
          <cell r="O7607" t="str">
            <v/>
          </cell>
        </row>
        <row r="7608">
          <cell r="O7608" t="str">
            <v/>
          </cell>
        </row>
        <row r="7609">
          <cell r="O7609" t="str">
            <v/>
          </cell>
        </row>
        <row r="7610">
          <cell r="O7610" t="str">
            <v/>
          </cell>
        </row>
        <row r="7611">
          <cell r="O7611" t="str">
            <v/>
          </cell>
        </row>
        <row r="7612">
          <cell r="O7612" t="str">
            <v/>
          </cell>
        </row>
        <row r="7613">
          <cell r="O7613" t="str">
            <v/>
          </cell>
        </row>
        <row r="7614">
          <cell r="O7614" t="str">
            <v/>
          </cell>
        </row>
        <row r="7615">
          <cell r="O7615" t="str">
            <v/>
          </cell>
        </row>
        <row r="7616">
          <cell r="O7616" t="str">
            <v/>
          </cell>
        </row>
        <row r="7617">
          <cell r="O7617" t="str">
            <v/>
          </cell>
        </row>
        <row r="7618">
          <cell r="O7618" t="str">
            <v/>
          </cell>
        </row>
        <row r="7619">
          <cell r="O7619" t="str">
            <v/>
          </cell>
        </row>
        <row r="7620">
          <cell r="O7620" t="str">
            <v/>
          </cell>
        </row>
        <row r="7621">
          <cell r="O7621" t="str">
            <v/>
          </cell>
        </row>
        <row r="7622">
          <cell r="O7622" t="str">
            <v/>
          </cell>
        </row>
        <row r="7623">
          <cell r="O7623" t="str">
            <v/>
          </cell>
        </row>
        <row r="7624">
          <cell r="O7624" t="str">
            <v/>
          </cell>
        </row>
        <row r="7625">
          <cell r="O7625" t="str">
            <v/>
          </cell>
        </row>
        <row r="7626">
          <cell r="O7626" t="str">
            <v/>
          </cell>
        </row>
        <row r="7627">
          <cell r="O7627" t="str">
            <v/>
          </cell>
        </row>
        <row r="7628">
          <cell r="O7628" t="str">
            <v/>
          </cell>
        </row>
        <row r="7629">
          <cell r="O7629" t="str">
            <v/>
          </cell>
        </row>
        <row r="7630">
          <cell r="O7630" t="str">
            <v/>
          </cell>
        </row>
        <row r="7631">
          <cell r="O7631" t="str">
            <v/>
          </cell>
        </row>
        <row r="7632">
          <cell r="O7632" t="str">
            <v/>
          </cell>
        </row>
        <row r="7633">
          <cell r="O7633" t="str">
            <v/>
          </cell>
        </row>
        <row r="7634">
          <cell r="O7634" t="str">
            <v/>
          </cell>
        </row>
        <row r="7635">
          <cell r="O7635" t="str">
            <v/>
          </cell>
        </row>
        <row r="7636">
          <cell r="O7636" t="str">
            <v/>
          </cell>
        </row>
        <row r="7637">
          <cell r="O7637" t="str">
            <v/>
          </cell>
        </row>
        <row r="7638">
          <cell r="O7638" t="str">
            <v/>
          </cell>
        </row>
        <row r="7639">
          <cell r="O7639" t="str">
            <v/>
          </cell>
        </row>
        <row r="7640">
          <cell r="O7640" t="str">
            <v/>
          </cell>
        </row>
        <row r="7641">
          <cell r="O7641" t="str">
            <v/>
          </cell>
        </row>
        <row r="7642">
          <cell r="O7642" t="str">
            <v/>
          </cell>
        </row>
        <row r="7643">
          <cell r="O7643" t="str">
            <v/>
          </cell>
        </row>
        <row r="7644">
          <cell r="O7644" t="str">
            <v/>
          </cell>
        </row>
        <row r="7645">
          <cell r="O7645" t="str">
            <v/>
          </cell>
        </row>
        <row r="7646">
          <cell r="O7646" t="str">
            <v/>
          </cell>
        </row>
        <row r="7647">
          <cell r="O7647" t="str">
            <v/>
          </cell>
        </row>
        <row r="7648">
          <cell r="O7648" t="str">
            <v/>
          </cell>
        </row>
        <row r="7649">
          <cell r="O7649" t="str">
            <v/>
          </cell>
        </row>
        <row r="7650">
          <cell r="O7650" t="str">
            <v/>
          </cell>
        </row>
        <row r="7651">
          <cell r="O7651" t="str">
            <v/>
          </cell>
        </row>
        <row r="7652">
          <cell r="O7652" t="str">
            <v/>
          </cell>
        </row>
        <row r="7653">
          <cell r="O7653" t="str">
            <v/>
          </cell>
        </row>
        <row r="7654">
          <cell r="O7654" t="str">
            <v/>
          </cell>
        </row>
        <row r="7655">
          <cell r="O7655" t="str">
            <v/>
          </cell>
        </row>
        <row r="7656">
          <cell r="O7656" t="str">
            <v/>
          </cell>
        </row>
        <row r="7657">
          <cell r="O7657" t="str">
            <v/>
          </cell>
        </row>
        <row r="7658">
          <cell r="O7658" t="str">
            <v/>
          </cell>
        </row>
        <row r="7659">
          <cell r="O7659" t="str">
            <v/>
          </cell>
        </row>
        <row r="7660">
          <cell r="O7660" t="str">
            <v/>
          </cell>
        </row>
        <row r="7661">
          <cell r="O7661" t="str">
            <v/>
          </cell>
        </row>
        <row r="7662">
          <cell r="O7662" t="str">
            <v/>
          </cell>
        </row>
        <row r="7663">
          <cell r="O7663" t="str">
            <v/>
          </cell>
        </row>
        <row r="7664">
          <cell r="O7664" t="str">
            <v/>
          </cell>
        </row>
        <row r="7665">
          <cell r="O7665" t="str">
            <v/>
          </cell>
        </row>
        <row r="7666">
          <cell r="O7666" t="str">
            <v/>
          </cell>
        </row>
        <row r="7667">
          <cell r="O7667" t="str">
            <v/>
          </cell>
        </row>
        <row r="7668">
          <cell r="O7668" t="str">
            <v/>
          </cell>
        </row>
        <row r="7669">
          <cell r="O7669" t="str">
            <v/>
          </cell>
        </row>
        <row r="7670">
          <cell r="O7670" t="str">
            <v/>
          </cell>
        </row>
        <row r="7671">
          <cell r="O7671" t="str">
            <v/>
          </cell>
        </row>
        <row r="7672">
          <cell r="O7672" t="str">
            <v/>
          </cell>
        </row>
        <row r="7673">
          <cell r="O7673" t="str">
            <v/>
          </cell>
        </row>
        <row r="7674">
          <cell r="O7674" t="str">
            <v/>
          </cell>
        </row>
        <row r="7675">
          <cell r="O7675" t="str">
            <v/>
          </cell>
        </row>
        <row r="7676">
          <cell r="O7676" t="str">
            <v/>
          </cell>
        </row>
        <row r="7677">
          <cell r="O7677" t="str">
            <v/>
          </cell>
        </row>
        <row r="7678">
          <cell r="O7678" t="str">
            <v/>
          </cell>
        </row>
        <row r="7679">
          <cell r="O7679" t="str">
            <v/>
          </cell>
        </row>
        <row r="7680">
          <cell r="O7680" t="str">
            <v/>
          </cell>
        </row>
        <row r="7681">
          <cell r="O7681" t="str">
            <v/>
          </cell>
        </row>
        <row r="7682">
          <cell r="O7682" t="str">
            <v/>
          </cell>
        </row>
        <row r="7683">
          <cell r="O7683" t="str">
            <v/>
          </cell>
        </row>
        <row r="7684">
          <cell r="O7684" t="str">
            <v/>
          </cell>
        </row>
        <row r="7685">
          <cell r="O7685" t="str">
            <v/>
          </cell>
        </row>
        <row r="7686">
          <cell r="O7686" t="str">
            <v/>
          </cell>
        </row>
        <row r="7687">
          <cell r="O7687" t="str">
            <v/>
          </cell>
        </row>
        <row r="7688">
          <cell r="O7688" t="str">
            <v/>
          </cell>
        </row>
        <row r="7689">
          <cell r="O7689" t="str">
            <v/>
          </cell>
        </row>
        <row r="7690">
          <cell r="O7690" t="str">
            <v/>
          </cell>
        </row>
        <row r="7691">
          <cell r="O7691" t="str">
            <v/>
          </cell>
        </row>
        <row r="7692">
          <cell r="O7692" t="str">
            <v/>
          </cell>
        </row>
        <row r="7693">
          <cell r="O7693" t="str">
            <v/>
          </cell>
        </row>
        <row r="7694">
          <cell r="O7694" t="str">
            <v/>
          </cell>
        </row>
        <row r="7695">
          <cell r="O7695" t="str">
            <v/>
          </cell>
        </row>
        <row r="7696">
          <cell r="O7696" t="str">
            <v/>
          </cell>
        </row>
        <row r="7697">
          <cell r="O7697" t="str">
            <v/>
          </cell>
        </row>
        <row r="7698">
          <cell r="O7698" t="str">
            <v/>
          </cell>
        </row>
        <row r="7699">
          <cell r="O7699" t="str">
            <v/>
          </cell>
        </row>
        <row r="7700">
          <cell r="O7700" t="str">
            <v/>
          </cell>
        </row>
        <row r="7701">
          <cell r="O7701" t="str">
            <v/>
          </cell>
        </row>
        <row r="7702">
          <cell r="O7702" t="str">
            <v/>
          </cell>
        </row>
        <row r="7703">
          <cell r="O7703" t="str">
            <v/>
          </cell>
        </row>
        <row r="7704">
          <cell r="O7704" t="str">
            <v/>
          </cell>
        </row>
        <row r="7705">
          <cell r="O7705" t="str">
            <v/>
          </cell>
        </row>
        <row r="7706">
          <cell r="O7706" t="str">
            <v/>
          </cell>
        </row>
        <row r="7707">
          <cell r="O7707" t="str">
            <v/>
          </cell>
        </row>
        <row r="7708">
          <cell r="O7708" t="str">
            <v/>
          </cell>
        </row>
        <row r="7709">
          <cell r="O7709" t="str">
            <v/>
          </cell>
        </row>
        <row r="7710">
          <cell r="O7710" t="str">
            <v/>
          </cell>
        </row>
        <row r="7711">
          <cell r="O7711" t="str">
            <v/>
          </cell>
        </row>
        <row r="7712">
          <cell r="O7712" t="str">
            <v/>
          </cell>
        </row>
        <row r="7713">
          <cell r="O7713" t="str">
            <v/>
          </cell>
        </row>
        <row r="7714">
          <cell r="O7714" t="str">
            <v/>
          </cell>
        </row>
        <row r="7715">
          <cell r="O7715" t="str">
            <v/>
          </cell>
        </row>
        <row r="7716">
          <cell r="O7716" t="str">
            <v/>
          </cell>
        </row>
        <row r="7717">
          <cell r="O7717" t="str">
            <v/>
          </cell>
        </row>
        <row r="7718">
          <cell r="O7718" t="str">
            <v/>
          </cell>
        </row>
        <row r="7719">
          <cell r="O7719" t="str">
            <v/>
          </cell>
        </row>
        <row r="7720">
          <cell r="O7720" t="str">
            <v/>
          </cell>
        </row>
        <row r="7721">
          <cell r="O7721" t="str">
            <v/>
          </cell>
        </row>
        <row r="7722">
          <cell r="O7722" t="str">
            <v/>
          </cell>
        </row>
        <row r="7723">
          <cell r="O7723" t="str">
            <v/>
          </cell>
        </row>
        <row r="7724">
          <cell r="O7724" t="str">
            <v/>
          </cell>
        </row>
        <row r="7725">
          <cell r="O7725" t="str">
            <v/>
          </cell>
        </row>
        <row r="7726">
          <cell r="O7726" t="str">
            <v/>
          </cell>
        </row>
        <row r="7727">
          <cell r="O7727" t="str">
            <v/>
          </cell>
        </row>
        <row r="7728">
          <cell r="O7728" t="str">
            <v/>
          </cell>
        </row>
        <row r="7729">
          <cell r="O7729" t="str">
            <v/>
          </cell>
        </row>
        <row r="7730">
          <cell r="O7730" t="str">
            <v/>
          </cell>
        </row>
        <row r="7731">
          <cell r="O7731" t="str">
            <v/>
          </cell>
        </row>
        <row r="7732">
          <cell r="O7732" t="str">
            <v/>
          </cell>
        </row>
        <row r="7733">
          <cell r="O7733" t="str">
            <v/>
          </cell>
        </row>
        <row r="7734">
          <cell r="O7734" t="str">
            <v/>
          </cell>
        </row>
        <row r="7735">
          <cell r="O7735" t="str">
            <v/>
          </cell>
        </row>
        <row r="7736">
          <cell r="O7736" t="str">
            <v/>
          </cell>
        </row>
        <row r="7737">
          <cell r="O7737" t="str">
            <v/>
          </cell>
        </row>
        <row r="7738">
          <cell r="O7738" t="str">
            <v/>
          </cell>
        </row>
        <row r="7739">
          <cell r="O7739" t="str">
            <v/>
          </cell>
        </row>
        <row r="7740">
          <cell r="O7740" t="str">
            <v/>
          </cell>
        </row>
        <row r="7741">
          <cell r="O7741" t="str">
            <v/>
          </cell>
        </row>
        <row r="7742">
          <cell r="O7742" t="str">
            <v/>
          </cell>
        </row>
        <row r="7743">
          <cell r="O7743" t="str">
            <v/>
          </cell>
        </row>
        <row r="7744">
          <cell r="O7744" t="str">
            <v/>
          </cell>
        </row>
        <row r="7745">
          <cell r="O7745" t="str">
            <v/>
          </cell>
        </row>
        <row r="7746">
          <cell r="O7746" t="str">
            <v/>
          </cell>
        </row>
        <row r="7747">
          <cell r="O7747" t="str">
            <v/>
          </cell>
        </row>
        <row r="7748">
          <cell r="O7748" t="str">
            <v/>
          </cell>
        </row>
        <row r="7749">
          <cell r="O7749" t="str">
            <v/>
          </cell>
        </row>
        <row r="7750">
          <cell r="O7750" t="str">
            <v/>
          </cell>
        </row>
        <row r="7751">
          <cell r="O7751" t="str">
            <v/>
          </cell>
        </row>
        <row r="7752">
          <cell r="O7752" t="str">
            <v/>
          </cell>
        </row>
        <row r="7753">
          <cell r="O7753" t="str">
            <v/>
          </cell>
        </row>
        <row r="7754">
          <cell r="O7754" t="str">
            <v/>
          </cell>
        </row>
        <row r="7755">
          <cell r="O7755" t="str">
            <v/>
          </cell>
        </row>
        <row r="7756">
          <cell r="O7756" t="str">
            <v/>
          </cell>
        </row>
        <row r="7757">
          <cell r="O7757" t="str">
            <v/>
          </cell>
        </row>
        <row r="7758">
          <cell r="O7758" t="str">
            <v/>
          </cell>
        </row>
        <row r="7759">
          <cell r="O7759" t="str">
            <v/>
          </cell>
        </row>
        <row r="7760">
          <cell r="O7760" t="str">
            <v/>
          </cell>
        </row>
        <row r="7761">
          <cell r="O7761" t="str">
            <v/>
          </cell>
        </row>
        <row r="7762">
          <cell r="O7762" t="str">
            <v/>
          </cell>
        </row>
        <row r="7763">
          <cell r="O7763" t="str">
            <v/>
          </cell>
        </row>
        <row r="7764">
          <cell r="O7764" t="str">
            <v/>
          </cell>
        </row>
        <row r="7765">
          <cell r="O7765" t="str">
            <v/>
          </cell>
        </row>
        <row r="7766">
          <cell r="O7766" t="str">
            <v/>
          </cell>
        </row>
        <row r="7767">
          <cell r="O7767" t="str">
            <v/>
          </cell>
        </row>
        <row r="7768">
          <cell r="O7768" t="str">
            <v/>
          </cell>
        </row>
        <row r="7769">
          <cell r="O7769" t="str">
            <v/>
          </cell>
        </row>
        <row r="7770">
          <cell r="O7770" t="str">
            <v/>
          </cell>
        </row>
        <row r="7771">
          <cell r="O7771" t="str">
            <v/>
          </cell>
        </row>
        <row r="7772">
          <cell r="O7772" t="str">
            <v/>
          </cell>
        </row>
        <row r="7773">
          <cell r="O7773" t="str">
            <v/>
          </cell>
        </row>
        <row r="7774">
          <cell r="O7774" t="str">
            <v/>
          </cell>
        </row>
        <row r="7775">
          <cell r="O7775" t="str">
            <v/>
          </cell>
        </row>
        <row r="7776">
          <cell r="O7776" t="str">
            <v/>
          </cell>
        </row>
        <row r="7777">
          <cell r="O7777" t="str">
            <v/>
          </cell>
        </row>
        <row r="7778">
          <cell r="O7778" t="str">
            <v/>
          </cell>
        </row>
        <row r="7779">
          <cell r="O7779" t="str">
            <v/>
          </cell>
        </row>
        <row r="7780">
          <cell r="O7780" t="str">
            <v/>
          </cell>
        </row>
        <row r="7781">
          <cell r="O7781" t="str">
            <v/>
          </cell>
        </row>
        <row r="7782">
          <cell r="O7782" t="str">
            <v/>
          </cell>
        </row>
        <row r="7783">
          <cell r="O7783" t="str">
            <v/>
          </cell>
        </row>
        <row r="7784">
          <cell r="O7784" t="str">
            <v/>
          </cell>
        </row>
        <row r="7785">
          <cell r="O7785" t="str">
            <v/>
          </cell>
        </row>
        <row r="7786">
          <cell r="O7786" t="str">
            <v/>
          </cell>
        </row>
        <row r="7787">
          <cell r="O7787" t="str">
            <v/>
          </cell>
        </row>
        <row r="7788">
          <cell r="O7788" t="str">
            <v/>
          </cell>
        </row>
        <row r="7789">
          <cell r="O7789" t="str">
            <v/>
          </cell>
        </row>
        <row r="7790">
          <cell r="O7790" t="str">
            <v/>
          </cell>
        </row>
        <row r="7791">
          <cell r="O7791" t="str">
            <v/>
          </cell>
        </row>
        <row r="7792">
          <cell r="O7792" t="str">
            <v/>
          </cell>
        </row>
        <row r="7793">
          <cell r="O7793" t="str">
            <v/>
          </cell>
        </row>
        <row r="7794">
          <cell r="O7794" t="str">
            <v/>
          </cell>
        </row>
        <row r="7795">
          <cell r="O7795" t="str">
            <v/>
          </cell>
        </row>
        <row r="7796">
          <cell r="O7796" t="str">
            <v/>
          </cell>
        </row>
        <row r="7797">
          <cell r="O7797" t="str">
            <v/>
          </cell>
        </row>
        <row r="7798">
          <cell r="O7798" t="str">
            <v/>
          </cell>
        </row>
        <row r="7799">
          <cell r="O7799" t="str">
            <v/>
          </cell>
        </row>
        <row r="7800">
          <cell r="O7800" t="str">
            <v/>
          </cell>
        </row>
        <row r="7801">
          <cell r="O7801" t="str">
            <v/>
          </cell>
        </row>
        <row r="7802">
          <cell r="O7802" t="str">
            <v/>
          </cell>
        </row>
        <row r="7803">
          <cell r="O7803" t="str">
            <v/>
          </cell>
        </row>
        <row r="7804">
          <cell r="O7804" t="str">
            <v/>
          </cell>
        </row>
        <row r="7805">
          <cell r="O7805" t="str">
            <v/>
          </cell>
        </row>
        <row r="7806">
          <cell r="O7806" t="str">
            <v/>
          </cell>
        </row>
        <row r="7807">
          <cell r="O7807" t="str">
            <v/>
          </cell>
        </row>
        <row r="7808">
          <cell r="O7808" t="str">
            <v/>
          </cell>
        </row>
        <row r="7809">
          <cell r="O7809" t="str">
            <v/>
          </cell>
        </row>
        <row r="7810">
          <cell r="O7810" t="str">
            <v/>
          </cell>
        </row>
        <row r="7811">
          <cell r="O7811" t="str">
            <v/>
          </cell>
        </row>
        <row r="7812">
          <cell r="O7812" t="str">
            <v/>
          </cell>
        </row>
        <row r="7813">
          <cell r="O7813" t="str">
            <v/>
          </cell>
        </row>
        <row r="7814">
          <cell r="O7814" t="str">
            <v/>
          </cell>
        </row>
        <row r="7815">
          <cell r="O7815" t="str">
            <v/>
          </cell>
        </row>
        <row r="7816">
          <cell r="O7816" t="str">
            <v/>
          </cell>
        </row>
        <row r="7817">
          <cell r="O7817" t="str">
            <v/>
          </cell>
        </row>
        <row r="7818">
          <cell r="O7818" t="str">
            <v/>
          </cell>
        </row>
        <row r="7819">
          <cell r="O7819" t="str">
            <v/>
          </cell>
        </row>
        <row r="7820">
          <cell r="O7820" t="str">
            <v/>
          </cell>
        </row>
        <row r="7821">
          <cell r="O7821" t="str">
            <v/>
          </cell>
        </row>
        <row r="7822">
          <cell r="O7822" t="str">
            <v/>
          </cell>
        </row>
        <row r="7823">
          <cell r="O7823" t="str">
            <v/>
          </cell>
        </row>
        <row r="7824">
          <cell r="O7824" t="str">
            <v/>
          </cell>
        </row>
        <row r="7825">
          <cell r="O7825" t="str">
            <v/>
          </cell>
        </row>
        <row r="7826">
          <cell r="O7826" t="str">
            <v/>
          </cell>
        </row>
        <row r="7827">
          <cell r="O7827" t="str">
            <v/>
          </cell>
        </row>
        <row r="7828">
          <cell r="O7828" t="str">
            <v/>
          </cell>
        </row>
        <row r="7829">
          <cell r="O7829" t="str">
            <v/>
          </cell>
        </row>
        <row r="7830">
          <cell r="O7830" t="str">
            <v/>
          </cell>
        </row>
        <row r="7831">
          <cell r="O7831" t="str">
            <v/>
          </cell>
        </row>
        <row r="7832">
          <cell r="O7832" t="str">
            <v/>
          </cell>
        </row>
        <row r="7833">
          <cell r="O7833" t="str">
            <v/>
          </cell>
        </row>
        <row r="7834">
          <cell r="O7834" t="str">
            <v/>
          </cell>
        </row>
        <row r="7835">
          <cell r="O7835" t="str">
            <v/>
          </cell>
        </row>
        <row r="7836">
          <cell r="O7836" t="str">
            <v/>
          </cell>
        </row>
        <row r="7837">
          <cell r="O7837" t="str">
            <v/>
          </cell>
        </row>
        <row r="7838">
          <cell r="O7838" t="str">
            <v/>
          </cell>
        </row>
        <row r="7839">
          <cell r="O7839" t="str">
            <v/>
          </cell>
        </row>
        <row r="7840">
          <cell r="O7840" t="str">
            <v/>
          </cell>
        </row>
        <row r="7841">
          <cell r="O7841" t="str">
            <v/>
          </cell>
        </row>
        <row r="7842">
          <cell r="O7842" t="str">
            <v/>
          </cell>
        </row>
        <row r="7843">
          <cell r="O7843" t="str">
            <v/>
          </cell>
        </row>
        <row r="7844">
          <cell r="O7844" t="str">
            <v/>
          </cell>
        </row>
        <row r="7845">
          <cell r="O7845" t="str">
            <v/>
          </cell>
        </row>
        <row r="7846">
          <cell r="O7846" t="str">
            <v/>
          </cell>
        </row>
        <row r="7847">
          <cell r="O7847" t="str">
            <v/>
          </cell>
        </row>
        <row r="7848">
          <cell r="O7848" t="str">
            <v/>
          </cell>
        </row>
        <row r="7849">
          <cell r="O7849" t="str">
            <v/>
          </cell>
        </row>
        <row r="7850">
          <cell r="O7850" t="str">
            <v/>
          </cell>
        </row>
        <row r="7851">
          <cell r="O7851" t="str">
            <v/>
          </cell>
        </row>
        <row r="7852">
          <cell r="O7852" t="str">
            <v/>
          </cell>
        </row>
        <row r="7853">
          <cell r="O7853" t="str">
            <v/>
          </cell>
        </row>
        <row r="7854">
          <cell r="O7854" t="str">
            <v/>
          </cell>
        </row>
        <row r="7855">
          <cell r="O7855" t="str">
            <v/>
          </cell>
        </row>
        <row r="7856">
          <cell r="O7856" t="str">
            <v/>
          </cell>
        </row>
        <row r="7857">
          <cell r="O7857" t="str">
            <v/>
          </cell>
        </row>
        <row r="7858">
          <cell r="O7858" t="str">
            <v/>
          </cell>
        </row>
        <row r="7859">
          <cell r="O7859" t="str">
            <v/>
          </cell>
        </row>
        <row r="7860">
          <cell r="O7860" t="str">
            <v/>
          </cell>
        </row>
        <row r="7861">
          <cell r="O7861" t="str">
            <v/>
          </cell>
        </row>
        <row r="7862">
          <cell r="O7862" t="str">
            <v/>
          </cell>
        </row>
        <row r="7863">
          <cell r="O7863" t="str">
            <v/>
          </cell>
        </row>
        <row r="7864">
          <cell r="O7864" t="str">
            <v/>
          </cell>
        </row>
        <row r="7865">
          <cell r="O7865" t="str">
            <v/>
          </cell>
        </row>
        <row r="7866">
          <cell r="O7866" t="str">
            <v/>
          </cell>
        </row>
        <row r="7867">
          <cell r="O7867" t="str">
            <v/>
          </cell>
        </row>
        <row r="7868">
          <cell r="O7868" t="str">
            <v/>
          </cell>
        </row>
        <row r="7869">
          <cell r="O7869" t="str">
            <v/>
          </cell>
        </row>
        <row r="7870">
          <cell r="O7870" t="str">
            <v/>
          </cell>
        </row>
        <row r="7871">
          <cell r="O7871" t="str">
            <v/>
          </cell>
        </row>
        <row r="7872">
          <cell r="O7872" t="str">
            <v/>
          </cell>
        </row>
        <row r="7873">
          <cell r="O7873" t="str">
            <v/>
          </cell>
        </row>
        <row r="7874">
          <cell r="O7874" t="str">
            <v/>
          </cell>
        </row>
        <row r="7875">
          <cell r="O7875" t="str">
            <v/>
          </cell>
        </row>
        <row r="7876">
          <cell r="O7876" t="str">
            <v/>
          </cell>
        </row>
        <row r="7877">
          <cell r="O7877" t="str">
            <v/>
          </cell>
        </row>
        <row r="7878">
          <cell r="O7878" t="str">
            <v/>
          </cell>
        </row>
        <row r="7879">
          <cell r="O7879" t="str">
            <v/>
          </cell>
        </row>
        <row r="7880">
          <cell r="O7880" t="str">
            <v/>
          </cell>
        </row>
        <row r="7881">
          <cell r="O7881" t="str">
            <v/>
          </cell>
        </row>
        <row r="7882">
          <cell r="O7882" t="str">
            <v/>
          </cell>
        </row>
        <row r="7883">
          <cell r="O7883" t="str">
            <v/>
          </cell>
        </row>
        <row r="7884">
          <cell r="O7884" t="str">
            <v/>
          </cell>
        </row>
        <row r="7885">
          <cell r="O7885" t="str">
            <v/>
          </cell>
        </row>
        <row r="7886">
          <cell r="O7886" t="str">
            <v/>
          </cell>
        </row>
        <row r="7887">
          <cell r="O7887" t="str">
            <v/>
          </cell>
        </row>
        <row r="7888">
          <cell r="O7888" t="str">
            <v/>
          </cell>
        </row>
        <row r="7889">
          <cell r="O7889" t="str">
            <v/>
          </cell>
        </row>
        <row r="7890">
          <cell r="O7890" t="str">
            <v/>
          </cell>
        </row>
        <row r="7891">
          <cell r="O7891" t="str">
            <v/>
          </cell>
        </row>
        <row r="7892">
          <cell r="O7892" t="str">
            <v/>
          </cell>
        </row>
        <row r="7893">
          <cell r="O7893" t="str">
            <v/>
          </cell>
        </row>
        <row r="7894">
          <cell r="O7894" t="str">
            <v/>
          </cell>
        </row>
        <row r="7895">
          <cell r="O7895" t="str">
            <v/>
          </cell>
        </row>
        <row r="7896">
          <cell r="O7896" t="str">
            <v/>
          </cell>
        </row>
        <row r="7897">
          <cell r="O7897" t="str">
            <v/>
          </cell>
        </row>
        <row r="7898">
          <cell r="O7898" t="str">
            <v/>
          </cell>
        </row>
        <row r="7899">
          <cell r="O7899" t="str">
            <v/>
          </cell>
        </row>
        <row r="7900">
          <cell r="O7900" t="str">
            <v/>
          </cell>
        </row>
        <row r="7901">
          <cell r="O7901" t="str">
            <v/>
          </cell>
        </row>
        <row r="7902">
          <cell r="O7902" t="str">
            <v/>
          </cell>
        </row>
        <row r="7903">
          <cell r="O7903" t="str">
            <v/>
          </cell>
        </row>
        <row r="7904">
          <cell r="O7904" t="str">
            <v/>
          </cell>
        </row>
        <row r="7905">
          <cell r="O7905" t="str">
            <v/>
          </cell>
        </row>
        <row r="7906">
          <cell r="O7906" t="str">
            <v/>
          </cell>
        </row>
        <row r="7907">
          <cell r="O7907" t="str">
            <v/>
          </cell>
        </row>
        <row r="7908">
          <cell r="O7908" t="str">
            <v/>
          </cell>
        </row>
        <row r="7909">
          <cell r="O7909" t="str">
            <v/>
          </cell>
        </row>
        <row r="7910">
          <cell r="O7910" t="str">
            <v/>
          </cell>
        </row>
        <row r="7911">
          <cell r="O7911" t="str">
            <v/>
          </cell>
        </row>
        <row r="7912">
          <cell r="O7912" t="str">
            <v/>
          </cell>
        </row>
        <row r="7913">
          <cell r="O7913" t="str">
            <v/>
          </cell>
        </row>
        <row r="7914">
          <cell r="O7914" t="str">
            <v/>
          </cell>
        </row>
        <row r="7915">
          <cell r="O7915" t="str">
            <v/>
          </cell>
        </row>
        <row r="7916">
          <cell r="O7916" t="str">
            <v/>
          </cell>
        </row>
        <row r="7917">
          <cell r="O7917" t="str">
            <v/>
          </cell>
        </row>
        <row r="7918">
          <cell r="O7918" t="str">
            <v/>
          </cell>
        </row>
        <row r="7919">
          <cell r="O7919" t="str">
            <v/>
          </cell>
        </row>
        <row r="7920">
          <cell r="O7920" t="str">
            <v/>
          </cell>
        </row>
        <row r="7921">
          <cell r="O7921" t="str">
            <v/>
          </cell>
        </row>
        <row r="7922">
          <cell r="O7922" t="str">
            <v/>
          </cell>
        </row>
        <row r="7923">
          <cell r="O7923" t="str">
            <v/>
          </cell>
        </row>
        <row r="7924">
          <cell r="O7924" t="str">
            <v/>
          </cell>
        </row>
        <row r="7925">
          <cell r="O7925" t="str">
            <v/>
          </cell>
        </row>
        <row r="7926">
          <cell r="O7926" t="str">
            <v/>
          </cell>
        </row>
        <row r="7927">
          <cell r="O7927" t="str">
            <v/>
          </cell>
        </row>
        <row r="7928">
          <cell r="O7928" t="str">
            <v/>
          </cell>
        </row>
        <row r="7929">
          <cell r="O7929" t="str">
            <v/>
          </cell>
        </row>
        <row r="7930">
          <cell r="O7930" t="str">
            <v/>
          </cell>
        </row>
        <row r="7931">
          <cell r="O7931" t="str">
            <v/>
          </cell>
        </row>
        <row r="7932">
          <cell r="O7932" t="str">
            <v/>
          </cell>
        </row>
        <row r="7933">
          <cell r="O7933" t="str">
            <v/>
          </cell>
        </row>
        <row r="7934">
          <cell r="O7934" t="str">
            <v/>
          </cell>
        </row>
        <row r="7935">
          <cell r="O7935" t="str">
            <v/>
          </cell>
        </row>
        <row r="7936">
          <cell r="O7936" t="str">
            <v/>
          </cell>
        </row>
        <row r="7937">
          <cell r="O7937" t="str">
            <v/>
          </cell>
        </row>
        <row r="7938">
          <cell r="O7938" t="str">
            <v/>
          </cell>
        </row>
        <row r="7939">
          <cell r="O7939" t="str">
            <v/>
          </cell>
        </row>
        <row r="7940">
          <cell r="O7940" t="str">
            <v/>
          </cell>
        </row>
        <row r="7941">
          <cell r="O7941" t="str">
            <v/>
          </cell>
        </row>
        <row r="7942">
          <cell r="O7942" t="str">
            <v/>
          </cell>
        </row>
        <row r="7943">
          <cell r="O7943" t="str">
            <v/>
          </cell>
        </row>
        <row r="7944">
          <cell r="O7944" t="str">
            <v/>
          </cell>
        </row>
        <row r="7945">
          <cell r="O7945" t="str">
            <v/>
          </cell>
        </row>
        <row r="7946">
          <cell r="O7946" t="str">
            <v/>
          </cell>
        </row>
        <row r="7947">
          <cell r="O7947" t="str">
            <v/>
          </cell>
        </row>
        <row r="7948">
          <cell r="O7948" t="str">
            <v/>
          </cell>
        </row>
        <row r="7949">
          <cell r="O7949" t="str">
            <v/>
          </cell>
        </row>
        <row r="7950">
          <cell r="O7950" t="str">
            <v/>
          </cell>
        </row>
        <row r="7951">
          <cell r="O7951" t="str">
            <v/>
          </cell>
        </row>
        <row r="7952">
          <cell r="O7952" t="str">
            <v/>
          </cell>
        </row>
        <row r="7953">
          <cell r="O7953" t="str">
            <v/>
          </cell>
        </row>
        <row r="7954">
          <cell r="O7954" t="str">
            <v/>
          </cell>
        </row>
        <row r="7955">
          <cell r="O7955" t="str">
            <v/>
          </cell>
        </row>
        <row r="7956">
          <cell r="O7956" t="str">
            <v/>
          </cell>
        </row>
        <row r="7957">
          <cell r="O7957" t="str">
            <v/>
          </cell>
        </row>
        <row r="7958">
          <cell r="O7958" t="str">
            <v/>
          </cell>
        </row>
        <row r="7959">
          <cell r="O7959" t="str">
            <v/>
          </cell>
        </row>
        <row r="7960">
          <cell r="O7960" t="str">
            <v/>
          </cell>
        </row>
        <row r="7961">
          <cell r="O7961" t="str">
            <v/>
          </cell>
        </row>
        <row r="7962">
          <cell r="O7962" t="str">
            <v/>
          </cell>
        </row>
        <row r="7963">
          <cell r="O7963" t="str">
            <v/>
          </cell>
        </row>
        <row r="7964">
          <cell r="O7964" t="str">
            <v/>
          </cell>
        </row>
        <row r="7965">
          <cell r="O7965" t="str">
            <v/>
          </cell>
        </row>
        <row r="7966">
          <cell r="O7966" t="str">
            <v/>
          </cell>
        </row>
        <row r="7967">
          <cell r="O7967" t="str">
            <v/>
          </cell>
        </row>
        <row r="7968">
          <cell r="O7968" t="str">
            <v/>
          </cell>
        </row>
        <row r="7969">
          <cell r="O7969" t="str">
            <v/>
          </cell>
        </row>
        <row r="7970">
          <cell r="O7970" t="str">
            <v/>
          </cell>
        </row>
        <row r="7971">
          <cell r="O7971" t="str">
            <v/>
          </cell>
        </row>
        <row r="7972">
          <cell r="O7972" t="str">
            <v/>
          </cell>
        </row>
        <row r="7973">
          <cell r="O7973" t="str">
            <v/>
          </cell>
        </row>
        <row r="7974">
          <cell r="O7974" t="str">
            <v/>
          </cell>
        </row>
        <row r="7975">
          <cell r="O7975" t="str">
            <v/>
          </cell>
        </row>
        <row r="7976">
          <cell r="O7976" t="str">
            <v/>
          </cell>
        </row>
        <row r="7977">
          <cell r="O7977" t="str">
            <v/>
          </cell>
        </row>
        <row r="7978">
          <cell r="O7978" t="str">
            <v/>
          </cell>
        </row>
        <row r="7979">
          <cell r="O7979" t="str">
            <v/>
          </cell>
        </row>
        <row r="7980">
          <cell r="O7980" t="str">
            <v/>
          </cell>
        </row>
        <row r="7981">
          <cell r="O7981" t="str">
            <v/>
          </cell>
        </row>
        <row r="7982">
          <cell r="O7982" t="str">
            <v/>
          </cell>
        </row>
        <row r="7983">
          <cell r="O7983" t="str">
            <v/>
          </cell>
        </row>
        <row r="7984">
          <cell r="O7984" t="str">
            <v/>
          </cell>
        </row>
        <row r="7985">
          <cell r="O7985" t="str">
            <v/>
          </cell>
        </row>
        <row r="7986">
          <cell r="O7986" t="str">
            <v/>
          </cell>
        </row>
        <row r="7987">
          <cell r="O7987" t="str">
            <v/>
          </cell>
        </row>
        <row r="7988">
          <cell r="O7988" t="str">
            <v/>
          </cell>
        </row>
        <row r="7989">
          <cell r="O7989" t="str">
            <v/>
          </cell>
        </row>
        <row r="7990">
          <cell r="O7990" t="str">
            <v/>
          </cell>
        </row>
        <row r="7991">
          <cell r="O7991" t="str">
            <v/>
          </cell>
        </row>
        <row r="7992">
          <cell r="O7992" t="str">
            <v/>
          </cell>
        </row>
        <row r="7993">
          <cell r="O7993" t="str">
            <v/>
          </cell>
        </row>
        <row r="7994">
          <cell r="O7994" t="str">
            <v/>
          </cell>
        </row>
        <row r="7995">
          <cell r="O7995" t="str">
            <v/>
          </cell>
        </row>
        <row r="7996">
          <cell r="O7996" t="str">
            <v/>
          </cell>
        </row>
        <row r="7997">
          <cell r="O7997" t="str">
            <v/>
          </cell>
        </row>
        <row r="7998">
          <cell r="O7998" t="str">
            <v/>
          </cell>
        </row>
        <row r="7999">
          <cell r="O7999" t="str">
            <v/>
          </cell>
        </row>
        <row r="8000">
          <cell r="O8000" t="str">
            <v/>
          </cell>
        </row>
        <row r="8001">
          <cell r="O8001" t="str">
            <v/>
          </cell>
        </row>
        <row r="8002">
          <cell r="O8002" t="str">
            <v/>
          </cell>
        </row>
        <row r="8003">
          <cell r="O8003" t="str">
            <v/>
          </cell>
        </row>
        <row r="8004">
          <cell r="O8004" t="str">
            <v/>
          </cell>
        </row>
        <row r="8005">
          <cell r="O8005" t="str">
            <v/>
          </cell>
        </row>
        <row r="8006">
          <cell r="O8006" t="str">
            <v/>
          </cell>
        </row>
        <row r="8007">
          <cell r="O8007" t="str">
            <v/>
          </cell>
        </row>
        <row r="8008">
          <cell r="O8008" t="str">
            <v/>
          </cell>
        </row>
        <row r="8009">
          <cell r="O8009" t="str">
            <v/>
          </cell>
        </row>
        <row r="8010">
          <cell r="O8010" t="str">
            <v/>
          </cell>
        </row>
        <row r="8011">
          <cell r="O8011" t="str">
            <v/>
          </cell>
        </row>
        <row r="8012">
          <cell r="O8012" t="str">
            <v/>
          </cell>
        </row>
        <row r="8013">
          <cell r="O8013" t="str">
            <v/>
          </cell>
        </row>
        <row r="8014">
          <cell r="O8014" t="str">
            <v/>
          </cell>
        </row>
        <row r="8015">
          <cell r="O8015" t="str">
            <v/>
          </cell>
        </row>
        <row r="8016">
          <cell r="O8016" t="str">
            <v/>
          </cell>
        </row>
        <row r="8017">
          <cell r="O8017" t="str">
            <v/>
          </cell>
        </row>
        <row r="8018">
          <cell r="O8018" t="str">
            <v/>
          </cell>
        </row>
        <row r="8019">
          <cell r="O8019" t="str">
            <v/>
          </cell>
        </row>
        <row r="8020">
          <cell r="O8020" t="str">
            <v/>
          </cell>
        </row>
        <row r="8021">
          <cell r="O8021" t="str">
            <v/>
          </cell>
        </row>
        <row r="8022">
          <cell r="O8022" t="str">
            <v/>
          </cell>
        </row>
        <row r="8023">
          <cell r="O8023" t="str">
            <v/>
          </cell>
        </row>
        <row r="8024">
          <cell r="O8024" t="str">
            <v/>
          </cell>
        </row>
        <row r="8025">
          <cell r="O8025" t="str">
            <v/>
          </cell>
        </row>
        <row r="8026">
          <cell r="O8026" t="str">
            <v/>
          </cell>
        </row>
        <row r="8027">
          <cell r="O8027" t="str">
            <v/>
          </cell>
        </row>
        <row r="8028">
          <cell r="O8028" t="str">
            <v/>
          </cell>
        </row>
        <row r="8029">
          <cell r="O8029" t="str">
            <v/>
          </cell>
        </row>
        <row r="8030">
          <cell r="O8030" t="str">
            <v/>
          </cell>
        </row>
        <row r="8031">
          <cell r="O8031" t="str">
            <v/>
          </cell>
        </row>
        <row r="8032">
          <cell r="O8032" t="str">
            <v/>
          </cell>
        </row>
        <row r="8033">
          <cell r="O8033" t="str">
            <v/>
          </cell>
        </row>
        <row r="8034">
          <cell r="O8034" t="str">
            <v/>
          </cell>
        </row>
        <row r="8035">
          <cell r="O8035" t="str">
            <v/>
          </cell>
        </row>
        <row r="8036">
          <cell r="O8036" t="str">
            <v/>
          </cell>
        </row>
        <row r="8037">
          <cell r="O8037" t="str">
            <v/>
          </cell>
        </row>
        <row r="8038">
          <cell r="O8038" t="str">
            <v/>
          </cell>
        </row>
        <row r="8039">
          <cell r="O8039" t="str">
            <v/>
          </cell>
        </row>
        <row r="8040">
          <cell r="O8040" t="str">
            <v/>
          </cell>
        </row>
        <row r="8041">
          <cell r="O8041" t="str">
            <v/>
          </cell>
        </row>
        <row r="8042">
          <cell r="O8042" t="str">
            <v/>
          </cell>
        </row>
        <row r="8043">
          <cell r="O8043" t="str">
            <v/>
          </cell>
        </row>
        <row r="8044">
          <cell r="O8044" t="str">
            <v/>
          </cell>
        </row>
        <row r="8045">
          <cell r="O8045" t="str">
            <v/>
          </cell>
        </row>
        <row r="8046">
          <cell r="O8046" t="str">
            <v/>
          </cell>
        </row>
        <row r="8047">
          <cell r="O8047" t="str">
            <v/>
          </cell>
        </row>
        <row r="8048">
          <cell r="O8048" t="str">
            <v/>
          </cell>
        </row>
        <row r="8049">
          <cell r="O8049" t="str">
            <v/>
          </cell>
        </row>
        <row r="8050">
          <cell r="O8050" t="str">
            <v/>
          </cell>
        </row>
        <row r="8051">
          <cell r="O8051" t="str">
            <v/>
          </cell>
        </row>
        <row r="8052">
          <cell r="O8052" t="str">
            <v/>
          </cell>
        </row>
        <row r="8053">
          <cell r="O8053" t="str">
            <v/>
          </cell>
        </row>
        <row r="8054">
          <cell r="O8054" t="str">
            <v/>
          </cell>
        </row>
        <row r="8055">
          <cell r="O8055" t="str">
            <v/>
          </cell>
        </row>
        <row r="8056">
          <cell r="O8056" t="str">
            <v/>
          </cell>
        </row>
        <row r="8057">
          <cell r="O8057" t="str">
            <v/>
          </cell>
        </row>
        <row r="8058">
          <cell r="O8058" t="str">
            <v/>
          </cell>
        </row>
        <row r="8059">
          <cell r="O8059" t="str">
            <v/>
          </cell>
        </row>
        <row r="8060">
          <cell r="O8060" t="str">
            <v/>
          </cell>
        </row>
        <row r="8061">
          <cell r="O8061" t="str">
            <v/>
          </cell>
        </row>
        <row r="8062">
          <cell r="O8062" t="str">
            <v/>
          </cell>
        </row>
        <row r="8063">
          <cell r="O8063" t="str">
            <v/>
          </cell>
        </row>
        <row r="8064">
          <cell r="O8064" t="str">
            <v/>
          </cell>
        </row>
        <row r="8065">
          <cell r="O8065" t="str">
            <v/>
          </cell>
        </row>
        <row r="8066">
          <cell r="O8066" t="str">
            <v/>
          </cell>
        </row>
        <row r="8067">
          <cell r="O8067" t="str">
            <v/>
          </cell>
        </row>
        <row r="8068">
          <cell r="O8068" t="str">
            <v/>
          </cell>
        </row>
        <row r="8069">
          <cell r="O8069" t="str">
            <v/>
          </cell>
        </row>
        <row r="8070">
          <cell r="O8070" t="str">
            <v/>
          </cell>
        </row>
        <row r="8071">
          <cell r="O8071" t="str">
            <v/>
          </cell>
        </row>
        <row r="8072">
          <cell r="O8072" t="str">
            <v/>
          </cell>
        </row>
        <row r="8073">
          <cell r="O8073" t="str">
            <v/>
          </cell>
        </row>
        <row r="8074">
          <cell r="O8074" t="str">
            <v/>
          </cell>
        </row>
        <row r="8075">
          <cell r="O8075" t="str">
            <v/>
          </cell>
        </row>
        <row r="8076">
          <cell r="O8076" t="str">
            <v/>
          </cell>
        </row>
        <row r="8077">
          <cell r="O8077" t="str">
            <v/>
          </cell>
        </row>
        <row r="8078">
          <cell r="O8078" t="str">
            <v/>
          </cell>
        </row>
        <row r="8079">
          <cell r="O8079" t="str">
            <v/>
          </cell>
        </row>
        <row r="8080">
          <cell r="O8080" t="str">
            <v/>
          </cell>
        </row>
        <row r="8081">
          <cell r="O8081" t="str">
            <v/>
          </cell>
        </row>
        <row r="8082">
          <cell r="O8082" t="str">
            <v/>
          </cell>
        </row>
        <row r="8083">
          <cell r="O8083" t="str">
            <v/>
          </cell>
        </row>
        <row r="8084">
          <cell r="O8084" t="str">
            <v/>
          </cell>
        </row>
        <row r="8085">
          <cell r="O8085" t="str">
            <v/>
          </cell>
        </row>
        <row r="8086">
          <cell r="O8086" t="str">
            <v/>
          </cell>
        </row>
        <row r="8087">
          <cell r="O8087" t="str">
            <v/>
          </cell>
        </row>
        <row r="8088">
          <cell r="O8088" t="str">
            <v/>
          </cell>
        </row>
        <row r="8089">
          <cell r="O8089" t="str">
            <v/>
          </cell>
        </row>
        <row r="8090">
          <cell r="O8090" t="str">
            <v/>
          </cell>
        </row>
        <row r="8091">
          <cell r="O8091" t="str">
            <v/>
          </cell>
        </row>
        <row r="8092">
          <cell r="O8092" t="str">
            <v/>
          </cell>
        </row>
        <row r="8093">
          <cell r="O8093" t="str">
            <v/>
          </cell>
        </row>
        <row r="8094">
          <cell r="O8094" t="str">
            <v/>
          </cell>
        </row>
        <row r="8095">
          <cell r="O8095" t="str">
            <v/>
          </cell>
        </row>
        <row r="8096">
          <cell r="O8096" t="str">
            <v/>
          </cell>
        </row>
        <row r="8097">
          <cell r="O8097" t="str">
            <v/>
          </cell>
        </row>
        <row r="8098">
          <cell r="O8098" t="str">
            <v/>
          </cell>
        </row>
        <row r="8099">
          <cell r="O8099" t="str">
            <v/>
          </cell>
        </row>
        <row r="8100">
          <cell r="O8100" t="str">
            <v/>
          </cell>
        </row>
        <row r="8101">
          <cell r="O8101" t="str">
            <v/>
          </cell>
        </row>
        <row r="8102">
          <cell r="O8102" t="str">
            <v/>
          </cell>
        </row>
        <row r="8103">
          <cell r="O8103" t="str">
            <v/>
          </cell>
        </row>
        <row r="8104">
          <cell r="O8104" t="str">
            <v/>
          </cell>
        </row>
        <row r="8105">
          <cell r="O8105" t="str">
            <v/>
          </cell>
        </row>
        <row r="8106">
          <cell r="O8106" t="str">
            <v/>
          </cell>
        </row>
        <row r="8107">
          <cell r="O8107" t="str">
            <v/>
          </cell>
        </row>
        <row r="8108">
          <cell r="O8108" t="str">
            <v/>
          </cell>
        </row>
        <row r="8109">
          <cell r="O8109" t="str">
            <v/>
          </cell>
        </row>
        <row r="8110">
          <cell r="O8110" t="str">
            <v/>
          </cell>
        </row>
        <row r="8111">
          <cell r="O8111" t="str">
            <v/>
          </cell>
        </row>
        <row r="8112">
          <cell r="O8112" t="str">
            <v/>
          </cell>
        </row>
        <row r="8113">
          <cell r="O8113" t="str">
            <v/>
          </cell>
        </row>
        <row r="8114">
          <cell r="O8114" t="str">
            <v/>
          </cell>
        </row>
        <row r="8115">
          <cell r="O8115" t="str">
            <v/>
          </cell>
        </row>
        <row r="8116">
          <cell r="O8116" t="str">
            <v/>
          </cell>
        </row>
        <row r="8117">
          <cell r="O8117" t="str">
            <v/>
          </cell>
        </row>
        <row r="8118">
          <cell r="O8118" t="str">
            <v/>
          </cell>
        </row>
        <row r="8119">
          <cell r="O8119" t="str">
            <v/>
          </cell>
        </row>
        <row r="8120">
          <cell r="O8120" t="str">
            <v/>
          </cell>
        </row>
        <row r="8121">
          <cell r="O8121" t="str">
            <v/>
          </cell>
        </row>
        <row r="8122">
          <cell r="O8122" t="str">
            <v/>
          </cell>
        </row>
        <row r="8123">
          <cell r="O8123" t="str">
            <v/>
          </cell>
        </row>
        <row r="8124">
          <cell r="O8124" t="str">
            <v/>
          </cell>
        </row>
        <row r="8125">
          <cell r="O8125" t="str">
            <v/>
          </cell>
        </row>
        <row r="8126">
          <cell r="O8126" t="str">
            <v/>
          </cell>
        </row>
        <row r="8127">
          <cell r="O8127" t="str">
            <v/>
          </cell>
        </row>
        <row r="8128">
          <cell r="O8128" t="str">
            <v/>
          </cell>
        </row>
        <row r="8129">
          <cell r="O8129" t="str">
            <v/>
          </cell>
        </row>
        <row r="8130">
          <cell r="O8130" t="str">
            <v/>
          </cell>
        </row>
        <row r="8131">
          <cell r="O8131" t="str">
            <v/>
          </cell>
        </row>
        <row r="8132">
          <cell r="O8132" t="str">
            <v/>
          </cell>
        </row>
        <row r="8133">
          <cell r="O8133" t="str">
            <v/>
          </cell>
        </row>
        <row r="8134">
          <cell r="O8134" t="str">
            <v/>
          </cell>
        </row>
        <row r="8135">
          <cell r="O8135" t="str">
            <v/>
          </cell>
        </row>
        <row r="8136">
          <cell r="O8136" t="str">
            <v/>
          </cell>
        </row>
        <row r="8137">
          <cell r="O8137" t="str">
            <v/>
          </cell>
        </row>
        <row r="8138">
          <cell r="O8138" t="str">
            <v/>
          </cell>
        </row>
        <row r="8139">
          <cell r="O8139" t="str">
            <v/>
          </cell>
        </row>
        <row r="8140">
          <cell r="O8140" t="str">
            <v/>
          </cell>
        </row>
        <row r="8141">
          <cell r="O8141" t="str">
            <v/>
          </cell>
        </row>
        <row r="8142">
          <cell r="O8142" t="str">
            <v/>
          </cell>
        </row>
        <row r="8143">
          <cell r="O8143" t="str">
            <v/>
          </cell>
        </row>
        <row r="8144">
          <cell r="O8144" t="str">
            <v/>
          </cell>
        </row>
        <row r="8145">
          <cell r="O8145" t="str">
            <v/>
          </cell>
        </row>
        <row r="8146">
          <cell r="O8146" t="str">
            <v/>
          </cell>
        </row>
        <row r="8147">
          <cell r="O8147" t="str">
            <v/>
          </cell>
        </row>
        <row r="8148">
          <cell r="O8148" t="str">
            <v/>
          </cell>
        </row>
        <row r="8149">
          <cell r="O8149" t="str">
            <v/>
          </cell>
        </row>
        <row r="8150">
          <cell r="O8150" t="str">
            <v/>
          </cell>
        </row>
        <row r="8151">
          <cell r="O8151" t="str">
            <v/>
          </cell>
        </row>
        <row r="8152">
          <cell r="O8152" t="str">
            <v/>
          </cell>
        </row>
        <row r="8153">
          <cell r="O8153" t="str">
            <v/>
          </cell>
        </row>
        <row r="8154">
          <cell r="O8154" t="str">
            <v/>
          </cell>
        </row>
        <row r="8155">
          <cell r="O8155" t="str">
            <v/>
          </cell>
        </row>
        <row r="8156">
          <cell r="O8156" t="str">
            <v/>
          </cell>
        </row>
        <row r="8157">
          <cell r="O8157" t="str">
            <v/>
          </cell>
        </row>
        <row r="8158">
          <cell r="O8158" t="str">
            <v/>
          </cell>
        </row>
        <row r="8159">
          <cell r="O8159" t="str">
            <v/>
          </cell>
        </row>
        <row r="8160">
          <cell r="O8160" t="str">
            <v/>
          </cell>
        </row>
        <row r="8161">
          <cell r="O8161" t="str">
            <v/>
          </cell>
        </row>
        <row r="8162">
          <cell r="O8162" t="str">
            <v/>
          </cell>
        </row>
        <row r="8163">
          <cell r="O8163" t="str">
            <v/>
          </cell>
        </row>
        <row r="8164">
          <cell r="O8164" t="str">
            <v/>
          </cell>
        </row>
        <row r="8165">
          <cell r="O8165" t="str">
            <v/>
          </cell>
        </row>
        <row r="8166">
          <cell r="O8166" t="str">
            <v/>
          </cell>
        </row>
        <row r="8167">
          <cell r="O8167" t="str">
            <v/>
          </cell>
        </row>
        <row r="8168">
          <cell r="O8168" t="str">
            <v/>
          </cell>
        </row>
        <row r="8169">
          <cell r="O8169" t="str">
            <v/>
          </cell>
        </row>
        <row r="8170">
          <cell r="O8170" t="str">
            <v/>
          </cell>
        </row>
        <row r="8171">
          <cell r="O8171" t="str">
            <v/>
          </cell>
        </row>
        <row r="8172">
          <cell r="O8172" t="str">
            <v/>
          </cell>
        </row>
        <row r="8173">
          <cell r="O8173" t="str">
            <v/>
          </cell>
        </row>
        <row r="8174">
          <cell r="O8174" t="str">
            <v/>
          </cell>
        </row>
        <row r="8175">
          <cell r="O8175" t="str">
            <v/>
          </cell>
        </row>
        <row r="8176">
          <cell r="O8176" t="str">
            <v/>
          </cell>
        </row>
        <row r="8177">
          <cell r="O8177" t="str">
            <v/>
          </cell>
        </row>
        <row r="8178">
          <cell r="O8178" t="str">
            <v/>
          </cell>
        </row>
        <row r="8179">
          <cell r="O8179" t="str">
            <v/>
          </cell>
        </row>
        <row r="8180">
          <cell r="O8180" t="str">
            <v/>
          </cell>
        </row>
        <row r="8181">
          <cell r="O8181" t="str">
            <v/>
          </cell>
        </row>
        <row r="8182">
          <cell r="O8182" t="str">
            <v/>
          </cell>
        </row>
        <row r="8183">
          <cell r="O8183" t="str">
            <v/>
          </cell>
        </row>
        <row r="8184">
          <cell r="O8184" t="str">
            <v/>
          </cell>
        </row>
        <row r="8185">
          <cell r="O8185" t="str">
            <v/>
          </cell>
        </row>
        <row r="8186">
          <cell r="O8186" t="str">
            <v/>
          </cell>
        </row>
        <row r="8187">
          <cell r="O8187" t="str">
            <v/>
          </cell>
        </row>
        <row r="8188">
          <cell r="O8188" t="str">
            <v/>
          </cell>
        </row>
        <row r="8189">
          <cell r="O8189" t="str">
            <v/>
          </cell>
        </row>
        <row r="8190">
          <cell r="O8190" t="str">
            <v/>
          </cell>
        </row>
        <row r="8191">
          <cell r="O8191" t="str">
            <v/>
          </cell>
        </row>
        <row r="8192">
          <cell r="O8192" t="str">
            <v/>
          </cell>
        </row>
        <row r="8193">
          <cell r="O8193" t="str">
            <v/>
          </cell>
        </row>
        <row r="8194">
          <cell r="O8194" t="str">
            <v/>
          </cell>
        </row>
        <row r="8195">
          <cell r="O8195" t="str">
            <v/>
          </cell>
        </row>
        <row r="8196">
          <cell r="O8196" t="str">
            <v/>
          </cell>
        </row>
        <row r="8197">
          <cell r="O8197" t="str">
            <v/>
          </cell>
        </row>
        <row r="8198">
          <cell r="O8198" t="str">
            <v/>
          </cell>
        </row>
        <row r="8199">
          <cell r="O8199" t="str">
            <v/>
          </cell>
        </row>
        <row r="8200">
          <cell r="O8200" t="str">
            <v/>
          </cell>
        </row>
        <row r="8201">
          <cell r="O8201" t="str">
            <v/>
          </cell>
        </row>
        <row r="8202">
          <cell r="O8202" t="str">
            <v/>
          </cell>
        </row>
        <row r="8203">
          <cell r="O8203" t="str">
            <v/>
          </cell>
        </row>
        <row r="8204">
          <cell r="O8204" t="str">
            <v/>
          </cell>
        </row>
        <row r="8205">
          <cell r="O8205" t="str">
            <v/>
          </cell>
        </row>
        <row r="8206">
          <cell r="O8206" t="str">
            <v/>
          </cell>
        </row>
        <row r="8207">
          <cell r="O8207" t="str">
            <v/>
          </cell>
        </row>
        <row r="8208">
          <cell r="O8208" t="str">
            <v/>
          </cell>
        </row>
        <row r="8209">
          <cell r="O8209" t="str">
            <v/>
          </cell>
        </row>
        <row r="8210">
          <cell r="O8210" t="str">
            <v/>
          </cell>
        </row>
        <row r="8211">
          <cell r="O8211" t="str">
            <v/>
          </cell>
        </row>
        <row r="8212">
          <cell r="O8212" t="str">
            <v/>
          </cell>
        </row>
        <row r="8213">
          <cell r="O8213" t="str">
            <v/>
          </cell>
        </row>
        <row r="8214">
          <cell r="O8214" t="str">
            <v/>
          </cell>
        </row>
        <row r="8215">
          <cell r="O8215" t="str">
            <v/>
          </cell>
        </row>
        <row r="8216">
          <cell r="O8216" t="str">
            <v/>
          </cell>
        </row>
        <row r="8217">
          <cell r="O8217" t="str">
            <v/>
          </cell>
        </row>
        <row r="8218">
          <cell r="O8218" t="str">
            <v/>
          </cell>
        </row>
        <row r="8219">
          <cell r="O8219" t="str">
            <v/>
          </cell>
        </row>
        <row r="8220">
          <cell r="O8220" t="str">
            <v/>
          </cell>
        </row>
        <row r="8221">
          <cell r="O8221" t="str">
            <v/>
          </cell>
        </row>
        <row r="8222">
          <cell r="O8222" t="str">
            <v/>
          </cell>
        </row>
        <row r="8223">
          <cell r="O8223" t="str">
            <v/>
          </cell>
        </row>
        <row r="8224">
          <cell r="O8224" t="str">
            <v/>
          </cell>
        </row>
        <row r="8225">
          <cell r="O8225" t="str">
            <v/>
          </cell>
        </row>
        <row r="8226">
          <cell r="O8226" t="str">
            <v/>
          </cell>
        </row>
        <row r="8227">
          <cell r="O8227" t="str">
            <v/>
          </cell>
        </row>
        <row r="8228">
          <cell r="O8228" t="str">
            <v/>
          </cell>
        </row>
        <row r="8229">
          <cell r="O8229" t="str">
            <v/>
          </cell>
        </row>
        <row r="8230">
          <cell r="O8230" t="str">
            <v/>
          </cell>
        </row>
        <row r="8231">
          <cell r="O8231" t="str">
            <v/>
          </cell>
        </row>
        <row r="8232">
          <cell r="O8232" t="str">
            <v/>
          </cell>
        </row>
        <row r="8233">
          <cell r="O8233" t="str">
            <v/>
          </cell>
        </row>
        <row r="8234">
          <cell r="O8234" t="str">
            <v/>
          </cell>
        </row>
        <row r="8235">
          <cell r="O8235" t="str">
            <v/>
          </cell>
        </row>
        <row r="8236">
          <cell r="O8236" t="str">
            <v/>
          </cell>
        </row>
        <row r="8237">
          <cell r="O8237" t="str">
            <v/>
          </cell>
        </row>
        <row r="8238">
          <cell r="O8238" t="str">
            <v/>
          </cell>
        </row>
        <row r="8239">
          <cell r="O8239" t="str">
            <v/>
          </cell>
        </row>
        <row r="8240">
          <cell r="O8240" t="str">
            <v/>
          </cell>
        </row>
        <row r="8241">
          <cell r="O8241" t="str">
            <v/>
          </cell>
        </row>
        <row r="8242">
          <cell r="O8242" t="str">
            <v/>
          </cell>
        </row>
        <row r="8243">
          <cell r="O8243" t="str">
            <v/>
          </cell>
        </row>
        <row r="8244">
          <cell r="O8244" t="str">
            <v/>
          </cell>
        </row>
        <row r="8245">
          <cell r="O8245" t="str">
            <v/>
          </cell>
        </row>
        <row r="8246">
          <cell r="O8246" t="str">
            <v/>
          </cell>
        </row>
        <row r="8247">
          <cell r="O8247" t="str">
            <v/>
          </cell>
        </row>
        <row r="8248">
          <cell r="O8248" t="str">
            <v/>
          </cell>
        </row>
        <row r="8249">
          <cell r="O8249" t="str">
            <v/>
          </cell>
        </row>
        <row r="8250">
          <cell r="O8250" t="str">
            <v/>
          </cell>
        </row>
        <row r="8251">
          <cell r="O8251" t="str">
            <v/>
          </cell>
        </row>
        <row r="8252">
          <cell r="O8252" t="str">
            <v/>
          </cell>
        </row>
        <row r="8253">
          <cell r="O8253" t="str">
            <v/>
          </cell>
        </row>
        <row r="8254">
          <cell r="O8254" t="str">
            <v/>
          </cell>
        </row>
        <row r="8255">
          <cell r="O8255" t="str">
            <v/>
          </cell>
        </row>
        <row r="8256">
          <cell r="O8256" t="str">
            <v/>
          </cell>
        </row>
        <row r="8257">
          <cell r="O8257" t="str">
            <v/>
          </cell>
        </row>
        <row r="8258">
          <cell r="O8258" t="str">
            <v/>
          </cell>
        </row>
        <row r="8259">
          <cell r="O8259" t="str">
            <v/>
          </cell>
        </row>
        <row r="8260">
          <cell r="O8260" t="str">
            <v/>
          </cell>
        </row>
        <row r="8261">
          <cell r="O8261" t="str">
            <v/>
          </cell>
        </row>
        <row r="8262">
          <cell r="O8262" t="str">
            <v/>
          </cell>
        </row>
        <row r="8263">
          <cell r="O8263" t="str">
            <v/>
          </cell>
        </row>
        <row r="8264">
          <cell r="O8264" t="str">
            <v/>
          </cell>
        </row>
        <row r="8265">
          <cell r="O8265" t="str">
            <v/>
          </cell>
        </row>
        <row r="8266">
          <cell r="O8266" t="str">
            <v/>
          </cell>
        </row>
        <row r="8267">
          <cell r="O8267" t="str">
            <v/>
          </cell>
        </row>
        <row r="8268">
          <cell r="O8268" t="str">
            <v/>
          </cell>
        </row>
        <row r="8269">
          <cell r="O8269" t="str">
            <v/>
          </cell>
        </row>
        <row r="8270">
          <cell r="O8270" t="str">
            <v/>
          </cell>
        </row>
        <row r="8271">
          <cell r="O8271" t="str">
            <v/>
          </cell>
        </row>
        <row r="8272">
          <cell r="O8272" t="str">
            <v/>
          </cell>
        </row>
        <row r="8273">
          <cell r="O8273" t="str">
            <v/>
          </cell>
        </row>
        <row r="8274">
          <cell r="O8274" t="str">
            <v/>
          </cell>
        </row>
        <row r="8275">
          <cell r="O8275" t="str">
            <v/>
          </cell>
        </row>
        <row r="8276">
          <cell r="O8276" t="str">
            <v/>
          </cell>
        </row>
        <row r="8277">
          <cell r="O8277" t="str">
            <v/>
          </cell>
        </row>
        <row r="8278">
          <cell r="O8278" t="str">
            <v/>
          </cell>
        </row>
        <row r="8279">
          <cell r="O8279" t="str">
            <v/>
          </cell>
        </row>
        <row r="8280">
          <cell r="O8280" t="str">
            <v/>
          </cell>
        </row>
        <row r="8281">
          <cell r="O8281" t="str">
            <v/>
          </cell>
        </row>
        <row r="8282">
          <cell r="O8282" t="str">
            <v/>
          </cell>
        </row>
        <row r="8283">
          <cell r="O8283" t="str">
            <v/>
          </cell>
        </row>
        <row r="8284">
          <cell r="O8284" t="str">
            <v/>
          </cell>
        </row>
        <row r="8285">
          <cell r="O8285" t="str">
            <v/>
          </cell>
        </row>
        <row r="8286">
          <cell r="O8286" t="str">
            <v/>
          </cell>
        </row>
        <row r="8287">
          <cell r="O8287" t="str">
            <v/>
          </cell>
        </row>
        <row r="8288">
          <cell r="O8288" t="str">
            <v/>
          </cell>
        </row>
        <row r="8289">
          <cell r="O8289" t="str">
            <v/>
          </cell>
        </row>
        <row r="8290">
          <cell r="O8290" t="str">
            <v/>
          </cell>
        </row>
        <row r="8291">
          <cell r="O8291" t="str">
            <v/>
          </cell>
        </row>
        <row r="8292">
          <cell r="O8292" t="str">
            <v/>
          </cell>
        </row>
        <row r="8293">
          <cell r="O8293" t="str">
            <v/>
          </cell>
        </row>
        <row r="8294">
          <cell r="O8294" t="str">
            <v/>
          </cell>
        </row>
        <row r="8295">
          <cell r="O8295" t="str">
            <v/>
          </cell>
        </row>
        <row r="8296">
          <cell r="O8296" t="str">
            <v/>
          </cell>
        </row>
        <row r="8297">
          <cell r="O8297" t="str">
            <v/>
          </cell>
        </row>
        <row r="8298">
          <cell r="O8298" t="str">
            <v/>
          </cell>
        </row>
        <row r="8299">
          <cell r="O8299" t="str">
            <v/>
          </cell>
        </row>
        <row r="8300">
          <cell r="O8300" t="str">
            <v/>
          </cell>
        </row>
        <row r="8301">
          <cell r="O8301" t="str">
            <v/>
          </cell>
        </row>
        <row r="8302">
          <cell r="O8302" t="str">
            <v/>
          </cell>
        </row>
        <row r="8303">
          <cell r="O8303" t="str">
            <v/>
          </cell>
        </row>
        <row r="8304">
          <cell r="O8304" t="str">
            <v/>
          </cell>
        </row>
        <row r="8305">
          <cell r="O8305" t="str">
            <v/>
          </cell>
        </row>
        <row r="8306">
          <cell r="O8306" t="str">
            <v/>
          </cell>
        </row>
        <row r="8307">
          <cell r="O8307" t="str">
            <v/>
          </cell>
        </row>
        <row r="8308">
          <cell r="O8308" t="str">
            <v/>
          </cell>
        </row>
        <row r="8309">
          <cell r="O8309" t="str">
            <v/>
          </cell>
        </row>
        <row r="8310">
          <cell r="O8310" t="str">
            <v/>
          </cell>
        </row>
        <row r="8311">
          <cell r="O8311" t="str">
            <v/>
          </cell>
        </row>
        <row r="8312">
          <cell r="O8312" t="str">
            <v/>
          </cell>
        </row>
        <row r="8313">
          <cell r="O8313" t="str">
            <v/>
          </cell>
        </row>
        <row r="8314">
          <cell r="O8314" t="str">
            <v/>
          </cell>
        </row>
        <row r="8315">
          <cell r="O8315" t="str">
            <v/>
          </cell>
        </row>
        <row r="8316">
          <cell r="O8316" t="str">
            <v/>
          </cell>
        </row>
        <row r="8317">
          <cell r="O8317" t="str">
            <v/>
          </cell>
        </row>
        <row r="8318">
          <cell r="O8318" t="str">
            <v/>
          </cell>
        </row>
        <row r="8319">
          <cell r="O8319" t="str">
            <v/>
          </cell>
        </row>
        <row r="8320">
          <cell r="O8320" t="str">
            <v/>
          </cell>
        </row>
        <row r="8321">
          <cell r="O8321" t="str">
            <v/>
          </cell>
        </row>
        <row r="8322">
          <cell r="O8322" t="str">
            <v/>
          </cell>
        </row>
        <row r="8323">
          <cell r="O8323" t="str">
            <v/>
          </cell>
        </row>
        <row r="8324">
          <cell r="O8324" t="str">
            <v/>
          </cell>
        </row>
        <row r="8325">
          <cell r="O8325" t="str">
            <v/>
          </cell>
        </row>
        <row r="8326">
          <cell r="O8326" t="str">
            <v/>
          </cell>
        </row>
        <row r="8327">
          <cell r="O8327" t="str">
            <v/>
          </cell>
        </row>
        <row r="8328">
          <cell r="O8328" t="str">
            <v/>
          </cell>
        </row>
        <row r="8329">
          <cell r="O8329" t="str">
            <v/>
          </cell>
        </row>
        <row r="8330">
          <cell r="O8330" t="str">
            <v/>
          </cell>
        </row>
        <row r="8331">
          <cell r="O8331" t="str">
            <v/>
          </cell>
        </row>
        <row r="8332">
          <cell r="O8332" t="str">
            <v/>
          </cell>
        </row>
        <row r="8333">
          <cell r="O8333" t="str">
            <v/>
          </cell>
        </row>
        <row r="8334">
          <cell r="O8334" t="str">
            <v/>
          </cell>
        </row>
        <row r="8335">
          <cell r="O8335" t="str">
            <v/>
          </cell>
        </row>
        <row r="8336">
          <cell r="O8336" t="str">
            <v/>
          </cell>
        </row>
        <row r="8337">
          <cell r="O8337" t="str">
            <v/>
          </cell>
        </row>
        <row r="8338">
          <cell r="O8338" t="str">
            <v/>
          </cell>
        </row>
        <row r="8339">
          <cell r="O8339" t="str">
            <v/>
          </cell>
        </row>
        <row r="8340">
          <cell r="O8340" t="str">
            <v/>
          </cell>
        </row>
        <row r="8341">
          <cell r="O8341" t="str">
            <v/>
          </cell>
        </row>
        <row r="8342">
          <cell r="O8342" t="str">
            <v/>
          </cell>
        </row>
        <row r="8343">
          <cell r="O8343" t="str">
            <v/>
          </cell>
        </row>
        <row r="8344">
          <cell r="O8344" t="str">
            <v/>
          </cell>
        </row>
        <row r="8345">
          <cell r="O8345" t="str">
            <v/>
          </cell>
        </row>
        <row r="8346">
          <cell r="O8346" t="str">
            <v/>
          </cell>
        </row>
        <row r="8347">
          <cell r="O8347" t="str">
            <v/>
          </cell>
        </row>
        <row r="8348">
          <cell r="O8348" t="str">
            <v/>
          </cell>
        </row>
        <row r="8349">
          <cell r="O8349" t="str">
            <v/>
          </cell>
        </row>
        <row r="8350">
          <cell r="O8350" t="str">
            <v/>
          </cell>
        </row>
        <row r="8351">
          <cell r="O8351" t="str">
            <v/>
          </cell>
        </row>
        <row r="8352">
          <cell r="O8352" t="str">
            <v/>
          </cell>
        </row>
        <row r="8353">
          <cell r="O8353" t="str">
            <v/>
          </cell>
        </row>
        <row r="8354">
          <cell r="O8354" t="str">
            <v/>
          </cell>
        </row>
        <row r="8355">
          <cell r="O8355" t="str">
            <v/>
          </cell>
        </row>
        <row r="8356">
          <cell r="O8356" t="str">
            <v/>
          </cell>
        </row>
        <row r="8357">
          <cell r="O8357" t="str">
            <v/>
          </cell>
        </row>
        <row r="8358">
          <cell r="O8358" t="str">
            <v/>
          </cell>
        </row>
        <row r="8359">
          <cell r="O8359" t="str">
            <v/>
          </cell>
        </row>
        <row r="8360">
          <cell r="O8360" t="str">
            <v/>
          </cell>
        </row>
        <row r="8361">
          <cell r="O8361" t="str">
            <v/>
          </cell>
        </row>
        <row r="8362">
          <cell r="O8362" t="str">
            <v/>
          </cell>
        </row>
        <row r="8363">
          <cell r="O8363" t="str">
            <v/>
          </cell>
        </row>
        <row r="8364">
          <cell r="O8364" t="str">
            <v/>
          </cell>
        </row>
        <row r="8365">
          <cell r="O8365" t="str">
            <v/>
          </cell>
        </row>
        <row r="8366">
          <cell r="O8366" t="str">
            <v/>
          </cell>
        </row>
        <row r="8367">
          <cell r="O8367" t="str">
            <v/>
          </cell>
        </row>
        <row r="8368">
          <cell r="O8368" t="str">
            <v/>
          </cell>
        </row>
        <row r="8369">
          <cell r="O8369" t="str">
            <v/>
          </cell>
        </row>
        <row r="8370">
          <cell r="O8370" t="str">
            <v/>
          </cell>
        </row>
        <row r="8371">
          <cell r="O8371" t="str">
            <v/>
          </cell>
        </row>
        <row r="8372">
          <cell r="O8372" t="str">
            <v/>
          </cell>
        </row>
        <row r="8373">
          <cell r="O8373" t="str">
            <v/>
          </cell>
        </row>
        <row r="8374">
          <cell r="O8374" t="str">
            <v/>
          </cell>
        </row>
        <row r="8375">
          <cell r="O8375" t="str">
            <v/>
          </cell>
        </row>
        <row r="8376">
          <cell r="O8376" t="str">
            <v/>
          </cell>
        </row>
        <row r="8377">
          <cell r="O8377" t="str">
            <v/>
          </cell>
        </row>
        <row r="8378">
          <cell r="O8378" t="str">
            <v/>
          </cell>
        </row>
        <row r="8379">
          <cell r="O8379" t="str">
            <v/>
          </cell>
        </row>
        <row r="8380">
          <cell r="O8380" t="str">
            <v/>
          </cell>
        </row>
        <row r="8381">
          <cell r="O8381" t="str">
            <v/>
          </cell>
        </row>
        <row r="8382">
          <cell r="O8382" t="str">
            <v/>
          </cell>
        </row>
        <row r="8383">
          <cell r="O8383" t="str">
            <v/>
          </cell>
        </row>
        <row r="8384">
          <cell r="O8384" t="str">
            <v/>
          </cell>
        </row>
        <row r="8385">
          <cell r="O8385" t="str">
            <v/>
          </cell>
        </row>
        <row r="8386">
          <cell r="O8386" t="str">
            <v/>
          </cell>
        </row>
        <row r="8387">
          <cell r="O8387" t="str">
            <v/>
          </cell>
        </row>
        <row r="8388">
          <cell r="O8388" t="str">
            <v/>
          </cell>
        </row>
        <row r="8389">
          <cell r="O8389" t="str">
            <v/>
          </cell>
        </row>
        <row r="8390">
          <cell r="O8390" t="str">
            <v/>
          </cell>
        </row>
        <row r="8391">
          <cell r="O8391" t="str">
            <v/>
          </cell>
        </row>
        <row r="8392">
          <cell r="O8392" t="str">
            <v/>
          </cell>
        </row>
        <row r="8393">
          <cell r="O8393" t="str">
            <v/>
          </cell>
        </row>
        <row r="8394">
          <cell r="O8394" t="str">
            <v/>
          </cell>
        </row>
        <row r="8395">
          <cell r="O8395" t="str">
            <v/>
          </cell>
        </row>
        <row r="8396">
          <cell r="O8396" t="str">
            <v/>
          </cell>
        </row>
        <row r="8397">
          <cell r="O8397" t="str">
            <v/>
          </cell>
        </row>
        <row r="8398">
          <cell r="O8398" t="str">
            <v/>
          </cell>
        </row>
        <row r="8399">
          <cell r="O8399" t="str">
            <v/>
          </cell>
        </row>
        <row r="8400">
          <cell r="O8400" t="str">
            <v/>
          </cell>
        </row>
        <row r="8401">
          <cell r="O8401" t="str">
            <v/>
          </cell>
        </row>
        <row r="8402">
          <cell r="O8402" t="str">
            <v/>
          </cell>
        </row>
        <row r="8403">
          <cell r="O8403" t="str">
            <v/>
          </cell>
        </row>
        <row r="8404">
          <cell r="O8404" t="str">
            <v/>
          </cell>
        </row>
        <row r="8405">
          <cell r="O8405" t="str">
            <v/>
          </cell>
        </row>
        <row r="8406">
          <cell r="O8406" t="str">
            <v/>
          </cell>
        </row>
        <row r="8407">
          <cell r="O8407" t="str">
            <v/>
          </cell>
        </row>
        <row r="8408">
          <cell r="O8408" t="str">
            <v/>
          </cell>
        </row>
        <row r="8409">
          <cell r="O8409" t="str">
            <v/>
          </cell>
        </row>
        <row r="8410">
          <cell r="O8410" t="str">
            <v/>
          </cell>
        </row>
        <row r="8411">
          <cell r="O8411" t="str">
            <v/>
          </cell>
        </row>
        <row r="8412">
          <cell r="O8412" t="str">
            <v/>
          </cell>
        </row>
        <row r="8413">
          <cell r="O8413" t="str">
            <v/>
          </cell>
        </row>
        <row r="8414">
          <cell r="O8414" t="str">
            <v/>
          </cell>
        </row>
        <row r="8415">
          <cell r="O8415" t="str">
            <v/>
          </cell>
        </row>
        <row r="8416">
          <cell r="O8416" t="str">
            <v/>
          </cell>
        </row>
        <row r="8417">
          <cell r="O8417" t="str">
            <v/>
          </cell>
        </row>
        <row r="8418">
          <cell r="O8418" t="str">
            <v/>
          </cell>
        </row>
        <row r="8419">
          <cell r="O8419" t="str">
            <v/>
          </cell>
        </row>
        <row r="8420">
          <cell r="O8420" t="str">
            <v/>
          </cell>
        </row>
        <row r="8421">
          <cell r="O8421" t="str">
            <v/>
          </cell>
        </row>
        <row r="8422">
          <cell r="O8422" t="str">
            <v/>
          </cell>
        </row>
        <row r="8423">
          <cell r="O8423" t="str">
            <v/>
          </cell>
        </row>
        <row r="8424">
          <cell r="O8424" t="str">
            <v/>
          </cell>
        </row>
        <row r="8425">
          <cell r="O8425" t="str">
            <v/>
          </cell>
        </row>
        <row r="8426">
          <cell r="O8426" t="str">
            <v/>
          </cell>
        </row>
        <row r="8427">
          <cell r="O8427" t="str">
            <v/>
          </cell>
        </row>
        <row r="8428">
          <cell r="O8428" t="str">
            <v/>
          </cell>
        </row>
        <row r="8429">
          <cell r="O8429" t="str">
            <v/>
          </cell>
        </row>
        <row r="8430">
          <cell r="O8430" t="str">
            <v/>
          </cell>
        </row>
        <row r="8431">
          <cell r="O8431" t="str">
            <v/>
          </cell>
        </row>
        <row r="8432">
          <cell r="O8432" t="str">
            <v/>
          </cell>
        </row>
        <row r="8433">
          <cell r="O8433" t="str">
            <v/>
          </cell>
        </row>
        <row r="8434">
          <cell r="O8434" t="str">
            <v/>
          </cell>
        </row>
        <row r="8435">
          <cell r="O8435" t="str">
            <v/>
          </cell>
        </row>
        <row r="8436">
          <cell r="O8436" t="str">
            <v/>
          </cell>
        </row>
        <row r="8437">
          <cell r="O8437" t="str">
            <v/>
          </cell>
        </row>
        <row r="8438">
          <cell r="O8438" t="str">
            <v/>
          </cell>
        </row>
        <row r="8439">
          <cell r="O8439" t="str">
            <v/>
          </cell>
        </row>
        <row r="8440">
          <cell r="O8440" t="str">
            <v/>
          </cell>
        </row>
        <row r="8441">
          <cell r="O8441" t="str">
            <v/>
          </cell>
        </row>
        <row r="8442">
          <cell r="O8442" t="str">
            <v/>
          </cell>
        </row>
        <row r="8443">
          <cell r="O8443" t="str">
            <v/>
          </cell>
        </row>
        <row r="8444">
          <cell r="O8444" t="str">
            <v/>
          </cell>
        </row>
        <row r="8445">
          <cell r="O8445" t="str">
            <v/>
          </cell>
        </row>
        <row r="8446">
          <cell r="O8446" t="str">
            <v/>
          </cell>
        </row>
        <row r="8447">
          <cell r="O8447" t="str">
            <v/>
          </cell>
        </row>
        <row r="8448">
          <cell r="O8448" t="str">
            <v/>
          </cell>
        </row>
        <row r="8449">
          <cell r="O8449" t="str">
            <v/>
          </cell>
        </row>
        <row r="8450">
          <cell r="O8450" t="str">
            <v/>
          </cell>
        </row>
        <row r="8451">
          <cell r="O8451" t="str">
            <v/>
          </cell>
        </row>
        <row r="8452">
          <cell r="O8452" t="str">
            <v/>
          </cell>
        </row>
        <row r="8453">
          <cell r="O8453" t="str">
            <v/>
          </cell>
        </row>
        <row r="8454">
          <cell r="O8454" t="str">
            <v/>
          </cell>
        </row>
        <row r="8455">
          <cell r="O8455" t="str">
            <v/>
          </cell>
        </row>
        <row r="8456">
          <cell r="O8456" t="str">
            <v/>
          </cell>
        </row>
        <row r="8457">
          <cell r="O8457" t="str">
            <v/>
          </cell>
        </row>
        <row r="8458">
          <cell r="O8458" t="str">
            <v/>
          </cell>
        </row>
        <row r="8459">
          <cell r="O8459" t="str">
            <v/>
          </cell>
        </row>
        <row r="8460">
          <cell r="O8460" t="str">
            <v/>
          </cell>
        </row>
        <row r="8461">
          <cell r="O8461" t="str">
            <v/>
          </cell>
        </row>
        <row r="8462">
          <cell r="O8462" t="str">
            <v/>
          </cell>
        </row>
        <row r="8463">
          <cell r="O8463" t="str">
            <v/>
          </cell>
        </row>
        <row r="8464">
          <cell r="O8464" t="str">
            <v/>
          </cell>
        </row>
        <row r="8465">
          <cell r="O8465" t="str">
            <v/>
          </cell>
        </row>
        <row r="8466">
          <cell r="O8466" t="str">
            <v/>
          </cell>
        </row>
        <row r="8467">
          <cell r="O8467" t="str">
            <v/>
          </cell>
        </row>
        <row r="8468">
          <cell r="O8468" t="str">
            <v/>
          </cell>
        </row>
        <row r="8469">
          <cell r="O8469" t="str">
            <v/>
          </cell>
        </row>
        <row r="8470">
          <cell r="O8470" t="str">
            <v/>
          </cell>
        </row>
        <row r="8471">
          <cell r="O8471" t="str">
            <v/>
          </cell>
        </row>
        <row r="8472">
          <cell r="O8472" t="str">
            <v/>
          </cell>
        </row>
        <row r="8473">
          <cell r="O8473" t="str">
            <v/>
          </cell>
        </row>
        <row r="8474">
          <cell r="O8474" t="str">
            <v/>
          </cell>
        </row>
        <row r="8475">
          <cell r="O8475" t="str">
            <v/>
          </cell>
        </row>
        <row r="8476">
          <cell r="O8476" t="str">
            <v/>
          </cell>
        </row>
        <row r="8477">
          <cell r="O8477" t="str">
            <v/>
          </cell>
        </row>
        <row r="8478">
          <cell r="O8478" t="str">
            <v/>
          </cell>
        </row>
        <row r="8479">
          <cell r="O8479" t="str">
            <v/>
          </cell>
        </row>
        <row r="8480">
          <cell r="O8480" t="str">
            <v/>
          </cell>
        </row>
        <row r="8481">
          <cell r="O8481" t="str">
            <v/>
          </cell>
        </row>
        <row r="8482">
          <cell r="O8482" t="str">
            <v/>
          </cell>
        </row>
        <row r="8483">
          <cell r="O8483" t="str">
            <v/>
          </cell>
        </row>
        <row r="8484">
          <cell r="O8484" t="str">
            <v/>
          </cell>
        </row>
        <row r="8485">
          <cell r="O8485" t="str">
            <v/>
          </cell>
        </row>
        <row r="8486">
          <cell r="O8486" t="str">
            <v/>
          </cell>
        </row>
        <row r="8487">
          <cell r="O8487" t="str">
            <v/>
          </cell>
        </row>
        <row r="8488">
          <cell r="O8488" t="str">
            <v/>
          </cell>
        </row>
        <row r="8489">
          <cell r="O8489" t="str">
            <v/>
          </cell>
        </row>
        <row r="8490">
          <cell r="O8490" t="str">
            <v/>
          </cell>
        </row>
        <row r="8491">
          <cell r="O8491" t="str">
            <v/>
          </cell>
        </row>
        <row r="8492">
          <cell r="O8492" t="str">
            <v/>
          </cell>
        </row>
        <row r="8493">
          <cell r="O8493" t="str">
            <v/>
          </cell>
        </row>
        <row r="8494">
          <cell r="O8494" t="str">
            <v/>
          </cell>
        </row>
        <row r="8495">
          <cell r="O8495" t="str">
            <v/>
          </cell>
        </row>
        <row r="8496">
          <cell r="O8496" t="str">
            <v/>
          </cell>
        </row>
        <row r="8497">
          <cell r="O8497" t="str">
            <v/>
          </cell>
        </row>
        <row r="8498">
          <cell r="O8498" t="str">
            <v/>
          </cell>
        </row>
        <row r="8499">
          <cell r="O8499" t="str">
            <v/>
          </cell>
        </row>
        <row r="8500">
          <cell r="O8500" t="str">
            <v/>
          </cell>
        </row>
        <row r="8501">
          <cell r="O8501" t="str">
            <v/>
          </cell>
        </row>
        <row r="8502">
          <cell r="O8502" t="str">
            <v/>
          </cell>
        </row>
        <row r="8503">
          <cell r="O8503" t="str">
            <v/>
          </cell>
        </row>
        <row r="8504">
          <cell r="O8504" t="str">
            <v/>
          </cell>
        </row>
        <row r="8505">
          <cell r="O8505" t="str">
            <v/>
          </cell>
        </row>
        <row r="8506">
          <cell r="O8506" t="str">
            <v/>
          </cell>
        </row>
        <row r="8507">
          <cell r="O8507" t="str">
            <v/>
          </cell>
        </row>
        <row r="8508">
          <cell r="O8508" t="str">
            <v/>
          </cell>
        </row>
        <row r="8509">
          <cell r="O8509" t="str">
            <v/>
          </cell>
        </row>
        <row r="8510">
          <cell r="O8510" t="str">
            <v/>
          </cell>
        </row>
        <row r="8511">
          <cell r="O8511" t="str">
            <v/>
          </cell>
        </row>
        <row r="8512">
          <cell r="O8512" t="str">
            <v/>
          </cell>
        </row>
        <row r="8513">
          <cell r="O8513" t="str">
            <v/>
          </cell>
        </row>
        <row r="8514">
          <cell r="O8514" t="str">
            <v/>
          </cell>
        </row>
        <row r="8515">
          <cell r="O8515" t="str">
            <v/>
          </cell>
        </row>
        <row r="8516">
          <cell r="O8516" t="str">
            <v/>
          </cell>
        </row>
        <row r="8517">
          <cell r="O8517" t="str">
            <v/>
          </cell>
        </row>
        <row r="8518">
          <cell r="O8518" t="str">
            <v/>
          </cell>
        </row>
        <row r="8519">
          <cell r="O8519" t="str">
            <v/>
          </cell>
        </row>
        <row r="8520">
          <cell r="O8520" t="str">
            <v/>
          </cell>
        </row>
        <row r="8521">
          <cell r="O8521" t="str">
            <v/>
          </cell>
        </row>
        <row r="8522">
          <cell r="O8522" t="str">
            <v/>
          </cell>
        </row>
        <row r="8523">
          <cell r="O8523" t="str">
            <v/>
          </cell>
        </row>
        <row r="8524">
          <cell r="O8524" t="str">
            <v/>
          </cell>
        </row>
        <row r="8525">
          <cell r="O8525" t="str">
            <v/>
          </cell>
        </row>
        <row r="8526">
          <cell r="O8526" t="str">
            <v/>
          </cell>
        </row>
        <row r="8527">
          <cell r="O8527" t="str">
            <v/>
          </cell>
        </row>
        <row r="8528">
          <cell r="O8528" t="str">
            <v/>
          </cell>
        </row>
        <row r="8529">
          <cell r="O8529" t="str">
            <v/>
          </cell>
        </row>
        <row r="8530">
          <cell r="O8530" t="str">
            <v/>
          </cell>
        </row>
        <row r="8531">
          <cell r="O8531" t="str">
            <v/>
          </cell>
        </row>
        <row r="8532">
          <cell r="O8532" t="str">
            <v/>
          </cell>
        </row>
        <row r="8533">
          <cell r="O8533" t="str">
            <v/>
          </cell>
        </row>
        <row r="8534">
          <cell r="O8534" t="str">
            <v/>
          </cell>
        </row>
        <row r="8535">
          <cell r="O8535" t="str">
            <v/>
          </cell>
        </row>
        <row r="8536">
          <cell r="O8536" t="str">
            <v/>
          </cell>
        </row>
        <row r="8537">
          <cell r="O8537" t="str">
            <v/>
          </cell>
        </row>
        <row r="8538">
          <cell r="O8538" t="str">
            <v/>
          </cell>
        </row>
        <row r="8539">
          <cell r="O8539" t="str">
            <v/>
          </cell>
        </row>
        <row r="8540">
          <cell r="O8540" t="str">
            <v/>
          </cell>
        </row>
        <row r="8541">
          <cell r="O8541" t="str">
            <v/>
          </cell>
        </row>
        <row r="8542">
          <cell r="O8542" t="str">
            <v/>
          </cell>
        </row>
        <row r="8543">
          <cell r="O8543" t="str">
            <v/>
          </cell>
        </row>
        <row r="8544">
          <cell r="O8544" t="str">
            <v/>
          </cell>
        </row>
        <row r="8545">
          <cell r="O8545" t="str">
            <v/>
          </cell>
        </row>
        <row r="8546">
          <cell r="O8546" t="str">
            <v/>
          </cell>
        </row>
        <row r="8547">
          <cell r="O8547" t="str">
            <v/>
          </cell>
        </row>
        <row r="8548">
          <cell r="O8548" t="str">
            <v/>
          </cell>
        </row>
        <row r="8549">
          <cell r="O8549" t="str">
            <v/>
          </cell>
        </row>
        <row r="8550">
          <cell r="O8550" t="str">
            <v/>
          </cell>
        </row>
        <row r="8551">
          <cell r="O8551" t="str">
            <v/>
          </cell>
        </row>
        <row r="8552">
          <cell r="O8552" t="str">
            <v/>
          </cell>
        </row>
        <row r="8553">
          <cell r="O8553" t="str">
            <v/>
          </cell>
        </row>
        <row r="8554">
          <cell r="O8554" t="str">
            <v/>
          </cell>
        </row>
        <row r="8555">
          <cell r="O8555" t="str">
            <v/>
          </cell>
        </row>
        <row r="8556">
          <cell r="O8556" t="str">
            <v/>
          </cell>
        </row>
        <row r="8557">
          <cell r="O8557" t="str">
            <v/>
          </cell>
        </row>
        <row r="8558">
          <cell r="O8558" t="str">
            <v/>
          </cell>
        </row>
        <row r="8559">
          <cell r="O8559" t="str">
            <v/>
          </cell>
        </row>
        <row r="8560">
          <cell r="O8560" t="str">
            <v/>
          </cell>
        </row>
        <row r="8561">
          <cell r="O8561" t="str">
            <v/>
          </cell>
        </row>
        <row r="8562">
          <cell r="O8562" t="str">
            <v/>
          </cell>
        </row>
        <row r="8563">
          <cell r="O8563" t="str">
            <v/>
          </cell>
        </row>
        <row r="8564">
          <cell r="O8564" t="str">
            <v/>
          </cell>
        </row>
        <row r="8565">
          <cell r="O8565" t="str">
            <v/>
          </cell>
        </row>
        <row r="8566">
          <cell r="O8566" t="str">
            <v/>
          </cell>
        </row>
        <row r="8567">
          <cell r="O8567" t="str">
            <v/>
          </cell>
        </row>
        <row r="8568">
          <cell r="O8568" t="str">
            <v/>
          </cell>
        </row>
        <row r="8569">
          <cell r="O8569" t="str">
            <v/>
          </cell>
        </row>
        <row r="8570">
          <cell r="O8570" t="str">
            <v/>
          </cell>
        </row>
        <row r="8571">
          <cell r="O8571" t="str">
            <v/>
          </cell>
        </row>
        <row r="8572">
          <cell r="O8572" t="str">
            <v/>
          </cell>
        </row>
        <row r="8573">
          <cell r="O8573" t="str">
            <v/>
          </cell>
        </row>
        <row r="8574">
          <cell r="O8574" t="str">
            <v/>
          </cell>
        </row>
        <row r="8575">
          <cell r="O8575" t="str">
            <v/>
          </cell>
        </row>
        <row r="8576">
          <cell r="O8576" t="str">
            <v/>
          </cell>
        </row>
        <row r="8577">
          <cell r="O8577" t="str">
            <v/>
          </cell>
        </row>
        <row r="8578">
          <cell r="O8578" t="str">
            <v/>
          </cell>
        </row>
        <row r="8579">
          <cell r="O8579" t="str">
            <v/>
          </cell>
        </row>
        <row r="8580">
          <cell r="O8580" t="str">
            <v/>
          </cell>
        </row>
        <row r="8581">
          <cell r="O8581" t="str">
            <v/>
          </cell>
        </row>
        <row r="8582">
          <cell r="O8582" t="str">
            <v/>
          </cell>
        </row>
        <row r="8583">
          <cell r="O8583" t="str">
            <v/>
          </cell>
        </row>
        <row r="8584">
          <cell r="O8584" t="str">
            <v/>
          </cell>
        </row>
        <row r="8585">
          <cell r="O8585" t="str">
            <v/>
          </cell>
        </row>
        <row r="8586">
          <cell r="O8586" t="str">
            <v/>
          </cell>
        </row>
        <row r="8587">
          <cell r="O8587" t="str">
            <v/>
          </cell>
        </row>
        <row r="8588">
          <cell r="O8588" t="str">
            <v/>
          </cell>
        </row>
        <row r="8589">
          <cell r="O8589" t="str">
            <v/>
          </cell>
        </row>
        <row r="8590">
          <cell r="O8590" t="str">
            <v/>
          </cell>
        </row>
        <row r="8591">
          <cell r="O8591" t="str">
            <v/>
          </cell>
        </row>
        <row r="8592">
          <cell r="O8592" t="str">
            <v/>
          </cell>
        </row>
        <row r="8593">
          <cell r="O8593" t="str">
            <v/>
          </cell>
        </row>
        <row r="8594">
          <cell r="O8594" t="str">
            <v/>
          </cell>
        </row>
        <row r="8595">
          <cell r="O8595" t="str">
            <v/>
          </cell>
        </row>
        <row r="8596">
          <cell r="O8596" t="str">
            <v/>
          </cell>
        </row>
        <row r="8597">
          <cell r="O8597" t="str">
            <v/>
          </cell>
        </row>
        <row r="8598">
          <cell r="O8598" t="str">
            <v/>
          </cell>
        </row>
        <row r="8599">
          <cell r="O8599" t="str">
            <v/>
          </cell>
        </row>
        <row r="8600">
          <cell r="O8600" t="str">
            <v/>
          </cell>
        </row>
        <row r="8601">
          <cell r="O8601" t="str">
            <v/>
          </cell>
        </row>
        <row r="8602">
          <cell r="O8602" t="str">
            <v/>
          </cell>
        </row>
        <row r="8603">
          <cell r="O8603" t="str">
            <v/>
          </cell>
        </row>
        <row r="8604">
          <cell r="O8604" t="str">
            <v/>
          </cell>
        </row>
        <row r="8605">
          <cell r="O8605" t="str">
            <v/>
          </cell>
        </row>
        <row r="8606">
          <cell r="O8606" t="str">
            <v/>
          </cell>
        </row>
        <row r="8607">
          <cell r="O8607" t="str">
            <v/>
          </cell>
        </row>
        <row r="8608">
          <cell r="O8608" t="str">
            <v/>
          </cell>
        </row>
        <row r="8609">
          <cell r="O8609" t="str">
            <v/>
          </cell>
        </row>
        <row r="8610">
          <cell r="O8610" t="str">
            <v/>
          </cell>
        </row>
        <row r="8611">
          <cell r="O8611" t="str">
            <v/>
          </cell>
        </row>
        <row r="8612">
          <cell r="O8612" t="str">
            <v/>
          </cell>
        </row>
        <row r="8613">
          <cell r="O8613" t="str">
            <v/>
          </cell>
        </row>
        <row r="8614">
          <cell r="O8614" t="str">
            <v/>
          </cell>
        </row>
        <row r="8615">
          <cell r="O8615" t="str">
            <v/>
          </cell>
        </row>
        <row r="8616">
          <cell r="O8616" t="str">
            <v/>
          </cell>
        </row>
        <row r="8617">
          <cell r="O8617" t="str">
            <v/>
          </cell>
        </row>
        <row r="8618">
          <cell r="O8618" t="str">
            <v/>
          </cell>
        </row>
        <row r="8619">
          <cell r="O8619" t="str">
            <v/>
          </cell>
        </row>
        <row r="8620">
          <cell r="O8620" t="str">
            <v/>
          </cell>
        </row>
        <row r="8621">
          <cell r="O8621" t="str">
            <v/>
          </cell>
        </row>
        <row r="8622">
          <cell r="O8622" t="str">
            <v/>
          </cell>
        </row>
        <row r="8623">
          <cell r="O8623" t="str">
            <v/>
          </cell>
        </row>
        <row r="8624">
          <cell r="O8624" t="str">
            <v/>
          </cell>
        </row>
        <row r="8625">
          <cell r="O8625" t="str">
            <v/>
          </cell>
        </row>
        <row r="8626">
          <cell r="O8626" t="str">
            <v/>
          </cell>
        </row>
        <row r="8627">
          <cell r="O8627" t="str">
            <v/>
          </cell>
        </row>
        <row r="8628">
          <cell r="O8628" t="str">
            <v/>
          </cell>
        </row>
        <row r="8629">
          <cell r="O8629" t="str">
            <v/>
          </cell>
        </row>
        <row r="8630">
          <cell r="O8630" t="str">
            <v/>
          </cell>
        </row>
        <row r="8631">
          <cell r="O8631" t="str">
            <v/>
          </cell>
        </row>
        <row r="8632">
          <cell r="O8632" t="str">
            <v/>
          </cell>
        </row>
        <row r="8633">
          <cell r="O8633" t="str">
            <v/>
          </cell>
        </row>
        <row r="8634">
          <cell r="O8634" t="str">
            <v/>
          </cell>
        </row>
        <row r="8635">
          <cell r="O8635" t="str">
            <v/>
          </cell>
        </row>
        <row r="8636">
          <cell r="O8636" t="str">
            <v/>
          </cell>
        </row>
        <row r="8637">
          <cell r="O8637" t="str">
            <v/>
          </cell>
        </row>
        <row r="8638">
          <cell r="O8638" t="str">
            <v/>
          </cell>
        </row>
        <row r="8639">
          <cell r="O8639" t="str">
            <v/>
          </cell>
        </row>
        <row r="8640">
          <cell r="O8640" t="str">
            <v/>
          </cell>
        </row>
        <row r="8641">
          <cell r="O8641" t="str">
            <v/>
          </cell>
        </row>
        <row r="8642">
          <cell r="O8642" t="str">
            <v/>
          </cell>
        </row>
        <row r="8643">
          <cell r="O8643" t="str">
            <v/>
          </cell>
        </row>
        <row r="8644">
          <cell r="O8644" t="str">
            <v/>
          </cell>
        </row>
        <row r="8645">
          <cell r="O8645" t="str">
            <v/>
          </cell>
        </row>
        <row r="8646">
          <cell r="O8646" t="str">
            <v/>
          </cell>
        </row>
        <row r="8647">
          <cell r="O8647" t="str">
            <v/>
          </cell>
        </row>
        <row r="8648">
          <cell r="O8648" t="str">
            <v/>
          </cell>
        </row>
        <row r="8649">
          <cell r="O8649" t="str">
            <v/>
          </cell>
        </row>
        <row r="8650">
          <cell r="O8650" t="str">
            <v/>
          </cell>
        </row>
        <row r="8651">
          <cell r="O8651" t="str">
            <v/>
          </cell>
        </row>
        <row r="8652">
          <cell r="O8652" t="str">
            <v/>
          </cell>
        </row>
        <row r="8653">
          <cell r="O8653" t="str">
            <v/>
          </cell>
        </row>
        <row r="8654">
          <cell r="O8654" t="str">
            <v/>
          </cell>
        </row>
        <row r="8655">
          <cell r="O8655" t="str">
            <v/>
          </cell>
        </row>
        <row r="8656">
          <cell r="O8656" t="str">
            <v/>
          </cell>
        </row>
        <row r="8657">
          <cell r="O8657" t="str">
            <v/>
          </cell>
        </row>
        <row r="8658">
          <cell r="O8658" t="str">
            <v/>
          </cell>
        </row>
        <row r="8659">
          <cell r="O8659" t="str">
            <v/>
          </cell>
        </row>
        <row r="8660">
          <cell r="O8660" t="str">
            <v/>
          </cell>
        </row>
        <row r="8661">
          <cell r="O8661" t="str">
            <v/>
          </cell>
        </row>
        <row r="8662">
          <cell r="O8662" t="str">
            <v/>
          </cell>
        </row>
        <row r="8663">
          <cell r="O8663" t="str">
            <v/>
          </cell>
        </row>
        <row r="8664">
          <cell r="O8664" t="str">
            <v/>
          </cell>
        </row>
        <row r="8665">
          <cell r="O8665" t="str">
            <v/>
          </cell>
        </row>
        <row r="8666">
          <cell r="O8666" t="str">
            <v/>
          </cell>
        </row>
        <row r="8667">
          <cell r="O8667" t="str">
            <v/>
          </cell>
        </row>
        <row r="8668">
          <cell r="O8668" t="str">
            <v/>
          </cell>
        </row>
        <row r="8669">
          <cell r="O8669" t="str">
            <v/>
          </cell>
        </row>
        <row r="8670">
          <cell r="O8670" t="str">
            <v/>
          </cell>
        </row>
        <row r="8671">
          <cell r="O8671" t="str">
            <v/>
          </cell>
        </row>
        <row r="8672">
          <cell r="O8672" t="str">
            <v/>
          </cell>
        </row>
        <row r="8673">
          <cell r="O8673" t="str">
            <v/>
          </cell>
        </row>
        <row r="8674">
          <cell r="O8674" t="str">
            <v/>
          </cell>
        </row>
        <row r="8675">
          <cell r="O8675" t="str">
            <v/>
          </cell>
        </row>
        <row r="8676">
          <cell r="O8676" t="str">
            <v/>
          </cell>
        </row>
        <row r="8677">
          <cell r="O8677" t="str">
            <v/>
          </cell>
        </row>
        <row r="8678">
          <cell r="O8678" t="str">
            <v/>
          </cell>
        </row>
        <row r="8679">
          <cell r="O8679" t="str">
            <v/>
          </cell>
        </row>
        <row r="8680">
          <cell r="O8680" t="str">
            <v/>
          </cell>
        </row>
        <row r="8681">
          <cell r="O8681" t="str">
            <v/>
          </cell>
        </row>
        <row r="8682">
          <cell r="O8682" t="str">
            <v/>
          </cell>
        </row>
        <row r="8683">
          <cell r="O8683" t="str">
            <v/>
          </cell>
        </row>
        <row r="8684">
          <cell r="O8684" t="str">
            <v/>
          </cell>
        </row>
        <row r="8685">
          <cell r="O8685" t="str">
            <v/>
          </cell>
        </row>
        <row r="8686">
          <cell r="O8686" t="str">
            <v/>
          </cell>
        </row>
        <row r="8687">
          <cell r="O8687" t="str">
            <v/>
          </cell>
        </row>
        <row r="8688">
          <cell r="O8688" t="str">
            <v/>
          </cell>
        </row>
        <row r="8689">
          <cell r="O8689" t="str">
            <v/>
          </cell>
        </row>
        <row r="8690">
          <cell r="O8690" t="str">
            <v/>
          </cell>
        </row>
        <row r="8691">
          <cell r="O8691" t="str">
            <v/>
          </cell>
        </row>
        <row r="8692">
          <cell r="O8692" t="str">
            <v/>
          </cell>
        </row>
        <row r="8693">
          <cell r="O8693" t="str">
            <v/>
          </cell>
        </row>
        <row r="8694">
          <cell r="O8694" t="str">
            <v/>
          </cell>
        </row>
        <row r="8695">
          <cell r="O8695" t="str">
            <v/>
          </cell>
        </row>
        <row r="8696">
          <cell r="O8696" t="str">
            <v/>
          </cell>
        </row>
        <row r="8697">
          <cell r="O8697" t="str">
            <v/>
          </cell>
        </row>
        <row r="8698">
          <cell r="O8698" t="str">
            <v/>
          </cell>
        </row>
        <row r="8699">
          <cell r="O8699" t="str">
            <v/>
          </cell>
        </row>
        <row r="8700">
          <cell r="O8700" t="str">
            <v/>
          </cell>
        </row>
        <row r="8701">
          <cell r="O8701" t="str">
            <v/>
          </cell>
        </row>
        <row r="8702">
          <cell r="O8702" t="str">
            <v/>
          </cell>
        </row>
        <row r="8703">
          <cell r="O8703" t="str">
            <v/>
          </cell>
        </row>
        <row r="8704">
          <cell r="O8704" t="str">
            <v/>
          </cell>
        </row>
        <row r="8705">
          <cell r="O8705" t="str">
            <v/>
          </cell>
        </row>
        <row r="8706">
          <cell r="O8706" t="str">
            <v/>
          </cell>
        </row>
        <row r="8707">
          <cell r="O8707" t="str">
            <v/>
          </cell>
        </row>
        <row r="8708">
          <cell r="O8708" t="str">
            <v/>
          </cell>
        </row>
        <row r="8709">
          <cell r="O8709" t="str">
            <v/>
          </cell>
        </row>
        <row r="8710">
          <cell r="O8710" t="str">
            <v/>
          </cell>
        </row>
        <row r="8711">
          <cell r="O8711" t="str">
            <v/>
          </cell>
        </row>
        <row r="8712">
          <cell r="O8712" t="str">
            <v/>
          </cell>
        </row>
        <row r="8713">
          <cell r="O8713" t="str">
            <v/>
          </cell>
        </row>
        <row r="8714">
          <cell r="O8714" t="str">
            <v/>
          </cell>
        </row>
        <row r="8715">
          <cell r="O8715" t="str">
            <v/>
          </cell>
        </row>
        <row r="8716">
          <cell r="O8716" t="str">
            <v/>
          </cell>
        </row>
        <row r="8717">
          <cell r="O8717" t="str">
            <v/>
          </cell>
        </row>
        <row r="8718">
          <cell r="O8718" t="str">
            <v/>
          </cell>
        </row>
        <row r="8719">
          <cell r="O8719" t="str">
            <v/>
          </cell>
        </row>
        <row r="8720">
          <cell r="O8720" t="str">
            <v/>
          </cell>
        </row>
        <row r="8721">
          <cell r="O8721" t="str">
            <v/>
          </cell>
        </row>
        <row r="8722">
          <cell r="O8722" t="str">
            <v/>
          </cell>
        </row>
        <row r="8723">
          <cell r="O8723" t="str">
            <v/>
          </cell>
        </row>
        <row r="8724">
          <cell r="O8724" t="str">
            <v/>
          </cell>
        </row>
        <row r="8725">
          <cell r="O8725" t="str">
            <v/>
          </cell>
        </row>
        <row r="8726">
          <cell r="O8726" t="str">
            <v/>
          </cell>
        </row>
        <row r="8727">
          <cell r="O8727" t="str">
            <v/>
          </cell>
        </row>
        <row r="8728">
          <cell r="O8728" t="str">
            <v/>
          </cell>
        </row>
        <row r="8729">
          <cell r="O8729" t="str">
            <v/>
          </cell>
        </row>
        <row r="8730">
          <cell r="O8730" t="str">
            <v/>
          </cell>
        </row>
        <row r="8731">
          <cell r="O8731" t="str">
            <v/>
          </cell>
        </row>
        <row r="8732">
          <cell r="O8732" t="str">
            <v/>
          </cell>
        </row>
        <row r="8733">
          <cell r="O8733" t="str">
            <v/>
          </cell>
        </row>
        <row r="8734">
          <cell r="O8734" t="str">
            <v/>
          </cell>
        </row>
        <row r="8735">
          <cell r="O8735" t="str">
            <v/>
          </cell>
        </row>
        <row r="8736">
          <cell r="O8736" t="str">
            <v/>
          </cell>
        </row>
        <row r="8737">
          <cell r="O8737" t="str">
            <v/>
          </cell>
        </row>
        <row r="8738">
          <cell r="O8738" t="str">
            <v/>
          </cell>
        </row>
        <row r="8739">
          <cell r="O8739" t="str">
            <v/>
          </cell>
        </row>
        <row r="8740">
          <cell r="O8740" t="str">
            <v/>
          </cell>
        </row>
        <row r="8741">
          <cell r="O8741" t="str">
            <v/>
          </cell>
        </row>
        <row r="8742">
          <cell r="O8742" t="str">
            <v/>
          </cell>
        </row>
        <row r="8743">
          <cell r="O8743" t="str">
            <v/>
          </cell>
        </row>
        <row r="8744">
          <cell r="O8744" t="str">
            <v/>
          </cell>
        </row>
        <row r="8745">
          <cell r="O8745" t="str">
            <v/>
          </cell>
        </row>
        <row r="8746">
          <cell r="O8746" t="str">
            <v/>
          </cell>
        </row>
        <row r="8747">
          <cell r="O8747" t="str">
            <v/>
          </cell>
        </row>
        <row r="8748">
          <cell r="O8748" t="str">
            <v/>
          </cell>
        </row>
        <row r="8749">
          <cell r="O8749" t="str">
            <v/>
          </cell>
        </row>
        <row r="8750">
          <cell r="O8750" t="str">
            <v/>
          </cell>
        </row>
        <row r="8751">
          <cell r="O8751" t="str">
            <v/>
          </cell>
        </row>
        <row r="8752">
          <cell r="O8752" t="str">
            <v/>
          </cell>
        </row>
        <row r="8753">
          <cell r="O8753" t="str">
            <v/>
          </cell>
        </row>
        <row r="8754">
          <cell r="O8754" t="str">
            <v/>
          </cell>
        </row>
        <row r="8755">
          <cell r="O8755" t="str">
            <v/>
          </cell>
        </row>
        <row r="8756">
          <cell r="O8756" t="str">
            <v/>
          </cell>
        </row>
        <row r="8757">
          <cell r="O8757" t="str">
            <v/>
          </cell>
        </row>
        <row r="8758">
          <cell r="O8758" t="str">
            <v/>
          </cell>
        </row>
        <row r="8759">
          <cell r="O8759" t="str">
            <v/>
          </cell>
        </row>
        <row r="8760">
          <cell r="O8760" t="str">
            <v/>
          </cell>
        </row>
        <row r="8761">
          <cell r="O8761" t="str">
            <v/>
          </cell>
        </row>
        <row r="8762">
          <cell r="O8762" t="str">
            <v/>
          </cell>
        </row>
        <row r="8763">
          <cell r="O8763" t="str">
            <v/>
          </cell>
        </row>
        <row r="8764">
          <cell r="O8764" t="str">
            <v/>
          </cell>
        </row>
        <row r="8765">
          <cell r="O8765" t="str">
            <v/>
          </cell>
        </row>
        <row r="8766">
          <cell r="O8766" t="str">
            <v/>
          </cell>
        </row>
        <row r="8767">
          <cell r="O8767" t="str">
            <v/>
          </cell>
        </row>
        <row r="8768">
          <cell r="O8768" t="str">
            <v/>
          </cell>
        </row>
        <row r="8769">
          <cell r="O8769" t="str">
            <v/>
          </cell>
        </row>
        <row r="8770">
          <cell r="O8770" t="str">
            <v/>
          </cell>
        </row>
        <row r="8771">
          <cell r="O8771" t="str">
            <v/>
          </cell>
        </row>
        <row r="8772">
          <cell r="O8772" t="str">
            <v/>
          </cell>
        </row>
        <row r="8773">
          <cell r="O8773" t="str">
            <v/>
          </cell>
        </row>
        <row r="8774">
          <cell r="O8774" t="str">
            <v/>
          </cell>
        </row>
        <row r="8775">
          <cell r="O8775" t="str">
            <v/>
          </cell>
        </row>
        <row r="8776">
          <cell r="O8776" t="str">
            <v/>
          </cell>
        </row>
        <row r="8777">
          <cell r="O8777" t="str">
            <v/>
          </cell>
        </row>
        <row r="8778">
          <cell r="O8778" t="str">
            <v/>
          </cell>
        </row>
        <row r="8779">
          <cell r="O8779" t="str">
            <v/>
          </cell>
        </row>
        <row r="8780">
          <cell r="O8780" t="str">
            <v/>
          </cell>
        </row>
        <row r="8781">
          <cell r="O8781" t="str">
            <v/>
          </cell>
        </row>
        <row r="8782">
          <cell r="O8782" t="str">
            <v/>
          </cell>
        </row>
        <row r="8783">
          <cell r="O8783" t="str">
            <v/>
          </cell>
        </row>
        <row r="8784">
          <cell r="O8784" t="str">
            <v/>
          </cell>
        </row>
        <row r="8785">
          <cell r="O8785" t="str">
            <v/>
          </cell>
        </row>
        <row r="8786">
          <cell r="O8786" t="str">
            <v/>
          </cell>
        </row>
        <row r="8787">
          <cell r="O8787" t="str">
            <v/>
          </cell>
        </row>
        <row r="8788">
          <cell r="O8788" t="str">
            <v/>
          </cell>
        </row>
        <row r="8789">
          <cell r="O8789" t="str">
            <v/>
          </cell>
        </row>
        <row r="8790">
          <cell r="O8790" t="str">
            <v/>
          </cell>
        </row>
        <row r="8791">
          <cell r="O8791" t="str">
            <v/>
          </cell>
        </row>
        <row r="8792">
          <cell r="O8792" t="str">
            <v/>
          </cell>
        </row>
        <row r="8793">
          <cell r="O8793" t="str">
            <v/>
          </cell>
        </row>
        <row r="8794">
          <cell r="O8794" t="str">
            <v/>
          </cell>
        </row>
        <row r="8795">
          <cell r="O8795" t="str">
            <v/>
          </cell>
        </row>
        <row r="8796">
          <cell r="O8796" t="str">
            <v/>
          </cell>
        </row>
        <row r="8797">
          <cell r="O8797" t="str">
            <v/>
          </cell>
        </row>
        <row r="8798">
          <cell r="O8798" t="str">
            <v/>
          </cell>
        </row>
        <row r="8799">
          <cell r="O8799" t="str">
            <v/>
          </cell>
        </row>
        <row r="8800">
          <cell r="O8800" t="str">
            <v/>
          </cell>
        </row>
        <row r="8801">
          <cell r="O8801" t="str">
            <v/>
          </cell>
        </row>
        <row r="8802">
          <cell r="O8802" t="str">
            <v/>
          </cell>
        </row>
        <row r="8803">
          <cell r="O8803" t="str">
            <v/>
          </cell>
        </row>
        <row r="8804">
          <cell r="O8804" t="str">
            <v/>
          </cell>
        </row>
        <row r="8805">
          <cell r="O8805" t="str">
            <v/>
          </cell>
        </row>
        <row r="8806">
          <cell r="O8806" t="str">
            <v/>
          </cell>
        </row>
        <row r="8807">
          <cell r="O8807" t="str">
            <v/>
          </cell>
        </row>
        <row r="8808">
          <cell r="O8808" t="str">
            <v/>
          </cell>
        </row>
        <row r="8809">
          <cell r="O8809" t="str">
            <v/>
          </cell>
        </row>
        <row r="8810">
          <cell r="O8810" t="str">
            <v/>
          </cell>
        </row>
        <row r="8811">
          <cell r="O8811" t="str">
            <v/>
          </cell>
        </row>
        <row r="8812">
          <cell r="O8812" t="str">
            <v/>
          </cell>
        </row>
        <row r="8813">
          <cell r="O8813" t="str">
            <v/>
          </cell>
        </row>
        <row r="8814">
          <cell r="O8814" t="str">
            <v/>
          </cell>
        </row>
        <row r="8815">
          <cell r="O8815" t="str">
            <v/>
          </cell>
        </row>
        <row r="8816">
          <cell r="O8816" t="str">
            <v/>
          </cell>
        </row>
        <row r="8817">
          <cell r="O8817" t="str">
            <v/>
          </cell>
        </row>
        <row r="8818">
          <cell r="O8818" t="str">
            <v/>
          </cell>
        </row>
        <row r="8819">
          <cell r="O8819" t="str">
            <v/>
          </cell>
        </row>
        <row r="8820">
          <cell r="O8820" t="str">
            <v/>
          </cell>
        </row>
        <row r="8821">
          <cell r="O8821" t="str">
            <v/>
          </cell>
        </row>
        <row r="8822">
          <cell r="O8822" t="str">
            <v/>
          </cell>
        </row>
        <row r="8823">
          <cell r="O8823" t="str">
            <v/>
          </cell>
        </row>
        <row r="8824">
          <cell r="O8824" t="str">
            <v/>
          </cell>
        </row>
        <row r="8825">
          <cell r="O8825" t="str">
            <v/>
          </cell>
        </row>
        <row r="8826">
          <cell r="O8826" t="str">
            <v/>
          </cell>
        </row>
        <row r="8827">
          <cell r="O8827" t="str">
            <v/>
          </cell>
        </row>
        <row r="8828">
          <cell r="O8828" t="str">
            <v/>
          </cell>
        </row>
        <row r="8829">
          <cell r="O8829" t="str">
            <v/>
          </cell>
        </row>
        <row r="8830">
          <cell r="O8830" t="str">
            <v/>
          </cell>
        </row>
        <row r="8831">
          <cell r="O8831" t="str">
            <v/>
          </cell>
        </row>
        <row r="8832">
          <cell r="O8832" t="str">
            <v/>
          </cell>
        </row>
        <row r="8833">
          <cell r="O8833" t="str">
            <v/>
          </cell>
        </row>
        <row r="8834">
          <cell r="O8834" t="str">
            <v/>
          </cell>
        </row>
        <row r="8835">
          <cell r="O8835" t="str">
            <v/>
          </cell>
        </row>
        <row r="8836">
          <cell r="O8836" t="str">
            <v/>
          </cell>
        </row>
        <row r="8837">
          <cell r="O8837" t="str">
            <v/>
          </cell>
        </row>
        <row r="8838">
          <cell r="O8838" t="str">
            <v/>
          </cell>
        </row>
        <row r="8839">
          <cell r="O8839" t="str">
            <v/>
          </cell>
        </row>
        <row r="8840">
          <cell r="O8840" t="str">
            <v/>
          </cell>
        </row>
        <row r="8841">
          <cell r="O8841" t="str">
            <v/>
          </cell>
        </row>
        <row r="8842">
          <cell r="O8842" t="str">
            <v/>
          </cell>
        </row>
        <row r="8843">
          <cell r="O8843" t="str">
            <v/>
          </cell>
        </row>
        <row r="8844">
          <cell r="O8844" t="str">
            <v/>
          </cell>
        </row>
        <row r="8845">
          <cell r="O8845" t="str">
            <v/>
          </cell>
        </row>
        <row r="8846">
          <cell r="O8846" t="str">
            <v/>
          </cell>
        </row>
        <row r="8847">
          <cell r="O8847" t="str">
            <v/>
          </cell>
        </row>
        <row r="8848">
          <cell r="O8848" t="str">
            <v/>
          </cell>
        </row>
        <row r="8849">
          <cell r="O8849" t="str">
            <v/>
          </cell>
        </row>
        <row r="8850">
          <cell r="O8850" t="str">
            <v/>
          </cell>
        </row>
        <row r="8851">
          <cell r="O8851" t="str">
            <v/>
          </cell>
        </row>
        <row r="8852">
          <cell r="O8852" t="str">
            <v/>
          </cell>
        </row>
        <row r="8853">
          <cell r="O8853" t="str">
            <v/>
          </cell>
        </row>
        <row r="8854">
          <cell r="O8854" t="str">
            <v/>
          </cell>
        </row>
        <row r="8855">
          <cell r="O8855" t="str">
            <v/>
          </cell>
        </row>
        <row r="8856">
          <cell r="O8856" t="str">
            <v/>
          </cell>
        </row>
        <row r="8857">
          <cell r="O8857" t="str">
            <v/>
          </cell>
        </row>
        <row r="8858">
          <cell r="O8858" t="str">
            <v/>
          </cell>
        </row>
        <row r="8859">
          <cell r="O8859" t="str">
            <v/>
          </cell>
        </row>
        <row r="8860">
          <cell r="O8860" t="str">
            <v/>
          </cell>
        </row>
        <row r="8861">
          <cell r="O8861" t="str">
            <v/>
          </cell>
        </row>
        <row r="8862">
          <cell r="O8862" t="str">
            <v/>
          </cell>
        </row>
        <row r="8863">
          <cell r="O8863" t="str">
            <v/>
          </cell>
        </row>
        <row r="8864">
          <cell r="O8864" t="str">
            <v/>
          </cell>
        </row>
        <row r="8865">
          <cell r="O8865" t="str">
            <v/>
          </cell>
        </row>
        <row r="8866">
          <cell r="O8866" t="str">
            <v/>
          </cell>
        </row>
        <row r="8867">
          <cell r="O8867" t="str">
            <v/>
          </cell>
        </row>
        <row r="8868">
          <cell r="O8868" t="str">
            <v/>
          </cell>
        </row>
        <row r="8869">
          <cell r="O8869" t="str">
            <v/>
          </cell>
        </row>
        <row r="8870">
          <cell r="O8870" t="str">
            <v/>
          </cell>
        </row>
        <row r="8871">
          <cell r="O8871" t="str">
            <v/>
          </cell>
        </row>
        <row r="8872">
          <cell r="O8872" t="str">
            <v/>
          </cell>
        </row>
        <row r="8873">
          <cell r="O8873" t="str">
            <v/>
          </cell>
        </row>
        <row r="8874">
          <cell r="O8874" t="str">
            <v/>
          </cell>
        </row>
        <row r="8875">
          <cell r="O8875" t="str">
            <v/>
          </cell>
        </row>
        <row r="8876">
          <cell r="O8876" t="str">
            <v/>
          </cell>
        </row>
        <row r="8877">
          <cell r="O8877" t="str">
            <v/>
          </cell>
        </row>
        <row r="8878">
          <cell r="O8878" t="str">
            <v/>
          </cell>
        </row>
        <row r="8879">
          <cell r="O8879" t="str">
            <v/>
          </cell>
        </row>
        <row r="8880">
          <cell r="O8880" t="str">
            <v/>
          </cell>
        </row>
        <row r="8881">
          <cell r="O8881" t="str">
            <v/>
          </cell>
        </row>
        <row r="8882">
          <cell r="O8882" t="str">
            <v/>
          </cell>
        </row>
        <row r="8883">
          <cell r="O8883" t="str">
            <v/>
          </cell>
        </row>
        <row r="8884">
          <cell r="O8884" t="str">
            <v/>
          </cell>
        </row>
        <row r="8885">
          <cell r="O8885" t="str">
            <v/>
          </cell>
        </row>
        <row r="8886">
          <cell r="O8886" t="str">
            <v/>
          </cell>
        </row>
        <row r="8887">
          <cell r="O8887" t="str">
            <v/>
          </cell>
        </row>
        <row r="8888">
          <cell r="O8888" t="str">
            <v/>
          </cell>
        </row>
        <row r="8889">
          <cell r="O8889" t="str">
            <v/>
          </cell>
        </row>
        <row r="8890">
          <cell r="O8890" t="str">
            <v/>
          </cell>
        </row>
        <row r="8891">
          <cell r="O8891" t="str">
            <v/>
          </cell>
        </row>
        <row r="8892">
          <cell r="O8892" t="str">
            <v/>
          </cell>
        </row>
        <row r="8893">
          <cell r="O8893" t="str">
            <v/>
          </cell>
        </row>
        <row r="8894">
          <cell r="O8894" t="str">
            <v/>
          </cell>
        </row>
        <row r="8895">
          <cell r="O8895" t="str">
            <v/>
          </cell>
        </row>
        <row r="8896">
          <cell r="O8896" t="str">
            <v/>
          </cell>
        </row>
        <row r="8897">
          <cell r="O8897" t="str">
            <v/>
          </cell>
        </row>
        <row r="8898">
          <cell r="O8898" t="str">
            <v/>
          </cell>
        </row>
        <row r="8899">
          <cell r="O8899" t="str">
            <v/>
          </cell>
        </row>
        <row r="8900">
          <cell r="O8900" t="str">
            <v/>
          </cell>
        </row>
        <row r="8901">
          <cell r="O8901" t="str">
            <v/>
          </cell>
        </row>
        <row r="8902">
          <cell r="O8902" t="str">
            <v/>
          </cell>
        </row>
        <row r="8903">
          <cell r="O8903" t="str">
            <v/>
          </cell>
        </row>
        <row r="8904">
          <cell r="O8904" t="str">
            <v/>
          </cell>
        </row>
        <row r="8905">
          <cell r="O8905" t="str">
            <v/>
          </cell>
        </row>
        <row r="8906">
          <cell r="O8906" t="str">
            <v/>
          </cell>
        </row>
        <row r="8907">
          <cell r="O8907" t="str">
            <v/>
          </cell>
        </row>
        <row r="8908">
          <cell r="O8908" t="str">
            <v/>
          </cell>
        </row>
        <row r="8909">
          <cell r="O8909" t="str">
            <v/>
          </cell>
        </row>
        <row r="8910">
          <cell r="O8910" t="str">
            <v/>
          </cell>
        </row>
        <row r="8911">
          <cell r="O8911" t="str">
            <v/>
          </cell>
        </row>
        <row r="8912">
          <cell r="O8912" t="str">
            <v/>
          </cell>
        </row>
        <row r="8913">
          <cell r="O8913" t="str">
            <v/>
          </cell>
        </row>
        <row r="8914">
          <cell r="O8914" t="str">
            <v/>
          </cell>
        </row>
        <row r="8915">
          <cell r="O8915" t="str">
            <v/>
          </cell>
        </row>
        <row r="8916">
          <cell r="O8916" t="str">
            <v/>
          </cell>
        </row>
        <row r="8917">
          <cell r="O8917" t="str">
            <v/>
          </cell>
        </row>
        <row r="8918">
          <cell r="O8918" t="str">
            <v/>
          </cell>
        </row>
        <row r="8919">
          <cell r="O8919" t="str">
            <v/>
          </cell>
        </row>
        <row r="8920">
          <cell r="O8920" t="str">
            <v/>
          </cell>
        </row>
        <row r="8921">
          <cell r="O8921" t="str">
            <v/>
          </cell>
        </row>
        <row r="8922">
          <cell r="O8922" t="str">
            <v/>
          </cell>
        </row>
        <row r="8923">
          <cell r="O8923" t="str">
            <v/>
          </cell>
        </row>
        <row r="8924">
          <cell r="O8924" t="str">
            <v/>
          </cell>
        </row>
        <row r="8925">
          <cell r="O8925" t="str">
            <v/>
          </cell>
        </row>
        <row r="8926">
          <cell r="O8926" t="str">
            <v/>
          </cell>
        </row>
        <row r="8927">
          <cell r="O8927" t="str">
            <v/>
          </cell>
        </row>
        <row r="8928">
          <cell r="O8928" t="str">
            <v/>
          </cell>
        </row>
        <row r="8929">
          <cell r="O8929" t="str">
            <v/>
          </cell>
        </row>
        <row r="8930">
          <cell r="O8930" t="str">
            <v/>
          </cell>
        </row>
        <row r="8931">
          <cell r="O8931" t="str">
            <v/>
          </cell>
        </row>
        <row r="8932">
          <cell r="O8932" t="str">
            <v/>
          </cell>
        </row>
        <row r="8933">
          <cell r="O8933" t="str">
            <v/>
          </cell>
        </row>
        <row r="8934">
          <cell r="O8934" t="str">
            <v/>
          </cell>
        </row>
        <row r="8935">
          <cell r="O8935" t="str">
            <v/>
          </cell>
        </row>
        <row r="8936">
          <cell r="O8936" t="str">
            <v/>
          </cell>
        </row>
        <row r="8937">
          <cell r="O8937" t="str">
            <v/>
          </cell>
        </row>
        <row r="8938">
          <cell r="O8938" t="str">
            <v/>
          </cell>
        </row>
        <row r="8939">
          <cell r="O8939" t="str">
            <v/>
          </cell>
        </row>
        <row r="8940">
          <cell r="O8940" t="str">
            <v/>
          </cell>
        </row>
        <row r="8941">
          <cell r="O8941" t="str">
            <v/>
          </cell>
        </row>
        <row r="8942">
          <cell r="O8942" t="str">
            <v/>
          </cell>
        </row>
        <row r="8943">
          <cell r="O8943" t="str">
            <v/>
          </cell>
        </row>
        <row r="8944">
          <cell r="O8944" t="str">
            <v/>
          </cell>
        </row>
        <row r="8945">
          <cell r="O8945" t="str">
            <v/>
          </cell>
        </row>
        <row r="8946">
          <cell r="O8946" t="str">
            <v/>
          </cell>
        </row>
        <row r="8947">
          <cell r="O8947" t="str">
            <v/>
          </cell>
        </row>
        <row r="8948">
          <cell r="O8948" t="str">
            <v/>
          </cell>
        </row>
        <row r="8949">
          <cell r="O8949" t="str">
            <v/>
          </cell>
        </row>
        <row r="8950">
          <cell r="O8950" t="str">
            <v/>
          </cell>
        </row>
        <row r="8951">
          <cell r="O8951" t="str">
            <v/>
          </cell>
        </row>
        <row r="8952">
          <cell r="O8952" t="str">
            <v/>
          </cell>
        </row>
        <row r="8953">
          <cell r="O8953" t="str">
            <v/>
          </cell>
        </row>
        <row r="8954">
          <cell r="O8954" t="str">
            <v/>
          </cell>
        </row>
        <row r="8955">
          <cell r="O8955" t="str">
            <v/>
          </cell>
        </row>
        <row r="8956">
          <cell r="O8956" t="str">
            <v/>
          </cell>
        </row>
        <row r="8957">
          <cell r="O8957" t="str">
            <v/>
          </cell>
        </row>
        <row r="8958">
          <cell r="O8958" t="str">
            <v/>
          </cell>
        </row>
        <row r="8959">
          <cell r="O8959" t="str">
            <v/>
          </cell>
        </row>
        <row r="8960">
          <cell r="O8960" t="str">
            <v/>
          </cell>
        </row>
        <row r="8961">
          <cell r="O8961" t="str">
            <v/>
          </cell>
        </row>
        <row r="8962">
          <cell r="O8962" t="str">
            <v/>
          </cell>
        </row>
        <row r="8963">
          <cell r="O8963" t="str">
            <v/>
          </cell>
        </row>
        <row r="8964">
          <cell r="O8964" t="str">
            <v/>
          </cell>
        </row>
        <row r="8965">
          <cell r="O8965" t="str">
            <v/>
          </cell>
        </row>
        <row r="8966">
          <cell r="O8966" t="str">
            <v/>
          </cell>
        </row>
        <row r="8967">
          <cell r="O8967" t="str">
            <v/>
          </cell>
        </row>
        <row r="8968">
          <cell r="O8968" t="str">
            <v/>
          </cell>
        </row>
        <row r="8969">
          <cell r="O8969" t="str">
            <v/>
          </cell>
        </row>
        <row r="8970">
          <cell r="O8970" t="str">
            <v/>
          </cell>
        </row>
        <row r="8971">
          <cell r="O8971" t="str">
            <v/>
          </cell>
        </row>
        <row r="8972">
          <cell r="O8972" t="str">
            <v/>
          </cell>
        </row>
        <row r="8973">
          <cell r="O8973" t="str">
            <v/>
          </cell>
        </row>
        <row r="8974">
          <cell r="O8974" t="str">
            <v/>
          </cell>
        </row>
        <row r="8975">
          <cell r="O8975" t="str">
            <v/>
          </cell>
        </row>
        <row r="8976">
          <cell r="O8976" t="str">
            <v/>
          </cell>
        </row>
        <row r="8977">
          <cell r="O8977" t="str">
            <v/>
          </cell>
        </row>
        <row r="8978">
          <cell r="O8978" t="str">
            <v/>
          </cell>
        </row>
        <row r="8979">
          <cell r="O8979" t="str">
            <v/>
          </cell>
        </row>
        <row r="8980">
          <cell r="O8980" t="str">
            <v/>
          </cell>
        </row>
        <row r="8981">
          <cell r="O8981" t="str">
            <v/>
          </cell>
        </row>
        <row r="8982">
          <cell r="O8982" t="str">
            <v/>
          </cell>
        </row>
        <row r="8983">
          <cell r="O8983" t="str">
            <v/>
          </cell>
        </row>
        <row r="8984">
          <cell r="O8984" t="str">
            <v/>
          </cell>
        </row>
        <row r="8985">
          <cell r="O8985" t="str">
            <v/>
          </cell>
        </row>
        <row r="8986">
          <cell r="O8986" t="str">
            <v/>
          </cell>
        </row>
        <row r="8987">
          <cell r="O8987" t="str">
            <v/>
          </cell>
        </row>
        <row r="8988">
          <cell r="O8988" t="str">
            <v/>
          </cell>
        </row>
        <row r="8989">
          <cell r="O8989" t="str">
            <v/>
          </cell>
        </row>
        <row r="8990">
          <cell r="O8990" t="str">
            <v/>
          </cell>
        </row>
        <row r="8991">
          <cell r="O8991" t="str">
            <v/>
          </cell>
        </row>
        <row r="8992">
          <cell r="O8992" t="str">
            <v/>
          </cell>
        </row>
        <row r="8993">
          <cell r="O8993" t="str">
            <v/>
          </cell>
        </row>
        <row r="8994">
          <cell r="O8994" t="str">
            <v/>
          </cell>
        </row>
        <row r="8995">
          <cell r="O8995" t="str">
            <v/>
          </cell>
        </row>
        <row r="8996">
          <cell r="O8996" t="str">
            <v/>
          </cell>
        </row>
        <row r="8997">
          <cell r="O8997" t="str">
            <v/>
          </cell>
        </row>
        <row r="8998">
          <cell r="O8998" t="str">
            <v/>
          </cell>
        </row>
        <row r="8999">
          <cell r="O8999" t="str">
            <v/>
          </cell>
        </row>
        <row r="9000">
          <cell r="O9000" t="str">
            <v/>
          </cell>
        </row>
        <row r="9001">
          <cell r="O9001" t="str">
            <v/>
          </cell>
        </row>
        <row r="9002">
          <cell r="O9002" t="str">
            <v/>
          </cell>
        </row>
        <row r="9003">
          <cell r="O9003" t="str">
            <v/>
          </cell>
        </row>
        <row r="9004">
          <cell r="O9004" t="str">
            <v/>
          </cell>
        </row>
        <row r="9005">
          <cell r="O9005" t="str">
            <v/>
          </cell>
        </row>
        <row r="9006">
          <cell r="O9006" t="str">
            <v/>
          </cell>
        </row>
        <row r="9007">
          <cell r="O9007" t="str">
            <v/>
          </cell>
        </row>
        <row r="9008">
          <cell r="O9008" t="str">
            <v/>
          </cell>
        </row>
        <row r="9009">
          <cell r="O9009" t="str">
            <v/>
          </cell>
        </row>
        <row r="9010">
          <cell r="O9010" t="str">
            <v/>
          </cell>
        </row>
        <row r="9011">
          <cell r="O9011" t="str">
            <v/>
          </cell>
        </row>
        <row r="9012">
          <cell r="O9012" t="str">
            <v/>
          </cell>
        </row>
        <row r="9013">
          <cell r="O9013" t="str">
            <v/>
          </cell>
        </row>
        <row r="9014">
          <cell r="O9014" t="str">
            <v/>
          </cell>
        </row>
        <row r="9015">
          <cell r="O9015" t="str">
            <v/>
          </cell>
        </row>
        <row r="9016">
          <cell r="O9016" t="str">
            <v/>
          </cell>
        </row>
        <row r="9017">
          <cell r="O9017" t="str">
            <v/>
          </cell>
        </row>
        <row r="9018">
          <cell r="O9018" t="str">
            <v/>
          </cell>
        </row>
        <row r="9019">
          <cell r="O9019" t="str">
            <v/>
          </cell>
        </row>
        <row r="9020">
          <cell r="O9020" t="str">
            <v/>
          </cell>
        </row>
        <row r="9021">
          <cell r="O9021" t="str">
            <v/>
          </cell>
        </row>
        <row r="9022">
          <cell r="O9022" t="str">
            <v/>
          </cell>
        </row>
        <row r="9023">
          <cell r="O9023" t="str">
            <v/>
          </cell>
        </row>
        <row r="9024">
          <cell r="O9024" t="str">
            <v/>
          </cell>
        </row>
        <row r="9025">
          <cell r="O9025" t="str">
            <v/>
          </cell>
        </row>
        <row r="9026">
          <cell r="O9026" t="str">
            <v/>
          </cell>
        </row>
        <row r="9027">
          <cell r="O9027" t="str">
            <v/>
          </cell>
        </row>
        <row r="9028">
          <cell r="O9028" t="str">
            <v/>
          </cell>
        </row>
        <row r="9029">
          <cell r="O9029" t="str">
            <v/>
          </cell>
        </row>
        <row r="9030">
          <cell r="O9030" t="str">
            <v/>
          </cell>
        </row>
        <row r="9031">
          <cell r="O9031" t="str">
            <v/>
          </cell>
        </row>
        <row r="9032">
          <cell r="O9032" t="str">
            <v/>
          </cell>
        </row>
        <row r="9033">
          <cell r="O9033" t="str">
            <v/>
          </cell>
        </row>
        <row r="9034">
          <cell r="O9034" t="str">
            <v/>
          </cell>
        </row>
        <row r="9035">
          <cell r="O9035" t="str">
            <v/>
          </cell>
        </row>
        <row r="9036">
          <cell r="O9036" t="str">
            <v/>
          </cell>
        </row>
        <row r="9037">
          <cell r="O9037" t="str">
            <v/>
          </cell>
        </row>
        <row r="9038">
          <cell r="O9038" t="str">
            <v/>
          </cell>
        </row>
        <row r="9039">
          <cell r="O9039" t="str">
            <v/>
          </cell>
        </row>
        <row r="9040">
          <cell r="O9040" t="str">
            <v/>
          </cell>
        </row>
        <row r="9041">
          <cell r="O9041" t="str">
            <v/>
          </cell>
        </row>
        <row r="9042">
          <cell r="O9042" t="str">
            <v/>
          </cell>
        </row>
        <row r="9043">
          <cell r="O9043" t="str">
            <v/>
          </cell>
        </row>
        <row r="9044">
          <cell r="O9044" t="str">
            <v/>
          </cell>
        </row>
        <row r="9045">
          <cell r="O9045" t="str">
            <v/>
          </cell>
        </row>
        <row r="9046">
          <cell r="O9046" t="str">
            <v/>
          </cell>
        </row>
        <row r="9047">
          <cell r="O9047" t="str">
            <v/>
          </cell>
        </row>
        <row r="9048">
          <cell r="O9048" t="str">
            <v/>
          </cell>
        </row>
        <row r="9049">
          <cell r="O9049" t="str">
            <v/>
          </cell>
        </row>
        <row r="9050">
          <cell r="O9050" t="str">
            <v/>
          </cell>
        </row>
        <row r="9051">
          <cell r="O9051" t="str">
            <v/>
          </cell>
        </row>
        <row r="9052">
          <cell r="O9052" t="str">
            <v/>
          </cell>
        </row>
        <row r="9053">
          <cell r="O9053" t="str">
            <v/>
          </cell>
        </row>
        <row r="9054">
          <cell r="O9054" t="str">
            <v/>
          </cell>
        </row>
        <row r="9055">
          <cell r="O9055" t="str">
            <v/>
          </cell>
        </row>
        <row r="9056">
          <cell r="O9056" t="str">
            <v/>
          </cell>
        </row>
        <row r="9057">
          <cell r="O9057" t="str">
            <v/>
          </cell>
        </row>
        <row r="9058">
          <cell r="O9058" t="str">
            <v/>
          </cell>
        </row>
        <row r="9059">
          <cell r="O9059" t="str">
            <v/>
          </cell>
        </row>
        <row r="9060">
          <cell r="O9060" t="str">
            <v/>
          </cell>
        </row>
        <row r="9061">
          <cell r="O9061" t="str">
            <v/>
          </cell>
        </row>
        <row r="9062">
          <cell r="O9062" t="str">
            <v/>
          </cell>
        </row>
        <row r="9063">
          <cell r="O9063" t="str">
            <v/>
          </cell>
        </row>
        <row r="9064">
          <cell r="O9064" t="str">
            <v/>
          </cell>
        </row>
        <row r="9065">
          <cell r="O9065" t="str">
            <v/>
          </cell>
        </row>
        <row r="9066">
          <cell r="O9066" t="str">
            <v/>
          </cell>
        </row>
        <row r="9067">
          <cell r="O9067" t="str">
            <v/>
          </cell>
        </row>
        <row r="9068">
          <cell r="O9068" t="str">
            <v/>
          </cell>
        </row>
        <row r="9069">
          <cell r="O9069" t="str">
            <v/>
          </cell>
        </row>
        <row r="9070">
          <cell r="O9070" t="str">
            <v/>
          </cell>
        </row>
        <row r="9071">
          <cell r="O9071" t="str">
            <v/>
          </cell>
        </row>
        <row r="9072">
          <cell r="O9072" t="str">
            <v/>
          </cell>
        </row>
        <row r="9073">
          <cell r="O9073" t="str">
            <v/>
          </cell>
        </row>
        <row r="9074">
          <cell r="O9074" t="str">
            <v/>
          </cell>
        </row>
        <row r="9075">
          <cell r="O9075" t="str">
            <v/>
          </cell>
        </row>
        <row r="9076">
          <cell r="O9076" t="str">
            <v/>
          </cell>
        </row>
        <row r="9077">
          <cell r="O9077" t="str">
            <v/>
          </cell>
        </row>
        <row r="9078">
          <cell r="O9078" t="str">
            <v/>
          </cell>
        </row>
        <row r="9079">
          <cell r="O9079" t="str">
            <v/>
          </cell>
        </row>
        <row r="9080">
          <cell r="O9080" t="str">
            <v/>
          </cell>
        </row>
        <row r="9081">
          <cell r="O9081" t="str">
            <v/>
          </cell>
        </row>
        <row r="9082">
          <cell r="O9082" t="str">
            <v/>
          </cell>
        </row>
        <row r="9083">
          <cell r="O9083" t="str">
            <v/>
          </cell>
        </row>
        <row r="9084">
          <cell r="O9084" t="str">
            <v/>
          </cell>
        </row>
        <row r="9085">
          <cell r="O9085" t="str">
            <v/>
          </cell>
        </row>
        <row r="9086">
          <cell r="O9086" t="str">
            <v/>
          </cell>
        </row>
        <row r="9087">
          <cell r="O9087" t="str">
            <v/>
          </cell>
        </row>
        <row r="9088">
          <cell r="O9088" t="str">
            <v/>
          </cell>
        </row>
        <row r="9089">
          <cell r="O9089" t="str">
            <v/>
          </cell>
        </row>
        <row r="9090">
          <cell r="O9090" t="str">
            <v/>
          </cell>
        </row>
        <row r="9091">
          <cell r="O9091" t="str">
            <v/>
          </cell>
        </row>
        <row r="9092">
          <cell r="O9092" t="str">
            <v/>
          </cell>
        </row>
        <row r="9093">
          <cell r="O9093" t="str">
            <v/>
          </cell>
        </row>
        <row r="9094">
          <cell r="O9094" t="str">
            <v/>
          </cell>
        </row>
        <row r="9095">
          <cell r="O9095" t="str">
            <v/>
          </cell>
        </row>
        <row r="9096">
          <cell r="O9096" t="str">
            <v/>
          </cell>
        </row>
        <row r="9097">
          <cell r="O9097" t="str">
            <v/>
          </cell>
        </row>
        <row r="9098">
          <cell r="O9098" t="str">
            <v/>
          </cell>
        </row>
        <row r="9099">
          <cell r="O9099" t="str">
            <v/>
          </cell>
        </row>
        <row r="9100">
          <cell r="O9100" t="str">
            <v/>
          </cell>
        </row>
        <row r="9101">
          <cell r="O9101" t="str">
            <v/>
          </cell>
        </row>
        <row r="9102">
          <cell r="O9102" t="str">
            <v/>
          </cell>
        </row>
        <row r="9103">
          <cell r="O9103" t="str">
            <v/>
          </cell>
        </row>
        <row r="9104">
          <cell r="O9104" t="str">
            <v/>
          </cell>
        </row>
        <row r="9105">
          <cell r="O9105" t="str">
            <v/>
          </cell>
        </row>
        <row r="9106">
          <cell r="O9106" t="str">
            <v/>
          </cell>
        </row>
        <row r="9107">
          <cell r="O9107" t="str">
            <v/>
          </cell>
        </row>
        <row r="9108">
          <cell r="O9108" t="str">
            <v/>
          </cell>
        </row>
        <row r="9109">
          <cell r="O9109" t="str">
            <v/>
          </cell>
        </row>
        <row r="9110">
          <cell r="O9110" t="str">
            <v/>
          </cell>
        </row>
        <row r="9111">
          <cell r="O9111" t="str">
            <v/>
          </cell>
        </row>
        <row r="9112">
          <cell r="O9112" t="str">
            <v/>
          </cell>
        </row>
        <row r="9113">
          <cell r="O9113" t="str">
            <v/>
          </cell>
        </row>
        <row r="9114">
          <cell r="O9114" t="str">
            <v/>
          </cell>
        </row>
        <row r="9115">
          <cell r="O9115" t="str">
            <v/>
          </cell>
        </row>
        <row r="9116">
          <cell r="O9116" t="str">
            <v/>
          </cell>
        </row>
        <row r="9117">
          <cell r="O9117" t="str">
            <v/>
          </cell>
        </row>
        <row r="9118">
          <cell r="O9118" t="str">
            <v/>
          </cell>
        </row>
        <row r="9119">
          <cell r="O9119" t="str">
            <v/>
          </cell>
        </row>
        <row r="9120">
          <cell r="O9120" t="str">
            <v/>
          </cell>
        </row>
        <row r="9121">
          <cell r="O9121" t="str">
            <v/>
          </cell>
        </row>
        <row r="9122">
          <cell r="O9122" t="str">
            <v/>
          </cell>
        </row>
        <row r="9123">
          <cell r="O9123" t="str">
            <v/>
          </cell>
        </row>
        <row r="9124">
          <cell r="O9124" t="str">
            <v/>
          </cell>
        </row>
        <row r="9125">
          <cell r="O9125" t="str">
            <v/>
          </cell>
        </row>
        <row r="9126">
          <cell r="O9126" t="str">
            <v/>
          </cell>
        </row>
        <row r="9127">
          <cell r="O9127" t="str">
            <v/>
          </cell>
        </row>
        <row r="9128">
          <cell r="O9128" t="str">
            <v/>
          </cell>
        </row>
        <row r="9129">
          <cell r="O9129" t="str">
            <v/>
          </cell>
        </row>
        <row r="9130">
          <cell r="O9130" t="str">
            <v/>
          </cell>
        </row>
        <row r="9131">
          <cell r="O9131" t="str">
            <v/>
          </cell>
        </row>
        <row r="9132">
          <cell r="O9132" t="str">
            <v/>
          </cell>
        </row>
        <row r="9133">
          <cell r="O9133" t="str">
            <v/>
          </cell>
        </row>
        <row r="9134">
          <cell r="O9134" t="str">
            <v/>
          </cell>
        </row>
        <row r="9135">
          <cell r="O9135" t="str">
            <v/>
          </cell>
        </row>
        <row r="9136">
          <cell r="O9136" t="str">
            <v/>
          </cell>
        </row>
        <row r="9137">
          <cell r="O9137" t="str">
            <v/>
          </cell>
        </row>
        <row r="9138">
          <cell r="O9138" t="str">
            <v/>
          </cell>
        </row>
        <row r="9139">
          <cell r="O9139" t="str">
            <v/>
          </cell>
        </row>
        <row r="9140">
          <cell r="O9140" t="str">
            <v/>
          </cell>
        </row>
        <row r="9141">
          <cell r="O9141" t="str">
            <v/>
          </cell>
        </row>
        <row r="9142">
          <cell r="O9142" t="str">
            <v/>
          </cell>
        </row>
        <row r="9143">
          <cell r="O9143" t="str">
            <v/>
          </cell>
        </row>
        <row r="9144">
          <cell r="O9144" t="str">
            <v/>
          </cell>
        </row>
        <row r="9145">
          <cell r="O9145" t="str">
            <v/>
          </cell>
        </row>
        <row r="9146">
          <cell r="O9146" t="str">
            <v/>
          </cell>
        </row>
        <row r="9147">
          <cell r="O9147" t="str">
            <v/>
          </cell>
        </row>
        <row r="9148">
          <cell r="O9148" t="str">
            <v/>
          </cell>
        </row>
        <row r="9149">
          <cell r="O9149" t="str">
            <v/>
          </cell>
        </row>
        <row r="9150">
          <cell r="O9150" t="str">
            <v/>
          </cell>
        </row>
        <row r="9151">
          <cell r="O9151" t="str">
            <v/>
          </cell>
        </row>
        <row r="9152">
          <cell r="O9152" t="str">
            <v/>
          </cell>
        </row>
        <row r="9153">
          <cell r="O9153" t="str">
            <v/>
          </cell>
        </row>
        <row r="9154">
          <cell r="O9154" t="str">
            <v/>
          </cell>
        </row>
        <row r="9155">
          <cell r="O9155" t="str">
            <v/>
          </cell>
        </row>
        <row r="9156">
          <cell r="O9156" t="str">
            <v/>
          </cell>
        </row>
        <row r="9157">
          <cell r="O9157" t="str">
            <v/>
          </cell>
        </row>
        <row r="9158">
          <cell r="O9158" t="str">
            <v/>
          </cell>
        </row>
        <row r="9159">
          <cell r="O9159" t="str">
            <v/>
          </cell>
        </row>
        <row r="9160">
          <cell r="O9160" t="str">
            <v/>
          </cell>
        </row>
        <row r="9161">
          <cell r="O9161" t="str">
            <v/>
          </cell>
        </row>
        <row r="9162">
          <cell r="O9162" t="str">
            <v/>
          </cell>
        </row>
        <row r="9163">
          <cell r="O9163" t="str">
            <v/>
          </cell>
        </row>
        <row r="9164">
          <cell r="O9164" t="str">
            <v/>
          </cell>
        </row>
        <row r="9165">
          <cell r="O9165" t="str">
            <v/>
          </cell>
        </row>
        <row r="9166">
          <cell r="O9166" t="str">
            <v/>
          </cell>
        </row>
        <row r="9167">
          <cell r="O9167" t="str">
            <v/>
          </cell>
        </row>
        <row r="9168">
          <cell r="O9168" t="str">
            <v/>
          </cell>
        </row>
        <row r="9169">
          <cell r="O9169" t="str">
            <v/>
          </cell>
        </row>
        <row r="9170">
          <cell r="O9170" t="str">
            <v/>
          </cell>
        </row>
        <row r="9171">
          <cell r="O9171" t="str">
            <v/>
          </cell>
        </row>
        <row r="9172">
          <cell r="O9172" t="str">
            <v/>
          </cell>
        </row>
        <row r="9173">
          <cell r="O9173" t="str">
            <v/>
          </cell>
        </row>
        <row r="9174">
          <cell r="O9174" t="str">
            <v/>
          </cell>
        </row>
        <row r="9175">
          <cell r="O9175" t="str">
            <v/>
          </cell>
        </row>
        <row r="9176">
          <cell r="O9176" t="str">
            <v/>
          </cell>
        </row>
        <row r="9177">
          <cell r="O9177" t="str">
            <v/>
          </cell>
        </row>
        <row r="9178">
          <cell r="O9178" t="str">
            <v/>
          </cell>
        </row>
        <row r="9179">
          <cell r="O9179" t="str">
            <v/>
          </cell>
        </row>
        <row r="9180">
          <cell r="O9180" t="str">
            <v/>
          </cell>
        </row>
        <row r="9181">
          <cell r="O9181" t="str">
            <v/>
          </cell>
        </row>
        <row r="9182">
          <cell r="O9182" t="str">
            <v/>
          </cell>
        </row>
        <row r="9183">
          <cell r="O9183" t="str">
            <v/>
          </cell>
        </row>
        <row r="9184">
          <cell r="O9184" t="str">
            <v/>
          </cell>
        </row>
        <row r="9185">
          <cell r="O9185" t="str">
            <v/>
          </cell>
        </row>
        <row r="9186">
          <cell r="O9186" t="str">
            <v/>
          </cell>
        </row>
        <row r="9187">
          <cell r="O9187" t="str">
            <v/>
          </cell>
        </row>
        <row r="9188">
          <cell r="O9188" t="str">
            <v/>
          </cell>
        </row>
        <row r="9189">
          <cell r="O9189" t="str">
            <v/>
          </cell>
        </row>
        <row r="9190">
          <cell r="O9190" t="str">
            <v/>
          </cell>
        </row>
        <row r="9191">
          <cell r="O9191" t="str">
            <v/>
          </cell>
        </row>
        <row r="9192">
          <cell r="O9192" t="str">
            <v/>
          </cell>
        </row>
        <row r="9193">
          <cell r="O9193" t="str">
            <v/>
          </cell>
        </row>
        <row r="9194">
          <cell r="O9194" t="str">
            <v/>
          </cell>
        </row>
        <row r="9195">
          <cell r="O9195" t="str">
            <v/>
          </cell>
        </row>
        <row r="9196">
          <cell r="O9196" t="str">
            <v/>
          </cell>
        </row>
        <row r="9197">
          <cell r="O9197" t="str">
            <v/>
          </cell>
        </row>
        <row r="9198">
          <cell r="O9198" t="str">
            <v/>
          </cell>
        </row>
        <row r="9199">
          <cell r="O9199" t="str">
            <v/>
          </cell>
        </row>
        <row r="9200">
          <cell r="O9200" t="str">
            <v/>
          </cell>
        </row>
        <row r="9201">
          <cell r="O9201" t="str">
            <v/>
          </cell>
        </row>
        <row r="9202">
          <cell r="O9202" t="str">
            <v/>
          </cell>
        </row>
        <row r="9203">
          <cell r="O9203" t="str">
            <v/>
          </cell>
        </row>
        <row r="9204">
          <cell r="O9204" t="str">
            <v/>
          </cell>
        </row>
        <row r="9205">
          <cell r="O9205" t="str">
            <v/>
          </cell>
        </row>
        <row r="9206">
          <cell r="O9206" t="str">
            <v/>
          </cell>
        </row>
        <row r="9207">
          <cell r="O9207" t="str">
            <v/>
          </cell>
        </row>
        <row r="9208">
          <cell r="O9208" t="str">
            <v/>
          </cell>
        </row>
        <row r="9209">
          <cell r="O9209" t="str">
            <v/>
          </cell>
        </row>
        <row r="9210">
          <cell r="O9210" t="str">
            <v/>
          </cell>
        </row>
        <row r="9211">
          <cell r="O9211" t="str">
            <v/>
          </cell>
        </row>
        <row r="9212">
          <cell r="O9212" t="str">
            <v/>
          </cell>
        </row>
        <row r="9213">
          <cell r="O9213" t="str">
            <v/>
          </cell>
        </row>
        <row r="9214">
          <cell r="O9214" t="str">
            <v/>
          </cell>
        </row>
        <row r="9215">
          <cell r="O9215" t="str">
            <v/>
          </cell>
        </row>
        <row r="9216">
          <cell r="O9216" t="str">
            <v/>
          </cell>
        </row>
        <row r="9217">
          <cell r="O9217" t="str">
            <v/>
          </cell>
        </row>
        <row r="9218">
          <cell r="O9218" t="str">
            <v/>
          </cell>
        </row>
        <row r="9219">
          <cell r="O9219" t="str">
            <v/>
          </cell>
        </row>
        <row r="9220">
          <cell r="O9220" t="str">
            <v/>
          </cell>
        </row>
        <row r="9221">
          <cell r="O9221" t="str">
            <v/>
          </cell>
        </row>
        <row r="9222">
          <cell r="O9222" t="str">
            <v/>
          </cell>
        </row>
        <row r="9223">
          <cell r="O9223" t="str">
            <v/>
          </cell>
        </row>
        <row r="9224">
          <cell r="O9224" t="str">
            <v/>
          </cell>
        </row>
        <row r="9225">
          <cell r="O9225" t="str">
            <v/>
          </cell>
        </row>
        <row r="9226">
          <cell r="O9226" t="str">
            <v/>
          </cell>
        </row>
        <row r="9227">
          <cell r="O9227" t="str">
            <v/>
          </cell>
        </row>
        <row r="9228">
          <cell r="O9228" t="str">
            <v/>
          </cell>
        </row>
        <row r="9229">
          <cell r="O9229" t="str">
            <v/>
          </cell>
        </row>
        <row r="9230">
          <cell r="O9230" t="str">
            <v/>
          </cell>
        </row>
        <row r="9231">
          <cell r="O9231" t="str">
            <v/>
          </cell>
        </row>
        <row r="9232">
          <cell r="O9232" t="str">
            <v/>
          </cell>
        </row>
        <row r="9233">
          <cell r="O9233" t="str">
            <v/>
          </cell>
        </row>
        <row r="9234">
          <cell r="O9234" t="str">
            <v/>
          </cell>
        </row>
        <row r="9235">
          <cell r="O9235" t="str">
            <v/>
          </cell>
        </row>
        <row r="9236">
          <cell r="O9236" t="str">
            <v/>
          </cell>
        </row>
        <row r="9237">
          <cell r="O9237" t="str">
            <v/>
          </cell>
        </row>
        <row r="9238">
          <cell r="O9238" t="str">
            <v/>
          </cell>
        </row>
        <row r="9239">
          <cell r="O9239" t="str">
            <v/>
          </cell>
        </row>
        <row r="9240">
          <cell r="O9240" t="str">
            <v/>
          </cell>
        </row>
        <row r="9241">
          <cell r="O9241" t="str">
            <v/>
          </cell>
        </row>
        <row r="9242">
          <cell r="O9242" t="str">
            <v/>
          </cell>
        </row>
        <row r="9243">
          <cell r="O9243" t="str">
            <v/>
          </cell>
        </row>
        <row r="9244">
          <cell r="O9244" t="str">
            <v/>
          </cell>
        </row>
        <row r="9245">
          <cell r="O9245" t="str">
            <v/>
          </cell>
        </row>
        <row r="9246">
          <cell r="O9246" t="str">
            <v/>
          </cell>
        </row>
        <row r="9247">
          <cell r="O9247" t="str">
            <v/>
          </cell>
        </row>
        <row r="9248">
          <cell r="O9248" t="str">
            <v/>
          </cell>
        </row>
        <row r="9249">
          <cell r="O9249" t="str">
            <v/>
          </cell>
        </row>
        <row r="9250">
          <cell r="O9250" t="str">
            <v/>
          </cell>
        </row>
        <row r="9251">
          <cell r="O9251" t="str">
            <v/>
          </cell>
        </row>
        <row r="9252">
          <cell r="O9252" t="str">
            <v/>
          </cell>
        </row>
        <row r="9253">
          <cell r="O9253" t="str">
            <v/>
          </cell>
        </row>
        <row r="9254">
          <cell r="O9254" t="str">
            <v/>
          </cell>
        </row>
        <row r="9255">
          <cell r="O9255" t="str">
            <v/>
          </cell>
        </row>
        <row r="9256">
          <cell r="O9256" t="str">
            <v/>
          </cell>
        </row>
        <row r="9257">
          <cell r="O9257" t="str">
            <v/>
          </cell>
        </row>
        <row r="9258">
          <cell r="O9258" t="str">
            <v/>
          </cell>
        </row>
        <row r="9259">
          <cell r="O9259" t="str">
            <v/>
          </cell>
        </row>
        <row r="9260">
          <cell r="O9260" t="str">
            <v/>
          </cell>
        </row>
        <row r="9261">
          <cell r="O9261" t="str">
            <v/>
          </cell>
        </row>
        <row r="9262">
          <cell r="O9262" t="str">
            <v/>
          </cell>
        </row>
        <row r="9263">
          <cell r="O9263" t="str">
            <v/>
          </cell>
        </row>
        <row r="9264">
          <cell r="O9264" t="str">
            <v/>
          </cell>
        </row>
        <row r="9265">
          <cell r="O9265" t="str">
            <v/>
          </cell>
        </row>
        <row r="9266">
          <cell r="O9266" t="str">
            <v/>
          </cell>
        </row>
        <row r="9267">
          <cell r="O9267" t="str">
            <v/>
          </cell>
        </row>
        <row r="9268">
          <cell r="O9268" t="str">
            <v/>
          </cell>
        </row>
        <row r="9269">
          <cell r="O9269" t="str">
            <v/>
          </cell>
        </row>
        <row r="9270">
          <cell r="O9270" t="str">
            <v/>
          </cell>
        </row>
        <row r="9271">
          <cell r="O9271" t="str">
            <v/>
          </cell>
        </row>
        <row r="9272">
          <cell r="O9272" t="str">
            <v/>
          </cell>
        </row>
        <row r="9273">
          <cell r="O9273" t="str">
            <v/>
          </cell>
        </row>
        <row r="9274">
          <cell r="O9274" t="str">
            <v/>
          </cell>
        </row>
        <row r="9275">
          <cell r="O9275" t="str">
            <v/>
          </cell>
        </row>
        <row r="9276">
          <cell r="O9276" t="str">
            <v/>
          </cell>
        </row>
        <row r="9277">
          <cell r="O9277" t="str">
            <v/>
          </cell>
        </row>
        <row r="9278">
          <cell r="O9278" t="str">
            <v/>
          </cell>
        </row>
        <row r="9279">
          <cell r="O9279" t="str">
            <v/>
          </cell>
        </row>
        <row r="9280">
          <cell r="O9280" t="str">
            <v/>
          </cell>
        </row>
        <row r="9281">
          <cell r="O9281" t="str">
            <v/>
          </cell>
        </row>
        <row r="9282">
          <cell r="O9282" t="str">
            <v/>
          </cell>
        </row>
        <row r="9283">
          <cell r="O9283" t="str">
            <v/>
          </cell>
        </row>
        <row r="9284">
          <cell r="O9284" t="str">
            <v/>
          </cell>
        </row>
        <row r="9285">
          <cell r="O9285" t="str">
            <v/>
          </cell>
        </row>
        <row r="9286">
          <cell r="O9286" t="str">
            <v/>
          </cell>
        </row>
        <row r="9287">
          <cell r="O9287" t="str">
            <v/>
          </cell>
        </row>
        <row r="9288">
          <cell r="O9288" t="str">
            <v/>
          </cell>
        </row>
        <row r="9289">
          <cell r="O9289" t="str">
            <v/>
          </cell>
        </row>
        <row r="9290">
          <cell r="O9290" t="str">
            <v/>
          </cell>
        </row>
        <row r="9291">
          <cell r="O9291" t="str">
            <v/>
          </cell>
        </row>
        <row r="9292">
          <cell r="O9292" t="str">
            <v/>
          </cell>
        </row>
        <row r="9293">
          <cell r="O9293" t="str">
            <v/>
          </cell>
        </row>
        <row r="9294">
          <cell r="O9294" t="str">
            <v/>
          </cell>
        </row>
        <row r="9295">
          <cell r="O9295" t="str">
            <v/>
          </cell>
        </row>
        <row r="9296">
          <cell r="O9296" t="str">
            <v/>
          </cell>
        </row>
        <row r="9297">
          <cell r="O9297" t="str">
            <v/>
          </cell>
        </row>
        <row r="9298">
          <cell r="O9298" t="str">
            <v/>
          </cell>
        </row>
        <row r="9299">
          <cell r="O9299" t="str">
            <v/>
          </cell>
        </row>
        <row r="9300">
          <cell r="O9300" t="str">
            <v/>
          </cell>
        </row>
        <row r="9301">
          <cell r="O9301" t="str">
            <v/>
          </cell>
        </row>
        <row r="9302">
          <cell r="O9302" t="str">
            <v/>
          </cell>
        </row>
        <row r="9303">
          <cell r="O9303" t="str">
            <v/>
          </cell>
        </row>
        <row r="9304">
          <cell r="O9304" t="str">
            <v/>
          </cell>
        </row>
        <row r="9305">
          <cell r="O9305" t="str">
            <v/>
          </cell>
        </row>
        <row r="9306">
          <cell r="O9306" t="str">
            <v/>
          </cell>
        </row>
        <row r="9307">
          <cell r="O9307" t="str">
            <v/>
          </cell>
        </row>
        <row r="9308">
          <cell r="O9308" t="str">
            <v/>
          </cell>
        </row>
        <row r="9309">
          <cell r="O9309" t="str">
            <v/>
          </cell>
        </row>
        <row r="9310">
          <cell r="O9310" t="str">
            <v/>
          </cell>
        </row>
        <row r="9311">
          <cell r="O9311" t="str">
            <v/>
          </cell>
        </row>
        <row r="9312">
          <cell r="O9312" t="str">
            <v/>
          </cell>
        </row>
        <row r="9313">
          <cell r="O9313" t="str">
            <v/>
          </cell>
        </row>
        <row r="9314">
          <cell r="O9314" t="str">
            <v/>
          </cell>
        </row>
        <row r="9315">
          <cell r="O9315" t="str">
            <v/>
          </cell>
        </row>
        <row r="9316">
          <cell r="O9316" t="str">
            <v/>
          </cell>
        </row>
        <row r="9317">
          <cell r="O9317" t="str">
            <v/>
          </cell>
        </row>
        <row r="9318">
          <cell r="O9318" t="str">
            <v/>
          </cell>
        </row>
        <row r="9319">
          <cell r="O9319" t="str">
            <v/>
          </cell>
        </row>
        <row r="9320">
          <cell r="O9320" t="str">
            <v/>
          </cell>
        </row>
        <row r="9321">
          <cell r="O9321" t="str">
            <v/>
          </cell>
        </row>
        <row r="9322">
          <cell r="O9322" t="str">
            <v/>
          </cell>
        </row>
        <row r="9323">
          <cell r="O9323" t="str">
            <v/>
          </cell>
        </row>
        <row r="9324">
          <cell r="O9324" t="str">
            <v/>
          </cell>
        </row>
        <row r="9325">
          <cell r="O9325" t="str">
            <v/>
          </cell>
        </row>
        <row r="9326">
          <cell r="O9326" t="str">
            <v/>
          </cell>
        </row>
        <row r="9327">
          <cell r="O9327" t="str">
            <v/>
          </cell>
        </row>
        <row r="9328">
          <cell r="O9328" t="str">
            <v/>
          </cell>
        </row>
        <row r="9329">
          <cell r="O9329" t="str">
            <v/>
          </cell>
        </row>
        <row r="9330">
          <cell r="O9330" t="str">
            <v/>
          </cell>
        </row>
        <row r="9331">
          <cell r="O9331" t="str">
            <v/>
          </cell>
        </row>
        <row r="9332">
          <cell r="O9332" t="str">
            <v/>
          </cell>
        </row>
        <row r="9333">
          <cell r="O9333" t="str">
            <v/>
          </cell>
        </row>
        <row r="9334">
          <cell r="O9334" t="str">
            <v/>
          </cell>
        </row>
        <row r="9335">
          <cell r="O9335" t="str">
            <v/>
          </cell>
        </row>
        <row r="9336">
          <cell r="O9336" t="str">
            <v/>
          </cell>
        </row>
        <row r="9337">
          <cell r="O9337" t="str">
            <v/>
          </cell>
        </row>
        <row r="9338">
          <cell r="O9338" t="str">
            <v/>
          </cell>
        </row>
        <row r="9339">
          <cell r="O9339" t="str">
            <v/>
          </cell>
        </row>
        <row r="9340">
          <cell r="O9340" t="str">
            <v/>
          </cell>
        </row>
        <row r="9341">
          <cell r="O9341" t="str">
            <v/>
          </cell>
        </row>
        <row r="9342">
          <cell r="O9342" t="str">
            <v/>
          </cell>
        </row>
        <row r="9343">
          <cell r="O9343" t="str">
            <v/>
          </cell>
        </row>
        <row r="9344">
          <cell r="O9344" t="str">
            <v/>
          </cell>
        </row>
        <row r="9345">
          <cell r="O9345" t="str">
            <v/>
          </cell>
        </row>
        <row r="9346">
          <cell r="O9346" t="str">
            <v/>
          </cell>
        </row>
        <row r="9347">
          <cell r="O9347" t="str">
            <v/>
          </cell>
        </row>
        <row r="9348">
          <cell r="O9348" t="str">
            <v/>
          </cell>
        </row>
        <row r="9349">
          <cell r="O9349" t="str">
            <v/>
          </cell>
        </row>
        <row r="9350">
          <cell r="O9350" t="str">
            <v/>
          </cell>
        </row>
        <row r="9351">
          <cell r="O9351" t="str">
            <v/>
          </cell>
        </row>
        <row r="9352">
          <cell r="O9352" t="str">
            <v/>
          </cell>
        </row>
        <row r="9353">
          <cell r="O9353" t="str">
            <v/>
          </cell>
        </row>
        <row r="9354">
          <cell r="O9354" t="str">
            <v/>
          </cell>
        </row>
        <row r="9355">
          <cell r="O9355" t="str">
            <v/>
          </cell>
        </row>
        <row r="9356">
          <cell r="O9356" t="str">
            <v/>
          </cell>
        </row>
        <row r="9357">
          <cell r="O9357" t="str">
            <v/>
          </cell>
        </row>
        <row r="9358">
          <cell r="O9358" t="str">
            <v/>
          </cell>
        </row>
        <row r="9359">
          <cell r="O9359" t="str">
            <v/>
          </cell>
        </row>
        <row r="9360">
          <cell r="O9360" t="str">
            <v/>
          </cell>
        </row>
        <row r="9361">
          <cell r="O9361" t="str">
            <v/>
          </cell>
        </row>
        <row r="9362">
          <cell r="O9362" t="str">
            <v/>
          </cell>
        </row>
        <row r="9363">
          <cell r="O9363" t="str">
            <v/>
          </cell>
        </row>
        <row r="9364">
          <cell r="O9364" t="str">
            <v/>
          </cell>
        </row>
        <row r="9365">
          <cell r="O9365" t="str">
            <v/>
          </cell>
        </row>
        <row r="9366">
          <cell r="O9366" t="str">
            <v/>
          </cell>
        </row>
        <row r="9367">
          <cell r="O9367" t="str">
            <v/>
          </cell>
        </row>
        <row r="9368">
          <cell r="O9368" t="str">
            <v/>
          </cell>
        </row>
        <row r="9369">
          <cell r="O9369" t="str">
            <v/>
          </cell>
        </row>
        <row r="9370">
          <cell r="O9370" t="str">
            <v/>
          </cell>
        </row>
        <row r="9371">
          <cell r="O9371" t="str">
            <v/>
          </cell>
        </row>
        <row r="9372">
          <cell r="O9372" t="str">
            <v/>
          </cell>
        </row>
        <row r="9373">
          <cell r="O9373" t="str">
            <v/>
          </cell>
        </row>
        <row r="9374">
          <cell r="O9374" t="str">
            <v/>
          </cell>
        </row>
        <row r="9375">
          <cell r="O9375" t="str">
            <v/>
          </cell>
        </row>
        <row r="9376">
          <cell r="O9376" t="str">
            <v/>
          </cell>
        </row>
        <row r="9377">
          <cell r="O9377" t="str">
            <v/>
          </cell>
        </row>
        <row r="9378">
          <cell r="O9378" t="str">
            <v/>
          </cell>
        </row>
        <row r="9379">
          <cell r="O9379" t="str">
            <v/>
          </cell>
        </row>
        <row r="9380">
          <cell r="O9380" t="str">
            <v/>
          </cell>
        </row>
        <row r="9381">
          <cell r="O9381" t="str">
            <v/>
          </cell>
        </row>
        <row r="9382">
          <cell r="O9382" t="str">
            <v/>
          </cell>
        </row>
        <row r="9383">
          <cell r="O9383" t="str">
            <v/>
          </cell>
        </row>
        <row r="9384">
          <cell r="O9384" t="str">
            <v/>
          </cell>
        </row>
        <row r="9385">
          <cell r="O9385" t="str">
            <v/>
          </cell>
        </row>
        <row r="9386">
          <cell r="O9386" t="str">
            <v/>
          </cell>
        </row>
        <row r="9387">
          <cell r="O9387" t="str">
            <v/>
          </cell>
        </row>
        <row r="9388">
          <cell r="O9388" t="str">
            <v/>
          </cell>
        </row>
        <row r="9389">
          <cell r="O9389" t="str">
            <v/>
          </cell>
        </row>
        <row r="9390">
          <cell r="O9390" t="str">
            <v/>
          </cell>
        </row>
        <row r="9391">
          <cell r="O9391" t="str">
            <v/>
          </cell>
        </row>
        <row r="9392">
          <cell r="O9392" t="str">
            <v/>
          </cell>
        </row>
        <row r="9393">
          <cell r="O9393" t="str">
            <v/>
          </cell>
        </row>
        <row r="9394">
          <cell r="O9394" t="str">
            <v/>
          </cell>
        </row>
        <row r="9395">
          <cell r="O9395" t="str">
            <v/>
          </cell>
        </row>
        <row r="9396">
          <cell r="O9396" t="str">
            <v/>
          </cell>
        </row>
        <row r="9397">
          <cell r="O9397" t="str">
            <v/>
          </cell>
        </row>
        <row r="9398">
          <cell r="O9398" t="str">
            <v/>
          </cell>
        </row>
        <row r="9399">
          <cell r="O9399" t="str">
            <v/>
          </cell>
        </row>
        <row r="9400">
          <cell r="O9400" t="str">
            <v/>
          </cell>
        </row>
        <row r="9401">
          <cell r="O9401" t="str">
            <v/>
          </cell>
        </row>
        <row r="9402">
          <cell r="O9402" t="str">
            <v/>
          </cell>
        </row>
        <row r="9403">
          <cell r="O9403" t="str">
            <v/>
          </cell>
        </row>
        <row r="9404">
          <cell r="O9404" t="str">
            <v/>
          </cell>
        </row>
        <row r="9405">
          <cell r="O9405" t="str">
            <v/>
          </cell>
        </row>
        <row r="9406">
          <cell r="O9406" t="str">
            <v/>
          </cell>
        </row>
        <row r="9407">
          <cell r="O9407" t="str">
            <v/>
          </cell>
        </row>
        <row r="9408">
          <cell r="O9408" t="str">
            <v/>
          </cell>
        </row>
        <row r="9409">
          <cell r="O9409" t="str">
            <v/>
          </cell>
        </row>
        <row r="9410">
          <cell r="O9410" t="str">
            <v/>
          </cell>
        </row>
        <row r="9411">
          <cell r="O9411" t="str">
            <v/>
          </cell>
        </row>
        <row r="9412">
          <cell r="O9412" t="str">
            <v/>
          </cell>
        </row>
        <row r="9413">
          <cell r="O9413" t="str">
            <v/>
          </cell>
        </row>
        <row r="9414">
          <cell r="O9414" t="str">
            <v/>
          </cell>
        </row>
        <row r="9415">
          <cell r="O9415" t="str">
            <v/>
          </cell>
        </row>
        <row r="9416">
          <cell r="O9416" t="str">
            <v/>
          </cell>
        </row>
        <row r="9417">
          <cell r="O9417" t="str">
            <v/>
          </cell>
        </row>
        <row r="9418">
          <cell r="O9418" t="str">
            <v/>
          </cell>
        </row>
        <row r="9419">
          <cell r="O9419" t="str">
            <v/>
          </cell>
        </row>
        <row r="9420">
          <cell r="O9420" t="str">
            <v/>
          </cell>
        </row>
        <row r="9421">
          <cell r="O9421" t="str">
            <v/>
          </cell>
        </row>
        <row r="9422">
          <cell r="O9422" t="str">
            <v/>
          </cell>
        </row>
        <row r="9423">
          <cell r="O9423" t="str">
            <v/>
          </cell>
        </row>
        <row r="9424">
          <cell r="O9424" t="str">
            <v/>
          </cell>
        </row>
        <row r="9425">
          <cell r="O9425" t="str">
            <v/>
          </cell>
        </row>
        <row r="9426">
          <cell r="O9426" t="str">
            <v/>
          </cell>
        </row>
        <row r="9427">
          <cell r="O9427" t="str">
            <v/>
          </cell>
        </row>
        <row r="9428">
          <cell r="O9428" t="str">
            <v/>
          </cell>
        </row>
        <row r="9429">
          <cell r="O9429" t="str">
            <v/>
          </cell>
        </row>
        <row r="9430">
          <cell r="O9430" t="str">
            <v/>
          </cell>
        </row>
        <row r="9431">
          <cell r="O9431" t="str">
            <v/>
          </cell>
        </row>
        <row r="9432">
          <cell r="O9432" t="str">
            <v/>
          </cell>
        </row>
        <row r="9433">
          <cell r="O9433" t="str">
            <v/>
          </cell>
        </row>
        <row r="9434">
          <cell r="O9434" t="str">
            <v/>
          </cell>
        </row>
        <row r="9435">
          <cell r="O9435" t="str">
            <v/>
          </cell>
        </row>
        <row r="9436">
          <cell r="O9436" t="str">
            <v/>
          </cell>
        </row>
        <row r="9437">
          <cell r="O9437" t="str">
            <v/>
          </cell>
        </row>
        <row r="9438">
          <cell r="O9438" t="str">
            <v/>
          </cell>
        </row>
        <row r="9439">
          <cell r="O9439" t="str">
            <v/>
          </cell>
        </row>
        <row r="9440">
          <cell r="O9440" t="str">
            <v/>
          </cell>
        </row>
        <row r="9441">
          <cell r="O9441" t="str">
            <v/>
          </cell>
        </row>
        <row r="9442">
          <cell r="O9442" t="str">
            <v/>
          </cell>
        </row>
        <row r="9443">
          <cell r="O9443" t="str">
            <v/>
          </cell>
        </row>
        <row r="9444">
          <cell r="O9444" t="str">
            <v/>
          </cell>
        </row>
        <row r="9445">
          <cell r="O9445" t="str">
            <v/>
          </cell>
        </row>
        <row r="9446">
          <cell r="O9446" t="str">
            <v/>
          </cell>
        </row>
        <row r="9447">
          <cell r="O9447" t="str">
            <v/>
          </cell>
        </row>
        <row r="9448">
          <cell r="O9448" t="str">
            <v/>
          </cell>
        </row>
        <row r="9449">
          <cell r="O9449" t="str">
            <v/>
          </cell>
        </row>
        <row r="9450">
          <cell r="O9450" t="str">
            <v/>
          </cell>
        </row>
        <row r="9451">
          <cell r="O9451" t="str">
            <v/>
          </cell>
        </row>
        <row r="9452">
          <cell r="O9452" t="str">
            <v/>
          </cell>
        </row>
        <row r="9453">
          <cell r="O9453" t="str">
            <v/>
          </cell>
        </row>
        <row r="9454">
          <cell r="O9454" t="str">
            <v/>
          </cell>
        </row>
        <row r="9455">
          <cell r="O9455" t="str">
            <v/>
          </cell>
        </row>
        <row r="9456">
          <cell r="O9456" t="str">
            <v/>
          </cell>
        </row>
        <row r="9457">
          <cell r="O9457" t="str">
            <v/>
          </cell>
        </row>
        <row r="9458">
          <cell r="O9458" t="str">
            <v/>
          </cell>
        </row>
        <row r="9459">
          <cell r="O9459" t="str">
            <v/>
          </cell>
        </row>
        <row r="9460">
          <cell r="O9460" t="str">
            <v/>
          </cell>
        </row>
        <row r="9461">
          <cell r="O9461" t="str">
            <v/>
          </cell>
        </row>
        <row r="9462">
          <cell r="O9462" t="str">
            <v/>
          </cell>
        </row>
        <row r="9463">
          <cell r="O9463" t="str">
            <v/>
          </cell>
        </row>
        <row r="9464">
          <cell r="O9464" t="str">
            <v/>
          </cell>
        </row>
        <row r="9465">
          <cell r="O9465" t="str">
            <v/>
          </cell>
        </row>
        <row r="9466">
          <cell r="O9466" t="str">
            <v/>
          </cell>
        </row>
        <row r="9467">
          <cell r="O9467" t="str">
            <v/>
          </cell>
        </row>
        <row r="9468">
          <cell r="O9468" t="str">
            <v/>
          </cell>
        </row>
        <row r="9469">
          <cell r="O9469" t="str">
            <v/>
          </cell>
        </row>
        <row r="9470">
          <cell r="O9470" t="str">
            <v/>
          </cell>
        </row>
        <row r="9471">
          <cell r="O9471" t="str">
            <v/>
          </cell>
        </row>
        <row r="9472">
          <cell r="O9472" t="str">
            <v/>
          </cell>
        </row>
        <row r="9473">
          <cell r="O9473" t="str">
            <v/>
          </cell>
        </row>
        <row r="9474">
          <cell r="O9474" t="str">
            <v/>
          </cell>
        </row>
        <row r="9475">
          <cell r="O9475" t="str">
            <v/>
          </cell>
        </row>
        <row r="9476">
          <cell r="O9476" t="str">
            <v/>
          </cell>
        </row>
        <row r="9477">
          <cell r="O9477" t="str">
            <v/>
          </cell>
        </row>
        <row r="9478">
          <cell r="O9478" t="str">
            <v/>
          </cell>
        </row>
        <row r="9479">
          <cell r="O9479" t="str">
            <v/>
          </cell>
        </row>
        <row r="9480">
          <cell r="O9480" t="str">
            <v/>
          </cell>
        </row>
        <row r="9481">
          <cell r="O9481" t="str">
            <v/>
          </cell>
        </row>
        <row r="9482">
          <cell r="O9482" t="str">
            <v/>
          </cell>
        </row>
        <row r="9483">
          <cell r="O9483" t="str">
            <v/>
          </cell>
        </row>
        <row r="9484">
          <cell r="O9484" t="str">
            <v/>
          </cell>
        </row>
        <row r="9485">
          <cell r="O9485" t="str">
            <v/>
          </cell>
        </row>
        <row r="9486">
          <cell r="O9486" t="str">
            <v/>
          </cell>
        </row>
        <row r="9487">
          <cell r="O9487" t="str">
            <v/>
          </cell>
        </row>
        <row r="9488">
          <cell r="O9488" t="str">
            <v/>
          </cell>
        </row>
        <row r="9489">
          <cell r="O9489" t="str">
            <v/>
          </cell>
        </row>
        <row r="9490">
          <cell r="O9490" t="str">
            <v/>
          </cell>
        </row>
        <row r="9491">
          <cell r="O9491" t="str">
            <v/>
          </cell>
        </row>
        <row r="9492">
          <cell r="O9492" t="str">
            <v/>
          </cell>
        </row>
        <row r="9493">
          <cell r="O9493" t="str">
            <v/>
          </cell>
        </row>
        <row r="9494">
          <cell r="O9494" t="str">
            <v/>
          </cell>
        </row>
        <row r="9495">
          <cell r="O9495" t="str">
            <v/>
          </cell>
        </row>
        <row r="9496">
          <cell r="O9496" t="str">
            <v/>
          </cell>
        </row>
        <row r="9497">
          <cell r="O9497" t="str">
            <v/>
          </cell>
        </row>
        <row r="9498">
          <cell r="O9498" t="str">
            <v/>
          </cell>
        </row>
        <row r="9499">
          <cell r="O9499" t="str">
            <v/>
          </cell>
        </row>
        <row r="9500">
          <cell r="O9500" t="str">
            <v/>
          </cell>
        </row>
        <row r="9501">
          <cell r="O9501" t="str">
            <v/>
          </cell>
        </row>
        <row r="9502">
          <cell r="O9502" t="str">
            <v/>
          </cell>
        </row>
        <row r="9503">
          <cell r="O9503" t="str">
            <v/>
          </cell>
        </row>
        <row r="9504">
          <cell r="O9504" t="str">
            <v/>
          </cell>
        </row>
        <row r="9505">
          <cell r="O9505" t="str">
            <v/>
          </cell>
        </row>
        <row r="9506">
          <cell r="O9506" t="str">
            <v/>
          </cell>
        </row>
        <row r="9507">
          <cell r="O9507" t="str">
            <v/>
          </cell>
        </row>
        <row r="9508">
          <cell r="O9508" t="str">
            <v/>
          </cell>
        </row>
        <row r="9509">
          <cell r="O9509" t="str">
            <v/>
          </cell>
        </row>
        <row r="9510">
          <cell r="O9510" t="str">
            <v/>
          </cell>
        </row>
        <row r="9511">
          <cell r="O9511" t="str">
            <v/>
          </cell>
        </row>
        <row r="9512">
          <cell r="O9512" t="str">
            <v/>
          </cell>
        </row>
        <row r="9513">
          <cell r="O9513" t="str">
            <v/>
          </cell>
        </row>
        <row r="9514">
          <cell r="O9514" t="str">
            <v/>
          </cell>
        </row>
        <row r="9515">
          <cell r="O9515" t="str">
            <v/>
          </cell>
        </row>
        <row r="9516">
          <cell r="O9516" t="str">
            <v/>
          </cell>
        </row>
        <row r="9517">
          <cell r="O9517" t="str">
            <v/>
          </cell>
        </row>
        <row r="9518">
          <cell r="O9518" t="str">
            <v/>
          </cell>
        </row>
        <row r="9519">
          <cell r="O9519" t="str">
            <v/>
          </cell>
        </row>
        <row r="9520">
          <cell r="O9520" t="str">
            <v/>
          </cell>
        </row>
        <row r="9521">
          <cell r="O9521" t="str">
            <v/>
          </cell>
        </row>
        <row r="9522">
          <cell r="O9522" t="str">
            <v/>
          </cell>
        </row>
        <row r="9523">
          <cell r="O9523" t="str">
            <v/>
          </cell>
        </row>
        <row r="9524">
          <cell r="O9524" t="str">
            <v/>
          </cell>
        </row>
        <row r="9525">
          <cell r="O9525" t="str">
            <v/>
          </cell>
        </row>
        <row r="9526">
          <cell r="O9526" t="str">
            <v/>
          </cell>
        </row>
        <row r="9527">
          <cell r="O9527" t="str">
            <v/>
          </cell>
        </row>
        <row r="9528">
          <cell r="O9528" t="str">
            <v/>
          </cell>
        </row>
        <row r="9529">
          <cell r="O9529" t="str">
            <v/>
          </cell>
        </row>
        <row r="9530">
          <cell r="O9530" t="str">
            <v/>
          </cell>
        </row>
        <row r="9531">
          <cell r="O9531" t="str">
            <v/>
          </cell>
        </row>
        <row r="9532">
          <cell r="O9532" t="str">
            <v/>
          </cell>
        </row>
        <row r="9533">
          <cell r="O9533" t="str">
            <v/>
          </cell>
        </row>
        <row r="9534">
          <cell r="O9534" t="str">
            <v/>
          </cell>
        </row>
        <row r="9535">
          <cell r="O9535" t="str">
            <v/>
          </cell>
        </row>
        <row r="9536">
          <cell r="O9536" t="str">
            <v/>
          </cell>
        </row>
        <row r="9537">
          <cell r="O9537" t="str">
            <v/>
          </cell>
        </row>
        <row r="9538">
          <cell r="O9538" t="str">
            <v/>
          </cell>
        </row>
        <row r="9539">
          <cell r="O9539" t="str">
            <v/>
          </cell>
        </row>
        <row r="9540">
          <cell r="O9540" t="str">
            <v/>
          </cell>
        </row>
        <row r="9541">
          <cell r="O9541" t="str">
            <v/>
          </cell>
        </row>
        <row r="9542">
          <cell r="O9542" t="str">
            <v/>
          </cell>
        </row>
        <row r="9543">
          <cell r="O9543" t="str">
            <v/>
          </cell>
        </row>
        <row r="9544">
          <cell r="O9544" t="str">
            <v/>
          </cell>
        </row>
        <row r="9545">
          <cell r="O9545" t="str">
            <v/>
          </cell>
        </row>
        <row r="9546">
          <cell r="O9546" t="str">
            <v/>
          </cell>
        </row>
        <row r="9547">
          <cell r="O9547" t="str">
            <v/>
          </cell>
        </row>
        <row r="9548">
          <cell r="O9548" t="str">
            <v/>
          </cell>
        </row>
        <row r="9549">
          <cell r="O9549" t="str">
            <v/>
          </cell>
        </row>
        <row r="9550">
          <cell r="O9550" t="str">
            <v/>
          </cell>
        </row>
        <row r="9551">
          <cell r="O9551" t="str">
            <v/>
          </cell>
        </row>
        <row r="9552">
          <cell r="O9552" t="str">
            <v/>
          </cell>
        </row>
        <row r="9553">
          <cell r="O9553" t="str">
            <v/>
          </cell>
        </row>
        <row r="9554">
          <cell r="O9554" t="str">
            <v/>
          </cell>
        </row>
        <row r="9555">
          <cell r="O9555" t="str">
            <v/>
          </cell>
        </row>
        <row r="9556">
          <cell r="O9556" t="str">
            <v/>
          </cell>
        </row>
        <row r="9557">
          <cell r="O9557" t="str">
            <v/>
          </cell>
        </row>
        <row r="9558">
          <cell r="O9558" t="str">
            <v/>
          </cell>
        </row>
        <row r="9559">
          <cell r="O9559" t="str">
            <v/>
          </cell>
        </row>
        <row r="9560">
          <cell r="O9560" t="str">
            <v/>
          </cell>
        </row>
        <row r="9561">
          <cell r="O9561" t="str">
            <v/>
          </cell>
        </row>
        <row r="9562">
          <cell r="O9562" t="str">
            <v/>
          </cell>
        </row>
        <row r="9563">
          <cell r="O9563" t="str">
            <v/>
          </cell>
        </row>
        <row r="9564">
          <cell r="O9564" t="str">
            <v/>
          </cell>
        </row>
        <row r="9565">
          <cell r="O9565" t="str">
            <v/>
          </cell>
        </row>
        <row r="9566">
          <cell r="O9566" t="str">
            <v/>
          </cell>
        </row>
        <row r="9567">
          <cell r="O9567" t="str">
            <v/>
          </cell>
        </row>
        <row r="9568">
          <cell r="O9568" t="str">
            <v/>
          </cell>
        </row>
        <row r="9569">
          <cell r="O9569" t="str">
            <v/>
          </cell>
        </row>
        <row r="9570">
          <cell r="O9570" t="str">
            <v/>
          </cell>
        </row>
        <row r="9571">
          <cell r="O9571" t="str">
            <v/>
          </cell>
        </row>
        <row r="9572">
          <cell r="O9572" t="str">
            <v/>
          </cell>
        </row>
        <row r="9573">
          <cell r="O9573" t="str">
            <v/>
          </cell>
        </row>
        <row r="9574">
          <cell r="O9574" t="str">
            <v/>
          </cell>
        </row>
        <row r="9575">
          <cell r="O9575" t="str">
            <v/>
          </cell>
        </row>
        <row r="9576">
          <cell r="O9576" t="str">
            <v/>
          </cell>
        </row>
        <row r="9577">
          <cell r="O9577" t="str">
            <v/>
          </cell>
        </row>
        <row r="9578">
          <cell r="O9578" t="str">
            <v/>
          </cell>
        </row>
        <row r="9579">
          <cell r="O9579" t="str">
            <v/>
          </cell>
        </row>
        <row r="9580">
          <cell r="O9580" t="str">
            <v/>
          </cell>
        </row>
        <row r="9581">
          <cell r="O9581" t="str">
            <v/>
          </cell>
        </row>
        <row r="9582">
          <cell r="O9582" t="str">
            <v/>
          </cell>
        </row>
        <row r="9583">
          <cell r="O9583" t="str">
            <v/>
          </cell>
        </row>
        <row r="9584">
          <cell r="O9584" t="str">
            <v/>
          </cell>
        </row>
        <row r="9585">
          <cell r="O9585" t="str">
            <v/>
          </cell>
        </row>
        <row r="9586">
          <cell r="O9586" t="str">
            <v/>
          </cell>
        </row>
        <row r="9587">
          <cell r="O9587" t="str">
            <v/>
          </cell>
        </row>
        <row r="9588">
          <cell r="O9588" t="str">
            <v/>
          </cell>
        </row>
        <row r="9589">
          <cell r="O9589" t="str">
            <v/>
          </cell>
        </row>
        <row r="9590">
          <cell r="O9590" t="str">
            <v/>
          </cell>
        </row>
        <row r="9591">
          <cell r="O9591" t="str">
            <v/>
          </cell>
        </row>
        <row r="9592">
          <cell r="O9592" t="str">
            <v/>
          </cell>
        </row>
        <row r="9593">
          <cell r="O9593" t="str">
            <v/>
          </cell>
        </row>
        <row r="9594">
          <cell r="O9594" t="str">
            <v/>
          </cell>
        </row>
        <row r="9595">
          <cell r="O9595" t="str">
            <v/>
          </cell>
        </row>
        <row r="9596">
          <cell r="O9596" t="str">
            <v/>
          </cell>
        </row>
        <row r="9597">
          <cell r="O9597" t="str">
            <v/>
          </cell>
        </row>
        <row r="9598">
          <cell r="O9598" t="str">
            <v/>
          </cell>
        </row>
        <row r="9599">
          <cell r="O9599" t="str">
            <v/>
          </cell>
        </row>
        <row r="9600">
          <cell r="O9600" t="str">
            <v/>
          </cell>
        </row>
        <row r="9601">
          <cell r="O9601" t="str">
            <v/>
          </cell>
        </row>
        <row r="9602">
          <cell r="O9602" t="str">
            <v/>
          </cell>
        </row>
        <row r="9603">
          <cell r="O9603" t="str">
            <v/>
          </cell>
        </row>
        <row r="9604">
          <cell r="O9604" t="str">
            <v/>
          </cell>
        </row>
        <row r="9605">
          <cell r="O9605" t="str">
            <v/>
          </cell>
        </row>
        <row r="9606">
          <cell r="O9606" t="str">
            <v/>
          </cell>
        </row>
        <row r="9607">
          <cell r="O9607" t="str">
            <v/>
          </cell>
        </row>
        <row r="9608">
          <cell r="O9608" t="str">
            <v/>
          </cell>
        </row>
        <row r="9609">
          <cell r="O9609" t="str">
            <v/>
          </cell>
        </row>
        <row r="9610">
          <cell r="O9610" t="str">
            <v/>
          </cell>
        </row>
        <row r="9611">
          <cell r="O9611" t="str">
            <v/>
          </cell>
        </row>
        <row r="9612">
          <cell r="O9612" t="str">
            <v/>
          </cell>
        </row>
        <row r="9613">
          <cell r="O9613" t="str">
            <v/>
          </cell>
        </row>
        <row r="9614">
          <cell r="O9614" t="str">
            <v/>
          </cell>
        </row>
        <row r="9615">
          <cell r="O9615" t="str">
            <v/>
          </cell>
        </row>
        <row r="9616">
          <cell r="O9616" t="str">
            <v/>
          </cell>
        </row>
        <row r="9617">
          <cell r="O9617" t="str">
            <v/>
          </cell>
        </row>
        <row r="9618">
          <cell r="O9618" t="str">
            <v/>
          </cell>
        </row>
        <row r="9619">
          <cell r="O9619" t="str">
            <v/>
          </cell>
        </row>
        <row r="9620">
          <cell r="O9620" t="str">
            <v/>
          </cell>
        </row>
        <row r="9621">
          <cell r="O9621" t="str">
            <v/>
          </cell>
        </row>
        <row r="9622">
          <cell r="O9622" t="str">
            <v/>
          </cell>
        </row>
        <row r="9623">
          <cell r="O9623" t="str">
            <v/>
          </cell>
        </row>
        <row r="9624">
          <cell r="O9624" t="str">
            <v/>
          </cell>
        </row>
        <row r="9625">
          <cell r="O9625" t="str">
            <v/>
          </cell>
        </row>
        <row r="9626">
          <cell r="O9626" t="str">
            <v/>
          </cell>
        </row>
        <row r="9627">
          <cell r="O9627" t="str">
            <v/>
          </cell>
        </row>
        <row r="9628">
          <cell r="O9628" t="str">
            <v/>
          </cell>
        </row>
        <row r="9629">
          <cell r="O9629" t="str">
            <v/>
          </cell>
        </row>
        <row r="9630">
          <cell r="O9630" t="str">
            <v/>
          </cell>
        </row>
        <row r="9631">
          <cell r="O9631" t="str">
            <v/>
          </cell>
        </row>
        <row r="9632">
          <cell r="O9632" t="str">
            <v/>
          </cell>
        </row>
        <row r="9633">
          <cell r="O9633" t="str">
            <v/>
          </cell>
        </row>
        <row r="9634">
          <cell r="O9634" t="str">
            <v/>
          </cell>
        </row>
        <row r="9635">
          <cell r="O9635" t="str">
            <v/>
          </cell>
        </row>
        <row r="9636">
          <cell r="O9636" t="str">
            <v/>
          </cell>
        </row>
        <row r="9637">
          <cell r="O9637" t="str">
            <v/>
          </cell>
        </row>
        <row r="9638">
          <cell r="O9638" t="str">
            <v/>
          </cell>
        </row>
        <row r="9639">
          <cell r="O9639" t="str">
            <v/>
          </cell>
        </row>
        <row r="9640">
          <cell r="O9640" t="str">
            <v/>
          </cell>
        </row>
        <row r="9641">
          <cell r="O9641" t="str">
            <v/>
          </cell>
        </row>
        <row r="9642">
          <cell r="O9642" t="str">
            <v/>
          </cell>
        </row>
        <row r="9643">
          <cell r="O9643" t="str">
            <v/>
          </cell>
        </row>
        <row r="9644">
          <cell r="O9644" t="str">
            <v/>
          </cell>
        </row>
        <row r="9645">
          <cell r="O9645" t="str">
            <v/>
          </cell>
        </row>
        <row r="9646">
          <cell r="O9646" t="str">
            <v/>
          </cell>
        </row>
        <row r="9647">
          <cell r="O9647" t="str">
            <v/>
          </cell>
        </row>
        <row r="9648">
          <cell r="O9648" t="str">
            <v/>
          </cell>
        </row>
        <row r="9649">
          <cell r="O9649" t="str">
            <v/>
          </cell>
        </row>
        <row r="9650">
          <cell r="O9650" t="str">
            <v/>
          </cell>
        </row>
        <row r="9651">
          <cell r="O9651" t="str">
            <v/>
          </cell>
        </row>
        <row r="9652">
          <cell r="O9652" t="str">
            <v/>
          </cell>
        </row>
        <row r="9653">
          <cell r="O9653" t="str">
            <v/>
          </cell>
        </row>
        <row r="9654">
          <cell r="O9654" t="str">
            <v/>
          </cell>
        </row>
        <row r="9655">
          <cell r="O9655" t="str">
            <v/>
          </cell>
        </row>
        <row r="9656">
          <cell r="O9656" t="str">
            <v/>
          </cell>
        </row>
        <row r="9657">
          <cell r="O9657" t="str">
            <v/>
          </cell>
        </row>
        <row r="9658">
          <cell r="O9658" t="str">
            <v/>
          </cell>
        </row>
        <row r="9659">
          <cell r="O9659" t="str">
            <v/>
          </cell>
        </row>
        <row r="9660">
          <cell r="O9660" t="str">
            <v/>
          </cell>
        </row>
        <row r="9661">
          <cell r="O9661" t="str">
            <v/>
          </cell>
        </row>
        <row r="9662">
          <cell r="O9662" t="str">
            <v/>
          </cell>
        </row>
        <row r="9663">
          <cell r="O9663" t="str">
            <v/>
          </cell>
        </row>
        <row r="9664">
          <cell r="O9664" t="str">
            <v/>
          </cell>
        </row>
        <row r="9665">
          <cell r="O9665" t="str">
            <v/>
          </cell>
        </row>
        <row r="9666">
          <cell r="O9666" t="str">
            <v/>
          </cell>
        </row>
        <row r="9667">
          <cell r="O9667" t="str">
            <v/>
          </cell>
        </row>
        <row r="9668">
          <cell r="O9668" t="str">
            <v/>
          </cell>
        </row>
        <row r="9669">
          <cell r="O9669" t="str">
            <v/>
          </cell>
        </row>
        <row r="9670">
          <cell r="O9670" t="str">
            <v/>
          </cell>
        </row>
        <row r="9671">
          <cell r="O9671" t="str">
            <v/>
          </cell>
        </row>
        <row r="9672">
          <cell r="O9672" t="str">
            <v/>
          </cell>
        </row>
        <row r="9673">
          <cell r="O9673" t="str">
            <v/>
          </cell>
        </row>
        <row r="9674">
          <cell r="O9674" t="str">
            <v/>
          </cell>
        </row>
        <row r="9675">
          <cell r="O9675" t="str">
            <v/>
          </cell>
        </row>
        <row r="9676">
          <cell r="O9676" t="str">
            <v/>
          </cell>
        </row>
        <row r="9677">
          <cell r="O9677" t="str">
            <v/>
          </cell>
        </row>
        <row r="9678">
          <cell r="O9678" t="str">
            <v/>
          </cell>
        </row>
        <row r="9679">
          <cell r="O9679" t="str">
            <v/>
          </cell>
        </row>
        <row r="9680">
          <cell r="O9680" t="str">
            <v/>
          </cell>
        </row>
        <row r="9681">
          <cell r="O9681" t="str">
            <v/>
          </cell>
        </row>
        <row r="9682">
          <cell r="O9682" t="str">
            <v/>
          </cell>
        </row>
        <row r="9683">
          <cell r="O9683" t="str">
            <v/>
          </cell>
        </row>
        <row r="9684">
          <cell r="O9684" t="str">
            <v/>
          </cell>
        </row>
        <row r="9685">
          <cell r="O9685" t="str">
            <v/>
          </cell>
        </row>
        <row r="9686">
          <cell r="O9686" t="str">
            <v/>
          </cell>
        </row>
        <row r="9687">
          <cell r="O9687" t="str">
            <v/>
          </cell>
        </row>
        <row r="9688">
          <cell r="O9688" t="str">
            <v/>
          </cell>
        </row>
        <row r="9689">
          <cell r="O9689" t="str">
            <v/>
          </cell>
        </row>
        <row r="9690">
          <cell r="O9690" t="str">
            <v/>
          </cell>
        </row>
        <row r="9691">
          <cell r="O9691" t="str">
            <v/>
          </cell>
        </row>
        <row r="9692">
          <cell r="O9692" t="str">
            <v/>
          </cell>
        </row>
        <row r="9693">
          <cell r="O9693" t="str">
            <v/>
          </cell>
        </row>
        <row r="9694">
          <cell r="O9694" t="str">
            <v/>
          </cell>
        </row>
        <row r="9695">
          <cell r="O9695" t="str">
            <v/>
          </cell>
        </row>
        <row r="9696">
          <cell r="O9696" t="str">
            <v/>
          </cell>
        </row>
        <row r="9697">
          <cell r="O9697" t="str">
            <v/>
          </cell>
        </row>
        <row r="9698">
          <cell r="O9698" t="str">
            <v/>
          </cell>
        </row>
        <row r="9699">
          <cell r="O9699" t="str">
            <v/>
          </cell>
        </row>
        <row r="9700">
          <cell r="O9700" t="str">
            <v/>
          </cell>
        </row>
        <row r="9701">
          <cell r="O9701" t="str">
            <v/>
          </cell>
        </row>
        <row r="9702">
          <cell r="O9702" t="str">
            <v/>
          </cell>
        </row>
        <row r="9703">
          <cell r="O9703" t="str">
            <v/>
          </cell>
        </row>
        <row r="9704">
          <cell r="O9704" t="str">
            <v/>
          </cell>
        </row>
        <row r="9705">
          <cell r="O9705" t="str">
            <v/>
          </cell>
        </row>
        <row r="9706">
          <cell r="O9706" t="str">
            <v/>
          </cell>
        </row>
        <row r="9707">
          <cell r="O9707" t="str">
            <v/>
          </cell>
        </row>
        <row r="9708">
          <cell r="O9708" t="str">
            <v/>
          </cell>
        </row>
        <row r="9709">
          <cell r="O9709" t="str">
            <v/>
          </cell>
        </row>
        <row r="9710">
          <cell r="O9710" t="str">
            <v/>
          </cell>
        </row>
        <row r="9711">
          <cell r="O9711" t="str">
            <v/>
          </cell>
        </row>
        <row r="9712">
          <cell r="O9712" t="str">
            <v/>
          </cell>
        </row>
        <row r="9713">
          <cell r="O9713" t="str">
            <v/>
          </cell>
        </row>
        <row r="9714">
          <cell r="O9714" t="str">
            <v/>
          </cell>
        </row>
        <row r="9715">
          <cell r="O9715" t="str">
            <v/>
          </cell>
        </row>
        <row r="9716">
          <cell r="O9716" t="str">
            <v/>
          </cell>
        </row>
        <row r="9717">
          <cell r="O9717" t="str">
            <v/>
          </cell>
        </row>
        <row r="9718">
          <cell r="O9718" t="str">
            <v/>
          </cell>
        </row>
        <row r="9719">
          <cell r="O9719" t="str">
            <v/>
          </cell>
        </row>
        <row r="9720">
          <cell r="O9720" t="str">
            <v/>
          </cell>
        </row>
        <row r="9721">
          <cell r="O9721" t="str">
            <v/>
          </cell>
        </row>
        <row r="9722">
          <cell r="O9722" t="str">
            <v/>
          </cell>
        </row>
        <row r="9723">
          <cell r="O9723" t="str">
            <v/>
          </cell>
        </row>
        <row r="9724">
          <cell r="O9724" t="str">
            <v/>
          </cell>
        </row>
        <row r="9725">
          <cell r="O9725" t="str">
            <v/>
          </cell>
        </row>
        <row r="9726">
          <cell r="O9726" t="str">
            <v/>
          </cell>
        </row>
        <row r="9727">
          <cell r="O9727" t="str">
            <v/>
          </cell>
        </row>
        <row r="9728">
          <cell r="O9728" t="str">
            <v/>
          </cell>
        </row>
        <row r="9729">
          <cell r="O9729" t="str">
            <v/>
          </cell>
        </row>
        <row r="9730">
          <cell r="O9730" t="str">
            <v/>
          </cell>
        </row>
        <row r="9731">
          <cell r="O9731" t="str">
            <v/>
          </cell>
        </row>
        <row r="9732">
          <cell r="O9732" t="str">
            <v/>
          </cell>
        </row>
        <row r="9733">
          <cell r="O9733" t="str">
            <v/>
          </cell>
        </row>
        <row r="9734">
          <cell r="O9734" t="str">
            <v/>
          </cell>
        </row>
        <row r="9735">
          <cell r="O9735" t="str">
            <v/>
          </cell>
        </row>
        <row r="9736">
          <cell r="O9736" t="str">
            <v/>
          </cell>
        </row>
        <row r="9737">
          <cell r="O9737" t="str">
            <v/>
          </cell>
        </row>
        <row r="9738">
          <cell r="O9738" t="str">
            <v/>
          </cell>
        </row>
        <row r="9739">
          <cell r="O9739" t="str">
            <v/>
          </cell>
        </row>
        <row r="9740">
          <cell r="O9740" t="str">
            <v/>
          </cell>
        </row>
        <row r="9741">
          <cell r="O9741" t="str">
            <v/>
          </cell>
        </row>
        <row r="9742">
          <cell r="O9742" t="str">
            <v/>
          </cell>
        </row>
        <row r="9743">
          <cell r="O9743" t="str">
            <v/>
          </cell>
        </row>
        <row r="9744">
          <cell r="O9744" t="str">
            <v/>
          </cell>
        </row>
        <row r="9745">
          <cell r="O9745" t="str">
            <v/>
          </cell>
        </row>
        <row r="9746">
          <cell r="O9746" t="str">
            <v/>
          </cell>
        </row>
        <row r="9747">
          <cell r="O9747" t="str">
            <v/>
          </cell>
        </row>
        <row r="9748">
          <cell r="O9748" t="str">
            <v/>
          </cell>
        </row>
        <row r="9749">
          <cell r="O9749" t="str">
            <v/>
          </cell>
        </row>
        <row r="9750">
          <cell r="O9750" t="str">
            <v/>
          </cell>
        </row>
        <row r="9751">
          <cell r="O9751" t="str">
            <v/>
          </cell>
        </row>
        <row r="9752">
          <cell r="O9752" t="str">
            <v/>
          </cell>
        </row>
        <row r="9753">
          <cell r="O9753" t="str">
            <v/>
          </cell>
        </row>
        <row r="9754">
          <cell r="O9754" t="str">
            <v/>
          </cell>
        </row>
        <row r="9755">
          <cell r="O9755" t="str">
            <v/>
          </cell>
        </row>
        <row r="9756">
          <cell r="O9756" t="str">
            <v/>
          </cell>
        </row>
        <row r="9757">
          <cell r="O9757" t="str">
            <v/>
          </cell>
        </row>
        <row r="9758">
          <cell r="O9758" t="str">
            <v/>
          </cell>
        </row>
        <row r="9759">
          <cell r="O9759" t="str">
            <v/>
          </cell>
        </row>
        <row r="9760">
          <cell r="O9760" t="str">
            <v/>
          </cell>
        </row>
        <row r="9761">
          <cell r="O9761" t="str">
            <v/>
          </cell>
        </row>
        <row r="9762">
          <cell r="O9762" t="str">
            <v/>
          </cell>
        </row>
        <row r="9763">
          <cell r="O9763" t="str">
            <v/>
          </cell>
        </row>
        <row r="9764">
          <cell r="O9764" t="str">
            <v/>
          </cell>
        </row>
        <row r="9765">
          <cell r="O9765" t="str">
            <v/>
          </cell>
        </row>
        <row r="9766">
          <cell r="O9766" t="str">
            <v/>
          </cell>
        </row>
        <row r="9767">
          <cell r="O9767" t="str">
            <v/>
          </cell>
        </row>
        <row r="9768">
          <cell r="O9768" t="str">
            <v/>
          </cell>
        </row>
        <row r="9769">
          <cell r="O9769" t="str">
            <v/>
          </cell>
        </row>
        <row r="9770">
          <cell r="O9770" t="str">
            <v/>
          </cell>
        </row>
        <row r="9771">
          <cell r="O9771" t="str">
            <v/>
          </cell>
        </row>
        <row r="9772">
          <cell r="O9772" t="str">
            <v/>
          </cell>
        </row>
        <row r="9773">
          <cell r="O9773" t="str">
            <v/>
          </cell>
        </row>
        <row r="9774">
          <cell r="O9774" t="str">
            <v/>
          </cell>
        </row>
        <row r="9775">
          <cell r="O9775" t="str">
            <v/>
          </cell>
        </row>
        <row r="9776">
          <cell r="O9776" t="str">
            <v/>
          </cell>
        </row>
        <row r="9777">
          <cell r="O9777" t="str">
            <v/>
          </cell>
        </row>
        <row r="9778">
          <cell r="O9778" t="str">
            <v/>
          </cell>
        </row>
        <row r="9779">
          <cell r="O9779" t="str">
            <v/>
          </cell>
        </row>
        <row r="9780">
          <cell r="O9780" t="str">
            <v/>
          </cell>
        </row>
        <row r="9781">
          <cell r="O9781" t="str">
            <v/>
          </cell>
        </row>
        <row r="9782">
          <cell r="O9782" t="str">
            <v/>
          </cell>
        </row>
        <row r="9783">
          <cell r="O9783" t="str">
            <v/>
          </cell>
        </row>
        <row r="9784">
          <cell r="O9784" t="str">
            <v/>
          </cell>
        </row>
        <row r="9785">
          <cell r="O9785" t="str">
            <v/>
          </cell>
        </row>
        <row r="9786">
          <cell r="O9786" t="str">
            <v/>
          </cell>
        </row>
        <row r="9787">
          <cell r="O9787" t="str">
            <v/>
          </cell>
        </row>
        <row r="9788">
          <cell r="O9788" t="str">
            <v/>
          </cell>
        </row>
        <row r="9789">
          <cell r="O9789" t="str">
            <v/>
          </cell>
        </row>
        <row r="9790">
          <cell r="O9790" t="str">
            <v/>
          </cell>
        </row>
        <row r="9791">
          <cell r="O9791" t="str">
            <v/>
          </cell>
        </row>
        <row r="9792">
          <cell r="O9792" t="str">
            <v/>
          </cell>
        </row>
        <row r="9793">
          <cell r="O9793" t="str">
            <v/>
          </cell>
        </row>
        <row r="9794">
          <cell r="O9794" t="str">
            <v/>
          </cell>
        </row>
        <row r="9795">
          <cell r="O9795" t="str">
            <v/>
          </cell>
        </row>
        <row r="9796">
          <cell r="O9796" t="str">
            <v/>
          </cell>
        </row>
        <row r="9797">
          <cell r="O9797" t="str">
            <v/>
          </cell>
        </row>
        <row r="9798">
          <cell r="O9798" t="str">
            <v/>
          </cell>
        </row>
        <row r="9799">
          <cell r="O9799" t="str">
            <v/>
          </cell>
        </row>
        <row r="9800">
          <cell r="O9800" t="str">
            <v/>
          </cell>
        </row>
        <row r="9801">
          <cell r="O9801" t="str">
            <v/>
          </cell>
        </row>
        <row r="9802">
          <cell r="O9802" t="str">
            <v/>
          </cell>
        </row>
        <row r="9803">
          <cell r="O9803" t="str">
            <v/>
          </cell>
        </row>
        <row r="9804">
          <cell r="O9804" t="str">
            <v/>
          </cell>
        </row>
        <row r="9805">
          <cell r="O9805" t="str">
            <v/>
          </cell>
        </row>
        <row r="9806">
          <cell r="O9806" t="str">
            <v/>
          </cell>
        </row>
        <row r="9807">
          <cell r="O9807" t="str">
            <v/>
          </cell>
        </row>
        <row r="9808">
          <cell r="O9808" t="str">
            <v/>
          </cell>
        </row>
        <row r="9809">
          <cell r="O9809" t="str">
            <v/>
          </cell>
        </row>
        <row r="9810">
          <cell r="O9810" t="str">
            <v/>
          </cell>
        </row>
        <row r="9811">
          <cell r="O9811" t="str">
            <v/>
          </cell>
        </row>
        <row r="9812">
          <cell r="O9812" t="str">
            <v/>
          </cell>
        </row>
        <row r="9813">
          <cell r="O9813" t="str">
            <v/>
          </cell>
        </row>
        <row r="9814">
          <cell r="O9814" t="str">
            <v/>
          </cell>
        </row>
        <row r="9815">
          <cell r="O9815" t="str">
            <v/>
          </cell>
        </row>
        <row r="9816">
          <cell r="O9816" t="str">
            <v/>
          </cell>
        </row>
        <row r="9817">
          <cell r="O9817" t="str">
            <v/>
          </cell>
        </row>
        <row r="9818">
          <cell r="O9818" t="str">
            <v/>
          </cell>
        </row>
        <row r="9819">
          <cell r="O9819" t="str">
            <v/>
          </cell>
        </row>
        <row r="9820">
          <cell r="O9820" t="str">
            <v/>
          </cell>
        </row>
        <row r="9821">
          <cell r="O9821" t="str">
            <v/>
          </cell>
        </row>
        <row r="9822">
          <cell r="O9822" t="str">
            <v/>
          </cell>
        </row>
        <row r="9823">
          <cell r="O9823" t="str">
            <v/>
          </cell>
        </row>
        <row r="9824">
          <cell r="O9824" t="str">
            <v/>
          </cell>
        </row>
        <row r="9825">
          <cell r="O9825" t="str">
            <v/>
          </cell>
        </row>
        <row r="9826">
          <cell r="O9826" t="str">
            <v/>
          </cell>
        </row>
        <row r="9827">
          <cell r="O9827" t="str">
            <v/>
          </cell>
        </row>
        <row r="9828">
          <cell r="O9828" t="str">
            <v/>
          </cell>
        </row>
        <row r="9829">
          <cell r="O9829" t="str">
            <v/>
          </cell>
        </row>
        <row r="9830">
          <cell r="O9830" t="str">
            <v/>
          </cell>
        </row>
        <row r="9831">
          <cell r="O9831" t="str">
            <v/>
          </cell>
        </row>
        <row r="9832">
          <cell r="O9832" t="str">
            <v/>
          </cell>
        </row>
        <row r="9833">
          <cell r="O9833" t="str">
            <v/>
          </cell>
        </row>
        <row r="9834">
          <cell r="O9834" t="str">
            <v/>
          </cell>
        </row>
        <row r="9835">
          <cell r="O9835" t="str">
            <v/>
          </cell>
        </row>
        <row r="9836">
          <cell r="O9836" t="str">
            <v/>
          </cell>
        </row>
        <row r="9837">
          <cell r="O9837" t="str">
            <v/>
          </cell>
        </row>
        <row r="9838">
          <cell r="O9838" t="str">
            <v/>
          </cell>
        </row>
        <row r="9839">
          <cell r="O9839" t="str">
            <v/>
          </cell>
        </row>
        <row r="9840">
          <cell r="O9840" t="str">
            <v/>
          </cell>
        </row>
        <row r="9841">
          <cell r="O9841" t="str">
            <v/>
          </cell>
        </row>
        <row r="9842">
          <cell r="O9842" t="str">
            <v/>
          </cell>
        </row>
        <row r="9843">
          <cell r="O9843" t="str">
            <v/>
          </cell>
        </row>
        <row r="9844">
          <cell r="O9844" t="str">
            <v/>
          </cell>
        </row>
        <row r="9845">
          <cell r="O9845" t="str">
            <v/>
          </cell>
        </row>
        <row r="9846">
          <cell r="O9846" t="str">
            <v/>
          </cell>
        </row>
        <row r="9847">
          <cell r="O9847" t="str">
            <v/>
          </cell>
        </row>
        <row r="9848">
          <cell r="O9848" t="str">
            <v/>
          </cell>
        </row>
        <row r="9849">
          <cell r="O9849" t="str">
            <v/>
          </cell>
        </row>
        <row r="9850">
          <cell r="O9850" t="str">
            <v/>
          </cell>
        </row>
        <row r="9851">
          <cell r="O9851" t="str">
            <v/>
          </cell>
        </row>
        <row r="9852">
          <cell r="O9852" t="str">
            <v/>
          </cell>
        </row>
        <row r="9853">
          <cell r="O9853" t="str">
            <v/>
          </cell>
        </row>
        <row r="9854">
          <cell r="O9854" t="str">
            <v/>
          </cell>
        </row>
        <row r="9855">
          <cell r="O9855" t="str">
            <v/>
          </cell>
        </row>
        <row r="9856">
          <cell r="O9856" t="str">
            <v/>
          </cell>
        </row>
        <row r="9857">
          <cell r="O9857" t="str">
            <v/>
          </cell>
        </row>
        <row r="9858">
          <cell r="O9858" t="str">
            <v/>
          </cell>
        </row>
        <row r="9859">
          <cell r="O9859" t="str">
            <v/>
          </cell>
        </row>
        <row r="9860">
          <cell r="O9860" t="str">
            <v/>
          </cell>
        </row>
        <row r="9861">
          <cell r="O9861" t="str">
            <v/>
          </cell>
        </row>
        <row r="9862">
          <cell r="O9862" t="str">
            <v/>
          </cell>
        </row>
        <row r="9863">
          <cell r="O9863" t="str">
            <v/>
          </cell>
        </row>
        <row r="9864">
          <cell r="O9864" t="str">
            <v/>
          </cell>
        </row>
        <row r="9865">
          <cell r="O9865" t="str">
            <v/>
          </cell>
        </row>
        <row r="9866">
          <cell r="O9866" t="str">
            <v/>
          </cell>
        </row>
        <row r="9867">
          <cell r="O9867" t="str">
            <v/>
          </cell>
        </row>
        <row r="9868">
          <cell r="O9868" t="str">
            <v/>
          </cell>
        </row>
        <row r="9869">
          <cell r="O9869" t="str">
            <v/>
          </cell>
        </row>
        <row r="9870">
          <cell r="O9870" t="str">
            <v/>
          </cell>
        </row>
        <row r="9871">
          <cell r="O9871" t="str">
            <v/>
          </cell>
        </row>
        <row r="9872">
          <cell r="O9872" t="str">
            <v/>
          </cell>
        </row>
        <row r="9873">
          <cell r="O9873" t="str">
            <v/>
          </cell>
        </row>
        <row r="9874">
          <cell r="O9874" t="str">
            <v/>
          </cell>
        </row>
        <row r="9875">
          <cell r="O9875" t="str">
            <v/>
          </cell>
        </row>
        <row r="9876">
          <cell r="O9876" t="str">
            <v/>
          </cell>
        </row>
        <row r="9877">
          <cell r="O9877" t="str">
            <v/>
          </cell>
        </row>
        <row r="9878">
          <cell r="O9878" t="str">
            <v/>
          </cell>
        </row>
        <row r="9879">
          <cell r="O9879" t="str">
            <v/>
          </cell>
        </row>
        <row r="9880">
          <cell r="O9880" t="str">
            <v/>
          </cell>
        </row>
        <row r="9881">
          <cell r="O9881" t="str">
            <v/>
          </cell>
        </row>
        <row r="9882">
          <cell r="O9882" t="str">
            <v/>
          </cell>
        </row>
        <row r="9883">
          <cell r="O9883" t="str">
            <v/>
          </cell>
        </row>
        <row r="9884">
          <cell r="O9884" t="str">
            <v/>
          </cell>
        </row>
        <row r="9885">
          <cell r="O9885" t="str">
            <v/>
          </cell>
        </row>
        <row r="9886">
          <cell r="O9886" t="str">
            <v/>
          </cell>
        </row>
        <row r="9887">
          <cell r="O9887" t="str">
            <v/>
          </cell>
        </row>
        <row r="9888">
          <cell r="O9888" t="str">
            <v/>
          </cell>
        </row>
        <row r="9889">
          <cell r="O9889" t="str">
            <v/>
          </cell>
        </row>
        <row r="9890">
          <cell r="O9890" t="str">
            <v/>
          </cell>
        </row>
        <row r="9891">
          <cell r="O9891" t="str">
            <v/>
          </cell>
        </row>
        <row r="9892">
          <cell r="O9892" t="str">
            <v/>
          </cell>
        </row>
        <row r="9893">
          <cell r="O9893" t="str">
            <v/>
          </cell>
        </row>
        <row r="9894">
          <cell r="O9894" t="str">
            <v/>
          </cell>
        </row>
        <row r="9895">
          <cell r="O9895" t="str">
            <v/>
          </cell>
        </row>
        <row r="9896">
          <cell r="O9896" t="str">
            <v/>
          </cell>
        </row>
        <row r="9897">
          <cell r="O9897" t="str">
            <v/>
          </cell>
        </row>
        <row r="9898">
          <cell r="O9898" t="str">
            <v/>
          </cell>
        </row>
        <row r="9899">
          <cell r="O9899" t="str">
            <v/>
          </cell>
        </row>
        <row r="9900">
          <cell r="O9900" t="str">
            <v/>
          </cell>
        </row>
        <row r="9901">
          <cell r="O9901" t="str">
            <v/>
          </cell>
        </row>
        <row r="9902">
          <cell r="O9902" t="str">
            <v/>
          </cell>
        </row>
        <row r="9903">
          <cell r="O9903" t="str">
            <v/>
          </cell>
        </row>
        <row r="9904">
          <cell r="O9904" t="str">
            <v/>
          </cell>
        </row>
        <row r="9905">
          <cell r="O9905" t="str">
            <v/>
          </cell>
        </row>
        <row r="9906">
          <cell r="O9906" t="str">
            <v/>
          </cell>
        </row>
        <row r="9907">
          <cell r="O9907" t="str">
            <v/>
          </cell>
        </row>
        <row r="9908">
          <cell r="O9908" t="str">
            <v/>
          </cell>
        </row>
        <row r="9909">
          <cell r="O9909" t="str">
            <v/>
          </cell>
        </row>
        <row r="9910">
          <cell r="O9910" t="str">
            <v/>
          </cell>
        </row>
        <row r="9911">
          <cell r="O9911" t="str">
            <v/>
          </cell>
        </row>
        <row r="9912">
          <cell r="O9912" t="str">
            <v/>
          </cell>
        </row>
        <row r="9913">
          <cell r="O9913" t="str">
            <v/>
          </cell>
        </row>
        <row r="9914">
          <cell r="O9914" t="str">
            <v/>
          </cell>
        </row>
        <row r="9915">
          <cell r="O9915" t="str">
            <v/>
          </cell>
        </row>
        <row r="9916">
          <cell r="O9916" t="str">
            <v/>
          </cell>
        </row>
        <row r="9917">
          <cell r="O9917" t="str">
            <v/>
          </cell>
        </row>
        <row r="9918">
          <cell r="O9918" t="str">
            <v/>
          </cell>
        </row>
        <row r="9919">
          <cell r="O9919" t="str">
            <v/>
          </cell>
        </row>
        <row r="9920">
          <cell r="O9920" t="str">
            <v/>
          </cell>
        </row>
        <row r="9921">
          <cell r="O9921" t="str">
            <v/>
          </cell>
        </row>
        <row r="9922">
          <cell r="O9922" t="str">
            <v/>
          </cell>
        </row>
        <row r="9923">
          <cell r="O9923" t="str">
            <v/>
          </cell>
        </row>
        <row r="9924">
          <cell r="O9924" t="str">
            <v/>
          </cell>
        </row>
        <row r="9925">
          <cell r="O9925" t="str">
            <v/>
          </cell>
        </row>
        <row r="9926">
          <cell r="O9926" t="str">
            <v/>
          </cell>
        </row>
        <row r="9927">
          <cell r="O9927" t="str">
            <v/>
          </cell>
        </row>
        <row r="9928">
          <cell r="O9928" t="str">
            <v/>
          </cell>
        </row>
        <row r="9929">
          <cell r="O9929" t="str">
            <v/>
          </cell>
        </row>
        <row r="9930">
          <cell r="O9930" t="str">
            <v/>
          </cell>
        </row>
        <row r="9931">
          <cell r="O9931" t="str">
            <v/>
          </cell>
        </row>
        <row r="9932">
          <cell r="O9932" t="str">
            <v/>
          </cell>
        </row>
        <row r="9933">
          <cell r="O9933" t="str">
            <v/>
          </cell>
        </row>
        <row r="9934">
          <cell r="O9934" t="str">
            <v/>
          </cell>
        </row>
        <row r="9935">
          <cell r="O9935" t="str">
            <v/>
          </cell>
        </row>
        <row r="9936">
          <cell r="O9936" t="str">
            <v/>
          </cell>
        </row>
        <row r="9937">
          <cell r="O9937" t="str">
            <v/>
          </cell>
        </row>
        <row r="9938">
          <cell r="O9938" t="str">
            <v/>
          </cell>
        </row>
        <row r="9939">
          <cell r="O9939" t="str">
            <v/>
          </cell>
        </row>
        <row r="9940">
          <cell r="O9940" t="str">
            <v/>
          </cell>
        </row>
        <row r="9941">
          <cell r="O9941" t="str">
            <v/>
          </cell>
        </row>
        <row r="9942">
          <cell r="O9942" t="str">
            <v/>
          </cell>
        </row>
        <row r="9943">
          <cell r="O9943" t="str">
            <v/>
          </cell>
        </row>
        <row r="9944">
          <cell r="O9944" t="str">
            <v/>
          </cell>
        </row>
        <row r="9945">
          <cell r="O9945" t="str">
            <v/>
          </cell>
        </row>
        <row r="9946">
          <cell r="O9946" t="str">
            <v/>
          </cell>
        </row>
        <row r="9947">
          <cell r="O9947" t="str">
            <v/>
          </cell>
        </row>
        <row r="9948">
          <cell r="O9948" t="str">
            <v/>
          </cell>
        </row>
        <row r="9949">
          <cell r="O9949" t="str">
            <v/>
          </cell>
        </row>
        <row r="9950">
          <cell r="O9950" t="str">
            <v/>
          </cell>
        </row>
        <row r="9951">
          <cell r="O9951" t="str">
            <v/>
          </cell>
        </row>
        <row r="9952">
          <cell r="O9952" t="str">
            <v/>
          </cell>
        </row>
        <row r="9953">
          <cell r="O9953" t="str">
            <v/>
          </cell>
        </row>
        <row r="9954">
          <cell r="O9954" t="str">
            <v/>
          </cell>
        </row>
        <row r="9955">
          <cell r="O9955" t="str">
            <v/>
          </cell>
        </row>
        <row r="9956">
          <cell r="O9956" t="str">
            <v/>
          </cell>
        </row>
        <row r="9957">
          <cell r="O9957" t="str">
            <v/>
          </cell>
        </row>
        <row r="9958">
          <cell r="O9958" t="str">
            <v/>
          </cell>
        </row>
        <row r="9959">
          <cell r="O9959" t="str">
            <v/>
          </cell>
        </row>
        <row r="9960">
          <cell r="O9960" t="str">
            <v/>
          </cell>
        </row>
        <row r="9961">
          <cell r="O9961" t="str">
            <v/>
          </cell>
        </row>
        <row r="9962">
          <cell r="O9962" t="str">
            <v/>
          </cell>
        </row>
        <row r="9963">
          <cell r="O9963" t="str">
            <v/>
          </cell>
        </row>
        <row r="9964">
          <cell r="O9964" t="str">
            <v/>
          </cell>
        </row>
        <row r="9965">
          <cell r="O9965" t="str">
            <v/>
          </cell>
        </row>
        <row r="9966">
          <cell r="O9966" t="str">
            <v/>
          </cell>
        </row>
        <row r="9967">
          <cell r="O9967" t="str">
            <v/>
          </cell>
        </row>
        <row r="9968">
          <cell r="O9968" t="str">
            <v/>
          </cell>
        </row>
        <row r="9969">
          <cell r="O9969" t="str">
            <v/>
          </cell>
        </row>
        <row r="9970">
          <cell r="O9970" t="str">
            <v/>
          </cell>
        </row>
        <row r="9971">
          <cell r="O9971" t="str">
            <v/>
          </cell>
        </row>
        <row r="9972">
          <cell r="O9972" t="str">
            <v/>
          </cell>
        </row>
        <row r="9973">
          <cell r="O9973" t="str">
            <v/>
          </cell>
        </row>
        <row r="9974">
          <cell r="O9974" t="str">
            <v/>
          </cell>
        </row>
        <row r="9975">
          <cell r="O9975" t="str">
            <v/>
          </cell>
        </row>
        <row r="9976">
          <cell r="O9976" t="str">
            <v/>
          </cell>
        </row>
        <row r="9977">
          <cell r="O9977" t="str">
            <v/>
          </cell>
        </row>
        <row r="9978">
          <cell r="O9978" t="str">
            <v/>
          </cell>
        </row>
        <row r="9979">
          <cell r="O9979" t="str">
            <v/>
          </cell>
        </row>
        <row r="9980">
          <cell r="O9980" t="str">
            <v/>
          </cell>
        </row>
        <row r="9981">
          <cell r="O9981" t="str">
            <v/>
          </cell>
        </row>
        <row r="9982">
          <cell r="O9982" t="str">
            <v/>
          </cell>
        </row>
        <row r="9983">
          <cell r="O9983" t="str">
            <v/>
          </cell>
        </row>
        <row r="9984">
          <cell r="O9984" t="str">
            <v/>
          </cell>
        </row>
        <row r="9985">
          <cell r="O9985" t="str">
            <v/>
          </cell>
        </row>
        <row r="9986">
          <cell r="O9986" t="str">
            <v/>
          </cell>
        </row>
        <row r="9987">
          <cell r="O9987" t="str">
            <v/>
          </cell>
        </row>
        <row r="9988">
          <cell r="O9988" t="str">
            <v/>
          </cell>
        </row>
        <row r="9989">
          <cell r="O9989" t="str">
            <v/>
          </cell>
        </row>
        <row r="9990">
          <cell r="O9990" t="str">
            <v/>
          </cell>
        </row>
        <row r="9991">
          <cell r="O9991" t="str">
            <v/>
          </cell>
        </row>
        <row r="9992">
          <cell r="O9992" t="str">
            <v/>
          </cell>
        </row>
        <row r="9993">
          <cell r="O9993" t="str">
            <v/>
          </cell>
        </row>
        <row r="9994">
          <cell r="O9994" t="str">
            <v/>
          </cell>
        </row>
        <row r="9995">
          <cell r="O9995" t="str">
            <v/>
          </cell>
        </row>
        <row r="9996">
          <cell r="O9996" t="str">
            <v/>
          </cell>
        </row>
        <row r="9997">
          <cell r="O9997" t="str">
            <v/>
          </cell>
        </row>
        <row r="9998">
          <cell r="O9998" t="str">
            <v/>
          </cell>
        </row>
        <row r="9999">
          <cell r="O9999" t="str">
            <v/>
          </cell>
        </row>
        <row r="10000">
          <cell r="O10000" t="str">
            <v/>
          </cell>
        </row>
        <row r="10001">
          <cell r="O10001" t="str">
            <v/>
          </cell>
        </row>
        <row r="10002">
          <cell r="O10002" t="str">
            <v/>
          </cell>
        </row>
        <row r="10003">
          <cell r="O10003" t="str">
            <v/>
          </cell>
        </row>
        <row r="10004">
          <cell r="O10004" t="str">
            <v/>
          </cell>
        </row>
        <row r="10005">
          <cell r="O10005" t="str">
            <v/>
          </cell>
        </row>
        <row r="10006">
          <cell r="O10006" t="str">
            <v/>
          </cell>
        </row>
        <row r="10007">
          <cell r="O10007" t="str">
            <v/>
          </cell>
        </row>
        <row r="10008">
          <cell r="O10008" t="str">
            <v/>
          </cell>
        </row>
        <row r="10009">
          <cell r="O10009" t="str">
            <v/>
          </cell>
        </row>
        <row r="10010">
          <cell r="O10010" t="str">
            <v/>
          </cell>
        </row>
        <row r="10011">
          <cell r="O10011" t="str">
            <v/>
          </cell>
        </row>
        <row r="10012">
          <cell r="O10012" t="str">
            <v/>
          </cell>
        </row>
        <row r="10013">
          <cell r="O10013" t="str">
            <v/>
          </cell>
        </row>
        <row r="10014">
          <cell r="O10014" t="str">
            <v/>
          </cell>
        </row>
        <row r="10015">
          <cell r="O10015" t="str">
            <v/>
          </cell>
        </row>
        <row r="10016">
          <cell r="O10016" t="str">
            <v/>
          </cell>
        </row>
        <row r="10017">
          <cell r="O10017" t="str">
            <v/>
          </cell>
        </row>
        <row r="10018">
          <cell r="O10018" t="str">
            <v/>
          </cell>
        </row>
        <row r="10019">
          <cell r="O10019" t="str">
            <v/>
          </cell>
        </row>
        <row r="10020">
          <cell r="O10020" t="str">
            <v/>
          </cell>
        </row>
        <row r="10021">
          <cell r="O10021" t="str">
            <v/>
          </cell>
        </row>
        <row r="10022">
          <cell r="O10022" t="str">
            <v/>
          </cell>
        </row>
        <row r="10023">
          <cell r="O10023" t="str">
            <v/>
          </cell>
        </row>
        <row r="10024">
          <cell r="O10024" t="str">
            <v/>
          </cell>
        </row>
        <row r="10025">
          <cell r="O10025" t="str">
            <v/>
          </cell>
        </row>
        <row r="10026">
          <cell r="O10026" t="str">
            <v/>
          </cell>
        </row>
        <row r="10027">
          <cell r="O10027" t="str">
            <v/>
          </cell>
        </row>
        <row r="10028">
          <cell r="O10028" t="str">
            <v/>
          </cell>
        </row>
        <row r="10029">
          <cell r="O10029" t="str">
            <v/>
          </cell>
        </row>
        <row r="10030">
          <cell r="O10030" t="str">
            <v/>
          </cell>
        </row>
        <row r="10031">
          <cell r="O10031" t="str">
            <v/>
          </cell>
        </row>
        <row r="10032">
          <cell r="O10032" t="str">
            <v/>
          </cell>
        </row>
        <row r="10033">
          <cell r="O10033" t="str">
            <v/>
          </cell>
        </row>
        <row r="10034">
          <cell r="O10034" t="str">
            <v/>
          </cell>
        </row>
        <row r="10035">
          <cell r="O10035" t="str">
            <v/>
          </cell>
        </row>
        <row r="10036">
          <cell r="O10036" t="str">
            <v/>
          </cell>
        </row>
        <row r="10037">
          <cell r="O10037" t="str">
            <v/>
          </cell>
        </row>
        <row r="10038">
          <cell r="O10038" t="str">
            <v/>
          </cell>
        </row>
        <row r="10039">
          <cell r="O10039" t="str">
            <v/>
          </cell>
        </row>
        <row r="10040">
          <cell r="O10040" t="str">
            <v/>
          </cell>
        </row>
        <row r="10041">
          <cell r="O10041" t="str">
            <v/>
          </cell>
        </row>
        <row r="10042">
          <cell r="O10042" t="str">
            <v/>
          </cell>
        </row>
        <row r="10043">
          <cell r="O10043" t="str">
            <v/>
          </cell>
        </row>
        <row r="10044">
          <cell r="O10044" t="str">
            <v/>
          </cell>
        </row>
        <row r="10045">
          <cell r="O10045" t="str">
            <v/>
          </cell>
        </row>
        <row r="10046">
          <cell r="O10046" t="str">
            <v/>
          </cell>
        </row>
        <row r="10047">
          <cell r="O10047" t="str">
            <v/>
          </cell>
        </row>
        <row r="10048">
          <cell r="O10048" t="str">
            <v/>
          </cell>
        </row>
        <row r="10049">
          <cell r="O10049" t="str">
            <v/>
          </cell>
        </row>
        <row r="10050">
          <cell r="O10050" t="str">
            <v/>
          </cell>
        </row>
        <row r="10051">
          <cell r="O10051" t="str">
            <v/>
          </cell>
        </row>
        <row r="10052">
          <cell r="O10052" t="str">
            <v/>
          </cell>
        </row>
        <row r="10053">
          <cell r="O10053" t="str">
            <v/>
          </cell>
        </row>
        <row r="10054">
          <cell r="O10054" t="str">
            <v/>
          </cell>
        </row>
        <row r="10055">
          <cell r="O10055" t="str">
            <v/>
          </cell>
        </row>
        <row r="10056">
          <cell r="O10056" t="str">
            <v/>
          </cell>
        </row>
        <row r="10057">
          <cell r="O10057" t="str">
            <v/>
          </cell>
        </row>
        <row r="10058">
          <cell r="O10058" t="str">
            <v/>
          </cell>
        </row>
        <row r="10059">
          <cell r="O10059" t="str">
            <v/>
          </cell>
        </row>
        <row r="10060">
          <cell r="O10060" t="str">
            <v/>
          </cell>
        </row>
        <row r="10061">
          <cell r="O10061" t="str">
            <v/>
          </cell>
        </row>
        <row r="10062">
          <cell r="O10062" t="str">
            <v/>
          </cell>
        </row>
        <row r="10063">
          <cell r="O10063" t="str">
            <v/>
          </cell>
        </row>
        <row r="10064">
          <cell r="O10064" t="str">
            <v/>
          </cell>
        </row>
        <row r="10065">
          <cell r="O10065" t="str">
            <v/>
          </cell>
        </row>
        <row r="10066">
          <cell r="O10066" t="str">
            <v/>
          </cell>
        </row>
        <row r="10067">
          <cell r="O10067" t="str">
            <v/>
          </cell>
        </row>
        <row r="10068">
          <cell r="O10068" t="str">
            <v/>
          </cell>
        </row>
        <row r="10069">
          <cell r="O10069" t="str">
            <v/>
          </cell>
        </row>
        <row r="10070">
          <cell r="O10070" t="str">
            <v/>
          </cell>
        </row>
        <row r="10071">
          <cell r="O10071" t="str">
            <v/>
          </cell>
        </row>
        <row r="10072">
          <cell r="O10072" t="str">
            <v/>
          </cell>
        </row>
        <row r="10073">
          <cell r="O10073" t="str">
            <v/>
          </cell>
        </row>
        <row r="10074">
          <cell r="O10074" t="str">
            <v/>
          </cell>
        </row>
        <row r="10075">
          <cell r="O10075" t="str">
            <v/>
          </cell>
        </row>
        <row r="10076">
          <cell r="O10076" t="str">
            <v/>
          </cell>
        </row>
        <row r="10077">
          <cell r="O10077" t="str">
            <v/>
          </cell>
        </row>
        <row r="10078">
          <cell r="O10078" t="str">
            <v/>
          </cell>
        </row>
        <row r="10079">
          <cell r="O10079" t="str">
            <v/>
          </cell>
        </row>
        <row r="10080">
          <cell r="O10080" t="str">
            <v/>
          </cell>
        </row>
        <row r="10081">
          <cell r="O10081" t="str">
            <v/>
          </cell>
        </row>
        <row r="10082">
          <cell r="O10082" t="str">
            <v/>
          </cell>
        </row>
        <row r="10083">
          <cell r="O10083" t="str">
            <v/>
          </cell>
        </row>
        <row r="10084">
          <cell r="O10084" t="str">
            <v/>
          </cell>
        </row>
        <row r="10085">
          <cell r="O10085" t="str">
            <v/>
          </cell>
        </row>
        <row r="10086">
          <cell r="O10086" t="str">
            <v/>
          </cell>
        </row>
        <row r="10087">
          <cell r="O10087" t="str">
            <v/>
          </cell>
        </row>
        <row r="10088">
          <cell r="O10088" t="str">
            <v/>
          </cell>
        </row>
        <row r="10089">
          <cell r="O10089" t="str">
            <v/>
          </cell>
        </row>
        <row r="10090">
          <cell r="O10090" t="str">
            <v/>
          </cell>
        </row>
        <row r="10091">
          <cell r="O10091" t="str">
            <v/>
          </cell>
        </row>
        <row r="10092">
          <cell r="O10092" t="str">
            <v/>
          </cell>
        </row>
        <row r="10093">
          <cell r="O10093" t="str">
            <v/>
          </cell>
        </row>
        <row r="10094">
          <cell r="O10094" t="str">
            <v/>
          </cell>
        </row>
        <row r="10095">
          <cell r="O10095" t="str">
            <v/>
          </cell>
        </row>
        <row r="10096">
          <cell r="O10096" t="str">
            <v/>
          </cell>
        </row>
        <row r="10097">
          <cell r="O10097" t="str">
            <v/>
          </cell>
        </row>
        <row r="10098">
          <cell r="O10098" t="str">
            <v/>
          </cell>
        </row>
        <row r="10099">
          <cell r="O10099" t="str">
            <v/>
          </cell>
        </row>
        <row r="10100">
          <cell r="O10100" t="str">
            <v/>
          </cell>
        </row>
        <row r="10101">
          <cell r="O10101" t="str">
            <v/>
          </cell>
        </row>
        <row r="10102">
          <cell r="O10102" t="str">
            <v/>
          </cell>
        </row>
        <row r="10103">
          <cell r="O10103" t="str">
            <v/>
          </cell>
        </row>
        <row r="10104">
          <cell r="O10104" t="str">
            <v/>
          </cell>
        </row>
        <row r="10105">
          <cell r="O10105" t="str">
            <v/>
          </cell>
        </row>
        <row r="10106">
          <cell r="O10106" t="str">
            <v/>
          </cell>
        </row>
        <row r="10107">
          <cell r="O10107" t="str">
            <v/>
          </cell>
        </row>
        <row r="10108">
          <cell r="O10108" t="str">
            <v/>
          </cell>
        </row>
        <row r="10109">
          <cell r="O10109" t="str">
            <v/>
          </cell>
        </row>
        <row r="10110">
          <cell r="O10110" t="str">
            <v/>
          </cell>
        </row>
        <row r="10111">
          <cell r="O10111" t="str">
            <v/>
          </cell>
        </row>
        <row r="10112">
          <cell r="O10112" t="str">
            <v/>
          </cell>
        </row>
        <row r="10113">
          <cell r="O10113" t="str">
            <v/>
          </cell>
        </row>
        <row r="10114">
          <cell r="O10114" t="str">
            <v/>
          </cell>
        </row>
        <row r="10115">
          <cell r="O10115" t="str">
            <v/>
          </cell>
        </row>
        <row r="10116">
          <cell r="O10116" t="str">
            <v/>
          </cell>
        </row>
        <row r="10117">
          <cell r="O10117" t="str">
            <v/>
          </cell>
        </row>
        <row r="10118">
          <cell r="O10118" t="str">
            <v/>
          </cell>
        </row>
        <row r="10119">
          <cell r="O10119" t="str">
            <v/>
          </cell>
        </row>
        <row r="10120">
          <cell r="O10120" t="str">
            <v/>
          </cell>
        </row>
        <row r="10121">
          <cell r="O10121" t="str">
            <v/>
          </cell>
        </row>
        <row r="10122">
          <cell r="O10122" t="str">
            <v/>
          </cell>
        </row>
        <row r="10123">
          <cell r="O10123" t="str">
            <v/>
          </cell>
        </row>
        <row r="10124">
          <cell r="O10124" t="str">
            <v/>
          </cell>
        </row>
        <row r="10125">
          <cell r="O10125" t="str">
            <v/>
          </cell>
        </row>
        <row r="10126">
          <cell r="O10126" t="str">
            <v/>
          </cell>
        </row>
        <row r="10127">
          <cell r="O10127" t="str">
            <v/>
          </cell>
        </row>
        <row r="10128">
          <cell r="O10128" t="str">
            <v/>
          </cell>
        </row>
        <row r="10129">
          <cell r="O10129" t="str">
            <v/>
          </cell>
        </row>
        <row r="10130">
          <cell r="O10130" t="str">
            <v/>
          </cell>
        </row>
        <row r="10131">
          <cell r="O10131" t="str">
            <v/>
          </cell>
        </row>
        <row r="10132">
          <cell r="O10132" t="str">
            <v/>
          </cell>
        </row>
        <row r="10133">
          <cell r="O10133" t="str">
            <v/>
          </cell>
        </row>
        <row r="10134">
          <cell r="O10134" t="str">
            <v/>
          </cell>
        </row>
        <row r="10135">
          <cell r="O10135" t="str">
            <v/>
          </cell>
        </row>
        <row r="10136">
          <cell r="O10136" t="str">
            <v/>
          </cell>
        </row>
        <row r="10137">
          <cell r="O10137" t="str">
            <v/>
          </cell>
        </row>
        <row r="10138">
          <cell r="O10138" t="str">
            <v/>
          </cell>
        </row>
        <row r="10139">
          <cell r="O10139" t="str">
            <v/>
          </cell>
        </row>
        <row r="10140">
          <cell r="O10140" t="str">
            <v/>
          </cell>
        </row>
        <row r="10141">
          <cell r="O10141" t="str">
            <v/>
          </cell>
        </row>
        <row r="10142">
          <cell r="O10142" t="str">
            <v/>
          </cell>
        </row>
        <row r="10143">
          <cell r="O10143" t="str">
            <v/>
          </cell>
        </row>
        <row r="10144">
          <cell r="O10144" t="str">
            <v/>
          </cell>
        </row>
        <row r="10145">
          <cell r="O10145" t="str">
            <v/>
          </cell>
        </row>
        <row r="10146">
          <cell r="O10146" t="str">
            <v/>
          </cell>
        </row>
        <row r="10147">
          <cell r="O10147" t="str">
            <v/>
          </cell>
        </row>
        <row r="10148">
          <cell r="O10148" t="str">
            <v/>
          </cell>
        </row>
        <row r="10149">
          <cell r="O10149" t="str">
            <v/>
          </cell>
        </row>
        <row r="10150">
          <cell r="O10150" t="str">
            <v/>
          </cell>
        </row>
        <row r="10151">
          <cell r="O10151" t="str">
            <v/>
          </cell>
        </row>
        <row r="10152">
          <cell r="O10152" t="str">
            <v/>
          </cell>
        </row>
        <row r="10153">
          <cell r="O10153" t="str">
            <v/>
          </cell>
        </row>
        <row r="10154">
          <cell r="O10154" t="str">
            <v/>
          </cell>
        </row>
        <row r="10155">
          <cell r="O10155" t="str">
            <v/>
          </cell>
        </row>
        <row r="10156">
          <cell r="O10156" t="str">
            <v/>
          </cell>
        </row>
        <row r="10157">
          <cell r="O10157" t="str">
            <v/>
          </cell>
        </row>
        <row r="10158">
          <cell r="O10158" t="str">
            <v/>
          </cell>
        </row>
        <row r="10159">
          <cell r="O10159" t="str">
            <v/>
          </cell>
        </row>
        <row r="10160">
          <cell r="O10160" t="str">
            <v/>
          </cell>
        </row>
        <row r="10161">
          <cell r="O10161" t="str">
            <v/>
          </cell>
        </row>
        <row r="10162">
          <cell r="O10162" t="str">
            <v/>
          </cell>
        </row>
        <row r="10163">
          <cell r="O10163" t="str">
            <v/>
          </cell>
        </row>
        <row r="10164">
          <cell r="O10164" t="str">
            <v/>
          </cell>
        </row>
        <row r="10165">
          <cell r="O10165" t="str">
            <v/>
          </cell>
        </row>
        <row r="10166">
          <cell r="O10166" t="str">
            <v/>
          </cell>
        </row>
        <row r="10167">
          <cell r="O10167" t="str">
            <v/>
          </cell>
        </row>
        <row r="10168">
          <cell r="O10168" t="str">
            <v/>
          </cell>
        </row>
        <row r="10169">
          <cell r="O10169" t="str">
            <v/>
          </cell>
        </row>
        <row r="10170">
          <cell r="O10170" t="str">
            <v/>
          </cell>
        </row>
        <row r="10171">
          <cell r="O10171" t="str">
            <v/>
          </cell>
        </row>
        <row r="10172">
          <cell r="O10172" t="str">
            <v/>
          </cell>
        </row>
        <row r="10173">
          <cell r="O10173" t="str">
            <v/>
          </cell>
        </row>
        <row r="10174">
          <cell r="O10174" t="str">
            <v/>
          </cell>
        </row>
        <row r="10175">
          <cell r="O10175" t="str">
            <v/>
          </cell>
        </row>
        <row r="10176">
          <cell r="O10176" t="str">
            <v/>
          </cell>
        </row>
        <row r="10177">
          <cell r="O10177" t="str">
            <v/>
          </cell>
        </row>
        <row r="10178">
          <cell r="O10178" t="str">
            <v/>
          </cell>
        </row>
        <row r="10179">
          <cell r="O10179" t="str">
            <v/>
          </cell>
        </row>
        <row r="10180">
          <cell r="O10180" t="str">
            <v/>
          </cell>
        </row>
        <row r="10181">
          <cell r="O10181" t="str">
            <v/>
          </cell>
        </row>
        <row r="10182">
          <cell r="O10182" t="str">
            <v/>
          </cell>
        </row>
        <row r="10183">
          <cell r="O10183" t="str">
            <v/>
          </cell>
        </row>
        <row r="10184">
          <cell r="O10184" t="str">
            <v/>
          </cell>
        </row>
        <row r="10185">
          <cell r="O10185" t="str">
            <v/>
          </cell>
        </row>
        <row r="10186">
          <cell r="O10186" t="str">
            <v/>
          </cell>
        </row>
        <row r="10187">
          <cell r="O10187" t="str">
            <v/>
          </cell>
        </row>
        <row r="10188">
          <cell r="O10188" t="str">
            <v/>
          </cell>
        </row>
        <row r="10189">
          <cell r="O10189" t="str">
            <v/>
          </cell>
        </row>
        <row r="10190">
          <cell r="O10190" t="str">
            <v/>
          </cell>
        </row>
        <row r="10191">
          <cell r="O10191" t="str">
            <v/>
          </cell>
        </row>
        <row r="10192">
          <cell r="O10192" t="str">
            <v/>
          </cell>
        </row>
        <row r="10193">
          <cell r="O10193" t="str">
            <v/>
          </cell>
        </row>
        <row r="10194">
          <cell r="O10194" t="str">
            <v/>
          </cell>
        </row>
        <row r="10195">
          <cell r="O10195" t="str">
            <v/>
          </cell>
        </row>
        <row r="10196">
          <cell r="O10196" t="str">
            <v/>
          </cell>
        </row>
        <row r="10197">
          <cell r="O10197" t="str">
            <v/>
          </cell>
        </row>
        <row r="10198">
          <cell r="O10198" t="str">
            <v/>
          </cell>
        </row>
        <row r="10199">
          <cell r="O10199" t="str">
            <v/>
          </cell>
        </row>
        <row r="10200">
          <cell r="O10200" t="str">
            <v/>
          </cell>
        </row>
        <row r="10201">
          <cell r="O10201" t="str">
            <v/>
          </cell>
        </row>
        <row r="10202">
          <cell r="O10202" t="str">
            <v/>
          </cell>
        </row>
        <row r="10203">
          <cell r="O10203" t="str">
            <v/>
          </cell>
        </row>
        <row r="10204">
          <cell r="O10204" t="str">
            <v/>
          </cell>
        </row>
        <row r="10205">
          <cell r="O10205" t="str">
            <v/>
          </cell>
        </row>
        <row r="10206">
          <cell r="O10206" t="str">
            <v/>
          </cell>
        </row>
        <row r="10207">
          <cell r="O10207" t="str">
            <v/>
          </cell>
        </row>
        <row r="10208">
          <cell r="O10208" t="str">
            <v/>
          </cell>
        </row>
        <row r="10209">
          <cell r="O10209" t="str">
            <v/>
          </cell>
        </row>
        <row r="10210">
          <cell r="O10210" t="str">
            <v/>
          </cell>
        </row>
        <row r="10211">
          <cell r="O10211" t="str">
            <v/>
          </cell>
        </row>
        <row r="10212">
          <cell r="O10212" t="str">
            <v/>
          </cell>
        </row>
        <row r="10213">
          <cell r="O10213" t="str">
            <v/>
          </cell>
        </row>
        <row r="10214">
          <cell r="O10214" t="str">
            <v/>
          </cell>
        </row>
        <row r="10215">
          <cell r="O10215" t="str">
            <v/>
          </cell>
        </row>
        <row r="10216">
          <cell r="O10216" t="str">
            <v/>
          </cell>
        </row>
        <row r="10217">
          <cell r="O10217" t="str">
            <v/>
          </cell>
        </row>
        <row r="10218">
          <cell r="O10218" t="str">
            <v/>
          </cell>
        </row>
        <row r="10219">
          <cell r="O10219" t="str">
            <v/>
          </cell>
        </row>
        <row r="10220">
          <cell r="O10220" t="str">
            <v/>
          </cell>
        </row>
        <row r="10221">
          <cell r="O10221" t="str">
            <v/>
          </cell>
        </row>
        <row r="10222">
          <cell r="O10222" t="str">
            <v/>
          </cell>
        </row>
        <row r="10223">
          <cell r="O10223" t="str">
            <v/>
          </cell>
        </row>
        <row r="10224">
          <cell r="O10224" t="str">
            <v/>
          </cell>
        </row>
        <row r="10225">
          <cell r="O10225" t="str">
            <v/>
          </cell>
        </row>
        <row r="10226">
          <cell r="O10226" t="str">
            <v/>
          </cell>
        </row>
        <row r="10227">
          <cell r="O10227" t="str">
            <v/>
          </cell>
        </row>
        <row r="10228">
          <cell r="O10228" t="str">
            <v/>
          </cell>
        </row>
        <row r="10229">
          <cell r="O10229" t="str">
            <v/>
          </cell>
        </row>
        <row r="10230">
          <cell r="O10230" t="str">
            <v/>
          </cell>
        </row>
        <row r="10231">
          <cell r="O10231" t="str">
            <v/>
          </cell>
        </row>
        <row r="10232">
          <cell r="O10232" t="str">
            <v/>
          </cell>
        </row>
        <row r="10233">
          <cell r="O10233" t="str">
            <v/>
          </cell>
        </row>
        <row r="10234">
          <cell r="O10234" t="str">
            <v/>
          </cell>
        </row>
        <row r="10235">
          <cell r="O10235" t="str">
            <v/>
          </cell>
        </row>
        <row r="10236">
          <cell r="O10236" t="str">
            <v/>
          </cell>
        </row>
        <row r="10237">
          <cell r="O10237" t="str">
            <v/>
          </cell>
        </row>
        <row r="10238">
          <cell r="O10238" t="str">
            <v/>
          </cell>
        </row>
        <row r="10239">
          <cell r="O10239" t="str">
            <v/>
          </cell>
        </row>
        <row r="10240">
          <cell r="O10240" t="str">
            <v/>
          </cell>
        </row>
        <row r="10241">
          <cell r="O10241" t="str">
            <v/>
          </cell>
        </row>
        <row r="10242">
          <cell r="O10242" t="str">
            <v/>
          </cell>
        </row>
        <row r="10243">
          <cell r="O10243" t="str">
            <v/>
          </cell>
        </row>
        <row r="10244">
          <cell r="O10244" t="str">
            <v/>
          </cell>
        </row>
        <row r="10245">
          <cell r="O10245" t="str">
            <v/>
          </cell>
        </row>
        <row r="10246">
          <cell r="O10246" t="str">
            <v/>
          </cell>
        </row>
        <row r="10247">
          <cell r="O10247" t="str">
            <v/>
          </cell>
        </row>
        <row r="10248">
          <cell r="O10248" t="str">
            <v/>
          </cell>
        </row>
        <row r="10249">
          <cell r="O10249" t="str">
            <v/>
          </cell>
        </row>
        <row r="10250">
          <cell r="O10250" t="str">
            <v/>
          </cell>
        </row>
        <row r="10251">
          <cell r="O10251" t="str">
            <v/>
          </cell>
        </row>
        <row r="10252">
          <cell r="O10252" t="str">
            <v/>
          </cell>
        </row>
        <row r="10253">
          <cell r="O10253" t="str">
            <v/>
          </cell>
        </row>
        <row r="10254">
          <cell r="O10254" t="str">
            <v/>
          </cell>
        </row>
        <row r="10255">
          <cell r="O10255" t="str">
            <v/>
          </cell>
        </row>
        <row r="10256">
          <cell r="O10256" t="str">
            <v/>
          </cell>
        </row>
        <row r="10257">
          <cell r="O10257" t="str">
            <v/>
          </cell>
        </row>
        <row r="10258">
          <cell r="O10258" t="str">
            <v/>
          </cell>
        </row>
        <row r="10259">
          <cell r="O10259" t="str">
            <v/>
          </cell>
        </row>
        <row r="10260">
          <cell r="O10260" t="str">
            <v/>
          </cell>
        </row>
        <row r="10261">
          <cell r="O10261" t="str">
            <v/>
          </cell>
        </row>
        <row r="10262">
          <cell r="O10262" t="str">
            <v/>
          </cell>
        </row>
        <row r="10263">
          <cell r="O10263" t="str">
            <v/>
          </cell>
        </row>
        <row r="10264">
          <cell r="O10264" t="str">
            <v/>
          </cell>
        </row>
        <row r="10265">
          <cell r="O10265" t="str">
            <v/>
          </cell>
        </row>
        <row r="10266">
          <cell r="O10266" t="str">
            <v/>
          </cell>
        </row>
        <row r="10267">
          <cell r="O10267" t="str">
            <v/>
          </cell>
        </row>
        <row r="10268">
          <cell r="O10268" t="str">
            <v/>
          </cell>
        </row>
        <row r="10269">
          <cell r="O10269" t="str">
            <v/>
          </cell>
        </row>
        <row r="10270">
          <cell r="O10270" t="str">
            <v/>
          </cell>
        </row>
        <row r="10271">
          <cell r="O10271" t="str">
            <v/>
          </cell>
        </row>
        <row r="10272">
          <cell r="O10272" t="str">
            <v/>
          </cell>
        </row>
        <row r="10273">
          <cell r="O10273" t="str">
            <v/>
          </cell>
        </row>
        <row r="10274">
          <cell r="O10274" t="str">
            <v/>
          </cell>
        </row>
        <row r="10275">
          <cell r="O10275" t="str">
            <v/>
          </cell>
        </row>
        <row r="10276">
          <cell r="O10276" t="str">
            <v/>
          </cell>
        </row>
        <row r="10277">
          <cell r="O10277" t="str">
            <v/>
          </cell>
        </row>
        <row r="10278">
          <cell r="O10278" t="str">
            <v/>
          </cell>
        </row>
        <row r="10279">
          <cell r="O10279" t="str">
            <v/>
          </cell>
        </row>
        <row r="10280">
          <cell r="O10280" t="str">
            <v/>
          </cell>
        </row>
        <row r="10281">
          <cell r="O10281" t="str">
            <v/>
          </cell>
        </row>
        <row r="10282">
          <cell r="O10282" t="str">
            <v/>
          </cell>
        </row>
        <row r="10283">
          <cell r="O10283" t="str">
            <v/>
          </cell>
        </row>
        <row r="10284">
          <cell r="O10284" t="str">
            <v/>
          </cell>
        </row>
        <row r="10285">
          <cell r="O10285" t="str">
            <v/>
          </cell>
        </row>
        <row r="10286">
          <cell r="O10286" t="str">
            <v/>
          </cell>
        </row>
        <row r="10287">
          <cell r="O10287" t="str">
            <v/>
          </cell>
        </row>
        <row r="10288">
          <cell r="O10288" t="str">
            <v/>
          </cell>
        </row>
        <row r="10289">
          <cell r="O10289" t="str">
            <v/>
          </cell>
        </row>
        <row r="10290">
          <cell r="O10290" t="str">
            <v/>
          </cell>
        </row>
        <row r="10291">
          <cell r="O10291" t="str">
            <v/>
          </cell>
        </row>
        <row r="10292">
          <cell r="O10292" t="str">
            <v/>
          </cell>
        </row>
        <row r="10293">
          <cell r="O10293" t="str">
            <v/>
          </cell>
        </row>
        <row r="10294">
          <cell r="O10294" t="str">
            <v/>
          </cell>
        </row>
        <row r="10295">
          <cell r="O10295" t="str">
            <v/>
          </cell>
        </row>
        <row r="10296">
          <cell r="O10296" t="str">
            <v/>
          </cell>
        </row>
        <row r="10297">
          <cell r="O10297" t="str">
            <v/>
          </cell>
        </row>
        <row r="10298">
          <cell r="O10298" t="str">
            <v/>
          </cell>
        </row>
        <row r="10299">
          <cell r="O10299" t="str">
            <v/>
          </cell>
        </row>
        <row r="10300">
          <cell r="O10300" t="str">
            <v/>
          </cell>
        </row>
        <row r="10301">
          <cell r="O10301" t="str">
            <v/>
          </cell>
        </row>
        <row r="10302">
          <cell r="O10302" t="str">
            <v/>
          </cell>
        </row>
        <row r="10303">
          <cell r="O10303" t="str">
            <v/>
          </cell>
        </row>
        <row r="10304">
          <cell r="O10304" t="str">
            <v/>
          </cell>
        </row>
        <row r="10305">
          <cell r="O10305" t="str">
            <v/>
          </cell>
        </row>
        <row r="10306">
          <cell r="O10306" t="str">
            <v/>
          </cell>
        </row>
        <row r="10307">
          <cell r="O10307" t="str">
            <v/>
          </cell>
        </row>
        <row r="10308">
          <cell r="O10308" t="str">
            <v/>
          </cell>
        </row>
        <row r="10309">
          <cell r="O10309" t="str">
            <v/>
          </cell>
        </row>
        <row r="10310">
          <cell r="O10310" t="str">
            <v/>
          </cell>
        </row>
        <row r="10311">
          <cell r="O10311" t="str">
            <v/>
          </cell>
        </row>
        <row r="10312">
          <cell r="O10312" t="str">
            <v/>
          </cell>
        </row>
        <row r="10313">
          <cell r="O10313" t="str">
            <v/>
          </cell>
        </row>
        <row r="10314">
          <cell r="O10314" t="str">
            <v/>
          </cell>
        </row>
        <row r="10315">
          <cell r="O10315" t="str">
            <v/>
          </cell>
        </row>
        <row r="10316">
          <cell r="O10316" t="str">
            <v/>
          </cell>
        </row>
        <row r="10317">
          <cell r="O10317" t="str">
            <v/>
          </cell>
        </row>
        <row r="10318">
          <cell r="O10318" t="str">
            <v/>
          </cell>
        </row>
        <row r="10319">
          <cell r="O10319" t="str">
            <v/>
          </cell>
        </row>
        <row r="10320">
          <cell r="O10320" t="str">
            <v/>
          </cell>
        </row>
        <row r="10321">
          <cell r="O10321" t="str">
            <v/>
          </cell>
        </row>
        <row r="10322">
          <cell r="O10322" t="str">
            <v/>
          </cell>
        </row>
        <row r="10323">
          <cell r="O10323" t="str">
            <v/>
          </cell>
        </row>
        <row r="10324">
          <cell r="O10324" t="str">
            <v/>
          </cell>
        </row>
        <row r="10325">
          <cell r="O10325" t="str">
            <v/>
          </cell>
        </row>
        <row r="10326">
          <cell r="O10326" t="str">
            <v/>
          </cell>
        </row>
        <row r="10327">
          <cell r="O10327" t="str">
            <v/>
          </cell>
        </row>
        <row r="10328">
          <cell r="O10328" t="str">
            <v/>
          </cell>
        </row>
        <row r="10329">
          <cell r="O10329" t="str">
            <v/>
          </cell>
        </row>
        <row r="10330">
          <cell r="O10330" t="str">
            <v/>
          </cell>
        </row>
        <row r="10331">
          <cell r="O10331" t="str">
            <v/>
          </cell>
        </row>
        <row r="10332">
          <cell r="O10332" t="str">
            <v/>
          </cell>
        </row>
        <row r="10333">
          <cell r="O10333" t="str">
            <v/>
          </cell>
        </row>
        <row r="10334">
          <cell r="O10334" t="str">
            <v/>
          </cell>
        </row>
        <row r="10335">
          <cell r="O10335" t="str">
            <v/>
          </cell>
        </row>
        <row r="10336">
          <cell r="O10336" t="str">
            <v/>
          </cell>
        </row>
        <row r="10337">
          <cell r="O10337" t="str">
            <v/>
          </cell>
        </row>
        <row r="10338">
          <cell r="O10338" t="str">
            <v/>
          </cell>
        </row>
        <row r="10339">
          <cell r="O10339" t="str">
            <v/>
          </cell>
        </row>
        <row r="10340">
          <cell r="O10340" t="str">
            <v/>
          </cell>
        </row>
        <row r="10341">
          <cell r="O10341" t="str">
            <v/>
          </cell>
        </row>
        <row r="10342">
          <cell r="O10342" t="str">
            <v/>
          </cell>
        </row>
        <row r="10343">
          <cell r="O10343" t="str">
            <v/>
          </cell>
        </row>
        <row r="10344">
          <cell r="O10344" t="str">
            <v/>
          </cell>
        </row>
        <row r="10345">
          <cell r="O10345" t="str">
            <v/>
          </cell>
        </row>
        <row r="10346">
          <cell r="O10346" t="str">
            <v/>
          </cell>
        </row>
        <row r="10347">
          <cell r="O10347" t="str">
            <v/>
          </cell>
        </row>
        <row r="10348">
          <cell r="O10348" t="str">
            <v/>
          </cell>
        </row>
        <row r="10349">
          <cell r="O10349" t="str">
            <v/>
          </cell>
        </row>
        <row r="10350">
          <cell r="O10350" t="str">
            <v/>
          </cell>
        </row>
        <row r="10351">
          <cell r="O10351" t="str">
            <v/>
          </cell>
        </row>
        <row r="10352">
          <cell r="O10352" t="str">
            <v/>
          </cell>
        </row>
        <row r="10353">
          <cell r="O10353" t="str">
            <v/>
          </cell>
        </row>
        <row r="10354">
          <cell r="O10354" t="str">
            <v/>
          </cell>
        </row>
        <row r="10355">
          <cell r="O10355" t="str">
            <v/>
          </cell>
        </row>
        <row r="10356">
          <cell r="O10356" t="str">
            <v/>
          </cell>
        </row>
        <row r="10357">
          <cell r="O10357" t="str">
            <v/>
          </cell>
        </row>
        <row r="10358">
          <cell r="O10358" t="str">
            <v/>
          </cell>
        </row>
        <row r="10359">
          <cell r="O10359" t="str">
            <v/>
          </cell>
        </row>
        <row r="10360">
          <cell r="O10360" t="str">
            <v/>
          </cell>
        </row>
        <row r="10361">
          <cell r="O10361" t="str">
            <v/>
          </cell>
        </row>
        <row r="10362">
          <cell r="O10362" t="str">
            <v/>
          </cell>
        </row>
        <row r="10363">
          <cell r="O10363" t="str">
            <v/>
          </cell>
        </row>
        <row r="10364">
          <cell r="O10364" t="str">
            <v/>
          </cell>
        </row>
        <row r="10365">
          <cell r="O10365" t="str">
            <v/>
          </cell>
        </row>
        <row r="10366">
          <cell r="O10366" t="str">
            <v/>
          </cell>
        </row>
        <row r="10367">
          <cell r="O10367" t="str">
            <v/>
          </cell>
        </row>
        <row r="10368">
          <cell r="O10368" t="str">
            <v/>
          </cell>
        </row>
        <row r="10369">
          <cell r="O10369" t="str">
            <v/>
          </cell>
        </row>
        <row r="10370">
          <cell r="O10370" t="str">
            <v/>
          </cell>
        </row>
        <row r="10371">
          <cell r="O10371" t="str">
            <v/>
          </cell>
        </row>
        <row r="10372">
          <cell r="O10372" t="str">
            <v/>
          </cell>
        </row>
        <row r="10373">
          <cell r="O10373" t="str">
            <v/>
          </cell>
        </row>
        <row r="10374">
          <cell r="O10374" t="str">
            <v/>
          </cell>
        </row>
        <row r="10375">
          <cell r="O10375" t="str">
            <v/>
          </cell>
        </row>
        <row r="10376">
          <cell r="O10376" t="str">
            <v/>
          </cell>
        </row>
        <row r="10377">
          <cell r="O10377" t="str">
            <v/>
          </cell>
        </row>
        <row r="10378">
          <cell r="O10378" t="str">
            <v/>
          </cell>
        </row>
        <row r="10379">
          <cell r="O10379" t="str">
            <v/>
          </cell>
        </row>
        <row r="10380">
          <cell r="O10380" t="str">
            <v/>
          </cell>
        </row>
        <row r="10381">
          <cell r="O10381" t="str">
            <v/>
          </cell>
        </row>
        <row r="10382">
          <cell r="O10382" t="str">
            <v/>
          </cell>
        </row>
        <row r="10383">
          <cell r="O10383" t="str">
            <v/>
          </cell>
        </row>
        <row r="10384">
          <cell r="O10384" t="str">
            <v/>
          </cell>
        </row>
        <row r="10385">
          <cell r="O10385" t="str">
            <v/>
          </cell>
        </row>
        <row r="10386">
          <cell r="O10386" t="str">
            <v/>
          </cell>
        </row>
        <row r="10387">
          <cell r="O10387" t="str">
            <v/>
          </cell>
        </row>
        <row r="10388">
          <cell r="O10388" t="str">
            <v/>
          </cell>
        </row>
        <row r="10389">
          <cell r="O10389" t="str">
            <v/>
          </cell>
        </row>
        <row r="10390">
          <cell r="O10390" t="str">
            <v/>
          </cell>
        </row>
        <row r="10391">
          <cell r="O10391" t="str">
            <v/>
          </cell>
        </row>
        <row r="10392">
          <cell r="O10392" t="str">
            <v/>
          </cell>
        </row>
        <row r="10393">
          <cell r="O10393" t="str">
            <v/>
          </cell>
        </row>
        <row r="10394">
          <cell r="O10394" t="str">
            <v/>
          </cell>
        </row>
        <row r="10395">
          <cell r="O10395" t="str">
            <v/>
          </cell>
        </row>
        <row r="10396">
          <cell r="O10396" t="str">
            <v/>
          </cell>
        </row>
        <row r="10397">
          <cell r="O10397" t="str">
            <v/>
          </cell>
        </row>
        <row r="10398">
          <cell r="O10398" t="str">
            <v/>
          </cell>
        </row>
        <row r="10399">
          <cell r="O10399" t="str">
            <v/>
          </cell>
        </row>
        <row r="10400">
          <cell r="O10400" t="str">
            <v/>
          </cell>
        </row>
        <row r="10401">
          <cell r="O10401" t="str">
            <v/>
          </cell>
        </row>
        <row r="10402">
          <cell r="O10402" t="str">
            <v/>
          </cell>
        </row>
        <row r="10403">
          <cell r="O10403" t="str">
            <v/>
          </cell>
        </row>
        <row r="10404">
          <cell r="O10404" t="str">
            <v/>
          </cell>
        </row>
        <row r="10405">
          <cell r="O10405" t="str">
            <v/>
          </cell>
        </row>
        <row r="10406">
          <cell r="O10406" t="str">
            <v/>
          </cell>
        </row>
        <row r="10407">
          <cell r="O10407" t="str">
            <v/>
          </cell>
        </row>
        <row r="10408">
          <cell r="O10408" t="str">
            <v/>
          </cell>
        </row>
        <row r="10409">
          <cell r="O10409" t="str">
            <v/>
          </cell>
        </row>
        <row r="10410">
          <cell r="O10410" t="str">
            <v/>
          </cell>
        </row>
        <row r="10411">
          <cell r="O10411" t="str">
            <v/>
          </cell>
        </row>
        <row r="10412">
          <cell r="O10412" t="str">
            <v/>
          </cell>
        </row>
        <row r="10413">
          <cell r="O10413" t="str">
            <v/>
          </cell>
        </row>
        <row r="10414">
          <cell r="O10414" t="str">
            <v/>
          </cell>
        </row>
        <row r="10415">
          <cell r="O10415" t="str">
            <v/>
          </cell>
        </row>
        <row r="10416">
          <cell r="O10416" t="str">
            <v/>
          </cell>
        </row>
        <row r="10417">
          <cell r="O10417" t="str">
            <v/>
          </cell>
        </row>
        <row r="10418">
          <cell r="O10418" t="str">
            <v/>
          </cell>
        </row>
        <row r="10419">
          <cell r="O10419" t="str">
            <v/>
          </cell>
        </row>
        <row r="10420">
          <cell r="O10420" t="str">
            <v/>
          </cell>
        </row>
        <row r="10421">
          <cell r="O10421" t="str">
            <v/>
          </cell>
        </row>
        <row r="10422">
          <cell r="O10422" t="str">
            <v/>
          </cell>
        </row>
        <row r="10423">
          <cell r="O10423" t="str">
            <v/>
          </cell>
        </row>
        <row r="10424">
          <cell r="O10424" t="str">
            <v/>
          </cell>
        </row>
        <row r="10425">
          <cell r="O10425" t="str">
            <v/>
          </cell>
        </row>
        <row r="10426">
          <cell r="O10426" t="str">
            <v/>
          </cell>
        </row>
        <row r="10427">
          <cell r="O10427" t="str">
            <v/>
          </cell>
        </row>
        <row r="10428">
          <cell r="O10428" t="str">
            <v/>
          </cell>
        </row>
        <row r="10429">
          <cell r="O10429" t="str">
            <v/>
          </cell>
        </row>
        <row r="10430">
          <cell r="O10430" t="str">
            <v/>
          </cell>
        </row>
        <row r="10431">
          <cell r="O10431" t="str">
            <v/>
          </cell>
        </row>
        <row r="10432">
          <cell r="O10432" t="str">
            <v/>
          </cell>
        </row>
        <row r="10433">
          <cell r="O10433" t="str">
            <v/>
          </cell>
        </row>
        <row r="10434">
          <cell r="O10434" t="str">
            <v/>
          </cell>
        </row>
        <row r="10435">
          <cell r="O10435" t="str">
            <v/>
          </cell>
        </row>
        <row r="10436">
          <cell r="O10436" t="str">
            <v/>
          </cell>
        </row>
        <row r="10437">
          <cell r="O10437" t="str">
            <v/>
          </cell>
        </row>
        <row r="10438">
          <cell r="O10438" t="str">
            <v/>
          </cell>
        </row>
        <row r="10439">
          <cell r="O10439" t="str">
            <v/>
          </cell>
        </row>
        <row r="10440">
          <cell r="O10440" t="str">
            <v/>
          </cell>
        </row>
        <row r="10441">
          <cell r="O10441" t="str">
            <v/>
          </cell>
        </row>
        <row r="10442">
          <cell r="O10442" t="str">
            <v/>
          </cell>
        </row>
        <row r="10443">
          <cell r="O10443" t="str">
            <v/>
          </cell>
        </row>
        <row r="10444">
          <cell r="O10444" t="str">
            <v/>
          </cell>
        </row>
        <row r="10445">
          <cell r="O10445" t="str">
            <v/>
          </cell>
        </row>
        <row r="10446">
          <cell r="O10446" t="str">
            <v/>
          </cell>
        </row>
        <row r="10447">
          <cell r="O10447" t="str">
            <v/>
          </cell>
        </row>
        <row r="10448">
          <cell r="O10448" t="str">
            <v/>
          </cell>
        </row>
        <row r="10449">
          <cell r="O10449" t="str">
            <v/>
          </cell>
        </row>
        <row r="10450">
          <cell r="O10450" t="str">
            <v/>
          </cell>
        </row>
        <row r="10451">
          <cell r="O10451" t="str">
            <v/>
          </cell>
        </row>
        <row r="10452">
          <cell r="O10452" t="str">
            <v/>
          </cell>
        </row>
        <row r="10453">
          <cell r="O10453" t="str">
            <v/>
          </cell>
        </row>
        <row r="10454">
          <cell r="O10454" t="str">
            <v/>
          </cell>
        </row>
        <row r="10455">
          <cell r="O10455" t="str">
            <v/>
          </cell>
        </row>
        <row r="10456">
          <cell r="O10456" t="str">
            <v/>
          </cell>
        </row>
        <row r="10457">
          <cell r="O10457" t="str">
            <v/>
          </cell>
        </row>
        <row r="10458">
          <cell r="O10458" t="str">
            <v/>
          </cell>
        </row>
        <row r="10459">
          <cell r="O10459" t="str">
            <v/>
          </cell>
        </row>
        <row r="10460">
          <cell r="O10460" t="str">
            <v/>
          </cell>
        </row>
        <row r="10461">
          <cell r="O10461" t="str">
            <v/>
          </cell>
        </row>
        <row r="10462">
          <cell r="O10462" t="str">
            <v/>
          </cell>
        </row>
        <row r="10463">
          <cell r="O10463" t="str">
            <v/>
          </cell>
        </row>
        <row r="10464">
          <cell r="O10464" t="str">
            <v/>
          </cell>
        </row>
        <row r="10465">
          <cell r="O10465" t="str">
            <v/>
          </cell>
        </row>
        <row r="10466">
          <cell r="O10466" t="str">
            <v/>
          </cell>
        </row>
        <row r="10467">
          <cell r="O10467" t="str">
            <v/>
          </cell>
        </row>
        <row r="10468">
          <cell r="O10468" t="str">
            <v/>
          </cell>
        </row>
        <row r="10469">
          <cell r="O10469" t="str">
            <v/>
          </cell>
        </row>
        <row r="10470">
          <cell r="O10470" t="str">
            <v/>
          </cell>
        </row>
        <row r="10471">
          <cell r="O10471" t="str">
            <v/>
          </cell>
        </row>
        <row r="10472">
          <cell r="O10472" t="str">
            <v/>
          </cell>
        </row>
        <row r="10473">
          <cell r="O10473" t="str">
            <v/>
          </cell>
        </row>
        <row r="10474">
          <cell r="O10474" t="str">
            <v/>
          </cell>
        </row>
        <row r="10475">
          <cell r="O10475" t="str">
            <v/>
          </cell>
        </row>
        <row r="10476">
          <cell r="O10476" t="str">
            <v/>
          </cell>
        </row>
        <row r="10477">
          <cell r="O10477" t="str">
            <v/>
          </cell>
        </row>
        <row r="10478">
          <cell r="O10478" t="str">
            <v/>
          </cell>
        </row>
        <row r="10479">
          <cell r="O10479" t="str">
            <v/>
          </cell>
        </row>
        <row r="10480">
          <cell r="O10480" t="str">
            <v/>
          </cell>
        </row>
        <row r="10481">
          <cell r="O10481" t="str">
            <v/>
          </cell>
        </row>
        <row r="10482">
          <cell r="O10482" t="str">
            <v/>
          </cell>
        </row>
        <row r="10483">
          <cell r="O10483" t="str">
            <v/>
          </cell>
        </row>
        <row r="10484">
          <cell r="O10484" t="str">
            <v/>
          </cell>
        </row>
        <row r="10485">
          <cell r="O10485" t="str">
            <v/>
          </cell>
        </row>
        <row r="10486">
          <cell r="O10486" t="str">
            <v/>
          </cell>
        </row>
        <row r="10487">
          <cell r="O10487" t="str">
            <v/>
          </cell>
        </row>
        <row r="10488">
          <cell r="O10488" t="str">
            <v/>
          </cell>
        </row>
        <row r="10489">
          <cell r="O10489" t="str">
            <v/>
          </cell>
        </row>
        <row r="10490">
          <cell r="O10490" t="str">
            <v/>
          </cell>
        </row>
        <row r="10491">
          <cell r="O10491" t="str">
            <v/>
          </cell>
        </row>
        <row r="10492">
          <cell r="O10492" t="str">
            <v/>
          </cell>
        </row>
        <row r="10493">
          <cell r="O10493" t="str">
            <v/>
          </cell>
        </row>
        <row r="10494">
          <cell r="O10494" t="str">
            <v/>
          </cell>
        </row>
        <row r="10495">
          <cell r="O10495" t="str">
            <v/>
          </cell>
        </row>
        <row r="10496">
          <cell r="O10496" t="str">
            <v/>
          </cell>
        </row>
        <row r="10497">
          <cell r="O10497" t="str">
            <v/>
          </cell>
        </row>
        <row r="10498">
          <cell r="O10498" t="str">
            <v/>
          </cell>
        </row>
        <row r="10499">
          <cell r="O10499" t="str">
            <v/>
          </cell>
        </row>
        <row r="10500">
          <cell r="O10500" t="str">
            <v/>
          </cell>
        </row>
        <row r="10501">
          <cell r="O10501" t="str">
            <v/>
          </cell>
        </row>
        <row r="10502">
          <cell r="O10502" t="str">
            <v/>
          </cell>
        </row>
        <row r="10503">
          <cell r="O10503" t="str">
            <v/>
          </cell>
        </row>
        <row r="10504">
          <cell r="O10504" t="str">
            <v/>
          </cell>
        </row>
        <row r="10505">
          <cell r="O10505" t="str">
            <v/>
          </cell>
        </row>
        <row r="10506">
          <cell r="O10506" t="str">
            <v/>
          </cell>
        </row>
        <row r="10507">
          <cell r="O10507" t="str">
            <v/>
          </cell>
        </row>
        <row r="10508">
          <cell r="O10508" t="str">
            <v/>
          </cell>
        </row>
        <row r="10509">
          <cell r="O10509" t="str">
            <v/>
          </cell>
        </row>
        <row r="10510">
          <cell r="O10510" t="str">
            <v/>
          </cell>
        </row>
        <row r="10511">
          <cell r="O10511" t="str">
            <v/>
          </cell>
        </row>
        <row r="10512">
          <cell r="O10512" t="str">
            <v/>
          </cell>
        </row>
        <row r="10513">
          <cell r="O10513" t="str">
            <v/>
          </cell>
        </row>
        <row r="10514">
          <cell r="O10514" t="str">
            <v/>
          </cell>
        </row>
        <row r="10515">
          <cell r="O10515" t="str">
            <v/>
          </cell>
        </row>
        <row r="10516">
          <cell r="O10516" t="str">
            <v/>
          </cell>
        </row>
        <row r="10517">
          <cell r="O10517" t="str">
            <v/>
          </cell>
        </row>
        <row r="10518">
          <cell r="O10518" t="str">
            <v/>
          </cell>
        </row>
        <row r="10519">
          <cell r="O10519" t="str">
            <v/>
          </cell>
        </row>
        <row r="10520">
          <cell r="O10520" t="str">
            <v/>
          </cell>
        </row>
        <row r="10521">
          <cell r="O10521" t="str">
            <v/>
          </cell>
        </row>
        <row r="10522">
          <cell r="O10522" t="str">
            <v/>
          </cell>
        </row>
        <row r="10523">
          <cell r="O10523" t="str">
            <v/>
          </cell>
        </row>
        <row r="10524">
          <cell r="O10524" t="str">
            <v/>
          </cell>
        </row>
        <row r="10525">
          <cell r="O10525" t="str">
            <v/>
          </cell>
        </row>
        <row r="10526">
          <cell r="O10526" t="str">
            <v/>
          </cell>
        </row>
        <row r="10527">
          <cell r="O10527" t="str">
            <v/>
          </cell>
        </row>
        <row r="10528">
          <cell r="O10528" t="str">
            <v/>
          </cell>
        </row>
        <row r="10529">
          <cell r="O10529" t="str">
            <v/>
          </cell>
        </row>
        <row r="10530">
          <cell r="O10530" t="str">
            <v/>
          </cell>
        </row>
        <row r="10531">
          <cell r="O10531" t="str">
            <v/>
          </cell>
        </row>
        <row r="10532">
          <cell r="O10532" t="str">
            <v/>
          </cell>
        </row>
        <row r="10533">
          <cell r="O10533" t="str">
            <v/>
          </cell>
        </row>
        <row r="10534">
          <cell r="O10534" t="str">
            <v/>
          </cell>
        </row>
        <row r="10535">
          <cell r="O10535" t="str">
            <v/>
          </cell>
        </row>
        <row r="10536">
          <cell r="O10536" t="str">
            <v/>
          </cell>
        </row>
        <row r="10537">
          <cell r="O10537" t="str">
            <v/>
          </cell>
        </row>
        <row r="10538">
          <cell r="O10538" t="str">
            <v/>
          </cell>
        </row>
        <row r="10539">
          <cell r="O10539" t="str">
            <v/>
          </cell>
        </row>
        <row r="10540">
          <cell r="O10540" t="str">
            <v/>
          </cell>
        </row>
        <row r="10541">
          <cell r="O10541" t="str">
            <v/>
          </cell>
        </row>
        <row r="10542">
          <cell r="O10542" t="str">
            <v/>
          </cell>
        </row>
        <row r="10543">
          <cell r="O10543" t="str">
            <v/>
          </cell>
        </row>
        <row r="10544">
          <cell r="O10544" t="str">
            <v/>
          </cell>
        </row>
        <row r="10545">
          <cell r="O10545" t="str">
            <v/>
          </cell>
        </row>
        <row r="10546">
          <cell r="O10546" t="str">
            <v/>
          </cell>
        </row>
        <row r="10547">
          <cell r="O10547" t="str">
            <v/>
          </cell>
        </row>
        <row r="10548">
          <cell r="O10548" t="str">
            <v/>
          </cell>
        </row>
        <row r="10549">
          <cell r="O10549" t="str">
            <v/>
          </cell>
        </row>
        <row r="10550">
          <cell r="O10550" t="str">
            <v/>
          </cell>
        </row>
        <row r="10551">
          <cell r="O10551" t="str">
            <v/>
          </cell>
        </row>
        <row r="10552">
          <cell r="O10552" t="str">
            <v/>
          </cell>
        </row>
        <row r="10553">
          <cell r="O10553" t="str">
            <v/>
          </cell>
        </row>
        <row r="10554">
          <cell r="O10554" t="str">
            <v/>
          </cell>
        </row>
        <row r="10555">
          <cell r="O10555" t="str">
            <v/>
          </cell>
        </row>
        <row r="10556">
          <cell r="O10556" t="str">
            <v/>
          </cell>
        </row>
        <row r="10557">
          <cell r="O10557" t="str">
            <v/>
          </cell>
        </row>
        <row r="10558">
          <cell r="O10558" t="str">
            <v/>
          </cell>
        </row>
        <row r="10559">
          <cell r="O10559" t="str">
            <v/>
          </cell>
        </row>
        <row r="10560">
          <cell r="O10560" t="str">
            <v/>
          </cell>
        </row>
        <row r="10561">
          <cell r="O10561" t="str">
            <v/>
          </cell>
        </row>
        <row r="10562">
          <cell r="O10562" t="str">
            <v/>
          </cell>
        </row>
        <row r="10563">
          <cell r="O10563" t="str">
            <v/>
          </cell>
        </row>
        <row r="10564">
          <cell r="O10564" t="str">
            <v/>
          </cell>
        </row>
        <row r="10565">
          <cell r="O10565" t="str">
            <v/>
          </cell>
        </row>
        <row r="10566">
          <cell r="O10566" t="str">
            <v/>
          </cell>
        </row>
        <row r="10567">
          <cell r="O10567" t="str">
            <v/>
          </cell>
        </row>
        <row r="10568">
          <cell r="O10568" t="str">
            <v/>
          </cell>
        </row>
        <row r="10569">
          <cell r="O10569" t="str">
            <v/>
          </cell>
        </row>
        <row r="10570">
          <cell r="O10570" t="str">
            <v/>
          </cell>
        </row>
        <row r="10571">
          <cell r="O10571" t="str">
            <v/>
          </cell>
        </row>
        <row r="10572">
          <cell r="O10572" t="str">
            <v/>
          </cell>
        </row>
        <row r="10573">
          <cell r="O10573" t="str">
            <v/>
          </cell>
        </row>
        <row r="10574">
          <cell r="O10574" t="str">
            <v/>
          </cell>
        </row>
        <row r="10575">
          <cell r="O10575" t="str">
            <v/>
          </cell>
        </row>
        <row r="10576">
          <cell r="O10576" t="str">
            <v/>
          </cell>
        </row>
        <row r="10577">
          <cell r="O10577" t="str">
            <v/>
          </cell>
        </row>
        <row r="10578">
          <cell r="O10578" t="str">
            <v/>
          </cell>
        </row>
        <row r="10579">
          <cell r="O10579" t="str">
            <v/>
          </cell>
        </row>
        <row r="10580">
          <cell r="O10580" t="str">
            <v/>
          </cell>
        </row>
        <row r="10581">
          <cell r="O10581" t="str">
            <v/>
          </cell>
        </row>
        <row r="10582">
          <cell r="O10582" t="str">
            <v/>
          </cell>
        </row>
        <row r="10583">
          <cell r="O10583" t="str">
            <v/>
          </cell>
        </row>
        <row r="10584">
          <cell r="O10584" t="str">
            <v/>
          </cell>
        </row>
        <row r="10585">
          <cell r="O10585" t="str">
            <v/>
          </cell>
        </row>
        <row r="10586">
          <cell r="O10586" t="str">
            <v/>
          </cell>
        </row>
        <row r="10587">
          <cell r="O10587" t="str">
            <v/>
          </cell>
        </row>
        <row r="10588">
          <cell r="O10588" t="str">
            <v/>
          </cell>
        </row>
        <row r="10589">
          <cell r="O10589" t="str">
            <v/>
          </cell>
        </row>
        <row r="10590">
          <cell r="O10590" t="str">
            <v/>
          </cell>
        </row>
        <row r="10591">
          <cell r="O10591" t="str">
            <v/>
          </cell>
        </row>
        <row r="10592">
          <cell r="O10592" t="str">
            <v/>
          </cell>
        </row>
        <row r="10593">
          <cell r="O10593" t="str">
            <v/>
          </cell>
        </row>
        <row r="10594">
          <cell r="O10594" t="str">
            <v/>
          </cell>
        </row>
        <row r="10595">
          <cell r="O10595" t="str">
            <v/>
          </cell>
        </row>
        <row r="10596">
          <cell r="O10596" t="str">
            <v/>
          </cell>
        </row>
        <row r="10597">
          <cell r="O10597" t="str">
            <v/>
          </cell>
        </row>
        <row r="10598">
          <cell r="O10598" t="str">
            <v/>
          </cell>
        </row>
        <row r="10599">
          <cell r="O10599" t="str">
            <v/>
          </cell>
        </row>
        <row r="10600">
          <cell r="O10600" t="str">
            <v/>
          </cell>
        </row>
        <row r="10601">
          <cell r="O10601" t="str">
            <v/>
          </cell>
        </row>
        <row r="10602">
          <cell r="O10602" t="str">
            <v/>
          </cell>
        </row>
        <row r="10603">
          <cell r="O10603" t="str">
            <v/>
          </cell>
        </row>
        <row r="10604">
          <cell r="O10604" t="str">
            <v/>
          </cell>
        </row>
        <row r="10605">
          <cell r="O10605" t="str">
            <v/>
          </cell>
        </row>
        <row r="10606">
          <cell r="O10606" t="str">
            <v/>
          </cell>
        </row>
        <row r="10607">
          <cell r="O10607" t="str">
            <v/>
          </cell>
        </row>
        <row r="10608">
          <cell r="O10608" t="str">
            <v/>
          </cell>
        </row>
        <row r="10609">
          <cell r="O10609" t="str">
            <v/>
          </cell>
        </row>
        <row r="10610">
          <cell r="O10610" t="str">
            <v/>
          </cell>
        </row>
        <row r="10611">
          <cell r="O10611" t="str">
            <v/>
          </cell>
        </row>
        <row r="10612">
          <cell r="O10612" t="str">
            <v/>
          </cell>
        </row>
        <row r="10613">
          <cell r="O10613" t="str">
            <v/>
          </cell>
        </row>
        <row r="10614">
          <cell r="O10614" t="str">
            <v/>
          </cell>
        </row>
        <row r="10615">
          <cell r="O10615" t="str">
            <v/>
          </cell>
        </row>
        <row r="10616">
          <cell r="O10616" t="str">
            <v/>
          </cell>
        </row>
        <row r="10617">
          <cell r="O10617" t="str">
            <v/>
          </cell>
        </row>
        <row r="10618">
          <cell r="O10618" t="str">
            <v/>
          </cell>
        </row>
        <row r="10619">
          <cell r="O10619" t="str">
            <v/>
          </cell>
        </row>
        <row r="10620">
          <cell r="O10620" t="str">
            <v/>
          </cell>
        </row>
        <row r="10621">
          <cell r="O10621" t="str">
            <v/>
          </cell>
        </row>
        <row r="10622">
          <cell r="O10622" t="str">
            <v/>
          </cell>
        </row>
        <row r="10623">
          <cell r="O10623" t="str">
            <v/>
          </cell>
        </row>
        <row r="10624">
          <cell r="O10624" t="str">
            <v/>
          </cell>
        </row>
        <row r="10625">
          <cell r="O10625" t="str">
            <v/>
          </cell>
        </row>
        <row r="10626">
          <cell r="O10626" t="str">
            <v/>
          </cell>
        </row>
        <row r="10627">
          <cell r="O10627" t="str">
            <v/>
          </cell>
        </row>
        <row r="10628">
          <cell r="O10628" t="str">
            <v/>
          </cell>
        </row>
        <row r="10629">
          <cell r="O10629" t="str">
            <v/>
          </cell>
        </row>
        <row r="10630">
          <cell r="O10630" t="str">
            <v/>
          </cell>
        </row>
        <row r="10631">
          <cell r="O10631" t="str">
            <v/>
          </cell>
        </row>
        <row r="10632">
          <cell r="O10632" t="str">
            <v/>
          </cell>
        </row>
        <row r="10633">
          <cell r="O10633" t="str">
            <v/>
          </cell>
        </row>
        <row r="10634">
          <cell r="O10634" t="str">
            <v/>
          </cell>
        </row>
        <row r="10635">
          <cell r="O10635" t="str">
            <v/>
          </cell>
        </row>
        <row r="10636">
          <cell r="O10636" t="str">
            <v/>
          </cell>
        </row>
        <row r="10637">
          <cell r="O10637" t="str">
            <v/>
          </cell>
        </row>
        <row r="10638">
          <cell r="O10638" t="str">
            <v/>
          </cell>
        </row>
        <row r="10639">
          <cell r="O10639" t="str">
            <v/>
          </cell>
        </row>
        <row r="10640">
          <cell r="O10640" t="str">
            <v/>
          </cell>
        </row>
        <row r="10641">
          <cell r="O10641" t="str">
            <v/>
          </cell>
        </row>
        <row r="10642">
          <cell r="O10642" t="str">
            <v/>
          </cell>
        </row>
        <row r="10643">
          <cell r="O10643" t="str">
            <v/>
          </cell>
        </row>
        <row r="10644">
          <cell r="O10644" t="str">
            <v/>
          </cell>
        </row>
        <row r="10645">
          <cell r="O10645" t="str">
            <v/>
          </cell>
        </row>
        <row r="10646">
          <cell r="O10646" t="str">
            <v/>
          </cell>
        </row>
        <row r="10647">
          <cell r="O10647" t="str">
            <v/>
          </cell>
        </row>
        <row r="10648">
          <cell r="O10648" t="str">
            <v/>
          </cell>
        </row>
        <row r="10649">
          <cell r="O10649" t="str">
            <v/>
          </cell>
        </row>
        <row r="10650">
          <cell r="O10650" t="str">
            <v/>
          </cell>
        </row>
        <row r="10651">
          <cell r="O10651" t="str">
            <v/>
          </cell>
        </row>
        <row r="10652">
          <cell r="O10652" t="str">
            <v/>
          </cell>
        </row>
        <row r="10653">
          <cell r="O10653" t="str">
            <v/>
          </cell>
        </row>
        <row r="10654">
          <cell r="O10654" t="str">
            <v/>
          </cell>
        </row>
        <row r="10655">
          <cell r="O10655" t="str">
            <v/>
          </cell>
        </row>
        <row r="10656">
          <cell r="O10656" t="str">
            <v/>
          </cell>
        </row>
        <row r="10657">
          <cell r="O10657" t="str">
            <v/>
          </cell>
        </row>
        <row r="10658">
          <cell r="O10658" t="str">
            <v/>
          </cell>
        </row>
        <row r="10659">
          <cell r="O10659" t="str">
            <v/>
          </cell>
        </row>
        <row r="10660">
          <cell r="O10660" t="str">
            <v/>
          </cell>
        </row>
        <row r="10661">
          <cell r="O10661" t="str">
            <v/>
          </cell>
        </row>
        <row r="10662">
          <cell r="O10662" t="str">
            <v/>
          </cell>
        </row>
        <row r="10663">
          <cell r="O10663" t="str">
            <v/>
          </cell>
        </row>
        <row r="10664">
          <cell r="O10664" t="str">
            <v/>
          </cell>
        </row>
        <row r="10665">
          <cell r="O10665" t="str">
            <v/>
          </cell>
        </row>
        <row r="10666">
          <cell r="O10666" t="str">
            <v/>
          </cell>
        </row>
        <row r="10667">
          <cell r="O10667" t="str">
            <v/>
          </cell>
        </row>
        <row r="10668">
          <cell r="O10668" t="str">
            <v/>
          </cell>
        </row>
        <row r="10669">
          <cell r="O10669" t="str">
            <v/>
          </cell>
        </row>
        <row r="10670">
          <cell r="O10670" t="str">
            <v/>
          </cell>
        </row>
        <row r="10671">
          <cell r="O10671" t="str">
            <v/>
          </cell>
        </row>
        <row r="10672">
          <cell r="O10672" t="str">
            <v/>
          </cell>
        </row>
        <row r="10673">
          <cell r="O10673" t="str">
            <v/>
          </cell>
        </row>
        <row r="10674">
          <cell r="O10674" t="str">
            <v/>
          </cell>
        </row>
        <row r="10675">
          <cell r="O10675" t="str">
            <v/>
          </cell>
        </row>
        <row r="10676">
          <cell r="O10676" t="str">
            <v/>
          </cell>
        </row>
        <row r="10677">
          <cell r="O10677" t="str">
            <v/>
          </cell>
        </row>
        <row r="10678">
          <cell r="O10678" t="str">
            <v/>
          </cell>
        </row>
        <row r="10679">
          <cell r="O10679" t="str">
            <v/>
          </cell>
        </row>
        <row r="10680">
          <cell r="O10680" t="str">
            <v/>
          </cell>
        </row>
        <row r="10681">
          <cell r="O10681" t="str">
            <v/>
          </cell>
        </row>
        <row r="10682">
          <cell r="O10682" t="str">
            <v/>
          </cell>
        </row>
        <row r="10683">
          <cell r="O10683" t="str">
            <v/>
          </cell>
        </row>
        <row r="10684">
          <cell r="O10684" t="str">
            <v/>
          </cell>
        </row>
        <row r="10685">
          <cell r="O10685" t="str">
            <v/>
          </cell>
        </row>
        <row r="10686">
          <cell r="O10686" t="str">
            <v/>
          </cell>
        </row>
        <row r="10687">
          <cell r="O10687" t="str">
            <v/>
          </cell>
        </row>
        <row r="10688">
          <cell r="O10688" t="str">
            <v/>
          </cell>
        </row>
        <row r="10689">
          <cell r="O10689" t="str">
            <v/>
          </cell>
        </row>
        <row r="10690">
          <cell r="O10690" t="str">
            <v/>
          </cell>
        </row>
        <row r="10691">
          <cell r="O10691" t="str">
            <v/>
          </cell>
        </row>
        <row r="10692">
          <cell r="O10692" t="str">
            <v/>
          </cell>
        </row>
        <row r="10693">
          <cell r="O10693" t="str">
            <v/>
          </cell>
        </row>
        <row r="10694">
          <cell r="O10694" t="str">
            <v/>
          </cell>
        </row>
        <row r="10695">
          <cell r="O10695" t="str">
            <v/>
          </cell>
        </row>
        <row r="10696">
          <cell r="O10696" t="str">
            <v/>
          </cell>
        </row>
        <row r="10697">
          <cell r="O10697" t="str">
            <v/>
          </cell>
        </row>
        <row r="10698">
          <cell r="O10698" t="str">
            <v/>
          </cell>
        </row>
        <row r="10699">
          <cell r="O10699" t="str">
            <v/>
          </cell>
        </row>
        <row r="10700">
          <cell r="O10700" t="str">
            <v/>
          </cell>
        </row>
        <row r="10701">
          <cell r="O10701" t="str">
            <v/>
          </cell>
        </row>
        <row r="10702">
          <cell r="O10702" t="str">
            <v/>
          </cell>
        </row>
        <row r="10703">
          <cell r="O10703" t="str">
            <v/>
          </cell>
        </row>
        <row r="10704">
          <cell r="O10704" t="str">
            <v/>
          </cell>
        </row>
        <row r="10705">
          <cell r="O10705" t="str">
            <v/>
          </cell>
        </row>
        <row r="10706">
          <cell r="O10706" t="str">
            <v/>
          </cell>
        </row>
        <row r="10707">
          <cell r="O10707" t="str">
            <v/>
          </cell>
        </row>
        <row r="10708">
          <cell r="O10708" t="str">
            <v/>
          </cell>
        </row>
        <row r="10709">
          <cell r="O10709" t="str">
            <v/>
          </cell>
        </row>
        <row r="10710">
          <cell r="O10710" t="str">
            <v/>
          </cell>
        </row>
        <row r="10711">
          <cell r="O10711" t="str">
            <v/>
          </cell>
        </row>
        <row r="10712">
          <cell r="O10712" t="str">
            <v/>
          </cell>
        </row>
        <row r="10713">
          <cell r="O10713" t="str">
            <v/>
          </cell>
        </row>
        <row r="10714">
          <cell r="O10714" t="str">
            <v/>
          </cell>
        </row>
        <row r="10715">
          <cell r="O10715" t="str">
            <v/>
          </cell>
        </row>
        <row r="10716">
          <cell r="O10716" t="str">
            <v/>
          </cell>
        </row>
        <row r="10717">
          <cell r="O10717" t="str">
            <v/>
          </cell>
        </row>
        <row r="10718">
          <cell r="O10718" t="str">
            <v/>
          </cell>
        </row>
        <row r="10719">
          <cell r="O10719" t="str">
            <v/>
          </cell>
        </row>
        <row r="10720">
          <cell r="O10720" t="str">
            <v/>
          </cell>
        </row>
        <row r="10721">
          <cell r="O10721" t="str">
            <v/>
          </cell>
        </row>
        <row r="10722">
          <cell r="O10722" t="str">
            <v/>
          </cell>
        </row>
        <row r="10723">
          <cell r="O10723" t="str">
            <v/>
          </cell>
        </row>
        <row r="10724">
          <cell r="O10724" t="str">
            <v/>
          </cell>
        </row>
        <row r="10725">
          <cell r="O10725" t="str">
            <v/>
          </cell>
        </row>
        <row r="10726">
          <cell r="O10726" t="str">
            <v/>
          </cell>
        </row>
        <row r="10727">
          <cell r="O10727" t="str">
            <v/>
          </cell>
        </row>
        <row r="10728">
          <cell r="O10728" t="str">
            <v/>
          </cell>
        </row>
        <row r="10729">
          <cell r="O10729" t="str">
            <v/>
          </cell>
        </row>
        <row r="10730">
          <cell r="O10730" t="str">
            <v/>
          </cell>
        </row>
        <row r="10731">
          <cell r="O10731" t="str">
            <v/>
          </cell>
        </row>
        <row r="10732">
          <cell r="O10732" t="str">
            <v/>
          </cell>
        </row>
        <row r="10733">
          <cell r="O10733" t="str">
            <v/>
          </cell>
        </row>
        <row r="10734">
          <cell r="O10734" t="str">
            <v/>
          </cell>
        </row>
        <row r="10735">
          <cell r="O10735" t="str">
            <v/>
          </cell>
        </row>
        <row r="10736">
          <cell r="O10736" t="str">
            <v/>
          </cell>
        </row>
        <row r="10737">
          <cell r="O10737" t="str">
            <v/>
          </cell>
        </row>
        <row r="10738">
          <cell r="O10738" t="str">
            <v/>
          </cell>
        </row>
        <row r="10739">
          <cell r="O10739" t="str">
            <v/>
          </cell>
        </row>
        <row r="10740">
          <cell r="O10740" t="str">
            <v/>
          </cell>
        </row>
        <row r="10741">
          <cell r="O10741" t="str">
            <v/>
          </cell>
        </row>
        <row r="10742">
          <cell r="O10742" t="str">
            <v/>
          </cell>
        </row>
        <row r="10743">
          <cell r="O10743" t="str">
            <v/>
          </cell>
        </row>
        <row r="10744">
          <cell r="O10744" t="str">
            <v/>
          </cell>
        </row>
        <row r="10745">
          <cell r="O10745" t="str">
            <v/>
          </cell>
        </row>
        <row r="10746">
          <cell r="O10746" t="str">
            <v/>
          </cell>
        </row>
        <row r="10747">
          <cell r="O10747" t="str">
            <v/>
          </cell>
        </row>
        <row r="10748">
          <cell r="O10748" t="str">
            <v/>
          </cell>
        </row>
        <row r="10749">
          <cell r="O10749" t="str">
            <v/>
          </cell>
        </row>
        <row r="10750">
          <cell r="O10750" t="str">
            <v/>
          </cell>
        </row>
        <row r="10751">
          <cell r="O10751" t="str">
            <v/>
          </cell>
        </row>
        <row r="10752">
          <cell r="O10752" t="str">
            <v/>
          </cell>
        </row>
        <row r="10753">
          <cell r="O10753" t="str">
            <v/>
          </cell>
        </row>
        <row r="10754">
          <cell r="O10754" t="str">
            <v/>
          </cell>
        </row>
        <row r="10755">
          <cell r="O10755" t="str">
            <v/>
          </cell>
        </row>
        <row r="10756">
          <cell r="O10756" t="str">
            <v/>
          </cell>
        </row>
        <row r="10757">
          <cell r="O10757" t="str">
            <v/>
          </cell>
        </row>
        <row r="10758">
          <cell r="O10758" t="str">
            <v/>
          </cell>
        </row>
        <row r="10759">
          <cell r="O10759" t="str">
            <v/>
          </cell>
        </row>
        <row r="10760">
          <cell r="O10760" t="str">
            <v/>
          </cell>
        </row>
        <row r="10761">
          <cell r="O10761" t="str">
            <v/>
          </cell>
        </row>
        <row r="10762">
          <cell r="O10762" t="str">
            <v/>
          </cell>
        </row>
        <row r="10763">
          <cell r="O10763" t="str">
            <v/>
          </cell>
        </row>
        <row r="10764">
          <cell r="O10764" t="str">
            <v/>
          </cell>
        </row>
        <row r="10765">
          <cell r="O10765" t="str">
            <v/>
          </cell>
        </row>
        <row r="10766">
          <cell r="O10766" t="str">
            <v/>
          </cell>
        </row>
        <row r="10767">
          <cell r="O10767" t="str">
            <v/>
          </cell>
        </row>
        <row r="10768">
          <cell r="O10768" t="str">
            <v/>
          </cell>
        </row>
        <row r="10769">
          <cell r="O10769" t="str">
            <v/>
          </cell>
        </row>
        <row r="10770">
          <cell r="O10770" t="str">
            <v/>
          </cell>
        </row>
        <row r="10771">
          <cell r="O10771" t="str">
            <v/>
          </cell>
        </row>
        <row r="10772">
          <cell r="O10772" t="str">
            <v/>
          </cell>
        </row>
        <row r="10773">
          <cell r="O10773" t="str">
            <v/>
          </cell>
        </row>
        <row r="10774">
          <cell r="O10774" t="str">
            <v/>
          </cell>
        </row>
        <row r="10775">
          <cell r="O10775" t="str">
            <v/>
          </cell>
        </row>
        <row r="10776">
          <cell r="O10776" t="str">
            <v/>
          </cell>
        </row>
        <row r="10777">
          <cell r="O10777" t="str">
            <v/>
          </cell>
        </row>
        <row r="10778">
          <cell r="O10778" t="str">
            <v/>
          </cell>
        </row>
        <row r="10779">
          <cell r="O10779" t="str">
            <v/>
          </cell>
        </row>
        <row r="10780">
          <cell r="O10780" t="str">
            <v/>
          </cell>
        </row>
        <row r="10781">
          <cell r="O10781" t="str">
            <v/>
          </cell>
        </row>
        <row r="10782">
          <cell r="O10782" t="str">
            <v/>
          </cell>
        </row>
        <row r="10783">
          <cell r="O10783" t="str">
            <v/>
          </cell>
        </row>
        <row r="10784">
          <cell r="O10784" t="str">
            <v/>
          </cell>
        </row>
        <row r="10785">
          <cell r="O10785" t="str">
            <v/>
          </cell>
        </row>
        <row r="10786">
          <cell r="O10786" t="str">
            <v/>
          </cell>
        </row>
        <row r="10787">
          <cell r="O10787" t="str">
            <v/>
          </cell>
        </row>
        <row r="10788">
          <cell r="O10788" t="str">
            <v/>
          </cell>
        </row>
        <row r="10789">
          <cell r="O10789" t="str">
            <v/>
          </cell>
        </row>
        <row r="10790">
          <cell r="O10790" t="str">
            <v/>
          </cell>
        </row>
        <row r="10791">
          <cell r="O10791" t="str">
            <v/>
          </cell>
        </row>
        <row r="10792">
          <cell r="O10792" t="str">
            <v/>
          </cell>
        </row>
        <row r="10793">
          <cell r="O10793" t="str">
            <v/>
          </cell>
        </row>
        <row r="10794">
          <cell r="O10794" t="str">
            <v/>
          </cell>
        </row>
        <row r="10795">
          <cell r="O10795" t="str">
            <v/>
          </cell>
        </row>
        <row r="10796">
          <cell r="O10796" t="str">
            <v/>
          </cell>
        </row>
        <row r="10797">
          <cell r="O10797" t="str">
            <v/>
          </cell>
        </row>
        <row r="10798">
          <cell r="O10798" t="str">
            <v/>
          </cell>
        </row>
        <row r="10799">
          <cell r="O10799" t="str">
            <v/>
          </cell>
        </row>
        <row r="10800">
          <cell r="O10800" t="str">
            <v/>
          </cell>
        </row>
        <row r="10801">
          <cell r="O10801" t="str">
            <v/>
          </cell>
        </row>
        <row r="10802">
          <cell r="O10802" t="str">
            <v/>
          </cell>
        </row>
        <row r="10803">
          <cell r="O10803" t="str">
            <v/>
          </cell>
        </row>
        <row r="10804">
          <cell r="O10804" t="str">
            <v/>
          </cell>
        </row>
        <row r="10805">
          <cell r="O10805" t="str">
            <v/>
          </cell>
        </row>
        <row r="10806">
          <cell r="O10806" t="str">
            <v/>
          </cell>
        </row>
        <row r="10807">
          <cell r="O10807" t="str">
            <v/>
          </cell>
        </row>
        <row r="10808">
          <cell r="O10808" t="str">
            <v/>
          </cell>
        </row>
        <row r="10809">
          <cell r="O10809" t="str">
            <v/>
          </cell>
        </row>
        <row r="10810">
          <cell r="O10810" t="str">
            <v/>
          </cell>
        </row>
        <row r="10811">
          <cell r="O10811" t="str">
            <v/>
          </cell>
        </row>
        <row r="10812">
          <cell r="O10812" t="str">
            <v/>
          </cell>
        </row>
        <row r="10813">
          <cell r="O10813" t="str">
            <v/>
          </cell>
        </row>
        <row r="10814">
          <cell r="O10814" t="str">
            <v/>
          </cell>
        </row>
        <row r="10815">
          <cell r="O10815" t="str">
            <v/>
          </cell>
        </row>
        <row r="10816">
          <cell r="O10816" t="str">
            <v/>
          </cell>
        </row>
        <row r="10817">
          <cell r="O10817" t="str">
            <v/>
          </cell>
        </row>
        <row r="10818">
          <cell r="O10818" t="str">
            <v/>
          </cell>
        </row>
        <row r="10819">
          <cell r="O10819" t="str">
            <v/>
          </cell>
        </row>
        <row r="10820">
          <cell r="O10820" t="str">
            <v/>
          </cell>
        </row>
        <row r="10821">
          <cell r="O10821" t="str">
            <v/>
          </cell>
        </row>
        <row r="10822">
          <cell r="O10822" t="str">
            <v/>
          </cell>
        </row>
        <row r="10823">
          <cell r="O10823" t="str">
            <v/>
          </cell>
        </row>
        <row r="10824">
          <cell r="O10824" t="str">
            <v/>
          </cell>
        </row>
        <row r="10825">
          <cell r="O10825" t="str">
            <v/>
          </cell>
        </row>
        <row r="10826">
          <cell r="O10826" t="str">
            <v/>
          </cell>
        </row>
        <row r="10827">
          <cell r="O10827" t="str">
            <v/>
          </cell>
        </row>
        <row r="10828">
          <cell r="O10828" t="str">
            <v/>
          </cell>
        </row>
        <row r="10829">
          <cell r="O10829" t="str">
            <v/>
          </cell>
        </row>
        <row r="10830">
          <cell r="O10830" t="str">
            <v/>
          </cell>
        </row>
        <row r="10831">
          <cell r="O10831" t="str">
            <v/>
          </cell>
        </row>
        <row r="10832">
          <cell r="O10832" t="str">
            <v/>
          </cell>
        </row>
        <row r="10833">
          <cell r="O10833" t="str">
            <v/>
          </cell>
        </row>
        <row r="10834">
          <cell r="O10834" t="str">
            <v/>
          </cell>
        </row>
        <row r="10835">
          <cell r="O10835" t="str">
            <v/>
          </cell>
        </row>
        <row r="10836">
          <cell r="O10836" t="str">
            <v/>
          </cell>
        </row>
        <row r="10837">
          <cell r="O10837" t="str">
            <v/>
          </cell>
        </row>
        <row r="10838">
          <cell r="O10838" t="str">
            <v/>
          </cell>
        </row>
        <row r="10839">
          <cell r="O10839" t="str">
            <v/>
          </cell>
        </row>
        <row r="10840">
          <cell r="O10840" t="str">
            <v/>
          </cell>
        </row>
        <row r="10841">
          <cell r="O10841" t="str">
            <v/>
          </cell>
        </row>
        <row r="10842">
          <cell r="O10842" t="str">
            <v/>
          </cell>
        </row>
        <row r="10843">
          <cell r="O10843" t="str">
            <v/>
          </cell>
        </row>
        <row r="10844">
          <cell r="O10844" t="str">
            <v/>
          </cell>
        </row>
        <row r="10845">
          <cell r="O10845" t="str">
            <v/>
          </cell>
        </row>
        <row r="10846">
          <cell r="O10846" t="str">
            <v/>
          </cell>
        </row>
        <row r="10847">
          <cell r="O10847" t="str">
            <v/>
          </cell>
        </row>
        <row r="10848">
          <cell r="O10848" t="str">
            <v/>
          </cell>
        </row>
        <row r="10849">
          <cell r="O10849" t="str">
            <v/>
          </cell>
        </row>
        <row r="10850">
          <cell r="O10850" t="str">
            <v/>
          </cell>
        </row>
        <row r="10851">
          <cell r="O10851" t="str">
            <v/>
          </cell>
        </row>
        <row r="10852">
          <cell r="O10852" t="str">
            <v/>
          </cell>
        </row>
        <row r="10853">
          <cell r="O10853" t="str">
            <v/>
          </cell>
        </row>
        <row r="10854">
          <cell r="O10854" t="str">
            <v/>
          </cell>
        </row>
        <row r="10855">
          <cell r="O10855" t="str">
            <v/>
          </cell>
        </row>
        <row r="10856">
          <cell r="O10856" t="str">
            <v/>
          </cell>
        </row>
        <row r="10857">
          <cell r="O10857" t="str">
            <v/>
          </cell>
        </row>
        <row r="10858">
          <cell r="O10858" t="str">
            <v/>
          </cell>
        </row>
        <row r="10859">
          <cell r="O10859" t="str">
            <v/>
          </cell>
        </row>
        <row r="10860">
          <cell r="O10860" t="str">
            <v/>
          </cell>
        </row>
        <row r="10861">
          <cell r="O10861" t="str">
            <v/>
          </cell>
        </row>
        <row r="10862">
          <cell r="O10862" t="str">
            <v/>
          </cell>
        </row>
        <row r="10863">
          <cell r="O10863" t="str">
            <v/>
          </cell>
        </row>
        <row r="10864">
          <cell r="O10864" t="str">
            <v/>
          </cell>
        </row>
        <row r="10865">
          <cell r="O10865" t="str">
            <v/>
          </cell>
        </row>
        <row r="10866">
          <cell r="O10866" t="str">
            <v/>
          </cell>
        </row>
        <row r="10867">
          <cell r="O10867" t="str">
            <v/>
          </cell>
        </row>
        <row r="10868">
          <cell r="O10868" t="str">
            <v/>
          </cell>
        </row>
        <row r="10869">
          <cell r="O10869" t="str">
            <v/>
          </cell>
        </row>
        <row r="10870">
          <cell r="O10870" t="str">
            <v/>
          </cell>
        </row>
        <row r="10871">
          <cell r="O10871" t="str">
            <v/>
          </cell>
        </row>
        <row r="10872">
          <cell r="O10872" t="str">
            <v/>
          </cell>
        </row>
        <row r="10873">
          <cell r="O10873" t="str">
            <v/>
          </cell>
        </row>
        <row r="10874">
          <cell r="O10874" t="str">
            <v/>
          </cell>
        </row>
        <row r="10875">
          <cell r="O10875" t="str">
            <v/>
          </cell>
        </row>
        <row r="10876">
          <cell r="O10876" t="str">
            <v/>
          </cell>
        </row>
        <row r="10877">
          <cell r="O10877" t="str">
            <v/>
          </cell>
        </row>
        <row r="10878">
          <cell r="O10878" t="str">
            <v/>
          </cell>
        </row>
        <row r="10879">
          <cell r="O10879" t="str">
            <v/>
          </cell>
        </row>
        <row r="10880">
          <cell r="O10880" t="str">
            <v/>
          </cell>
        </row>
        <row r="10881">
          <cell r="O10881" t="str">
            <v/>
          </cell>
        </row>
        <row r="10882">
          <cell r="O10882" t="str">
            <v/>
          </cell>
        </row>
        <row r="10883">
          <cell r="O10883" t="str">
            <v/>
          </cell>
        </row>
        <row r="10884">
          <cell r="O10884" t="str">
            <v/>
          </cell>
        </row>
        <row r="10885">
          <cell r="O10885" t="str">
            <v/>
          </cell>
        </row>
        <row r="10886">
          <cell r="O10886" t="str">
            <v/>
          </cell>
        </row>
        <row r="10887">
          <cell r="O10887" t="str">
            <v/>
          </cell>
        </row>
        <row r="10888">
          <cell r="O10888" t="str">
            <v/>
          </cell>
        </row>
        <row r="10889">
          <cell r="O10889" t="str">
            <v/>
          </cell>
        </row>
        <row r="10890">
          <cell r="O10890" t="str">
            <v/>
          </cell>
        </row>
        <row r="10891">
          <cell r="O10891" t="str">
            <v/>
          </cell>
        </row>
        <row r="10892">
          <cell r="O10892" t="str">
            <v/>
          </cell>
        </row>
        <row r="10893">
          <cell r="O10893" t="str">
            <v/>
          </cell>
        </row>
        <row r="10894">
          <cell r="O10894" t="str">
            <v/>
          </cell>
        </row>
        <row r="10895">
          <cell r="O10895" t="str">
            <v/>
          </cell>
        </row>
        <row r="10896">
          <cell r="O10896" t="str">
            <v/>
          </cell>
        </row>
        <row r="10897">
          <cell r="O10897" t="str">
            <v/>
          </cell>
        </row>
        <row r="10898">
          <cell r="O10898" t="str">
            <v/>
          </cell>
        </row>
        <row r="10899">
          <cell r="O10899" t="str">
            <v/>
          </cell>
        </row>
        <row r="10900">
          <cell r="O10900" t="str">
            <v/>
          </cell>
        </row>
        <row r="10901">
          <cell r="O10901" t="str">
            <v/>
          </cell>
        </row>
        <row r="10902">
          <cell r="O10902" t="str">
            <v/>
          </cell>
        </row>
        <row r="10903">
          <cell r="O10903" t="str">
            <v/>
          </cell>
        </row>
        <row r="10904">
          <cell r="O10904" t="str">
            <v/>
          </cell>
        </row>
        <row r="10905">
          <cell r="O10905" t="str">
            <v/>
          </cell>
        </row>
        <row r="10906">
          <cell r="O10906" t="str">
            <v/>
          </cell>
        </row>
        <row r="10907">
          <cell r="O10907" t="str">
            <v/>
          </cell>
        </row>
        <row r="10908">
          <cell r="O10908" t="str">
            <v/>
          </cell>
        </row>
        <row r="10909">
          <cell r="O10909" t="str">
            <v/>
          </cell>
        </row>
        <row r="10910">
          <cell r="O10910" t="str">
            <v/>
          </cell>
        </row>
        <row r="10911">
          <cell r="O10911" t="str">
            <v/>
          </cell>
        </row>
        <row r="10912">
          <cell r="O10912" t="str">
            <v/>
          </cell>
        </row>
        <row r="10913">
          <cell r="O10913" t="str">
            <v/>
          </cell>
        </row>
        <row r="10914">
          <cell r="O10914" t="str">
            <v/>
          </cell>
        </row>
        <row r="10915">
          <cell r="O10915" t="str">
            <v/>
          </cell>
        </row>
        <row r="10916">
          <cell r="O10916" t="str">
            <v/>
          </cell>
        </row>
        <row r="10917">
          <cell r="O10917" t="str">
            <v/>
          </cell>
        </row>
        <row r="10918">
          <cell r="O10918" t="str">
            <v/>
          </cell>
        </row>
        <row r="10919">
          <cell r="O10919" t="str">
            <v/>
          </cell>
        </row>
        <row r="10920">
          <cell r="O10920" t="str">
            <v/>
          </cell>
        </row>
        <row r="10921">
          <cell r="O10921" t="str">
            <v/>
          </cell>
        </row>
        <row r="10922">
          <cell r="O10922" t="str">
            <v/>
          </cell>
        </row>
        <row r="10923">
          <cell r="O10923" t="str">
            <v/>
          </cell>
        </row>
        <row r="10924">
          <cell r="O10924" t="str">
            <v/>
          </cell>
        </row>
        <row r="10925">
          <cell r="O10925" t="str">
            <v/>
          </cell>
        </row>
        <row r="10926">
          <cell r="O10926" t="str">
            <v/>
          </cell>
        </row>
        <row r="10927">
          <cell r="O10927" t="str">
            <v/>
          </cell>
        </row>
        <row r="10928">
          <cell r="O10928" t="str">
            <v/>
          </cell>
        </row>
        <row r="10929">
          <cell r="O10929" t="str">
            <v/>
          </cell>
        </row>
        <row r="10930">
          <cell r="O10930" t="str">
            <v/>
          </cell>
        </row>
        <row r="10931">
          <cell r="O10931" t="str">
            <v/>
          </cell>
        </row>
        <row r="10932">
          <cell r="O10932" t="str">
            <v/>
          </cell>
        </row>
        <row r="10933">
          <cell r="O10933" t="str">
            <v/>
          </cell>
        </row>
        <row r="10934">
          <cell r="O10934" t="str">
            <v/>
          </cell>
        </row>
        <row r="10935">
          <cell r="O10935" t="str">
            <v/>
          </cell>
        </row>
        <row r="10936">
          <cell r="O10936" t="str">
            <v/>
          </cell>
        </row>
        <row r="10937">
          <cell r="O10937" t="str">
            <v/>
          </cell>
        </row>
        <row r="10938">
          <cell r="O10938" t="str">
            <v/>
          </cell>
        </row>
        <row r="10939">
          <cell r="O10939" t="str">
            <v/>
          </cell>
        </row>
        <row r="10940">
          <cell r="O10940" t="str">
            <v/>
          </cell>
        </row>
        <row r="10941">
          <cell r="O10941" t="str">
            <v/>
          </cell>
        </row>
        <row r="10942">
          <cell r="O10942" t="str">
            <v/>
          </cell>
        </row>
        <row r="10943">
          <cell r="O10943" t="str">
            <v/>
          </cell>
        </row>
        <row r="10944">
          <cell r="O10944" t="str">
            <v/>
          </cell>
        </row>
        <row r="10945">
          <cell r="O10945" t="str">
            <v/>
          </cell>
        </row>
        <row r="10946">
          <cell r="O10946" t="str">
            <v/>
          </cell>
        </row>
        <row r="10947">
          <cell r="O10947" t="str">
            <v/>
          </cell>
        </row>
        <row r="10948">
          <cell r="O10948" t="str">
            <v/>
          </cell>
        </row>
        <row r="10949">
          <cell r="O10949" t="str">
            <v/>
          </cell>
        </row>
        <row r="10950">
          <cell r="O10950" t="str">
            <v/>
          </cell>
        </row>
        <row r="10951">
          <cell r="O10951" t="str">
            <v/>
          </cell>
        </row>
        <row r="10952">
          <cell r="O10952" t="str">
            <v/>
          </cell>
        </row>
        <row r="10953">
          <cell r="O10953" t="str">
            <v/>
          </cell>
        </row>
        <row r="10954">
          <cell r="O10954" t="str">
            <v/>
          </cell>
        </row>
        <row r="10955">
          <cell r="O10955" t="str">
            <v/>
          </cell>
        </row>
        <row r="10956">
          <cell r="O10956" t="str">
            <v/>
          </cell>
        </row>
        <row r="10957">
          <cell r="O10957" t="str">
            <v/>
          </cell>
        </row>
        <row r="10958">
          <cell r="O10958" t="str">
            <v/>
          </cell>
        </row>
        <row r="10959">
          <cell r="O10959" t="str">
            <v/>
          </cell>
        </row>
        <row r="10960">
          <cell r="O10960" t="str">
            <v/>
          </cell>
        </row>
        <row r="10961">
          <cell r="O10961" t="str">
            <v/>
          </cell>
        </row>
        <row r="10962">
          <cell r="O10962" t="str">
            <v/>
          </cell>
        </row>
        <row r="10963">
          <cell r="O10963" t="str">
            <v/>
          </cell>
        </row>
        <row r="10964">
          <cell r="O10964" t="str">
            <v/>
          </cell>
        </row>
        <row r="10965">
          <cell r="O10965" t="str">
            <v/>
          </cell>
        </row>
        <row r="10966">
          <cell r="O10966" t="str">
            <v/>
          </cell>
        </row>
        <row r="10967">
          <cell r="O10967" t="str">
            <v/>
          </cell>
        </row>
        <row r="10968">
          <cell r="O10968" t="str">
            <v/>
          </cell>
        </row>
        <row r="10969">
          <cell r="O10969" t="str">
            <v/>
          </cell>
        </row>
        <row r="10970">
          <cell r="O10970" t="str">
            <v/>
          </cell>
        </row>
        <row r="10971">
          <cell r="O10971" t="str">
            <v/>
          </cell>
        </row>
        <row r="10972">
          <cell r="O10972" t="str">
            <v/>
          </cell>
        </row>
        <row r="10973">
          <cell r="O10973" t="str">
            <v/>
          </cell>
        </row>
        <row r="10974">
          <cell r="O10974" t="str">
            <v/>
          </cell>
        </row>
        <row r="10975">
          <cell r="O10975" t="str">
            <v/>
          </cell>
        </row>
        <row r="10976">
          <cell r="O10976" t="str">
            <v/>
          </cell>
        </row>
        <row r="10977">
          <cell r="O10977" t="str">
            <v/>
          </cell>
        </row>
        <row r="10978">
          <cell r="O10978" t="str">
            <v/>
          </cell>
        </row>
        <row r="10979">
          <cell r="O10979" t="str">
            <v/>
          </cell>
        </row>
        <row r="10980">
          <cell r="O10980" t="str">
            <v/>
          </cell>
        </row>
        <row r="10981">
          <cell r="O10981" t="str">
            <v/>
          </cell>
        </row>
        <row r="10982">
          <cell r="O10982" t="str">
            <v/>
          </cell>
        </row>
        <row r="10983">
          <cell r="O10983" t="str">
            <v/>
          </cell>
        </row>
        <row r="10984">
          <cell r="O10984" t="str">
            <v/>
          </cell>
        </row>
        <row r="10985">
          <cell r="O10985" t="str">
            <v/>
          </cell>
        </row>
        <row r="10986">
          <cell r="O10986" t="str">
            <v/>
          </cell>
        </row>
        <row r="10987">
          <cell r="O10987" t="str">
            <v/>
          </cell>
        </row>
        <row r="10988">
          <cell r="O10988" t="str">
            <v/>
          </cell>
        </row>
        <row r="10989">
          <cell r="O10989" t="str">
            <v/>
          </cell>
        </row>
        <row r="10990">
          <cell r="O10990" t="str">
            <v/>
          </cell>
        </row>
        <row r="10991">
          <cell r="O10991" t="str">
            <v/>
          </cell>
        </row>
        <row r="10992">
          <cell r="O10992" t="str">
            <v/>
          </cell>
        </row>
        <row r="10993">
          <cell r="O10993" t="str">
            <v/>
          </cell>
        </row>
        <row r="10994">
          <cell r="O10994" t="str">
            <v/>
          </cell>
        </row>
        <row r="10995">
          <cell r="O10995" t="str">
            <v/>
          </cell>
        </row>
        <row r="10996">
          <cell r="O10996" t="str">
            <v/>
          </cell>
        </row>
        <row r="10997">
          <cell r="O10997" t="str">
            <v/>
          </cell>
        </row>
        <row r="10998">
          <cell r="O10998" t="str">
            <v/>
          </cell>
        </row>
        <row r="10999">
          <cell r="O10999" t="str">
            <v/>
          </cell>
        </row>
        <row r="11000">
          <cell r="O11000" t="str">
            <v/>
          </cell>
        </row>
        <row r="11001">
          <cell r="O11001" t="str">
            <v/>
          </cell>
        </row>
        <row r="11002">
          <cell r="O11002" t="str">
            <v/>
          </cell>
        </row>
        <row r="11003">
          <cell r="O11003" t="str">
            <v/>
          </cell>
        </row>
        <row r="11004">
          <cell r="O11004" t="str">
            <v/>
          </cell>
        </row>
        <row r="11005">
          <cell r="O11005" t="str">
            <v/>
          </cell>
        </row>
        <row r="11006">
          <cell r="O11006" t="str">
            <v/>
          </cell>
        </row>
        <row r="11007">
          <cell r="O11007" t="str">
            <v/>
          </cell>
        </row>
        <row r="11008">
          <cell r="O11008" t="str">
            <v/>
          </cell>
        </row>
        <row r="11009">
          <cell r="O11009" t="str">
            <v/>
          </cell>
        </row>
        <row r="11010">
          <cell r="O11010" t="str">
            <v/>
          </cell>
        </row>
        <row r="11011">
          <cell r="O11011" t="str">
            <v/>
          </cell>
        </row>
        <row r="11012">
          <cell r="O11012" t="str">
            <v/>
          </cell>
        </row>
        <row r="11013">
          <cell r="O11013" t="str">
            <v/>
          </cell>
        </row>
        <row r="11014">
          <cell r="O11014" t="str">
            <v/>
          </cell>
        </row>
        <row r="11015">
          <cell r="O11015" t="str">
            <v/>
          </cell>
        </row>
        <row r="11016">
          <cell r="O11016" t="str">
            <v/>
          </cell>
        </row>
        <row r="11017">
          <cell r="O11017" t="str">
            <v/>
          </cell>
        </row>
        <row r="11018">
          <cell r="O11018" t="str">
            <v/>
          </cell>
        </row>
        <row r="11019">
          <cell r="O11019" t="str">
            <v/>
          </cell>
        </row>
        <row r="11020">
          <cell r="O11020" t="str">
            <v/>
          </cell>
        </row>
        <row r="11021">
          <cell r="O11021" t="str">
            <v/>
          </cell>
        </row>
        <row r="11022">
          <cell r="O11022" t="str">
            <v/>
          </cell>
        </row>
        <row r="11023">
          <cell r="O11023" t="str">
            <v/>
          </cell>
        </row>
        <row r="11024">
          <cell r="O11024" t="str">
            <v/>
          </cell>
        </row>
        <row r="11025">
          <cell r="O11025" t="str">
            <v/>
          </cell>
        </row>
        <row r="11026">
          <cell r="O11026" t="str">
            <v/>
          </cell>
        </row>
        <row r="11027">
          <cell r="O11027" t="str">
            <v/>
          </cell>
        </row>
        <row r="11028">
          <cell r="O11028" t="str">
            <v/>
          </cell>
        </row>
        <row r="11029">
          <cell r="O11029" t="str">
            <v/>
          </cell>
        </row>
        <row r="11030">
          <cell r="O11030" t="str">
            <v/>
          </cell>
        </row>
        <row r="11031">
          <cell r="O11031" t="str">
            <v/>
          </cell>
        </row>
        <row r="11032">
          <cell r="O11032" t="str">
            <v/>
          </cell>
        </row>
        <row r="11033">
          <cell r="O11033" t="str">
            <v/>
          </cell>
        </row>
        <row r="11034">
          <cell r="O11034" t="str">
            <v/>
          </cell>
        </row>
        <row r="11035">
          <cell r="O11035" t="str">
            <v/>
          </cell>
        </row>
        <row r="11036">
          <cell r="O11036" t="str">
            <v/>
          </cell>
        </row>
        <row r="11037">
          <cell r="O11037" t="str">
            <v/>
          </cell>
        </row>
        <row r="11038">
          <cell r="O11038" t="str">
            <v/>
          </cell>
        </row>
        <row r="11039">
          <cell r="O11039" t="str">
            <v/>
          </cell>
        </row>
        <row r="11040">
          <cell r="O11040" t="str">
            <v/>
          </cell>
        </row>
        <row r="11041">
          <cell r="O11041" t="str">
            <v/>
          </cell>
        </row>
        <row r="11042">
          <cell r="O11042" t="str">
            <v/>
          </cell>
        </row>
        <row r="11043">
          <cell r="O11043" t="str">
            <v/>
          </cell>
        </row>
        <row r="11044">
          <cell r="O11044" t="str">
            <v/>
          </cell>
        </row>
        <row r="11045">
          <cell r="O11045" t="str">
            <v/>
          </cell>
        </row>
        <row r="11046">
          <cell r="O11046" t="str">
            <v/>
          </cell>
        </row>
        <row r="11047">
          <cell r="O11047" t="str">
            <v/>
          </cell>
        </row>
        <row r="11048">
          <cell r="O11048" t="str">
            <v/>
          </cell>
        </row>
        <row r="11049">
          <cell r="O11049" t="str">
            <v/>
          </cell>
        </row>
        <row r="11050">
          <cell r="O11050" t="str">
            <v/>
          </cell>
        </row>
        <row r="11051">
          <cell r="O11051" t="str">
            <v/>
          </cell>
        </row>
        <row r="11052">
          <cell r="O11052" t="str">
            <v/>
          </cell>
        </row>
        <row r="11053">
          <cell r="O11053" t="str">
            <v/>
          </cell>
        </row>
        <row r="11054">
          <cell r="O11054" t="str">
            <v/>
          </cell>
        </row>
        <row r="11055">
          <cell r="O11055" t="str">
            <v/>
          </cell>
        </row>
        <row r="11056">
          <cell r="O11056" t="str">
            <v/>
          </cell>
        </row>
        <row r="11057">
          <cell r="O11057" t="str">
            <v/>
          </cell>
        </row>
        <row r="11058">
          <cell r="O11058" t="str">
            <v/>
          </cell>
        </row>
        <row r="11059">
          <cell r="O11059" t="str">
            <v/>
          </cell>
        </row>
        <row r="11060">
          <cell r="O11060" t="str">
            <v/>
          </cell>
        </row>
        <row r="11061">
          <cell r="O11061" t="str">
            <v/>
          </cell>
        </row>
        <row r="11062">
          <cell r="O11062" t="str">
            <v/>
          </cell>
        </row>
        <row r="11063">
          <cell r="O11063" t="str">
            <v/>
          </cell>
        </row>
        <row r="11064">
          <cell r="O11064" t="str">
            <v/>
          </cell>
        </row>
        <row r="11065">
          <cell r="O11065" t="str">
            <v/>
          </cell>
        </row>
        <row r="11066">
          <cell r="O11066" t="str">
            <v/>
          </cell>
        </row>
        <row r="11067">
          <cell r="O11067" t="str">
            <v/>
          </cell>
        </row>
        <row r="11068">
          <cell r="O11068" t="str">
            <v/>
          </cell>
        </row>
        <row r="11069">
          <cell r="O11069" t="str">
            <v/>
          </cell>
        </row>
        <row r="11070">
          <cell r="O11070" t="str">
            <v/>
          </cell>
        </row>
        <row r="11071">
          <cell r="O11071" t="str">
            <v/>
          </cell>
        </row>
        <row r="11072">
          <cell r="O11072" t="str">
            <v/>
          </cell>
        </row>
        <row r="11073">
          <cell r="O11073" t="str">
            <v/>
          </cell>
        </row>
        <row r="11074">
          <cell r="O11074" t="str">
            <v/>
          </cell>
        </row>
        <row r="11075">
          <cell r="O11075" t="str">
            <v/>
          </cell>
        </row>
        <row r="11076">
          <cell r="O11076" t="str">
            <v/>
          </cell>
        </row>
        <row r="11077">
          <cell r="O11077" t="str">
            <v/>
          </cell>
        </row>
        <row r="11078">
          <cell r="O11078" t="str">
            <v/>
          </cell>
        </row>
        <row r="11079">
          <cell r="O11079" t="str">
            <v/>
          </cell>
        </row>
        <row r="11080">
          <cell r="O11080" t="str">
            <v/>
          </cell>
        </row>
        <row r="11081">
          <cell r="O11081" t="str">
            <v/>
          </cell>
        </row>
        <row r="11082">
          <cell r="O11082" t="str">
            <v/>
          </cell>
        </row>
        <row r="11083">
          <cell r="O11083" t="str">
            <v/>
          </cell>
        </row>
        <row r="11084">
          <cell r="O11084" t="str">
            <v/>
          </cell>
        </row>
        <row r="11085">
          <cell r="O11085" t="str">
            <v/>
          </cell>
        </row>
        <row r="11086">
          <cell r="O11086" t="str">
            <v/>
          </cell>
        </row>
        <row r="11087">
          <cell r="O11087" t="str">
            <v/>
          </cell>
        </row>
        <row r="11088">
          <cell r="O11088" t="str">
            <v/>
          </cell>
        </row>
        <row r="11089">
          <cell r="O11089" t="str">
            <v/>
          </cell>
        </row>
        <row r="11090">
          <cell r="O11090" t="str">
            <v/>
          </cell>
        </row>
        <row r="11091">
          <cell r="O11091" t="str">
            <v/>
          </cell>
        </row>
        <row r="11092">
          <cell r="O11092" t="str">
            <v/>
          </cell>
        </row>
        <row r="11093">
          <cell r="O11093" t="str">
            <v/>
          </cell>
        </row>
        <row r="11094">
          <cell r="O11094" t="str">
            <v/>
          </cell>
        </row>
        <row r="11095">
          <cell r="O11095" t="str">
            <v/>
          </cell>
        </row>
        <row r="11096">
          <cell r="O11096" t="str">
            <v/>
          </cell>
        </row>
        <row r="11097">
          <cell r="O11097" t="str">
            <v/>
          </cell>
        </row>
        <row r="11098">
          <cell r="O11098" t="str">
            <v/>
          </cell>
        </row>
        <row r="11099">
          <cell r="O11099" t="str">
            <v/>
          </cell>
        </row>
        <row r="11100">
          <cell r="O11100" t="str">
            <v/>
          </cell>
        </row>
        <row r="11101">
          <cell r="O11101" t="str">
            <v/>
          </cell>
        </row>
        <row r="11102">
          <cell r="O11102" t="str">
            <v/>
          </cell>
        </row>
        <row r="11103">
          <cell r="O11103" t="str">
            <v/>
          </cell>
        </row>
        <row r="11104">
          <cell r="O11104" t="str">
            <v/>
          </cell>
        </row>
        <row r="11105">
          <cell r="O11105" t="str">
            <v/>
          </cell>
        </row>
        <row r="11106">
          <cell r="O11106" t="str">
            <v/>
          </cell>
        </row>
        <row r="11107">
          <cell r="O11107" t="str">
            <v/>
          </cell>
        </row>
        <row r="11108">
          <cell r="O11108" t="str">
            <v/>
          </cell>
        </row>
        <row r="11109">
          <cell r="O11109" t="str">
            <v/>
          </cell>
        </row>
        <row r="11110">
          <cell r="O11110" t="str">
            <v/>
          </cell>
        </row>
        <row r="11111">
          <cell r="O11111" t="str">
            <v/>
          </cell>
        </row>
        <row r="11112">
          <cell r="O11112" t="str">
            <v/>
          </cell>
        </row>
        <row r="11113">
          <cell r="O11113" t="str">
            <v/>
          </cell>
        </row>
        <row r="11114">
          <cell r="O11114" t="str">
            <v/>
          </cell>
        </row>
        <row r="11115">
          <cell r="O11115" t="str">
            <v/>
          </cell>
        </row>
        <row r="11116">
          <cell r="O11116" t="str">
            <v/>
          </cell>
        </row>
        <row r="11117">
          <cell r="O11117" t="str">
            <v/>
          </cell>
        </row>
        <row r="11118">
          <cell r="O11118" t="str">
            <v/>
          </cell>
        </row>
        <row r="11119">
          <cell r="O11119" t="str">
            <v/>
          </cell>
        </row>
        <row r="11120">
          <cell r="O11120" t="str">
            <v/>
          </cell>
        </row>
        <row r="11121">
          <cell r="O11121" t="str">
            <v/>
          </cell>
        </row>
        <row r="11122">
          <cell r="O11122" t="str">
            <v/>
          </cell>
        </row>
        <row r="11123">
          <cell r="O11123" t="str">
            <v/>
          </cell>
        </row>
        <row r="11124">
          <cell r="O11124" t="str">
            <v/>
          </cell>
        </row>
        <row r="11125">
          <cell r="O11125" t="str">
            <v/>
          </cell>
        </row>
        <row r="11126">
          <cell r="O11126" t="str">
            <v/>
          </cell>
        </row>
        <row r="11127">
          <cell r="O11127" t="str">
            <v/>
          </cell>
        </row>
        <row r="11128">
          <cell r="O11128" t="str">
            <v/>
          </cell>
        </row>
        <row r="11129">
          <cell r="O11129" t="str">
            <v/>
          </cell>
        </row>
        <row r="11130">
          <cell r="O11130" t="str">
            <v/>
          </cell>
        </row>
        <row r="11131">
          <cell r="O11131" t="str">
            <v/>
          </cell>
        </row>
        <row r="11132">
          <cell r="O11132" t="str">
            <v/>
          </cell>
        </row>
        <row r="11133">
          <cell r="O11133" t="str">
            <v/>
          </cell>
        </row>
        <row r="11134">
          <cell r="O11134" t="str">
            <v/>
          </cell>
        </row>
        <row r="11135">
          <cell r="O11135" t="str">
            <v/>
          </cell>
        </row>
        <row r="11136">
          <cell r="O11136" t="str">
            <v/>
          </cell>
        </row>
        <row r="11137">
          <cell r="O11137" t="str">
            <v/>
          </cell>
        </row>
        <row r="11138">
          <cell r="O11138" t="str">
            <v/>
          </cell>
        </row>
        <row r="11139">
          <cell r="O11139" t="str">
            <v/>
          </cell>
        </row>
        <row r="11140">
          <cell r="O11140" t="str">
            <v/>
          </cell>
        </row>
        <row r="11141">
          <cell r="O11141" t="str">
            <v/>
          </cell>
        </row>
        <row r="11142">
          <cell r="O11142" t="str">
            <v/>
          </cell>
        </row>
        <row r="11143">
          <cell r="O11143" t="str">
            <v/>
          </cell>
        </row>
        <row r="11144">
          <cell r="O11144" t="str">
            <v/>
          </cell>
        </row>
        <row r="11145">
          <cell r="O11145" t="str">
            <v/>
          </cell>
        </row>
        <row r="11146">
          <cell r="O11146" t="str">
            <v/>
          </cell>
        </row>
        <row r="11147">
          <cell r="O11147" t="str">
            <v/>
          </cell>
        </row>
        <row r="11148">
          <cell r="O11148" t="str">
            <v/>
          </cell>
        </row>
        <row r="11149">
          <cell r="O11149" t="str">
            <v/>
          </cell>
        </row>
        <row r="11150">
          <cell r="O11150" t="str">
            <v/>
          </cell>
        </row>
        <row r="11151">
          <cell r="O11151" t="str">
            <v/>
          </cell>
        </row>
        <row r="11152">
          <cell r="O11152" t="str">
            <v/>
          </cell>
        </row>
        <row r="11153">
          <cell r="O11153" t="str">
            <v/>
          </cell>
        </row>
        <row r="11154">
          <cell r="O11154" t="str">
            <v/>
          </cell>
        </row>
        <row r="11155">
          <cell r="O11155" t="str">
            <v/>
          </cell>
        </row>
        <row r="11156">
          <cell r="O11156" t="str">
            <v/>
          </cell>
        </row>
        <row r="11157">
          <cell r="O11157" t="str">
            <v/>
          </cell>
        </row>
        <row r="11158">
          <cell r="O11158" t="str">
            <v/>
          </cell>
        </row>
        <row r="11159">
          <cell r="O11159" t="str">
            <v/>
          </cell>
        </row>
        <row r="11160">
          <cell r="O11160" t="str">
            <v/>
          </cell>
        </row>
        <row r="11161">
          <cell r="O11161" t="str">
            <v/>
          </cell>
        </row>
        <row r="11162">
          <cell r="O11162" t="str">
            <v/>
          </cell>
        </row>
        <row r="11163">
          <cell r="O11163" t="str">
            <v/>
          </cell>
        </row>
        <row r="11164">
          <cell r="O11164" t="str">
            <v/>
          </cell>
        </row>
        <row r="11165">
          <cell r="O11165" t="str">
            <v/>
          </cell>
        </row>
        <row r="11166">
          <cell r="O11166" t="str">
            <v/>
          </cell>
        </row>
        <row r="11167">
          <cell r="O11167" t="str">
            <v/>
          </cell>
        </row>
        <row r="11168">
          <cell r="O11168" t="str">
            <v/>
          </cell>
        </row>
        <row r="11169">
          <cell r="O11169" t="str">
            <v/>
          </cell>
        </row>
        <row r="11170">
          <cell r="O11170" t="str">
            <v/>
          </cell>
        </row>
        <row r="11171">
          <cell r="O11171" t="str">
            <v/>
          </cell>
        </row>
        <row r="11172">
          <cell r="O11172" t="str">
            <v/>
          </cell>
        </row>
        <row r="11173">
          <cell r="O11173" t="str">
            <v/>
          </cell>
        </row>
        <row r="11174">
          <cell r="O11174" t="str">
            <v/>
          </cell>
        </row>
        <row r="11175">
          <cell r="O11175" t="str">
            <v/>
          </cell>
        </row>
        <row r="11176">
          <cell r="O11176" t="str">
            <v/>
          </cell>
        </row>
        <row r="11177">
          <cell r="O11177" t="str">
            <v/>
          </cell>
        </row>
        <row r="11178">
          <cell r="O11178" t="str">
            <v/>
          </cell>
        </row>
        <row r="11179">
          <cell r="O11179" t="str">
            <v/>
          </cell>
        </row>
        <row r="11180">
          <cell r="O11180" t="str">
            <v/>
          </cell>
        </row>
        <row r="11181">
          <cell r="O11181" t="str">
            <v/>
          </cell>
        </row>
        <row r="11182">
          <cell r="O11182" t="str">
            <v/>
          </cell>
        </row>
        <row r="11183">
          <cell r="O11183" t="str">
            <v/>
          </cell>
        </row>
        <row r="11184">
          <cell r="O11184" t="str">
            <v/>
          </cell>
        </row>
        <row r="11185">
          <cell r="O11185" t="str">
            <v/>
          </cell>
        </row>
        <row r="11186">
          <cell r="O11186" t="str">
            <v/>
          </cell>
        </row>
        <row r="11187">
          <cell r="O11187" t="str">
            <v/>
          </cell>
        </row>
        <row r="11188">
          <cell r="O11188" t="str">
            <v/>
          </cell>
        </row>
        <row r="11189">
          <cell r="O11189" t="str">
            <v/>
          </cell>
        </row>
        <row r="11190">
          <cell r="O11190" t="str">
            <v/>
          </cell>
        </row>
        <row r="11191">
          <cell r="O11191" t="str">
            <v/>
          </cell>
        </row>
        <row r="11192">
          <cell r="O11192" t="str">
            <v/>
          </cell>
        </row>
        <row r="11193">
          <cell r="O11193" t="str">
            <v/>
          </cell>
        </row>
        <row r="11194">
          <cell r="O11194" t="str">
            <v/>
          </cell>
        </row>
        <row r="11195">
          <cell r="O11195" t="str">
            <v/>
          </cell>
        </row>
        <row r="11196">
          <cell r="O11196" t="str">
            <v/>
          </cell>
        </row>
        <row r="11197">
          <cell r="O11197" t="str">
            <v/>
          </cell>
        </row>
        <row r="11198">
          <cell r="O11198" t="str">
            <v/>
          </cell>
        </row>
        <row r="11199">
          <cell r="O11199" t="str">
            <v/>
          </cell>
        </row>
        <row r="11200">
          <cell r="O11200" t="str">
            <v/>
          </cell>
        </row>
        <row r="11201">
          <cell r="O11201" t="str">
            <v/>
          </cell>
        </row>
        <row r="11202">
          <cell r="O11202" t="str">
            <v/>
          </cell>
        </row>
        <row r="11203">
          <cell r="O11203" t="str">
            <v/>
          </cell>
        </row>
        <row r="11204">
          <cell r="O11204" t="str">
            <v/>
          </cell>
        </row>
        <row r="11205">
          <cell r="O11205" t="str">
            <v/>
          </cell>
        </row>
        <row r="11206">
          <cell r="O11206" t="str">
            <v/>
          </cell>
        </row>
        <row r="11207">
          <cell r="O11207" t="str">
            <v/>
          </cell>
        </row>
        <row r="11208">
          <cell r="O11208" t="str">
            <v/>
          </cell>
        </row>
        <row r="11209">
          <cell r="O11209" t="str">
            <v/>
          </cell>
        </row>
        <row r="11210">
          <cell r="O11210" t="str">
            <v/>
          </cell>
        </row>
        <row r="11211">
          <cell r="O11211" t="str">
            <v/>
          </cell>
        </row>
        <row r="11212">
          <cell r="O11212" t="str">
            <v/>
          </cell>
        </row>
        <row r="11213">
          <cell r="O11213" t="str">
            <v/>
          </cell>
        </row>
        <row r="11214">
          <cell r="O11214" t="str">
            <v/>
          </cell>
        </row>
        <row r="11215">
          <cell r="O11215" t="str">
            <v/>
          </cell>
        </row>
        <row r="11216">
          <cell r="O11216" t="str">
            <v/>
          </cell>
        </row>
        <row r="11217">
          <cell r="O11217" t="str">
            <v/>
          </cell>
        </row>
        <row r="11218">
          <cell r="O11218" t="str">
            <v/>
          </cell>
        </row>
        <row r="11219">
          <cell r="O11219" t="str">
            <v/>
          </cell>
        </row>
        <row r="11220">
          <cell r="O11220" t="str">
            <v/>
          </cell>
        </row>
        <row r="11221">
          <cell r="O11221" t="str">
            <v/>
          </cell>
        </row>
        <row r="11222">
          <cell r="O11222" t="str">
            <v/>
          </cell>
        </row>
        <row r="11223">
          <cell r="O11223" t="str">
            <v/>
          </cell>
        </row>
        <row r="11224">
          <cell r="O11224" t="str">
            <v/>
          </cell>
        </row>
        <row r="11225">
          <cell r="O11225" t="str">
            <v/>
          </cell>
        </row>
        <row r="11226">
          <cell r="O11226" t="str">
            <v/>
          </cell>
        </row>
        <row r="11227">
          <cell r="O11227" t="str">
            <v/>
          </cell>
        </row>
        <row r="11228">
          <cell r="O11228" t="str">
            <v/>
          </cell>
        </row>
        <row r="11229">
          <cell r="O11229" t="str">
            <v/>
          </cell>
        </row>
        <row r="11230">
          <cell r="O11230" t="str">
            <v/>
          </cell>
        </row>
        <row r="11231">
          <cell r="O11231" t="str">
            <v/>
          </cell>
        </row>
        <row r="11232">
          <cell r="O11232" t="str">
            <v/>
          </cell>
        </row>
        <row r="11233">
          <cell r="O11233" t="str">
            <v/>
          </cell>
        </row>
        <row r="11234">
          <cell r="O11234" t="str">
            <v/>
          </cell>
        </row>
        <row r="11235">
          <cell r="O11235" t="str">
            <v/>
          </cell>
        </row>
        <row r="11236">
          <cell r="O11236" t="str">
            <v/>
          </cell>
        </row>
        <row r="11237">
          <cell r="O11237" t="str">
            <v/>
          </cell>
        </row>
        <row r="11238">
          <cell r="O11238" t="str">
            <v/>
          </cell>
        </row>
        <row r="11239">
          <cell r="O11239" t="str">
            <v/>
          </cell>
        </row>
        <row r="11240">
          <cell r="O11240" t="str">
            <v/>
          </cell>
        </row>
        <row r="11241">
          <cell r="O11241" t="str">
            <v/>
          </cell>
        </row>
        <row r="11242">
          <cell r="O11242" t="str">
            <v/>
          </cell>
        </row>
        <row r="11243">
          <cell r="O11243" t="str">
            <v/>
          </cell>
        </row>
        <row r="11244">
          <cell r="O11244" t="str">
            <v/>
          </cell>
        </row>
        <row r="11245">
          <cell r="O11245" t="str">
            <v/>
          </cell>
        </row>
        <row r="11246">
          <cell r="O11246" t="str">
            <v/>
          </cell>
        </row>
        <row r="11247">
          <cell r="O11247" t="str">
            <v/>
          </cell>
        </row>
        <row r="11248">
          <cell r="O11248" t="str">
            <v/>
          </cell>
        </row>
        <row r="11249">
          <cell r="O11249" t="str">
            <v/>
          </cell>
        </row>
        <row r="11250">
          <cell r="O11250" t="str">
            <v/>
          </cell>
        </row>
        <row r="11251">
          <cell r="O11251" t="str">
            <v/>
          </cell>
        </row>
        <row r="11252">
          <cell r="O11252" t="str">
            <v/>
          </cell>
        </row>
        <row r="11253">
          <cell r="O11253" t="str">
            <v/>
          </cell>
        </row>
        <row r="11254">
          <cell r="O11254" t="str">
            <v/>
          </cell>
        </row>
        <row r="11255">
          <cell r="O11255" t="str">
            <v/>
          </cell>
        </row>
        <row r="11256">
          <cell r="O11256" t="str">
            <v/>
          </cell>
        </row>
        <row r="11257">
          <cell r="O11257" t="str">
            <v/>
          </cell>
        </row>
        <row r="11258">
          <cell r="O11258" t="str">
            <v/>
          </cell>
        </row>
        <row r="11259">
          <cell r="O11259" t="str">
            <v/>
          </cell>
        </row>
        <row r="11260">
          <cell r="O11260" t="str">
            <v/>
          </cell>
        </row>
        <row r="11261">
          <cell r="O11261" t="str">
            <v/>
          </cell>
        </row>
        <row r="11262">
          <cell r="O11262" t="str">
            <v/>
          </cell>
        </row>
        <row r="11263">
          <cell r="O11263" t="str">
            <v/>
          </cell>
        </row>
        <row r="11264">
          <cell r="O11264" t="str">
            <v/>
          </cell>
        </row>
        <row r="11265">
          <cell r="O11265" t="str">
            <v/>
          </cell>
        </row>
        <row r="11266">
          <cell r="O11266" t="str">
            <v/>
          </cell>
        </row>
        <row r="11267">
          <cell r="O11267" t="str">
            <v/>
          </cell>
        </row>
        <row r="11268">
          <cell r="O11268" t="str">
            <v/>
          </cell>
        </row>
        <row r="11269">
          <cell r="O11269" t="str">
            <v/>
          </cell>
        </row>
        <row r="11270">
          <cell r="O11270" t="str">
            <v/>
          </cell>
        </row>
        <row r="11271">
          <cell r="O11271" t="str">
            <v/>
          </cell>
        </row>
        <row r="11272">
          <cell r="O11272" t="str">
            <v/>
          </cell>
        </row>
        <row r="11273">
          <cell r="O11273" t="str">
            <v/>
          </cell>
        </row>
        <row r="11274">
          <cell r="O11274" t="str">
            <v/>
          </cell>
        </row>
        <row r="11275">
          <cell r="O11275" t="str">
            <v/>
          </cell>
        </row>
        <row r="11276">
          <cell r="O11276" t="str">
            <v/>
          </cell>
        </row>
        <row r="11277">
          <cell r="O11277" t="str">
            <v/>
          </cell>
        </row>
        <row r="11278">
          <cell r="O11278" t="str">
            <v/>
          </cell>
        </row>
        <row r="11279">
          <cell r="O11279" t="str">
            <v/>
          </cell>
        </row>
        <row r="11280">
          <cell r="O11280" t="str">
            <v/>
          </cell>
        </row>
        <row r="11281">
          <cell r="O11281" t="str">
            <v/>
          </cell>
        </row>
        <row r="11282">
          <cell r="O11282" t="str">
            <v/>
          </cell>
        </row>
        <row r="11283">
          <cell r="O11283" t="str">
            <v/>
          </cell>
        </row>
        <row r="11284">
          <cell r="O11284" t="str">
            <v/>
          </cell>
        </row>
        <row r="11285">
          <cell r="O11285" t="str">
            <v/>
          </cell>
        </row>
        <row r="11286">
          <cell r="O11286" t="str">
            <v/>
          </cell>
        </row>
        <row r="11287">
          <cell r="O11287" t="str">
            <v/>
          </cell>
        </row>
        <row r="11288">
          <cell r="O11288" t="str">
            <v/>
          </cell>
        </row>
        <row r="11289">
          <cell r="O11289" t="str">
            <v/>
          </cell>
        </row>
        <row r="11290">
          <cell r="O11290" t="str">
            <v/>
          </cell>
        </row>
        <row r="11291">
          <cell r="O11291" t="str">
            <v/>
          </cell>
        </row>
        <row r="11292">
          <cell r="O11292" t="str">
            <v/>
          </cell>
        </row>
        <row r="11293">
          <cell r="O11293" t="str">
            <v/>
          </cell>
        </row>
        <row r="11294">
          <cell r="O11294" t="str">
            <v/>
          </cell>
        </row>
        <row r="11295">
          <cell r="O11295" t="str">
            <v/>
          </cell>
        </row>
        <row r="11296">
          <cell r="O11296" t="str">
            <v/>
          </cell>
        </row>
        <row r="11297">
          <cell r="O11297" t="str">
            <v/>
          </cell>
        </row>
        <row r="11298">
          <cell r="O11298" t="str">
            <v/>
          </cell>
        </row>
        <row r="11299">
          <cell r="O11299" t="str">
            <v/>
          </cell>
        </row>
        <row r="11300">
          <cell r="O11300" t="str">
            <v/>
          </cell>
        </row>
        <row r="11301">
          <cell r="O11301" t="str">
            <v/>
          </cell>
        </row>
        <row r="11302">
          <cell r="O11302" t="str">
            <v/>
          </cell>
        </row>
        <row r="11303">
          <cell r="O11303" t="str">
            <v/>
          </cell>
        </row>
        <row r="11304">
          <cell r="O11304" t="str">
            <v/>
          </cell>
        </row>
        <row r="11305">
          <cell r="O11305" t="str">
            <v/>
          </cell>
        </row>
        <row r="11306">
          <cell r="O11306" t="str">
            <v/>
          </cell>
        </row>
        <row r="11307">
          <cell r="O11307" t="str">
            <v/>
          </cell>
        </row>
        <row r="11308">
          <cell r="O11308" t="str">
            <v/>
          </cell>
        </row>
        <row r="11309">
          <cell r="O11309" t="str">
            <v/>
          </cell>
        </row>
        <row r="11310">
          <cell r="O11310" t="str">
            <v/>
          </cell>
        </row>
        <row r="11311">
          <cell r="O11311" t="str">
            <v/>
          </cell>
        </row>
        <row r="11312">
          <cell r="O11312" t="str">
            <v/>
          </cell>
        </row>
        <row r="11313">
          <cell r="O11313" t="str">
            <v/>
          </cell>
        </row>
        <row r="11314">
          <cell r="O11314" t="str">
            <v/>
          </cell>
        </row>
        <row r="11315">
          <cell r="O11315" t="str">
            <v/>
          </cell>
        </row>
        <row r="11316">
          <cell r="O11316" t="str">
            <v/>
          </cell>
        </row>
        <row r="11317">
          <cell r="O11317" t="str">
            <v/>
          </cell>
        </row>
        <row r="11318">
          <cell r="O11318" t="str">
            <v/>
          </cell>
        </row>
        <row r="11319">
          <cell r="O11319" t="str">
            <v/>
          </cell>
        </row>
        <row r="11320">
          <cell r="O11320" t="str">
            <v/>
          </cell>
        </row>
        <row r="11321">
          <cell r="O11321" t="str">
            <v/>
          </cell>
        </row>
        <row r="11322">
          <cell r="O11322" t="str">
            <v/>
          </cell>
        </row>
        <row r="11323">
          <cell r="O11323" t="str">
            <v/>
          </cell>
        </row>
        <row r="11324">
          <cell r="O11324" t="str">
            <v/>
          </cell>
        </row>
        <row r="11325">
          <cell r="O11325" t="str">
            <v/>
          </cell>
        </row>
        <row r="11326">
          <cell r="O11326" t="str">
            <v/>
          </cell>
        </row>
        <row r="11327">
          <cell r="O11327" t="str">
            <v/>
          </cell>
        </row>
        <row r="11328">
          <cell r="O11328" t="str">
            <v/>
          </cell>
        </row>
        <row r="11329">
          <cell r="O11329" t="str">
            <v/>
          </cell>
        </row>
        <row r="11330">
          <cell r="O11330" t="str">
            <v/>
          </cell>
        </row>
        <row r="11331">
          <cell r="O11331" t="str">
            <v/>
          </cell>
        </row>
        <row r="11332">
          <cell r="O11332" t="str">
            <v/>
          </cell>
        </row>
        <row r="11333">
          <cell r="O11333" t="str">
            <v/>
          </cell>
        </row>
        <row r="11334">
          <cell r="O11334" t="str">
            <v/>
          </cell>
        </row>
        <row r="11335">
          <cell r="O11335" t="str">
            <v/>
          </cell>
        </row>
        <row r="11336">
          <cell r="O11336" t="str">
            <v/>
          </cell>
        </row>
        <row r="11337">
          <cell r="O11337" t="str">
            <v/>
          </cell>
        </row>
        <row r="11338">
          <cell r="O11338" t="str">
            <v/>
          </cell>
        </row>
        <row r="11339">
          <cell r="O11339" t="str">
            <v/>
          </cell>
        </row>
        <row r="11340">
          <cell r="O11340" t="str">
            <v/>
          </cell>
        </row>
        <row r="11341">
          <cell r="O11341" t="str">
            <v/>
          </cell>
        </row>
        <row r="11342">
          <cell r="O11342" t="str">
            <v/>
          </cell>
        </row>
        <row r="11343">
          <cell r="O11343" t="str">
            <v/>
          </cell>
        </row>
        <row r="11344">
          <cell r="O11344" t="str">
            <v/>
          </cell>
        </row>
        <row r="11345">
          <cell r="O11345" t="str">
            <v/>
          </cell>
        </row>
        <row r="11346">
          <cell r="O11346" t="str">
            <v/>
          </cell>
        </row>
        <row r="11347">
          <cell r="O11347" t="str">
            <v/>
          </cell>
        </row>
        <row r="11348">
          <cell r="O11348" t="str">
            <v/>
          </cell>
        </row>
        <row r="11349">
          <cell r="O11349" t="str">
            <v/>
          </cell>
        </row>
        <row r="11350">
          <cell r="O11350" t="str">
            <v/>
          </cell>
        </row>
        <row r="11351">
          <cell r="O11351" t="str">
            <v/>
          </cell>
        </row>
        <row r="11352">
          <cell r="O11352" t="str">
            <v/>
          </cell>
        </row>
        <row r="11353">
          <cell r="O11353" t="str">
            <v/>
          </cell>
        </row>
        <row r="11354">
          <cell r="O11354" t="str">
            <v/>
          </cell>
        </row>
        <row r="11355">
          <cell r="O11355" t="str">
            <v/>
          </cell>
        </row>
        <row r="11356">
          <cell r="O11356" t="str">
            <v/>
          </cell>
        </row>
        <row r="11357">
          <cell r="O11357" t="str">
            <v/>
          </cell>
        </row>
        <row r="11358">
          <cell r="O11358" t="str">
            <v/>
          </cell>
        </row>
        <row r="11359">
          <cell r="O11359" t="str">
            <v/>
          </cell>
        </row>
        <row r="11360">
          <cell r="O11360" t="str">
            <v/>
          </cell>
        </row>
        <row r="11361">
          <cell r="O11361" t="str">
            <v/>
          </cell>
        </row>
        <row r="11362">
          <cell r="O11362" t="str">
            <v/>
          </cell>
        </row>
        <row r="11363">
          <cell r="O11363" t="str">
            <v/>
          </cell>
        </row>
        <row r="11364">
          <cell r="O11364" t="str">
            <v/>
          </cell>
        </row>
        <row r="11365">
          <cell r="O11365" t="str">
            <v/>
          </cell>
        </row>
        <row r="11366">
          <cell r="O11366" t="str">
            <v/>
          </cell>
        </row>
        <row r="11367">
          <cell r="O11367" t="str">
            <v/>
          </cell>
        </row>
        <row r="11368">
          <cell r="O11368" t="str">
            <v/>
          </cell>
        </row>
        <row r="11369">
          <cell r="O11369" t="str">
            <v/>
          </cell>
        </row>
        <row r="11370">
          <cell r="O11370" t="str">
            <v/>
          </cell>
        </row>
        <row r="11371">
          <cell r="O11371" t="str">
            <v/>
          </cell>
        </row>
        <row r="11372">
          <cell r="O11372" t="str">
            <v/>
          </cell>
        </row>
        <row r="11373">
          <cell r="O11373" t="str">
            <v/>
          </cell>
        </row>
        <row r="11374">
          <cell r="O11374" t="str">
            <v/>
          </cell>
        </row>
        <row r="11375">
          <cell r="O11375" t="str">
            <v/>
          </cell>
        </row>
        <row r="11376">
          <cell r="O11376" t="str">
            <v/>
          </cell>
        </row>
        <row r="11377">
          <cell r="O11377" t="str">
            <v/>
          </cell>
        </row>
        <row r="11378">
          <cell r="O11378" t="str">
            <v/>
          </cell>
        </row>
        <row r="11379">
          <cell r="O11379" t="str">
            <v/>
          </cell>
        </row>
        <row r="11380">
          <cell r="O11380" t="str">
            <v/>
          </cell>
        </row>
        <row r="11381">
          <cell r="O11381" t="str">
            <v/>
          </cell>
        </row>
        <row r="11382">
          <cell r="O11382" t="str">
            <v/>
          </cell>
        </row>
        <row r="11383">
          <cell r="O11383" t="str">
            <v/>
          </cell>
        </row>
        <row r="11384">
          <cell r="O11384" t="str">
            <v/>
          </cell>
        </row>
        <row r="11385">
          <cell r="O11385" t="str">
            <v/>
          </cell>
        </row>
        <row r="11386">
          <cell r="O11386" t="str">
            <v/>
          </cell>
        </row>
        <row r="11387">
          <cell r="O11387" t="str">
            <v/>
          </cell>
        </row>
        <row r="11388">
          <cell r="O11388" t="str">
            <v/>
          </cell>
        </row>
        <row r="11389">
          <cell r="O11389" t="str">
            <v/>
          </cell>
        </row>
        <row r="11390">
          <cell r="O11390" t="str">
            <v/>
          </cell>
        </row>
        <row r="11391">
          <cell r="O11391" t="str">
            <v/>
          </cell>
        </row>
        <row r="11392">
          <cell r="O11392" t="str">
            <v/>
          </cell>
        </row>
        <row r="11393">
          <cell r="O11393" t="str">
            <v/>
          </cell>
        </row>
        <row r="11394">
          <cell r="O11394" t="str">
            <v/>
          </cell>
        </row>
        <row r="11395">
          <cell r="O11395" t="str">
            <v/>
          </cell>
        </row>
        <row r="11396">
          <cell r="O11396" t="str">
            <v/>
          </cell>
        </row>
        <row r="11397">
          <cell r="O11397" t="str">
            <v/>
          </cell>
        </row>
        <row r="11398">
          <cell r="O11398" t="str">
            <v/>
          </cell>
        </row>
        <row r="11399">
          <cell r="O11399" t="str">
            <v/>
          </cell>
        </row>
        <row r="11400">
          <cell r="O11400" t="str">
            <v/>
          </cell>
        </row>
        <row r="11401">
          <cell r="O11401" t="str">
            <v/>
          </cell>
        </row>
        <row r="11402">
          <cell r="O11402" t="str">
            <v/>
          </cell>
        </row>
        <row r="11403">
          <cell r="O11403" t="str">
            <v/>
          </cell>
        </row>
        <row r="11404">
          <cell r="O11404" t="str">
            <v/>
          </cell>
        </row>
        <row r="11405">
          <cell r="O11405" t="str">
            <v/>
          </cell>
        </row>
        <row r="11406">
          <cell r="O11406" t="str">
            <v/>
          </cell>
        </row>
        <row r="11407">
          <cell r="O11407" t="str">
            <v/>
          </cell>
        </row>
        <row r="11408">
          <cell r="O11408" t="str">
            <v/>
          </cell>
        </row>
        <row r="11409">
          <cell r="O11409" t="str">
            <v/>
          </cell>
        </row>
        <row r="11410">
          <cell r="O11410" t="str">
            <v/>
          </cell>
        </row>
        <row r="11411">
          <cell r="O11411" t="str">
            <v/>
          </cell>
        </row>
        <row r="11412">
          <cell r="O11412" t="str">
            <v/>
          </cell>
        </row>
        <row r="11413">
          <cell r="O11413" t="str">
            <v/>
          </cell>
        </row>
        <row r="11414">
          <cell r="O11414" t="str">
            <v/>
          </cell>
        </row>
        <row r="11415">
          <cell r="O11415" t="str">
            <v/>
          </cell>
        </row>
        <row r="11416">
          <cell r="O11416" t="str">
            <v/>
          </cell>
        </row>
        <row r="11417">
          <cell r="O11417" t="str">
            <v/>
          </cell>
        </row>
        <row r="11418">
          <cell r="O11418" t="str">
            <v/>
          </cell>
        </row>
        <row r="11419">
          <cell r="O11419" t="str">
            <v/>
          </cell>
        </row>
        <row r="11420">
          <cell r="O11420" t="str">
            <v/>
          </cell>
        </row>
        <row r="11421">
          <cell r="O11421" t="str">
            <v/>
          </cell>
        </row>
        <row r="11422">
          <cell r="O11422" t="str">
            <v/>
          </cell>
        </row>
        <row r="11423">
          <cell r="O11423" t="str">
            <v/>
          </cell>
        </row>
        <row r="11424">
          <cell r="O11424" t="str">
            <v/>
          </cell>
        </row>
        <row r="11425">
          <cell r="O11425" t="str">
            <v/>
          </cell>
        </row>
        <row r="11426">
          <cell r="O11426" t="str">
            <v/>
          </cell>
        </row>
        <row r="11427">
          <cell r="O11427" t="str">
            <v/>
          </cell>
        </row>
        <row r="11428">
          <cell r="O11428" t="str">
            <v/>
          </cell>
        </row>
        <row r="11429">
          <cell r="O11429" t="str">
            <v/>
          </cell>
        </row>
        <row r="11430">
          <cell r="O11430" t="str">
            <v/>
          </cell>
        </row>
        <row r="11431">
          <cell r="O11431" t="str">
            <v/>
          </cell>
        </row>
        <row r="11432">
          <cell r="O11432" t="str">
            <v/>
          </cell>
        </row>
        <row r="11433">
          <cell r="O11433" t="str">
            <v/>
          </cell>
        </row>
        <row r="11434">
          <cell r="O11434" t="str">
            <v/>
          </cell>
        </row>
        <row r="11435">
          <cell r="O11435" t="str">
            <v/>
          </cell>
        </row>
        <row r="11436">
          <cell r="O11436" t="str">
            <v/>
          </cell>
        </row>
        <row r="11437">
          <cell r="O11437" t="str">
            <v/>
          </cell>
        </row>
        <row r="11438">
          <cell r="O11438" t="str">
            <v/>
          </cell>
        </row>
        <row r="11439">
          <cell r="O11439" t="str">
            <v/>
          </cell>
        </row>
        <row r="11440">
          <cell r="O11440" t="str">
            <v/>
          </cell>
        </row>
        <row r="11441">
          <cell r="O11441" t="str">
            <v/>
          </cell>
        </row>
        <row r="11442">
          <cell r="O11442" t="str">
            <v/>
          </cell>
        </row>
        <row r="11443">
          <cell r="O11443" t="str">
            <v/>
          </cell>
        </row>
        <row r="11444">
          <cell r="O11444" t="str">
            <v/>
          </cell>
        </row>
        <row r="11445">
          <cell r="O11445" t="str">
            <v/>
          </cell>
        </row>
        <row r="11446">
          <cell r="O11446" t="str">
            <v/>
          </cell>
        </row>
        <row r="11447">
          <cell r="O11447" t="str">
            <v/>
          </cell>
        </row>
        <row r="11448">
          <cell r="O11448" t="str">
            <v/>
          </cell>
        </row>
        <row r="11449">
          <cell r="O11449" t="str">
            <v/>
          </cell>
        </row>
        <row r="11450">
          <cell r="O11450" t="str">
            <v/>
          </cell>
        </row>
        <row r="11451">
          <cell r="O11451" t="str">
            <v/>
          </cell>
        </row>
        <row r="11452">
          <cell r="O11452" t="str">
            <v/>
          </cell>
        </row>
        <row r="11453">
          <cell r="O11453" t="str">
            <v/>
          </cell>
        </row>
        <row r="11454">
          <cell r="O11454" t="str">
            <v/>
          </cell>
        </row>
        <row r="11455">
          <cell r="O11455" t="str">
            <v/>
          </cell>
        </row>
        <row r="11456">
          <cell r="O11456" t="str">
            <v/>
          </cell>
        </row>
        <row r="11457">
          <cell r="O11457" t="str">
            <v/>
          </cell>
        </row>
        <row r="11458">
          <cell r="O11458" t="str">
            <v/>
          </cell>
        </row>
        <row r="11459">
          <cell r="O11459" t="str">
            <v/>
          </cell>
        </row>
        <row r="11460">
          <cell r="O11460" t="str">
            <v/>
          </cell>
        </row>
        <row r="11461">
          <cell r="O11461" t="str">
            <v/>
          </cell>
        </row>
        <row r="11462">
          <cell r="O11462" t="str">
            <v/>
          </cell>
        </row>
        <row r="11463">
          <cell r="O11463" t="str">
            <v/>
          </cell>
        </row>
        <row r="11464">
          <cell r="O11464" t="str">
            <v/>
          </cell>
        </row>
        <row r="11465">
          <cell r="O11465" t="str">
            <v/>
          </cell>
        </row>
        <row r="11466">
          <cell r="O11466" t="str">
            <v/>
          </cell>
        </row>
        <row r="11467">
          <cell r="O11467" t="str">
            <v/>
          </cell>
        </row>
        <row r="11468">
          <cell r="O11468" t="str">
            <v/>
          </cell>
        </row>
        <row r="11469">
          <cell r="O11469" t="str">
            <v/>
          </cell>
        </row>
        <row r="11470">
          <cell r="O11470" t="str">
            <v/>
          </cell>
        </row>
        <row r="11471">
          <cell r="O11471" t="str">
            <v/>
          </cell>
        </row>
        <row r="11472">
          <cell r="O11472" t="str">
            <v/>
          </cell>
        </row>
        <row r="11473">
          <cell r="O11473" t="str">
            <v/>
          </cell>
        </row>
        <row r="11474">
          <cell r="O11474" t="str">
            <v/>
          </cell>
        </row>
        <row r="11475">
          <cell r="O11475" t="str">
            <v/>
          </cell>
        </row>
        <row r="11476">
          <cell r="O11476" t="str">
            <v/>
          </cell>
        </row>
        <row r="11477">
          <cell r="O11477" t="str">
            <v/>
          </cell>
        </row>
        <row r="11478">
          <cell r="O11478" t="str">
            <v/>
          </cell>
        </row>
        <row r="11479">
          <cell r="O11479" t="str">
            <v/>
          </cell>
        </row>
        <row r="11480">
          <cell r="O11480" t="str">
            <v/>
          </cell>
        </row>
        <row r="11481">
          <cell r="O11481" t="str">
            <v/>
          </cell>
        </row>
        <row r="11482">
          <cell r="O11482" t="str">
            <v/>
          </cell>
        </row>
        <row r="11483">
          <cell r="O11483" t="str">
            <v/>
          </cell>
        </row>
        <row r="11484">
          <cell r="O11484" t="str">
            <v/>
          </cell>
        </row>
        <row r="11485">
          <cell r="O11485" t="str">
            <v/>
          </cell>
        </row>
        <row r="11486">
          <cell r="O11486" t="str">
            <v/>
          </cell>
        </row>
        <row r="11487">
          <cell r="O11487" t="str">
            <v/>
          </cell>
        </row>
        <row r="11488">
          <cell r="O11488" t="str">
            <v/>
          </cell>
        </row>
        <row r="11489">
          <cell r="O11489" t="str">
            <v/>
          </cell>
        </row>
        <row r="11490">
          <cell r="O11490" t="str">
            <v/>
          </cell>
        </row>
        <row r="11491">
          <cell r="O11491" t="str">
            <v/>
          </cell>
        </row>
        <row r="11492">
          <cell r="O11492" t="str">
            <v/>
          </cell>
        </row>
        <row r="11493">
          <cell r="O11493" t="str">
            <v/>
          </cell>
        </row>
        <row r="11494">
          <cell r="O11494" t="str">
            <v/>
          </cell>
        </row>
        <row r="11495">
          <cell r="O11495" t="str">
            <v/>
          </cell>
        </row>
        <row r="11496">
          <cell r="O11496" t="str">
            <v/>
          </cell>
        </row>
        <row r="11497">
          <cell r="O11497" t="str">
            <v/>
          </cell>
        </row>
        <row r="11498">
          <cell r="O11498" t="str">
            <v/>
          </cell>
        </row>
        <row r="11499">
          <cell r="O11499" t="str">
            <v/>
          </cell>
        </row>
        <row r="11500">
          <cell r="O11500" t="str">
            <v/>
          </cell>
        </row>
        <row r="11501">
          <cell r="O11501" t="str">
            <v/>
          </cell>
        </row>
        <row r="11502">
          <cell r="O11502" t="str">
            <v/>
          </cell>
        </row>
        <row r="11503">
          <cell r="O11503" t="str">
            <v/>
          </cell>
        </row>
        <row r="11504">
          <cell r="O11504" t="str">
            <v/>
          </cell>
        </row>
        <row r="11505">
          <cell r="O11505" t="str">
            <v/>
          </cell>
        </row>
        <row r="11506">
          <cell r="O11506" t="str">
            <v/>
          </cell>
        </row>
        <row r="11507">
          <cell r="O11507" t="str">
            <v/>
          </cell>
        </row>
        <row r="11508">
          <cell r="O11508" t="str">
            <v/>
          </cell>
        </row>
        <row r="11509">
          <cell r="O11509" t="str">
            <v/>
          </cell>
        </row>
        <row r="11510">
          <cell r="O11510" t="str">
            <v/>
          </cell>
        </row>
        <row r="11511">
          <cell r="O11511" t="str">
            <v/>
          </cell>
        </row>
        <row r="11512">
          <cell r="O11512" t="str">
            <v/>
          </cell>
        </row>
        <row r="11513">
          <cell r="O11513" t="str">
            <v/>
          </cell>
        </row>
        <row r="11514">
          <cell r="O11514" t="str">
            <v/>
          </cell>
        </row>
        <row r="11515">
          <cell r="O11515" t="str">
            <v/>
          </cell>
        </row>
        <row r="11516">
          <cell r="O11516" t="str">
            <v/>
          </cell>
        </row>
        <row r="11517">
          <cell r="O11517" t="str">
            <v/>
          </cell>
        </row>
        <row r="11518">
          <cell r="O11518" t="str">
            <v/>
          </cell>
        </row>
        <row r="11519">
          <cell r="O11519" t="str">
            <v/>
          </cell>
        </row>
        <row r="11520">
          <cell r="O11520" t="str">
            <v/>
          </cell>
        </row>
        <row r="11521">
          <cell r="O11521" t="str">
            <v/>
          </cell>
        </row>
        <row r="11522">
          <cell r="O11522" t="str">
            <v/>
          </cell>
        </row>
        <row r="11523">
          <cell r="O11523" t="str">
            <v/>
          </cell>
        </row>
        <row r="11524">
          <cell r="O11524" t="str">
            <v/>
          </cell>
        </row>
        <row r="11525">
          <cell r="O11525" t="str">
            <v/>
          </cell>
        </row>
        <row r="11526">
          <cell r="O11526" t="str">
            <v/>
          </cell>
        </row>
        <row r="11527">
          <cell r="O11527" t="str">
            <v/>
          </cell>
        </row>
        <row r="11528">
          <cell r="O11528" t="str">
            <v/>
          </cell>
        </row>
        <row r="11529">
          <cell r="O11529" t="str">
            <v/>
          </cell>
        </row>
        <row r="11530">
          <cell r="O11530" t="str">
            <v/>
          </cell>
        </row>
        <row r="11531">
          <cell r="O11531" t="str">
            <v/>
          </cell>
        </row>
        <row r="11532">
          <cell r="O11532" t="str">
            <v/>
          </cell>
        </row>
        <row r="11533">
          <cell r="O11533" t="str">
            <v/>
          </cell>
        </row>
        <row r="11534">
          <cell r="O11534" t="str">
            <v/>
          </cell>
        </row>
        <row r="11535">
          <cell r="O11535" t="str">
            <v/>
          </cell>
        </row>
        <row r="11536">
          <cell r="O11536" t="str">
            <v/>
          </cell>
        </row>
        <row r="11537">
          <cell r="O11537" t="str">
            <v/>
          </cell>
        </row>
        <row r="11538">
          <cell r="O11538" t="str">
            <v/>
          </cell>
        </row>
        <row r="11539">
          <cell r="O11539" t="str">
            <v/>
          </cell>
        </row>
        <row r="11540">
          <cell r="O11540" t="str">
            <v/>
          </cell>
        </row>
        <row r="11541">
          <cell r="O11541" t="str">
            <v/>
          </cell>
        </row>
        <row r="11542">
          <cell r="O11542" t="str">
            <v/>
          </cell>
        </row>
        <row r="11543">
          <cell r="O11543" t="str">
            <v/>
          </cell>
        </row>
        <row r="11544">
          <cell r="O11544" t="str">
            <v/>
          </cell>
        </row>
        <row r="11545">
          <cell r="O11545" t="str">
            <v/>
          </cell>
        </row>
        <row r="11546">
          <cell r="O11546" t="str">
            <v/>
          </cell>
        </row>
        <row r="11547">
          <cell r="O11547" t="str">
            <v/>
          </cell>
        </row>
        <row r="11548">
          <cell r="O11548" t="str">
            <v/>
          </cell>
        </row>
        <row r="11549">
          <cell r="O11549" t="str">
            <v/>
          </cell>
        </row>
        <row r="11550">
          <cell r="O11550" t="str">
            <v/>
          </cell>
        </row>
        <row r="11551">
          <cell r="O11551" t="str">
            <v/>
          </cell>
        </row>
        <row r="11552">
          <cell r="O11552" t="str">
            <v/>
          </cell>
        </row>
        <row r="11553">
          <cell r="O11553" t="str">
            <v/>
          </cell>
        </row>
        <row r="11554">
          <cell r="O11554" t="str">
            <v/>
          </cell>
        </row>
        <row r="11555">
          <cell r="O11555" t="str">
            <v/>
          </cell>
        </row>
        <row r="11556">
          <cell r="O11556" t="str">
            <v/>
          </cell>
        </row>
        <row r="11557">
          <cell r="O11557" t="str">
            <v/>
          </cell>
        </row>
        <row r="11558">
          <cell r="O11558" t="str">
            <v/>
          </cell>
        </row>
        <row r="11559">
          <cell r="O11559" t="str">
            <v/>
          </cell>
        </row>
        <row r="11560">
          <cell r="O11560" t="str">
            <v/>
          </cell>
        </row>
        <row r="11561">
          <cell r="O11561" t="str">
            <v/>
          </cell>
        </row>
        <row r="11562">
          <cell r="O11562" t="str">
            <v/>
          </cell>
        </row>
        <row r="11563">
          <cell r="O11563" t="str">
            <v/>
          </cell>
        </row>
        <row r="11564">
          <cell r="O11564" t="str">
            <v/>
          </cell>
        </row>
        <row r="11565">
          <cell r="O11565" t="str">
            <v/>
          </cell>
        </row>
        <row r="11566">
          <cell r="O11566" t="str">
            <v/>
          </cell>
        </row>
        <row r="11567">
          <cell r="O11567" t="str">
            <v/>
          </cell>
        </row>
        <row r="11568">
          <cell r="O11568" t="str">
            <v/>
          </cell>
        </row>
        <row r="11569">
          <cell r="O11569" t="str">
            <v/>
          </cell>
        </row>
        <row r="11570">
          <cell r="O11570" t="str">
            <v/>
          </cell>
        </row>
        <row r="11571">
          <cell r="O11571" t="str">
            <v/>
          </cell>
        </row>
        <row r="11572">
          <cell r="O11572" t="str">
            <v/>
          </cell>
        </row>
        <row r="11573">
          <cell r="O11573" t="str">
            <v/>
          </cell>
        </row>
        <row r="11574">
          <cell r="O11574" t="str">
            <v/>
          </cell>
        </row>
        <row r="11575">
          <cell r="O11575" t="str">
            <v/>
          </cell>
        </row>
        <row r="11576">
          <cell r="O11576" t="str">
            <v/>
          </cell>
        </row>
        <row r="11577">
          <cell r="O11577" t="str">
            <v/>
          </cell>
        </row>
        <row r="11578">
          <cell r="O11578" t="str">
            <v/>
          </cell>
        </row>
        <row r="11579">
          <cell r="O11579" t="str">
            <v/>
          </cell>
        </row>
        <row r="11580">
          <cell r="O11580" t="str">
            <v/>
          </cell>
        </row>
        <row r="11581">
          <cell r="O11581" t="str">
            <v/>
          </cell>
        </row>
        <row r="11582">
          <cell r="O11582" t="str">
            <v/>
          </cell>
        </row>
        <row r="11583">
          <cell r="O11583" t="str">
            <v/>
          </cell>
        </row>
        <row r="11584">
          <cell r="O11584" t="str">
            <v/>
          </cell>
        </row>
        <row r="11585">
          <cell r="O11585" t="str">
            <v/>
          </cell>
        </row>
        <row r="11586">
          <cell r="O11586" t="str">
            <v/>
          </cell>
        </row>
        <row r="11587">
          <cell r="O11587" t="str">
            <v/>
          </cell>
        </row>
        <row r="11588">
          <cell r="O11588" t="str">
            <v/>
          </cell>
        </row>
        <row r="11589">
          <cell r="O11589" t="str">
            <v/>
          </cell>
        </row>
        <row r="11590">
          <cell r="O11590" t="str">
            <v/>
          </cell>
        </row>
        <row r="11591">
          <cell r="O11591" t="str">
            <v/>
          </cell>
        </row>
        <row r="11592">
          <cell r="O11592" t="str">
            <v/>
          </cell>
        </row>
        <row r="11593">
          <cell r="O11593" t="str">
            <v/>
          </cell>
        </row>
        <row r="11594">
          <cell r="O11594" t="str">
            <v/>
          </cell>
        </row>
        <row r="11595">
          <cell r="O11595" t="str">
            <v/>
          </cell>
        </row>
        <row r="11596">
          <cell r="O11596" t="str">
            <v/>
          </cell>
        </row>
        <row r="11597">
          <cell r="O11597" t="str">
            <v/>
          </cell>
        </row>
        <row r="11598">
          <cell r="O11598" t="str">
            <v/>
          </cell>
        </row>
        <row r="11599">
          <cell r="O11599" t="str">
            <v/>
          </cell>
        </row>
        <row r="11600">
          <cell r="O11600" t="str">
            <v/>
          </cell>
        </row>
        <row r="11601">
          <cell r="O11601" t="str">
            <v/>
          </cell>
        </row>
        <row r="11602">
          <cell r="O11602" t="str">
            <v/>
          </cell>
        </row>
        <row r="11603">
          <cell r="O11603" t="str">
            <v/>
          </cell>
        </row>
        <row r="11604">
          <cell r="O11604" t="str">
            <v/>
          </cell>
        </row>
        <row r="11605">
          <cell r="O11605" t="str">
            <v/>
          </cell>
        </row>
        <row r="11606">
          <cell r="O11606" t="str">
            <v/>
          </cell>
        </row>
        <row r="11607">
          <cell r="O11607" t="str">
            <v/>
          </cell>
        </row>
        <row r="11608">
          <cell r="O11608" t="str">
            <v/>
          </cell>
        </row>
        <row r="11609">
          <cell r="O11609" t="str">
            <v/>
          </cell>
        </row>
        <row r="11610">
          <cell r="O11610" t="str">
            <v/>
          </cell>
        </row>
        <row r="11611">
          <cell r="O11611" t="str">
            <v/>
          </cell>
        </row>
        <row r="11612">
          <cell r="O11612" t="str">
            <v/>
          </cell>
        </row>
        <row r="11613">
          <cell r="O11613" t="str">
            <v/>
          </cell>
        </row>
        <row r="11614">
          <cell r="O11614" t="str">
            <v/>
          </cell>
        </row>
        <row r="11615">
          <cell r="O11615" t="str">
            <v/>
          </cell>
        </row>
        <row r="11616">
          <cell r="O11616" t="str">
            <v/>
          </cell>
        </row>
        <row r="11617">
          <cell r="O11617" t="str">
            <v/>
          </cell>
        </row>
        <row r="11618">
          <cell r="O11618" t="str">
            <v/>
          </cell>
        </row>
        <row r="11619">
          <cell r="O11619" t="str">
            <v/>
          </cell>
        </row>
        <row r="11620">
          <cell r="O11620" t="str">
            <v/>
          </cell>
        </row>
        <row r="11621">
          <cell r="O11621" t="str">
            <v/>
          </cell>
        </row>
        <row r="11622">
          <cell r="O11622" t="str">
            <v/>
          </cell>
        </row>
        <row r="11623">
          <cell r="O11623" t="str">
            <v/>
          </cell>
        </row>
        <row r="11624">
          <cell r="O11624" t="str">
            <v/>
          </cell>
        </row>
        <row r="11625">
          <cell r="O11625" t="str">
            <v/>
          </cell>
        </row>
        <row r="11626">
          <cell r="O11626" t="str">
            <v/>
          </cell>
        </row>
        <row r="11627">
          <cell r="O11627" t="str">
            <v/>
          </cell>
        </row>
        <row r="11628">
          <cell r="O11628" t="str">
            <v/>
          </cell>
        </row>
        <row r="11629">
          <cell r="O11629" t="str">
            <v/>
          </cell>
        </row>
        <row r="11630">
          <cell r="O11630" t="str">
            <v/>
          </cell>
        </row>
        <row r="11631">
          <cell r="O11631" t="str">
            <v/>
          </cell>
        </row>
        <row r="11632">
          <cell r="O11632" t="str">
            <v/>
          </cell>
        </row>
        <row r="11633">
          <cell r="O11633" t="str">
            <v/>
          </cell>
        </row>
        <row r="11634">
          <cell r="O11634" t="str">
            <v/>
          </cell>
        </row>
        <row r="11635">
          <cell r="O11635" t="str">
            <v/>
          </cell>
        </row>
        <row r="11636">
          <cell r="O11636" t="str">
            <v/>
          </cell>
        </row>
        <row r="11637">
          <cell r="O11637" t="str">
            <v/>
          </cell>
        </row>
        <row r="11638">
          <cell r="O11638" t="str">
            <v/>
          </cell>
        </row>
        <row r="11639">
          <cell r="O11639" t="str">
            <v/>
          </cell>
        </row>
        <row r="11640">
          <cell r="O11640" t="str">
            <v/>
          </cell>
        </row>
        <row r="11641">
          <cell r="O11641" t="str">
            <v/>
          </cell>
        </row>
        <row r="11642">
          <cell r="O11642" t="str">
            <v/>
          </cell>
        </row>
        <row r="11643">
          <cell r="O11643" t="str">
            <v/>
          </cell>
        </row>
        <row r="11644">
          <cell r="O11644" t="str">
            <v/>
          </cell>
        </row>
        <row r="11645">
          <cell r="O11645" t="str">
            <v/>
          </cell>
        </row>
        <row r="11646">
          <cell r="O11646" t="str">
            <v/>
          </cell>
        </row>
        <row r="11647">
          <cell r="O11647" t="str">
            <v/>
          </cell>
        </row>
        <row r="11648">
          <cell r="O11648" t="str">
            <v/>
          </cell>
        </row>
        <row r="11649">
          <cell r="O11649" t="str">
            <v/>
          </cell>
        </row>
        <row r="11650">
          <cell r="O11650" t="str">
            <v/>
          </cell>
        </row>
        <row r="11651">
          <cell r="O11651" t="str">
            <v/>
          </cell>
        </row>
        <row r="11652">
          <cell r="O11652" t="str">
            <v/>
          </cell>
        </row>
        <row r="11653">
          <cell r="O11653" t="str">
            <v/>
          </cell>
        </row>
        <row r="11654">
          <cell r="O11654" t="str">
            <v/>
          </cell>
        </row>
        <row r="11655">
          <cell r="O11655" t="str">
            <v/>
          </cell>
        </row>
        <row r="11656">
          <cell r="O11656" t="str">
            <v/>
          </cell>
        </row>
        <row r="11657">
          <cell r="O11657" t="str">
            <v/>
          </cell>
        </row>
        <row r="11658">
          <cell r="O11658" t="str">
            <v/>
          </cell>
        </row>
        <row r="11659">
          <cell r="O11659" t="str">
            <v/>
          </cell>
        </row>
        <row r="11660">
          <cell r="O11660" t="str">
            <v/>
          </cell>
        </row>
        <row r="11661">
          <cell r="O11661" t="str">
            <v/>
          </cell>
        </row>
        <row r="11662">
          <cell r="O11662" t="str">
            <v/>
          </cell>
        </row>
        <row r="11663">
          <cell r="O11663" t="str">
            <v/>
          </cell>
        </row>
        <row r="11664">
          <cell r="O11664" t="str">
            <v/>
          </cell>
        </row>
        <row r="11665">
          <cell r="O11665" t="str">
            <v/>
          </cell>
        </row>
        <row r="11666">
          <cell r="O11666" t="str">
            <v/>
          </cell>
        </row>
        <row r="11667">
          <cell r="O11667" t="str">
            <v/>
          </cell>
        </row>
        <row r="11668">
          <cell r="O11668" t="str">
            <v/>
          </cell>
        </row>
        <row r="11669">
          <cell r="O11669" t="str">
            <v/>
          </cell>
        </row>
        <row r="11670">
          <cell r="O11670" t="str">
            <v/>
          </cell>
        </row>
        <row r="11671">
          <cell r="O11671" t="str">
            <v/>
          </cell>
        </row>
        <row r="11672">
          <cell r="O11672" t="str">
            <v/>
          </cell>
        </row>
        <row r="11673">
          <cell r="O11673" t="str">
            <v/>
          </cell>
        </row>
        <row r="11674">
          <cell r="O11674" t="str">
            <v/>
          </cell>
        </row>
        <row r="11675">
          <cell r="O11675" t="str">
            <v/>
          </cell>
        </row>
        <row r="11676">
          <cell r="O11676" t="str">
            <v/>
          </cell>
        </row>
        <row r="11677">
          <cell r="O11677" t="str">
            <v/>
          </cell>
        </row>
        <row r="11678">
          <cell r="O11678" t="str">
            <v/>
          </cell>
        </row>
        <row r="11679">
          <cell r="O11679" t="str">
            <v/>
          </cell>
        </row>
        <row r="11680">
          <cell r="O11680" t="str">
            <v/>
          </cell>
        </row>
        <row r="11681">
          <cell r="O11681" t="str">
            <v/>
          </cell>
        </row>
        <row r="11682">
          <cell r="O11682" t="str">
            <v/>
          </cell>
        </row>
        <row r="11683">
          <cell r="O11683" t="str">
            <v/>
          </cell>
        </row>
        <row r="11684">
          <cell r="O11684" t="str">
            <v/>
          </cell>
        </row>
        <row r="11685">
          <cell r="O11685" t="str">
            <v/>
          </cell>
        </row>
        <row r="11686">
          <cell r="O11686" t="str">
            <v/>
          </cell>
        </row>
        <row r="11687">
          <cell r="O11687" t="str">
            <v/>
          </cell>
        </row>
        <row r="11688">
          <cell r="O11688" t="str">
            <v/>
          </cell>
        </row>
        <row r="11689">
          <cell r="O11689" t="str">
            <v/>
          </cell>
        </row>
        <row r="11690">
          <cell r="O11690" t="str">
            <v/>
          </cell>
        </row>
        <row r="11691">
          <cell r="O11691" t="str">
            <v/>
          </cell>
        </row>
        <row r="11692">
          <cell r="O11692" t="str">
            <v/>
          </cell>
        </row>
        <row r="11693">
          <cell r="O11693" t="str">
            <v/>
          </cell>
        </row>
        <row r="11694">
          <cell r="O11694" t="str">
            <v/>
          </cell>
        </row>
        <row r="11695">
          <cell r="O11695" t="str">
            <v/>
          </cell>
        </row>
        <row r="11696">
          <cell r="O11696" t="str">
            <v/>
          </cell>
        </row>
        <row r="11697">
          <cell r="O11697" t="str">
            <v/>
          </cell>
        </row>
        <row r="11698">
          <cell r="O11698" t="str">
            <v/>
          </cell>
        </row>
        <row r="11699">
          <cell r="O11699" t="str">
            <v/>
          </cell>
        </row>
        <row r="11700">
          <cell r="O11700" t="str">
            <v/>
          </cell>
        </row>
        <row r="11701">
          <cell r="O11701" t="str">
            <v/>
          </cell>
        </row>
        <row r="11702">
          <cell r="O11702" t="str">
            <v/>
          </cell>
        </row>
        <row r="11703">
          <cell r="O11703" t="str">
            <v/>
          </cell>
        </row>
        <row r="11704">
          <cell r="O11704" t="str">
            <v/>
          </cell>
        </row>
        <row r="11705">
          <cell r="O11705" t="str">
            <v/>
          </cell>
        </row>
        <row r="11706">
          <cell r="O11706" t="str">
            <v/>
          </cell>
        </row>
        <row r="11707">
          <cell r="O11707" t="str">
            <v/>
          </cell>
        </row>
        <row r="11708">
          <cell r="O11708" t="str">
            <v/>
          </cell>
        </row>
        <row r="11709">
          <cell r="O11709" t="str">
            <v/>
          </cell>
        </row>
        <row r="11710">
          <cell r="O11710" t="str">
            <v/>
          </cell>
        </row>
        <row r="11711">
          <cell r="O11711" t="str">
            <v/>
          </cell>
        </row>
        <row r="11712">
          <cell r="O11712" t="str">
            <v/>
          </cell>
        </row>
        <row r="11713">
          <cell r="O11713" t="str">
            <v/>
          </cell>
        </row>
        <row r="11714">
          <cell r="O11714" t="str">
            <v/>
          </cell>
        </row>
        <row r="11715">
          <cell r="O11715" t="str">
            <v/>
          </cell>
        </row>
        <row r="11716">
          <cell r="O11716" t="str">
            <v/>
          </cell>
        </row>
        <row r="11717">
          <cell r="O11717" t="str">
            <v/>
          </cell>
        </row>
        <row r="11718">
          <cell r="O11718" t="str">
            <v/>
          </cell>
        </row>
        <row r="11719">
          <cell r="O11719" t="str">
            <v/>
          </cell>
        </row>
        <row r="11720">
          <cell r="O11720" t="str">
            <v/>
          </cell>
        </row>
        <row r="11721">
          <cell r="O11721" t="str">
            <v/>
          </cell>
        </row>
        <row r="11722">
          <cell r="O11722" t="str">
            <v/>
          </cell>
        </row>
        <row r="11723">
          <cell r="O11723" t="str">
            <v/>
          </cell>
        </row>
        <row r="11724">
          <cell r="O11724" t="str">
            <v/>
          </cell>
        </row>
        <row r="11725">
          <cell r="O11725" t="str">
            <v/>
          </cell>
        </row>
        <row r="11726">
          <cell r="O11726" t="str">
            <v/>
          </cell>
        </row>
        <row r="11727">
          <cell r="O11727" t="str">
            <v/>
          </cell>
        </row>
        <row r="11728">
          <cell r="O11728" t="str">
            <v/>
          </cell>
        </row>
        <row r="11729">
          <cell r="O11729" t="str">
            <v/>
          </cell>
        </row>
        <row r="11730">
          <cell r="O11730" t="str">
            <v/>
          </cell>
        </row>
        <row r="11731">
          <cell r="O11731" t="str">
            <v/>
          </cell>
        </row>
        <row r="11732">
          <cell r="O11732" t="str">
            <v/>
          </cell>
        </row>
        <row r="11733">
          <cell r="O11733" t="str">
            <v/>
          </cell>
        </row>
        <row r="11734">
          <cell r="O11734" t="str">
            <v/>
          </cell>
        </row>
        <row r="11735">
          <cell r="O11735" t="str">
            <v/>
          </cell>
        </row>
        <row r="11736">
          <cell r="O11736" t="str">
            <v/>
          </cell>
        </row>
        <row r="11737">
          <cell r="O11737" t="str">
            <v/>
          </cell>
        </row>
        <row r="11738">
          <cell r="O11738" t="str">
            <v/>
          </cell>
        </row>
        <row r="11739">
          <cell r="O11739" t="str">
            <v/>
          </cell>
        </row>
        <row r="11740">
          <cell r="O11740" t="str">
            <v/>
          </cell>
        </row>
        <row r="11741">
          <cell r="O11741" t="str">
            <v/>
          </cell>
        </row>
        <row r="11742">
          <cell r="O11742" t="str">
            <v/>
          </cell>
        </row>
        <row r="11743">
          <cell r="O11743" t="str">
            <v/>
          </cell>
        </row>
        <row r="11744">
          <cell r="O11744" t="str">
            <v/>
          </cell>
        </row>
        <row r="11745">
          <cell r="O11745" t="str">
            <v/>
          </cell>
        </row>
        <row r="11746">
          <cell r="O11746" t="str">
            <v/>
          </cell>
        </row>
        <row r="11747">
          <cell r="O11747" t="str">
            <v/>
          </cell>
        </row>
        <row r="11748">
          <cell r="O11748" t="str">
            <v/>
          </cell>
        </row>
        <row r="11749">
          <cell r="O11749" t="str">
            <v/>
          </cell>
        </row>
        <row r="11750">
          <cell r="O11750" t="str">
            <v/>
          </cell>
        </row>
        <row r="11751">
          <cell r="O11751" t="str">
            <v/>
          </cell>
        </row>
        <row r="11752">
          <cell r="O11752" t="str">
            <v/>
          </cell>
        </row>
        <row r="11753">
          <cell r="O11753" t="str">
            <v/>
          </cell>
        </row>
        <row r="11754">
          <cell r="O11754" t="str">
            <v/>
          </cell>
        </row>
        <row r="11755">
          <cell r="O11755" t="str">
            <v/>
          </cell>
        </row>
        <row r="11756">
          <cell r="O11756" t="str">
            <v/>
          </cell>
        </row>
        <row r="11757">
          <cell r="O11757" t="str">
            <v/>
          </cell>
        </row>
        <row r="11758">
          <cell r="O11758" t="str">
            <v/>
          </cell>
        </row>
        <row r="11759">
          <cell r="O11759" t="str">
            <v/>
          </cell>
        </row>
        <row r="11760">
          <cell r="O11760" t="str">
            <v/>
          </cell>
        </row>
        <row r="11761">
          <cell r="O11761" t="str">
            <v/>
          </cell>
        </row>
        <row r="11762">
          <cell r="O11762" t="str">
            <v/>
          </cell>
        </row>
        <row r="11763">
          <cell r="O11763" t="str">
            <v/>
          </cell>
        </row>
        <row r="11764">
          <cell r="O11764" t="str">
            <v/>
          </cell>
        </row>
        <row r="11765">
          <cell r="O11765" t="str">
            <v/>
          </cell>
        </row>
        <row r="11766">
          <cell r="O11766" t="str">
            <v/>
          </cell>
        </row>
        <row r="11767">
          <cell r="O11767" t="str">
            <v/>
          </cell>
        </row>
        <row r="11768">
          <cell r="O11768" t="str">
            <v/>
          </cell>
        </row>
        <row r="11769">
          <cell r="O11769" t="str">
            <v/>
          </cell>
        </row>
        <row r="11770">
          <cell r="O11770" t="str">
            <v/>
          </cell>
        </row>
        <row r="11771">
          <cell r="O11771" t="str">
            <v/>
          </cell>
        </row>
        <row r="11772">
          <cell r="O11772" t="str">
            <v/>
          </cell>
        </row>
        <row r="11773">
          <cell r="O11773" t="str">
            <v/>
          </cell>
        </row>
        <row r="11774">
          <cell r="O11774" t="str">
            <v/>
          </cell>
        </row>
        <row r="11775">
          <cell r="O11775" t="str">
            <v/>
          </cell>
        </row>
        <row r="11776">
          <cell r="O11776" t="str">
            <v/>
          </cell>
        </row>
        <row r="11777">
          <cell r="O11777" t="str">
            <v/>
          </cell>
        </row>
        <row r="11778">
          <cell r="O11778" t="str">
            <v/>
          </cell>
        </row>
        <row r="11779">
          <cell r="O11779" t="str">
            <v/>
          </cell>
        </row>
        <row r="11780">
          <cell r="O11780" t="str">
            <v/>
          </cell>
        </row>
        <row r="11781">
          <cell r="O11781" t="str">
            <v/>
          </cell>
        </row>
        <row r="11782">
          <cell r="O11782" t="str">
            <v/>
          </cell>
        </row>
        <row r="11783">
          <cell r="O11783" t="str">
            <v/>
          </cell>
        </row>
        <row r="11784">
          <cell r="O11784" t="str">
            <v/>
          </cell>
        </row>
        <row r="11785">
          <cell r="O11785" t="str">
            <v/>
          </cell>
        </row>
        <row r="11786">
          <cell r="O11786" t="str">
            <v/>
          </cell>
        </row>
        <row r="11787">
          <cell r="O11787" t="str">
            <v/>
          </cell>
        </row>
        <row r="11788">
          <cell r="O11788" t="str">
            <v/>
          </cell>
        </row>
        <row r="11789">
          <cell r="O11789" t="str">
            <v/>
          </cell>
        </row>
        <row r="11790">
          <cell r="O11790" t="str">
            <v/>
          </cell>
        </row>
        <row r="11791">
          <cell r="O11791" t="str">
            <v/>
          </cell>
        </row>
        <row r="11792">
          <cell r="O11792" t="str">
            <v/>
          </cell>
        </row>
        <row r="11793">
          <cell r="O11793" t="str">
            <v/>
          </cell>
        </row>
        <row r="11794">
          <cell r="O11794" t="str">
            <v/>
          </cell>
        </row>
        <row r="11795">
          <cell r="O11795" t="str">
            <v/>
          </cell>
        </row>
        <row r="11796">
          <cell r="O11796" t="str">
            <v/>
          </cell>
        </row>
        <row r="11797">
          <cell r="O11797" t="str">
            <v/>
          </cell>
        </row>
        <row r="11798">
          <cell r="O11798" t="str">
            <v/>
          </cell>
        </row>
        <row r="11799">
          <cell r="O11799" t="str">
            <v/>
          </cell>
        </row>
        <row r="11800">
          <cell r="O11800" t="str">
            <v/>
          </cell>
        </row>
        <row r="11801">
          <cell r="O11801" t="str">
            <v/>
          </cell>
        </row>
        <row r="11802">
          <cell r="O11802" t="str">
            <v/>
          </cell>
        </row>
        <row r="11803">
          <cell r="O11803" t="str">
            <v/>
          </cell>
        </row>
        <row r="11804">
          <cell r="O11804" t="str">
            <v/>
          </cell>
        </row>
        <row r="11805">
          <cell r="O11805" t="str">
            <v/>
          </cell>
        </row>
        <row r="11806">
          <cell r="O11806" t="str">
            <v/>
          </cell>
        </row>
        <row r="11807">
          <cell r="O11807" t="str">
            <v/>
          </cell>
        </row>
        <row r="11808">
          <cell r="O11808" t="str">
            <v/>
          </cell>
        </row>
        <row r="11809">
          <cell r="O11809" t="str">
            <v/>
          </cell>
        </row>
        <row r="11810">
          <cell r="O11810" t="str">
            <v/>
          </cell>
        </row>
        <row r="11811">
          <cell r="O11811" t="str">
            <v/>
          </cell>
        </row>
        <row r="11812">
          <cell r="O11812" t="str">
            <v/>
          </cell>
        </row>
        <row r="11813">
          <cell r="O11813" t="str">
            <v/>
          </cell>
        </row>
        <row r="11814">
          <cell r="O11814" t="str">
            <v/>
          </cell>
        </row>
        <row r="11815">
          <cell r="O11815" t="str">
            <v/>
          </cell>
        </row>
        <row r="11816">
          <cell r="O11816" t="str">
            <v/>
          </cell>
        </row>
        <row r="11817">
          <cell r="O11817" t="str">
            <v/>
          </cell>
        </row>
        <row r="11818">
          <cell r="O11818" t="str">
            <v/>
          </cell>
        </row>
        <row r="11819">
          <cell r="O11819" t="str">
            <v/>
          </cell>
        </row>
        <row r="11820">
          <cell r="O11820" t="str">
            <v/>
          </cell>
        </row>
        <row r="11821">
          <cell r="O11821" t="str">
            <v/>
          </cell>
        </row>
        <row r="11822">
          <cell r="O11822" t="str">
            <v/>
          </cell>
        </row>
        <row r="11823">
          <cell r="O11823" t="str">
            <v/>
          </cell>
        </row>
        <row r="11824">
          <cell r="O11824" t="str">
            <v/>
          </cell>
        </row>
        <row r="11825">
          <cell r="O11825" t="str">
            <v/>
          </cell>
        </row>
        <row r="11826">
          <cell r="O11826" t="str">
            <v/>
          </cell>
        </row>
        <row r="11827">
          <cell r="O11827" t="str">
            <v/>
          </cell>
        </row>
        <row r="11828">
          <cell r="O11828" t="str">
            <v/>
          </cell>
        </row>
        <row r="11829">
          <cell r="O11829" t="str">
            <v/>
          </cell>
        </row>
        <row r="11830">
          <cell r="O11830" t="str">
            <v/>
          </cell>
        </row>
        <row r="11831">
          <cell r="O11831" t="str">
            <v/>
          </cell>
        </row>
        <row r="11832">
          <cell r="O11832" t="str">
            <v/>
          </cell>
        </row>
        <row r="11833">
          <cell r="O11833" t="str">
            <v/>
          </cell>
        </row>
        <row r="11834">
          <cell r="O11834" t="str">
            <v/>
          </cell>
        </row>
        <row r="11835">
          <cell r="O11835" t="str">
            <v/>
          </cell>
        </row>
        <row r="11836">
          <cell r="O11836" t="str">
            <v/>
          </cell>
        </row>
        <row r="11837">
          <cell r="O11837" t="str">
            <v/>
          </cell>
        </row>
        <row r="11838">
          <cell r="O11838" t="str">
            <v/>
          </cell>
        </row>
        <row r="11839">
          <cell r="O11839" t="str">
            <v/>
          </cell>
        </row>
        <row r="11840">
          <cell r="O11840" t="str">
            <v/>
          </cell>
        </row>
        <row r="11841">
          <cell r="O11841" t="str">
            <v/>
          </cell>
        </row>
        <row r="11842">
          <cell r="O11842" t="str">
            <v/>
          </cell>
        </row>
        <row r="11843">
          <cell r="O11843" t="str">
            <v/>
          </cell>
        </row>
        <row r="11844">
          <cell r="O11844" t="str">
            <v/>
          </cell>
        </row>
        <row r="11845">
          <cell r="O11845" t="str">
            <v/>
          </cell>
        </row>
        <row r="11846">
          <cell r="O11846" t="str">
            <v/>
          </cell>
        </row>
        <row r="11847">
          <cell r="O11847" t="str">
            <v/>
          </cell>
        </row>
        <row r="11848">
          <cell r="O11848" t="str">
            <v/>
          </cell>
        </row>
        <row r="11849">
          <cell r="O11849" t="str">
            <v/>
          </cell>
        </row>
        <row r="11850">
          <cell r="O11850" t="str">
            <v/>
          </cell>
        </row>
        <row r="11851">
          <cell r="O11851" t="str">
            <v/>
          </cell>
        </row>
        <row r="11852">
          <cell r="O11852" t="str">
            <v/>
          </cell>
        </row>
        <row r="11853">
          <cell r="O11853" t="str">
            <v/>
          </cell>
        </row>
        <row r="11854">
          <cell r="O11854" t="str">
            <v/>
          </cell>
        </row>
        <row r="11855">
          <cell r="O11855" t="str">
            <v/>
          </cell>
        </row>
        <row r="11856">
          <cell r="O11856" t="str">
            <v/>
          </cell>
        </row>
        <row r="11857">
          <cell r="O11857" t="str">
            <v/>
          </cell>
        </row>
        <row r="11858">
          <cell r="O11858" t="str">
            <v/>
          </cell>
        </row>
        <row r="11859">
          <cell r="O11859" t="str">
            <v/>
          </cell>
        </row>
        <row r="11860">
          <cell r="O11860" t="str">
            <v/>
          </cell>
        </row>
        <row r="11861">
          <cell r="O11861" t="str">
            <v/>
          </cell>
        </row>
        <row r="11862">
          <cell r="O11862" t="str">
            <v/>
          </cell>
        </row>
        <row r="11863">
          <cell r="O11863" t="str">
            <v/>
          </cell>
        </row>
        <row r="11864">
          <cell r="O11864" t="str">
            <v/>
          </cell>
        </row>
        <row r="11865">
          <cell r="O11865" t="str">
            <v/>
          </cell>
        </row>
        <row r="11866">
          <cell r="O11866" t="str">
            <v/>
          </cell>
        </row>
        <row r="11867">
          <cell r="O11867" t="str">
            <v/>
          </cell>
        </row>
        <row r="11868">
          <cell r="O11868" t="str">
            <v/>
          </cell>
        </row>
        <row r="11869">
          <cell r="O11869" t="str">
            <v/>
          </cell>
        </row>
        <row r="11870">
          <cell r="O11870" t="str">
            <v/>
          </cell>
        </row>
        <row r="11871">
          <cell r="O11871" t="str">
            <v/>
          </cell>
        </row>
        <row r="11872">
          <cell r="O11872" t="str">
            <v/>
          </cell>
        </row>
        <row r="11873">
          <cell r="O11873" t="str">
            <v/>
          </cell>
        </row>
        <row r="11874">
          <cell r="O11874" t="str">
            <v/>
          </cell>
        </row>
        <row r="11875">
          <cell r="O11875" t="str">
            <v/>
          </cell>
        </row>
        <row r="11876">
          <cell r="O11876" t="str">
            <v/>
          </cell>
        </row>
        <row r="11877">
          <cell r="O11877" t="str">
            <v/>
          </cell>
        </row>
        <row r="11878">
          <cell r="O11878" t="str">
            <v/>
          </cell>
        </row>
        <row r="11879">
          <cell r="O11879" t="str">
            <v/>
          </cell>
        </row>
        <row r="11880">
          <cell r="O11880" t="str">
            <v/>
          </cell>
        </row>
        <row r="11881">
          <cell r="O11881" t="str">
            <v/>
          </cell>
        </row>
        <row r="11882">
          <cell r="O11882" t="str">
            <v/>
          </cell>
        </row>
        <row r="11883">
          <cell r="O11883" t="str">
            <v/>
          </cell>
        </row>
        <row r="11884">
          <cell r="O11884" t="str">
            <v/>
          </cell>
        </row>
        <row r="11885">
          <cell r="O11885" t="str">
            <v/>
          </cell>
        </row>
        <row r="11886">
          <cell r="O11886" t="str">
            <v/>
          </cell>
        </row>
        <row r="11887">
          <cell r="O11887" t="str">
            <v/>
          </cell>
        </row>
        <row r="11888">
          <cell r="O11888" t="str">
            <v/>
          </cell>
        </row>
        <row r="11889">
          <cell r="O11889" t="str">
            <v/>
          </cell>
        </row>
        <row r="11890">
          <cell r="O11890" t="str">
            <v/>
          </cell>
        </row>
        <row r="11891">
          <cell r="O11891" t="str">
            <v/>
          </cell>
        </row>
        <row r="11892">
          <cell r="O11892" t="str">
            <v/>
          </cell>
        </row>
        <row r="11893">
          <cell r="O11893" t="str">
            <v/>
          </cell>
        </row>
        <row r="11894">
          <cell r="O11894" t="str">
            <v/>
          </cell>
        </row>
        <row r="11895">
          <cell r="O11895" t="str">
            <v/>
          </cell>
        </row>
        <row r="11896">
          <cell r="O11896" t="str">
            <v/>
          </cell>
        </row>
        <row r="11897">
          <cell r="O11897" t="str">
            <v/>
          </cell>
        </row>
        <row r="11898">
          <cell r="O11898" t="str">
            <v/>
          </cell>
        </row>
        <row r="11899">
          <cell r="O11899" t="str">
            <v/>
          </cell>
        </row>
        <row r="11900">
          <cell r="O11900" t="str">
            <v/>
          </cell>
        </row>
        <row r="11901">
          <cell r="O11901" t="str">
            <v/>
          </cell>
        </row>
        <row r="11902">
          <cell r="O11902" t="str">
            <v/>
          </cell>
        </row>
        <row r="11903">
          <cell r="O11903" t="str">
            <v/>
          </cell>
        </row>
        <row r="11904">
          <cell r="O11904" t="str">
            <v/>
          </cell>
        </row>
        <row r="11905">
          <cell r="O11905" t="str">
            <v/>
          </cell>
        </row>
        <row r="11906">
          <cell r="O11906" t="str">
            <v/>
          </cell>
        </row>
        <row r="11907">
          <cell r="O11907" t="str">
            <v/>
          </cell>
        </row>
        <row r="11908">
          <cell r="O11908" t="str">
            <v/>
          </cell>
        </row>
        <row r="11909">
          <cell r="O11909" t="str">
            <v/>
          </cell>
        </row>
        <row r="11910">
          <cell r="O11910" t="str">
            <v/>
          </cell>
        </row>
        <row r="11911">
          <cell r="O11911" t="str">
            <v/>
          </cell>
        </row>
        <row r="11912">
          <cell r="O11912" t="str">
            <v/>
          </cell>
        </row>
        <row r="11913">
          <cell r="O11913" t="str">
            <v/>
          </cell>
        </row>
        <row r="11914">
          <cell r="O11914" t="str">
            <v/>
          </cell>
        </row>
        <row r="11915">
          <cell r="O11915" t="str">
            <v/>
          </cell>
        </row>
        <row r="11916">
          <cell r="O11916" t="str">
            <v/>
          </cell>
        </row>
        <row r="11917">
          <cell r="O11917" t="str">
            <v/>
          </cell>
        </row>
        <row r="11918">
          <cell r="O11918" t="str">
            <v/>
          </cell>
        </row>
        <row r="11919">
          <cell r="O11919" t="str">
            <v/>
          </cell>
        </row>
        <row r="11920">
          <cell r="O11920" t="str">
            <v/>
          </cell>
        </row>
        <row r="11921">
          <cell r="O11921" t="str">
            <v/>
          </cell>
        </row>
        <row r="11922">
          <cell r="O11922" t="str">
            <v/>
          </cell>
        </row>
        <row r="11923">
          <cell r="O11923" t="str">
            <v/>
          </cell>
        </row>
        <row r="11924">
          <cell r="O11924" t="str">
            <v/>
          </cell>
        </row>
        <row r="11925">
          <cell r="O11925" t="str">
            <v/>
          </cell>
        </row>
        <row r="11926">
          <cell r="O11926" t="str">
            <v/>
          </cell>
        </row>
        <row r="11927">
          <cell r="O11927" t="str">
            <v/>
          </cell>
        </row>
        <row r="11928">
          <cell r="O11928" t="str">
            <v/>
          </cell>
        </row>
        <row r="11929">
          <cell r="O11929" t="str">
            <v/>
          </cell>
        </row>
        <row r="11930">
          <cell r="O11930" t="str">
            <v/>
          </cell>
        </row>
        <row r="11931">
          <cell r="O11931" t="str">
            <v/>
          </cell>
        </row>
        <row r="11932">
          <cell r="O11932" t="str">
            <v/>
          </cell>
        </row>
        <row r="11933">
          <cell r="O11933" t="str">
            <v/>
          </cell>
        </row>
        <row r="11934">
          <cell r="O11934" t="str">
            <v/>
          </cell>
        </row>
        <row r="11935">
          <cell r="O11935" t="str">
            <v/>
          </cell>
        </row>
        <row r="11936">
          <cell r="O11936" t="str">
            <v/>
          </cell>
        </row>
        <row r="11937">
          <cell r="O11937" t="str">
            <v/>
          </cell>
        </row>
        <row r="11938">
          <cell r="O11938" t="str">
            <v/>
          </cell>
        </row>
        <row r="11939">
          <cell r="O11939" t="str">
            <v/>
          </cell>
        </row>
        <row r="11940">
          <cell r="O11940" t="str">
            <v/>
          </cell>
        </row>
        <row r="11941">
          <cell r="O11941" t="str">
            <v/>
          </cell>
        </row>
        <row r="11942">
          <cell r="O11942" t="str">
            <v/>
          </cell>
        </row>
        <row r="11943">
          <cell r="O11943" t="str">
            <v/>
          </cell>
        </row>
        <row r="11944">
          <cell r="O11944" t="str">
            <v/>
          </cell>
        </row>
        <row r="11945">
          <cell r="O11945" t="str">
            <v/>
          </cell>
        </row>
        <row r="11946">
          <cell r="O11946" t="str">
            <v/>
          </cell>
        </row>
        <row r="11947">
          <cell r="O11947" t="str">
            <v/>
          </cell>
        </row>
        <row r="11948">
          <cell r="O11948" t="str">
            <v/>
          </cell>
        </row>
        <row r="11949">
          <cell r="O11949" t="str">
            <v/>
          </cell>
        </row>
        <row r="11950">
          <cell r="O11950" t="str">
            <v/>
          </cell>
        </row>
        <row r="11951">
          <cell r="O11951" t="str">
            <v/>
          </cell>
        </row>
        <row r="11952">
          <cell r="O11952" t="str">
            <v/>
          </cell>
        </row>
        <row r="11953">
          <cell r="O11953" t="str">
            <v/>
          </cell>
        </row>
        <row r="11954">
          <cell r="O11954" t="str">
            <v/>
          </cell>
        </row>
        <row r="11955">
          <cell r="O11955" t="str">
            <v/>
          </cell>
        </row>
        <row r="11956">
          <cell r="O11956" t="str">
            <v/>
          </cell>
        </row>
        <row r="11957">
          <cell r="O11957" t="str">
            <v/>
          </cell>
        </row>
        <row r="11958">
          <cell r="O11958" t="str">
            <v/>
          </cell>
        </row>
        <row r="11959">
          <cell r="O11959" t="str">
            <v/>
          </cell>
        </row>
        <row r="11960">
          <cell r="O11960" t="str">
            <v/>
          </cell>
        </row>
        <row r="11961">
          <cell r="O11961" t="str">
            <v/>
          </cell>
        </row>
        <row r="11962">
          <cell r="O11962" t="str">
            <v/>
          </cell>
        </row>
        <row r="11963">
          <cell r="O11963" t="str">
            <v/>
          </cell>
        </row>
        <row r="11964">
          <cell r="O11964" t="str">
            <v/>
          </cell>
        </row>
        <row r="11965">
          <cell r="O11965" t="str">
            <v/>
          </cell>
        </row>
        <row r="11966">
          <cell r="O11966" t="str">
            <v/>
          </cell>
        </row>
        <row r="11967">
          <cell r="O11967" t="str">
            <v/>
          </cell>
        </row>
        <row r="11968">
          <cell r="O11968" t="str">
            <v/>
          </cell>
        </row>
        <row r="11969">
          <cell r="O11969" t="str">
            <v/>
          </cell>
        </row>
        <row r="11970">
          <cell r="O11970" t="str">
            <v/>
          </cell>
        </row>
        <row r="11971">
          <cell r="O11971" t="str">
            <v/>
          </cell>
        </row>
        <row r="11972">
          <cell r="O11972" t="str">
            <v/>
          </cell>
        </row>
        <row r="11973">
          <cell r="O11973" t="str">
            <v/>
          </cell>
        </row>
        <row r="11974">
          <cell r="O11974" t="str">
            <v/>
          </cell>
        </row>
        <row r="11975">
          <cell r="O11975" t="str">
            <v/>
          </cell>
        </row>
        <row r="11976">
          <cell r="O11976" t="str">
            <v/>
          </cell>
        </row>
        <row r="11977">
          <cell r="O11977" t="str">
            <v/>
          </cell>
        </row>
        <row r="11978">
          <cell r="O11978" t="str">
            <v/>
          </cell>
        </row>
        <row r="11979">
          <cell r="O11979" t="str">
            <v/>
          </cell>
        </row>
        <row r="11980">
          <cell r="O11980" t="str">
            <v/>
          </cell>
        </row>
        <row r="11981">
          <cell r="O11981" t="str">
            <v/>
          </cell>
        </row>
        <row r="11982">
          <cell r="O11982" t="str">
            <v/>
          </cell>
        </row>
        <row r="11983">
          <cell r="O11983" t="str">
            <v/>
          </cell>
        </row>
        <row r="11984">
          <cell r="O11984" t="str">
            <v/>
          </cell>
        </row>
        <row r="11985">
          <cell r="O11985" t="str">
            <v/>
          </cell>
        </row>
        <row r="11986">
          <cell r="O11986" t="str">
            <v/>
          </cell>
        </row>
        <row r="11987">
          <cell r="O11987" t="str">
            <v/>
          </cell>
        </row>
        <row r="11988">
          <cell r="O11988" t="str">
            <v/>
          </cell>
        </row>
        <row r="11989">
          <cell r="O11989" t="str">
            <v/>
          </cell>
        </row>
        <row r="11990">
          <cell r="O11990" t="str">
            <v/>
          </cell>
        </row>
        <row r="11991">
          <cell r="O11991" t="str">
            <v/>
          </cell>
        </row>
        <row r="11992">
          <cell r="O11992" t="str">
            <v/>
          </cell>
        </row>
        <row r="11993">
          <cell r="O11993" t="str">
            <v/>
          </cell>
        </row>
        <row r="11994">
          <cell r="O11994" t="str">
            <v/>
          </cell>
        </row>
        <row r="11995">
          <cell r="O11995" t="str">
            <v/>
          </cell>
        </row>
        <row r="11996">
          <cell r="O11996" t="str">
            <v/>
          </cell>
        </row>
        <row r="11997">
          <cell r="O11997" t="str">
            <v/>
          </cell>
        </row>
        <row r="11998">
          <cell r="O11998" t="str">
            <v/>
          </cell>
        </row>
        <row r="11999">
          <cell r="O11999" t="str">
            <v/>
          </cell>
        </row>
        <row r="12000">
          <cell r="O12000" t="str">
            <v/>
          </cell>
        </row>
        <row r="12001">
          <cell r="O12001" t="str">
            <v/>
          </cell>
        </row>
        <row r="12002">
          <cell r="O12002" t="str">
            <v/>
          </cell>
        </row>
        <row r="12003">
          <cell r="O12003" t="str">
            <v/>
          </cell>
        </row>
        <row r="12004">
          <cell r="O12004" t="str">
            <v/>
          </cell>
        </row>
        <row r="12005">
          <cell r="O12005" t="str">
            <v/>
          </cell>
        </row>
        <row r="12006">
          <cell r="O12006" t="str">
            <v/>
          </cell>
        </row>
        <row r="12007">
          <cell r="O12007" t="str">
            <v/>
          </cell>
        </row>
        <row r="12008">
          <cell r="O12008" t="str">
            <v/>
          </cell>
        </row>
        <row r="12009">
          <cell r="O12009" t="str">
            <v/>
          </cell>
        </row>
        <row r="12010">
          <cell r="O12010" t="str">
            <v/>
          </cell>
        </row>
        <row r="12011">
          <cell r="O12011" t="str">
            <v/>
          </cell>
        </row>
        <row r="12012">
          <cell r="O12012" t="str">
            <v/>
          </cell>
        </row>
        <row r="12013">
          <cell r="O12013" t="str">
            <v/>
          </cell>
        </row>
        <row r="12014">
          <cell r="O12014" t="str">
            <v/>
          </cell>
        </row>
        <row r="12015">
          <cell r="O12015" t="str">
            <v/>
          </cell>
        </row>
        <row r="12016">
          <cell r="O12016" t="str">
            <v/>
          </cell>
        </row>
        <row r="12017">
          <cell r="O12017" t="str">
            <v/>
          </cell>
        </row>
        <row r="12018">
          <cell r="O12018" t="str">
            <v/>
          </cell>
        </row>
        <row r="12019">
          <cell r="O12019" t="str">
            <v/>
          </cell>
        </row>
        <row r="12020">
          <cell r="O12020" t="str">
            <v/>
          </cell>
        </row>
        <row r="12021">
          <cell r="O12021" t="str">
            <v/>
          </cell>
        </row>
        <row r="12022">
          <cell r="O12022" t="str">
            <v/>
          </cell>
        </row>
        <row r="12023">
          <cell r="O12023" t="str">
            <v/>
          </cell>
        </row>
        <row r="12024">
          <cell r="O12024" t="str">
            <v/>
          </cell>
        </row>
        <row r="12025">
          <cell r="O12025" t="str">
            <v/>
          </cell>
        </row>
        <row r="12026">
          <cell r="O12026" t="str">
            <v/>
          </cell>
        </row>
        <row r="12027">
          <cell r="O12027" t="str">
            <v/>
          </cell>
        </row>
        <row r="12028">
          <cell r="O12028" t="str">
            <v/>
          </cell>
        </row>
        <row r="12029">
          <cell r="O12029" t="str">
            <v/>
          </cell>
        </row>
        <row r="12030">
          <cell r="O12030" t="str">
            <v/>
          </cell>
        </row>
        <row r="12031">
          <cell r="O12031" t="str">
            <v/>
          </cell>
        </row>
        <row r="12032">
          <cell r="O12032" t="str">
            <v/>
          </cell>
        </row>
        <row r="12033">
          <cell r="O12033" t="str">
            <v/>
          </cell>
        </row>
        <row r="12034">
          <cell r="O12034" t="str">
            <v/>
          </cell>
        </row>
        <row r="12035">
          <cell r="O12035" t="str">
            <v/>
          </cell>
        </row>
        <row r="12036">
          <cell r="O12036" t="str">
            <v/>
          </cell>
        </row>
        <row r="12037">
          <cell r="O12037" t="str">
            <v/>
          </cell>
        </row>
        <row r="12038">
          <cell r="O12038" t="str">
            <v/>
          </cell>
        </row>
        <row r="12039">
          <cell r="O12039" t="str">
            <v/>
          </cell>
        </row>
        <row r="12040">
          <cell r="O12040" t="str">
            <v/>
          </cell>
        </row>
        <row r="12041">
          <cell r="O12041" t="str">
            <v/>
          </cell>
        </row>
        <row r="12042">
          <cell r="O12042" t="str">
            <v/>
          </cell>
        </row>
        <row r="12043">
          <cell r="O12043" t="str">
            <v/>
          </cell>
        </row>
        <row r="12044">
          <cell r="O12044" t="str">
            <v/>
          </cell>
        </row>
        <row r="12045">
          <cell r="O12045" t="str">
            <v/>
          </cell>
        </row>
        <row r="12046">
          <cell r="O12046" t="str">
            <v/>
          </cell>
        </row>
        <row r="12047">
          <cell r="O12047" t="str">
            <v/>
          </cell>
        </row>
        <row r="12048">
          <cell r="O12048" t="str">
            <v/>
          </cell>
        </row>
        <row r="12049">
          <cell r="O12049" t="str">
            <v/>
          </cell>
        </row>
        <row r="12050">
          <cell r="O12050" t="str">
            <v/>
          </cell>
        </row>
        <row r="12051">
          <cell r="O12051" t="str">
            <v/>
          </cell>
        </row>
        <row r="12052">
          <cell r="O12052" t="str">
            <v/>
          </cell>
        </row>
        <row r="12053">
          <cell r="O12053" t="str">
            <v/>
          </cell>
        </row>
        <row r="12054">
          <cell r="O12054" t="str">
            <v/>
          </cell>
        </row>
        <row r="12055">
          <cell r="O12055" t="str">
            <v/>
          </cell>
        </row>
        <row r="12056">
          <cell r="O12056" t="str">
            <v/>
          </cell>
        </row>
        <row r="12057">
          <cell r="O12057" t="str">
            <v/>
          </cell>
        </row>
        <row r="12058">
          <cell r="O12058" t="str">
            <v/>
          </cell>
        </row>
        <row r="12059">
          <cell r="O12059" t="str">
            <v/>
          </cell>
        </row>
        <row r="12060">
          <cell r="O12060" t="str">
            <v/>
          </cell>
        </row>
        <row r="12061">
          <cell r="O12061" t="str">
            <v/>
          </cell>
        </row>
        <row r="12062">
          <cell r="O12062" t="str">
            <v/>
          </cell>
        </row>
        <row r="12063">
          <cell r="O12063" t="str">
            <v/>
          </cell>
        </row>
        <row r="12064">
          <cell r="O12064" t="str">
            <v/>
          </cell>
        </row>
        <row r="12065">
          <cell r="O12065" t="str">
            <v/>
          </cell>
        </row>
        <row r="12066">
          <cell r="O12066" t="str">
            <v/>
          </cell>
        </row>
        <row r="12067">
          <cell r="O12067" t="str">
            <v/>
          </cell>
        </row>
        <row r="12068">
          <cell r="O12068" t="str">
            <v/>
          </cell>
        </row>
        <row r="12069">
          <cell r="O12069" t="str">
            <v/>
          </cell>
        </row>
        <row r="12070">
          <cell r="O12070" t="str">
            <v/>
          </cell>
        </row>
        <row r="12071">
          <cell r="O12071" t="str">
            <v/>
          </cell>
        </row>
        <row r="12072">
          <cell r="O12072" t="str">
            <v/>
          </cell>
        </row>
        <row r="12073">
          <cell r="O12073" t="str">
            <v/>
          </cell>
        </row>
        <row r="12074">
          <cell r="O12074" t="str">
            <v/>
          </cell>
        </row>
        <row r="12075">
          <cell r="O12075" t="str">
            <v/>
          </cell>
        </row>
        <row r="12076">
          <cell r="O12076" t="str">
            <v/>
          </cell>
        </row>
        <row r="12077">
          <cell r="O12077" t="str">
            <v/>
          </cell>
        </row>
        <row r="12078">
          <cell r="O12078" t="str">
            <v/>
          </cell>
        </row>
        <row r="12079">
          <cell r="O12079" t="str">
            <v/>
          </cell>
        </row>
        <row r="12080">
          <cell r="O12080" t="str">
            <v/>
          </cell>
        </row>
        <row r="12081">
          <cell r="O12081" t="str">
            <v/>
          </cell>
        </row>
        <row r="12082">
          <cell r="O12082" t="str">
            <v/>
          </cell>
        </row>
        <row r="12083">
          <cell r="O12083" t="str">
            <v/>
          </cell>
        </row>
        <row r="12084">
          <cell r="O12084" t="str">
            <v/>
          </cell>
        </row>
        <row r="12085">
          <cell r="O12085" t="str">
            <v/>
          </cell>
        </row>
        <row r="12086">
          <cell r="O12086" t="str">
            <v/>
          </cell>
        </row>
        <row r="12087">
          <cell r="O12087" t="str">
            <v/>
          </cell>
        </row>
        <row r="12088">
          <cell r="O12088" t="str">
            <v/>
          </cell>
        </row>
        <row r="12089">
          <cell r="O12089" t="str">
            <v/>
          </cell>
        </row>
        <row r="12090">
          <cell r="O12090" t="str">
            <v/>
          </cell>
        </row>
        <row r="12091">
          <cell r="O12091" t="str">
            <v/>
          </cell>
        </row>
        <row r="12092">
          <cell r="O12092" t="str">
            <v/>
          </cell>
        </row>
        <row r="12093">
          <cell r="O12093" t="str">
            <v/>
          </cell>
        </row>
        <row r="12094">
          <cell r="O12094" t="str">
            <v/>
          </cell>
        </row>
        <row r="12095">
          <cell r="O12095" t="str">
            <v/>
          </cell>
        </row>
        <row r="12096">
          <cell r="O12096" t="str">
            <v/>
          </cell>
        </row>
        <row r="12097">
          <cell r="O12097" t="str">
            <v/>
          </cell>
        </row>
        <row r="12098">
          <cell r="O12098" t="str">
            <v/>
          </cell>
        </row>
        <row r="12099">
          <cell r="O12099" t="str">
            <v/>
          </cell>
        </row>
        <row r="12100">
          <cell r="O12100" t="str">
            <v/>
          </cell>
        </row>
        <row r="12101">
          <cell r="O12101" t="str">
            <v/>
          </cell>
        </row>
        <row r="12102">
          <cell r="O12102" t="str">
            <v/>
          </cell>
        </row>
        <row r="12103">
          <cell r="O12103" t="str">
            <v/>
          </cell>
        </row>
        <row r="12104">
          <cell r="O12104" t="str">
            <v/>
          </cell>
        </row>
        <row r="12105">
          <cell r="O12105" t="str">
            <v/>
          </cell>
        </row>
        <row r="12106">
          <cell r="O12106" t="str">
            <v/>
          </cell>
        </row>
        <row r="12107">
          <cell r="O12107" t="str">
            <v/>
          </cell>
        </row>
        <row r="12108">
          <cell r="O12108" t="str">
            <v/>
          </cell>
        </row>
        <row r="12109">
          <cell r="O12109" t="str">
            <v/>
          </cell>
        </row>
        <row r="12110">
          <cell r="O12110" t="str">
            <v/>
          </cell>
        </row>
        <row r="12111">
          <cell r="O12111" t="str">
            <v/>
          </cell>
        </row>
        <row r="12112">
          <cell r="O12112" t="str">
            <v/>
          </cell>
        </row>
        <row r="12113">
          <cell r="O12113" t="str">
            <v/>
          </cell>
        </row>
        <row r="12114">
          <cell r="O12114" t="str">
            <v/>
          </cell>
        </row>
        <row r="12115">
          <cell r="O12115" t="str">
            <v/>
          </cell>
        </row>
        <row r="12116">
          <cell r="O12116" t="str">
            <v/>
          </cell>
        </row>
        <row r="12117">
          <cell r="O12117" t="str">
            <v/>
          </cell>
        </row>
        <row r="12118">
          <cell r="O12118" t="str">
            <v/>
          </cell>
        </row>
        <row r="12119">
          <cell r="O12119" t="str">
            <v/>
          </cell>
        </row>
        <row r="12120">
          <cell r="O12120" t="str">
            <v/>
          </cell>
        </row>
        <row r="12121">
          <cell r="O12121" t="str">
            <v/>
          </cell>
        </row>
        <row r="12122">
          <cell r="O12122" t="str">
            <v/>
          </cell>
        </row>
        <row r="12123">
          <cell r="O12123" t="str">
            <v/>
          </cell>
        </row>
        <row r="12124">
          <cell r="O12124" t="str">
            <v/>
          </cell>
        </row>
        <row r="12125">
          <cell r="O12125" t="str">
            <v/>
          </cell>
        </row>
        <row r="12126">
          <cell r="O12126" t="str">
            <v/>
          </cell>
        </row>
        <row r="12127">
          <cell r="O12127" t="str">
            <v/>
          </cell>
        </row>
        <row r="12128">
          <cell r="O12128" t="str">
            <v/>
          </cell>
        </row>
        <row r="12129">
          <cell r="O12129" t="str">
            <v/>
          </cell>
        </row>
        <row r="12130">
          <cell r="O12130" t="str">
            <v/>
          </cell>
        </row>
        <row r="12131">
          <cell r="O12131" t="str">
            <v/>
          </cell>
        </row>
        <row r="12132">
          <cell r="O12132" t="str">
            <v/>
          </cell>
        </row>
        <row r="12133">
          <cell r="O12133" t="str">
            <v/>
          </cell>
        </row>
        <row r="12134">
          <cell r="O12134" t="str">
            <v/>
          </cell>
        </row>
        <row r="12135">
          <cell r="O12135" t="str">
            <v/>
          </cell>
        </row>
        <row r="12136">
          <cell r="O12136" t="str">
            <v/>
          </cell>
        </row>
        <row r="12137">
          <cell r="O12137" t="str">
            <v/>
          </cell>
        </row>
        <row r="12138">
          <cell r="O12138" t="str">
            <v/>
          </cell>
        </row>
        <row r="12139">
          <cell r="O12139" t="str">
            <v/>
          </cell>
        </row>
        <row r="12140">
          <cell r="O12140" t="str">
            <v/>
          </cell>
        </row>
        <row r="12141">
          <cell r="O12141" t="str">
            <v/>
          </cell>
        </row>
        <row r="12142">
          <cell r="O12142" t="str">
            <v/>
          </cell>
        </row>
        <row r="12143">
          <cell r="O12143" t="str">
            <v/>
          </cell>
        </row>
        <row r="12144">
          <cell r="O12144" t="str">
            <v/>
          </cell>
        </row>
        <row r="12145">
          <cell r="O12145" t="str">
            <v/>
          </cell>
        </row>
        <row r="12146">
          <cell r="O12146" t="str">
            <v/>
          </cell>
        </row>
        <row r="12147">
          <cell r="O12147" t="str">
            <v/>
          </cell>
        </row>
        <row r="12148">
          <cell r="O12148" t="str">
            <v/>
          </cell>
        </row>
        <row r="12149">
          <cell r="O12149" t="str">
            <v/>
          </cell>
        </row>
        <row r="12150">
          <cell r="O12150" t="str">
            <v/>
          </cell>
        </row>
        <row r="12151">
          <cell r="O12151" t="str">
            <v/>
          </cell>
        </row>
        <row r="12152">
          <cell r="O12152" t="str">
            <v/>
          </cell>
        </row>
        <row r="12153">
          <cell r="O12153" t="str">
            <v/>
          </cell>
        </row>
        <row r="12154">
          <cell r="O12154" t="str">
            <v/>
          </cell>
        </row>
        <row r="12155">
          <cell r="O12155" t="str">
            <v/>
          </cell>
        </row>
        <row r="12156">
          <cell r="O12156" t="str">
            <v/>
          </cell>
        </row>
        <row r="12157">
          <cell r="O12157" t="str">
            <v/>
          </cell>
        </row>
        <row r="12158">
          <cell r="O12158" t="str">
            <v/>
          </cell>
        </row>
        <row r="12159">
          <cell r="O12159" t="str">
            <v/>
          </cell>
        </row>
        <row r="12160">
          <cell r="O12160" t="str">
            <v/>
          </cell>
        </row>
        <row r="12161">
          <cell r="O12161" t="str">
            <v/>
          </cell>
        </row>
        <row r="12162">
          <cell r="O12162" t="str">
            <v/>
          </cell>
        </row>
        <row r="12163">
          <cell r="O12163" t="str">
            <v/>
          </cell>
        </row>
        <row r="12164">
          <cell r="O12164" t="str">
            <v/>
          </cell>
        </row>
        <row r="12165">
          <cell r="O12165" t="str">
            <v/>
          </cell>
        </row>
        <row r="12166">
          <cell r="O12166" t="str">
            <v/>
          </cell>
        </row>
        <row r="12167">
          <cell r="O12167" t="str">
            <v/>
          </cell>
        </row>
        <row r="12168">
          <cell r="O12168" t="str">
            <v/>
          </cell>
        </row>
        <row r="12169">
          <cell r="O12169" t="str">
            <v/>
          </cell>
        </row>
        <row r="12170">
          <cell r="O12170" t="str">
            <v/>
          </cell>
        </row>
        <row r="12171">
          <cell r="O12171" t="str">
            <v/>
          </cell>
        </row>
        <row r="12172">
          <cell r="O12172" t="str">
            <v/>
          </cell>
        </row>
        <row r="12173">
          <cell r="O12173" t="str">
            <v/>
          </cell>
        </row>
        <row r="12174">
          <cell r="O12174" t="str">
            <v/>
          </cell>
        </row>
        <row r="12175">
          <cell r="O12175" t="str">
            <v/>
          </cell>
        </row>
        <row r="12176">
          <cell r="O12176" t="str">
            <v/>
          </cell>
        </row>
        <row r="12177">
          <cell r="O12177" t="str">
            <v/>
          </cell>
        </row>
        <row r="12178">
          <cell r="O12178" t="str">
            <v/>
          </cell>
        </row>
        <row r="12179">
          <cell r="O12179" t="str">
            <v/>
          </cell>
        </row>
        <row r="12180">
          <cell r="O12180" t="str">
            <v/>
          </cell>
        </row>
        <row r="12181">
          <cell r="O12181" t="str">
            <v/>
          </cell>
        </row>
        <row r="12182">
          <cell r="O12182" t="str">
            <v/>
          </cell>
        </row>
        <row r="12183">
          <cell r="O12183" t="str">
            <v/>
          </cell>
        </row>
        <row r="12184">
          <cell r="O12184" t="str">
            <v/>
          </cell>
        </row>
        <row r="12185">
          <cell r="O12185" t="str">
            <v/>
          </cell>
        </row>
        <row r="12186">
          <cell r="O12186" t="str">
            <v/>
          </cell>
        </row>
        <row r="12187">
          <cell r="O12187" t="str">
            <v/>
          </cell>
        </row>
        <row r="12188">
          <cell r="O12188" t="str">
            <v/>
          </cell>
        </row>
        <row r="12189">
          <cell r="O12189" t="str">
            <v/>
          </cell>
        </row>
        <row r="12190">
          <cell r="O12190" t="str">
            <v/>
          </cell>
        </row>
        <row r="12191">
          <cell r="O12191" t="str">
            <v/>
          </cell>
        </row>
        <row r="12192">
          <cell r="O12192" t="str">
            <v/>
          </cell>
        </row>
        <row r="12193">
          <cell r="O12193" t="str">
            <v/>
          </cell>
        </row>
        <row r="12194">
          <cell r="O12194" t="str">
            <v/>
          </cell>
        </row>
        <row r="12195">
          <cell r="O12195" t="str">
            <v/>
          </cell>
        </row>
        <row r="12196">
          <cell r="O12196" t="str">
            <v/>
          </cell>
        </row>
        <row r="12197">
          <cell r="O12197" t="str">
            <v/>
          </cell>
        </row>
        <row r="12198">
          <cell r="O12198" t="str">
            <v/>
          </cell>
        </row>
        <row r="12199">
          <cell r="O12199" t="str">
            <v/>
          </cell>
        </row>
        <row r="12200">
          <cell r="O12200" t="str">
            <v/>
          </cell>
        </row>
        <row r="12201">
          <cell r="O12201" t="str">
            <v/>
          </cell>
        </row>
        <row r="12202">
          <cell r="O12202" t="str">
            <v/>
          </cell>
        </row>
        <row r="12203">
          <cell r="O12203" t="str">
            <v/>
          </cell>
        </row>
        <row r="12204">
          <cell r="O12204" t="str">
            <v/>
          </cell>
        </row>
        <row r="12205">
          <cell r="O12205" t="str">
            <v/>
          </cell>
        </row>
        <row r="12206">
          <cell r="O12206" t="str">
            <v/>
          </cell>
        </row>
        <row r="12207">
          <cell r="O12207" t="str">
            <v/>
          </cell>
        </row>
        <row r="12208">
          <cell r="O12208" t="str">
            <v/>
          </cell>
        </row>
        <row r="12209">
          <cell r="O12209" t="str">
            <v/>
          </cell>
        </row>
        <row r="12210">
          <cell r="O12210" t="str">
            <v/>
          </cell>
        </row>
        <row r="12211">
          <cell r="O12211" t="str">
            <v/>
          </cell>
        </row>
        <row r="12212">
          <cell r="O12212" t="str">
            <v/>
          </cell>
        </row>
        <row r="12213">
          <cell r="O12213" t="str">
            <v/>
          </cell>
        </row>
        <row r="12214">
          <cell r="O12214" t="str">
            <v/>
          </cell>
        </row>
        <row r="12215">
          <cell r="O12215" t="str">
            <v/>
          </cell>
        </row>
        <row r="12216">
          <cell r="O12216" t="str">
            <v/>
          </cell>
        </row>
        <row r="12217">
          <cell r="O12217" t="str">
            <v/>
          </cell>
        </row>
        <row r="12218">
          <cell r="O12218" t="str">
            <v/>
          </cell>
        </row>
        <row r="12219">
          <cell r="O12219" t="str">
            <v/>
          </cell>
        </row>
        <row r="12220">
          <cell r="O12220" t="str">
            <v/>
          </cell>
        </row>
        <row r="12221">
          <cell r="O12221" t="str">
            <v/>
          </cell>
        </row>
        <row r="12222">
          <cell r="O12222" t="str">
            <v/>
          </cell>
        </row>
        <row r="12223">
          <cell r="O12223" t="str">
            <v/>
          </cell>
        </row>
        <row r="12224">
          <cell r="O12224" t="str">
            <v/>
          </cell>
        </row>
        <row r="12225">
          <cell r="O12225" t="str">
            <v/>
          </cell>
        </row>
        <row r="12226">
          <cell r="O12226" t="str">
            <v/>
          </cell>
        </row>
        <row r="12227">
          <cell r="O12227" t="str">
            <v/>
          </cell>
        </row>
        <row r="12228">
          <cell r="O12228" t="str">
            <v/>
          </cell>
        </row>
        <row r="12229">
          <cell r="O12229" t="str">
            <v/>
          </cell>
        </row>
        <row r="12230">
          <cell r="O12230" t="str">
            <v/>
          </cell>
        </row>
        <row r="12231">
          <cell r="O12231" t="str">
            <v/>
          </cell>
        </row>
        <row r="12232">
          <cell r="O12232" t="str">
            <v/>
          </cell>
        </row>
        <row r="12233">
          <cell r="O12233" t="str">
            <v/>
          </cell>
        </row>
        <row r="12234">
          <cell r="O12234" t="str">
            <v/>
          </cell>
        </row>
        <row r="12235">
          <cell r="O12235" t="str">
            <v/>
          </cell>
        </row>
        <row r="12236">
          <cell r="O12236" t="str">
            <v/>
          </cell>
        </row>
        <row r="12237">
          <cell r="O12237" t="str">
            <v/>
          </cell>
        </row>
        <row r="12238">
          <cell r="O12238" t="str">
            <v/>
          </cell>
        </row>
        <row r="12239">
          <cell r="O12239" t="str">
            <v/>
          </cell>
        </row>
        <row r="12240">
          <cell r="O12240" t="str">
            <v/>
          </cell>
        </row>
        <row r="12241">
          <cell r="O12241" t="str">
            <v/>
          </cell>
        </row>
        <row r="12242">
          <cell r="O12242" t="str">
            <v/>
          </cell>
        </row>
        <row r="12243">
          <cell r="O12243" t="str">
            <v/>
          </cell>
        </row>
        <row r="12244">
          <cell r="O12244" t="str">
            <v/>
          </cell>
        </row>
        <row r="12245">
          <cell r="O12245" t="str">
            <v/>
          </cell>
        </row>
        <row r="12246">
          <cell r="O12246" t="str">
            <v/>
          </cell>
        </row>
        <row r="12247">
          <cell r="O12247" t="str">
            <v/>
          </cell>
        </row>
        <row r="12248">
          <cell r="O12248" t="str">
            <v/>
          </cell>
        </row>
        <row r="12249">
          <cell r="O12249" t="str">
            <v/>
          </cell>
        </row>
        <row r="12250">
          <cell r="O12250" t="str">
            <v/>
          </cell>
        </row>
        <row r="12251">
          <cell r="O12251" t="str">
            <v/>
          </cell>
        </row>
        <row r="12252">
          <cell r="O12252" t="str">
            <v/>
          </cell>
        </row>
        <row r="12253">
          <cell r="O12253" t="str">
            <v/>
          </cell>
        </row>
        <row r="12254">
          <cell r="O12254" t="str">
            <v/>
          </cell>
        </row>
        <row r="12255">
          <cell r="O12255" t="str">
            <v/>
          </cell>
        </row>
        <row r="12256">
          <cell r="O12256" t="str">
            <v/>
          </cell>
        </row>
        <row r="12257">
          <cell r="O12257" t="str">
            <v/>
          </cell>
        </row>
        <row r="12258">
          <cell r="O12258" t="str">
            <v/>
          </cell>
        </row>
        <row r="12259">
          <cell r="O12259" t="str">
            <v/>
          </cell>
        </row>
        <row r="12260">
          <cell r="O12260" t="str">
            <v/>
          </cell>
        </row>
        <row r="12261">
          <cell r="O12261" t="str">
            <v/>
          </cell>
        </row>
        <row r="12262">
          <cell r="O12262" t="str">
            <v/>
          </cell>
        </row>
        <row r="12263">
          <cell r="O12263" t="str">
            <v/>
          </cell>
        </row>
        <row r="12264">
          <cell r="O12264" t="str">
            <v/>
          </cell>
        </row>
        <row r="12265">
          <cell r="O12265" t="str">
            <v/>
          </cell>
        </row>
        <row r="12266">
          <cell r="O12266" t="str">
            <v/>
          </cell>
        </row>
        <row r="12267">
          <cell r="O12267" t="str">
            <v/>
          </cell>
        </row>
        <row r="12268">
          <cell r="O12268" t="str">
            <v/>
          </cell>
        </row>
        <row r="12269">
          <cell r="O12269" t="str">
            <v/>
          </cell>
        </row>
        <row r="12270">
          <cell r="O12270" t="str">
            <v/>
          </cell>
        </row>
        <row r="12271">
          <cell r="O12271" t="str">
            <v/>
          </cell>
        </row>
        <row r="12272">
          <cell r="O12272" t="str">
            <v/>
          </cell>
        </row>
        <row r="12273">
          <cell r="O12273" t="str">
            <v/>
          </cell>
        </row>
        <row r="12274">
          <cell r="O12274" t="str">
            <v/>
          </cell>
        </row>
        <row r="12275">
          <cell r="O12275" t="str">
            <v/>
          </cell>
        </row>
        <row r="12276">
          <cell r="O12276" t="str">
            <v/>
          </cell>
        </row>
        <row r="12277">
          <cell r="O12277" t="str">
            <v/>
          </cell>
        </row>
        <row r="12278">
          <cell r="O12278" t="str">
            <v/>
          </cell>
        </row>
        <row r="12279">
          <cell r="O12279" t="str">
            <v/>
          </cell>
        </row>
        <row r="12280">
          <cell r="O12280" t="str">
            <v/>
          </cell>
        </row>
        <row r="12281">
          <cell r="O12281" t="str">
            <v/>
          </cell>
        </row>
        <row r="12282">
          <cell r="O12282" t="str">
            <v/>
          </cell>
        </row>
        <row r="12283">
          <cell r="O12283" t="str">
            <v/>
          </cell>
        </row>
        <row r="12284">
          <cell r="O12284" t="str">
            <v/>
          </cell>
        </row>
        <row r="12285">
          <cell r="O12285" t="str">
            <v/>
          </cell>
        </row>
        <row r="12286">
          <cell r="O12286" t="str">
            <v/>
          </cell>
        </row>
        <row r="12287">
          <cell r="O12287" t="str">
            <v/>
          </cell>
        </row>
        <row r="12288">
          <cell r="O12288" t="str">
            <v/>
          </cell>
        </row>
        <row r="12289">
          <cell r="O12289" t="str">
            <v/>
          </cell>
        </row>
        <row r="12290">
          <cell r="O12290" t="str">
            <v/>
          </cell>
        </row>
        <row r="12291">
          <cell r="O12291" t="str">
            <v/>
          </cell>
        </row>
        <row r="12292">
          <cell r="O12292" t="str">
            <v/>
          </cell>
        </row>
        <row r="12293">
          <cell r="O12293" t="str">
            <v/>
          </cell>
        </row>
        <row r="12294">
          <cell r="O12294" t="str">
            <v/>
          </cell>
        </row>
        <row r="12295">
          <cell r="O12295" t="str">
            <v/>
          </cell>
        </row>
        <row r="12296">
          <cell r="O12296" t="str">
            <v/>
          </cell>
        </row>
        <row r="12297">
          <cell r="O12297" t="str">
            <v/>
          </cell>
        </row>
        <row r="12298">
          <cell r="O12298" t="str">
            <v/>
          </cell>
        </row>
        <row r="12299">
          <cell r="O12299" t="str">
            <v/>
          </cell>
        </row>
        <row r="12300">
          <cell r="O12300" t="str">
            <v/>
          </cell>
        </row>
        <row r="12301">
          <cell r="O12301" t="str">
            <v/>
          </cell>
        </row>
        <row r="12302">
          <cell r="O12302" t="str">
            <v/>
          </cell>
        </row>
        <row r="12303">
          <cell r="O12303" t="str">
            <v/>
          </cell>
        </row>
        <row r="12304">
          <cell r="O12304" t="str">
            <v/>
          </cell>
        </row>
        <row r="12305">
          <cell r="O12305" t="str">
            <v/>
          </cell>
        </row>
        <row r="12306">
          <cell r="O12306" t="str">
            <v/>
          </cell>
        </row>
        <row r="12307">
          <cell r="O12307" t="str">
            <v/>
          </cell>
        </row>
        <row r="12308">
          <cell r="O12308" t="str">
            <v/>
          </cell>
        </row>
        <row r="12309">
          <cell r="O12309" t="str">
            <v/>
          </cell>
        </row>
        <row r="12310">
          <cell r="O12310" t="str">
            <v/>
          </cell>
        </row>
        <row r="12311">
          <cell r="O12311" t="str">
            <v/>
          </cell>
        </row>
        <row r="12312">
          <cell r="O12312" t="str">
            <v/>
          </cell>
        </row>
        <row r="12313">
          <cell r="O12313" t="str">
            <v/>
          </cell>
        </row>
        <row r="12314">
          <cell r="O12314" t="str">
            <v/>
          </cell>
        </row>
        <row r="12315">
          <cell r="O12315" t="str">
            <v/>
          </cell>
        </row>
        <row r="12316">
          <cell r="O12316" t="str">
            <v/>
          </cell>
        </row>
        <row r="12317">
          <cell r="O12317" t="str">
            <v/>
          </cell>
        </row>
        <row r="12318">
          <cell r="O12318" t="str">
            <v/>
          </cell>
        </row>
        <row r="12319">
          <cell r="O12319" t="str">
            <v/>
          </cell>
        </row>
        <row r="12320">
          <cell r="O12320" t="str">
            <v/>
          </cell>
        </row>
        <row r="12321">
          <cell r="O12321" t="str">
            <v/>
          </cell>
        </row>
        <row r="12322">
          <cell r="O12322" t="str">
            <v/>
          </cell>
        </row>
        <row r="12323">
          <cell r="O12323" t="str">
            <v/>
          </cell>
        </row>
        <row r="12324">
          <cell r="O12324" t="str">
            <v/>
          </cell>
        </row>
        <row r="12325">
          <cell r="O12325" t="str">
            <v/>
          </cell>
        </row>
        <row r="12326">
          <cell r="O12326" t="str">
            <v/>
          </cell>
        </row>
        <row r="12327">
          <cell r="O12327" t="str">
            <v/>
          </cell>
        </row>
        <row r="12328">
          <cell r="O12328" t="str">
            <v/>
          </cell>
        </row>
        <row r="12329">
          <cell r="O12329" t="str">
            <v/>
          </cell>
        </row>
        <row r="12330">
          <cell r="O12330" t="str">
            <v/>
          </cell>
        </row>
        <row r="12331">
          <cell r="O12331" t="str">
            <v/>
          </cell>
        </row>
        <row r="12332">
          <cell r="O12332" t="str">
            <v/>
          </cell>
        </row>
        <row r="12333">
          <cell r="O12333" t="str">
            <v/>
          </cell>
        </row>
        <row r="12334">
          <cell r="O12334" t="str">
            <v/>
          </cell>
        </row>
        <row r="12335">
          <cell r="O12335" t="str">
            <v/>
          </cell>
        </row>
        <row r="12336">
          <cell r="O12336" t="str">
            <v/>
          </cell>
        </row>
        <row r="12337">
          <cell r="O12337" t="str">
            <v/>
          </cell>
        </row>
        <row r="12338">
          <cell r="O12338" t="str">
            <v/>
          </cell>
        </row>
        <row r="12339">
          <cell r="O12339" t="str">
            <v/>
          </cell>
        </row>
        <row r="12340">
          <cell r="O12340" t="str">
            <v/>
          </cell>
        </row>
        <row r="12341">
          <cell r="O12341" t="str">
            <v/>
          </cell>
        </row>
        <row r="12342">
          <cell r="O12342" t="str">
            <v/>
          </cell>
        </row>
        <row r="12343">
          <cell r="O12343" t="str">
            <v/>
          </cell>
        </row>
        <row r="12344">
          <cell r="O12344" t="str">
            <v/>
          </cell>
        </row>
        <row r="12345">
          <cell r="O12345" t="str">
            <v/>
          </cell>
        </row>
        <row r="12346">
          <cell r="O12346" t="str">
            <v/>
          </cell>
        </row>
        <row r="12347">
          <cell r="O12347" t="str">
            <v/>
          </cell>
        </row>
        <row r="12348">
          <cell r="O12348" t="str">
            <v/>
          </cell>
        </row>
        <row r="12349">
          <cell r="O12349" t="str">
            <v/>
          </cell>
        </row>
        <row r="12350">
          <cell r="O12350" t="str">
            <v/>
          </cell>
        </row>
        <row r="12351">
          <cell r="O12351" t="str">
            <v/>
          </cell>
        </row>
        <row r="12352">
          <cell r="O12352" t="str">
            <v/>
          </cell>
        </row>
        <row r="12353">
          <cell r="O12353" t="str">
            <v/>
          </cell>
        </row>
        <row r="12354">
          <cell r="O12354" t="str">
            <v/>
          </cell>
        </row>
        <row r="12355">
          <cell r="O12355" t="str">
            <v/>
          </cell>
        </row>
        <row r="12356">
          <cell r="O12356" t="str">
            <v/>
          </cell>
        </row>
        <row r="12357">
          <cell r="O12357" t="str">
            <v/>
          </cell>
        </row>
        <row r="12358">
          <cell r="O12358" t="str">
            <v/>
          </cell>
        </row>
        <row r="12359">
          <cell r="O12359" t="str">
            <v/>
          </cell>
        </row>
        <row r="12360">
          <cell r="O12360" t="str">
            <v/>
          </cell>
        </row>
        <row r="12361">
          <cell r="O12361" t="str">
            <v/>
          </cell>
        </row>
        <row r="12362">
          <cell r="O12362" t="str">
            <v/>
          </cell>
        </row>
        <row r="12363">
          <cell r="O12363" t="str">
            <v/>
          </cell>
        </row>
        <row r="12364">
          <cell r="O12364" t="str">
            <v/>
          </cell>
        </row>
        <row r="12365">
          <cell r="O12365" t="str">
            <v/>
          </cell>
        </row>
        <row r="12366">
          <cell r="O12366" t="str">
            <v/>
          </cell>
        </row>
        <row r="12367">
          <cell r="O12367" t="str">
            <v/>
          </cell>
        </row>
        <row r="12368">
          <cell r="O12368" t="str">
            <v/>
          </cell>
        </row>
        <row r="12369">
          <cell r="O12369" t="str">
            <v/>
          </cell>
        </row>
        <row r="12370">
          <cell r="O12370" t="str">
            <v/>
          </cell>
        </row>
        <row r="12371">
          <cell r="O12371" t="str">
            <v/>
          </cell>
        </row>
        <row r="12372">
          <cell r="O12372" t="str">
            <v/>
          </cell>
        </row>
        <row r="12373">
          <cell r="O12373" t="str">
            <v/>
          </cell>
        </row>
        <row r="12374">
          <cell r="O12374" t="str">
            <v/>
          </cell>
        </row>
        <row r="12375">
          <cell r="O12375" t="str">
            <v/>
          </cell>
        </row>
        <row r="12376">
          <cell r="O12376" t="str">
            <v/>
          </cell>
        </row>
        <row r="12377">
          <cell r="O12377" t="str">
            <v/>
          </cell>
        </row>
        <row r="12378">
          <cell r="O12378" t="str">
            <v/>
          </cell>
        </row>
        <row r="12379">
          <cell r="O12379" t="str">
            <v/>
          </cell>
        </row>
        <row r="12380">
          <cell r="O12380" t="str">
            <v/>
          </cell>
        </row>
        <row r="12381">
          <cell r="O12381" t="str">
            <v/>
          </cell>
        </row>
        <row r="12382">
          <cell r="O12382" t="str">
            <v/>
          </cell>
        </row>
        <row r="12383">
          <cell r="O12383" t="str">
            <v/>
          </cell>
        </row>
        <row r="12384">
          <cell r="O12384" t="str">
            <v/>
          </cell>
        </row>
        <row r="12385">
          <cell r="O12385" t="str">
            <v/>
          </cell>
        </row>
        <row r="12386">
          <cell r="O12386" t="str">
            <v/>
          </cell>
        </row>
        <row r="12387">
          <cell r="O12387" t="str">
            <v/>
          </cell>
        </row>
        <row r="12388">
          <cell r="O12388" t="str">
            <v/>
          </cell>
        </row>
        <row r="12389">
          <cell r="O12389" t="str">
            <v/>
          </cell>
        </row>
        <row r="12390">
          <cell r="O12390" t="str">
            <v/>
          </cell>
        </row>
        <row r="12391">
          <cell r="O12391" t="str">
            <v/>
          </cell>
        </row>
        <row r="12392">
          <cell r="O12392" t="str">
            <v/>
          </cell>
        </row>
        <row r="12393">
          <cell r="O12393" t="str">
            <v/>
          </cell>
        </row>
        <row r="12394">
          <cell r="O12394" t="str">
            <v/>
          </cell>
        </row>
        <row r="12395">
          <cell r="O12395" t="str">
            <v/>
          </cell>
        </row>
        <row r="12396">
          <cell r="O12396" t="str">
            <v/>
          </cell>
        </row>
        <row r="12397">
          <cell r="O12397" t="str">
            <v/>
          </cell>
        </row>
        <row r="12398">
          <cell r="O12398" t="str">
            <v/>
          </cell>
        </row>
        <row r="12399">
          <cell r="O12399" t="str">
            <v/>
          </cell>
        </row>
        <row r="12400">
          <cell r="O12400" t="str">
            <v/>
          </cell>
        </row>
        <row r="12401">
          <cell r="O12401" t="str">
            <v/>
          </cell>
        </row>
        <row r="12402">
          <cell r="O12402" t="str">
            <v/>
          </cell>
        </row>
        <row r="12403">
          <cell r="O12403" t="str">
            <v/>
          </cell>
        </row>
        <row r="12404">
          <cell r="O12404" t="str">
            <v/>
          </cell>
        </row>
        <row r="12405">
          <cell r="O12405" t="str">
            <v/>
          </cell>
        </row>
        <row r="12406">
          <cell r="O12406" t="str">
            <v/>
          </cell>
        </row>
        <row r="12407">
          <cell r="O12407" t="str">
            <v/>
          </cell>
        </row>
        <row r="12408">
          <cell r="O12408" t="str">
            <v/>
          </cell>
        </row>
        <row r="12409">
          <cell r="O12409" t="str">
            <v/>
          </cell>
        </row>
        <row r="12410">
          <cell r="O12410" t="str">
            <v/>
          </cell>
        </row>
        <row r="12411">
          <cell r="O12411" t="str">
            <v/>
          </cell>
        </row>
        <row r="12412">
          <cell r="O12412" t="str">
            <v/>
          </cell>
        </row>
        <row r="12413">
          <cell r="O12413" t="str">
            <v/>
          </cell>
        </row>
        <row r="12414">
          <cell r="O12414" t="str">
            <v/>
          </cell>
        </row>
        <row r="12415">
          <cell r="O12415" t="str">
            <v/>
          </cell>
        </row>
        <row r="12416">
          <cell r="O12416" t="str">
            <v/>
          </cell>
        </row>
        <row r="12417">
          <cell r="O12417" t="str">
            <v/>
          </cell>
        </row>
        <row r="12418">
          <cell r="O12418" t="str">
            <v/>
          </cell>
        </row>
        <row r="12419">
          <cell r="O12419" t="str">
            <v/>
          </cell>
        </row>
        <row r="12420">
          <cell r="O12420" t="str">
            <v/>
          </cell>
        </row>
        <row r="12421">
          <cell r="O12421" t="str">
            <v/>
          </cell>
        </row>
        <row r="12422">
          <cell r="O12422" t="str">
            <v/>
          </cell>
        </row>
        <row r="12423">
          <cell r="O12423" t="str">
            <v/>
          </cell>
        </row>
        <row r="12424">
          <cell r="O12424" t="str">
            <v/>
          </cell>
        </row>
        <row r="12425">
          <cell r="O12425" t="str">
            <v/>
          </cell>
        </row>
        <row r="12426">
          <cell r="O12426" t="str">
            <v/>
          </cell>
        </row>
        <row r="12427">
          <cell r="O12427" t="str">
            <v/>
          </cell>
        </row>
        <row r="12428">
          <cell r="O12428" t="str">
            <v/>
          </cell>
        </row>
        <row r="12429">
          <cell r="O12429" t="str">
            <v/>
          </cell>
        </row>
        <row r="12430">
          <cell r="O12430" t="str">
            <v/>
          </cell>
        </row>
        <row r="12431">
          <cell r="O12431" t="str">
            <v/>
          </cell>
        </row>
        <row r="12432">
          <cell r="O12432" t="str">
            <v/>
          </cell>
        </row>
        <row r="12433">
          <cell r="O12433" t="str">
            <v/>
          </cell>
        </row>
        <row r="12434">
          <cell r="O12434" t="str">
            <v/>
          </cell>
        </row>
        <row r="12435">
          <cell r="O12435" t="str">
            <v/>
          </cell>
        </row>
        <row r="12436">
          <cell r="O12436" t="str">
            <v/>
          </cell>
        </row>
        <row r="12437">
          <cell r="O12437" t="str">
            <v/>
          </cell>
        </row>
        <row r="12438">
          <cell r="O12438" t="str">
            <v/>
          </cell>
        </row>
        <row r="12439">
          <cell r="O12439" t="str">
            <v/>
          </cell>
        </row>
        <row r="12440">
          <cell r="O12440" t="str">
            <v/>
          </cell>
        </row>
        <row r="12441">
          <cell r="O12441" t="str">
            <v/>
          </cell>
        </row>
        <row r="12442">
          <cell r="O12442" t="str">
            <v/>
          </cell>
        </row>
        <row r="12443">
          <cell r="O12443" t="str">
            <v/>
          </cell>
        </row>
        <row r="12444">
          <cell r="O12444" t="str">
            <v/>
          </cell>
        </row>
        <row r="12445">
          <cell r="O12445" t="str">
            <v/>
          </cell>
        </row>
        <row r="12446">
          <cell r="O12446" t="str">
            <v/>
          </cell>
        </row>
        <row r="12447">
          <cell r="O12447" t="str">
            <v/>
          </cell>
        </row>
        <row r="12448">
          <cell r="O12448" t="str">
            <v/>
          </cell>
        </row>
        <row r="12449">
          <cell r="O12449" t="str">
            <v/>
          </cell>
        </row>
        <row r="12450">
          <cell r="O12450" t="str">
            <v/>
          </cell>
        </row>
        <row r="12451">
          <cell r="O12451" t="str">
            <v/>
          </cell>
        </row>
        <row r="12452">
          <cell r="O12452" t="str">
            <v/>
          </cell>
        </row>
        <row r="12453">
          <cell r="O12453" t="str">
            <v/>
          </cell>
        </row>
        <row r="12454">
          <cell r="O12454" t="str">
            <v/>
          </cell>
        </row>
        <row r="12455">
          <cell r="O12455" t="str">
            <v/>
          </cell>
        </row>
        <row r="12456">
          <cell r="O12456" t="str">
            <v/>
          </cell>
        </row>
        <row r="12457">
          <cell r="O12457" t="str">
            <v/>
          </cell>
        </row>
        <row r="12458">
          <cell r="O12458" t="str">
            <v/>
          </cell>
        </row>
        <row r="12459">
          <cell r="O12459" t="str">
            <v/>
          </cell>
        </row>
        <row r="12460">
          <cell r="O12460" t="str">
            <v/>
          </cell>
        </row>
        <row r="12461">
          <cell r="O12461" t="str">
            <v/>
          </cell>
        </row>
        <row r="12462">
          <cell r="O12462" t="str">
            <v/>
          </cell>
        </row>
        <row r="12463">
          <cell r="O12463" t="str">
            <v/>
          </cell>
        </row>
        <row r="12464">
          <cell r="O12464" t="str">
            <v/>
          </cell>
        </row>
        <row r="12465">
          <cell r="O12465" t="str">
            <v/>
          </cell>
        </row>
        <row r="12466">
          <cell r="O12466" t="str">
            <v/>
          </cell>
        </row>
        <row r="12467">
          <cell r="O12467" t="str">
            <v/>
          </cell>
        </row>
        <row r="12468">
          <cell r="O12468" t="str">
            <v/>
          </cell>
        </row>
        <row r="12469">
          <cell r="O12469" t="str">
            <v/>
          </cell>
        </row>
        <row r="12470">
          <cell r="O12470" t="str">
            <v/>
          </cell>
        </row>
        <row r="12471">
          <cell r="O12471" t="str">
            <v/>
          </cell>
        </row>
        <row r="12472">
          <cell r="O12472" t="str">
            <v/>
          </cell>
        </row>
        <row r="12473">
          <cell r="O12473" t="str">
            <v/>
          </cell>
        </row>
        <row r="12474">
          <cell r="O12474" t="str">
            <v/>
          </cell>
        </row>
        <row r="12475">
          <cell r="O12475" t="str">
            <v/>
          </cell>
        </row>
        <row r="12476">
          <cell r="O12476" t="str">
            <v/>
          </cell>
        </row>
        <row r="12477">
          <cell r="O12477" t="str">
            <v/>
          </cell>
        </row>
        <row r="12478">
          <cell r="O12478" t="str">
            <v/>
          </cell>
        </row>
        <row r="12479">
          <cell r="O12479" t="str">
            <v/>
          </cell>
        </row>
        <row r="12480">
          <cell r="O12480" t="str">
            <v/>
          </cell>
        </row>
        <row r="12481">
          <cell r="O12481" t="str">
            <v/>
          </cell>
        </row>
        <row r="12482">
          <cell r="O12482" t="str">
            <v/>
          </cell>
        </row>
        <row r="12483">
          <cell r="O12483" t="str">
            <v/>
          </cell>
        </row>
        <row r="12484">
          <cell r="O12484" t="str">
            <v/>
          </cell>
        </row>
        <row r="12485">
          <cell r="O12485" t="str">
            <v/>
          </cell>
        </row>
        <row r="12486">
          <cell r="O12486" t="str">
            <v/>
          </cell>
        </row>
        <row r="12487">
          <cell r="O12487" t="str">
            <v/>
          </cell>
        </row>
        <row r="12488">
          <cell r="O12488" t="str">
            <v/>
          </cell>
        </row>
        <row r="12489">
          <cell r="O12489" t="str">
            <v/>
          </cell>
        </row>
        <row r="12490">
          <cell r="O12490" t="str">
            <v/>
          </cell>
        </row>
        <row r="12491">
          <cell r="O12491" t="str">
            <v/>
          </cell>
        </row>
        <row r="12492">
          <cell r="O12492" t="str">
            <v/>
          </cell>
        </row>
        <row r="12493">
          <cell r="O12493" t="str">
            <v/>
          </cell>
        </row>
        <row r="12494">
          <cell r="O12494" t="str">
            <v/>
          </cell>
        </row>
        <row r="12495">
          <cell r="O12495" t="str">
            <v/>
          </cell>
        </row>
        <row r="12496">
          <cell r="O12496" t="str">
            <v/>
          </cell>
        </row>
        <row r="12497">
          <cell r="O12497" t="str">
            <v/>
          </cell>
        </row>
        <row r="12498">
          <cell r="O12498" t="str">
            <v/>
          </cell>
        </row>
        <row r="12499">
          <cell r="O12499" t="str">
            <v/>
          </cell>
        </row>
        <row r="12500">
          <cell r="O12500" t="str">
            <v/>
          </cell>
        </row>
        <row r="12501">
          <cell r="O12501" t="str">
            <v/>
          </cell>
        </row>
        <row r="12502">
          <cell r="O12502" t="str">
            <v/>
          </cell>
        </row>
        <row r="12503">
          <cell r="O12503" t="str">
            <v/>
          </cell>
        </row>
        <row r="12504">
          <cell r="O12504" t="str">
            <v/>
          </cell>
        </row>
        <row r="12505">
          <cell r="O12505" t="str">
            <v/>
          </cell>
        </row>
        <row r="12506">
          <cell r="O12506" t="str">
            <v/>
          </cell>
        </row>
        <row r="12507">
          <cell r="O12507" t="str">
            <v/>
          </cell>
        </row>
        <row r="12508">
          <cell r="O12508" t="str">
            <v/>
          </cell>
        </row>
        <row r="12509">
          <cell r="O12509" t="str">
            <v/>
          </cell>
        </row>
        <row r="12510">
          <cell r="O12510" t="str">
            <v/>
          </cell>
        </row>
        <row r="12511">
          <cell r="O12511" t="str">
            <v/>
          </cell>
        </row>
        <row r="12512">
          <cell r="O12512" t="str">
            <v/>
          </cell>
        </row>
        <row r="12513">
          <cell r="O12513" t="str">
            <v/>
          </cell>
        </row>
        <row r="12514">
          <cell r="O12514" t="str">
            <v/>
          </cell>
        </row>
        <row r="12515">
          <cell r="O12515" t="str">
            <v/>
          </cell>
        </row>
        <row r="12516">
          <cell r="O12516" t="str">
            <v/>
          </cell>
        </row>
        <row r="12517">
          <cell r="O12517" t="str">
            <v/>
          </cell>
        </row>
        <row r="12518">
          <cell r="O12518" t="str">
            <v/>
          </cell>
        </row>
        <row r="12519">
          <cell r="O12519" t="str">
            <v/>
          </cell>
        </row>
        <row r="12520">
          <cell r="O12520" t="str">
            <v/>
          </cell>
        </row>
        <row r="12521">
          <cell r="O12521" t="str">
            <v/>
          </cell>
        </row>
        <row r="12522">
          <cell r="O12522" t="str">
            <v/>
          </cell>
        </row>
        <row r="12523">
          <cell r="O12523" t="str">
            <v/>
          </cell>
        </row>
        <row r="12524">
          <cell r="O12524" t="str">
            <v/>
          </cell>
        </row>
        <row r="12525">
          <cell r="O12525" t="str">
            <v/>
          </cell>
        </row>
        <row r="12526">
          <cell r="O12526" t="str">
            <v/>
          </cell>
        </row>
        <row r="12527">
          <cell r="O12527" t="str">
            <v/>
          </cell>
        </row>
        <row r="12528">
          <cell r="O12528" t="str">
            <v/>
          </cell>
        </row>
        <row r="12529">
          <cell r="O12529" t="str">
            <v/>
          </cell>
        </row>
        <row r="12530">
          <cell r="O12530" t="str">
            <v/>
          </cell>
        </row>
        <row r="12531">
          <cell r="O12531" t="str">
            <v/>
          </cell>
        </row>
        <row r="12532">
          <cell r="O12532" t="str">
            <v/>
          </cell>
        </row>
        <row r="12533">
          <cell r="O12533" t="str">
            <v/>
          </cell>
        </row>
        <row r="12534">
          <cell r="O12534" t="str">
            <v/>
          </cell>
        </row>
        <row r="12535">
          <cell r="O12535" t="str">
            <v/>
          </cell>
        </row>
        <row r="12536">
          <cell r="O12536" t="str">
            <v/>
          </cell>
        </row>
        <row r="12537">
          <cell r="O12537" t="str">
            <v/>
          </cell>
        </row>
        <row r="12538">
          <cell r="O12538" t="str">
            <v/>
          </cell>
        </row>
        <row r="12539">
          <cell r="O12539" t="str">
            <v/>
          </cell>
        </row>
        <row r="12540">
          <cell r="O12540" t="str">
            <v/>
          </cell>
        </row>
        <row r="12541">
          <cell r="O12541" t="str">
            <v/>
          </cell>
        </row>
        <row r="12542">
          <cell r="O12542" t="str">
            <v/>
          </cell>
        </row>
        <row r="12543">
          <cell r="O12543" t="str">
            <v/>
          </cell>
        </row>
        <row r="12544">
          <cell r="O12544" t="str">
            <v/>
          </cell>
        </row>
        <row r="12545">
          <cell r="O12545" t="str">
            <v/>
          </cell>
        </row>
        <row r="12546">
          <cell r="O12546" t="str">
            <v/>
          </cell>
        </row>
        <row r="12547">
          <cell r="O12547" t="str">
            <v/>
          </cell>
        </row>
        <row r="12548">
          <cell r="O12548" t="str">
            <v/>
          </cell>
        </row>
        <row r="12549">
          <cell r="O12549" t="str">
            <v/>
          </cell>
        </row>
        <row r="12550">
          <cell r="O12550" t="str">
            <v/>
          </cell>
        </row>
        <row r="12551">
          <cell r="O12551" t="str">
            <v/>
          </cell>
        </row>
        <row r="12552">
          <cell r="O12552" t="str">
            <v/>
          </cell>
        </row>
        <row r="12553">
          <cell r="O12553" t="str">
            <v/>
          </cell>
        </row>
        <row r="12554">
          <cell r="O12554" t="str">
            <v/>
          </cell>
        </row>
        <row r="12555">
          <cell r="O12555" t="str">
            <v/>
          </cell>
        </row>
        <row r="12556">
          <cell r="O12556" t="str">
            <v/>
          </cell>
        </row>
        <row r="12557">
          <cell r="O12557" t="str">
            <v/>
          </cell>
        </row>
        <row r="12558">
          <cell r="O12558" t="str">
            <v/>
          </cell>
        </row>
        <row r="12559">
          <cell r="O12559" t="str">
            <v/>
          </cell>
        </row>
        <row r="12560">
          <cell r="O12560" t="str">
            <v/>
          </cell>
        </row>
        <row r="12561">
          <cell r="O12561" t="str">
            <v/>
          </cell>
        </row>
        <row r="12562">
          <cell r="O12562" t="str">
            <v/>
          </cell>
        </row>
        <row r="12563">
          <cell r="O12563" t="str">
            <v/>
          </cell>
        </row>
        <row r="12564">
          <cell r="O12564" t="str">
            <v/>
          </cell>
        </row>
        <row r="12565">
          <cell r="O12565" t="str">
            <v/>
          </cell>
        </row>
        <row r="12566">
          <cell r="O12566" t="str">
            <v/>
          </cell>
        </row>
        <row r="12567">
          <cell r="O12567" t="str">
            <v/>
          </cell>
        </row>
        <row r="12568">
          <cell r="O12568" t="str">
            <v/>
          </cell>
        </row>
        <row r="12569">
          <cell r="O12569" t="str">
            <v/>
          </cell>
        </row>
        <row r="12570">
          <cell r="O12570" t="str">
            <v/>
          </cell>
        </row>
        <row r="12571">
          <cell r="O12571" t="str">
            <v/>
          </cell>
        </row>
        <row r="12572">
          <cell r="O12572" t="str">
            <v/>
          </cell>
        </row>
        <row r="12573">
          <cell r="O12573" t="str">
            <v/>
          </cell>
        </row>
        <row r="12574">
          <cell r="O12574" t="str">
            <v/>
          </cell>
        </row>
        <row r="12575">
          <cell r="O12575" t="str">
            <v/>
          </cell>
        </row>
        <row r="12576">
          <cell r="O12576" t="str">
            <v/>
          </cell>
        </row>
        <row r="12577">
          <cell r="O12577" t="str">
            <v/>
          </cell>
        </row>
        <row r="12578">
          <cell r="O12578" t="str">
            <v/>
          </cell>
        </row>
        <row r="12579">
          <cell r="O12579" t="str">
            <v/>
          </cell>
        </row>
        <row r="12580">
          <cell r="O12580" t="str">
            <v/>
          </cell>
        </row>
        <row r="12581">
          <cell r="O12581" t="str">
            <v/>
          </cell>
        </row>
        <row r="12582">
          <cell r="O12582" t="str">
            <v/>
          </cell>
        </row>
        <row r="12583">
          <cell r="O12583" t="str">
            <v/>
          </cell>
        </row>
        <row r="12584">
          <cell r="O12584" t="str">
            <v/>
          </cell>
        </row>
        <row r="12585">
          <cell r="O12585" t="str">
            <v/>
          </cell>
        </row>
        <row r="12586">
          <cell r="O12586" t="str">
            <v/>
          </cell>
        </row>
        <row r="12587">
          <cell r="O12587" t="str">
            <v/>
          </cell>
        </row>
        <row r="12588">
          <cell r="O12588" t="str">
            <v/>
          </cell>
        </row>
        <row r="12589">
          <cell r="O12589" t="str">
            <v/>
          </cell>
        </row>
        <row r="12590">
          <cell r="O12590" t="str">
            <v/>
          </cell>
        </row>
        <row r="12591">
          <cell r="O12591" t="str">
            <v/>
          </cell>
        </row>
        <row r="12592">
          <cell r="O12592" t="str">
            <v/>
          </cell>
        </row>
        <row r="12593">
          <cell r="O12593" t="str">
            <v/>
          </cell>
        </row>
        <row r="12594">
          <cell r="O12594" t="str">
            <v/>
          </cell>
        </row>
        <row r="12595">
          <cell r="O12595" t="str">
            <v/>
          </cell>
        </row>
        <row r="12596">
          <cell r="O12596" t="str">
            <v/>
          </cell>
        </row>
        <row r="12597">
          <cell r="O12597" t="str">
            <v/>
          </cell>
        </row>
        <row r="12598">
          <cell r="O12598" t="str">
            <v/>
          </cell>
        </row>
        <row r="12599">
          <cell r="O12599" t="str">
            <v/>
          </cell>
        </row>
        <row r="12600">
          <cell r="O12600" t="str">
            <v/>
          </cell>
        </row>
        <row r="12601">
          <cell r="O12601" t="str">
            <v/>
          </cell>
        </row>
        <row r="12602">
          <cell r="O12602" t="str">
            <v/>
          </cell>
        </row>
        <row r="12603">
          <cell r="O12603" t="str">
            <v/>
          </cell>
        </row>
        <row r="12604">
          <cell r="O12604" t="str">
            <v/>
          </cell>
        </row>
        <row r="12605">
          <cell r="O12605" t="str">
            <v/>
          </cell>
        </row>
        <row r="12606">
          <cell r="O12606" t="str">
            <v/>
          </cell>
        </row>
        <row r="12607">
          <cell r="O12607" t="str">
            <v/>
          </cell>
        </row>
        <row r="12608">
          <cell r="O12608" t="str">
            <v/>
          </cell>
        </row>
        <row r="12609">
          <cell r="O12609" t="str">
            <v/>
          </cell>
        </row>
        <row r="12610">
          <cell r="O12610" t="str">
            <v/>
          </cell>
        </row>
        <row r="12611">
          <cell r="O12611" t="str">
            <v/>
          </cell>
        </row>
        <row r="12612">
          <cell r="O12612" t="str">
            <v/>
          </cell>
        </row>
        <row r="12613">
          <cell r="O12613" t="str">
            <v/>
          </cell>
        </row>
        <row r="12614">
          <cell r="O12614" t="str">
            <v/>
          </cell>
        </row>
        <row r="12615">
          <cell r="O12615" t="str">
            <v/>
          </cell>
        </row>
        <row r="12616">
          <cell r="O12616" t="str">
            <v/>
          </cell>
        </row>
        <row r="12617">
          <cell r="O12617" t="str">
            <v/>
          </cell>
        </row>
        <row r="12618">
          <cell r="O12618" t="str">
            <v/>
          </cell>
        </row>
        <row r="12619">
          <cell r="O12619" t="str">
            <v/>
          </cell>
        </row>
        <row r="12620">
          <cell r="O12620" t="str">
            <v/>
          </cell>
        </row>
        <row r="12621">
          <cell r="O12621" t="str">
            <v/>
          </cell>
        </row>
        <row r="12622">
          <cell r="O12622" t="str">
            <v/>
          </cell>
        </row>
        <row r="12623">
          <cell r="O12623" t="str">
            <v/>
          </cell>
        </row>
        <row r="12624">
          <cell r="O12624" t="str">
            <v/>
          </cell>
        </row>
        <row r="12625">
          <cell r="O12625" t="str">
            <v/>
          </cell>
        </row>
        <row r="12626">
          <cell r="O12626" t="str">
            <v/>
          </cell>
        </row>
        <row r="12627">
          <cell r="O12627" t="str">
            <v/>
          </cell>
        </row>
        <row r="12628">
          <cell r="O12628" t="str">
            <v/>
          </cell>
        </row>
        <row r="12629">
          <cell r="O12629" t="str">
            <v/>
          </cell>
        </row>
        <row r="12630">
          <cell r="O12630" t="str">
            <v/>
          </cell>
        </row>
        <row r="12631">
          <cell r="O12631" t="str">
            <v/>
          </cell>
        </row>
        <row r="12632">
          <cell r="O12632" t="str">
            <v/>
          </cell>
        </row>
        <row r="12633">
          <cell r="O12633" t="str">
            <v/>
          </cell>
        </row>
        <row r="12634">
          <cell r="O12634" t="str">
            <v/>
          </cell>
        </row>
        <row r="12635">
          <cell r="O12635" t="str">
            <v/>
          </cell>
        </row>
        <row r="12636">
          <cell r="O12636" t="str">
            <v/>
          </cell>
        </row>
        <row r="12637">
          <cell r="O12637" t="str">
            <v/>
          </cell>
        </row>
        <row r="12638">
          <cell r="O12638" t="str">
            <v/>
          </cell>
        </row>
        <row r="12639">
          <cell r="O12639" t="str">
            <v/>
          </cell>
        </row>
        <row r="12640">
          <cell r="O12640" t="str">
            <v/>
          </cell>
        </row>
        <row r="12641">
          <cell r="O12641" t="str">
            <v/>
          </cell>
        </row>
        <row r="12642">
          <cell r="O12642" t="str">
            <v/>
          </cell>
        </row>
        <row r="12643">
          <cell r="O12643" t="str">
            <v/>
          </cell>
        </row>
        <row r="12644">
          <cell r="O12644" t="str">
            <v/>
          </cell>
        </row>
        <row r="12645">
          <cell r="O12645" t="str">
            <v/>
          </cell>
        </row>
        <row r="12646">
          <cell r="O12646" t="str">
            <v/>
          </cell>
        </row>
        <row r="12647">
          <cell r="O12647" t="str">
            <v/>
          </cell>
        </row>
        <row r="12648">
          <cell r="O12648" t="str">
            <v/>
          </cell>
        </row>
        <row r="12649">
          <cell r="O12649" t="str">
            <v/>
          </cell>
        </row>
        <row r="12650">
          <cell r="O12650" t="str">
            <v/>
          </cell>
        </row>
        <row r="12651">
          <cell r="O12651" t="str">
            <v/>
          </cell>
        </row>
        <row r="12652">
          <cell r="O12652" t="str">
            <v/>
          </cell>
        </row>
        <row r="12653">
          <cell r="O12653" t="str">
            <v/>
          </cell>
        </row>
        <row r="12654">
          <cell r="O12654" t="str">
            <v/>
          </cell>
        </row>
        <row r="12655">
          <cell r="O12655" t="str">
            <v/>
          </cell>
        </row>
        <row r="12656">
          <cell r="O12656" t="str">
            <v/>
          </cell>
        </row>
        <row r="12657">
          <cell r="O12657" t="str">
            <v/>
          </cell>
        </row>
        <row r="12658">
          <cell r="O12658" t="str">
            <v/>
          </cell>
        </row>
        <row r="12659">
          <cell r="O12659" t="str">
            <v/>
          </cell>
        </row>
        <row r="12660">
          <cell r="O12660" t="str">
            <v/>
          </cell>
        </row>
        <row r="12661">
          <cell r="O12661" t="str">
            <v/>
          </cell>
        </row>
        <row r="12662">
          <cell r="O12662" t="str">
            <v/>
          </cell>
        </row>
        <row r="12663">
          <cell r="O12663" t="str">
            <v/>
          </cell>
        </row>
        <row r="12664">
          <cell r="O12664" t="str">
            <v/>
          </cell>
        </row>
        <row r="12665">
          <cell r="O12665" t="str">
            <v/>
          </cell>
        </row>
        <row r="12666">
          <cell r="O12666" t="str">
            <v/>
          </cell>
        </row>
        <row r="12667">
          <cell r="O12667" t="str">
            <v/>
          </cell>
        </row>
        <row r="12668">
          <cell r="O12668" t="str">
            <v/>
          </cell>
        </row>
        <row r="12669">
          <cell r="O12669" t="str">
            <v/>
          </cell>
        </row>
        <row r="12670">
          <cell r="O12670" t="str">
            <v/>
          </cell>
        </row>
        <row r="12671">
          <cell r="O12671" t="str">
            <v/>
          </cell>
        </row>
        <row r="12672">
          <cell r="O12672" t="str">
            <v/>
          </cell>
        </row>
        <row r="12673">
          <cell r="O12673" t="str">
            <v/>
          </cell>
        </row>
        <row r="12674">
          <cell r="O12674" t="str">
            <v/>
          </cell>
        </row>
        <row r="12675">
          <cell r="O12675" t="str">
            <v/>
          </cell>
        </row>
        <row r="12676">
          <cell r="O12676" t="str">
            <v/>
          </cell>
        </row>
        <row r="12677">
          <cell r="O12677" t="str">
            <v/>
          </cell>
        </row>
        <row r="12678">
          <cell r="O12678" t="str">
            <v/>
          </cell>
        </row>
        <row r="12679">
          <cell r="O12679" t="str">
            <v/>
          </cell>
        </row>
        <row r="12680">
          <cell r="O12680" t="str">
            <v/>
          </cell>
        </row>
        <row r="12681">
          <cell r="O12681" t="str">
            <v/>
          </cell>
        </row>
        <row r="12682">
          <cell r="O12682" t="str">
            <v/>
          </cell>
        </row>
        <row r="12683">
          <cell r="O12683" t="str">
            <v/>
          </cell>
        </row>
        <row r="12684">
          <cell r="O12684" t="str">
            <v/>
          </cell>
        </row>
        <row r="12685">
          <cell r="O12685" t="str">
            <v/>
          </cell>
        </row>
        <row r="12686">
          <cell r="O12686" t="str">
            <v/>
          </cell>
        </row>
        <row r="12687">
          <cell r="O12687" t="str">
            <v/>
          </cell>
        </row>
        <row r="12688">
          <cell r="O12688" t="str">
            <v/>
          </cell>
        </row>
        <row r="12689">
          <cell r="O12689" t="str">
            <v/>
          </cell>
        </row>
        <row r="12690">
          <cell r="O12690" t="str">
            <v/>
          </cell>
        </row>
        <row r="12691">
          <cell r="O12691" t="str">
            <v/>
          </cell>
        </row>
        <row r="12692">
          <cell r="O12692" t="str">
            <v/>
          </cell>
        </row>
        <row r="12693">
          <cell r="O12693" t="str">
            <v/>
          </cell>
        </row>
        <row r="12694">
          <cell r="O12694" t="str">
            <v/>
          </cell>
        </row>
        <row r="12695">
          <cell r="O12695" t="str">
            <v/>
          </cell>
        </row>
        <row r="12696">
          <cell r="O12696" t="str">
            <v/>
          </cell>
        </row>
        <row r="12697">
          <cell r="O12697" t="str">
            <v/>
          </cell>
        </row>
        <row r="12698">
          <cell r="O12698" t="str">
            <v/>
          </cell>
        </row>
        <row r="12699">
          <cell r="O12699" t="str">
            <v/>
          </cell>
        </row>
        <row r="12700">
          <cell r="O12700" t="str">
            <v/>
          </cell>
        </row>
        <row r="12701">
          <cell r="O12701" t="str">
            <v/>
          </cell>
        </row>
        <row r="12702">
          <cell r="O12702" t="str">
            <v/>
          </cell>
        </row>
        <row r="12703">
          <cell r="O12703" t="str">
            <v/>
          </cell>
        </row>
        <row r="12704">
          <cell r="O12704" t="str">
            <v/>
          </cell>
        </row>
        <row r="12705">
          <cell r="O12705" t="str">
            <v/>
          </cell>
        </row>
        <row r="12706">
          <cell r="O12706" t="str">
            <v/>
          </cell>
        </row>
        <row r="12707">
          <cell r="O12707" t="str">
            <v/>
          </cell>
        </row>
        <row r="12708">
          <cell r="O12708" t="str">
            <v/>
          </cell>
        </row>
        <row r="12709">
          <cell r="O12709" t="str">
            <v/>
          </cell>
        </row>
        <row r="12710">
          <cell r="O12710" t="str">
            <v/>
          </cell>
        </row>
        <row r="12711">
          <cell r="O12711" t="str">
            <v/>
          </cell>
        </row>
        <row r="12712">
          <cell r="O12712" t="str">
            <v/>
          </cell>
        </row>
        <row r="12713">
          <cell r="O12713" t="str">
            <v/>
          </cell>
        </row>
        <row r="12714">
          <cell r="O12714" t="str">
            <v/>
          </cell>
        </row>
        <row r="12715">
          <cell r="O12715" t="str">
            <v/>
          </cell>
        </row>
        <row r="12716">
          <cell r="O12716" t="str">
            <v/>
          </cell>
        </row>
        <row r="12717">
          <cell r="O12717" t="str">
            <v/>
          </cell>
        </row>
        <row r="12718">
          <cell r="O12718" t="str">
            <v/>
          </cell>
        </row>
        <row r="12719">
          <cell r="O12719" t="str">
            <v/>
          </cell>
        </row>
        <row r="12720">
          <cell r="O12720" t="str">
            <v/>
          </cell>
        </row>
        <row r="12721">
          <cell r="O12721" t="str">
            <v/>
          </cell>
        </row>
        <row r="12722">
          <cell r="O12722" t="str">
            <v/>
          </cell>
        </row>
        <row r="12723">
          <cell r="O12723" t="str">
            <v/>
          </cell>
        </row>
        <row r="12724">
          <cell r="O12724" t="str">
            <v/>
          </cell>
        </row>
        <row r="12725">
          <cell r="O12725" t="str">
            <v/>
          </cell>
        </row>
        <row r="12726">
          <cell r="O12726" t="str">
            <v/>
          </cell>
        </row>
        <row r="12727">
          <cell r="O12727" t="str">
            <v/>
          </cell>
        </row>
        <row r="12728">
          <cell r="O12728" t="str">
            <v/>
          </cell>
        </row>
        <row r="12729">
          <cell r="O12729" t="str">
            <v/>
          </cell>
        </row>
        <row r="12730">
          <cell r="O12730" t="str">
            <v/>
          </cell>
        </row>
        <row r="12731">
          <cell r="O12731" t="str">
            <v/>
          </cell>
        </row>
        <row r="12732">
          <cell r="O12732" t="str">
            <v/>
          </cell>
        </row>
        <row r="12733">
          <cell r="O12733" t="str">
            <v/>
          </cell>
        </row>
        <row r="12734">
          <cell r="O12734" t="str">
            <v/>
          </cell>
        </row>
        <row r="12735">
          <cell r="O12735" t="str">
            <v/>
          </cell>
        </row>
        <row r="12736">
          <cell r="O12736" t="str">
            <v/>
          </cell>
        </row>
        <row r="12737">
          <cell r="O12737" t="str">
            <v/>
          </cell>
        </row>
        <row r="12738">
          <cell r="O12738" t="str">
            <v/>
          </cell>
        </row>
        <row r="12739">
          <cell r="O12739" t="str">
            <v/>
          </cell>
        </row>
        <row r="12740">
          <cell r="O12740" t="str">
            <v/>
          </cell>
        </row>
        <row r="12741">
          <cell r="O12741" t="str">
            <v/>
          </cell>
        </row>
        <row r="12742">
          <cell r="O12742" t="str">
            <v/>
          </cell>
        </row>
        <row r="12743">
          <cell r="O12743" t="str">
            <v/>
          </cell>
        </row>
        <row r="12744">
          <cell r="O12744" t="str">
            <v/>
          </cell>
        </row>
        <row r="12745">
          <cell r="O12745" t="str">
            <v/>
          </cell>
        </row>
        <row r="12746">
          <cell r="O12746" t="str">
            <v/>
          </cell>
        </row>
        <row r="12747">
          <cell r="O12747" t="str">
            <v/>
          </cell>
        </row>
        <row r="12748">
          <cell r="O12748" t="str">
            <v/>
          </cell>
        </row>
        <row r="12749">
          <cell r="O12749" t="str">
            <v/>
          </cell>
        </row>
        <row r="12750">
          <cell r="O12750" t="str">
            <v/>
          </cell>
        </row>
        <row r="12751">
          <cell r="O12751" t="str">
            <v/>
          </cell>
        </row>
        <row r="12752">
          <cell r="O12752" t="str">
            <v/>
          </cell>
        </row>
        <row r="12753">
          <cell r="O12753" t="str">
            <v/>
          </cell>
        </row>
        <row r="12754">
          <cell r="O12754" t="str">
            <v/>
          </cell>
        </row>
        <row r="12755">
          <cell r="O12755" t="str">
            <v/>
          </cell>
        </row>
        <row r="12756">
          <cell r="O12756" t="str">
            <v/>
          </cell>
        </row>
        <row r="12757">
          <cell r="O12757" t="str">
            <v/>
          </cell>
        </row>
        <row r="12758">
          <cell r="O12758" t="str">
            <v/>
          </cell>
        </row>
        <row r="12759">
          <cell r="O12759" t="str">
            <v/>
          </cell>
        </row>
        <row r="12760">
          <cell r="O12760" t="str">
            <v/>
          </cell>
        </row>
        <row r="12761">
          <cell r="O12761" t="str">
            <v/>
          </cell>
        </row>
        <row r="12762">
          <cell r="O12762" t="str">
            <v/>
          </cell>
        </row>
        <row r="12763">
          <cell r="O12763" t="str">
            <v/>
          </cell>
        </row>
        <row r="12764">
          <cell r="O12764" t="str">
            <v/>
          </cell>
        </row>
        <row r="12765">
          <cell r="O12765" t="str">
            <v/>
          </cell>
        </row>
        <row r="12766">
          <cell r="O12766" t="str">
            <v/>
          </cell>
        </row>
        <row r="12767">
          <cell r="O12767" t="str">
            <v/>
          </cell>
        </row>
        <row r="12768">
          <cell r="O12768" t="str">
            <v/>
          </cell>
        </row>
        <row r="12769">
          <cell r="O12769" t="str">
            <v/>
          </cell>
        </row>
        <row r="12770">
          <cell r="O12770" t="str">
            <v/>
          </cell>
        </row>
        <row r="12771">
          <cell r="O12771" t="str">
            <v/>
          </cell>
        </row>
        <row r="12772">
          <cell r="O12772" t="str">
            <v/>
          </cell>
        </row>
        <row r="12773">
          <cell r="O12773" t="str">
            <v/>
          </cell>
        </row>
        <row r="12774">
          <cell r="O12774" t="str">
            <v/>
          </cell>
        </row>
        <row r="12775">
          <cell r="O12775" t="str">
            <v/>
          </cell>
        </row>
        <row r="12776">
          <cell r="O12776" t="str">
            <v/>
          </cell>
        </row>
        <row r="12777">
          <cell r="O12777" t="str">
            <v/>
          </cell>
        </row>
        <row r="12778">
          <cell r="O12778" t="str">
            <v/>
          </cell>
        </row>
        <row r="12779">
          <cell r="O12779" t="str">
            <v/>
          </cell>
        </row>
        <row r="12780">
          <cell r="O12780" t="str">
            <v/>
          </cell>
        </row>
        <row r="12781">
          <cell r="O12781" t="str">
            <v/>
          </cell>
        </row>
        <row r="12782">
          <cell r="O12782" t="str">
            <v/>
          </cell>
        </row>
        <row r="12783">
          <cell r="O12783" t="str">
            <v/>
          </cell>
        </row>
        <row r="12784">
          <cell r="O12784" t="str">
            <v/>
          </cell>
        </row>
        <row r="12785">
          <cell r="O12785" t="str">
            <v/>
          </cell>
        </row>
        <row r="12786">
          <cell r="O12786" t="str">
            <v/>
          </cell>
        </row>
        <row r="12787">
          <cell r="O12787" t="str">
            <v/>
          </cell>
        </row>
        <row r="12788">
          <cell r="O12788" t="str">
            <v/>
          </cell>
        </row>
        <row r="12789">
          <cell r="O12789" t="str">
            <v/>
          </cell>
        </row>
        <row r="12790">
          <cell r="O12790" t="str">
            <v/>
          </cell>
        </row>
        <row r="12791">
          <cell r="O12791" t="str">
            <v/>
          </cell>
        </row>
        <row r="12792">
          <cell r="O12792" t="str">
            <v/>
          </cell>
        </row>
        <row r="12793">
          <cell r="O12793" t="str">
            <v/>
          </cell>
        </row>
        <row r="12794">
          <cell r="O12794" t="str">
            <v/>
          </cell>
        </row>
        <row r="12795">
          <cell r="O12795" t="str">
            <v/>
          </cell>
        </row>
        <row r="12796">
          <cell r="O12796" t="str">
            <v/>
          </cell>
        </row>
        <row r="12797">
          <cell r="O12797" t="str">
            <v/>
          </cell>
        </row>
        <row r="12798">
          <cell r="O12798" t="str">
            <v/>
          </cell>
        </row>
        <row r="12799">
          <cell r="O12799" t="str">
            <v/>
          </cell>
        </row>
        <row r="12800">
          <cell r="O12800" t="str">
            <v/>
          </cell>
        </row>
        <row r="12801">
          <cell r="O12801" t="str">
            <v/>
          </cell>
        </row>
        <row r="12802">
          <cell r="O12802" t="str">
            <v/>
          </cell>
        </row>
        <row r="12803">
          <cell r="O12803" t="str">
            <v/>
          </cell>
        </row>
        <row r="12804">
          <cell r="O12804" t="str">
            <v/>
          </cell>
        </row>
        <row r="12805">
          <cell r="O12805" t="str">
            <v/>
          </cell>
        </row>
        <row r="12806">
          <cell r="O12806" t="str">
            <v/>
          </cell>
        </row>
        <row r="12807">
          <cell r="O12807" t="str">
            <v/>
          </cell>
        </row>
        <row r="12808">
          <cell r="O12808" t="str">
            <v/>
          </cell>
        </row>
        <row r="12809">
          <cell r="O12809" t="str">
            <v/>
          </cell>
        </row>
        <row r="12810">
          <cell r="O12810" t="str">
            <v/>
          </cell>
        </row>
        <row r="12811">
          <cell r="O12811" t="str">
            <v/>
          </cell>
        </row>
        <row r="12812">
          <cell r="O12812" t="str">
            <v/>
          </cell>
        </row>
        <row r="12813">
          <cell r="O12813" t="str">
            <v/>
          </cell>
        </row>
        <row r="12814">
          <cell r="O12814" t="str">
            <v/>
          </cell>
        </row>
        <row r="12815">
          <cell r="O12815" t="str">
            <v/>
          </cell>
        </row>
        <row r="12816">
          <cell r="O12816" t="str">
            <v/>
          </cell>
        </row>
        <row r="12817">
          <cell r="O12817" t="str">
            <v/>
          </cell>
        </row>
        <row r="12818">
          <cell r="O12818" t="str">
            <v/>
          </cell>
        </row>
        <row r="12819">
          <cell r="O12819" t="str">
            <v/>
          </cell>
        </row>
        <row r="12820">
          <cell r="O12820" t="str">
            <v/>
          </cell>
        </row>
        <row r="12821">
          <cell r="O12821" t="str">
            <v/>
          </cell>
        </row>
        <row r="12822">
          <cell r="O12822" t="str">
            <v/>
          </cell>
        </row>
        <row r="12823">
          <cell r="O12823" t="str">
            <v/>
          </cell>
        </row>
        <row r="12824">
          <cell r="O12824" t="str">
            <v/>
          </cell>
        </row>
        <row r="12825">
          <cell r="O12825" t="str">
            <v/>
          </cell>
        </row>
        <row r="12826">
          <cell r="O12826" t="str">
            <v/>
          </cell>
        </row>
        <row r="12827">
          <cell r="O12827" t="str">
            <v/>
          </cell>
        </row>
        <row r="12828">
          <cell r="O12828" t="str">
            <v/>
          </cell>
        </row>
        <row r="12829">
          <cell r="O12829" t="str">
            <v/>
          </cell>
        </row>
        <row r="12830">
          <cell r="O12830" t="str">
            <v/>
          </cell>
        </row>
        <row r="12831">
          <cell r="O12831" t="str">
            <v/>
          </cell>
        </row>
        <row r="12832">
          <cell r="O12832" t="str">
            <v/>
          </cell>
        </row>
        <row r="12833">
          <cell r="O12833" t="str">
            <v/>
          </cell>
        </row>
        <row r="12834">
          <cell r="O12834" t="str">
            <v/>
          </cell>
        </row>
        <row r="12835">
          <cell r="O12835" t="str">
            <v/>
          </cell>
        </row>
        <row r="12836">
          <cell r="O12836" t="str">
            <v/>
          </cell>
        </row>
        <row r="12837">
          <cell r="O12837" t="str">
            <v/>
          </cell>
        </row>
        <row r="12838">
          <cell r="O12838" t="str">
            <v/>
          </cell>
        </row>
        <row r="12839">
          <cell r="O12839" t="str">
            <v/>
          </cell>
        </row>
        <row r="12840">
          <cell r="O12840" t="str">
            <v/>
          </cell>
        </row>
        <row r="12841">
          <cell r="O12841" t="str">
            <v/>
          </cell>
        </row>
        <row r="12842">
          <cell r="O12842" t="str">
            <v/>
          </cell>
        </row>
        <row r="12843">
          <cell r="O12843" t="str">
            <v/>
          </cell>
        </row>
        <row r="12844">
          <cell r="O12844" t="str">
            <v/>
          </cell>
        </row>
        <row r="12845">
          <cell r="O12845" t="str">
            <v/>
          </cell>
        </row>
        <row r="12846">
          <cell r="O12846" t="str">
            <v/>
          </cell>
        </row>
        <row r="12847">
          <cell r="O12847" t="str">
            <v/>
          </cell>
        </row>
        <row r="12848">
          <cell r="O12848" t="str">
            <v/>
          </cell>
        </row>
        <row r="12849">
          <cell r="O12849" t="str">
            <v/>
          </cell>
        </row>
        <row r="12850">
          <cell r="O12850" t="str">
            <v/>
          </cell>
        </row>
        <row r="12851">
          <cell r="O12851" t="str">
            <v/>
          </cell>
        </row>
        <row r="12852">
          <cell r="O12852" t="str">
            <v/>
          </cell>
        </row>
        <row r="12853">
          <cell r="O12853" t="str">
            <v/>
          </cell>
        </row>
        <row r="12854">
          <cell r="O12854" t="str">
            <v/>
          </cell>
        </row>
        <row r="12855">
          <cell r="O12855" t="str">
            <v/>
          </cell>
        </row>
        <row r="12856">
          <cell r="O12856" t="str">
            <v/>
          </cell>
        </row>
        <row r="12857">
          <cell r="O12857" t="str">
            <v/>
          </cell>
        </row>
        <row r="12858">
          <cell r="O12858" t="str">
            <v/>
          </cell>
        </row>
        <row r="12859">
          <cell r="O12859" t="str">
            <v/>
          </cell>
        </row>
        <row r="12860">
          <cell r="O12860" t="str">
            <v/>
          </cell>
        </row>
        <row r="12861">
          <cell r="O12861" t="str">
            <v/>
          </cell>
        </row>
        <row r="12862">
          <cell r="O12862" t="str">
            <v/>
          </cell>
        </row>
        <row r="12863">
          <cell r="O12863" t="str">
            <v/>
          </cell>
        </row>
        <row r="12864">
          <cell r="O12864" t="str">
            <v/>
          </cell>
        </row>
        <row r="12865">
          <cell r="O12865" t="str">
            <v/>
          </cell>
        </row>
        <row r="12866">
          <cell r="O12866" t="str">
            <v/>
          </cell>
        </row>
        <row r="12867">
          <cell r="O12867" t="str">
            <v/>
          </cell>
        </row>
        <row r="12868">
          <cell r="O12868" t="str">
            <v/>
          </cell>
        </row>
        <row r="12869">
          <cell r="O12869" t="str">
            <v/>
          </cell>
        </row>
        <row r="12870">
          <cell r="O12870" t="str">
            <v/>
          </cell>
        </row>
        <row r="12871">
          <cell r="O12871" t="str">
            <v/>
          </cell>
        </row>
        <row r="12872">
          <cell r="O12872" t="str">
            <v/>
          </cell>
        </row>
        <row r="12873">
          <cell r="O12873" t="str">
            <v/>
          </cell>
        </row>
        <row r="12874">
          <cell r="O12874" t="str">
            <v/>
          </cell>
        </row>
        <row r="12875">
          <cell r="O12875" t="str">
            <v/>
          </cell>
        </row>
        <row r="12876">
          <cell r="O12876" t="str">
            <v/>
          </cell>
        </row>
        <row r="12877">
          <cell r="O12877" t="str">
            <v/>
          </cell>
        </row>
        <row r="12878">
          <cell r="O12878" t="str">
            <v/>
          </cell>
        </row>
        <row r="12879">
          <cell r="O12879" t="str">
            <v/>
          </cell>
        </row>
        <row r="12880">
          <cell r="O12880" t="str">
            <v/>
          </cell>
        </row>
        <row r="12881">
          <cell r="O12881" t="str">
            <v/>
          </cell>
        </row>
        <row r="12882">
          <cell r="O12882" t="str">
            <v/>
          </cell>
        </row>
        <row r="12883">
          <cell r="O12883" t="str">
            <v/>
          </cell>
        </row>
        <row r="12884">
          <cell r="O12884" t="str">
            <v/>
          </cell>
        </row>
        <row r="12885">
          <cell r="O12885" t="str">
            <v/>
          </cell>
        </row>
        <row r="12886">
          <cell r="O12886" t="str">
            <v/>
          </cell>
        </row>
        <row r="12887">
          <cell r="O12887" t="str">
            <v/>
          </cell>
        </row>
        <row r="12888">
          <cell r="O12888" t="str">
            <v/>
          </cell>
        </row>
        <row r="12889">
          <cell r="O12889" t="str">
            <v/>
          </cell>
        </row>
        <row r="12890">
          <cell r="O12890" t="str">
            <v/>
          </cell>
        </row>
        <row r="12891">
          <cell r="O12891" t="str">
            <v/>
          </cell>
        </row>
        <row r="12892">
          <cell r="O12892" t="str">
            <v/>
          </cell>
        </row>
        <row r="12893">
          <cell r="O12893" t="str">
            <v/>
          </cell>
        </row>
        <row r="12894">
          <cell r="O12894" t="str">
            <v/>
          </cell>
        </row>
        <row r="12895">
          <cell r="O12895" t="str">
            <v/>
          </cell>
        </row>
        <row r="12896">
          <cell r="O12896" t="str">
            <v/>
          </cell>
        </row>
        <row r="12897">
          <cell r="O12897" t="str">
            <v/>
          </cell>
        </row>
        <row r="12898">
          <cell r="O12898" t="str">
            <v/>
          </cell>
        </row>
        <row r="12899">
          <cell r="O12899" t="str">
            <v/>
          </cell>
        </row>
        <row r="12900">
          <cell r="O12900" t="str">
            <v/>
          </cell>
        </row>
        <row r="12901">
          <cell r="O12901" t="str">
            <v/>
          </cell>
        </row>
        <row r="12902">
          <cell r="O12902" t="str">
            <v/>
          </cell>
        </row>
        <row r="12903">
          <cell r="O12903" t="str">
            <v/>
          </cell>
        </row>
        <row r="12904">
          <cell r="O12904" t="str">
            <v/>
          </cell>
        </row>
        <row r="12905">
          <cell r="O12905" t="str">
            <v/>
          </cell>
        </row>
        <row r="12906">
          <cell r="O12906" t="str">
            <v/>
          </cell>
        </row>
        <row r="12907">
          <cell r="O12907" t="str">
            <v/>
          </cell>
        </row>
        <row r="12908">
          <cell r="O12908" t="str">
            <v/>
          </cell>
        </row>
        <row r="12909">
          <cell r="O12909" t="str">
            <v/>
          </cell>
        </row>
        <row r="12910">
          <cell r="O12910" t="str">
            <v/>
          </cell>
        </row>
        <row r="12911">
          <cell r="O12911" t="str">
            <v/>
          </cell>
        </row>
        <row r="12912">
          <cell r="O12912" t="str">
            <v/>
          </cell>
        </row>
        <row r="12913">
          <cell r="O12913" t="str">
            <v/>
          </cell>
        </row>
        <row r="12914">
          <cell r="O12914" t="str">
            <v/>
          </cell>
        </row>
        <row r="12915">
          <cell r="O12915" t="str">
            <v/>
          </cell>
        </row>
        <row r="12916">
          <cell r="O12916" t="str">
            <v/>
          </cell>
        </row>
        <row r="12917">
          <cell r="O12917" t="str">
            <v/>
          </cell>
        </row>
        <row r="12918">
          <cell r="O12918" t="str">
            <v/>
          </cell>
        </row>
        <row r="12919">
          <cell r="O12919" t="str">
            <v/>
          </cell>
        </row>
        <row r="12920">
          <cell r="O12920" t="str">
            <v/>
          </cell>
        </row>
        <row r="12921">
          <cell r="O12921" t="str">
            <v/>
          </cell>
        </row>
        <row r="12922">
          <cell r="O12922" t="str">
            <v/>
          </cell>
        </row>
        <row r="12923">
          <cell r="O12923" t="str">
            <v/>
          </cell>
        </row>
        <row r="12924">
          <cell r="O12924" t="str">
            <v/>
          </cell>
        </row>
        <row r="12925">
          <cell r="O12925" t="str">
            <v/>
          </cell>
        </row>
        <row r="12926">
          <cell r="O12926" t="str">
            <v/>
          </cell>
        </row>
        <row r="12927">
          <cell r="O12927" t="str">
            <v/>
          </cell>
        </row>
        <row r="12928">
          <cell r="O12928" t="str">
            <v/>
          </cell>
        </row>
        <row r="12929">
          <cell r="O12929" t="str">
            <v/>
          </cell>
        </row>
        <row r="12930">
          <cell r="O12930" t="str">
            <v/>
          </cell>
        </row>
        <row r="12931">
          <cell r="O12931" t="str">
            <v/>
          </cell>
        </row>
        <row r="12932">
          <cell r="O12932" t="str">
            <v/>
          </cell>
        </row>
        <row r="12933">
          <cell r="O12933" t="str">
            <v/>
          </cell>
        </row>
        <row r="12934">
          <cell r="O12934" t="str">
            <v/>
          </cell>
        </row>
        <row r="12935">
          <cell r="O12935" t="str">
            <v/>
          </cell>
        </row>
        <row r="12936">
          <cell r="O12936" t="str">
            <v/>
          </cell>
        </row>
        <row r="12937">
          <cell r="O12937" t="str">
            <v/>
          </cell>
        </row>
        <row r="12938">
          <cell r="O12938" t="str">
            <v/>
          </cell>
        </row>
        <row r="12939">
          <cell r="O12939" t="str">
            <v/>
          </cell>
        </row>
        <row r="12940">
          <cell r="O12940" t="str">
            <v/>
          </cell>
        </row>
        <row r="12941">
          <cell r="O12941" t="str">
            <v/>
          </cell>
        </row>
        <row r="12942">
          <cell r="O12942" t="str">
            <v/>
          </cell>
        </row>
        <row r="12943">
          <cell r="O12943" t="str">
            <v/>
          </cell>
        </row>
        <row r="12944">
          <cell r="O12944" t="str">
            <v/>
          </cell>
        </row>
        <row r="12945">
          <cell r="O12945" t="str">
            <v/>
          </cell>
        </row>
        <row r="12946">
          <cell r="O12946" t="str">
            <v/>
          </cell>
        </row>
        <row r="12947">
          <cell r="O12947" t="str">
            <v/>
          </cell>
        </row>
        <row r="12948">
          <cell r="O12948" t="str">
            <v/>
          </cell>
        </row>
        <row r="12949">
          <cell r="O12949" t="str">
            <v/>
          </cell>
        </row>
        <row r="12950">
          <cell r="O12950" t="str">
            <v/>
          </cell>
        </row>
        <row r="12951">
          <cell r="O12951" t="str">
            <v/>
          </cell>
        </row>
        <row r="12952">
          <cell r="O12952" t="str">
            <v/>
          </cell>
        </row>
        <row r="12953">
          <cell r="O12953" t="str">
            <v/>
          </cell>
        </row>
        <row r="12954">
          <cell r="O12954" t="str">
            <v/>
          </cell>
        </row>
        <row r="12955">
          <cell r="O12955" t="str">
            <v/>
          </cell>
        </row>
        <row r="12956">
          <cell r="O12956" t="str">
            <v/>
          </cell>
        </row>
        <row r="12957">
          <cell r="O12957" t="str">
            <v/>
          </cell>
        </row>
        <row r="12958">
          <cell r="O12958" t="str">
            <v/>
          </cell>
        </row>
        <row r="12959">
          <cell r="O12959" t="str">
            <v/>
          </cell>
        </row>
        <row r="12960">
          <cell r="O12960" t="str">
            <v/>
          </cell>
        </row>
        <row r="12961">
          <cell r="O12961" t="str">
            <v/>
          </cell>
        </row>
        <row r="12962">
          <cell r="O12962" t="str">
            <v/>
          </cell>
        </row>
        <row r="12963">
          <cell r="O12963" t="str">
            <v/>
          </cell>
        </row>
        <row r="12964">
          <cell r="O12964" t="str">
            <v/>
          </cell>
        </row>
        <row r="12965">
          <cell r="O12965" t="str">
            <v/>
          </cell>
        </row>
        <row r="12966">
          <cell r="O12966" t="str">
            <v/>
          </cell>
        </row>
        <row r="12967">
          <cell r="O12967" t="str">
            <v/>
          </cell>
        </row>
        <row r="12968">
          <cell r="O12968" t="str">
            <v/>
          </cell>
        </row>
        <row r="12969">
          <cell r="O12969" t="str">
            <v/>
          </cell>
        </row>
        <row r="12970">
          <cell r="O12970" t="str">
            <v/>
          </cell>
        </row>
        <row r="12971">
          <cell r="O12971" t="str">
            <v/>
          </cell>
        </row>
        <row r="12972">
          <cell r="O12972" t="str">
            <v/>
          </cell>
        </row>
        <row r="12973">
          <cell r="O12973" t="str">
            <v/>
          </cell>
        </row>
        <row r="12974">
          <cell r="O12974" t="str">
            <v/>
          </cell>
        </row>
        <row r="12975">
          <cell r="O12975" t="str">
            <v/>
          </cell>
        </row>
        <row r="12976">
          <cell r="O12976" t="str">
            <v/>
          </cell>
        </row>
        <row r="12977">
          <cell r="O12977" t="str">
            <v/>
          </cell>
        </row>
        <row r="12978">
          <cell r="O12978" t="str">
            <v/>
          </cell>
        </row>
        <row r="12979">
          <cell r="O12979" t="str">
            <v/>
          </cell>
        </row>
        <row r="12980">
          <cell r="O12980" t="str">
            <v/>
          </cell>
        </row>
        <row r="12981">
          <cell r="O12981" t="str">
            <v/>
          </cell>
        </row>
        <row r="12982">
          <cell r="O12982" t="str">
            <v/>
          </cell>
        </row>
        <row r="12983">
          <cell r="O12983" t="str">
            <v/>
          </cell>
        </row>
        <row r="12984">
          <cell r="O12984" t="str">
            <v/>
          </cell>
        </row>
        <row r="12985">
          <cell r="O12985" t="str">
            <v/>
          </cell>
        </row>
        <row r="12986">
          <cell r="O12986" t="str">
            <v/>
          </cell>
        </row>
        <row r="12987">
          <cell r="O12987" t="str">
            <v/>
          </cell>
        </row>
        <row r="12988">
          <cell r="O12988" t="str">
            <v/>
          </cell>
        </row>
        <row r="12989">
          <cell r="O12989" t="str">
            <v/>
          </cell>
        </row>
        <row r="12990">
          <cell r="O12990" t="str">
            <v/>
          </cell>
        </row>
        <row r="12991">
          <cell r="O12991" t="str">
            <v/>
          </cell>
        </row>
        <row r="12992">
          <cell r="O12992" t="str">
            <v/>
          </cell>
        </row>
        <row r="12993">
          <cell r="O12993" t="str">
            <v/>
          </cell>
        </row>
        <row r="12994">
          <cell r="O12994" t="str">
            <v/>
          </cell>
        </row>
        <row r="12995">
          <cell r="O12995" t="str">
            <v/>
          </cell>
        </row>
        <row r="12996">
          <cell r="O12996" t="str">
            <v/>
          </cell>
        </row>
        <row r="12997">
          <cell r="O12997" t="str">
            <v/>
          </cell>
        </row>
        <row r="12998">
          <cell r="O12998" t="str">
            <v/>
          </cell>
        </row>
        <row r="12999">
          <cell r="O12999" t="str">
            <v/>
          </cell>
        </row>
        <row r="13000">
          <cell r="O13000" t="str">
            <v/>
          </cell>
        </row>
        <row r="13001">
          <cell r="O13001" t="str">
            <v/>
          </cell>
        </row>
        <row r="13002">
          <cell r="O13002" t="str">
            <v/>
          </cell>
        </row>
        <row r="13003">
          <cell r="O13003" t="str">
            <v/>
          </cell>
        </row>
        <row r="13004">
          <cell r="O13004" t="str">
            <v/>
          </cell>
        </row>
        <row r="13005">
          <cell r="O13005" t="str">
            <v/>
          </cell>
        </row>
        <row r="13006">
          <cell r="O13006" t="str">
            <v/>
          </cell>
        </row>
        <row r="13007">
          <cell r="O13007" t="str">
            <v/>
          </cell>
        </row>
        <row r="13008">
          <cell r="O13008" t="str">
            <v/>
          </cell>
        </row>
        <row r="13009">
          <cell r="O13009" t="str">
            <v/>
          </cell>
        </row>
        <row r="13010">
          <cell r="O13010" t="str">
            <v/>
          </cell>
        </row>
        <row r="13011">
          <cell r="O13011" t="str">
            <v/>
          </cell>
        </row>
        <row r="13012">
          <cell r="O13012" t="str">
            <v/>
          </cell>
        </row>
        <row r="13013">
          <cell r="O13013" t="str">
            <v/>
          </cell>
        </row>
        <row r="13014">
          <cell r="O13014" t="str">
            <v/>
          </cell>
        </row>
        <row r="13015">
          <cell r="O13015" t="str">
            <v/>
          </cell>
        </row>
        <row r="13016">
          <cell r="O13016" t="str">
            <v/>
          </cell>
        </row>
        <row r="13017">
          <cell r="O13017" t="str">
            <v/>
          </cell>
        </row>
        <row r="13018">
          <cell r="O13018" t="str">
            <v/>
          </cell>
        </row>
        <row r="13019">
          <cell r="O13019" t="str">
            <v/>
          </cell>
        </row>
        <row r="13020">
          <cell r="O13020" t="str">
            <v/>
          </cell>
        </row>
        <row r="13021">
          <cell r="O13021" t="str">
            <v/>
          </cell>
        </row>
        <row r="13022">
          <cell r="O13022" t="str">
            <v/>
          </cell>
        </row>
        <row r="13023">
          <cell r="O13023" t="str">
            <v/>
          </cell>
        </row>
        <row r="13024">
          <cell r="O13024" t="str">
            <v/>
          </cell>
        </row>
        <row r="13025">
          <cell r="O13025" t="str">
            <v/>
          </cell>
        </row>
        <row r="13026">
          <cell r="O13026" t="str">
            <v/>
          </cell>
        </row>
        <row r="13027">
          <cell r="O13027" t="str">
            <v/>
          </cell>
        </row>
        <row r="13028">
          <cell r="O13028" t="str">
            <v/>
          </cell>
        </row>
        <row r="13029">
          <cell r="O13029" t="str">
            <v/>
          </cell>
        </row>
        <row r="13030">
          <cell r="O13030" t="str">
            <v/>
          </cell>
        </row>
        <row r="13031">
          <cell r="O13031" t="str">
            <v/>
          </cell>
        </row>
        <row r="13032">
          <cell r="O13032" t="str">
            <v/>
          </cell>
        </row>
        <row r="13033">
          <cell r="O13033" t="str">
            <v/>
          </cell>
        </row>
        <row r="13034">
          <cell r="O13034" t="str">
            <v/>
          </cell>
        </row>
        <row r="13035">
          <cell r="O13035" t="str">
            <v/>
          </cell>
        </row>
        <row r="13036">
          <cell r="O13036" t="str">
            <v/>
          </cell>
        </row>
        <row r="13037">
          <cell r="O13037" t="str">
            <v/>
          </cell>
        </row>
        <row r="13038">
          <cell r="O13038" t="str">
            <v/>
          </cell>
        </row>
        <row r="13039">
          <cell r="O13039" t="str">
            <v/>
          </cell>
        </row>
        <row r="13040">
          <cell r="O13040" t="str">
            <v/>
          </cell>
        </row>
        <row r="13041">
          <cell r="O13041" t="str">
            <v/>
          </cell>
        </row>
        <row r="13042">
          <cell r="O13042" t="str">
            <v/>
          </cell>
        </row>
        <row r="13043">
          <cell r="O13043" t="str">
            <v/>
          </cell>
        </row>
        <row r="13044">
          <cell r="O13044" t="str">
            <v/>
          </cell>
        </row>
        <row r="13045">
          <cell r="O13045" t="str">
            <v/>
          </cell>
        </row>
        <row r="13046">
          <cell r="O13046" t="str">
            <v/>
          </cell>
        </row>
        <row r="13047">
          <cell r="O13047" t="str">
            <v/>
          </cell>
        </row>
        <row r="13048">
          <cell r="O13048" t="str">
            <v/>
          </cell>
        </row>
        <row r="13049">
          <cell r="O13049" t="str">
            <v/>
          </cell>
        </row>
        <row r="13050">
          <cell r="O13050" t="str">
            <v/>
          </cell>
        </row>
        <row r="13051">
          <cell r="O13051" t="str">
            <v/>
          </cell>
        </row>
        <row r="13052">
          <cell r="O13052" t="str">
            <v/>
          </cell>
        </row>
        <row r="13053">
          <cell r="O13053" t="str">
            <v/>
          </cell>
        </row>
        <row r="13054">
          <cell r="O13054" t="str">
            <v/>
          </cell>
        </row>
        <row r="13055">
          <cell r="O13055" t="str">
            <v/>
          </cell>
        </row>
        <row r="13056">
          <cell r="O13056" t="str">
            <v/>
          </cell>
        </row>
        <row r="13057">
          <cell r="O13057" t="str">
            <v/>
          </cell>
        </row>
        <row r="13058">
          <cell r="O13058" t="str">
            <v/>
          </cell>
        </row>
        <row r="13059">
          <cell r="O13059" t="str">
            <v/>
          </cell>
        </row>
        <row r="13060">
          <cell r="O13060" t="str">
            <v/>
          </cell>
        </row>
        <row r="13061">
          <cell r="O13061" t="str">
            <v/>
          </cell>
        </row>
        <row r="13062">
          <cell r="O13062" t="str">
            <v/>
          </cell>
        </row>
        <row r="13063">
          <cell r="O13063" t="str">
            <v/>
          </cell>
        </row>
        <row r="13064">
          <cell r="O13064" t="str">
            <v/>
          </cell>
        </row>
        <row r="13065">
          <cell r="O13065" t="str">
            <v/>
          </cell>
        </row>
        <row r="13066">
          <cell r="O13066" t="str">
            <v/>
          </cell>
        </row>
        <row r="13067">
          <cell r="O13067" t="str">
            <v/>
          </cell>
        </row>
        <row r="13068">
          <cell r="O13068" t="str">
            <v/>
          </cell>
        </row>
        <row r="13069">
          <cell r="O13069" t="str">
            <v/>
          </cell>
        </row>
        <row r="13070">
          <cell r="O13070" t="str">
            <v/>
          </cell>
        </row>
        <row r="13071">
          <cell r="O13071" t="str">
            <v/>
          </cell>
        </row>
        <row r="13072">
          <cell r="O13072" t="str">
            <v/>
          </cell>
        </row>
        <row r="13073">
          <cell r="O13073" t="str">
            <v/>
          </cell>
        </row>
        <row r="13074">
          <cell r="O13074" t="str">
            <v/>
          </cell>
        </row>
        <row r="13075">
          <cell r="O13075" t="str">
            <v/>
          </cell>
        </row>
        <row r="13076">
          <cell r="O13076" t="str">
            <v/>
          </cell>
        </row>
        <row r="13077">
          <cell r="O13077" t="str">
            <v/>
          </cell>
        </row>
        <row r="13078">
          <cell r="O13078" t="str">
            <v/>
          </cell>
        </row>
        <row r="13079">
          <cell r="O13079" t="str">
            <v/>
          </cell>
        </row>
        <row r="13080">
          <cell r="O13080" t="str">
            <v/>
          </cell>
        </row>
        <row r="13081">
          <cell r="O13081" t="str">
            <v/>
          </cell>
        </row>
        <row r="13082">
          <cell r="O13082" t="str">
            <v/>
          </cell>
        </row>
        <row r="13083">
          <cell r="O13083" t="str">
            <v/>
          </cell>
        </row>
        <row r="13084">
          <cell r="O13084" t="str">
            <v/>
          </cell>
        </row>
        <row r="13085">
          <cell r="O13085" t="str">
            <v/>
          </cell>
        </row>
        <row r="13086">
          <cell r="O13086" t="str">
            <v/>
          </cell>
        </row>
        <row r="13087">
          <cell r="O13087" t="str">
            <v/>
          </cell>
        </row>
        <row r="13088">
          <cell r="O13088" t="str">
            <v/>
          </cell>
        </row>
        <row r="13089">
          <cell r="O13089" t="str">
            <v/>
          </cell>
        </row>
        <row r="13090">
          <cell r="O13090" t="str">
            <v/>
          </cell>
        </row>
        <row r="13091">
          <cell r="O13091" t="str">
            <v/>
          </cell>
        </row>
        <row r="13092">
          <cell r="O13092" t="str">
            <v/>
          </cell>
        </row>
        <row r="13093">
          <cell r="O13093" t="str">
            <v/>
          </cell>
        </row>
        <row r="13094">
          <cell r="O13094" t="str">
            <v/>
          </cell>
        </row>
        <row r="13095">
          <cell r="O13095" t="str">
            <v/>
          </cell>
        </row>
        <row r="13096">
          <cell r="O13096" t="str">
            <v/>
          </cell>
        </row>
        <row r="13097">
          <cell r="O13097" t="str">
            <v/>
          </cell>
        </row>
        <row r="13098">
          <cell r="O13098" t="str">
            <v/>
          </cell>
        </row>
        <row r="13099">
          <cell r="O13099" t="str">
            <v/>
          </cell>
        </row>
        <row r="13100">
          <cell r="O13100" t="str">
            <v/>
          </cell>
        </row>
        <row r="13101">
          <cell r="O13101" t="str">
            <v/>
          </cell>
        </row>
        <row r="13102">
          <cell r="O13102" t="str">
            <v/>
          </cell>
        </row>
        <row r="13103">
          <cell r="O13103" t="str">
            <v/>
          </cell>
        </row>
        <row r="13104">
          <cell r="O13104" t="str">
            <v/>
          </cell>
        </row>
        <row r="13105">
          <cell r="O13105" t="str">
            <v/>
          </cell>
        </row>
        <row r="13106">
          <cell r="O13106" t="str">
            <v/>
          </cell>
        </row>
        <row r="13107">
          <cell r="O13107" t="str">
            <v/>
          </cell>
        </row>
        <row r="13108">
          <cell r="O13108" t="str">
            <v/>
          </cell>
        </row>
        <row r="13109">
          <cell r="O13109" t="str">
            <v/>
          </cell>
        </row>
        <row r="13110">
          <cell r="O13110" t="str">
            <v/>
          </cell>
        </row>
        <row r="13111">
          <cell r="O13111" t="str">
            <v/>
          </cell>
        </row>
        <row r="13112">
          <cell r="O13112" t="str">
            <v/>
          </cell>
        </row>
        <row r="13113">
          <cell r="O13113" t="str">
            <v/>
          </cell>
        </row>
        <row r="13114">
          <cell r="O13114" t="str">
            <v/>
          </cell>
        </row>
        <row r="13115">
          <cell r="O13115" t="str">
            <v/>
          </cell>
        </row>
        <row r="13116">
          <cell r="O13116" t="str">
            <v/>
          </cell>
        </row>
        <row r="13117">
          <cell r="O13117" t="str">
            <v/>
          </cell>
        </row>
        <row r="13118">
          <cell r="O13118" t="str">
            <v/>
          </cell>
        </row>
        <row r="13119">
          <cell r="O13119" t="str">
            <v/>
          </cell>
        </row>
        <row r="13120">
          <cell r="O13120" t="str">
            <v/>
          </cell>
        </row>
        <row r="13121">
          <cell r="O13121" t="str">
            <v/>
          </cell>
        </row>
        <row r="13122">
          <cell r="O13122" t="str">
            <v/>
          </cell>
        </row>
        <row r="13123">
          <cell r="O13123" t="str">
            <v/>
          </cell>
        </row>
        <row r="13124">
          <cell r="O13124" t="str">
            <v/>
          </cell>
        </row>
        <row r="13125">
          <cell r="O13125" t="str">
            <v/>
          </cell>
        </row>
        <row r="13126">
          <cell r="O13126" t="str">
            <v/>
          </cell>
        </row>
        <row r="13127">
          <cell r="O13127" t="str">
            <v/>
          </cell>
        </row>
        <row r="13128">
          <cell r="O13128" t="str">
            <v/>
          </cell>
        </row>
        <row r="13129">
          <cell r="O13129" t="str">
            <v/>
          </cell>
        </row>
        <row r="13130">
          <cell r="O13130" t="str">
            <v/>
          </cell>
        </row>
        <row r="13131">
          <cell r="O13131" t="str">
            <v/>
          </cell>
        </row>
        <row r="13132">
          <cell r="O13132" t="str">
            <v/>
          </cell>
        </row>
        <row r="13133">
          <cell r="O13133" t="str">
            <v/>
          </cell>
        </row>
        <row r="13134">
          <cell r="O13134" t="str">
            <v/>
          </cell>
        </row>
        <row r="13135">
          <cell r="O13135" t="str">
            <v/>
          </cell>
        </row>
        <row r="13136">
          <cell r="O13136" t="str">
            <v/>
          </cell>
        </row>
        <row r="13137">
          <cell r="O13137" t="str">
            <v/>
          </cell>
        </row>
        <row r="13138">
          <cell r="O13138" t="str">
            <v/>
          </cell>
        </row>
        <row r="13139">
          <cell r="O13139" t="str">
            <v/>
          </cell>
        </row>
        <row r="13140">
          <cell r="O13140" t="str">
            <v/>
          </cell>
        </row>
        <row r="13141">
          <cell r="O13141" t="str">
            <v/>
          </cell>
        </row>
        <row r="13142">
          <cell r="O13142" t="str">
            <v/>
          </cell>
        </row>
        <row r="13143">
          <cell r="O13143" t="str">
            <v/>
          </cell>
        </row>
        <row r="13144">
          <cell r="O13144" t="str">
            <v/>
          </cell>
        </row>
        <row r="13145">
          <cell r="O13145" t="str">
            <v/>
          </cell>
        </row>
        <row r="13146">
          <cell r="O13146" t="str">
            <v/>
          </cell>
        </row>
        <row r="13147">
          <cell r="O13147" t="str">
            <v/>
          </cell>
        </row>
        <row r="13148">
          <cell r="O13148" t="str">
            <v/>
          </cell>
        </row>
        <row r="13149">
          <cell r="O13149" t="str">
            <v/>
          </cell>
        </row>
        <row r="13150">
          <cell r="O13150" t="str">
            <v/>
          </cell>
        </row>
        <row r="13151">
          <cell r="O13151" t="str">
            <v/>
          </cell>
        </row>
        <row r="13152">
          <cell r="O13152" t="str">
            <v/>
          </cell>
        </row>
        <row r="13153">
          <cell r="O13153" t="str">
            <v/>
          </cell>
        </row>
        <row r="13154">
          <cell r="O13154" t="str">
            <v/>
          </cell>
        </row>
        <row r="13155">
          <cell r="O13155" t="str">
            <v/>
          </cell>
        </row>
        <row r="13156">
          <cell r="O13156" t="str">
            <v/>
          </cell>
        </row>
        <row r="13157">
          <cell r="O13157" t="str">
            <v/>
          </cell>
        </row>
        <row r="13158">
          <cell r="O13158" t="str">
            <v/>
          </cell>
        </row>
        <row r="13159">
          <cell r="O13159" t="str">
            <v/>
          </cell>
        </row>
        <row r="13160">
          <cell r="O13160" t="str">
            <v/>
          </cell>
        </row>
        <row r="13161">
          <cell r="O13161" t="str">
            <v/>
          </cell>
        </row>
        <row r="13162">
          <cell r="O13162" t="str">
            <v/>
          </cell>
        </row>
        <row r="13163">
          <cell r="O13163" t="str">
            <v/>
          </cell>
        </row>
        <row r="13164">
          <cell r="O13164" t="str">
            <v/>
          </cell>
        </row>
        <row r="13165">
          <cell r="O13165" t="str">
            <v/>
          </cell>
        </row>
        <row r="13166">
          <cell r="O13166" t="str">
            <v/>
          </cell>
        </row>
        <row r="13167">
          <cell r="O13167" t="str">
            <v/>
          </cell>
        </row>
        <row r="13168">
          <cell r="O13168" t="str">
            <v/>
          </cell>
        </row>
        <row r="13169">
          <cell r="O13169" t="str">
            <v/>
          </cell>
        </row>
        <row r="13170">
          <cell r="O13170" t="str">
            <v/>
          </cell>
        </row>
        <row r="13171">
          <cell r="O13171" t="str">
            <v/>
          </cell>
        </row>
        <row r="13172">
          <cell r="O13172" t="str">
            <v/>
          </cell>
        </row>
        <row r="13173">
          <cell r="O13173" t="str">
            <v/>
          </cell>
        </row>
        <row r="13174">
          <cell r="O13174" t="str">
            <v/>
          </cell>
        </row>
        <row r="13175">
          <cell r="O13175" t="str">
            <v/>
          </cell>
        </row>
        <row r="13176">
          <cell r="O13176" t="str">
            <v/>
          </cell>
        </row>
        <row r="13177">
          <cell r="O13177" t="str">
            <v/>
          </cell>
        </row>
        <row r="13178">
          <cell r="O13178" t="str">
            <v/>
          </cell>
        </row>
        <row r="13179">
          <cell r="O13179" t="str">
            <v/>
          </cell>
        </row>
        <row r="13180">
          <cell r="O13180" t="str">
            <v/>
          </cell>
        </row>
        <row r="13181">
          <cell r="O13181" t="str">
            <v/>
          </cell>
        </row>
        <row r="13182">
          <cell r="O13182" t="str">
            <v/>
          </cell>
        </row>
        <row r="13183">
          <cell r="O13183" t="str">
            <v/>
          </cell>
        </row>
        <row r="13184">
          <cell r="O13184" t="str">
            <v/>
          </cell>
        </row>
        <row r="13185">
          <cell r="O13185" t="str">
            <v/>
          </cell>
        </row>
        <row r="13186">
          <cell r="O13186" t="str">
            <v/>
          </cell>
        </row>
        <row r="13187">
          <cell r="O13187" t="str">
            <v/>
          </cell>
        </row>
        <row r="13188">
          <cell r="O13188" t="str">
            <v/>
          </cell>
        </row>
        <row r="13189">
          <cell r="O13189" t="str">
            <v/>
          </cell>
        </row>
        <row r="13190">
          <cell r="O13190" t="str">
            <v/>
          </cell>
        </row>
        <row r="13191">
          <cell r="O13191" t="str">
            <v/>
          </cell>
        </row>
        <row r="13192">
          <cell r="O13192" t="str">
            <v/>
          </cell>
        </row>
        <row r="13193">
          <cell r="O13193" t="str">
            <v/>
          </cell>
        </row>
        <row r="13194">
          <cell r="O13194" t="str">
            <v/>
          </cell>
        </row>
        <row r="13195">
          <cell r="O13195" t="str">
            <v/>
          </cell>
        </row>
        <row r="13196">
          <cell r="O13196" t="str">
            <v/>
          </cell>
        </row>
        <row r="13197">
          <cell r="O13197" t="str">
            <v/>
          </cell>
        </row>
        <row r="13198">
          <cell r="O13198" t="str">
            <v/>
          </cell>
        </row>
        <row r="13199">
          <cell r="O13199" t="str">
            <v/>
          </cell>
        </row>
        <row r="13200">
          <cell r="O13200" t="str">
            <v/>
          </cell>
        </row>
        <row r="13201">
          <cell r="O13201" t="str">
            <v/>
          </cell>
        </row>
        <row r="13202">
          <cell r="O13202" t="str">
            <v/>
          </cell>
        </row>
        <row r="13203">
          <cell r="O13203" t="str">
            <v/>
          </cell>
        </row>
        <row r="13204">
          <cell r="O13204" t="str">
            <v/>
          </cell>
        </row>
        <row r="13205">
          <cell r="O13205" t="str">
            <v/>
          </cell>
        </row>
        <row r="13206">
          <cell r="O13206" t="str">
            <v/>
          </cell>
        </row>
        <row r="13207">
          <cell r="O13207" t="str">
            <v/>
          </cell>
        </row>
        <row r="13208">
          <cell r="O13208" t="str">
            <v/>
          </cell>
        </row>
        <row r="13209">
          <cell r="O13209" t="str">
            <v/>
          </cell>
        </row>
        <row r="13210">
          <cell r="O13210" t="str">
            <v/>
          </cell>
        </row>
        <row r="13211">
          <cell r="O13211" t="str">
            <v/>
          </cell>
        </row>
        <row r="13212">
          <cell r="O13212" t="str">
            <v/>
          </cell>
        </row>
        <row r="13213">
          <cell r="O13213" t="str">
            <v/>
          </cell>
        </row>
        <row r="13214">
          <cell r="O13214" t="str">
            <v/>
          </cell>
        </row>
        <row r="13215">
          <cell r="O13215" t="str">
            <v/>
          </cell>
        </row>
        <row r="13216">
          <cell r="O13216" t="str">
            <v/>
          </cell>
        </row>
        <row r="13217">
          <cell r="O13217" t="str">
            <v/>
          </cell>
        </row>
        <row r="13218">
          <cell r="O13218" t="str">
            <v/>
          </cell>
        </row>
        <row r="13219">
          <cell r="O13219" t="str">
            <v/>
          </cell>
        </row>
        <row r="13220">
          <cell r="O13220" t="str">
            <v/>
          </cell>
        </row>
        <row r="13221">
          <cell r="O13221" t="str">
            <v/>
          </cell>
        </row>
        <row r="13222">
          <cell r="O13222" t="str">
            <v/>
          </cell>
        </row>
        <row r="13223">
          <cell r="O13223" t="str">
            <v/>
          </cell>
        </row>
        <row r="13224">
          <cell r="O13224" t="str">
            <v/>
          </cell>
        </row>
        <row r="13225">
          <cell r="O13225" t="str">
            <v/>
          </cell>
        </row>
        <row r="13226">
          <cell r="O13226" t="str">
            <v/>
          </cell>
        </row>
        <row r="13227">
          <cell r="O13227" t="str">
            <v/>
          </cell>
        </row>
        <row r="13228">
          <cell r="O13228" t="str">
            <v/>
          </cell>
        </row>
        <row r="13229">
          <cell r="O13229" t="str">
            <v/>
          </cell>
        </row>
        <row r="13230">
          <cell r="O13230" t="str">
            <v/>
          </cell>
        </row>
        <row r="13231">
          <cell r="O13231" t="str">
            <v/>
          </cell>
        </row>
        <row r="13232">
          <cell r="O13232" t="str">
            <v/>
          </cell>
        </row>
        <row r="13233">
          <cell r="O13233" t="str">
            <v/>
          </cell>
        </row>
        <row r="13234">
          <cell r="O13234" t="str">
            <v/>
          </cell>
        </row>
        <row r="13235">
          <cell r="O13235" t="str">
            <v/>
          </cell>
        </row>
        <row r="13236">
          <cell r="O13236" t="str">
            <v/>
          </cell>
        </row>
        <row r="13237">
          <cell r="O13237" t="str">
            <v/>
          </cell>
        </row>
        <row r="13238">
          <cell r="O13238" t="str">
            <v/>
          </cell>
        </row>
        <row r="13239">
          <cell r="O13239" t="str">
            <v/>
          </cell>
        </row>
        <row r="13240">
          <cell r="O13240" t="str">
            <v/>
          </cell>
        </row>
        <row r="13241">
          <cell r="O13241" t="str">
            <v/>
          </cell>
        </row>
        <row r="13242">
          <cell r="O13242" t="str">
            <v/>
          </cell>
        </row>
        <row r="13243">
          <cell r="O13243" t="str">
            <v/>
          </cell>
        </row>
        <row r="13244">
          <cell r="O13244" t="str">
            <v/>
          </cell>
        </row>
        <row r="13245">
          <cell r="O13245" t="str">
            <v/>
          </cell>
        </row>
        <row r="13246">
          <cell r="O13246" t="str">
            <v/>
          </cell>
        </row>
        <row r="13247">
          <cell r="O13247" t="str">
            <v/>
          </cell>
        </row>
        <row r="13248">
          <cell r="O13248" t="str">
            <v/>
          </cell>
        </row>
        <row r="13249">
          <cell r="O13249" t="str">
            <v/>
          </cell>
        </row>
        <row r="13250">
          <cell r="O13250" t="str">
            <v/>
          </cell>
        </row>
        <row r="13251">
          <cell r="O13251" t="str">
            <v/>
          </cell>
        </row>
        <row r="13252">
          <cell r="O13252" t="str">
            <v/>
          </cell>
        </row>
        <row r="13253">
          <cell r="O13253" t="str">
            <v/>
          </cell>
        </row>
        <row r="13254">
          <cell r="O13254" t="str">
            <v/>
          </cell>
        </row>
        <row r="13255">
          <cell r="O13255" t="str">
            <v/>
          </cell>
        </row>
        <row r="13256">
          <cell r="O13256" t="str">
            <v/>
          </cell>
        </row>
        <row r="13257">
          <cell r="O13257" t="str">
            <v/>
          </cell>
        </row>
        <row r="13258">
          <cell r="O13258" t="str">
            <v/>
          </cell>
        </row>
        <row r="13259">
          <cell r="O13259" t="str">
            <v/>
          </cell>
        </row>
        <row r="13260">
          <cell r="O13260" t="str">
            <v/>
          </cell>
        </row>
        <row r="13261">
          <cell r="O13261" t="str">
            <v/>
          </cell>
        </row>
        <row r="13262">
          <cell r="O13262" t="str">
            <v/>
          </cell>
        </row>
        <row r="13263">
          <cell r="O13263" t="str">
            <v/>
          </cell>
        </row>
        <row r="13264">
          <cell r="O13264" t="str">
            <v/>
          </cell>
        </row>
        <row r="13265">
          <cell r="O13265" t="str">
            <v/>
          </cell>
        </row>
        <row r="13266">
          <cell r="O13266" t="str">
            <v/>
          </cell>
        </row>
        <row r="13267">
          <cell r="O13267" t="str">
            <v/>
          </cell>
        </row>
        <row r="13268">
          <cell r="O13268" t="str">
            <v/>
          </cell>
        </row>
        <row r="13269">
          <cell r="O13269" t="str">
            <v/>
          </cell>
        </row>
        <row r="13270">
          <cell r="O13270" t="str">
            <v/>
          </cell>
        </row>
        <row r="13271">
          <cell r="O13271" t="str">
            <v/>
          </cell>
        </row>
        <row r="13272">
          <cell r="O13272" t="str">
            <v/>
          </cell>
        </row>
        <row r="13273">
          <cell r="O13273" t="str">
            <v/>
          </cell>
        </row>
        <row r="13274">
          <cell r="O13274" t="str">
            <v/>
          </cell>
        </row>
        <row r="13275">
          <cell r="O13275" t="str">
            <v/>
          </cell>
        </row>
        <row r="13276">
          <cell r="O13276" t="str">
            <v/>
          </cell>
        </row>
        <row r="13277">
          <cell r="O13277" t="str">
            <v/>
          </cell>
        </row>
        <row r="13278">
          <cell r="O13278" t="str">
            <v/>
          </cell>
        </row>
        <row r="13279">
          <cell r="O13279" t="str">
            <v/>
          </cell>
        </row>
        <row r="13280">
          <cell r="O13280" t="str">
            <v/>
          </cell>
        </row>
        <row r="13281">
          <cell r="O13281" t="str">
            <v/>
          </cell>
        </row>
        <row r="13282">
          <cell r="O13282" t="str">
            <v/>
          </cell>
        </row>
        <row r="13283">
          <cell r="O13283" t="str">
            <v/>
          </cell>
        </row>
        <row r="13284">
          <cell r="O13284" t="str">
            <v/>
          </cell>
        </row>
        <row r="13285">
          <cell r="O13285" t="str">
            <v/>
          </cell>
        </row>
        <row r="13286">
          <cell r="O13286" t="str">
            <v/>
          </cell>
        </row>
        <row r="13287">
          <cell r="O13287" t="str">
            <v/>
          </cell>
        </row>
        <row r="13288">
          <cell r="O13288" t="str">
            <v/>
          </cell>
        </row>
        <row r="13289">
          <cell r="O13289" t="str">
            <v/>
          </cell>
        </row>
        <row r="13290">
          <cell r="O13290" t="str">
            <v/>
          </cell>
        </row>
        <row r="13291">
          <cell r="O13291" t="str">
            <v/>
          </cell>
        </row>
        <row r="13292">
          <cell r="O13292" t="str">
            <v/>
          </cell>
        </row>
        <row r="13293">
          <cell r="O13293" t="str">
            <v/>
          </cell>
        </row>
        <row r="13294">
          <cell r="O13294" t="str">
            <v/>
          </cell>
        </row>
        <row r="13295">
          <cell r="O13295" t="str">
            <v/>
          </cell>
        </row>
        <row r="13296">
          <cell r="O13296" t="str">
            <v/>
          </cell>
        </row>
        <row r="13297">
          <cell r="O13297" t="str">
            <v/>
          </cell>
        </row>
        <row r="13298">
          <cell r="O13298" t="str">
            <v/>
          </cell>
        </row>
        <row r="13299">
          <cell r="O13299" t="str">
            <v/>
          </cell>
        </row>
        <row r="13300">
          <cell r="O13300" t="str">
            <v/>
          </cell>
        </row>
        <row r="13301">
          <cell r="O13301" t="str">
            <v/>
          </cell>
        </row>
        <row r="13302">
          <cell r="O13302" t="str">
            <v/>
          </cell>
        </row>
        <row r="13303">
          <cell r="O13303" t="str">
            <v/>
          </cell>
        </row>
        <row r="13304">
          <cell r="O13304" t="str">
            <v/>
          </cell>
        </row>
        <row r="13305">
          <cell r="O13305" t="str">
            <v/>
          </cell>
        </row>
        <row r="13306">
          <cell r="O13306" t="str">
            <v/>
          </cell>
        </row>
        <row r="13307">
          <cell r="O13307" t="str">
            <v/>
          </cell>
        </row>
        <row r="13308">
          <cell r="O13308" t="str">
            <v/>
          </cell>
        </row>
        <row r="13309">
          <cell r="O13309" t="str">
            <v/>
          </cell>
        </row>
        <row r="13310">
          <cell r="O13310" t="str">
            <v/>
          </cell>
        </row>
        <row r="13311">
          <cell r="O13311" t="str">
            <v/>
          </cell>
        </row>
        <row r="13312">
          <cell r="O13312" t="str">
            <v/>
          </cell>
        </row>
        <row r="13313">
          <cell r="O13313" t="str">
            <v/>
          </cell>
        </row>
        <row r="13314">
          <cell r="O13314" t="str">
            <v/>
          </cell>
        </row>
        <row r="13315">
          <cell r="O13315" t="str">
            <v/>
          </cell>
        </row>
        <row r="13316">
          <cell r="O13316" t="str">
            <v/>
          </cell>
        </row>
        <row r="13317">
          <cell r="O13317" t="str">
            <v/>
          </cell>
        </row>
        <row r="13318">
          <cell r="O13318" t="str">
            <v/>
          </cell>
        </row>
        <row r="13319">
          <cell r="O13319" t="str">
            <v/>
          </cell>
        </row>
        <row r="13320">
          <cell r="O13320" t="str">
            <v/>
          </cell>
        </row>
        <row r="13321">
          <cell r="O13321" t="str">
            <v/>
          </cell>
        </row>
        <row r="13322">
          <cell r="O13322" t="str">
            <v/>
          </cell>
        </row>
        <row r="13323">
          <cell r="O13323" t="str">
            <v/>
          </cell>
        </row>
        <row r="13324">
          <cell r="O13324" t="str">
            <v/>
          </cell>
        </row>
        <row r="13325">
          <cell r="O13325" t="str">
            <v/>
          </cell>
        </row>
        <row r="13326">
          <cell r="O13326" t="str">
            <v/>
          </cell>
        </row>
        <row r="13327">
          <cell r="O13327" t="str">
            <v/>
          </cell>
        </row>
        <row r="13328">
          <cell r="O13328" t="str">
            <v/>
          </cell>
        </row>
        <row r="13329">
          <cell r="O13329" t="str">
            <v/>
          </cell>
        </row>
        <row r="13330">
          <cell r="O13330" t="str">
            <v/>
          </cell>
        </row>
        <row r="13331">
          <cell r="O13331" t="str">
            <v/>
          </cell>
        </row>
        <row r="13332">
          <cell r="O13332" t="str">
            <v/>
          </cell>
        </row>
        <row r="13333">
          <cell r="O13333" t="str">
            <v/>
          </cell>
        </row>
        <row r="13334">
          <cell r="O13334" t="str">
            <v/>
          </cell>
        </row>
        <row r="13335">
          <cell r="O13335" t="str">
            <v/>
          </cell>
        </row>
        <row r="13336">
          <cell r="O13336" t="str">
            <v/>
          </cell>
        </row>
        <row r="13337">
          <cell r="O13337" t="str">
            <v/>
          </cell>
        </row>
        <row r="13338">
          <cell r="O13338" t="str">
            <v/>
          </cell>
        </row>
        <row r="13339">
          <cell r="O13339" t="str">
            <v/>
          </cell>
        </row>
        <row r="13340">
          <cell r="O13340" t="str">
            <v/>
          </cell>
        </row>
        <row r="13341">
          <cell r="O13341" t="str">
            <v/>
          </cell>
        </row>
        <row r="13342">
          <cell r="O13342" t="str">
            <v/>
          </cell>
        </row>
        <row r="13343">
          <cell r="O13343" t="str">
            <v/>
          </cell>
        </row>
        <row r="13344">
          <cell r="O13344" t="str">
            <v/>
          </cell>
        </row>
        <row r="13345">
          <cell r="O13345" t="str">
            <v/>
          </cell>
        </row>
        <row r="13346">
          <cell r="O13346" t="str">
            <v/>
          </cell>
        </row>
        <row r="13347">
          <cell r="O13347" t="str">
            <v/>
          </cell>
        </row>
        <row r="13348">
          <cell r="O13348" t="str">
            <v/>
          </cell>
        </row>
        <row r="13349">
          <cell r="O13349" t="str">
            <v/>
          </cell>
        </row>
        <row r="13350">
          <cell r="O13350" t="str">
            <v/>
          </cell>
        </row>
        <row r="13351">
          <cell r="O13351" t="str">
            <v/>
          </cell>
        </row>
        <row r="13352">
          <cell r="O13352" t="str">
            <v/>
          </cell>
        </row>
        <row r="13353">
          <cell r="O13353" t="str">
            <v/>
          </cell>
        </row>
        <row r="13354">
          <cell r="O13354" t="str">
            <v/>
          </cell>
        </row>
        <row r="13355">
          <cell r="O13355" t="str">
            <v/>
          </cell>
        </row>
        <row r="13356">
          <cell r="O13356" t="str">
            <v/>
          </cell>
        </row>
        <row r="13357">
          <cell r="O13357" t="str">
            <v/>
          </cell>
        </row>
        <row r="13358">
          <cell r="O13358" t="str">
            <v/>
          </cell>
        </row>
        <row r="13359">
          <cell r="O13359" t="str">
            <v/>
          </cell>
        </row>
        <row r="13360">
          <cell r="O13360" t="str">
            <v/>
          </cell>
        </row>
        <row r="13361">
          <cell r="O13361" t="str">
            <v/>
          </cell>
        </row>
        <row r="13362">
          <cell r="O13362" t="str">
            <v/>
          </cell>
        </row>
        <row r="13363">
          <cell r="O13363" t="str">
            <v/>
          </cell>
        </row>
        <row r="13364">
          <cell r="O13364" t="str">
            <v/>
          </cell>
        </row>
        <row r="13365">
          <cell r="O13365" t="str">
            <v/>
          </cell>
        </row>
        <row r="13366">
          <cell r="O13366" t="str">
            <v/>
          </cell>
        </row>
        <row r="13367">
          <cell r="O13367" t="str">
            <v/>
          </cell>
        </row>
        <row r="13368">
          <cell r="O13368" t="str">
            <v/>
          </cell>
        </row>
        <row r="13369">
          <cell r="O13369" t="str">
            <v/>
          </cell>
        </row>
        <row r="13370">
          <cell r="O13370" t="str">
            <v/>
          </cell>
        </row>
        <row r="13371">
          <cell r="O13371" t="str">
            <v/>
          </cell>
        </row>
        <row r="13372">
          <cell r="O13372" t="str">
            <v/>
          </cell>
        </row>
        <row r="13373">
          <cell r="O13373" t="str">
            <v/>
          </cell>
        </row>
        <row r="13374">
          <cell r="O13374" t="str">
            <v/>
          </cell>
        </row>
        <row r="13375">
          <cell r="O13375" t="str">
            <v/>
          </cell>
        </row>
        <row r="13376">
          <cell r="O13376" t="str">
            <v/>
          </cell>
        </row>
        <row r="13377">
          <cell r="O13377" t="str">
            <v/>
          </cell>
        </row>
        <row r="13378">
          <cell r="O13378" t="str">
            <v/>
          </cell>
        </row>
        <row r="13379">
          <cell r="O13379" t="str">
            <v/>
          </cell>
        </row>
        <row r="13380">
          <cell r="O13380" t="str">
            <v/>
          </cell>
        </row>
        <row r="13381">
          <cell r="O13381" t="str">
            <v/>
          </cell>
        </row>
        <row r="13382">
          <cell r="O13382" t="str">
            <v/>
          </cell>
        </row>
        <row r="13383">
          <cell r="O13383" t="str">
            <v/>
          </cell>
        </row>
        <row r="13384">
          <cell r="O13384" t="str">
            <v/>
          </cell>
        </row>
        <row r="13385">
          <cell r="O13385" t="str">
            <v/>
          </cell>
        </row>
        <row r="13386">
          <cell r="O13386" t="str">
            <v/>
          </cell>
        </row>
        <row r="13387">
          <cell r="O13387" t="str">
            <v/>
          </cell>
        </row>
        <row r="13388">
          <cell r="O13388" t="str">
            <v/>
          </cell>
        </row>
        <row r="13389">
          <cell r="O13389" t="str">
            <v/>
          </cell>
        </row>
        <row r="13390">
          <cell r="O13390" t="str">
            <v/>
          </cell>
        </row>
        <row r="13391">
          <cell r="O13391" t="str">
            <v/>
          </cell>
        </row>
        <row r="13392">
          <cell r="O13392" t="str">
            <v/>
          </cell>
        </row>
        <row r="13393">
          <cell r="O13393" t="str">
            <v/>
          </cell>
        </row>
        <row r="13394">
          <cell r="O13394" t="str">
            <v/>
          </cell>
        </row>
        <row r="13395">
          <cell r="O13395" t="str">
            <v/>
          </cell>
        </row>
        <row r="13396">
          <cell r="O13396" t="str">
            <v/>
          </cell>
        </row>
        <row r="13397">
          <cell r="O13397" t="str">
            <v/>
          </cell>
        </row>
        <row r="13398">
          <cell r="O13398" t="str">
            <v/>
          </cell>
        </row>
        <row r="13399">
          <cell r="O13399" t="str">
            <v/>
          </cell>
        </row>
        <row r="13400">
          <cell r="O13400" t="str">
            <v/>
          </cell>
        </row>
        <row r="13401">
          <cell r="O13401" t="str">
            <v/>
          </cell>
        </row>
        <row r="13402">
          <cell r="O13402" t="str">
            <v/>
          </cell>
        </row>
        <row r="13403">
          <cell r="O13403" t="str">
            <v/>
          </cell>
        </row>
        <row r="13404">
          <cell r="O13404" t="str">
            <v/>
          </cell>
        </row>
        <row r="13405">
          <cell r="O13405" t="str">
            <v/>
          </cell>
        </row>
        <row r="13406">
          <cell r="O13406" t="str">
            <v/>
          </cell>
        </row>
        <row r="13407">
          <cell r="O13407" t="str">
            <v/>
          </cell>
        </row>
        <row r="13408">
          <cell r="O13408" t="str">
            <v/>
          </cell>
        </row>
        <row r="13409">
          <cell r="O13409" t="str">
            <v/>
          </cell>
        </row>
        <row r="13410">
          <cell r="O13410" t="str">
            <v/>
          </cell>
        </row>
        <row r="13411">
          <cell r="O13411" t="str">
            <v/>
          </cell>
        </row>
        <row r="13412">
          <cell r="O13412" t="str">
            <v/>
          </cell>
        </row>
        <row r="13413">
          <cell r="O13413" t="str">
            <v/>
          </cell>
        </row>
        <row r="13414">
          <cell r="O13414" t="str">
            <v/>
          </cell>
        </row>
        <row r="13415">
          <cell r="O13415" t="str">
            <v/>
          </cell>
        </row>
        <row r="13416">
          <cell r="O13416" t="str">
            <v/>
          </cell>
        </row>
        <row r="13417">
          <cell r="O13417" t="str">
            <v/>
          </cell>
        </row>
        <row r="13418">
          <cell r="O13418" t="str">
            <v/>
          </cell>
        </row>
        <row r="13419">
          <cell r="O13419" t="str">
            <v/>
          </cell>
        </row>
        <row r="13420">
          <cell r="O13420" t="str">
            <v/>
          </cell>
        </row>
        <row r="13421">
          <cell r="O13421" t="str">
            <v/>
          </cell>
        </row>
        <row r="13422">
          <cell r="O13422" t="str">
            <v/>
          </cell>
        </row>
        <row r="13423">
          <cell r="O13423" t="str">
            <v/>
          </cell>
        </row>
        <row r="13424">
          <cell r="O13424" t="str">
            <v/>
          </cell>
        </row>
        <row r="13425">
          <cell r="O13425" t="str">
            <v/>
          </cell>
        </row>
        <row r="13426">
          <cell r="O13426" t="str">
            <v/>
          </cell>
        </row>
        <row r="13427">
          <cell r="O13427" t="str">
            <v/>
          </cell>
        </row>
        <row r="13428">
          <cell r="O13428" t="str">
            <v/>
          </cell>
        </row>
        <row r="13429">
          <cell r="O13429" t="str">
            <v/>
          </cell>
        </row>
        <row r="13430">
          <cell r="O13430" t="str">
            <v/>
          </cell>
        </row>
        <row r="13431">
          <cell r="O13431" t="str">
            <v/>
          </cell>
        </row>
        <row r="13432">
          <cell r="O13432" t="str">
            <v/>
          </cell>
        </row>
        <row r="13433">
          <cell r="O13433" t="str">
            <v/>
          </cell>
        </row>
        <row r="13434">
          <cell r="O13434" t="str">
            <v/>
          </cell>
        </row>
        <row r="13435">
          <cell r="O13435" t="str">
            <v/>
          </cell>
        </row>
        <row r="13436">
          <cell r="O13436" t="str">
            <v/>
          </cell>
        </row>
        <row r="13437">
          <cell r="O13437" t="str">
            <v/>
          </cell>
        </row>
        <row r="13438">
          <cell r="O13438" t="str">
            <v/>
          </cell>
        </row>
        <row r="13439">
          <cell r="O13439" t="str">
            <v/>
          </cell>
        </row>
        <row r="13440">
          <cell r="O13440" t="str">
            <v/>
          </cell>
        </row>
        <row r="13441">
          <cell r="O13441" t="str">
            <v/>
          </cell>
        </row>
        <row r="13442">
          <cell r="O13442" t="str">
            <v/>
          </cell>
        </row>
        <row r="13443">
          <cell r="O13443" t="str">
            <v/>
          </cell>
        </row>
        <row r="13444">
          <cell r="O13444" t="str">
            <v/>
          </cell>
        </row>
        <row r="13445">
          <cell r="O13445" t="str">
            <v/>
          </cell>
        </row>
        <row r="13446">
          <cell r="O13446" t="str">
            <v/>
          </cell>
        </row>
        <row r="13447">
          <cell r="O13447" t="str">
            <v/>
          </cell>
        </row>
        <row r="13448">
          <cell r="O13448" t="str">
            <v/>
          </cell>
        </row>
        <row r="13449">
          <cell r="O13449" t="str">
            <v/>
          </cell>
        </row>
        <row r="13450">
          <cell r="O13450" t="str">
            <v/>
          </cell>
        </row>
        <row r="13451">
          <cell r="O13451" t="str">
            <v/>
          </cell>
        </row>
        <row r="13452">
          <cell r="O13452" t="str">
            <v/>
          </cell>
        </row>
        <row r="13453">
          <cell r="O13453" t="str">
            <v/>
          </cell>
        </row>
        <row r="13454">
          <cell r="O13454" t="str">
            <v/>
          </cell>
        </row>
        <row r="13455">
          <cell r="O13455" t="str">
            <v/>
          </cell>
        </row>
        <row r="13456">
          <cell r="O13456" t="str">
            <v/>
          </cell>
        </row>
        <row r="13457">
          <cell r="O13457" t="str">
            <v/>
          </cell>
        </row>
        <row r="13458">
          <cell r="O13458" t="str">
            <v/>
          </cell>
        </row>
        <row r="13459">
          <cell r="O13459" t="str">
            <v/>
          </cell>
        </row>
        <row r="13460">
          <cell r="O13460" t="str">
            <v/>
          </cell>
        </row>
        <row r="13461">
          <cell r="O13461" t="str">
            <v/>
          </cell>
        </row>
        <row r="13462">
          <cell r="O13462" t="str">
            <v/>
          </cell>
        </row>
        <row r="13463">
          <cell r="O13463" t="str">
            <v/>
          </cell>
        </row>
        <row r="13464">
          <cell r="O13464" t="str">
            <v/>
          </cell>
        </row>
        <row r="13465">
          <cell r="O13465" t="str">
            <v/>
          </cell>
        </row>
        <row r="13466">
          <cell r="O13466" t="str">
            <v/>
          </cell>
        </row>
        <row r="13467">
          <cell r="O13467" t="str">
            <v/>
          </cell>
        </row>
        <row r="13468">
          <cell r="O13468" t="str">
            <v/>
          </cell>
        </row>
        <row r="13469">
          <cell r="O13469" t="str">
            <v/>
          </cell>
        </row>
        <row r="13470">
          <cell r="O13470" t="str">
            <v/>
          </cell>
        </row>
        <row r="13471">
          <cell r="O13471" t="str">
            <v/>
          </cell>
        </row>
        <row r="13472">
          <cell r="O13472" t="str">
            <v/>
          </cell>
        </row>
        <row r="13473">
          <cell r="O13473" t="str">
            <v/>
          </cell>
        </row>
        <row r="13474">
          <cell r="O13474" t="str">
            <v/>
          </cell>
        </row>
        <row r="13475">
          <cell r="O13475" t="str">
            <v/>
          </cell>
        </row>
        <row r="13476">
          <cell r="O13476" t="str">
            <v/>
          </cell>
        </row>
        <row r="13477">
          <cell r="O13477" t="str">
            <v/>
          </cell>
        </row>
        <row r="13478">
          <cell r="O13478" t="str">
            <v/>
          </cell>
        </row>
        <row r="13479">
          <cell r="O13479" t="str">
            <v/>
          </cell>
        </row>
        <row r="13480">
          <cell r="O13480" t="str">
            <v/>
          </cell>
        </row>
        <row r="13481">
          <cell r="O13481" t="str">
            <v/>
          </cell>
        </row>
        <row r="13482">
          <cell r="O13482" t="str">
            <v/>
          </cell>
        </row>
        <row r="13483">
          <cell r="O13483" t="str">
            <v/>
          </cell>
        </row>
        <row r="13484">
          <cell r="O13484" t="str">
            <v/>
          </cell>
        </row>
        <row r="13485">
          <cell r="O13485" t="str">
            <v/>
          </cell>
        </row>
        <row r="13486">
          <cell r="O13486" t="str">
            <v/>
          </cell>
        </row>
        <row r="13487">
          <cell r="O13487" t="str">
            <v/>
          </cell>
        </row>
        <row r="13488">
          <cell r="O13488" t="str">
            <v/>
          </cell>
        </row>
        <row r="13489">
          <cell r="O13489" t="str">
            <v/>
          </cell>
        </row>
        <row r="13490">
          <cell r="O13490" t="str">
            <v/>
          </cell>
        </row>
        <row r="13491">
          <cell r="O13491" t="str">
            <v/>
          </cell>
        </row>
        <row r="13492">
          <cell r="O13492" t="str">
            <v/>
          </cell>
        </row>
        <row r="13493">
          <cell r="O13493" t="str">
            <v/>
          </cell>
        </row>
        <row r="13494">
          <cell r="O13494" t="str">
            <v/>
          </cell>
        </row>
        <row r="13495">
          <cell r="O13495" t="str">
            <v/>
          </cell>
        </row>
        <row r="13496">
          <cell r="O13496" t="str">
            <v/>
          </cell>
        </row>
        <row r="13497">
          <cell r="O13497" t="str">
            <v/>
          </cell>
        </row>
        <row r="13498">
          <cell r="O13498" t="str">
            <v/>
          </cell>
        </row>
        <row r="13499">
          <cell r="O13499" t="str">
            <v/>
          </cell>
        </row>
        <row r="13500">
          <cell r="O13500" t="str">
            <v/>
          </cell>
        </row>
        <row r="13501">
          <cell r="O13501" t="str">
            <v/>
          </cell>
        </row>
        <row r="13502">
          <cell r="O13502" t="str">
            <v/>
          </cell>
        </row>
        <row r="13503">
          <cell r="O13503" t="str">
            <v/>
          </cell>
        </row>
        <row r="13504">
          <cell r="O13504" t="str">
            <v/>
          </cell>
        </row>
        <row r="13505">
          <cell r="O13505" t="str">
            <v/>
          </cell>
        </row>
        <row r="13506">
          <cell r="O13506" t="str">
            <v/>
          </cell>
        </row>
        <row r="13507">
          <cell r="O13507" t="str">
            <v/>
          </cell>
        </row>
        <row r="13508">
          <cell r="O13508" t="str">
            <v/>
          </cell>
        </row>
        <row r="13509">
          <cell r="O13509" t="str">
            <v/>
          </cell>
        </row>
        <row r="13510">
          <cell r="O13510" t="str">
            <v/>
          </cell>
        </row>
        <row r="13511">
          <cell r="O13511" t="str">
            <v/>
          </cell>
        </row>
        <row r="13512">
          <cell r="O13512" t="str">
            <v/>
          </cell>
        </row>
        <row r="13513">
          <cell r="O13513" t="str">
            <v/>
          </cell>
        </row>
        <row r="13514">
          <cell r="O13514" t="str">
            <v/>
          </cell>
        </row>
        <row r="13515">
          <cell r="O13515" t="str">
            <v/>
          </cell>
        </row>
        <row r="13516">
          <cell r="O13516" t="str">
            <v/>
          </cell>
        </row>
        <row r="13517">
          <cell r="O13517" t="str">
            <v/>
          </cell>
        </row>
        <row r="13518">
          <cell r="O13518" t="str">
            <v/>
          </cell>
        </row>
        <row r="13519">
          <cell r="O13519" t="str">
            <v/>
          </cell>
        </row>
        <row r="13520">
          <cell r="O13520" t="str">
            <v/>
          </cell>
        </row>
        <row r="13521">
          <cell r="O13521" t="str">
            <v/>
          </cell>
        </row>
        <row r="13522">
          <cell r="O13522" t="str">
            <v/>
          </cell>
        </row>
        <row r="13523">
          <cell r="O13523" t="str">
            <v/>
          </cell>
        </row>
        <row r="13524">
          <cell r="O13524" t="str">
            <v/>
          </cell>
        </row>
        <row r="13525">
          <cell r="O13525" t="str">
            <v/>
          </cell>
        </row>
        <row r="13526">
          <cell r="O13526" t="str">
            <v/>
          </cell>
        </row>
        <row r="13527">
          <cell r="O13527" t="str">
            <v/>
          </cell>
        </row>
        <row r="13528">
          <cell r="O13528" t="str">
            <v/>
          </cell>
        </row>
        <row r="13529">
          <cell r="O13529" t="str">
            <v/>
          </cell>
        </row>
        <row r="13530">
          <cell r="O13530" t="str">
            <v/>
          </cell>
        </row>
        <row r="13531">
          <cell r="O13531" t="str">
            <v/>
          </cell>
        </row>
        <row r="13532">
          <cell r="O13532" t="str">
            <v/>
          </cell>
        </row>
        <row r="13533">
          <cell r="O13533" t="str">
            <v/>
          </cell>
        </row>
        <row r="13534">
          <cell r="O13534" t="str">
            <v/>
          </cell>
        </row>
        <row r="13535">
          <cell r="O13535" t="str">
            <v/>
          </cell>
        </row>
        <row r="13536">
          <cell r="O13536" t="str">
            <v/>
          </cell>
        </row>
        <row r="13537">
          <cell r="O13537" t="str">
            <v/>
          </cell>
        </row>
        <row r="13538">
          <cell r="O13538" t="str">
            <v/>
          </cell>
        </row>
        <row r="13539">
          <cell r="O13539" t="str">
            <v/>
          </cell>
        </row>
        <row r="13540">
          <cell r="O13540" t="str">
            <v/>
          </cell>
        </row>
        <row r="13541">
          <cell r="O13541" t="str">
            <v/>
          </cell>
        </row>
        <row r="13542">
          <cell r="O13542" t="str">
            <v/>
          </cell>
        </row>
        <row r="13543">
          <cell r="O13543" t="str">
            <v/>
          </cell>
        </row>
        <row r="13544">
          <cell r="O13544" t="str">
            <v/>
          </cell>
        </row>
        <row r="13545">
          <cell r="O13545" t="str">
            <v/>
          </cell>
        </row>
        <row r="13546">
          <cell r="O13546" t="str">
            <v/>
          </cell>
        </row>
        <row r="13547">
          <cell r="O13547" t="str">
            <v/>
          </cell>
        </row>
        <row r="13548">
          <cell r="O13548" t="str">
            <v/>
          </cell>
        </row>
        <row r="13549">
          <cell r="O13549" t="str">
            <v/>
          </cell>
        </row>
        <row r="13550">
          <cell r="O13550" t="str">
            <v/>
          </cell>
        </row>
        <row r="13551">
          <cell r="O13551" t="str">
            <v/>
          </cell>
        </row>
        <row r="13552">
          <cell r="O13552" t="str">
            <v/>
          </cell>
        </row>
        <row r="13553">
          <cell r="O13553" t="str">
            <v/>
          </cell>
        </row>
        <row r="13554">
          <cell r="O13554" t="str">
            <v/>
          </cell>
        </row>
        <row r="13555">
          <cell r="O13555" t="str">
            <v/>
          </cell>
        </row>
        <row r="13556">
          <cell r="O13556" t="str">
            <v/>
          </cell>
        </row>
        <row r="13557">
          <cell r="O13557" t="str">
            <v/>
          </cell>
        </row>
        <row r="13558">
          <cell r="O13558" t="str">
            <v/>
          </cell>
        </row>
        <row r="13559">
          <cell r="O13559" t="str">
            <v/>
          </cell>
        </row>
        <row r="13560">
          <cell r="O13560" t="str">
            <v/>
          </cell>
        </row>
        <row r="13561">
          <cell r="O13561" t="str">
            <v/>
          </cell>
        </row>
        <row r="13562">
          <cell r="O13562" t="str">
            <v/>
          </cell>
        </row>
        <row r="13563">
          <cell r="O13563" t="str">
            <v/>
          </cell>
        </row>
        <row r="13564">
          <cell r="O13564" t="str">
            <v/>
          </cell>
        </row>
        <row r="13565">
          <cell r="O13565" t="str">
            <v/>
          </cell>
        </row>
        <row r="13566">
          <cell r="O13566" t="str">
            <v/>
          </cell>
        </row>
        <row r="13567">
          <cell r="O13567" t="str">
            <v/>
          </cell>
        </row>
        <row r="13568">
          <cell r="O13568" t="str">
            <v/>
          </cell>
        </row>
        <row r="13569">
          <cell r="O13569" t="str">
            <v/>
          </cell>
        </row>
        <row r="13570">
          <cell r="O13570" t="str">
            <v/>
          </cell>
        </row>
        <row r="13571">
          <cell r="O13571" t="str">
            <v/>
          </cell>
        </row>
        <row r="13572">
          <cell r="O13572" t="str">
            <v/>
          </cell>
        </row>
        <row r="13573">
          <cell r="O13573" t="str">
            <v/>
          </cell>
        </row>
        <row r="13574">
          <cell r="O13574" t="str">
            <v/>
          </cell>
        </row>
        <row r="13575">
          <cell r="O13575" t="str">
            <v/>
          </cell>
        </row>
        <row r="13576">
          <cell r="O13576" t="str">
            <v/>
          </cell>
        </row>
        <row r="13577">
          <cell r="O13577" t="str">
            <v/>
          </cell>
        </row>
        <row r="13578">
          <cell r="O13578" t="str">
            <v/>
          </cell>
        </row>
        <row r="13579">
          <cell r="O13579" t="str">
            <v/>
          </cell>
        </row>
        <row r="13580">
          <cell r="O13580" t="str">
            <v/>
          </cell>
        </row>
        <row r="13581">
          <cell r="O13581" t="str">
            <v/>
          </cell>
        </row>
        <row r="13582">
          <cell r="O13582" t="str">
            <v/>
          </cell>
        </row>
        <row r="13583">
          <cell r="O13583" t="str">
            <v/>
          </cell>
        </row>
        <row r="13584">
          <cell r="O13584" t="str">
            <v/>
          </cell>
        </row>
        <row r="13585">
          <cell r="O13585" t="str">
            <v/>
          </cell>
        </row>
        <row r="13586">
          <cell r="O13586" t="str">
            <v/>
          </cell>
        </row>
        <row r="13587">
          <cell r="O13587" t="str">
            <v/>
          </cell>
        </row>
        <row r="13588">
          <cell r="O13588" t="str">
            <v/>
          </cell>
        </row>
        <row r="13589">
          <cell r="O13589" t="str">
            <v/>
          </cell>
        </row>
        <row r="13590">
          <cell r="O13590" t="str">
            <v/>
          </cell>
        </row>
        <row r="13591">
          <cell r="O13591" t="str">
            <v/>
          </cell>
        </row>
        <row r="13592">
          <cell r="O13592" t="str">
            <v/>
          </cell>
        </row>
        <row r="13593">
          <cell r="O13593" t="str">
            <v/>
          </cell>
        </row>
        <row r="13594">
          <cell r="O13594" t="str">
            <v/>
          </cell>
        </row>
        <row r="13595">
          <cell r="O13595" t="str">
            <v/>
          </cell>
        </row>
        <row r="13596">
          <cell r="O13596" t="str">
            <v/>
          </cell>
        </row>
        <row r="13597">
          <cell r="O13597" t="str">
            <v/>
          </cell>
        </row>
        <row r="13598">
          <cell r="O13598" t="str">
            <v/>
          </cell>
        </row>
        <row r="13599">
          <cell r="O13599" t="str">
            <v/>
          </cell>
        </row>
        <row r="13600">
          <cell r="O13600" t="str">
            <v/>
          </cell>
        </row>
        <row r="13601">
          <cell r="O13601" t="str">
            <v/>
          </cell>
        </row>
        <row r="13602">
          <cell r="O13602" t="str">
            <v/>
          </cell>
        </row>
        <row r="13603">
          <cell r="O13603" t="str">
            <v/>
          </cell>
        </row>
        <row r="13604">
          <cell r="O13604" t="str">
            <v/>
          </cell>
        </row>
        <row r="13605">
          <cell r="O13605" t="str">
            <v/>
          </cell>
        </row>
        <row r="13606">
          <cell r="O13606" t="str">
            <v/>
          </cell>
        </row>
        <row r="13607">
          <cell r="O13607" t="str">
            <v/>
          </cell>
        </row>
        <row r="13608">
          <cell r="O13608" t="str">
            <v/>
          </cell>
        </row>
        <row r="13609">
          <cell r="O13609" t="str">
            <v/>
          </cell>
        </row>
        <row r="13610">
          <cell r="O13610" t="str">
            <v/>
          </cell>
        </row>
        <row r="13611">
          <cell r="O13611" t="str">
            <v/>
          </cell>
        </row>
        <row r="13612">
          <cell r="O13612" t="str">
            <v/>
          </cell>
        </row>
        <row r="13613">
          <cell r="O13613" t="str">
            <v/>
          </cell>
        </row>
        <row r="13614">
          <cell r="O13614" t="str">
            <v/>
          </cell>
        </row>
        <row r="13615">
          <cell r="O13615" t="str">
            <v/>
          </cell>
        </row>
        <row r="13616">
          <cell r="O13616" t="str">
            <v/>
          </cell>
        </row>
        <row r="13617">
          <cell r="O13617" t="str">
            <v/>
          </cell>
        </row>
        <row r="13618">
          <cell r="O13618" t="str">
            <v/>
          </cell>
        </row>
        <row r="13619">
          <cell r="O13619" t="str">
            <v/>
          </cell>
        </row>
        <row r="13620">
          <cell r="O13620" t="str">
            <v/>
          </cell>
        </row>
        <row r="13621">
          <cell r="O13621" t="str">
            <v/>
          </cell>
        </row>
        <row r="13622">
          <cell r="O13622" t="str">
            <v/>
          </cell>
        </row>
        <row r="13623">
          <cell r="O13623" t="str">
            <v/>
          </cell>
        </row>
        <row r="13624">
          <cell r="O13624" t="str">
            <v/>
          </cell>
        </row>
        <row r="13625">
          <cell r="O13625" t="str">
            <v/>
          </cell>
        </row>
        <row r="13626">
          <cell r="O13626" t="str">
            <v/>
          </cell>
        </row>
        <row r="13627">
          <cell r="O13627" t="str">
            <v/>
          </cell>
        </row>
        <row r="13628">
          <cell r="O13628" t="str">
            <v/>
          </cell>
        </row>
        <row r="13629">
          <cell r="O13629" t="str">
            <v/>
          </cell>
        </row>
        <row r="13630">
          <cell r="O13630" t="str">
            <v/>
          </cell>
        </row>
        <row r="13631">
          <cell r="O13631" t="str">
            <v/>
          </cell>
        </row>
        <row r="13632">
          <cell r="O13632" t="str">
            <v/>
          </cell>
        </row>
        <row r="13633">
          <cell r="O13633" t="str">
            <v/>
          </cell>
        </row>
        <row r="13634">
          <cell r="O13634" t="str">
            <v/>
          </cell>
        </row>
        <row r="13635">
          <cell r="O13635" t="str">
            <v/>
          </cell>
        </row>
        <row r="13636">
          <cell r="O13636" t="str">
            <v/>
          </cell>
        </row>
        <row r="13637">
          <cell r="O13637" t="str">
            <v/>
          </cell>
        </row>
        <row r="13638">
          <cell r="O13638" t="str">
            <v/>
          </cell>
        </row>
        <row r="13639">
          <cell r="O13639" t="str">
            <v/>
          </cell>
        </row>
        <row r="13640">
          <cell r="O13640" t="str">
            <v/>
          </cell>
        </row>
        <row r="13641">
          <cell r="O13641" t="str">
            <v/>
          </cell>
        </row>
        <row r="13642">
          <cell r="O13642" t="str">
            <v/>
          </cell>
        </row>
        <row r="13643">
          <cell r="O13643" t="str">
            <v/>
          </cell>
        </row>
        <row r="13644">
          <cell r="O13644" t="str">
            <v/>
          </cell>
        </row>
        <row r="13645">
          <cell r="O13645" t="str">
            <v/>
          </cell>
        </row>
        <row r="13646">
          <cell r="O13646" t="str">
            <v/>
          </cell>
        </row>
        <row r="13647">
          <cell r="O13647" t="str">
            <v/>
          </cell>
        </row>
        <row r="13648">
          <cell r="O13648" t="str">
            <v/>
          </cell>
        </row>
        <row r="13649">
          <cell r="O13649" t="str">
            <v/>
          </cell>
        </row>
        <row r="13650">
          <cell r="O13650" t="str">
            <v/>
          </cell>
        </row>
        <row r="13651">
          <cell r="O13651" t="str">
            <v/>
          </cell>
        </row>
        <row r="13652">
          <cell r="O13652" t="str">
            <v/>
          </cell>
        </row>
        <row r="13653">
          <cell r="O13653" t="str">
            <v/>
          </cell>
        </row>
        <row r="13654">
          <cell r="O13654" t="str">
            <v/>
          </cell>
        </row>
        <row r="13655">
          <cell r="O13655" t="str">
            <v/>
          </cell>
        </row>
        <row r="13656">
          <cell r="O13656" t="str">
            <v/>
          </cell>
        </row>
        <row r="13657">
          <cell r="O13657" t="str">
            <v/>
          </cell>
        </row>
        <row r="13658">
          <cell r="O13658" t="str">
            <v/>
          </cell>
        </row>
        <row r="13659">
          <cell r="O13659" t="str">
            <v/>
          </cell>
        </row>
        <row r="13660">
          <cell r="O13660" t="str">
            <v/>
          </cell>
        </row>
        <row r="13661">
          <cell r="O13661" t="str">
            <v/>
          </cell>
        </row>
        <row r="13662">
          <cell r="O13662" t="str">
            <v/>
          </cell>
        </row>
        <row r="13663">
          <cell r="O13663" t="str">
            <v/>
          </cell>
        </row>
        <row r="13664">
          <cell r="O13664" t="str">
            <v/>
          </cell>
        </row>
        <row r="13665">
          <cell r="O13665" t="str">
            <v/>
          </cell>
        </row>
        <row r="13666">
          <cell r="O13666" t="str">
            <v/>
          </cell>
        </row>
        <row r="13667">
          <cell r="O13667" t="str">
            <v/>
          </cell>
        </row>
        <row r="13668">
          <cell r="O13668" t="str">
            <v/>
          </cell>
        </row>
        <row r="13669">
          <cell r="O13669" t="str">
            <v/>
          </cell>
        </row>
        <row r="13670">
          <cell r="O13670" t="str">
            <v/>
          </cell>
        </row>
        <row r="13671">
          <cell r="O13671" t="str">
            <v/>
          </cell>
        </row>
        <row r="13672">
          <cell r="O13672" t="str">
            <v/>
          </cell>
        </row>
        <row r="13673">
          <cell r="O13673" t="str">
            <v/>
          </cell>
        </row>
        <row r="13674">
          <cell r="O13674" t="str">
            <v/>
          </cell>
        </row>
        <row r="13675">
          <cell r="O13675" t="str">
            <v/>
          </cell>
        </row>
        <row r="13676">
          <cell r="O13676" t="str">
            <v/>
          </cell>
        </row>
        <row r="13677">
          <cell r="O13677" t="str">
            <v/>
          </cell>
        </row>
        <row r="13678">
          <cell r="O13678" t="str">
            <v/>
          </cell>
        </row>
        <row r="13679">
          <cell r="O13679" t="str">
            <v/>
          </cell>
        </row>
        <row r="13680">
          <cell r="O13680" t="str">
            <v/>
          </cell>
        </row>
        <row r="13681">
          <cell r="O13681" t="str">
            <v/>
          </cell>
        </row>
        <row r="13682">
          <cell r="O13682" t="str">
            <v/>
          </cell>
        </row>
        <row r="13683">
          <cell r="O13683" t="str">
            <v/>
          </cell>
        </row>
        <row r="13684">
          <cell r="O13684" t="str">
            <v/>
          </cell>
        </row>
        <row r="13685">
          <cell r="O13685" t="str">
            <v/>
          </cell>
        </row>
        <row r="13686">
          <cell r="O13686" t="str">
            <v/>
          </cell>
        </row>
        <row r="13687">
          <cell r="O13687" t="str">
            <v/>
          </cell>
        </row>
        <row r="13688">
          <cell r="O13688" t="str">
            <v/>
          </cell>
        </row>
        <row r="13689">
          <cell r="O13689" t="str">
            <v/>
          </cell>
        </row>
        <row r="13690">
          <cell r="O13690" t="str">
            <v/>
          </cell>
        </row>
        <row r="13691">
          <cell r="O13691" t="str">
            <v/>
          </cell>
        </row>
        <row r="13692">
          <cell r="O13692" t="str">
            <v/>
          </cell>
        </row>
        <row r="13693">
          <cell r="O13693" t="str">
            <v/>
          </cell>
        </row>
        <row r="13694">
          <cell r="O13694" t="str">
            <v/>
          </cell>
        </row>
        <row r="13695">
          <cell r="O13695" t="str">
            <v/>
          </cell>
        </row>
        <row r="13696">
          <cell r="O13696" t="str">
            <v/>
          </cell>
        </row>
        <row r="13697">
          <cell r="O13697" t="str">
            <v/>
          </cell>
        </row>
        <row r="13698">
          <cell r="O13698" t="str">
            <v/>
          </cell>
        </row>
        <row r="13699">
          <cell r="O13699" t="str">
            <v/>
          </cell>
        </row>
        <row r="13700">
          <cell r="O13700" t="str">
            <v/>
          </cell>
        </row>
        <row r="13701">
          <cell r="O13701" t="str">
            <v/>
          </cell>
        </row>
        <row r="13702">
          <cell r="O13702" t="str">
            <v/>
          </cell>
        </row>
        <row r="13703">
          <cell r="O13703" t="str">
            <v/>
          </cell>
        </row>
        <row r="13704">
          <cell r="O13704" t="str">
            <v/>
          </cell>
        </row>
        <row r="13705">
          <cell r="O13705" t="str">
            <v/>
          </cell>
        </row>
        <row r="13706">
          <cell r="O13706" t="str">
            <v/>
          </cell>
        </row>
        <row r="13707">
          <cell r="O13707" t="str">
            <v/>
          </cell>
        </row>
        <row r="13708">
          <cell r="O13708" t="str">
            <v/>
          </cell>
        </row>
        <row r="13709">
          <cell r="O13709" t="str">
            <v/>
          </cell>
        </row>
        <row r="13710">
          <cell r="O13710" t="str">
            <v/>
          </cell>
        </row>
        <row r="13711">
          <cell r="O13711" t="str">
            <v/>
          </cell>
        </row>
        <row r="13712">
          <cell r="O13712" t="str">
            <v/>
          </cell>
        </row>
        <row r="13713">
          <cell r="O13713" t="str">
            <v/>
          </cell>
        </row>
        <row r="13714">
          <cell r="O13714" t="str">
            <v/>
          </cell>
        </row>
        <row r="13715">
          <cell r="O13715" t="str">
            <v/>
          </cell>
        </row>
        <row r="13716">
          <cell r="O13716" t="str">
            <v/>
          </cell>
        </row>
        <row r="13717">
          <cell r="O13717" t="str">
            <v/>
          </cell>
        </row>
        <row r="13718">
          <cell r="O13718" t="str">
            <v/>
          </cell>
        </row>
        <row r="13719">
          <cell r="O13719" t="str">
            <v/>
          </cell>
        </row>
        <row r="13720">
          <cell r="O13720" t="str">
            <v/>
          </cell>
        </row>
        <row r="13721">
          <cell r="O13721" t="str">
            <v/>
          </cell>
        </row>
        <row r="13722">
          <cell r="O13722" t="str">
            <v/>
          </cell>
        </row>
        <row r="13723">
          <cell r="O13723" t="str">
            <v/>
          </cell>
        </row>
        <row r="13724">
          <cell r="O13724" t="str">
            <v/>
          </cell>
        </row>
        <row r="13725">
          <cell r="O13725" t="str">
            <v/>
          </cell>
        </row>
        <row r="13726">
          <cell r="O13726" t="str">
            <v/>
          </cell>
        </row>
        <row r="13727">
          <cell r="O13727" t="str">
            <v/>
          </cell>
        </row>
        <row r="13728">
          <cell r="O13728" t="str">
            <v/>
          </cell>
        </row>
        <row r="13729">
          <cell r="O13729" t="str">
            <v/>
          </cell>
        </row>
        <row r="13730">
          <cell r="O13730" t="str">
            <v/>
          </cell>
        </row>
        <row r="13731">
          <cell r="O13731" t="str">
            <v/>
          </cell>
        </row>
        <row r="13732">
          <cell r="O13732" t="str">
            <v/>
          </cell>
        </row>
        <row r="13733">
          <cell r="O13733" t="str">
            <v/>
          </cell>
        </row>
        <row r="13734">
          <cell r="O13734" t="str">
            <v/>
          </cell>
        </row>
        <row r="13735">
          <cell r="O13735" t="str">
            <v/>
          </cell>
        </row>
        <row r="13736">
          <cell r="O13736" t="str">
            <v/>
          </cell>
        </row>
        <row r="13737">
          <cell r="O13737" t="str">
            <v/>
          </cell>
        </row>
        <row r="13738">
          <cell r="O13738" t="str">
            <v/>
          </cell>
        </row>
        <row r="13739">
          <cell r="O13739" t="str">
            <v/>
          </cell>
        </row>
        <row r="13740">
          <cell r="O13740" t="str">
            <v/>
          </cell>
        </row>
        <row r="13741">
          <cell r="O13741" t="str">
            <v/>
          </cell>
        </row>
        <row r="13742">
          <cell r="O13742" t="str">
            <v/>
          </cell>
        </row>
        <row r="13743">
          <cell r="O13743" t="str">
            <v/>
          </cell>
        </row>
        <row r="13744">
          <cell r="O13744" t="str">
            <v/>
          </cell>
        </row>
        <row r="13745">
          <cell r="O13745" t="str">
            <v/>
          </cell>
        </row>
        <row r="13746">
          <cell r="O13746" t="str">
            <v/>
          </cell>
        </row>
        <row r="13747">
          <cell r="O13747" t="str">
            <v/>
          </cell>
        </row>
        <row r="13748">
          <cell r="O13748" t="str">
            <v/>
          </cell>
        </row>
        <row r="13749">
          <cell r="O13749" t="str">
            <v/>
          </cell>
        </row>
        <row r="13750">
          <cell r="O13750" t="str">
            <v/>
          </cell>
        </row>
        <row r="13751">
          <cell r="O13751" t="str">
            <v/>
          </cell>
        </row>
        <row r="13752">
          <cell r="O13752" t="str">
            <v/>
          </cell>
        </row>
        <row r="13753">
          <cell r="O13753" t="str">
            <v/>
          </cell>
        </row>
        <row r="13754">
          <cell r="O13754" t="str">
            <v/>
          </cell>
        </row>
        <row r="13755">
          <cell r="O13755" t="str">
            <v/>
          </cell>
        </row>
        <row r="13756">
          <cell r="O13756" t="str">
            <v/>
          </cell>
        </row>
        <row r="13757">
          <cell r="O13757" t="str">
            <v/>
          </cell>
        </row>
        <row r="13758">
          <cell r="O13758" t="str">
            <v/>
          </cell>
        </row>
        <row r="13759">
          <cell r="O13759" t="str">
            <v/>
          </cell>
        </row>
        <row r="13760">
          <cell r="O13760" t="str">
            <v/>
          </cell>
        </row>
        <row r="13761">
          <cell r="O13761" t="str">
            <v/>
          </cell>
        </row>
        <row r="13762">
          <cell r="O13762" t="str">
            <v/>
          </cell>
        </row>
        <row r="13763">
          <cell r="O13763" t="str">
            <v/>
          </cell>
        </row>
        <row r="13764">
          <cell r="O13764" t="str">
            <v/>
          </cell>
        </row>
        <row r="13765">
          <cell r="O13765" t="str">
            <v/>
          </cell>
        </row>
        <row r="13766">
          <cell r="O13766" t="str">
            <v/>
          </cell>
        </row>
        <row r="13767">
          <cell r="O13767" t="str">
            <v/>
          </cell>
        </row>
        <row r="13768">
          <cell r="O13768" t="str">
            <v/>
          </cell>
        </row>
        <row r="13769">
          <cell r="O13769" t="str">
            <v/>
          </cell>
        </row>
        <row r="13770">
          <cell r="O13770" t="str">
            <v/>
          </cell>
        </row>
        <row r="13771">
          <cell r="O13771" t="str">
            <v/>
          </cell>
        </row>
        <row r="13772">
          <cell r="O13772" t="str">
            <v/>
          </cell>
        </row>
        <row r="13773">
          <cell r="O13773" t="str">
            <v/>
          </cell>
        </row>
        <row r="13774">
          <cell r="O13774" t="str">
            <v/>
          </cell>
        </row>
        <row r="13775">
          <cell r="O13775" t="str">
            <v/>
          </cell>
        </row>
        <row r="13776">
          <cell r="O13776" t="str">
            <v/>
          </cell>
        </row>
        <row r="13777">
          <cell r="O13777" t="str">
            <v/>
          </cell>
        </row>
        <row r="13778">
          <cell r="O13778" t="str">
            <v/>
          </cell>
        </row>
        <row r="13779">
          <cell r="O13779" t="str">
            <v/>
          </cell>
        </row>
        <row r="13780">
          <cell r="O13780" t="str">
            <v/>
          </cell>
        </row>
        <row r="13781">
          <cell r="O13781" t="str">
            <v/>
          </cell>
        </row>
        <row r="13782">
          <cell r="O13782" t="str">
            <v/>
          </cell>
        </row>
        <row r="13783">
          <cell r="O13783" t="str">
            <v/>
          </cell>
        </row>
        <row r="13784">
          <cell r="O13784" t="str">
            <v/>
          </cell>
        </row>
        <row r="13785">
          <cell r="O13785" t="str">
            <v/>
          </cell>
        </row>
        <row r="13786">
          <cell r="O13786" t="str">
            <v/>
          </cell>
        </row>
        <row r="13787">
          <cell r="O13787" t="str">
            <v/>
          </cell>
        </row>
        <row r="13788">
          <cell r="O13788" t="str">
            <v/>
          </cell>
        </row>
        <row r="13789">
          <cell r="O13789" t="str">
            <v/>
          </cell>
        </row>
        <row r="13790">
          <cell r="O13790" t="str">
            <v/>
          </cell>
        </row>
        <row r="13791">
          <cell r="O13791" t="str">
            <v/>
          </cell>
        </row>
        <row r="13792">
          <cell r="O13792" t="str">
            <v/>
          </cell>
        </row>
        <row r="13793">
          <cell r="O13793" t="str">
            <v/>
          </cell>
        </row>
        <row r="13794">
          <cell r="O13794" t="str">
            <v/>
          </cell>
        </row>
        <row r="13795">
          <cell r="O13795" t="str">
            <v/>
          </cell>
        </row>
        <row r="13796">
          <cell r="O13796" t="str">
            <v/>
          </cell>
        </row>
        <row r="13797">
          <cell r="O13797" t="str">
            <v/>
          </cell>
        </row>
        <row r="13798">
          <cell r="O13798" t="str">
            <v/>
          </cell>
        </row>
        <row r="13799">
          <cell r="O13799" t="str">
            <v/>
          </cell>
        </row>
        <row r="13800">
          <cell r="O13800" t="str">
            <v/>
          </cell>
        </row>
        <row r="13801">
          <cell r="O13801" t="str">
            <v/>
          </cell>
        </row>
        <row r="13802">
          <cell r="O13802" t="str">
            <v/>
          </cell>
        </row>
        <row r="13803">
          <cell r="O13803" t="str">
            <v/>
          </cell>
        </row>
        <row r="13804">
          <cell r="O13804" t="str">
            <v/>
          </cell>
        </row>
        <row r="13805">
          <cell r="O13805" t="str">
            <v/>
          </cell>
        </row>
        <row r="13806">
          <cell r="O13806" t="str">
            <v/>
          </cell>
        </row>
        <row r="13807">
          <cell r="O13807" t="str">
            <v/>
          </cell>
        </row>
        <row r="13808">
          <cell r="O13808" t="str">
            <v/>
          </cell>
        </row>
        <row r="13809">
          <cell r="O13809" t="str">
            <v/>
          </cell>
        </row>
        <row r="13810">
          <cell r="O13810" t="str">
            <v/>
          </cell>
        </row>
        <row r="13811">
          <cell r="O13811" t="str">
            <v/>
          </cell>
        </row>
        <row r="13812">
          <cell r="O13812" t="str">
            <v/>
          </cell>
        </row>
        <row r="13813">
          <cell r="O13813" t="str">
            <v/>
          </cell>
        </row>
        <row r="13814">
          <cell r="O13814" t="str">
            <v/>
          </cell>
        </row>
        <row r="13815">
          <cell r="O13815" t="str">
            <v/>
          </cell>
        </row>
        <row r="13816">
          <cell r="O13816" t="str">
            <v/>
          </cell>
        </row>
        <row r="13817">
          <cell r="O13817" t="str">
            <v/>
          </cell>
        </row>
        <row r="13818">
          <cell r="O13818" t="str">
            <v/>
          </cell>
        </row>
        <row r="13819">
          <cell r="O13819" t="str">
            <v/>
          </cell>
        </row>
        <row r="13820">
          <cell r="O13820" t="str">
            <v/>
          </cell>
        </row>
        <row r="13821">
          <cell r="O13821" t="str">
            <v/>
          </cell>
        </row>
        <row r="13822">
          <cell r="O13822" t="str">
            <v/>
          </cell>
        </row>
        <row r="13823">
          <cell r="O13823" t="str">
            <v/>
          </cell>
        </row>
        <row r="13824">
          <cell r="O13824" t="str">
            <v/>
          </cell>
        </row>
        <row r="13825">
          <cell r="O13825" t="str">
            <v/>
          </cell>
        </row>
        <row r="13826">
          <cell r="O13826" t="str">
            <v/>
          </cell>
        </row>
        <row r="13827">
          <cell r="O13827" t="str">
            <v/>
          </cell>
        </row>
        <row r="13828">
          <cell r="O13828" t="str">
            <v/>
          </cell>
        </row>
        <row r="13829">
          <cell r="O13829" t="str">
            <v/>
          </cell>
        </row>
        <row r="13830">
          <cell r="O13830" t="str">
            <v/>
          </cell>
        </row>
        <row r="13831">
          <cell r="O13831" t="str">
            <v/>
          </cell>
        </row>
        <row r="13832">
          <cell r="O13832" t="str">
            <v/>
          </cell>
        </row>
        <row r="13833">
          <cell r="O13833" t="str">
            <v/>
          </cell>
        </row>
        <row r="13834">
          <cell r="O13834" t="str">
            <v/>
          </cell>
        </row>
        <row r="13835">
          <cell r="O13835" t="str">
            <v/>
          </cell>
        </row>
        <row r="13836">
          <cell r="O13836" t="str">
            <v/>
          </cell>
        </row>
        <row r="13837">
          <cell r="O13837" t="str">
            <v/>
          </cell>
        </row>
        <row r="13838">
          <cell r="O13838" t="str">
            <v/>
          </cell>
        </row>
        <row r="13839">
          <cell r="O13839" t="str">
            <v/>
          </cell>
        </row>
        <row r="13840">
          <cell r="O13840" t="str">
            <v/>
          </cell>
        </row>
        <row r="13841">
          <cell r="O13841" t="str">
            <v/>
          </cell>
        </row>
        <row r="13842">
          <cell r="O13842" t="str">
            <v/>
          </cell>
        </row>
        <row r="13843">
          <cell r="O13843" t="str">
            <v/>
          </cell>
        </row>
        <row r="13844">
          <cell r="O13844" t="str">
            <v/>
          </cell>
        </row>
        <row r="13845">
          <cell r="O13845" t="str">
            <v/>
          </cell>
        </row>
        <row r="13846">
          <cell r="O13846" t="str">
            <v/>
          </cell>
        </row>
        <row r="13847">
          <cell r="O13847" t="str">
            <v/>
          </cell>
        </row>
        <row r="13848">
          <cell r="O13848" t="str">
            <v/>
          </cell>
        </row>
        <row r="13849">
          <cell r="O13849" t="str">
            <v/>
          </cell>
        </row>
        <row r="13850">
          <cell r="O13850" t="str">
            <v/>
          </cell>
        </row>
        <row r="13851">
          <cell r="O13851" t="str">
            <v/>
          </cell>
        </row>
        <row r="13852">
          <cell r="O13852" t="str">
            <v/>
          </cell>
        </row>
        <row r="13853">
          <cell r="O13853" t="str">
            <v/>
          </cell>
        </row>
        <row r="13854">
          <cell r="O13854" t="str">
            <v/>
          </cell>
        </row>
        <row r="13855">
          <cell r="O13855" t="str">
            <v/>
          </cell>
        </row>
        <row r="13856">
          <cell r="O13856" t="str">
            <v/>
          </cell>
        </row>
        <row r="13857">
          <cell r="O13857" t="str">
            <v/>
          </cell>
        </row>
        <row r="13858">
          <cell r="O13858" t="str">
            <v/>
          </cell>
        </row>
        <row r="13859">
          <cell r="O13859" t="str">
            <v/>
          </cell>
        </row>
        <row r="13860">
          <cell r="O13860" t="str">
            <v/>
          </cell>
        </row>
        <row r="13861">
          <cell r="O13861" t="str">
            <v/>
          </cell>
        </row>
        <row r="13862">
          <cell r="O13862" t="str">
            <v/>
          </cell>
        </row>
        <row r="13863">
          <cell r="O13863" t="str">
            <v/>
          </cell>
        </row>
        <row r="13864">
          <cell r="O13864" t="str">
            <v/>
          </cell>
        </row>
        <row r="13865">
          <cell r="O13865" t="str">
            <v/>
          </cell>
        </row>
        <row r="13866">
          <cell r="O13866" t="str">
            <v/>
          </cell>
        </row>
        <row r="13867">
          <cell r="O13867" t="str">
            <v/>
          </cell>
        </row>
        <row r="13868">
          <cell r="O13868" t="str">
            <v/>
          </cell>
        </row>
        <row r="13869">
          <cell r="O13869" t="str">
            <v/>
          </cell>
        </row>
        <row r="13870">
          <cell r="O13870" t="str">
            <v/>
          </cell>
        </row>
        <row r="13871">
          <cell r="O13871" t="str">
            <v/>
          </cell>
        </row>
        <row r="13872">
          <cell r="O13872" t="str">
            <v/>
          </cell>
        </row>
        <row r="13873">
          <cell r="O13873" t="str">
            <v/>
          </cell>
        </row>
        <row r="13874">
          <cell r="O13874" t="str">
            <v/>
          </cell>
        </row>
        <row r="13875">
          <cell r="O13875" t="str">
            <v/>
          </cell>
        </row>
        <row r="13876">
          <cell r="O13876" t="str">
            <v/>
          </cell>
        </row>
        <row r="13877">
          <cell r="O13877" t="str">
            <v/>
          </cell>
        </row>
        <row r="13878">
          <cell r="O13878" t="str">
            <v/>
          </cell>
        </row>
        <row r="13879">
          <cell r="O13879" t="str">
            <v/>
          </cell>
        </row>
        <row r="13880">
          <cell r="O13880" t="str">
            <v/>
          </cell>
        </row>
        <row r="13881">
          <cell r="O13881" t="str">
            <v/>
          </cell>
        </row>
        <row r="13882">
          <cell r="O13882" t="str">
            <v/>
          </cell>
        </row>
        <row r="13883">
          <cell r="O13883" t="str">
            <v/>
          </cell>
        </row>
        <row r="13884">
          <cell r="O13884" t="str">
            <v/>
          </cell>
        </row>
        <row r="13885">
          <cell r="O13885" t="str">
            <v/>
          </cell>
        </row>
        <row r="13886">
          <cell r="O13886" t="str">
            <v/>
          </cell>
        </row>
        <row r="13887">
          <cell r="O13887" t="str">
            <v/>
          </cell>
        </row>
        <row r="13888">
          <cell r="O13888" t="str">
            <v/>
          </cell>
        </row>
        <row r="13889">
          <cell r="O13889" t="str">
            <v/>
          </cell>
        </row>
        <row r="13890">
          <cell r="O13890" t="str">
            <v/>
          </cell>
        </row>
        <row r="13891">
          <cell r="O13891" t="str">
            <v/>
          </cell>
        </row>
        <row r="13892">
          <cell r="O13892" t="str">
            <v/>
          </cell>
        </row>
        <row r="13893">
          <cell r="O13893" t="str">
            <v/>
          </cell>
        </row>
        <row r="13894">
          <cell r="O13894" t="str">
            <v/>
          </cell>
        </row>
        <row r="13895">
          <cell r="O13895" t="str">
            <v/>
          </cell>
        </row>
        <row r="13896">
          <cell r="O13896" t="str">
            <v/>
          </cell>
        </row>
        <row r="13897">
          <cell r="O13897" t="str">
            <v/>
          </cell>
        </row>
        <row r="13898">
          <cell r="O13898" t="str">
            <v/>
          </cell>
        </row>
        <row r="13899">
          <cell r="O13899" t="str">
            <v/>
          </cell>
        </row>
        <row r="13900">
          <cell r="O13900" t="str">
            <v/>
          </cell>
        </row>
        <row r="13901">
          <cell r="O13901" t="str">
            <v/>
          </cell>
        </row>
        <row r="13902">
          <cell r="O13902" t="str">
            <v/>
          </cell>
        </row>
        <row r="13903">
          <cell r="O13903" t="str">
            <v/>
          </cell>
        </row>
        <row r="13904">
          <cell r="O13904" t="str">
            <v/>
          </cell>
        </row>
        <row r="13905">
          <cell r="O13905" t="str">
            <v/>
          </cell>
        </row>
        <row r="13906">
          <cell r="O13906" t="str">
            <v/>
          </cell>
        </row>
        <row r="13907">
          <cell r="O13907" t="str">
            <v/>
          </cell>
        </row>
        <row r="13908">
          <cell r="O13908" t="str">
            <v/>
          </cell>
        </row>
        <row r="13909">
          <cell r="O13909" t="str">
            <v/>
          </cell>
        </row>
        <row r="13910">
          <cell r="O13910" t="str">
            <v/>
          </cell>
        </row>
        <row r="13911">
          <cell r="O13911" t="str">
            <v/>
          </cell>
        </row>
        <row r="13912">
          <cell r="O13912" t="str">
            <v/>
          </cell>
        </row>
        <row r="13913">
          <cell r="O13913" t="str">
            <v/>
          </cell>
        </row>
        <row r="13914">
          <cell r="O13914" t="str">
            <v/>
          </cell>
        </row>
        <row r="13915">
          <cell r="O13915" t="str">
            <v/>
          </cell>
        </row>
        <row r="13916">
          <cell r="O13916" t="str">
            <v/>
          </cell>
        </row>
        <row r="13917">
          <cell r="O13917" t="str">
            <v/>
          </cell>
        </row>
        <row r="13918">
          <cell r="O13918" t="str">
            <v/>
          </cell>
        </row>
        <row r="13919">
          <cell r="O13919" t="str">
            <v/>
          </cell>
        </row>
        <row r="13920">
          <cell r="O13920" t="str">
            <v/>
          </cell>
        </row>
        <row r="13921">
          <cell r="O13921" t="str">
            <v/>
          </cell>
        </row>
        <row r="13922">
          <cell r="O13922" t="str">
            <v/>
          </cell>
        </row>
        <row r="13923">
          <cell r="O13923" t="str">
            <v/>
          </cell>
        </row>
        <row r="13924">
          <cell r="O13924" t="str">
            <v/>
          </cell>
        </row>
        <row r="13925">
          <cell r="O13925" t="str">
            <v/>
          </cell>
        </row>
        <row r="13926">
          <cell r="O13926" t="str">
            <v/>
          </cell>
        </row>
        <row r="13927">
          <cell r="O13927" t="str">
            <v/>
          </cell>
        </row>
        <row r="13928">
          <cell r="O13928" t="str">
            <v/>
          </cell>
        </row>
        <row r="13929">
          <cell r="O13929" t="str">
            <v/>
          </cell>
        </row>
        <row r="13930">
          <cell r="O13930" t="str">
            <v/>
          </cell>
        </row>
        <row r="13931">
          <cell r="O13931" t="str">
            <v/>
          </cell>
        </row>
        <row r="13932">
          <cell r="O13932" t="str">
            <v/>
          </cell>
        </row>
        <row r="13933">
          <cell r="O13933" t="str">
            <v/>
          </cell>
        </row>
        <row r="13934">
          <cell r="O13934" t="str">
            <v/>
          </cell>
        </row>
        <row r="13935">
          <cell r="O13935" t="str">
            <v/>
          </cell>
        </row>
        <row r="13936">
          <cell r="O13936" t="str">
            <v/>
          </cell>
        </row>
        <row r="13937">
          <cell r="O13937" t="str">
            <v/>
          </cell>
        </row>
        <row r="13938">
          <cell r="O13938" t="str">
            <v/>
          </cell>
        </row>
        <row r="13939">
          <cell r="O13939" t="str">
            <v/>
          </cell>
        </row>
        <row r="13940">
          <cell r="O13940" t="str">
            <v/>
          </cell>
        </row>
        <row r="13941">
          <cell r="O13941" t="str">
            <v/>
          </cell>
        </row>
        <row r="13942">
          <cell r="O13942" t="str">
            <v/>
          </cell>
        </row>
        <row r="13943">
          <cell r="O13943" t="str">
            <v/>
          </cell>
        </row>
        <row r="13944">
          <cell r="O13944" t="str">
            <v/>
          </cell>
        </row>
        <row r="13945">
          <cell r="O13945" t="str">
            <v/>
          </cell>
        </row>
        <row r="13946">
          <cell r="O13946" t="str">
            <v/>
          </cell>
        </row>
        <row r="13947">
          <cell r="O13947" t="str">
            <v/>
          </cell>
        </row>
        <row r="13948">
          <cell r="O13948" t="str">
            <v/>
          </cell>
        </row>
        <row r="13949">
          <cell r="O13949" t="str">
            <v/>
          </cell>
        </row>
        <row r="13950">
          <cell r="O13950" t="str">
            <v/>
          </cell>
        </row>
        <row r="13951">
          <cell r="O13951" t="str">
            <v/>
          </cell>
        </row>
        <row r="13952">
          <cell r="O13952" t="str">
            <v/>
          </cell>
        </row>
        <row r="13953">
          <cell r="O13953" t="str">
            <v/>
          </cell>
        </row>
        <row r="13954">
          <cell r="O13954" t="str">
            <v/>
          </cell>
        </row>
        <row r="13955">
          <cell r="O13955" t="str">
            <v/>
          </cell>
        </row>
        <row r="13956">
          <cell r="O13956" t="str">
            <v/>
          </cell>
        </row>
        <row r="13957">
          <cell r="O13957" t="str">
            <v/>
          </cell>
        </row>
        <row r="13958">
          <cell r="O13958" t="str">
            <v/>
          </cell>
        </row>
        <row r="13959">
          <cell r="O13959" t="str">
            <v/>
          </cell>
        </row>
        <row r="13960">
          <cell r="O13960" t="str">
            <v/>
          </cell>
        </row>
        <row r="13961">
          <cell r="O13961" t="str">
            <v/>
          </cell>
        </row>
        <row r="13962">
          <cell r="O13962" t="str">
            <v/>
          </cell>
        </row>
        <row r="13963">
          <cell r="O13963" t="str">
            <v/>
          </cell>
        </row>
        <row r="13964">
          <cell r="O13964" t="str">
            <v/>
          </cell>
        </row>
        <row r="13965">
          <cell r="O13965" t="str">
            <v/>
          </cell>
        </row>
        <row r="13966">
          <cell r="O13966" t="str">
            <v/>
          </cell>
        </row>
        <row r="13967">
          <cell r="O13967" t="str">
            <v/>
          </cell>
        </row>
        <row r="13968">
          <cell r="O13968" t="str">
            <v/>
          </cell>
        </row>
        <row r="13969">
          <cell r="O13969" t="str">
            <v/>
          </cell>
        </row>
        <row r="13970">
          <cell r="O13970" t="str">
            <v/>
          </cell>
        </row>
        <row r="13971">
          <cell r="O13971" t="str">
            <v/>
          </cell>
        </row>
        <row r="13972">
          <cell r="O13972" t="str">
            <v/>
          </cell>
        </row>
        <row r="13973">
          <cell r="O13973" t="str">
            <v/>
          </cell>
        </row>
        <row r="13974">
          <cell r="O13974" t="str">
            <v/>
          </cell>
        </row>
        <row r="13975">
          <cell r="O13975" t="str">
            <v/>
          </cell>
        </row>
        <row r="13976">
          <cell r="O13976" t="str">
            <v/>
          </cell>
        </row>
        <row r="13977">
          <cell r="O13977" t="str">
            <v/>
          </cell>
        </row>
        <row r="13978">
          <cell r="O13978" t="str">
            <v/>
          </cell>
        </row>
        <row r="13979">
          <cell r="O13979" t="str">
            <v/>
          </cell>
        </row>
        <row r="13980">
          <cell r="O13980" t="str">
            <v/>
          </cell>
        </row>
        <row r="13981">
          <cell r="O13981" t="str">
            <v/>
          </cell>
        </row>
        <row r="13982">
          <cell r="O13982" t="str">
            <v/>
          </cell>
        </row>
        <row r="13983">
          <cell r="O13983" t="str">
            <v/>
          </cell>
        </row>
        <row r="13984">
          <cell r="O13984" t="str">
            <v/>
          </cell>
        </row>
        <row r="13985">
          <cell r="O13985" t="str">
            <v/>
          </cell>
        </row>
        <row r="13986">
          <cell r="O13986" t="str">
            <v/>
          </cell>
        </row>
        <row r="13987">
          <cell r="O13987" t="str">
            <v/>
          </cell>
        </row>
        <row r="13988">
          <cell r="O13988" t="str">
            <v/>
          </cell>
        </row>
        <row r="13989">
          <cell r="O13989" t="str">
            <v/>
          </cell>
        </row>
        <row r="13990">
          <cell r="O13990" t="str">
            <v/>
          </cell>
        </row>
        <row r="13991">
          <cell r="O13991" t="str">
            <v/>
          </cell>
        </row>
        <row r="13992">
          <cell r="O13992" t="str">
            <v/>
          </cell>
        </row>
        <row r="13993">
          <cell r="O13993" t="str">
            <v/>
          </cell>
        </row>
        <row r="13994">
          <cell r="O13994" t="str">
            <v/>
          </cell>
        </row>
        <row r="13995">
          <cell r="O13995" t="str">
            <v/>
          </cell>
        </row>
        <row r="13996">
          <cell r="O13996" t="str">
            <v/>
          </cell>
        </row>
        <row r="13997">
          <cell r="O13997" t="str">
            <v/>
          </cell>
        </row>
        <row r="13998">
          <cell r="O13998" t="str">
            <v/>
          </cell>
        </row>
        <row r="13999">
          <cell r="O13999" t="str">
            <v/>
          </cell>
        </row>
        <row r="14000">
          <cell r="O14000" t="str">
            <v/>
          </cell>
        </row>
        <row r="14001">
          <cell r="O14001" t="str">
            <v/>
          </cell>
        </row>
        <row r="14002">
          <cell r="O14002" t="str">
            <v/>
          </cell>
        </row>
        <row r="14003">
          <cell r="O14003" t="str">
            <v/>
          </cell>
        </row>
        <row r="14004">
          <cell r="O14004" t="str">
            <v/>
          </cell>
        </row>
        <row r="14005">
          <cell r="O14005" t="str">
            <v/>
          </cell>
        </row>
        <row r="14006">
          <cell r="O14006" t="str">
            <v/>
          </cell>
        </row>
        <row r="14007">
          <cell r="O14007" t="str">
            <v/>
          </cell>
        </row>
        <row r="14008">
          <cell r="O14008" t="str">
            <v/>
          </cell>
        </row>
        <row r="14009">
          <cell r="O14009" t="str">
            <v/>
          </cell>
        </row>
        <row r="14010">
          <cell r="O14010" t="str">
            <v/>
          </cell>
        </row>
        <row r="14011">
          <cell r="O14011" t="str">
            <v/>
          </cell>
        </row>
        <row r="14012">
          <cell r="O14012" t="str">
            <v/>
          </cell>
        </row>
        <row r="14013">
          <cell r="O14013" t="str">
            <v/>
          </cell>
        </row>
        <row r="14014">
          <cell r="O14014" t="str">
            <v/>
          </cell>
        </row>
        <row r="14015">
          <cell r="O14015" t="str">
            <v/>
          </cell>
        </row>
        <row r="14016">
          <cell r="O14016" t="str">
            <v/>
          </cell>
        </row>
        <row r="14017">
          <cell r="O14017" t="str">
            <v/>
          </cell>
        </row>
        <row r="14018">
          <cell r="O14018" t="str">
            <v/>
          </cell>
        </row>
        <row r="14019">
          <cell r="O14019" t="str">
            <v/>
          </cell>
        </row>
        <row r="14020">
          <cell r="O14020" t="str">
            <v/>
          </cell>
        </row>
        <row r="14021">
          <cell r="O14021" t="str">
            <v/>
          </cell>
        </row>
        <row r="14022">
          <cell r="O14022" t="str">
            <v/>
          </cell>
        </row>
        <row r="14023">
          <cell r="O14023" t="str">
            <v/>
          </cell>
        </row>
        <row r="14024">
          <cell r="O14024" t="str">
            <v/>
          </cell>
        </row>
        <row r="14025">
          <cell r="O14025" t="str">
            <v/>
          </cell>
        </row>
        <row r="14026">
          <cell r="O14026" t="str">
            <v/>
          </cell>
        </row>
        <row r="14027">
          <cell r="O14027" t="str">
            <v/>
          </cell>
        </row>
        <row r="14028">
          <cell r="O14028" t="str">
            <v/>
          </cell>
        </row>
        <row r="14029">
          <cell r="O14029" t="str">
            <v/>
          </cell>
        </row>
        <row r="14030">
          <cell r="O14030" t="str">
            <v/>
          </cell>
        </row>
        <row r="14031">
          <cell r="O14031" t="str">
            <v/>
          </cell>
        </row>
        <row r="14032">
          <cell r="O14032" t="str">
            <v/>
          </cell>
        </row>
        <row r="14033">
          <cell r="O14033" t="str">
            <v/>
          </cell>
        </row>
        <row r="14034">
          <cell r="O14034" t="str">
            <v/>
          </cell>
        </row>
        <row r="14035">
          <cell r="O14035" t="str">
            <v/>
          </cell>
        </row>
        <row r="14036">
          <cell r="O14036" t="str">
            <v/>
          </cell>
        </row>
        <row r="14037">
          <cell r="O14037" t="str">
            <v/>
          </cell>
        </row>
        <row r="14038">
          <cell r="O14038" t="str">
            <v/>
          </cell>
        </row>
        <row r="14039">
          <cell r="O14039" t="str">
            <v/>
          </cell>
        </row>
        <row r="14040">
          <cell r="O14040" t="str">
            <v/>
          </cell>
        </row>
        <row r="14041">
          <cell r="O14041" t="str">
            <v/>
          </cell>
        </row>
        <row r="14042">
          <cell r="O14042" t="str">
            <v/>
          </cell>
        </row>
        <row r="14043">
          <cell r="O14043" t="str">
            <v/>
          </cell>
        </row>
        <row r="14044">
          <cell r="O14044" t="str">
            <v/>
          </cell>
        </row>
        <row r="14045">
          <cell r="O14045" t="str">
            <v/>
          </cell>
        </row>
        <row r="14046">
          <cell r="O14046" t="str">
            <v/>
          </cell>
        </row>
        <row r="14047">
          <cell r="O14047" t="str">
            <v/>
          </cell>
        </row>
        <row r="14048">
          <cell r="O14048" t="str">
            <v/>
          </cell>
        </row>
        <row r="14049">
          <cell r="O14049" t="str">
            <v/>
          </cell>
        </row>
        <row r="14050">
          <cell r="O14050" t="str">
            <v/>
          </cell>
        </row>
        <row r="14051">
          <cell r="O14051" t="str">
            <v/>
          </cell>
        </row>
        <row r="14052">
          <cell r="O14052" t="str">
            <v/>
          </cell>
        </row>
        <row r="14053">
          <cell r="O14053" t="str">
            <v/>
          </cell>
        </row>
        <row r="14054">
          <cell r="O14054" t="str">
            <v/>
          </cell>
        </row>
        <row r="14055">
          <cell r="O14055" t="str">
            <v/>
          </cell>
        </row>
        <row r="14056">
          <cell r="O14056" t="str">
            <v/>
          </cell>
        </row>
        <row r="14057">
          <cell r="O14057" t="str">
            <v/>
          </cell>
        </row>
        <row r="14058">
          <cell r="O14058" t="str">
            <v/>
          </cell>
        </row>
        <row r="14059">
          <cell r="O14059" t="str">
            <v/>
          </cell>
        </row>
        <row r="14060">
          <cell r="O14060" t="str">
            <v/>
          </cell>
        </row>
        <row r="14061">
          <cell r="O14061" t="str">
            <v/>
          </cell>
        </row>
        <row r="14062">
          <cell r="O14062" t="str">
            <v/>
          </cell>
        </row>
        <row r="14063">
          <cell r="O14063" t="str">
            <v/>
          </cell>
        </row>
        <row r="14064">
          <cell r="O14064" t="str">
            <v/>
          </cell>
        </row>
        <row r="14065">
          <cell r="O14065" t="str">
            <v/>
          </cell>
        </row>
        <row r="14066">
          <cell r="O14066" t="str">
            <v/>
          </cell>
        </row>
        <row r="14067">
          <cell r="O14067" t="str">
            <v/>
          </cell>
        </row>
        <row r="14068">
          <cell r="O14068" t="str">
            <v/>
          </cell>
        </row>
        <row r="14069">
          <cell r="O14069" t="str">
            <v/>
          </cell>
        </row>
        <row r="14070">
          <cell r="O14070" t="str">
            <v/>
          </cell>
        </row>
        <row r="14071">
          <cell r="O14071" t="str">
            <v/>
          </cell>
        </row>
        <row r="14072">
          <cell r="O14072" t="str">
            <v/>
          </cell>
        </row>
        <row r="14073">
          <cell r="O14073" t="str">
            <v/>
          </cell>
        </row>
        <row r="14074">
          <cell r="O14074" t="str">
            <v/>
          </cell>
        </row>
        <row r="14075">
          <cell r="O14075" t="str">
            <v/>
          </cell>
        </row>
        <row r="14076">
          <cell r="O14076" t="str">
            <v/>
          </cell>
        </row>
        <row r="14077">
          <cell r="O14077" t="str">
            <v/>
          </cell>
        </row>
        <row r="14078">
          <cell r="O14078" t="str">
            <v/>
          </cell>
        </row>
        <row r="14079">
          <cell r="O14079" t="str">
            <v/>
          </cell>
        </row>
        <row r="14080">
          <cell r="O14080" t="str">
            <v/>
          </cell>
        </row>
        <row r="14081">
          <cell r="O14081" t="str">
            <v/>
          </cell>
        </row>
        <row r="14082">
          <cell r="O14082" t="str">
            <v/>
          </cell>
        </row>
        <row r="14083">
          <cell r="O14083" t="str">
            <v/>
          </cell>
        </row>
        <row r="14084">
          <cell r="O14084" t="str">
            <v/>
          </cell>
        </row>
        <row r="14085">
          <cell r="O14085" t="str">
            <v/>
          </cell>
        </row>
        <row r="14086">
          <cell r="O14086" t="str">
            <v/>
          </cell>
        </row>
        <row r="14087">
          <cell r="O14087" t="str">
            <v/>
          </cell>
        </row>
        <row r="14088">
          <cell r="O14088" t="str">
            <v/>
          </cell>
        </row>
        <row r="14089">
          <cell r="O14089" t="str">
            <v/>
          </cell>
        </row>
        <row r="14090">
          <cell r="O14090" t="str">
            <v/>
          </cell>
        </row>
        <row r="14091">
          <cell r="O14091" t="str">
            <v/>
          </cell>
        </row>
        <row r="14092">
          <cell r="O14092" t="str">
            <v/>
          </cell>
        </row>
        <row r="14093">
          <cell r="O14093" t="str">
            <v/>
          </cell>
        </row>
        <row r="14094">
          <cell r="O14094" t="str">
            <v/>
          </cell>
        </row>
        <row r="14095">
          <cell r="O14095" t="str">
            <v/>
          </cell>
        </row>
        <row r="14096">
          <cell r="O14096" t="str">
            <v/>
          </cell>
        </row>
        <row r="14097">
          <cell r="O14097" t="str">
            <v/>
          </cell>
        </row>
        <row r="14098">
          <cell r="O14098" t="str">
            <v/>
          </cell>
        </row>
        <row r="14099">
          <cell r="O14099" t="str">
            <v/>
          </cell>
        </row>
        <row r="14100">
          <cell r="O14100" t="str">
            <v/>
          </cell>
        </row>
        <row r="14101">
          <cell r="O14101" t="str">
            <v/>
          </cell>
        </row>
        <row r="14102">
          <cell r="O14102" t="str">
            <v/>
          </cell>
        </row>
        <row r="14103">
          <cell r="O14103" t="str">
            <v/>
          </cell>
        </row>
        <row r="14104">
          <cell r="O14104" t="str">
            <v/>
          </cell>
        </row>
        <row r="14105">
          <cell r="O14105" t="str">
            <v/>
          </cell>
        </row>
        <row r="14106">
          <cell r="O14106" t="str">
            <v/>
          </cell>
        </row>
        <row r="14107">
          <cell r="O14107" t="str">
            <v/>
          </cell>
        </row>
        <row r="14108">
          <cell r="O14108" t="str">
            <v/>
          </cell>
        </row>
        <row r="14109">
          <cell r="O14109" t="str">
            <v/>
          </cell>
        </row>
        <row r="14110">
          <cell r="O14110" t="str">
            <v/>
          </cell>
        </row>
        <row r="14111">
          <cell r="O14111" t="str">
            <v/>
          </cell>
        </row>
        <row r="14112">
          <cell r="O14112" t="str">
            <v/>
          </cell>
        </row>
        <row r="14113">
          <cell r="O14113" t="str">
            <v/>
          </cell>
        </row>
        <row r="14114">
          <cell r="O14114" t="str">
            <v/>
          </cell>
        </row>
        <row r="14115">
          <cell r="O14115" t="str">
            <v/>
          </cell>
        </row>
        <row r="14116">
          <cell r="O14116" t="str">
            <v/>
          </cell>
        </row>
        <row r="14117">
          <cell r="O14117" t="str">
            <v/>
          </cell>
        </row>
        <row r="14118">
          <cell r="O14118" t="str">
            <v/>
          </cell>
        </row>
        <row r="14119">
          <cell r="O14119" t="str">
            <v/>
          </cell>
        </row>
        <row r="14120">
          <cell r="O14120" t="str">
            <v/>
          </cell>
        </row>
        <row r="14121">
          <cell r="O14121" t="str">
            <v/>
          </cell>
        </row>
        <row r="14122">
          <cell r="O14122" t="str">
            <v/>
          </cell>
        </row>
        <row r="14123">
          <cell r="O14123" t="str">
            <v/>
          </cell>
        </row>
        <row r="14124">
          <cell r="O14124" t="str">
            <v/>
          </cell>
        </row>
        <row r="14125">
          <cell r="O14125" t="str">
            <v/>
          </cell>
        </row>
        <row r="14126">
          <cell r="O14126" t="str">
            <v/>
          </cell>
        </row>
        <row r="14127">
          <cell r="O14127" t="str">
            <v/>
          </cell>
        </row>
        <row r="14128">
          <cell r="O14128" t="str">
            <v/>
          </cell>
        </row>
        <row r="14129">
          <cell r="O14129" t="str">
            <v/>
          </cell>
        </row>
        <row r="14130">
          <cell r="O14130" t="str">
            <v/>
          </cell>
        </row>
        <row r="14131">
          <cell r="O14131" t="str">
            <v/>
          </cell>
        </row>
        <row r="14132">
          <cell r="O14132" t="str">
            <v/>
          </cell>
        </row>
        <row r="14133">
          <cell r="O14133" t="str">
            <v/>
          </cell>
        </row>
        <row r="14134">
          <cell r="O14134" t="str">
            <v/>
          </cell>
        </row>
        <row r="14135">
          <cell r="O14135" t="str">
            <v/>
          </cell>
        </row>
        <row r="14136">
          <cell r="O14136" t="str">
            <v/>
          </cell>
        </row>
        <row r="14137">
          <cell r="O14137" t="str">
            <v/>
          </cell>
        </row>
        <row r="14138">
          <cell r="O14138" t="str">
            <v/>
          </cell>
        </row>
        <row r="14139">
          <cell r="O14139" t="str">
            <v/>
          </cell>
        </row>
        <row r="14140">
          <cell r="O14140" t="str">
            <v/>
          </cell>
        </row>
        <row r="14141">
          <cell r="O14141" t="str">
            <v/>
          </cell>
        </row>
        <row r="14142">
          <cell r="O14142" t="str">
            <v/>
          </cell>
        </row>
        <row r="14143">
          <cell r="O14143" t="str">
            <v/>
          </cell>
        </row>
        <row r="14144">
          <cell r="O14144" t="str">
            <v/>
          </cell>
        </row>
        <row r="14145">
          <cell r="O14145" t="str">
            <v/>
          </cell>
        </row>
        <row r="14146">
          <cell r="O14146" t="str">
            <v/>
          </cell>
        </row>
        <row r="14147">
          <cell r="O14147" t="str">
            <v/>
          </cell>
        </row>
        <row r="14148">
          <cell r="O14148" t="str">
            <v/>
          </cell>
        </row>
        <row r="14149">
          <cell r="O14149" t="str">
            <v/>
          </cell>
        </row>
        <row r="14150">
          <cell r="O14150" t="str">
            <v/>
          </cell>
        </row>
        <row r="14151">
          <cell r="O14151" t="str">
            <v/>
          </cell>
        </row>
        <row r="14152">
          <cell r="O14152" t="str">
            <v/>
          </cell>
        </row>
        <row r="14153">
          <cell r="O14153" t="str">
            <v/>
          </cell>
        </row>
        <row r="14154">
          <cell r="O14154" t="str">
            <v/>
          </cell>
        </row>
        <row r="14155">
          <cell r="O14155" t="str">
            <v/>
          </cell>
        </row>
        <row r="14156">
          <cell r="O14156" t="str">
            <v/>
          </cell>
        </row>
        <row r="14157">
          <cell r="O14157" t="str">
            <v/>
          </cell>
        </row>
        <row r="14158">
          <cell r="O14158" t="str">
            <v/>
          </cell>
        </row>
        <row r="14159">
          <cell r="O14159" t="str">
            <v/>
          </cell>
        </row>
        <row r="14160">
          <cell r="O14160" t="str">
            <v/>
          </cell>
        </row>
        <row r="14161">
          <cell r="O14161" t="str">
            <v/>
          </cell>
        </row>
        <row r="14162">
          <cell r="O14162" t="str">
            <v/>
          </cell>
        </row>
        <row r="14163">
          <cell r="O14163" t="str">
            <v/>
          </cell>
        </row>
        <row r="14164">
          <cell r="O14164" t="str">
            <v/>
          </cell>
        </row>
        <row r="14165">
          <cell r="O14165" t="str">
            <v/>
          </cell>
        </row>
        <row r="14166">
          <cell r="O14166" t="str">
            <v/>
          </cell>
        </row>
        <row r="14167">
          <cell r="O14167" t="str">
            <v/>
          </cell>
        </row>
        <row r="14168">
          <cell r="O14168" t="str">
            <v/>
          </cell>
        </row>
        <row r="14169">
          <cell r="O14169" t="str">
            <v/>
          </cell>
        </row>
        <row r="14170">
          <cell r="O14170" t="str">
            <v/>
          </cell>
        </row>
        <row r="14171">
          <cell r="O14171" t="str">
            <v/>
          </cell>
        </row>
        <row r="14172">
          <cell r="O14172" t="str">
            <v/>
          </cell>
        </row>
        <row r="14173">
          <cell r="O14173" t="str">
            <v/>
          </cell>
        </row>
        <row r="14174">
          <cell r="O14174" t="str">
            <v/>
          </cell>
        </row>
        <row r="14175">
          <cell r="O14175" t="str">
            <v/>
          </cell>
        </row>
        <row r="14176">
          <cell r="O14176" t="str">
            <v/>
          </cell>
        </row>
        <row r="14177">
          <cell r="O14177" t="str">
            <v/>
          </cell>
        </row>
        <row r="14178">
          <cell r="O14178" t="str">
            <v/>
          </cell>
        </row>
        <row r="14179">
          <cell r="O14179" t="str">
            <v/>
          </cell>
        </row>
        <row r="14180">
          <cell r="O14180" t="str">
            <v/>
          </cell>
        </row>
        <row r="14181">
          <cell r="O14181" t="str">
            <v/>
          </cell>
        </row>
        <row r="14182">
          <cell r="O14182" t="str">
            <v/>
          </cell>
        </row>
        <row r="14183">
          <cell r="O14183" t="str">
            <v/>
          </cell>
        </row>
        <row r="14184">
          <cell r="O14184" t="str">
            <v/>
          </cell>
        </row>
        <row r="14185">
          <cell r="O14185" t="str">
            <v/>
          </cell>
        </row>
        <row r="14186">
          <cell r="O14186" t="str">
            <v/>
          </cell>
        </row>
        <row r="14187">
          <cell r="O14187" t="str">
            <v/>
          </cell>
        </row>
        <row r="14188">
          <cell r="O14188" t="str">
            <v/>
          </cell>
        </row>
        <row r="14189">
          <cell r="O14189" t="str">
            <v/>
          </cell>
        </row>
        <row r="14190">
          <cell r="O14190" t="str">
            <v/>
          </cell>
        </row>
        <row r="14191">
          <cell r="O14191" t="str">
            <v/>
          </cell>
        </row>
        <row r="14192">
          <cell r="O14192" t="str">
            <v/>
          </cell>
        </row>
        <row r="14193">
          <cell r="O14193" t="str">
            <v/>
          </cell>
        </row>
        <row r="14194">
          <cell r="O14194" t="str">
            <v/>
          </cell>
        </row>
        <row r="14195">
          <cell r="O14195" t="str">
            <v/>
          </cell>
        </row>
        <row r="14196">
          <cell r="O14196" t="str">
            <v/>
          </cell>
        </row>
        <row r="14197">
          <cell r="O14197" t="str">
            <v/>
          </cell>
        </row>
        <row r="14198">
          <cell r="O14198" t="str">
            <v/>
          </cell>
        </row>
        <row r="14199">
          <cell r="O14199" t="str">
            <v/>
          </cell>
        </row>
        <row r="14200">
          <cell r="O14200" t="str">
            <v/>
          </cell>
        </row>
        <row r="14201">
          <cell r="O14201" t="str">
            <v/>
          </cell>
        </row>
        <row r="14202">
          <cell r="O14202" t="str">
            <v/>
          </cell>
        </row>
        <row r="14203">
          <cell r="O14203" t="str">
            <v/>
          </cell>
        </row>
        <row r="14204">
          <cell r="O14204" t="str">
            <v/>
          </cell>
        </row>
        <row r="14205">
          <cell r="O14205" t="str">
            <v/>
          </cell>
        </row>
        <row r="14206">
          <cell r="O14206" t="str">
            <v/>
          </cell>
        </row>
        <row r="14207">
          <cell r="O14207" t="str">
            <v/>
          </cell>
        </row>
        <row r="14208">
          <cell r="O14208" t="str">
            <v/>
          </cell>
        </row>
        <row r="14209">
          <cell r="O14209" t="str">
            <v/>
          </cell>
        </row>
        <row r="14210">
          <cell r="O14210" t="str">
            <v/>
          </cell>
        </row>
        <row r="14211">
          <cell r="O14211" t="str">
            <v/>
          </cell>
        </row>
        <row r="14212">
          <cell r="O14212" t="str">
            <v/>
          </cell>
        </row>
        <row r="14213">
          <cell r="O14213" t="str">
            <v/>
          </cell>
        </row>
        <row r="14214">
          <cell r="O14214" t="str">
            <v/>
          </cell>
        </row>
        <row r="14215">
          <cell r="O14215" t="str">
            <v/>
          </cell>
        </row>
        <row r="14216">
          <cell r="O14216" t="str">
            <v/>
          </cell>
        </row>
        <row r="14217">
          <cell r="O14217" t="str">
            <v/>
          </cell>
        </row>
        <row r="14218">
          <cell r="O14218" t="str">
            <v/>
          </cell>
        </row>
        <row r="14219">
          <cell r="O14219" t="str">
            <v/>
          </cell>
        </row>
        <row r="14220">
          <cell r="O14220" t="str">
            <v/>
          </cell>
        </row>
        <row r="14221">
          <cell r="O14221" t="str">
            <v/>
          </cell>
        </row>
        <row r="14222">
          <cell r="O14222" t="str">
            <v/>
          </cell>
        </row>
        <row r="14223">
          <cell r="O14223" t="str">
            <v/>
          </cell>
        </row>
        <row r="14224">
          <cell r="O14224" t="str">
            <v/>
          </cell>
        </row>
        <row r="14225">
          <cell r="O14225" t="str">
            <v/>
          </cell>
        </row>
        <row r="14226">
          <cell r="O14226" t="str">
            <v/>
          </cell>
        </row>
        <row r="14227">
          <cell r="O14227" t="str">
            <v/>
          </cell>
        </row>
        <row r="14228">
          <cell r="O14228" t="str">
            <v/>
          </cell>
        </row>
        <row r="14229">
          <cell r="O14229" t="str">
            <v/>
          </cell>
        </row>
        <row r="14230">
          <cell r="O14230" t="str">
            <v/>
          </cell>
        </row>
        <row r="14231">
          <cell r="O14231" t="str">
            <v/>
          </cell>
        </row>
        <row r="14232">
          <cell r="O14232" t="str">
            <v/>
          </cell>
        </row>
        <row r="14233">
          <cell r="O14233" t="str">
            <v/>
          </cell>
        </row>
        <row r="14234">
          <cell r="O14234" t="str">
            <v/>
          </cell>
        </row>
        <row r="14235">
          <cell r="O14235" t="str">
            <v/>
          </cell>
        </row>
        <row r="14236">
          <cell r="O14236" t="str">
            <v/>
          </cell>
        </row>
        <row r="14237">
          <cell r="O14237" t="str">
            <v/>
          </cell>
        </row>
        <row r="14238">
          <cell r="O14238" t="str">
            <v/>
          </cell>
        </row>
        <row r="14239">
          <cell r="O14239" t="str">
            <v/>
          </cell>
        </row>
        <row r="14240">
          <cell r="O14240" t="str">
            <v/>
          </cell>
        </row>
        <row r="14241">
          <cell r="O14241" t="str">
            <v/>
          </cell>
        </row>
        <row r="14242">
          <cell r="O14242" t="str">
            <v/>
          </cell>
        </row>
        <row r="14243">
          <cell r="O14243" t="str">
            <v/>
          </cell>
        </row>
        <row r="14244">
          <cell r="O14244" t="str">
            <v/>
          </cell>
        </row>
        <row r="14245">
          <cell r="O14245" t="str">
            <v/>
          </cell>
        </row>
        <row r="14246">
          <cell r="O14246" t="str">
            <v/>
          </cell>
        </row>
        <row r="14247">
          <cell r="O14247" t="str">
            <v/>
          </cell>
        </row>
        <row r="14248">
          <cell r="O14248" t="str">
            <v/>
          </cell>
        </row>
        <row r="14249">
          <cell r="O14249" t="str">
            <v/>
          </cell>
        </row>
        <row r="14250">
          <cell r="O14250" t="str">
            <v/>
          </cell>
        </row>
        <row r="14251">
          <cell r="O14251" t="str">
            <v/>
          </cell>
        </row>
        <row r="14252">
          <cell r="O14252" t="str">
            <v/>
          </cell>
        </row>
        <row r="14253">
          <cell r="O14253" t="str">
            <v/>
          </cell>
        </row>
        <row r="14254">
          <cell r="O14254" t="str">
            <v/>
          </cell>
        </row>
        <row r="14255">
          <cell r="O14255" t="str">
            <v/>
          </cell>
        </row>
        <row r="14256">
          <cell r="O14256" t="str">
            <v/>
          </cell>
        </row>
        <row r="14257">
          <cell r="O14257" t="str">
            <v/>
          </cell>
        </row>
        <row r="14258">
          <cell r="O14258" t="str">
            <v/>
          </cell>
        </row>
        <row r="14259">
          <cell r="O14259" t="str">
            <v/>
          </cell>
        </row>
        <row r="14260">
          <cell r="O14260" t="str">
            <v/>
          </cell>
        </row>
        <row r="14261">
          <cell r="O14261" t="str">
            <v/>
          </cell>
        </row>
        <row r="14262">
          <cell r="O14262" t="str">
            <v/>
          </cell>
        </row>
        <row r="14263">
          <cell r="O14263" t="str">
            <v/>
          </cell>
        </row>
        <row r="14264">
          <cell r="O14264" t="str">
            <v/>
          </cell>
        </row>
        <row r="14265">
          <cell r="O14265" t="str">
            <v/>
          </cell>
        </row>
        <row r="14266">
          <cell r="O14266" t="str">
            <v/>
          </cell>
        </row>
        <row r="14267">
          <cell r="O14267" t="str">
            <v/>
          </cell>
        </row>
        <row r="14268">
          <cell r="O14268" t="str">
            <v/>
          </cell>
        </row>
        <row r="14269">
          <cell r="O14269" t="str">
            <v/>
          </cell>
        </row>
        <row r="14270">
          <cell r="O14270" t="str">
            <v/>
          </cell>
        </row>
        <row r="14271">
          <cell r="O14271" t="str">
            <v/>
          </cell>
        </row>
        <row r="14272">
          <cell r="O14272" t="str">
            <v/>
          </cell>
        </row>
        <row r="14273">
          <cell r="O14273" t="str">
            <v/>
          </cell>
        </row>
        <row r="14274">
          <cell r="O14274" t="str">
            <v/>
          </cell>
        </row>
        <row r="14275">
          <cell r="O14275" t="str">
            <v/>
          </cell>
        </row>
        <row r="14276">
          <cell r="O14276" t="str">
            <v/>
          </cell>
        </row>
        <row r="14277">
          <cell r="O14277" t="str">
            <v/>
          </cell>
        </row>
        <row r="14278">
          <cell r="O14278" t="str">
            <v/>
          </cell>
        </row>
        <row r="14279">
          <cell r="O14279" t="str">
            <v/>
          </cell>
        </row>
        <row r="14280">
          <cell r="O14280" t="str">
            <v/>
          </cell>
        </row>
        <row r="14281">
          <cell r="O14281" t="str">
            <v/>
          </cell>
        </row>
        <row r="14282">
          <cell r="O14282" t="str">
            <v/>
          </cell>
        </row>
        <row r="14283">
          <cell r="O14283" t="str">
            <v/>
          </cell>
        </row>
        <row r="14284">
          <cell r="O14284" t="str">
            <v/>
          </cell>
        </row>
        <row r="14285">
          <cell r="O14285" t="str">
            <v/>
          </cell>
        </row>
        <row r="14286">
          <cell r="O14286" t="str">
            <v/>
          </cell>
        </row>
        <row r="14287">
          <cell r="O14287" t="str">
            <v/>
          </cell>
        </row>
        <row r="14288">
          <cell r="O14288" t="str">
            <v/>
          </cell>
        </row>
        <row r="14289">
          <cell r="O14289" t="str">
            <v/>
          </cell>
        </row>
        <row r="14290">
          <cell r="O14290" t="str">
            <v/>
          </cell>
        </row>
        <row r="14291">
          <cell r="O14291" t="str">
            <v/>
          </cell>
        </row>
        <row r="14292">
          <cell r="O14292" t="str">
            <v/>
          </cell>
        </row>
        <row r="14293">
          <cell r="O14293" t="str">
            <v/>
          </cell>
        </row>
        <row r="14294">
          <cell r="O14294" t="str">
            <v/>
          </cell>
        </row>
        <row r="14295">
          <cell r="O14295" t="str">
            <v/>
          </cell>
        </row>
        <row r="14296">
          <cell r="O14296" t="str">
            <v/>
          </cell>
        </row>
        <row r="14297">
          <cell r="O14297" t="str">
            <v/>
          </cell>
        </row>
        <row r="14298">
          <cell r="O14298" t="str">
            <v/>
          </cell>
        </row>
        <row r="14299">
          <cell r="O14299" t="str">
            <v/>
          </cell>
        </row>
        <row r="14300">
          <cell r="O14300" t="str">
            <v/>
          </cell>
        </row>
        <row r="14301">
          <cell r="O14301" t="str">
            <v/>
          </cell>
        </row>
        <row r="14302">
          <cell r="O14302" t="str">
            <v/>
          </cell>
        </row>
        <row r="14303">
          <cell r="O14303" t="str">
            <v/>
          </cell>
        </row>
        <row r="14304">
          <cell r="O14304" t="str">
            <v/>
          </cell>
        </row>
        <row r="14305">
          <cell r="O14305" t="str">
            <v/>
          </cell>
        </row>
        <row r="14306">
          <cell r="O14306" t="str">
            <v/>
          </cell>
        </row>
        <row r="14307">
          <cell r="O14307" t="str">
            <v/>
          </cell>
        </row>
        <row r="14308">
          <cell r="O14308" t="str">
            <v/>
          </cell>
        </row>
        <row r="14309">
          <cell r="O14309" t="str">
            <v/>
          </cell>
        </row>
        <row r="14310">
          <cell r="O14310" t="str">
            <v/>
          </cell>
        </row>
        <row r="14311">
          <cell r="O14311" t="str">
            <v/>
          </cell>
        </row>
        <row r="14312">
          <cell r="O14312" t="str">
            <v/>
          </cell>
        </row>
        <row r="14313">
          <cell r="O14313" t="str">
            <v/>
          </cell>
        </row>
        <row r="14314">
          <cell r="O14314" t="str">
            <v/>
          </cell>
        </row>
        <row r="14315">
          <cell r="O14315" t="str">
            <v/>
          </cell>
        </row>
        <row r="14316">
          <cell r="O14316" t="str">
            <v/>
          </cell>
        </row>
        <row r="14317">
          <cell r="O14317" t="str">
            <v/>
          </cell>
        </row>
        <row r="14318">
          <cell r="O14318" t="str">
            <v/>
          </cell>
        </row>
        <row r="14319">
          <cell r="O14319" t="str">
            <v/>
          </cell>
        </row>
        <row r="14320">
          <cell r="O14320" t="str">
            <v/>
          </cell>
        </row>
        <row r="14321">
          <cell r="O14321" t="str">
            <v/>
          </cell>
        </row>
        <row r="14322">
          <cell r="O14322" t="str">
            <v/>
          </cell>
        </row>
        <row r="14323">
          <cell r="O14323" t="str">
            <v/>
          </cell>
        </row>
        <row r="14324">
          <cell r="O14324" t="str">
            <v/>
          </cell>
        </row>
        <row r="14325">
          <cell r="O14325" t="str">
            <v/>
          </cell>
        </row>
        <row r="14326">
          <cell r="O14326" t="str">
            <v/>
          </cell>
        </row>
        <row r="14327">
          <cell r="O14327" t="str">
            <v/>
          </cell>
        </row>
        <row r="14328">
          <cell r="O14328" t="str">
            <v/>
          </cell>
        </row>
        <row r="14329">
          <cell r="O14329" t="str">
            <v/>
          </cell>
        </row>
        <row r="14330">
          <cell r="O14330" t="str">
            <v/>
          </cell>
        </row>
        <row r="14331">
          <cell r="O14331" t="str">
            <v/>
          </cell>
        </row>
        <row r="14332">
          <cell r="O14332" t="str">
            <v/>
          </cell>
        </row>
        <row r="14333">
          <cell r="O14333" t="str">
            <v/>
          </cell>
        </row>
        <row r="14334">
          <cell r="O14334" t="str">
            <v/>
          </cell>
        </row>
        <row r="14335">
          <cell r="O14335" t="str">
            <v/>
          </cell>
        </row>
        <row r="14336">
          <cell r="O14336" t="str">
            <v/>
          </cell>
        </row>
        <row r="14337">
          <cell r="O14337" t="str">
            <v/>
          </cell>
        </row>
        <row r="14338">
          <cell r="O14338" t="str">
            <v/>
          </cell>
        </row>
        <row r="14339">
          <cell r="O14339" t="str">
            <v/>
          </cell>
        </row>
        <row r="14340">
          <cell r="O14340" t="str">
            <v/>
          </cell>
        </row>
        <row r="14341">
          <cell r="O14341" t="str">
            <v/>
          </cell>
        </row>
        <row r="14342">
          <cell r="O14342" t="str">
            <v/>
          </cell>
        </row>
        <row r="14343">
          <cell r="O14343" t="str">
            <v/>
          </cell>
        </row>
        <row r="14344">
          <cell r="O14344" t="str">
            <v/>
          </cell>
        </row>
        <row r="14345">
          <cell r="O14345" t="str">
            <v/>
          </cell>
        </row>
        <row r="14346">
          <cell r="O14346" t="str">
            <v/>
          </cell>
        </row>
        <row r="14347">
          <cell r="O14347" t="str">
            <v/>
          </cell>
        </row>
        <row r="14348">
          <cell r="O14348" t="str">
            <v/>
          </cell>
        </row>
        <row r="14349">
          <cell r="O14349" t="str">
            <v/>
          </cell>
        </row>
        <row r="14350">
          <cell r="O14350" t="str">
            <v/>
          </cell>
        </row>
        <row r="14351">
          <cell r="O14351" t="str">
            <v/>
          </cell>
        </row>
        <row r="14352">
          <cell r="O14352" t="str">
            <v/>
          </cell>
        </row>
        <row r="14353">
          <cell r="O14353" t="str">
            <v/>
          </cell>
        </row>
        <row r="14354">
          <cell r="O14354" t="str">
            <v/>
          </cell>
        </row>
        <row r="14355">
          <cell r="O14355" t="str">
            <v/>
          </cell>
        </row>
        <row r="14356">
          <cell r="O14356" t="str">
            <v/>
          </cell>
        </row>
        <row r="14357">
          <cell r="O14357" t="str">
            <v/>
          </cell>
        </row>
        <row r="14358">
          <cell r="O14358" t="str">
            <v/>
          </cell>
        </row>
        <row r="14359">
          <cell r="O14359" t="str">
            <v/>
          </cell>
        </row>
        <row r="14360">
          <cell r="O14360" t="str">
            <v/>
          </cell>
        </row>
        <row r="14361">
          <cell r="O14361" t="str">
            <v/>
          </cell>
        </row>
        <row r="14362">
          <cell r="O14362" t="str">
            <v/>
          </cell>
        </row>
        <row r="14363">
          <cell r="O14363" t="str">
            <v/>
          </cell>
        </row>
        <row r="14364">
          <cell r="O14364" t="str">
            <v/>
          </cell>
        </row>
        <row r="14365">
          <cell r="O14365" t="str">
            <v/>
          </cell>
        </row>
        <row r="14366">
          <cell r="O14366" t="str">
            <v/>
          </cell>
        </row>
        <row r="14367">
          <cell r="O14367" t="str">
            <v/>
          </cell>
        </row>
        <row r="14368">
          <cell r="O14368" t="str">
            <v/>
          </cell>
        </row>
        <row r="14369">
          <cell r="O14369" t="str">
            <v/>
          </cell>
        </row>
        <row r="14370">
          <cell r="O14370" t="str">
            <v/>
          </cell>
        </row>
        <row r="14371">
          <cell r="O14371" t="str">
            <v/>
          </cell>
        </row>
        <row r="14372">
          <cell r="O14372" t="str">
            <v/>
          </cell>
        </row>
        <row r="14373">
          <cell r="O14373" t="str">
            <v/>
          </cell>
        </row>
        <row r="14374">
          <cell r="O14374" t="str">
            <v/>
          </cell>
        </row>
        <row r="14375">
          <cell r="O14375" t="str">
            <v/>
          </cell>
        </row>
        <row r="14376">
          <cell r="O14376" t="str">
            <v/>
          </cell>
        </row>
        <row r="14377">
          <cell r="O14377" t="str">
            <v/>
          </cell>
        </row>
        <row r="14378">
          <cell r="O14378" t="str">
            <v/>
          </cell>
        </row>
        <row r="14379">
          <cell r="O14379" t="str">
            <v/>
          </cell>
        </row>
        <row r="14380">
          <cell r="O14380" t="str">
            <v/>
          </cell>
        </row>
        <row r="14381">
          <cell r="O14381" t="str">
            <v/>
          </cell>
        </row>
        <row r="14382">
          <cell r="O14382" t="str">
            <v/>
          </cell>
        </row>
        <row r="14383">
          <cell r="O14383" t="str">
            <v/>
          </cell>
        </row>
        <row r="14384">
          <cell r="O14384" t="str">
            <v/>
          </cell>
        </row>
        <row r="14385">
          <cell r="O14385" t="str">
            <v/>
          </cell>
        </row>
        <row r="14386">
          <cell r="O14386" t="str">
            <v/>
          </cell>
        </row>
        <row r="14387">
          <cell r="O14387" t="str">
            <v/>
          </cell>
        </row>
        <row r="14388">
          <cell r="O14388" t="str">
            <v/>
          </cell>
        </row>
        <row r="14389">
          <cell r="O14389" t="str">
            <v/>
          </cell>
        </row>
        <row r="14390">
          <cell r="O14390" t="str">
            <v/>
          </cell>
        </row>
        <row r="14391">
          <cell r="O14391" t="str">
            <v/>
          </cell>
        </row>
        <row r="14392">
          <cell r="O14392" t="str">
            <v/>
          </cell>
        </row>
        <row r="14393">
          <cell r="O14393" t="str">
            <v/>
          </cell>
        </row>
        <row r="14394">
          <cell r="O14394" t="str">
            <v/>
          </cell>
        </row>
        <row r="14395">
          <cell r="O14395" t="str">
            <v/>
          </cell>
        </row>
        <row r="14396">
          <cell r="O14396" t="str">
            <v/>
          </cell>
        </row>
        <row r="14397">
          <cell r="O14397" t="str">
            <v/>
          </cell>
        </row>
        <row r="14398">
          <cell r="O14398" t="str">
            <v/>
          </cell>
        </row>
        <row r="14399">
          <cell r="O14399" t="str">
            <v/>
          </cell>
        </row>
        <row r="14400">
          <cell r="O14400" t="str">
            <v/>
          </cell>
        </row>
        <row r="14401">
          <cell r="O14401" t="str">
            <v/>
          </cell>
        </row>
        <row r="14402">
          <cell r="O14402" t="str">
            <v/>
          </cell>
        </row>
        <row r="14403">
          <cell r="O14403" t="str">
            <v/>
          </cell>
        </row>
        <row r="14404">
          <cell r="O14404" t="str">
            <v/>
          </cell>
        </row>
        <row r="14405">
          <cell r="O14405" t="str">
            <v/>
          </cell>
        </row>
        <row r="14406">
          <cell r="O14406" t="str">
            <v/>
          </cell>
        </row>
        <row r="14407">
          <cell r="O14407" t="str">
            <v/>
          </cell>
        </row>
        <row r="14408">
          <cell r="O14408" t="str">
            <v/>
          </cell>
        </row>
        <row r="14409">
          <cell r="O14409" t="str">
            <v/>
          </cell>
        </row>
        <row r="14410">
          <cell r="O14410" t="str">
            <v/>
          </cell>
        </row>
        <row r="14411">
          <cell r="O14411" t="str">
            <v/>
          </cell>
        </row>
        <row r="14412">
          <cell r="O14412" t="str">
            <v/>
          </cell>
        </row>
        <row r="14413">
          <cell r="O14413" t="str">
            <v/>
          </cell>
        </row>
        <row r="14414">
          <cell r="O14414" t="str">
            <v/>
          </cell>
        </row>
        <row r="14415">
          <cell r="O14415" t="str">
            <v/>
          </cell>
        </row>
        <row r="14416">
          <cell r="O14416" t="str">
            <v/>
          </cell>
        </row>
        <row r="14417">
          <cell r="O14417" t="str">
            <v/>
          </cell>
        </row>
        <row r="14418">
          <cell r="O14418" t="str">
            <v/>
          </cell>
        </row>
        <row r="14419">
          <cell r="O14419" t="str">
            <v/>
          </cell>
        </row>
        <row r="14420">
          <cell r="O14420" t="str">
            <v/>
          </cell>
        </row>
        <row r="14421">
          <cell r="O14421" t="str">
            <v/>
          </cell>
        </row>
        <row r="14422">
          <cell r="O14422" t="str">
            <v/>
          </cell>
        </row>
        <row r="14423">
          <cell r="O14423" t="str">
            <v/>
          </cell>
        </row>
        <row r="14424">
          <cell r="O14424" t="str">
            <v/>
          </cell>
        </row>
        <row r="14425">
          <cell r="O14425" t="str">
            <v/>
          </cell>
        </row>
        <row r="14426">
          <cell r="O14426" t="str">
            <v/>
          </cell>
        </row>
        <row r="14427">
          <cell r="O14427" t="str">
            <v/>
          </cell>
        </row>
        <row r="14428">
          <cell r="O14428" t="str">
            <v/>
          </cell>
        </row>
        <row r="14429">
          <cell r="O14429" t="str">
            <v/>
          </cell>
        </row>
        <row r="14430">
          <cell r="O14430" t="str">
            <v/>
          </cell>
        </row>
        <row r="14431">
          <cell r="O14431" t="str">
            <v/>
          </cell>
        </row>
        <row r="14432">
          <cell r="O14432" t="str">
            <v/>
          </cell>
        </row>
        <row r="14433">
          <cell r="O14433" t="str">
            <v/>
          </cell>
        </row>
        <row r="14434">
          <cell r="O14434" t="str">
            <v/>
          </cell>
        </row>
        <row r="14435">
          <cell r="O14435" t="str">
            <v/>
          </cell>
        </row>
        <row r="14436">
          <cell r="O14436" t="str">
            <v/>
          </cell>
        </row>
        <row r="14437">
          <cell r="O14437" t="str">
            <v/>
          </cell>
        </row>
        <row r="14438">
          <cell r="O14438" t="str">
            <v/>
          </cell>
        </row>
        <row r="14439">
          <cell r="O14439" t="str">
            <v/>
          </cell>
        </row>
        <row r="14440">
          <cell r="O14440" t="str">
            <v/>
          </cell>
        </row>
        <row r="14441">
          <cell r="O14441" t="str">
            <v/>
          </cell>
        </row>
        <row r="14442">
          <cell r="O14442" t="str">
            <v/>
          </cell>
        </row>
        <row r="14443">
          <cell r="O14443" t="str">
            <v/>
          </cell>
        </row>
        <row r="14444">
          <cell r="O14444" t="str">
            <v/>
          </cell>
        </row>
        <row r="14445">
          <cell r="O14445" t="str">
            <v/>
          </cell>
        </row>
        <row r="14446">
          <cell r="O14446" t="str">
            <v/>
          </cell>
        </row>
        <row r="14447">
          <cell r="O14447" t="str">
            <v/>
          </cell>
        </row>
        <row r="14448">
          <cell r="O14448" t="str">
            <v/>
          </cell>
        </row>
        <row r="14449">
          <cell r="O14449" t="str">
            <v/>
          </cell>
        </row>
        <row r="14450">
          <cell r="O14450" t="str">
            <v/>
          </cell>
        </row>
        <row r="14451">
          <cell r="O14451" t="str">
            <v/>
          </cell>
        </row>
        <row r="14452">
          <cell r="O14452" t="str">
            <v/>
          </cell>
        </row>
        <row r="14453">
          <cell r="O14453" t="str">
            <v/>
          </cell>
        </row>
        <row r="14454">
          <cell r="O14454" t="str">
            <v/>
          </cell>
        </row>
        <row r="14455">
          <cell r="O14455" t="str">
            <v/>
          </cell>
        </row>
        <row r="14456">
          <cell r="O14456" t="str">
            <v/>
          </cell>
        </row>
        <row r="14457">
          <cell r="O14457" t="str">
            <v/>
          </cell>
        </row>
        <row r="14458">
          <cell r="O14458" t="str">
            <v/>
          </cell>
        </row>
        <row r="14459">
          <cell r="O14459" t="str">
            <v/>
          </cell>
        </row>
        <row r="14460">
          <cell r="O14460" t="str">
            <v/>
          </cell>
        </row>
        <row r="14461">
          <cell r="O14461" t="str">
            <v/>
          </cell>
        </row>
        <row r="14462">
          <cell r="O14462" t="str">
            <v/>
          </cell>
        </row>
        <row r="14463">
          <cell r="O14463" t="str">
            <v/>
          </cell>
        </row>
        <row r="14464">
          <cell r="O14464" t="str">
            <v/>
          </cell>
        </row>
        <row r="14465">
          <cell r="O14465" t="str">
            <v/>
          </cell>
        </row>
        <row r="14466">
          <cell r="O14466" t="str">
            <v/>
          </cell>
        </row>
        <row r="14467">
          <cell r="O14467" t="str">
            <v/>
          </cell>
        </row>
        <row r="14468">
          <cell r="O14468" t="str">
            <v/>
          </cell>
        </row>
        <row r="14469">
          <cell r="O14469" t="str">
            <v/>
          </cell>
        </row>
        <row r="14470">
          <cell r="O14470" t="str">
            <v/>
          </cell>
        </row>
        <row r="14471">
          <cell r="O14471" t="str">
            <v/>
          </cell>
        </row>
        <row r="14472">
          <cell r="O14472" t="str">
            <v/>
          </cell>
        </row>
        <row r="14473">
          <cell r="O14473" t="str">
            <v/>
          </cell>
        </row>
        <row r="14474">
          <cell r="O14474" t="str">
            <v/>
          </cell>
        </row>
        <row r="14475">
          <cell r="O14475" t="str">
            <v/>
          </cell>
        </row>
        <row r="14476">
          <cell r="O14476" t="str">
            <v/>
          </cell>
        </row>
        <row r="14477">
          <cell r="O14477" t="str">
            <v/>
          </cell>
        </row>
        <row r="14478">
          <cell r="O14478" t="str">
            <v/>
          </cell>
        </row>
        <row r="14479">
          <cell r="O14479" t="str">
            <v/>
          </cell>
        </row>
        <row r="14480">
          <cell r="O14480" t="str">
            <v/>
          </cell>
        </row>
        <row r="14481">
          <cell r="O14481" t="str">
            <v/>
          </cell>
        </row>
        <row r="14482">
          <cell r="O14482" t="str">
            <v/>
          </cell>
        </row>
        <row r="14483">
          <cell r="O14483" t="str">
            <v/>
          </cell>
        </row>
        <row r="14484">
          <cell r="O14484" t="str">
            <v/>
          </cell>
        </row>
        <row r="14485">
          <cell r="O14485" t="str">
            <v/>
          </cell>
        </row>
        <row r="14486">
          <cell r="O14486" t="str">
            <v/>
          </cell>
        </row>
        <row r="14487">
          <cell r="O14487" t="str">
            <v/>
          </cell>
        </row>
        <row r="14488">
          <cell r="O14488" t="str">
            <v/>
          </cell>
        </row>
        <row r="14489">
          <cell r="O14489" t="str">
            <v/>
          </cell>
        </row>
        <row r="14490">
          <cell r="O14490" t="str">
            <v/>
          </cell>
        </row>
        <row r="14491">
          <cell r="O14491" t="str">
            <v/>
          </cell>
        </row>
        <row r="14492">
          <cell r="O14492" t="str">
            <v/>
          </cell>
        </row>
        <row r="14493">
          <cell r="O14493" t="str">
            <v/>
          </cell>
        </row>
        <row r="14494">
          <cell r="O14494" t="str">
            <v/>
          </cell>
        </row>
        <row r="14495">
          <cell r="O14495" t="str">
            <v/>
          </cell>
        </row>
        <row r="14496">
          <cell r="O14496" t="str">
            <v/>
          </cell>
        </row>
        <row r="14497">
          <cell r="O14497" t="str">
            <v/>
          </cell>
        </row>
        <row r="14498">
          <cell r="O14498" t="str">
            <v/>
          </cell>
        </row>
        <row r="14499">
          <cell r="O14499" t="str">
            <v/>
          </cell>
        </row>
        <row r="14500">
          <cell r="O14500" t="str">
            <v/>
          </cell>
        </row>
        <row r="14501">
          <cell r="O14501" t="str">
            <v/>
          </cell>
        </row>
        <row r="14502">
          <cell r="O14502" t="str">
            <v/>
          </cell>
        </row>
        <row r="14503">
          <cell r="O14503" t="str">
            <v/>
          </cell>
        </row>
        <row r="14504">
          <cell r="O14504" t="str">
            <v/>
          </cell>
        </row>
        <row r="14505">
          <cell r="O14505" t="str">
            <v/>
          </cell>
        </row>
        <row r="14506">
          <cell r="O14506" t="str">
            <v/>
          </cell>
        </row>
        <row r="14507">
          <cell r="O14507" t="str">
            <v/>
          </cell>
        </row>
        <row r="14508">
          <cell r="O14508" t="str">
            <v/>
          </cell>
        </row>
        <row r="14509">
          <cell r="O14509" t="str">
            <v/>
          </cell>
        </row>
        <row r="14510">
          <cell r="O14510" t="str">
            <v/>
          </cell>
        </row>
        <row r="14511">
          <cell r="O14511" t="str">
            <v/>
          </cell>
        </row>
        <row r="14512">
          <cell r="O14512" t="str">
            <v/>
          </cell>
        </row>
        <row r="14513">
          <cell r="O14513" t="str">
            <v/>
          </cell>
        </row>
        <row r="14514">
          <cell r="O14514" t="str">
            <v/>
          </cell>
        </row>
        <row r="14515">
          <cell r="O14515" t="str">
            <v/>
          </cell>
        </row>
        <row r="14516">
          <cell r="O14516" t="str">
            <v/>
          </cell>
        </row>
        <row r="14517">
          <cell r="O14517" t="str">
            <v/>
          </cell>
        </row>
        <row r="14518">
          <cell r="O14518" t="str">
            <v/>
          </cell>
        </row>
        <row r="14519">
          <cell r="O14519" t="str">
            <v/>
          </cell>
        </row>
        <row r="14520">
          <cell r="O14520" t="str">
            <v/>
          </cell>
        </row>
        <row r="14521">
          <cell r="O14521" t="str">
            <v/>
          </cell>
        </row>
        <row r="14522">
          <cell r="O14522" t="str">
            <v/>
          </cell>
        </row>
        <row r="14523">
          <cell r="O14523" t="str">
            <v/>
          </cell>
        </row>
        <row r="14524">
          <cell r="O14524" t="str">
            <v/>
          </cell>
        </row>
        <row r="14525">
          <cell r="O14525" t="str">
            <v/>
          </cell>
        </row>
        <row r="14526">
          <cell r="O14526" t="str">
            <v/>
          </cell>
        </row>
        <row r="14527">
          <cell r="O14527" t="str">
            <v/>
          </cell>
        </row>
        <row r="14528">
          <cell r="O14528" t="str">
            <v/>
          </cell>
        </row>
        <row r="14529">
          <cell r="O14529" t="str">
            <v/>
          </cell>
        </row>
        <row r="14530">
          <cell r="O14530" t="str">
            <v/>
          </cell>
        </row>
        <row r="14531">
          <cell r="O14531" t="str">
            <v/>
          </cell>
        </row>
        <row r="14532">
          <cell r="O14532" t="str">
            <v/>
          </cell>
        </row>
        <row r="14533">
          <cell r="O14533" t="str">
            <v/>
          </cell>
        </row>
        <row r="14534">
          <cell r="O14534" t="str">
            <v/>
          </cell>
        </row>
        <row r="14535">
          <cell r="O14535" t="str">
            <v/>
          </cell>
        </row>
        <row r="14536">
          <cell r="O14536" t="str">
            <v/>
          </cell>
        </row>
        <row r="14537">
          <cell r="O14537" t="str">
            <v/>
          </cell>
        </row>
        <row r="14538">
          <cell r="O14538" t="str">
            <v/>
          </cell>
        </row>
        <row r="14539">
          <cell r="O14539" t="str">
            <v/>
          </cell>
        </row>
        <row r="14540">
          <cell r="O14540" t="str">
            <v/>
          </cell>
        </row>
        <row r="14541">
          <cell r="O14541" t="str">
            <v/>
          </cell>
        </row>
        <row r="14542">
          <cell r="O14542" t="str">
            <v/>
          </cell>
        </row>
        <row r="14543">
          <cell r="O14543" t="str">
            <v/>
          </cell>
        </row>
        <row r="14544">
          <cell r="O14544" t="str">
            <v/>
          </cell>
        </row>
        <row r="14545">
          <cell r="O14545" t="str">
            <v/>
          </cell>
        </row>
        <row r="14546">
          <cell r="O14546" t="str">
            <v/>
          </cell>
        </row>
        <row r="14547">
          <cell r="O14547" t="str">
            <v/>
          </cell>
        </row>
        <row r="14548">
          <cell r="O14548" t="str">
            <v/>
          </cell>
        </row>
        <row r="14549">
          <cell r="O14549" t="str">
            <v/>
          </cell>
        </row>
        <row r="14550">
          <cell r="O14550" t="str">
            <v/>
          </cell>
        </row>
        <row r="14551">
          <cell r="O14551" t="str">
            <v/>
          </cell>
        </row>
        <row r="14552">
          <cell r="O14552" t="str">
            <v/>
          </cell>
        </row>
        <row r="14553">
          <cell r="O14553" t="str">
            <v/>
          </cell>
        </row>
        <row r="14554">
          <cell r="O14554" t="str">
            <v/>
          </cell>
        </row>
        <row r="14555">
          <cell r="O14555" t="str">
            <v/>
          </cell>
        </row>
        <row r="14556">
          <cell r="O14556" t="str">
            <v/>
          </cell>
        </row>
        <row r="14557">
          <cell r="O14557" t="str">
            <v/>
          </cell>
        </row>
        <row r="14558">
          <cell r="O14558" t="str">
            <v/>
          </cell>
        </row>
        <row r="14559">
          <cell r="O14559" t="str">
            <v/>
          </cell>
        </row>
        <row r="14560">
          <cell r="O14560" t="str">
            <v/>
          </cell>
        </row>
        <row r="14561">
          <cell r="O14561" t="str">
            <v/>
          </cell>
        </row>
        <row r="14562">
          <cell r="O14562" t="str">
            <v/>
          </cell>
        </row>
        <row r="14563">
          <cell r="O14563" t="str">
            <v/>
          </cell>
        </row>
        <row r="14564">
          <cell r="O14564" t="str">
            <v/>
          </cell>
        </row>
        <row r="14565">
          <cell r="O14565" t="str">
            <v/>
          </cell>
        </row>
        <row r="14566">
          <cell r="O14566" t="str">
            <v/>
          </cell>
        </row>
        <row r="14567">
          <cell r="O14567" t="str">
            <v/>
          </cell>
        </row>
        <row r="14568">
          <cell r="O14568" t="str">
            <v/>
          </cell>
        </row>
        <row r="14569">
          <cell r="O14569" t="str">
            <v/>
          </cell>
        </row>
        <row r="14570">
          <cell r="O14570" t="str">
            <v/>
          </cell>
        </row>
        <row r="14571">
          <cell r="O14571" t="str">
            <v/>
          </cell>
        </row>
        <row r="14572">
          <cell r="O14572" t="str">
            <v/>
          </cell>
        </row>
        <row r="14573">
          <cell r="O14573" t="str">
            <v/>
          </cell>
        </row>
        <row r="14574">
          <cell r="O14574" t="str">
            <v/>
          </cell>
        </row>
        <row r="14575">
          <cell r="O14575" t="str">
            <v/>
          </cell>
        </row>
        <row r="14576">
          <cell r="O14576" t="str">
            <v/>
          </cell>
        </row>
        <row r="14577">
          <cell r="O14577" t="str">
            <v/>
          </cell>
        </row>
        <row r="14578">
          <cell r="O14578" t="str">
            <v/>
          </cell>
        </row>
        <row r="14579">
          <cell r="O14579" t="str">
            <v/>
          </cell>
        </row>
        <row r="14580">
          <cell r="O14580" t="str">
            <v/>
          </cell>
        </row>
        <row r="14581">
          <cell r="O14581" t="str">
            <v/>
          </cell>
        </row>
        <row r="14582">
          <cell r="O14582" t="str">
            <v/>
          </cell>
        </row>
        <row r="14583">
          <cell r="O14583" t="str">
            <v/>
          </cell>
        </row>
        <row r="14584">
          <cell r="O14584" t="str">
            <v/>
          </cell>
        </row>
        <row r="14585">
          <cell r="O14585" t="str">
            <v/>
          </cell>
        </row>
        <row r="14586">
          <cell r="O14586" t="str">
            <v/>
          </cell>
        </row>
        <row r="14587">
          <cell r="O14587" t="str">
            <v/>
          </cell>
        </row>
        <row r="14588">
          <cell r="O14588" t="str">
            <v/>
          </cell>
        </row>
        <row r="14589">
          <cell r="O14589" t="str">
            <v/>
          </cell>
        </row>
        <row r="14590">
          <cell r="O14590" t="str">
            <v/>
          </cell>
        </row>
        <row r="14591">
          <cell r="O14591" t="str">
            <v/>
          </cell>
        </row>
        <row r="14592">
          <cell r="O14592" t="str">
            <v/>
          </cell>
        </row>
        <row r="14593">
          <cell r="O14593" t="str">
            <v/>
          </cell>
        </row>
        <row r="14594">
          <cell r="O14594" t="str">
            <v/>
          </cell>
        </row>
        <row r="14595">
          <cell r="O14595" t="str">
            <v/>
          </cell>
        </row>
        <row r="14596">
          <cell r="O14596" t="str">
            <v/>
          </cell>
        </row>
        <row r="14597">
          <cell r="O14597" t="str">
            <v/>
          </cell>
        </row>
        <row r="14598">
          <cell r="O14598" t="str">
            <v/>
          </cell>
        </row>
        <row r="14599">
          <cell r="O14599" t="str">
            <v/>
          </cell>
        </row>
        <row r="14600">
          <cell r="O14600" t="str">
            <v/>
          </cell>
        </row>
        <row r="14601">
          <cell r="O14601" t="str">
            <v/>
          </cell>
        </row>
        <row r="14602">
          <cell r="O14602" t="str">
            <v/>
          </cell>
        </row>
        <row r="14603">
          <cell r="O14603" t="str">
            <v/>
          </cell>
        </row>
        <row r="14604">
          <cell r="O14604" t="str">
            <v/>
          </cell>
        </row>
        <row r="14605">
          <cell r="O14605" t="str">
            <v/>
          </cell>
        </row>
        <row r="14606">
          <cell r="O14606" t="str">
            <v/>
          </cell>
        </row>
        <row r="14607">
          <cell r="O14607" t="str">
            <v/>
          </cell>
        </row>
        <row r="14608">
          <cell r="O14608" t="str">
            <v/>
          </cell>
        </row>
        <row r="14609">
          <cell r="O14609" t="str">
            <v/>
          </cell>
        </row>
        <row r="14610">
          <cell r="O14610" t="str">
            <v/>
          </cell>
        </row>
        <row r="14611">
          <cell r="O14611" t="str">
            <v/>
          </cell>
        </row>
        <row r="14612">
          <cell r="O14612" t="str">
            <v/>
          </cell>
        </row>
        <row r="14613">
          <cell r="O14613" t="str">
            <v/>
          </cell>
        </row>
        <row r="14614">
          <cell r="O14614" t="str">
            <v/>
          </cell>
        </row>
        <row r="14615">
          <cell r="O14615" t="str">
            <v/>
          </cell>
        </row>
        <row r="14616">
          <cell r="O14616" t="str">
            <v/>
          </cell>
        </row>
        <row r="14617">
          <cell r="O14617" t="str">
            <v/>
          </cell>
        </row>
        <row r="14618">
          <cell r="O14618" t="str">
            <v/>
          </cell>
        </row>
        <row r="14619">
          <cell r="O14619" t="str">
            <v/>
          </cell>
        </row>
        <row r="14620">
          <cell r="O14620" t="str">
            <v/>
          </cell>
        </row>
        <row r="14621">
          <cell r="O14621" t="str">
            <v/>
          </cell>
        </row>
        <row r="14622">
          <cell r="O14622" t="str">
            <v/>
          </cell>
        </row>
        <row r="14623">
          <cell r="O14623" t="str">
            <v/>
          </cell>
        </row>
        <row r="14624">
          <cell r="O14624" t="str">
            <v/>
          </cell>
        </row>
        <row r="14625">
          <cell r="O14625" t="str">
            <v/>
          </cell>
        </row>
        <row r="14626">
          <cell r="O14626" t="str">
            <v/>
          </cell>
        </row>
        <row r="14627">
          <cell r="O14627" t="str">
            <v/>
          </cell>
        </row>
        <row r="14628">
          <cell r="O14628" t="str">
            <v/>
          </cell>
        </row>
        <row r="14629">
          <cell r="O14629" t="str">
            <v/>
          </cell>
        </row>
        <row r="14630">
          <cell r="O14630" t="str">
            <v/>
          </cell>
        </row>
        <row r="14631">
          <cell r="O14631" t="str">
            <v/>
          </cell>
        </row>
        <row r="14632">
          <cell r="O14632" t="str">
            <v/>
          </cell>
        </row>
        <row r="14633">
          <cell r="O14633" t="str">
            <v/>
          </cell>
        </row>
        <row r="14634">
          <cell r="O14634" t="str">
            <v/>
          </cell>
        </row>
        <row r="14635">
          <cell r="O14635" t="str">
            <v/>
          </cell>
        </row>
        <row r="14636">
          <cell r="O14636" t="str">
            <v/>
          </cell>
        </row>
        <row r="14637">
          <cell r="O14637" t="str">
            <v/>
          </cell>
        </row>
        <row r="14638">
          <cell r="O14638" t="str">
            <v/>
          </cell>
        </row>
        <row r="14639">
          <cell r="O14639" t="str">
            <v/>
          </cell>
        </row>
        <row r="14640">
          <cell r="O14640" t="str">
            <v/>
          </cell>
        </row>
        <row r="14641">
          <cell r="O14641" t="str">
            <v/>
          </cell>
        </row>
        <row r="14642">
          <cell r="O14642" t="str">
            <v/>
          </cell>
        </row>
        <row r="14643">
          <cell r="O14643" t="str">
            <v/>
          </cell>
        </row>
        <row r="14644">
          <cell r="O14644" t="str">
            <v/>
          </cell>
        </row>
        <row r="14645">
          <cell r="O14645" t="str">
            <v/>
          </cell>
        </row>
        <row r="14646">
          <cell r="O14646" t="str">
            <v/>
          </cell>
        </row>
        <row r="14647">
          <cell r="O14647" t="str">
            <v/>
          </cell>
        </row>
        <row r="14648">
          <cell r="O14648" t="str">
            <v/>
          </cell>
        </row>
        <row r="14649">
          <cell r="O14649" t="str">
            <v/>
          </cell>
        </row>
        <row r="14650">
          <cell r="O14650" t="str">
            <v/>
          </cell>
        </row>
        <row r="14651">
          <cell r="O14651" t="str">
            <v/>
          </cell>
        </row>
        <row r="14652">
          <cell r="O14652" t="str">
            <v/>
          </cell>
        </row>
        <row r="14653">
          <cell r="O14653" t="str">
            <v/>
          </cell>
        </row>
        <row r="14654">
          <cell r="O14654" t="str">
            <v/>
          </cell>
        </row>
        <row r="14655">
          <cell r="O14655" t="str">
            <v/>
          </cell>
        </row>
        <row r="14656">
          <cell r="O14656" t="str">
            <v/>
          </cell>
        </row>
        <row r="14657">
          <cell r="O14657" t="str">
            <v/>
          </cell>
        </row>
        <row r="14658">
          <cell r="O14658" t="str">
            <v/>
          </cell>
        </row>
        <row r="14659">
          <cell r="O14659" t="str">
            <v/>
          </cell>
        </row>
        <row r="14660">
          <cell r="O14660" t="str">
            <v/>
          </cell>
        </row>
        <row r="14661">
          <cell r="O14661" t="str">
            <v/>
          </cell>
        </row>
        <row r="14662">
          <cell r="O14662" t="str">
            <v/>
          </cell>
        </row>
        <row r="14663">
          <cell r="O14663" t="str">
            <v/>
          </cell>
        </row>
        <row r="14664">
          <cell r="O14664" t="str">
            <v/>
          </cell>
        </row>
        <row r="14665">
          <cell r="O14665" t="str">
            <v/>
          </cell>
        </row>
        <row r="14666">
          <cell r="O14666" t="str">
            <v/>
          </cell>
        </row>
        <row r="14667">
          <cell r="O14667" t="str">
            <v/>
          </cell>
        </row>
        <row r="14668">
          <cell r="O14668" t="str">
            <v/>
          </cell>
        </row>
        <row r="14669">
          <cell r="O14669" t="str">
            <v/>
          </cell>
        </row>
        <row r="14670">
          <cell r="O14670" t="str">
            <v/>
          </cell>
        </row>
        <row r="14671">
          <cell r="O14671" t="str">
            <v/>
          </cell>
        </row>
        <row r="14672">
          <cell r="O14672" t="str">
            <v/>
          </cell>
        </row>
        <row r="14673">
          <cell r="O14673" t="str">
            <v/>
          </cell>
        </row>
        <row r="14674">
          <cell r="O14674" t="str">
            <v/>
          </cell>
        </row>
        <row r="14675">
          <cell r="O14675" t="str">
            <v/>
          </cell>
        </row>
        <row r="14676">
          <cell r="O14676" t="str">
            <v/>
          </cell>
        </row>
        <row r="14677">
          <cell r="O14677" t="str">
            <v/>
          </cell>
        </row>
        <row r="14678">
          <cell r="O14678" t="str">
            <v/>
          </cell>
        </row>
        <row r="14679">
          <cell r="O14679" t="str">
            <v/>
          </cell>
        </row>
        <row r="14680">
          <cell r="O14680" t="str">
            <v/>
          </cell>
        </row>
        <row r="14681">
          <cell r="O14681" t="str">
            <v/>
          </cell>
        </row>
        <row r="14682">
          <cell r="O14682" t="str">
            <v/>
          </cell>
        </row>
        <row r="14683">
          <cell r="O14683" t="str">
            <v/>
          </cell>
        </row>
        <row r="14684">
          <cell r="O14684" t="str">
            <v/>
          </cell>
        </row>
        <row r="14685">
          <cell r="O14685" t="str">
            <v/>
          </cell>
        </row>
        <row r="14686">
          <cell r="O14686" t="str">
            <v/>
          </cell>
        </row>
        <row r="14687">
          <cell r="O14687" t="str">
            <v/>
          </cell>
        </row>
        <row r="14688">
          <cell r="O14688" t="str">
            <v/>
          </cell>
        </row>
        <row r="14689">
          <cell r="O14689" t="str">
            <v/>
          </cell>
        </row>
        <row r="14690">
          <cell r="O14690" t="str">
            <v/>
          </cell>
        </row>
        <row r="14691">
          <cell r="O14691" t="str">
            <v/>
          </cell>
        </row>
        <row r="14692">
          <cell r="O14692" t="str">
            <v/>
          </cell>
        </row>
        <row r="14693">
          <cell r="O14693" t="str">
            <v/>
          </cell>
        </row>
        <row r="14694">
          <cell r="O14694" t="str">
            <v/>
          </cell>
        </row>
        <row r="14695">
          <cell r="O14695" t="str">
            <v/>
          </cell>
        </row>
        <row r="14696">
          <cell r="O14696" t="str">
            <v/>
          </cell>
        </row>
        <row r="14697">
          <cell r="O14697" t="str">
            <v/>
          </cell>
        </row>
        <row r="14698">
          <cell r="O14698" t="str">
            <v/>
          </cell>
        </row>
        <row r="14699">
          <cell r="O14699" t="str">
            <v/>
          </cell>
        </row>
        <row r="14700">
          <cell r="O14700" t="str">
            <v/>
          </cell>
        </row>
        <row r="14701">
          <cell r="O14701" t="str">
            <v/>
          </cell>
        </row>
        <row r="14702">
          <cell r="O14702" t="str">
            <v/>
          </cell>
        </row>
        <row r="14703">
          <cell r="O14703" t="str">
            <v/>
          </cell>
        </row>
        <row r="14704">
          <cell r="O14704" t="str">
            <v/>
          </cell>
        </row>
        <row r="14705">
          <cell r="O14705" t="str">
            <v/>
          </cell>
        </row>
        <row r="14706">
          <cell r="O14706" t="str">
            <v/>
          </cell>
        </row>
        <row r="14707">
          <cell r="O14707" t="str">
            <v/>
          </cell>
        </row>
        <row r="14708">
          <cell r="O14708" t="str">
            <v/>
          </cell>
        </row>
        <row r="14709">
          <cell r="O14709" t="str">
            <v/>
          </cell>
        </row>
        <row r="14710">
          <cell r="O14710" t="str">
            <v/>
          </cell>
        </row>
        <row r="14711">
          <cell r="O14711" t="str">
            <v/>
          </cell>
        </row>
        <row r="14712">
          <cell r="O14712" t="str">
            <v/>
          </cell>
        </row>
        <row r="14713">
          <cell r="O14713" t="str">
            <v/>
          </cell>
        </row>
        <row r="14714">
          <cell r="O14714" t="str">
            <v/>
          </cell>
        </row>
        <row r="14715">
          <cell r="O14715" t="str">
            <v/>
          </cell>
        </row>
        <row r="14716">
          <cell r="O14716" t="str">
            <v/>
          </cell>
        </row>
        <row r="14717">
          <cell r="O14717" t="str">
            <v/>
          </cell>
        </row>
        <row r="14718">
          <cell r="O14718" t="str">
            <v/>
          </cell>
        </row>
        <row r="14719">
          <cell r="O14719" t="str">
            <v/>
          </cell>
        </row>
        <row r="14720">
          <cell r="O14720" t="str">
            <v/>
          </cell>
        </row>
        <row r="14721">
          <cell r="O14721" t="str">
            <v/>
          </cell>
        </row>
        <row r="14722">
          <cell r="O14722" t="str">
            <v/>
          </cell>
        </row>
        <row r="14723">
          <cell r="O14723" t="str">
            <v/>
          </cell>
        </row>
        <row r="14724">
          <cell r="O14724" t="str">
            <v/>
          </cell>
        </row>
        <row r="14725">
          <cell r="O14725" t="str">
            <v/>
          </cell>
        </row>
        <row r="14726">
          <cell r="O14726" t="str">
            <v/>
          </cell>
        </row>
        <row r="14727">
          <cell r="O14727" t="str">
            <v/>
          </cell>
        </row>
        <row r="14728">
          <cell r="O14728" t="str">
            <v/>
          </cell>
        </row>
        <row r="14729">
          <cell r="O14729" t="str">
            <v/>
          </cell>
        </row>
        <row r="14730">
          <cell r="O14730" t="str">
            <v/>
          </cell>
        </row>
        <row r="14731">
          <cell r="O14731" t="str">
            <v/>
          </cell>
        </row>
        <row r="14732">
          <cell r="O14732" t="str">
            <v/>
          </cell>
        </row>
        <row r="14733">
          <cell r="O14733" t="str">
            <v/>
          </cell>
        </row>
        <row r="14734">
          <cell r="O14734" t="str">
            <v/>
          </cell>
        </row>
        <row r="14735">
          <cell r="O14735" t="str">
            <v/>
          </cell>
        </row>
        <row r="14736">
          <cell r="O14736" t="str">
            <v/>
          </cell>
        </row>
        <row r="14737">
          <cell r="O14737" t="str">
            <v/>
          </cell>
        </row>
        <row r="14738">
          <cell r="O14738" t="str">
            <v/>
          </cell>
        </row>
        <row r="14739">
          <cell r="O14739" t="str">
            <v/>
          </cell>
        </row>
        <row r="14740">
          <cell r="O14740" t="str">
            <v/>
          </cell>
        </row>
        <row r="14741">
          <cell r="O14741" t="str">
            <v/>
          </cell>
        </row>
        <row r="14742">
          <cell r="O14742" t="str">
            <v/>
          </cell>
        </row>
        <row r="14743">
          <cell r="O14743" t="str">
            <v/>
          </cell>
        </row>
        <row r="14744">
          <cell r="O14744" t="str">
            <v/>
          </cell>
        </row>
        <row r="14745">
          <cell r="O14745" t="str">
            <v/>
          </cell>
        </row>
        <row r="14746">
          <cell r="O14746" t="str">
            <v/>
          </cell>
        </row>
        <row r="14747">
          <cell r="O14747" t="str">
            <v/>
          </cell>
        </row>
        <row r="14748">
          <cell r="O14748" t="str">
            <v/>
          </cell>
        </row>
        <row r="14749">
          <cell r="O14749" t="str">
            <v/>
          </cell>
        </row>
        <row r="14750">
          <cell r="O14750" t="str">
            <v/>
          </cell>
        </row>
        <row r="14751">
          <cell r="O14751" t="str">
            <v/>
          </cell>
        </row>
        <row r="14752">
          <cell r="O14752" t="str">
            <v/>
          </cell>
        </row>
        <row r="14753">
          <cell r="O14753" t="str">
            <v/>
          </cell>
        </row>
        <row r="14754">
          <cell r="O14754" t="str">
            <v/>
          </cell>
        </row>
        <row r="14755">
          <cell r="O14755" t="str">
            <v/>
          </cell>
        </row>
        <row r="14756">
          <cell r="O14756" t="str">
            <v/>
          </cell>
        </row>
        <row r="14757">
          <cell r="O14757" t="str">
            <v/>
          </cell>
        </row>
        <row r="14758">
          <cell r="O14758" t="str">
            <v/>
          </cell>
        </row>
        <row r="14759">
          <cell r="O14759" t="str">
            <v/>
          </cell>
        </row>
        <row r="14760">
          <cell r="O14760" t="str">
            <v/>
          </cell>
        </row>
        <row r="14761">
          <cell r="O14761" t="str">
            <v/>
          </cell>
        </row>
        <row r="14762">
          <cell r="O14762" t="str">
            <v/>
          </cell>
        </row>
        <row r="14763">
          <cell r="O14763" t="str">
            <v/>
          </cell>
        </row>
        <row r="14764">
          <cell r="O14764" t="str">
            <v/>
          </cell>
        </row>
        <row r="14765">
          <cell r="O14765" t="str">
            <v/>
          </cell>
        </row>
        <row r="14766">
          <cell r="O14766" t="str">
            <v/>
          </cell>
        </row>
        <row r="14767">
          <cell r="O14767" t="str">
            <v/>
          </cell>
        </row>
        <row r="14768">
          <cell r="O14768" t="str">
            <v/>
          </cell>
        </row>
        <row r="14769">
          <cell r="O14769" t="str">
            <v/>
          </cell>
        </row>
        <row r="14770">
          <cell r="O14770" t="str">
            <v/>
          </cell>
        </row>
        <row r="14771">
          <cell r="O14771" t="str">
            <v/>
          </cell>
        </row>
        <row r="14772">
          <cell r="O14772" t="str">
            <v/>
          </cell>
        </row>
        <row r="14773">
          <cell r="O14773" t="str">
            <v/>
          </cell>
        </row>
        <row r="14774">
          <cell r="O14774" t="str">
            <v/>
          </cell>
        </row>
        <row r="14775">
          <cell r="O14775" t="str">
            <v/>
          </cell>
        </row>
        <row r="14776">
          <cell r="O14776" t="str">
            <v/>
          </cell>
        </row>
        <row r="14777">
          <cell r="O14777" t="str">
            <v/>
          </cell>
        </row>
        <row r="14778">
          <cell r="O14778" t="str">
            <v/>
          </cell>
        </row>
        <row r="14779">
          <cell r="O14779" t="str">
            <v/>
          </cell>
        </row>
        <row r="14780">
          <cell r="O14780" t="str">
            <v/>
          </cell>
        </row>
        <row r="14781">
          <cell r="O14781" t="str">
            <v/>
          </cell>
        </row>
        <row r="14782">
          <cell r="O14782" t="str">
            <v/>
          </cell>
        </row>
        <row r="14783">
          <cell r="O14783" t="str">
            <v/>
          </cell>
        </row>
        <row r="14784">
          <cell r="O14784" t="str">
            <v/>
          </cell>
        </row>
        <row r="14785">
          <cell r="O14785" t="str">
            <v/>
          </cell>
        </row>
        <row r="14786">
          <cell r="O14786" t="str">
            <v/>
          </cell>
        </row>
        <row r="14787">
          <cell r="O14787" t="str">
            <v/>
          </cell>
        </row>
        <row r="14788">
          <cell r="O14788" t="str">
            <v/>
          </cell>
        </row>
        <row r="14789">
          <cell r="O14789" t="str">
            <v/>
          </cell>
        </row>
        <row r="14790">
          <cell r="O14790" t="str">
            <v/>
          </cell>
        </row>
        <row r="14791">
          <cell r="O14791" t="str">
            <v/>
          </cell>
        </row>
        <row r="14792">
          <cell r="O14792" t="str">
            <v/>
          </cell>
        </row>
        <row r="14793">
          <cell r="O14793" t="str">
            <v/>
          </cell>
        </row>
        <row r="14794">
          <cell r="O14794" t="str">
            <v/>
          </cell>
        </row>
        <row r="14795">
          <cell r="O14795" t="str">
            <v/>
          </cell>
        </row>
        <row r="14796">
          <cell r="O14796" t="str">
            <v/>
          </cell>
        </row>
        <row r="14797">
          <cell r="O14797" t="str">
            <v/>
          </cell>
        </row>
        <row r="14798">
          <cell r="O14798" t="str">
            <v/>
          </cell>
        </row>
        <row r="14799">
          <cell r="O14799" t="str">
            <v/>
          </cell>
        </row>
        <row r="14800">
          <cell r="O14800" t="str">
            <v/>
          </cell>
        </row>
        <row r="14801">
          <cell r="O14801" t="str">
            <v/>
          </cell>
        </row>
        <row r="14802">
          <cell r="O14802" t="str">
            <v/>
          </cell>
        </row>
        <row r="14803">
          <cell r="O14803" t="str">
            <v/>
          </cell>
        </row>
        <row r="14804">
          <cell r="O14804" t="str">
            <v/>
          </cell>
        </row>
        <row r="14805">
          <cell r="O14805" t="str">
            <v/>
          </cell>
        </row>
        <row r="14806">
          <cell r="O14806" t="str">
            <v/>
          </cell>
        </row>
        <row r="14807">
          <cell r="O14807" t="str">
            <v/>
          </cell>
        </row>
        <row r="14808">
          <cell r="O14808" t="str">
            <v/>
          </cell>
        </row>
        <row r="14809">
          <cell r="O14809" t="str">
            <v/>
          </cell>
        </row>
        <row r="14810">
          <cell r="O14810" t="str">
            <v/>
          </cell>
        </row>
        <row r="14811">
          <cell r="O14811" t="str">
            <v/>
          </cell>
        </row>
        <row r="14812">
          <cell r="O14812" t="str">
            <v/>
          </cell>
        </row>
        <row r="14813">
          <cell r="O14813" t="str">
            <v/>
          </cell>
        </row>
        <row r="14814">
          <cell r="O14814" t="str">
            <v/>
          </cell>
        </row>
        <row r="14815">
          <cell r="O14815" t="str">
            <v/>
          </cell>
        </row>
        <row r="14816">
          <cell r="O14816" t="str">
            <v/>
          </cell>
        </row>
        <row r="14817">
          <cell r="O14817" t="str">
            <v/>
          </cell>
        </row>
        <row r="14818">
          <cell r="O14818" t="str">
            <v/>
          </cell>
        </row>
        <row r="14819">
          <cell r="O14819" t="str">
            <v/>
          </cell>
        </row>
        <row r="14820">
          <cell r="O14820" t="str">
            <v/>
          </cell>
        </row>
        <row r="14821">
          <cell r="O14821" t="str">
            <v/>
          </cell>
        </row>
        <row r="14822">
          <cell r="O14822" t="str">
            <v/>
          </cell>
        </row>
        <row r="14823">
          <cell r="O14823" t="str">
            <v/>
          </cell>
        </row>
        <row r="14824">
          <cell r="O14824" t="str">
            <v/>
          </cell>
        </row>
        <row r="14825">
          <cell r="O14825" t="str">
            <v/>
          </cell>
        </row>
        <row r="14826">
          <cell r="O14826" t="str">
            <v/>
          </cell>
        </row>
        <row r="14827">
          <cell r="O14827" t="str">
            <v/>
          </cell>
        </row>
        <row r="14828">
          <cell r="O14828" t="str">
            <v/>
          </cell>
        </row>
        <row r="14829">
          <cell r="O14829" t="str">
            <v/>
          </cell>
        </row>
        <row r="14830">
          <cell r="O14830" t="str">
            <v/>
          </cell>
        </row>
        <row r="14831">
          <cell r="O14831" t="str">
            <v/>
          </cell>
        </row>
        <row r="14832">
          <cell r="O14832" t="str">
            <v/>
          </cell>
        </row>
        <row r="14833">
          <cell r="O14833" t="str">
            <v/>
          </cell>
        </row>
        <row r="14834">
          <cell r="O14834" t="str">
            <v/>
          </cell>
        </row>
        <row r="14835">
          <cell r="O14835" t="str">
            <v/>
          </cell>
        </row>
        <row r="14836">
          <cell r="O14836" t="str">
            <v/>
          </cell>
        </row>
        <row r="14837">
          <cell r="O14837" t="str">
            <v/>
          </cell>
        </row>
        <row r="14838">
          <cell r="O14838" t="str">
            <v/>
          </cell>
        </row>
        <row r="14839">
          <cell r="O14839" t="str">
            <v/>
          </cell>
        </row>
        <row r="14840">
          <cell r="O14840" t="str">
            <v/>
          </cell>
        </row>
        <row r="14841">
          <cell r="O14841" t="str">
            <v/>
          </cell>
        </row>
        <row r="14842">
          <cell r="O14842" t="str">
            <v/>
          </cell>
        </row>
        <row r="14843">
          <cell r="O14843" t="str">
            <v/>
          </cell>
        </row>
        <row r="14844">
          <cell r="O14844" t="str">
            <v/>
          </cell>
        </row>
        <row r="14845">
          <cell r="O14845" t="str">
            <v/>
          </cell>
        </row>
        <row r="14846">
          <cell r="O14846" t="str">
            <v/>
          </cell>
        </row>
        <row r="14847">
          <cell r="O14847" t="str">
            <v/>
          </cell>
        </row>
        <row r="14848">
          <cell r="O14848" t="str">
            <v/>
          </cell>
        </row>
        <row r="14849">
          <cell r="O14849" t="str">
            <v/>
          </cell>
        </row>
        <row r="14850">
          <cell r="O14850" t="str">
            <v/>
          </cell>
        </row>
        <row r="14851">
          <cell r="O14851" t="str">
            <v/>
          </cell>
        </row>
        <row r="14852">
          <cell r="O14852" t="str">
            <v/>
          </cell>
        </row>
        <row r="14853">
          <cell r="O14853" t="str">
            <v/>
          </cell>
        </row>
        <row r="14854">
          <cell r="O14854" t="str">
            <v/>
          </cell>
        </row>
        <row r="14855">
          <cell r="O14855" t="str">
            <v/>
          </cell>
        </row>
        <row r="14856">
          <cell r="O14856" t="str">
            <v/>
          </cell>
        </row>
        <row r="14857">
          <cell r="O14857" t="str">
            <v/>
          </cell>
        </row>
        <row r="14858">
          <cell r="O14858" t="str">
            <v/>
          </cell>
        </row>
        <row r="14859">
          <cell r="O14859" t="str">
            <v/>
          </cell>
        </row>
        <row r="14860">
          <cell r="O14860" t="str">
            <v/>
          </cell>
        </row>
        <row r="14861">
          <cell r="O14861" t="str">
            <v/>
          </cell>
        </row>
        <row r="14862">
          <cell r="O14862" t="str">
            <v/>
          </cell>
        </row>
        <row r="14863">
          <cell r="O14863" t="str">
            <v/>
          </cell>
        </row>
        <row r="14864">
          <cell r="O14864" t="str">
            <v/>
          </cell>
        </row>
        <row r="14865">
          <cell r="O14865" t="str">
            <v/>
          </cell>
        </row>
        <row r="14866">
          <cell r="O14866" t="str">
            <v/>
          </cell>
        </row>
        <row r="14867">
          <cell r="O14867" t="str">
            <v/>
          </cell>
        </row>
        <row r="14868">
          <cell r="O14868" t="str">
            <v/>
          </cell>
        </row>
        <row r="14869">
          <cell r="O14869" t="str">
            <v/>
          </cell>
        </row>
        <row r="14870">
          <cell r="O14870" t="str">
            <v/>
          </cell>
        </row>
        <row r="14871">
          <cell r="O14871" t="str">
            <v/>
          </cell>
        </row>
        <row r="14872">
          <cell r="O14872" t="str">
            <v/>
          </cell>
        </row>
        <row r="14873">
          <cell r="O14873" t="str">
            <v/>
          </cell>
        </row>
        <row r="14874">
          <cell r="O14874" t="str">
            <v/>
          </cell>
        </row>
        <row r="14875">
          <cell r="O14875" t="str">
            <v/>
          </cell>
        </row>
        <row r="14876">
          <cell r="O14876" t="str">
            <v/>
          </cell>
        </row>
        <row r="14877">
          <cell r="O14877" t="str">
            <v/>
          </cell>
        </row>
        <row r="14878">
          <cell r="O14878" t="str">
            <v/>
          </cell>
        </row>
        <row r="14879">
          <cell r="O14879" t="str">
            <v/>
          </cell>
        </row>
        <row r="14880">
          <cell r="O14880" t="str">
            <v/>
          </cell>
        </row>
        <row r="14881">
          <cell r="O14881" t="str">
            <v/>
          </cell>
        </row>
        <row r="14882">
          <cell r="O14882" t="str">
            <v/>
          </cell>
        </row>
        <row r="14883">
          <cell r="O14883" t="str">
            <v/>
          </cell>
        </row>
        <row r="14884">
          <cell r="O14884" t="str">
            <v/>
          </cell>
        </row>
        <row r="14885">
          <cell r="O14885" t="str">
            <v/>
          </cell>
        </row>
        <row r="14886">
          <cell r="O14886" t="str">
            <v/>
          </cell>
        </row>
        <row r="14887">
          <cell r="O14887" t="str">
            <v/>
          </cell>
        </row>
        <row r="14888">
          <cell r="O14888" t="str">
            <v/>
          </cell>
        </row>
        <row r="14889">
          <cell r="O14889" t="str">
            <v/>
          </cell>
        </row>
        <row r="14890">
          <cell r="O14890" t="str">
            <v/>
          </cell>
        </row>
        <row r="14891">
          <cell r="O14891" t="str">
            <v/>
          </cell>
        </row>
        <row r="14892">
          <cell r="O14892" t="str">
            <v/>
          </cell>
        </row>
        <row r="14893">
          <cell r="O14893" t="str">
            <v/>
          </cell>
        </row>
        <row r="14894">
          <cell r="O14894" t="str">
            <v/>
          </cell>
        </row>
        <row r="14895">
          <cell r="O14895" t="str">
            <v/>
          </cell>
        </row>
        <row r="14896">
          <cell r="O14896" t="str">
            <v/>
          </cell>
        </row>
        <row r="14897">
          <cell r="O14897" t="str">
            <v/>
          </cell>
        </row>
        <row r="14898">
          <cell r="O14898" t="str">
            <v/>
          </cell>
        </row>
        <row r="14899">
          <cell r="O14899" t="str">
            <v/>
          </cell>
        </row>
        <row r="14900">
          <cell r="O14900" t="str">
            <v/>
          </cell>
        </row>
        <row r="14901">
          <cell r="O14901" t="str">
            <v/>
          </cell>
        </row>
        <row r="14902">
          <cell r="O14902" t="str">
            <v/>
          </cell>
        </row>
        <row r="14903">
          <cell r="O14903" t="str">
            <v/>
          </cell>
        </row>
        <row r="14904">
          <cell r="O14904" t="str">
            <v/>
          </cell>
        </row>
        <row r="14905">
          <cell r="O14905" t="str">
            <v/>
          </cell>
        </row>
        <row r="14906">
          <cell r="O14906" t="str">
            <v/>
          </cell>
        </row>
        <row r="14907">
          <cell r="O14907" t="str">
            <v/>
          </cell>
        </row>
        <row r="14908">
          <cell r="O14908" t="str">
            <v/>
          </cell>
        </row>
        <row r="14909">
          <cell r="O14909" t="str">
            <v/>
          </cell>
        </row>
        <row r="14910">
          <cell r="O14910" t="str">
            <v/>
          </cell>
        </row>
        <row r="14911">
          <cell r="O14911" t="str">
            <v/>
          </cell>
        </row>
        <row r="14912">
          <cell r="O14912" t="str">
            <v/>
          </cell>
        </row>
        <row r="14913">
          <cell r="O14913" t="str">
            <v/>
          </cell>
        </row>
        <row r="14914">
          <cell r="O14914" t="str">
            <v/>
          </cell>
        </row>
        <row r="14915">
          <cell r="O14915" t="str">
            <v/>
          </cell>
        </row>
        <row r="14916">
          <cell r="O14916" t="str">
            <v/>
          </cell>
        </row>
        <row r="14917">
          <cell r="O14917" t="str">
            <v/>
          </cell>
        </row>
        <row r="14918">
          <cell r="O14918" t="str">
            <v/>
          </cell>
        </row>
        <row r="14919">
          <cell r="O14919" t="str">
            <v/>
          </cell>
        </row>
        <row r="14920">
          <cell r="O14920" t="str">
            <v/>
          </cell>
        </row>
        <row r="14921">
          <cell r="O14921" t="str">
            <v/>
          </cell>
        </row>
        <row r="14922">
          <cell r="O14922" t="str">
            <v/>
          </cell>
        </row>
        <row r="14923">
          <cell r="O14923" t="str">
            <v/>
          </cell>
        </row>
        <row r="14924">
          <cell r="O14924" t="str">
            <v/>
          </cell>
        </row>
        <row r="14925">
          <cell r="O14925" t="str">
            <v/>
          </cell>
        </row>
        <row r="14926">
          <cell r="O14926" t="str">
            <v/>
          </cell>
        </row>
        <row r="14927">
          <cell r="O14927" t="str">
            <v/>
          </cell>
        </row>
        <row r="14928">
          <cell r="O14928" t="str">
            <v/>
          </cell>
        </row>
        <row r="14929">
          <cell r="O14929" t="str">
            <v/>
          </cell>
        </row>
        <row r="14930">
          <cell r="O14930" t="str">
            <v/>
          </cell>
        </row>
        <row r="14931">
          <cell r="O14931" t="str">
            <v/>
          </cell>
        </row>
        <row r="14932">
          <cell r="O14932" t="str">
            <v/>
          </cell>
        </row>
        <row r="14933">
          <cell r="O14933" t="str">
            <v/>
          </cell>
        </row>
        <row r="14934">
          <cell r="O14934" t="str">
            <v/>
          </cell>
        </row>
        <row r="14935">
          <cell r="O14935" t="str">
            <v/>
          </cell>
        </row>
        <row r="14936">
          <cell r="O14936" t="str">
            <v/>
          </cell>
        </row>
        <row r="14937">
          <cell r="O14937" t="str">
            <v/>
          </cell>
        </row>
        <row r="14938">
          <cell r="O14938" t="str">
            <v/>
          </cell>
        </row>
        <row r="14939">
          <cell r="O14939" t="str">
            <v/>
          </cell>
        </row>
        <row r="14940">
          <cell r="O14940" t="str">
            <v/>
          </cell>
        </row>
        <row r="14941">
          <cell r="O14941" t="str">
            <v/>
          </cell>
        </row>
        <row r="14942">
          <cell r="O14942" t="str">
            <v/>
          </cell>
        </row>
        <row r="14943">
          <cell r="O14943" t="str">
            <v/>
          </cell>
        </row>
        <row r="14944">
          <cell r="O14944" t="str">
            <v/>
          </cell>
        </row>
        <row r="14945">
          <cell r="O14945" t="str">
            <v/>
          </cell>
        </row>
        <row r="14946">
          <cell r="O14946" t="str">
            <v/>
          </cell>
        </row>
        <row r="14947">
          <cell r="O14947" t="str">
            <v/>
          </cell>
        </row>
        <row r="14948">
          <cell r="O14948" t="str">
            <v/>
          </cell>
        </row>
        <row r="14949">
          <cell r="O14949" t="str">
            <v/>
          </cell>
        </row>
        <row r="14950">
          <cell r="O14950" t="str">
            <v/>
          </cell>
        </row>
        <row r="14951">
          <cell r="O14951" t="str">
            <v/>
          </cell>
        </row>
        <row r="14952">
          <cell r="O14952" t="str">
            <v/>
          </cell>
        </row>
        <row r="14953">
          <cell r="O14953" t="str">
            <v/>
          </cell>
        </row>
        <row r="14954">
          <cell r="O14954" t="str">
            <v/>
          </cell>
        </row>
        <row r="14955">
          <cell r="O14955" t="str">
            <v/>
          </cell>
        </row>
        <row r="14956">
          <cell r="O14956" t="str">
            <v/>
          </cell>
        </row>
        <row r="14957">
          <cell r="O14957" t="str">
            <v/>
          </cell>
        </row>
        <row r="14958">
          <cell r="O14958" t="str">
            <v/>
          </cell>
        </row>
        <row r="14959">
          <cell r="O14959" t="str">
            <v/>
          </cell>
        </row>
        <row r="14960">
          <cell r="O14960" t="str">
            <v/>
          </cell>
        </row>
        <row r="14961">
          <cell r="O14961" t="str">
            <v/>
          </cell>
        </row>
        <row r="14962">
          <cell r="O14962" t="str">
            <v/>
          </cell>
        </row>
        <row r="14963">
          <cell r="O14963" t="str">
            <v/>
          </cell>
        </row>
        <row r="14964">
          <cell r="O14964" t="str">
            <v/>
          </cell>
        </row>
        <row r="14965">
          <cell r="O14965" t="str">
            <v/>
          </cell>
        </row>
        <row r="14966">
          <cell r="O14966" t="str">
            <v/>
          </cell>
        </row>
        <row r="14967">
          <cell r="O14967" t="str">
            <v/>
          </cell>
        </row>
        <row r="14968">
          <cell r="O14968" t="str">
            <v/>
          </cell>
        </row>
        <row r="14969">
          <cell r="O14969" t="str">
            <v/>
          </cell>
        </row>
        <row r="14970">
          <cell r="O14970" t="str">
            <v/>
          </cell>
        </row>
        <row r="14971">
          <cell r="O14971" t="str">
            <v/>
          </cell>
        </row>
        <row r="14972">
          <cell r="O14972" t="str">
            <v/>
          </cell>
        </row>
        <row r="14973">
          <cell r="O14973" t="str">
            <v/>
          </cell>
        </row>
        <row r="14974">
          <cell r="O14974" t="str">
            <v/>
          </cell>
        </row>
        <row r="14975">
          <cell r="O14975" t="str">
            <v/>
          </cell>
        </row>
        <row r="14976">
          <cell r="O14976" t="str">
            <v/>
          </cell>
        </row>
        <row r="14977">
          <cell r="O14977" t="str">
            <v/>
          </cell>
        </row>
        <row r="14978">
          <cell r="O14978" t="str">
            <v/>
          </cell>
        </row>
        <row r="14979">
          <cell r="O14979" t="str">
            <v/>
          </cell>
        </row>
        <row r="14980">
          <cell r="O14980" t="str">
            <v/>
          </cell>
        </row>
        <row r="14981">
          <cell r="O14981" t="str">
            <v/>
          </cell>
        </row>
        <row r="14982">
          <cell r="O14982" t="str">
            <v/>
          </cell>
        </row>
        <row r="14983">
          <cell r="O14983" t="str">
            <v/>
          </cell>
        </row>
        <row r="14984">
          <cell r="O14984" t="str">
            <v/>
          </cell>
        </row>
        <row r="14985">
          <cell r="O14985" t="str">
            <v/>
          </cell>
        </row>
        <row r="14986">
          <cell r="O14986" t="str">
            <v/>
          </cell>
        </row>
        <row r="14987">
          <cell r="O14987" t="str">
            <v/>
          </cell>
        </row>
        <row r="14988">
          <cell r="O14988" t="str">
            <v/>
          </cell>
        </row>
        <row r="14989">
          <cell r="O14989" t="str">
            <v/>
          </cell>
        </row>
        <row r="14990">
          <cell r="O14990" t="str">
            <v/>
          </cell>
        </row>
        <row r="14991">
          <cell r="O14991" t="str">
            <v/>
          </cell>
        </row>
        <row r="14992">
          <cell r="O14992" t="str">
            <v/>
          </cell>
        </row>
        <row r="14993">
          <cell r="O14993" t="str">
            <v/>
          </cell>
        </row>
        <row r="14994">
          <cell r="O14994" t="str">
            <v/>
          </cell>
        </row>
        <row r="14995">
          <cell r="O14995" t="str">
            <v/>
          </cell>
        </row>
        <row r="14996">
          <cell r="O14996" t="str">
            <v/>
          </cell>
        </row>
        <row r="14997">
          <cell r="O14997" t="str">
            <v/>
          </cell>
        </row>
        <row r="14998">
          <cell r="O14998" t="str">
            <v/>
          </cell>
        </row>
        <row r="14999">
          <cell r="O14999" t="str">
            <v/>
          </cell>
        </row>
        <row r="15000">
          <cell r="O15000" t="str">
            <v/>
          </cell>
        </row>
        <row r="15001">
          <cell r="O15001" t="str">
            <v/>
          </cell>
        </row>
        <row r="15002">
          <cell r="O15002" t="str">
            <v/>
          </cell>
        </row>
        <row r="15003">
          <cell r="O15003" t="str">
            <v/>
          </cell>
        </row>
        <row r="15004">
          <cell r="O15004" t="str">
            <v/>
          </cell>
        </row>
        <row r="15005">
          <cell r="O15005" t="str">
            <v/>
          </cell>
        </row>
        <row r="15006">
          <cell r="O15006" t="str">
            <v/>
          </cell>
        </row>
        <row r="15007">
          <cell r="O15007" t="str">
            <v/>
          </cell>
        </row>
        <row r="15008">
          <cell r="O15008" t="str">
            <v/>
          </cell>
        </row>
        <row r="15009">
          <cell r="O15009" t="str">
            <v/>
          </cell>
        </row>
        <row r="15010">
          <cell r="O15010" t="str">
            <v/>
          </cell>
        </row>
        <row r="15011">
          <cell r="O15011" t="str">
            <v/>
          </cell>
        </row>
        <row r="15012">
          <cell r="O15012" t="str">
            <v/>
          </cell>
        </row>
        <row r="15013">
          <cell r="O15013" t="str">
            <v/>
          </cell>
        </row>
        <row r="15014">
          <cell r="O15014" t="str">
            <v/>
          </cell>
        </row>
        <row r="15015">
          <cell r="O15015" t="str">
            <v/>
          </cell>
        </row>
        <row r="15016">
          <cell r="O15016" t="str">
            <v/>
          </cell>
        </row>
        <row r="15017">
          <cell r="O15017" t="str">
            <v/>
          </cell>
        </row>
        <row r="15018">
          <cell r="O15018" t="str">
            <v/>
          </cell>
        </row>
        <row r="15019">
          <cell r="O15019" t="str">
            <v/>
          </cell>
        </row>
        <row r="15020">
          <cell r="O15020" t="str">
            <v/>
          </cell>
        </row>
        <row r="15021">
          <cell r="O15021" t="str">
            <v/>
          </cell>
        </row>
        <row r="15022">
          <cell r="O15022" t="str">
            <v/>
          </cell>
        </row>
        <row r="15023">
          <cell r="O15023" t="str">
            <v/>
          </cell>
        </row>
        <row r="15024">
          <cell r="O15024" t="str">
            <v/>
          </cell>
        </row>
        <row r="15025">
          <cell r="O15025" t="str">
            <v/>
          </cell>
        </row>
        <row r="15026">
          <cell r="O15026" t="str">
            <v/>
          </cell>
        </row>
        <row r="15027">
          <cell r="O15027" t="str">
            <v/>
          </cell>
        </row>
        <row r="15028">
          <cell r="O15028" t="str">
            <v/>
          </cell>
        </row>
        <row r="15029">
          <cell r="O15029" t="str">
            <v/>
          </cell>
        </row>
        <row r="15030">
          <cell r="O15030" t="str">
            <v/>
          </cell>
        </row>
        <row r="15031">
          <cell r="O15031" t="str">
            <v/>
          </cell>
        </row>
        <row r="15032">
          <cell r="O15032" t="str">
            <v/>
          </cell>
        </row>
        <row r="15033">
          <cell r="O15033" t="str">
            <v/>
          </cell>
        </row>
        <row r="15034">
          <cell r="O15034" t="str">
            <v/>
          </cell>
        </row>
        <row r="15035">
          <cell r="O15035" t="str">
            <v/>
          </cell>
        </row>
        <row r="15036">
          <cell r="O15036" t="str">
            <v/>
          </cell>
        </row>
        <row r="15037">
          <cell r="O15037" t="str">
            <v/>
          </cell>
        </row>
        <row r="15038">
          <cell r="O15038" t="str">
            <v/>
          </cell>
        </row>
        <row r="15039">
          <cell r="O15039" t="str">
            <v/>
          </cell>
        </row>
        <row r="15040">
          <cell r="O15040" t="str">
            <v/>
          </cell>
        </row>
        <row r="15041">
          <cell r="O15041" t="str">
            <v/>
          </cell>
        </row>
        <row r="15042">
          <cell r="O15042" t="str">
            <v/>
          </cell>
        </row>
        <row r="15043">
          <cell r="O15043" t="str">
            <v/>
          </cell>
        </row>
        <row r="15044">
          <cell r="O15044" t="str">
            <v/>
          </cell>
        </row>
        <row r="15045">
          <cell r="O15045" t="str">
            <v/>
          </cell>
        </row>
        <row r="15046">
          <cell r="O15046" t="str">
            <v/>
          </cell>
        </row>
        <row r="15047">
          <cell r="O15047" t="str">
            <v/>
          </cell>
        </row>
        <row r="15048">
          <cell r="O15048" t="str">
            <v/>
          </cell>
        </row>
        <row r="15049">
          <cell r="O15049" t="str">
            <v/>
          </cell>
        </row>
        <row r="15050">
          <cell r="O15050" t="str">
            <v/>
          </cell>
        </row>
        <row r="15051">
          <cell r="O15051" t="str">
            <v/>
          </cell>
        </row>
        <row r="15052">
          <cell r="O15052" t="str">
            <v/>
          </cell>
        </row>
        <row r="15053">
          <cell r="O15053" t="str">
            <v/>
          </cell>
        </row>
        <row r="15054">
          <cell r="O15054" t="str">
            <v/>
          </cell>
        </row>
        <row r="15055">
          <cell r="O15055" t="str">
            <v/>
          </cell>
        </row>
        <row r="15056">
          <cell r="O15056" t="str">
            <v/>
          </cell>
        </row>
        <row r="15057">
          <cell r="O15057" t="str">
            <v/>
          </cell>
        </row>
        <row r="15058">
          <cell r="O15058" t="str">
            <v/>
          </cell>
        </row>
        <row r="15059">
          <cell r="O15059" t="str">
            <v/>
          </cell>
        </row>
        <row r="15060">
          <cell r="O15060" t="str">
            <v/>
          </cell>
        </row>
        <row r="15061">
          <cell r="O15061" t="str">
            <v/>
          </cell>
        </row>
        <row r="15062">
          <cell r="O15062" t="str">
            <v/>
          </cell>
        </row>
        <row r="15063">
          <cell r="O15063" t="str">
            <v/>
          </cell>
        </row>
        <row r="15064">
          <cell r="O15064" t="str">
            <v/>
          </cell>
        </row>
        <row r="15065">
          <cell r="O15065" t="str">
            <v/>
          </cell>
        </row>
        <row r="15066">
          <cell r="O15066" t="str">
            <v/>
          </cell>
        </row>
        <row r="15067">
          <cell r="O15067" t="str">
            <v/>
          </cell>
        </row>
        <row r="15068">
          <cell r="O15068" t="str">
            <v/>
          </cell>
        </row>
        <row r="15069">
          <cell r="O15069" t="str">
            <v/>
          </cell>
        </row>
        <row r="15070">
          <cell r="O15070" t="str">
            <v/>
          </cell>
        </row>
        <row r="15071">
          <cell r="O15071" t="str">
            <v/>
          </cell>
        </row>
        <row r="15072">
          <cell r="O15072" t="str">
            <v/>
          </cell>
        </row>
        <row r="15073">
          <cell r="O15073" t="str">
            <v/>
          </cell>
        </row>
        <row r="15074">
          <cell r="O15074" t="str">
            <v/>
          </cell>
        </row>
        <row r="15075">
          <cell r="O15075" t="str">
            <v/>
          </cell>
        </row>
        <row r="15076">
          <cell r="O15076" t="str">
            <v/>
          </cell>
        </row>
        <row r="15077">
          <cell r="O15077" t="str">
            <v/>
          </cell>
        </row>
        <row r="15078">
          <cell r="O15078" t="str">
            <v/>
          </cell>
        </row>
        <row r="15079">
          <cell r="O15079" t="str">
            <v/>
          </cell>
        </row>
        <row r="15080">
          <cell r="O15080" t="str">
            <v/>
          </cell>
        </row>
        <row r="15081">
          <cell r="O15081" t="str">
            <v/>
          </cell>
        </row>
        <row r="15082">
          <cell r="O15082" t="str">
            <v/>
          </cell>
        </row>
        <row r="15083">
          <cell r="O15083" t="str">
            <v/>
          </cell>
        </row>
        <row r="15084">
          <cell r="O15084" t="str">
            <v/>
          </cell>
        </row>
        <row r="15085">
          <cell r="O15085" t="str">
            <v/>
          </cell>
        </row>
        <row r="15086">
          <cell r="O15086" t="str">
            <v/>
          </cell>
        </row>
        <row r="15087">
          <cell r="O15087" t="str">
            <v/>
          </cell>
        </row>
        <row r="15088">
          <cell r="O15088" t="str">
            <v/>
          </cell>
        </row>
        <row r="15089">
          <cell r="O15089" t="str">
            <v/>
          </cell>
        </row>
        <row r="15090">
          <cell r="O15090" t="str">
            <v/>
          </cell>
        </row>
        <row r="15091">
          <cell r="O15091" t="str">
            <v/>
          </cell>
        </row>
        <row r="15092">
          <cell r="O15092" t="str">
            <v/>
          </cell>
        </row>
        <row r="15093">
          <cell r="O15093" t="str">
            <v/>
          </cell>
        </row>
        <row r="15094">
          <cell r="O15094" t="str">
            <v/>
          </cell>
        </row>
        <row r="15095">
          <cell r="O15095" t="str">
            <v/>
          </cell>
        </row>
        <row r="15096">
          <cell r="O15096" t="str">
            <v/>
          </cell>
        </row>
        <row r="15097">
          <cell r="O15097" t="str">
            <v/>
          </cell>
        </row>
        <row r="15098">
          <cell r="O15098" t="str">
            <v/>
          </cell>
        </row>
        <row r="15099">
          <cell r="O15099" t="str">
            <v/>
          </cell>
        </row>
        <row r="15100">
          <cell r="O15100" t="str">
            <v/>
          </cell>
        </row>
        <row r="15101">
          <cell r="O15101" t="str">
            <v/>
          </cell>
        </row>
        <row r="15102">
          <cell r="O15102" t="str">
            <v/>
          </cell>
        </row>
        <row r="15103">
          <cell r="O15103" t="str">
            <v/>
          </cell>
        </row>
        <row r="15104">
          <cell r="O15104" t="str">
            <v/>
          </cell>
        </row>
        <row r="15105">
          <cell r="O15105" t="str">
            <v/>
          </cell>
        </row>
        <row r="15106">
          <cell r="O15106" t="str">
            <v/>
          </cell>
        </row>
        <row r="15107">
          <cell r="O15107" t="str">
            <v/>
          </cell>
        </row>
        <row r="15108">
          <cell r="O15108" t="str">
            <v/>
          </cell>
        </row>
        <row r="15109">
          <cell r="O15109" t="str">
            <v/>
          </cell>
        </row>
        <row r="15110">
          <cell r="O15110" t="str">
            <v/>
          </cell>
        </row>
        <row r="15111">
          <cell r="O15111" t="str">
            <v/>
          </cell>
        </row>
        <row r="15112">
          <cell r="O15112" t="str">
            <v/>
          </cell>
        </row>
        <row r="15113">
          <cell r="O15113" t="str">
            <v/>
          </cell>
        </row>
        <row r="15114">
          <cell r="O15114" t="str">
            <v/>
          </cell>
        </row>
        <row r="15115">
          <cell r="O15115" t="str">
            <v/>
          </cell>
        </row>
        <row r="15116">
          <cell r="O15116" t="str">
            <v/>
          </cell>
        </row>
        <row r="15117">
          <cell r="O15117" t="str">
            <v/>
          </cell>
        </row>
        <row r="15118">
          <cell r="O15118" t="str">
            <v/>
          </cell>
        </row>
        <row r="15119">
          <cell r="O15119" t="str">
            <v/>
          </cell>
        </row>
        <row r="15120">
          <cell r="O15120" t="str">
            <v/>
          </cell>
        </row>
        <row r="15121">
          <cell r="O15121" t="str">
            <v/>
          </cell>
        </row>
        <row r="15122">
          <cell r="O15122" t="str">
            <v/>
          </cell>
        </row>
        <row r="15123">
          <cell r="O15123" t="str">
            <v/>
          </cell>
        </row>
        <row r="15124">
          <cell r="O15124" t="str">
            <v/>
          </cell>
        </row>
        <row r="15125">
          <cell r="O15125" t="str">
            <v/>
          </cell>
        </row>
        <row r="15126">
          <cell r="O15126" t="str">
            <v/>
          </cell>
        </row>
        <row r="15127">
          <cell r="O15127" t="str">
            <v/>
          </cell>
        </row>
        <row r="15128">
          <cell r="O15128" t="str">
            <v/>
          </cell>
        </row>
        <row r="15129">
          <cell r="O15129" t="str">
            <v/>
          </cell>
        </row>
        <row r="15130">
          <cell r="O15130" t="str">
            <v/>
          </cell>
        </row>
        <row r="15131">
          <cell r="O15131" t="str">
            <v/>
          </cell>
        </row>
        <row r="15132">
          <cell r="O15132" t="str">
            <v/>
          </cell>
        </row>
        <row r="15133">
          <cell r="O15133" t="str">
            <v/>
          </cell>
        </row>
        <row r="15134">
          <cell r="O15134" t="str">
            <v/>
          </cell>
        </row>
        <row r="15135">
          <cell r="O15135" t="str">
            <v/>
          </cell>
        </row>
        <row r="15136">
          <cell r="O15136" t="str">
            <v/>
          </cell>
        </row>
        <row r="15137">
          <cell r="O15137" t="str">
            <v/>
          </cell>
        </row>
        <row r="15138">
          <cell r="O15138" t="str">
            <v/>
          </cell>
        </row>
        <row r="15139">
          <cell r="O15139" t="str">
            <v/>
          </cell>
        </row>
        <row r="15140">
          <cell r="O15140" t="str">
            <v/>
          </cell>
        </row>
        <row r="15141">
          <cell r="O15141" t="str">
            <v/>
          </cell>
        </row>
        <row r="15142">
          <cell r="O15142" t="str">
            <v/>
          </cell>
        </row>
        <row r="15143">
          <cell r="O15143" t="str">
            <v/>
          </cell>
        </row>
        <row r="15144">
          <cell r="O15144" t="str">
            <v/>
          </cell>
        </row>
        <row r="15145">
          <cell r="O15145" t="str">
            <v/>
          </cell>
        </row>
        <row r="15146">
          <cell r="O15146" t="str">
            <v/>
          </cell>
        </row>
        <row r="15147">
          <cell r="O15147" t="str">
            <v/>
          </cell>
        </row>
        <row r="15148">
          <cell r="O15148" t="str">
            <v/>
          </cell>
        </row>
        <row r="15149">
          <cell r="O15149" t="str">
            <v/>
          </cell>
        </row>
        <row r="15150">
          <cell r="O15150" t="str">
            <v/>
          </cell>
        </row>
        <row r="15151">
          <cell r="O15151" t="str">
            <v/>
          </cell>
        </row>
        <row r="15152">
          <cell r="O15152" t="str">
            <v/>
          </cell>
        </row>
        <row r="15153">
          <cell r="O15153" t="str">
            <v/>
          </cell>
        </row>
        <row r="15154">
          <cell r="O15154" t="str">
            <v/>
          </cell>
        </row>
        <row r="15155">
          <cell r="O15155" t="str">
            <v/>
          </cell>
        </row>
        <row r="15156">
          <cell r="O15156" t="str">
            <v/>
          </cell>
        </row>
        <row r="15157">
          <cell r="O15157" t="str">
            <v/>
          </cell>
        </row>
        <row r="15158">
          <cell r="O15158" t="str">
            <v/>
          </cell>
        </row>
        <row r="15159">
          <cell r="O15159" t="str">
            <v/>
          </cell>
        </row>
        <row r="15160">
          <cell r="O15160" t="str">
            <v/>
          </cell>
        </row>
        <row r="15161">
          <cell r="O15161" t="str">
            <v/>
          </cell>
        </row>
        <row r="15162">
          <cell r="O15162" t="str">
            <v/>
          </cell>
        </row>
        <row r="15163">
          <cell r="O15163" t="str">
            <v/>
          </cell>
        </row>
        <row r="15164">
          <cell r="O15164" t="str">
            <v/>
          </cell>
        </row>
        <row r="15165">
          <cell r="O15165" t="str">
            <v/>
          </cell>
        </row>
        <row r="15166">
          <cell r="O15166" t="str">
            <v/>
          </cell>
        </row>
        <row r="15167">
          <cell r="O15167" t="str">
            <v/>
          </cell>
        </row>
        <row r="15168">
          <cell r="O15168" t="str">
            <v/>
          </cell>
        </row>
        <row r="15169">
          <cell r="O15169" t="str">
            <v/>
          </cell>
        </row>
        <row r="15170">
          <cell r="O15170" t="str">
            <v/>
          </cell>
        </row>
        <row r="15171">
          <cell r="O15171" t="str">
            <v/>
          </cell>
        </row>
        <row r="15172">
          <cell r="O15172" t="str">
            <v/>
          </cell>
        </row>
        <row r="15173">
          <cell r="O15173" t="str">
            <v/>
          </cell>
        </row>
        <row r="15174">
          <cell r="O15174" t="str">
            <v/>
          </cell>
        </row>
        <row r="15175">
          <cell r="O15175" t="str">
            <v/>
          </cell>
        </row>
        <row r="15176">
          <cell r="O15176" t="str">
            <v/>
          </cell>
        </row>
        <row r="15177">
          <cell r="O15177" t="str">
            <v/>
          </cell>
        </row>
        <row r="15178">
          <cell r="O15178" t="str">
            <v/>
          </cell>
        </row>
        <row r="15179">
          <cell r="O15179" t="str">
            <v/>
          </cell>
        </row>
        <row r="15180">
          <cell r="O15180" t="str">
            <v/>
          </cell>
        </row>
        <row r="15181">
          <cell r="O15181" t="str">
            <v/>
          </cell>
        </row>
        <row r="15182">
          <cell r="O15182" t="str">
            <v/>
          </cell>
        </row>
        <row r="15183">
          <cell r="O15183" t="str">
            <v/>
          </cell>
        </row>
        <row r="15184">
          <cell r="O15184" t="str">
            <v/>
          </cell>
        </row>
        <row r="15185">
          <cell r="O15185" t="str">
            <v/>
          </cell>
        </row>
        <row r="15186">
          <cell r="O15186" t="str">
            <v/>
          </cell>
        </row>
        <row r="15187">
          <cell r="O15187" t="str">
            <v/>
          </cell>
        </row>
        <row r="15188">
          <cell r="O15188" t="str">
            <v/>
          </cell>
        </row>
        <row r="15189">
          <cell r="O15189" t="str">
            <v/>
          </cell>
        </row>
        <row r="15190">
          <cell r="O15190" t="str">
            <v/>
          </cell>
        </row>
        <row r="15191">
          <cell r="O15191" t="str">
            <v/>
          </cell>
        </row>
        <row r="15192">
          <cell r="O15192" t="str">
            <v/>
          </cell>
        </row>
        <row r="15193">
          <cell r="O15193" t="str">
            <v/>
          </cell>
        </row>
        <row r="15194">
          <cell r="O15194" t="str">
            <v/>
          </cell>
        </row>
        <row r="15195">
          <cell r="O15195" t="str">
            <v/>
          </cell>
        </row>
        <row r="15196">
          <cell r="O15196" t="str">
            <v/>
          </cell>
        </row>
        <row r="15197">
          <cell r="O15197" t="str">
            <v/>
          </cell>
        </row>
        <row r="15198">
          <cell r="O15198" t="str">
            <v/>
          </cell>
        </row>
        <row r="15199">
          <cell r="O15199" t="str">
            <v/>
          </cell>
        </row>
        <row r="15200">
          <cell r="O15200" t="str">
            <v/>
          </cell>
        </row>
        <row r="15201">
          <cell r="O15201" t="str">
            <v/>
          </cell>
        </row>
        <row r="15202">
          <cell r="O15202" t="str">
            <v/>
          </cell>
        </row>
        <row r="15203">
          <cell r="O15203" t="str">
            <v/>
          </cell>
        </row>
        <row r="15204">
          <cell r="O15204" t="str">
            <v/>
          </cell>
        </row>
        <row r="15205">
          <cell r="O15205" t="str">
            <v/>
          </cell>
        </row>
        <row r="15206">
          <cell r="O15206" t="str">
            <v/>
          </cell>
        </row>
        <row r="15207">
          <cell r="O15207" t="str">
            <v/>
          </cell>
        </row>
        <row r="15208">
          <cell r="O15208" t="str">
            <v/>
          </cell>
        </row>
        <row r="15209">
          <cell r="O15209" t="str">
            <v/>
          </cell>
        </row>
        <row r="15210">
          <cell r="O15210" t="str">
            <v/>
          </cell>
        </row>
        <row r="15211">
          <cell r="O15211" t="str">
            <v/>
          </cell>
        </row>
        <row r="15212">
          <cell r="O15212" t="str">
            <v/>
          </cell>
        </row>
        <row r="15213">
          <cell r="O15213" t="str">
            <v/>
          </cell>
        </row>
        <row r="15214">
          <cell r="O15214" t="str">
            <v/>
          </cell>
        </row>
        <row r="15215">
          <cell r="O15215" t="str">
            <v/>
          </cell>
        </row>
        <row r="15216">
          <cell r="O15216" t="str">
            <v/>
          </cell>
        </row>
        <row r="15217">
          <cell r="O15217" t="str">
            <v/>
          </cell>
        </row>
        <row r="15218">
          <cell r="O15218" t="str">
            <v/>
          </cell>
        </row>
        <row r="15219">
          <cell r="O15219" t="str">
            <v/>
          </cell>
        </row>
        <row r="15220">
          <cell r="O15220" t="str">
            <v/>
          </cell>
        </row>
        <row r="15221">
          <cell r="O15221" t="str">
            <v/>
          </cell>
        </row>
        <row r="15222">
          <cell r="O15222" t="str">
            <v/>
          </cell>
        </row>
        <row r="15223">
          <cell r="O15223" t="str">
            <v/>
          </cell>
        </row>
        <row r="15224">
          <cell r="O15224" t="str">
            <v/>
          </cell>
        </row>
        <row r="15225">
          <cell r="O15225" t="str">
            <v/>
          </cell>
        </row>
        <row r="15226">
          <cell r="O15226" t="str">
            <v/>
          </cell>
        </row>
        <row r="15227">
          <cell r="O15227" t="str">
            <v/>
          </cell>
        </row>
        <row r="15228">
          <cell r="O15228" t="str">
            <v/>
          </cell>
        </row>
        <row r="15229">
          <cell r="O15229" t="str">
            <v/>
          </cell>
        </row>
        <row r="15230">
          <cell r="O15230" t="str">
            <v/>
          </cell>
        </row>
        <row r="15231">
          <cell r="O15231" t="str">
            <v/>
          </cell>
        </row>
        <row r="15232">
          <cell r="O15232" t="str">
            <v/>
          </cell>
        </row>
        <row r="15233">
          <cell r="O15233" t="str">
            <v/>
          </cell>
        </row>
        <row r="15234">
          <cell r="O15234" t="str">
            <v/>
          </cell>
        </row>
        <row r="15235">
          <cell r="O15235" t="str">
            <v/>
          </cell>
        </row>
        <row r="15236">
          <cell r="O15236" t="str">
            <v/>
          </cell>
        </row>
        <row r="15237">
          <cell r="O15237" t="str">
            <v/>
          </cell>
        </row>
        <row r="15238">
          <cell r="O15238" t="str">
            <v/>
          </cell>
        </row>
        <row r="15239">
          <cell r="O15239" t="str">
            <v/>
          </cell>
        </row>
        <row r="15240">
          <cell r="O15240" t="str">
            <v/>
          </cell>
        </row>
        <row r="15241">
          <cell r="O15241" t="str">
            <v/>
          </cell>
        </row>
        <row r="15242">
          <cell r="O15242" t="str">
            <v/>
          </cell>
        </row>
        <row r="15243">
          <cell r="O15243" t="str">
            <v/>
          </cell>
        </row>
        <row r="15244">
          <cell r="O15244" t="str">
            <v/>
          </cell>
        </row>
        <row r="15245">
          <cell r="O15245" t="str">
            <v/>
          </cell>
        </row>
        <row r="15246">
          <cell r="O15246" t="str">
            <v/>
          </cell>
        </row>
        <row r="15247">
          <cell r="O15247" t="str">
            <v/>
          </cell>
        </row>
        <row r="15248">
          <cell r="O15248" t="str">
            <v/>
          </cell>
        </row>
        <row r="15249">
          <cell r="O15249" t="str">
            <v/>
          </cell>
        </row>
        <row r="15250">
          <cell r="O15250" t="str">
            <v/>
          </cell>
        </row>
        <row r="15251">
          <cell r="O15251" t="str">
            <v/>
          </cell>
        </row>
        <row r="15252">
          <cell r="O15252" t="str">
            <v/>
          </cell>
        </row>
        <row r="15253">
          <cell r="O15253" t="str">
            <v/>
          </cell>
        </row>
        <row r="15254">
          <cell r="O15254" t="str">
            <v/>
          </cell>
        </row>
        <row r="15255">
          <cell r="O15255" t="str">
            <v/>
          </cell>
        </row>
        <row r="15256">
          <cell r="O15256" t="str">
            <v/>
          </cell>
        </row>
        <row r="15257">
          <cell r="O15257" t="str">
            <v/>
          </cell>
        </row>
        <row r="15258">
          <cell r="O15258" t="str">
            <v/>
          </cell>
        </row>
        <row r="15259">
          <cell r="O15259" t="str">
            <v/>
          </cell>
        </row>
        <row r="15260">
          <cell r="O15260" t="str">
            <v/>
          </cell>
        </row>
        <row r="15261">
          <cell r="O15261" t="str">
            <v/>
          </cell>
        </row>
        <row r="15262">
          <cell r="O15262" t="str">
            <v/>
          </cell>
        </row>
        <row r="15263">
          <cell r="O15263" t="str">
            <v/>
          </cell>
        </row>
        <row r="15264">
          <cell r="O15264" t="str">
            <v/>
          </cell>
        </row>
        <row r="15265">
          <cell r="O15265" t="str">
            <v/>
          </cell>
        </row>
        <row r="15266">
          <cell r="O15266" t="str">
            <v/>
          </cell>
        </row>
        <row r="15267">
          <cell r="O15267" t="str">
            <v/>
          </cell>
        </row>
        <row r="15268">
          <cell r="O15268" t="str">
            <v/>
          </cell>
        </row>
        <row r="15269">
          <cell r="O15269" t="str">
            <v/>
          </cell>
        </row>
        <row r="15270">
          <cell r="O15270" t="str">
            <v/>
          </cell>
        </row>
        <row r="15271">
          <cell r="O15271" t="str">
            <v/>
          </cell>
        </row>
        <row r="15272">
          <cell r="O15272" t="str">
            <v/>
          </cell>
        </row>
        <row r="15273">
          <cell r="O15273" t="str">
            <v/>
          </cell>
        </row>
        <row r="15274">
          <cell r="O15274" t="str">
            <v/>
          </cell>
        </row>
        <row r="15275">
          <cell r="O15275" t="str">
            <v/>
          </cell>
        </row>
        <row r="15276">
          <cell r="O15276" t="str">
            <v/>
          </cell>
        </row>
        <row r="15277">
          <cell r="O15277" t="str">
            <v/>
          </cell>
        </row>
        <row r="15278">
          <cell r="O15278" t="str">
            <v/>
          </cell>
        </row>
        <row r="15279">
          <cell r="O15279" t="str">
            <v/>
          </cell>
        </row>
        <row r="15280">
          <cell r="O15280" t="str">
            <v/>
          </cell>
        </row>
        <row r="15281">
          <cell r="O15281" t="str">
            <v/>
          </cell>
        </row>
        <row r="15282">
          <cell r="O15282" t="str">
            <v/>
          </cell>
        </row>
        <row r="15283">
          <cell r="O15283" t="str">
            <v/>
          </cell>
        </row>
        <row r="15284">
          <cell r="O15284" t="str">
            <v/>
          </cell>
        </row>
        <row r="15285">
          <cell r="O15285" t="str">
            <v/>
          </cell>
        </row>
        <row r="15286">
          <cell r="O15286" t="str">
            <v/>
          </cell>
        </row>
        <row r="15287">
          <cell r="O15287" t="str">
            <v/>
          </cell>
        </row>
        <row r="15288">
          <cell r="O15288" t="str">
            <v/>
          </cell>
        </row>
        <row r="15289">
          <cell r="O15289" t="str">
            <v/>
          </cell>
        </row>
        <row r="15290">
          <cell r="O15290" t="str">
            <v/>
          </cell>
        </row>
        <row r="15291">
          <cell r="O15291" t="str">
            <v/>
          </cell>
        </row>
        <row r="15292">
          <cell r="O15292" t="str">
            <v/>
          </cell>
        </row>
        <row r="15293">
          <cell r="O15293" t="str">
            <v/>
          </cell>
        </row>
        <row r="15294">
          <cell r="O15294" t="str">
            <v/>
          </cell>
        </row>
        <row r="15295">
          <cell r="O15295" t="str">
            <v/>
          </cell>
        </row>
        <row r="15296">
          <cell r="O15296" t="str">
            <v/>
          </cell>
        </row>
        <row r="15297">
          <cell r="O15297" t="str">
            <v/>
          </cell>
        </row>
        <row r="15298">
          <cell r="O15298" t="str">
            <v/>
          </cell>
        </row>
        <row r="15299">
          <cell r="O15299" t="str">
            <v/>
          </cell>
        </row>
        <row r="15300">
          <cell r="O15300" t="str">
            <v/>
          </cell>
        </row>
        <row r="15301">
          <cell r="O15301" t="str">
            <v/>
          </cell>
        </row>
        <row r="15302">
          <cell r="O15302" t="str">
            <v/>
          </cell>
        </row>
        <row r="15303">
          <cell r="O15303" t="str">
            <v/>
          </cell>
        </row>
        <row r="15304">
          <cell r="O15304" t="str">
            <v/>
          </cell>
        </row>
        <row r="15305">
          <cell r="O15305" t="str">
            <v/>
          </cell>
        </row>
        <row r="15306">
          <cell r="O15306" t="str">
            <v/>
          </cell>
        </row>
        <row r="15307">
          <cell r="O15307" t="str">
            <v/>
          </cell>
        </row>
        <row r="15308">
          <cell r="O15308" t="str">
            <v/>
          </cell>
        </row>
        <row r="15309">
          <cell r="O15309" t="str">
            <v/>
          </cell>
        </row>
        <row r="15310">
          <cell r="O15310" t="str">
            <v/>
          </cell>
        </row>
        <row r="15311">
          <cell r="O15311" t="str">
            <v/>
          </cell>
        </row>
        <row r="15312">
          <cell r="O15312" t="str">
            <v/>
          </cell>
        </row>
        <row r="15313">
          <cell r="O15313" t="str">
            <v/>
          </cell>
        </row>
        <row r="15314">
          <cell r="O15314" t="str">
            <v/>
          </cell>
        </row>
        <row r="15315">
          <cell r="O15315" t="str">
            <v/>
          </cell>
        </row>
        <row r="15316">
          <cell r="O15316" t="str">
            <v/>
          </cell>
        </row>
        <row r="15317">
          <cell r="O15317" t="str">
            <v/>
          </cell>
        </row>
        <row r="15318">
          <cell r="O15318" t="str">
            <v/>
          </cell>
        </row>
        <row r="15319">
          <cell r="O15319" t="str">
            <v/>
          </cell>
        </row>
        <row r="15320">
          <cell r="O15320" t="str">
            <v/>
          </cell>
        </row>
        <row r="15321">
          <cell r="O15321" t="str">
            <v/>
          </cell>
        </row>
        <row r="15322">
          <cell r="O15322" t="str">
            <v/>
          </cell>
        </row>
        <row r="15323">
          <cell r="O15323" t="str">
            <v/>
          </cell>
        </row>
        <row r="15324">
          <cell r="O15324" t="str">
            <v/>
          </cell>
        </row>
        <row r="15325">
          <cell r="O15325" t="str">
            <v/>
          </cell>
        </row>
        <row r="15326">
          <cell r="O15326" t="str">
            <v/>
          </cell>
        </row>
        <row r="15327">
          <cell r="O15327" t="str">
            <v/>
          </cell>
        </row>
        <row r="15328">
          <cell r="O15328" t="str">
            <v/>
          </cell>
        </row>
        <row r="15329">
          <cell r="O15329" t="str">
            <v/>
          </cell>
        </row>
        <row r="15330">
          <cell r="O15330" t="str">
            <v/>
          </cell>
        </row>
        <row r="15331">
          <cell r="O15331" t="str">
            <v/>
          </cell>
        </row>
        <row r="15332">
          <cell r="O15332" t="str">
            <v/>
          </cell>
        </row>
        <row r="15333">
          <cell r="O15333" t="str">
            <v/>
          </cell>
        </row>
        <row r="15334">
          <cell r="O15334" t="str">
            <v/>
          </cell>
        </row>
        <row r="15335">
          <cell r="O15335" t="str">
            <v/>
          </cell>
        </row>
        <row r="15336">
          <cell r="O15336" t="str">
            <v/>
          </cell>
        </row>
        <row r="15337">
          <cell r="O15337" t="str">
            <v/>
          </cell>
        </row>
        <row r="15338">
          <cell r="O15338" t="str">
            <v/>
          </cell>
        </row>
        <row r="15339">
          <cell r="O15339" t="str">
            <v/>
          </cell>
        </row>
        <row r="15340">
          <cell r="O15340" t="str">
            <v/>
          </cell>
        </row>
        <row r="15341">
          <cell r="O15341" t="str">
            <v/>
          </cell>
        </row>
        <row r="15342">
          <cell r="O15342" t="str">
            <v/>
          </cell>
        </row>
        <row r="15343">
          <cell r="O15343" t="str">
            <v/>
          </cell>
        </row>
        <row r="15344">
          <cell r="O15344" t="str">
            <v/>
          </cell>
        </row>
        <row r="15345">
          <cell r="O15345" t="str">
            <v/>
          </cell>
        </row>
        <row r="15346">
          <cell r="O15346" t="str">
            <v/>
          </cell>
        </row>
        <row r="15347">
          <cell r="O15347" t="str">
            <v/>
          </cell>
        </row>
        <row r="15348">
          <cell r="O15348" t="str">
            <v/>
          </cell>
        </row>
        <row r="15349">
          <cell r="O15349" t="str">
            <v/>
          </cell>
        </row>
        <row r="15350">
          <cell r="O15350" t="str">
            <v/>
          </cell>
        </row>
        <row r="15351">
          <cell r="O15351" t="str">
            <v/>
          </cell>
        </row>
        <row r="15352">
          <cell r="O15352" t="str">
            <v/>
          </cell>
        </row>
        <row r="15353">
          <cell r="O15353" t="str">
            <v/>
          </cell>
        </row>
        <row r="15354">
          <cell r="O15354" t="str">
            <v/>
          </cell>
        </row>
        <row r="15355">
          <cell r="O15355" t="str">
            <v/>
          </cell>
        </row>
        <row r="15356">
          <cell r="O15356" t="str">
            <v/>
          </cell>
        </row>
        <row r="15357">
          <cell r="O15357" t="str">
            <v/>
          </cell>
        </row>
        <row r="15358">
          <cell r="O15358" t="str">
            <v/>
          </cell>
        </row>
        <row r="15359">
          <cell r="O15359" t="str">
            <v/>
          </cell>
        </row>
        <row r="15360">
          <cell r="O15360" t="str">
            <v/>
          </cell>
        </row>
        <row r="15361">
          <cell r="O15361" t="str">
            <v/>
          </cell>
        </row>
        <row r="15362">
          <cell r="O15362" t="str">
            <v/>
          </cell>
        </row>
        <row r="15363">
          <cell r="O15363" t="str">
            <v/>
          </cell>
        </row>
        <row r="15364">
          <cell r="O15364" t="str">
            <v/>
          </cell>
        </row>
        <row r="15365">
          <cell r="O15365" t="str">
            <v/>
          </cell>
        </row>
        <row r="15366">
          <cell r="O15366" t="str">
            <v/>
          </cell>
        </row>
        <row r="15367">
          <cell r="O15367" t="str">
            <v/>
          </cell>
        </row>
        <row r="15368">
          <cell r="O15368" t="str">
            <v/>
          </cell>
        </row>
        <row r="15369">
          <cell r="O15369" t="str">
            <v/>
          </cell>
        </row>
        <row r="15370">
          <cell r="O15370" t="str">
            <v/>
          </cell>
        </row>
        <row r="15371">
          <cell r="O15371" t="str">
            <v/>
          </cell>
        </row>
        <row r="15372">
          <cell r="O15372" t="str">
            <v/>
          </cell>
        </row>
        <row r="15373">
          <cell r="O15373" t="str">
            <v/>
          </cell>
        </row>
        <row r="15374">
          <cell r="O15374" t="str">
            <v/>
          </cell>
        </row>
        <row r="15375">
          <cell r="O15375" t="str">
            <v/>
          </cell>
        </row>
        <row r="15376">
          <cell r="O15376" t="str">
            <v/>
          </cell>
        </row>
        <row r="15377">
          <cell r="O15377" t="str">
            <v/>
          </cell>
        </row>
        <row r="15378">
          <cell r="O15378" t="str">
            <v/>
          </cell>
        </row>
        <row r="15379">
          <cell r="O15379" t="str">
            <v/>
          </cell>
        </row>
        <row r="15380">
          <cell r="O15380" t="str">
            <v/>
          </cell>
        </row>
        <row r="15381">
          <cell r="O15381" t="str">
            <v/>
          </cell>
        </row>
        <row r="15382">
          <cell r="O15382" t="str">
            <v/>
          </cell>
        </row>
        <row r="15383">
          <cell r="O15383" t="str">
            <v/>
          </cell>
        </row>
        <row r="15384">
          <cell r="O15384" t="str">
            <v/>
          </cell>
        </row>
        <row r="15385">
          <cell r="O15385" t="str">
            <v/>
          </cell>
        </row>
        <row r="15386">
          <cell r="O15386" t="str">
            <v/>
          </cell>
        </row>
        <row r="15387">
          <cell r="O15387" t="str">
            <v/>
          </cell>
        </row>
        <row r="15388">
          <cell r="O15388" t="str">
            <v/>
          </cell>
        </row>
        <row r="15389">
          <cell r="O15389" t="str">
            <v/>
          </cell>
        </row>
        <row r="15390">
          <cell r="O15390" t="str">
            <v/>
          </cell>
        </row>
        <row r="15391">
          <cell r="O15391" t="str">
            <v/>
          </cell>
        </row>
        <row r="15392">
          <cell r="O15392" t="str">
            <v/>
          </cell>
        </row>
        <row r="15393">
          <cell r="O15393" t="str">
            <v/>
          </cell>
        </row>
        <row r="15394">
          <cell r="O15394" t="str">
            <v/>
          </cell>
        </row>
        <row r="15395">
          <cell r="O15395" t="str">
            <v/>
          </cell>
        </row>
        <row r="15396">
          <cell r="O15396" t="str">
            <v/>
          </cell>
        </row>
        <row r="15397">
          <cell r="O15397" t="str">
            <v/>
          </cell>
        </row>
        <row r="15398">
          <cell r="O15398" t="str">
            <v/>
          </cell>
        </row>
        <row r="15399">
          <cell r="O15399" t="str">
            <v/>
          </cell>
        </row>
        <row r="15400">
          <cell r="O15400" t="str">
            <v/>
          </cell>
        </row>
        <row r="15401">
          <cell r="O15401" t="str">
            <v/>
          </cell>
        </row>
        <row r="15402">
          <cell r="O15402" t="str">
            <v/>
          </cell>
        </row>
        <row r="15403">
          <cell r="O15403" t="str">
            <v/>
          </cell>
        </row>
        <row r="15404">
          <cell r="O15404" t="str">
            <v/>
          </cell>
        </row>
        <row r="15405">
          <cell r="O15405" t="str">
            <v/>
          </cell>
        </row>
        <row r="15406">
          <cell r="O15406" t="str">
            <v/>
          </cell>
        </row>
        <row r="15407">
          <cell r="O15407" t="str">
            <v/>
          </cell>
        </row>
        <row r="15408">
          <cell r="O15408" t="str">
            <v/>
          </cell>
        </row>
        <row r="15409">
          <cell r="O15409" t="str">
            <v/>
          </cell>
        </row>
        <row r="15410">
          <cell r="O15410" t="str">
            <v/>
          </cell>
        </row>
        <row r="15411">
          <cell r="O15411" t="str">
            <v/>
          </cell>
        </row>
        <row r="15412">
          <cell r="O15412" t="str">
            <v/>
          </cell>
        </row>
        <row r="15413">
          <cell r="O15413" t="str">
            <v/>
          </cell>
        </row>
        <row r="15414">
          <cell r="O15414" t="str">
            <v/>
          </cell>
        </row>
        <row r="15415">
          <cell r="O15415" t="str">
            <v/>
          </cell>
        </row>
        <row r="15416">
          <cell r="O15416" t="str">
            <v/>
          </cell>
        </row>
        <row r="15417">
          <cell r="O15417" t="str">
            <v/>
          </cell>
        </row>
        <row r="15418">
          <cell r="O15418" t="str">
            <v/>
          </cell>
        </row>
        <row r="15419">
          <cell r="O15419" t="str">
            <v/>
          </cell>
        </row>
        <row r="15420">
          <cell r="O15420" t="str">
            <v/>
          </cell>
        </row>
        <row r="15421">
          <cell r="O15421" t="str">
            <v/>
          </cell>
        </row>
        <row r="15422">
          <cell r="O15422" t="str">
            <v/>
          </cell>
        </row>
        <row r="15423">
          <cell r="O15423" t="str">
            <v/>
          </cell>
        </row>
        <row r="15424">
          <cell r="O15424" t="str">
            <v/>
          </cell>
        </row>
        <row r="15425">
          <cell r="O15425" t="str">
            <v/>
          </cell>
        </row>
        <row r="15426">
          <cell r="O15426" t="str">
            <v/>
          </cell>
        </row>
        <row r="15427">
          <cell r="O15427" t="str">
            <v/>
          </cell>
        </row>
        <row r="15428">
          <cell r="O15428" t="str">
            <v/>
          </cell>
        </row>
        <row r="15429">
          <cell r="O15429" t="str">
            <v/>
          </cell>
        </row>
        <row r="15430">
          <cell r="O15430" t="str">
            <v/>
          </cell>
        </row>
        <row r="15431">
          <cell r="O15431" t="str">
            <v/>
          </cell>
        </row>
        <row r="15432">
          <cell r="O15432" t="str">
            <v/>
          </cell>
        </row>
        <row r="15433">
          <cell r="O15433" t="str">
            <v/>
          </cell>
        </row>
        <row r="15434">
          <cell r="O15434" t="str">
            <v/>
          </cell>
        </row>
        <row r="15435">
          <cell r="O15435" t="str">
            <v/>
          </cell>
        </row>
        <row r="15436">
          <cell r="O15436" t="str">
            <v/>
          </cell>
        </row>
        <row r="15437">
          <cell r="O15437" t="str">
            <v/>
          </cell>
        </row>
        <row r="15438">
          <cell r="O15438" t="str">
            <v/>
          </cell>
        </row>
        <row r="15439">
          <cell r="O15439" t="str">
            <v/>
          </cell>
        </row>
        <row r="15440">
          <cell r="O15440" t="str">
            <v/>
          </cell>
        </row>
        <row r="15441">
          <cell r="O15441" t="str">
            <v/>
          </cell>
        </row>
        <row r="15442">
          <cell r="O15442" t="str">
            <v/>
          </cell>
        </row>
        <row r="15443">
          <cell r="O15443" t="str">
            <v/>
          </cell>
        </row>
        <row r="15444">
          <cell r="O15444" t="str">
            <v/>
          </cell>
        </row>
        <row r="15445">
          <cell r="O15445" t="str">
            <v/>
          </cell>
        </row>
        <row r="15446">
          <cell r="O15446" t="str">
            <v/>
          </cell>
        </row>
        <row r="15447">
          <cell r="O15447" t="str">
            <v/>
          </cell>
        </row>
        <row r="15448">
          <cell r="O15448" t="str">
            <v/>
          </cell>
        </row>
        <row r="15449">
          <cell r="O15449" t="str">
            <v/>
          </cell>
        </row>
        <row r="15450">
          <cell r="O15450" t="str">
            <v/>
          </cell>
        </row>
        <row r="15451">
          <cell r="O15451" t="str">
            <v/>
          </cell>
        </row>
        <row r="15452">
          <cell r="O15452" t="str">
            <v/>
          </cell>
        </row>
        <row r="15453">
          <cell r="O15453" t="str">
            <v/>
          </cell>
        </row>
        <row r="15454">
          <cell r="O15454" t="str">
            <v/>
          </cell>
        </row>
        <row r="15455">
          <cell r="O15455" t="str">
            <v/>
          </cell>
        </row>
        <row r="15456">
          <cell r="O15456" t="str">
            <v/>
          </cell>
        </row>
        <row r="15457">
          <cell r="O15457" t="str">
            <v/>
          </cell>
        </row>
        <row r="15458">
          <cell r="O15458" t="str">
            <v/>
          </cell>
        </row>
        <row r="15459">
          <cell r="O15459" t="str">
            <v/>
          </cell>
        </row>
        <row r="15460">
          <cell r="O15460" t="str">
            <v/>
          </cell>
        </row>
        <row r="15461">
          <cell r="O15461" t="str">
            <v/>
          </cell>
        </row>
        <row r="15462">
          <cell r="O15462" t="str">
            <v/>
          </cell>
        </row>
        <row r="15463">
          <cell r="O15463" t="str">
            <v/>
          </cell>
        </row>
        <row r="15464">
          <cell r="O15464" t="str">
            <v/>
          </cell>
        </row>
        <row r="15465">
          <cell r="O15465" t="str">
            <v/>
          </cell>
        </row>
        <row r="15466">
          <cell r="O15466" t="str">
            <v/>
          </cell>
        </row>
        <row r="15467">
          <cell r="O15467" t="str">
            <v/>
          </cell>
        </row>
        <row r="15468">
          <cell r="O15468" t="str">
            <v/>
          </cell>
        </row>
        <row r="15469">
          <cell r="O15469" t="str">
            <v/>
          </cell>
        </row>
        <row r="15470">
          <cell r="O15470" t="str">
            <v/>
          </cell>
        </row>
        <row r="15471">
          <cell r="O15471" t="str">
            <v/>
          </cell>
        </row>
        <row r="15472">
          <cell r="O15472" t="str">
            <v/>
          </cell>
        </row>
        <row r="15473">
          <cell r="O15473" t="str">
            <v/>
          </cell>
        </row>
        <row r="15474">
          <cell r="O15474" t="str">
            <v/>
          </cell>
        </row>
        <row r="15475">
          <cell r="O15475" t="str">
            <v/>
          </cell>
        </row>
        <row r="15476">
          <cell r="O15476" t="str">
            <v/>
          </cell>
        </row>
        <row r="15477">
          <cell r="O15477" t="str">
            <v/>
          </cell>
        </row>
        <row r="15478">
          <cell r="O15478" t="str">
            <v/>
          </cell>
        </row>
        <row r="15479">
          <cell r="O15479" t="str">
            <v/>
          </cell>
        </row>
        <row r="15480">
          <cell r="O15480" t="str">
            <v/>
          </cell>
        </row>
        <row r="15481">
          <cell r="O15481" t="str">
            <v/>
          </cell>
        </row>
        <row r="15482">
          <cell r="O15482" t="str">
            <v/>
          </cell>
        </row>
        <row r="15483">
          <cell r="O15483" t="str">
            <v/>
          </cell>
        </row>
        <row r="15484">
          <cell r="O15484" t="str">
            <v/>
          </cell>
        </row>
        <row r="15485">
          <cell r="O15485" t="str">
            <v/>
          </cell>
        </row>
        <row r="15486">
          <cell r="O15486" t="str">
            <v/>
          </cell>
        </row>
        <row r="15487">
          <cell r="O15487" t="str">
            <v/>
          </cell>
        </row>
        <row r="15488">
          <cell r="O15488" t="str">
            <v/>
          </cell>
        </row>
        <row r="15489">
          <cell r="O15489" t="str">
            <v/>
          </cell>
        </row>
        <row r="15490">
          <cell r="O15490" t="str">
            <v/>
          </cell>
        </row>
        <row r="15491">
          <cell r="O15491" t="str">
            <v/>
          </cell>
        </row>
        <row r="15492">
          <cell r="O15492" t="str">
            <v/>
          </cell>
        </row>
        <row r="15493">
          <cell r="O15493" t="str">
            <v/>
          </cell>
        </row>
        <row r="15494">
          <cell r="O15494" t="str">
            <v/>
          </cell>
        </row>
        <row r="15495">
          <cell r="O15495" t="str">
            <v/>
          </cell>
        </row>
        <row r="15496">
          <cell r="O15496" t="str">
            <v/>
          </cell>
        </row>
        <row r="15497">
          <cell r="O15497" t="str">
            <v/>
          </cell>
        </row>
        <row r="15498">
          <cell r="O15498" t="str">
            <v/>
          </cell>
        </row>
        <row r="15499">
          <cell r="O15499" t="str">
            <v/>
          </cell>
        </row>
        <row r="15500">
          <cell r="O15500" t="str">
            <v/>
          </cell>
        </row>
        <row r="15501">
          <cell r="O15501" t="str">
            <v/>
          </cell>
        </row>
        <row r="15502">
          <cell r="O15502" t="str">
            <v/>
          </cell>
        </row>
        <row r="15503">
          <cell r="O15503" t="str">
            <v/>
          </cell>
        </row>
        <row r="15504">
          <cell r="O15504" t="str">
            <v/>
          </cell>
        </row>
        <row r="15505">
          <cell r="O15505" t="str">
            <v/>
          </cell>
        </row>
        <row r="15506">
          <cell r="O15506" t="str">
            <v/>
          </cell>
        </row>
        <row r="15507">
          <cell r="O15507" t="str">
            <v/>
          </cell>
        </row>
        <row r="15508">
          <cell r="O15508" t="str">
            <v/>
          </cell>
        </row>
        <row r="15509">
          <cell r="O15509" t="str">
            <v/>
          </cell>
        </row>
        <row r="15510">
          <cell r="O15510" t="str">
            <v/>
          </cell>
        </row>
        <row r="15511">
          <cell r="O15511" t="str">
            <v/>
          </cell>
        </row>
        <row r="15512">
          <cell r="O15512" t="str">
            <v/>
          </cell>
        </row>
        <row r="15513">
          <cell r="O15513" t="str">
            <v/>
          </cell>
        </row>
        <row r="15514">
          <cell r="O15514" t="str">
            <v/>
          </cell>
        </row>
        <row r="15515">
          <cell r="O15515" t="str">
            <v/>
          </cell>
        </row>
        <row r="15516">
          <cell r="O15516" t="str">
            <v/>
          </cell>
        </row>
        <row r="15517">
          <cell r="O15517" t="str">
            <v/>
          </cell>
        </row>
        <row r="15518">
          <cell r="O15518" t="str">
            <v/>
          </cell>
        </row>
        <row r="15519">
          <cell r="O15519" t="str">
            <v/>
          </cell>
        </row>
        <row r="15520">
          <cell r="O15520" t="str">
            <v/>
          </cell>
        </row>
        <row r="15521">
          <cell r="O15521" t="str">
            <v/>
          </cell>
        </row>
        <row r="15522">
          <cell r="O15522" t="str">
            <v/>
          </cell>
        </row>
        <row r="15523">
          <cell r="O15523" t="str">
            <v/>
          </cell>
        </row>
        <row r="15524">
          <cell r="O15524" t="str">
            <v/>
          </cell>
        </row>
        <row r="15525">
          <cell r="O15525" t="str">
            <v/>
          </cell>
        </row>
        <row r="15526">
          <cell r="O15526" t="str">
            <v/>
          </cell>
        </row>
        <row r="15527">
          <cell r="O15527" t="str">
            <v/>
          </cell>
        </row>
        <row r="15528">
          <cell r="O15528" t="str">
            <v/>
          </cell>
        </row>
        <row r="15529">
          <cell r="O15529" t="str">
            <v/>
          </cell>
        </row>
        <row r="15530">
          <cell r="O15530" t="str">
            <v/>
          </cell>
        </row>
        <row r="15531">
          <cell r="O15531" t="str">
            <v/>
          </cell>
        </row>
        <row r="15532">
          <cell r="O15532" t="str">
            <v/>
          </cell>
        </row>
        <row r="15533">
          <cell r="O15533" t="str">
            <v/>
          </cell>
        </row>
        <row r="15534">
          <cell r="O15534" t="str">
            <v/>
          </cell>
        </row>
        <row r="15535">
          <cell r="O15535" t="str">
            <v/>
          </cell>
        </row>
        <row r="15536">
          <cell r="O15536" t="str">
            <v/>
          </cell>
        </row>
        <row r="15537">
          <cell r="O15537" t="str">
            <v/>
          </cell>
        </row>
        <row r="15538">
          <cell r="O15538" t="str">
            <v/>
          </cell>
        </row>
        <row r="15539">
          <cell r="O15539" t="str">
            <v/>
          </cell>
        </row>
        <row r="15540">
          <cell r="O15540" t="str">
            <v/>
          </cell>
        </row>
        <row r="15541">
          <cell r="O15541" t="str">
            <v/>
          </cell>
        </row>
        <row r="15542">
          <cell r="O15542" t="str">
            <v/>
          </cell>
        </row>
        <row r="15543">
          <cell r="O15543" t="str">
            <v/>
          </cell>
        </row>
        <row r="15544">
          <cell r="O15544" t="str">
            <v/>
          </cell>
        </row>
        <row r="15545">
          <cell r="O15545" t="str">
            <v/>
          </cell>
        </row>
        <row r="15546">
          <cell r="O15546" t="str">
            <v/>
          </cell>
        </row>
        <row r="15547">
          <cell r="O15547" t="str">
            <v/>
          </cell>
        </row>
        <row r="15548">
          <cell r="O15548" t="str">
            <v/>
          </cell>
        </row>
        <row r="15549">
          <cell r="O15549" t="str">
            <v/>
          </cell>
        </row>
        <row r="15550">
          <cell r="O15550" t="str">
            <v/>
          </cell>
        </row>
        <row r="15551">
          <cell r="O15551" t="str">
            <v/>
          </cell>
        </row>
        <row r="15552">
          <cell r="O15552" t="str">
            <v/>
          </cell>
        </row>
        <row r="15553">
          <cell r="O15553" t="str">
            <v/>
          </cell>
        </row>
        <row r="15554">
          <cell r="O15554" t="str">
            <v/>
          </cell>
        </row>
        <row r="15555">
          <cell r="O15555" t="str">
            <v/>
          </cell>
        </row>
        <row r="15556">
          <cell r="O15556" t="str">
            <v/>
          </cell>
        </row>
        <row r="15557">
          <cell r="O15557" t="str">
            <v/>
          </cell>
        </row>
        <row r="15558">
          <cell r="O15558" t="str">
            <v/>
          </cell>
        </row>
        <row r="15559">
          <cell r="O15559" t="str">
            <v/>
          </cell>
        </row>
        <row r="15560">
          <cell r="O15560" t="str">
            <v/>
          </cell>
        </row>
        <row r="15561">
          <cell r="O15561" t="str">
            <v/>
          </cell>
        </row>
        <row r="15562">
          <cell r="O15562" t="str">
            <v/>
          </cell>
        </row>
        <row r="15563">
          <cell r="O15563" t="str">
            <v/>
          </cell>
        </row>
        <row r="15564">
          <cell r="O15564" t="str">
            <v/>
          </cell>
        </row>
        <row r="15565">
          <cell r="O15565" t="str">
            <v/>
          </cell>
        </row>
        <row r="15566">
          <cell r="O15566" t="str">
            <v/>
          </cell>
        </row>
        <row r="15567">
          <cell r="O15567" t="str">
            <v/>
          </cell>
        </row>
        <row r="15568">
          <cell r="O15568" t="str">
            <v/>
          </cell>
        </row>
        <row r="15569">
          <cell r="O15569" t="str">
            <v/>
          </cell>
        </row>
        <row r="15570">
          <cell r="O15570" t="str">
            <v/>
          </cell>
        </row>
        <row r="15571">
          <cell r="O15571" t="str">
            <v/>
          </cell>
        </row>
        <row r="15572">
          <cell r="O15572" t="str">
            <v/>
          </cell>
        </row>
        <row r="15573">
          <cell r="O15573" t="str">
            <v/>
          </cell>
        </row>
        <row r="15574">
          <cell r="O15574" t="str">
            <v/>
          </cell>
        </row>
        <row r="15575">
          <cell r="O15575" t="str">
            <v/>
          </cell>
        </row>
        <row r="15576">
          <cell r="O15576" t="str">
            <v/>
          </cell>
        </row>
        <row r="15577">
          <cell r="O15577" t="str">
            <v/>
          </cell>
        </row>
        <row r="15578">
          <cell r="O15578" t="str">
            <v/>
          </cell>
        </row>
        <row r="15579">
          <cell r="O15579" t="str">
            <v/>
          </cell>
        </row>
        <row r="15580">
          <cell r="O15580" t="str">
            <v/>
          </cell>
        </row>
        <row r="15581">
          <cell r="O15581" t="str">
            <v/>
          </cell>
        </row>
        <row r="15582">
          <cell r="O15582" t="str">
            <v/>
          </cell>
        </row>
        <row r="15583">
          <cell r="O15583" t="str">
            <v/>
          </cell>
        </row>
        <row r="15584">
          <cell r="O15584" t="str">
            <v/>
          </cell>
        </row>
        <row r="15585">
          <cell r="O15585" t="str">
            <v/>
          </cell>
        </row>
        <row r="15586">
          <cell r="O15586" t="str">
            <v/>
          </cell>
        </row>
        <row r="15587">
          <cell r="O15587" t="str">
            <v/>
          </cell>
        </row>
        <row r="15588">
          <cell r="O15588" t="str">
            <v/>
          </cell>
        </row>
        <row r="15589">
          <cell r="O15589" t="str">
            <v/>
          </cell>
        </row>
        <row r="15590">
          <cell r="O15590" t="str">
            <v/>
          </cell>
        </row>
        <row r="15591">
          <cell r="O15591" t="str">
            <v/>
          </cell>
        </row>
        <row r="15592">
          <cell r="O15592" t="str">
            <v/>
          </cell>
        </row>
        <row r="15593">
          <cell r="O15593" t="str">
            <v/>
          </cell>
        </row>
        <row r="15594">
          <cell r="O15594" t="str">
            <v/>
          </cell>
        </row>
        <row r="15595">
          <cell r="O15595" t="str">
            <v/>
          </cell>
        </row>
        <row r="15596">
          <cell r="O15596" t="str">
            <v/>
          </cell>
        </row>
        <row r="15597">
          <cell r="O15597" t="str">
            <v/>
          </cell>
        </row>
        <row r="15598">
          <cell r="O15598" t="str">
            <v/>
          </cell>
        </row>
        <row r="15599">
          <cell r="O15599" t="str">
            <v/>
          </cell>
        </row>
        <row r="15600">
          <cell r="O15600" t="str">
            <v/>
          </cell>
        </row>
        <row r="15601">
          <cell r="O15601" t="str">
            <v/>
          </cell>
        </row>
        <row r="15602">
          <cell r="O15602" t="str">
            <v/>
          </cell>
        </row>
        <row r="15603">
          <cell r="O15603" t="str">
            <v/>
          </cell>
        </row>
        <row r="15604">
          <cell r="O15604" t="str">
            <v/>
          </cell>
        </row>
        <row r="15605">
          <cell r="O15605" t="str">
            <v/>
          </cell>
        </row>
        <row r="15606">
          <cell r="O15606" t="str">
            <v/>
          </cell>
        </row>
        <row r="15607">
          <cell r="O15607" t="str">
            <v/>
          </cell>
        </row>
        <row r="15608">
          <cell r="O15608" t="str">
            <v/>
          </cell>
        </row>
        <row r="15609">
          <cell r="O15609" t="str">
            <v/>
          </cell>
        </row>
        <row r="15610">
          <cell r="O15610" t="str">
            <v/>
          </cell>
        </row>
        <row r="15611">
          <cell r="O15611" t="str">
            <v/>
          </cell>
        </row>
        <row r="15612">
          <cell r="O15612" t="str">
            <v/>
          </cell>
        </row>
        <row r="15613">
          <cell r="O15613" t="str">
            <v/>
          </cell>
        </row>
        <row r="15614">
          <cell r="O15614" t="str">
            <v/>
          </cell>
        </row>
        <row r="15615">
          <cell r="O15615" t="str">
            <v/>
          </cell>
        </row>
        <row r="15616">
          <cell r="O15616" t="str">
            <v/>
          </cell>
        </row>
        <row r="15617">
          <cell r="O15617" t="str">
            <v/>
          </cell>
        </row>
        <row r="15618">
          <cell r="O15618" t="str">
            <v/>
          </cell>
        </row>
        <row r="15619">
          <cell r="O15619" t="str">
            <v/>
          </cell>
        </row>
        <row r="15620">
          <cell r="O15620" t="str">
            <v/>
          </cell>
        </row>
        <row r="15621">
          <cell r="O15621" t="str">
            <v/>
          </cell>
        </row>
        <row r="15622">
          <cell r="O15622" t="str">
            <v/>
          </cell>
        </row>
        <row r="15623">
          <cell r="O15623" t="str">
            <v/>
          </cell>
        </row>
        <row r="15624">
          <cell r="O15624" t="str">
            <v/>
          </cell>
        </row>
        <row r="15625">
          <cell r="O15625" t="str">
            <v/>
          </cell>
        </row>
        <row r="15626">
          <cell r="O15626" t="str">
            <v/>
          </cell>
        </row>
        <row r="15627">
          <cell r="O15627" t="str">
            <v/>
          </cell>
        </row>
        <row r="15628">
          <cell r="O15628" t="str">
            <v/>
          </cell>
        </row>
        <row r="15629">
          <cell r="O15629" t="str">
            <v/>
          </cell>
        </row>
        <row r="15630">
          <cell r="O15630" t="str">
            <v/>
          </cell>
        </row>
        <row r="15631">
          <cell r="O15631" t="str">
            <v/>
          </cell>
        </row>
        <row r="15632">
          <cell r="O15632" t="str">
            <v/>
          </cell>
        </row>
        <row r="15633">
          <cell r="O15633" t="str">
            <v/>
          </cell>
        </row>
        <row r="15634">
          <cell r="O15634" t="str">
            <v/>
          </cell>
        </row>
        <row r="15635">
          <cell r="O15635" t="str">
            <v/>
          </cell>
        </row>
        <row r="15636">
          <cell r="O15636" t="str">
            <v/>
          </cell>
        </row>
        <row r="15637">
          <cell r="O15637" t="str">
            <v/>
          </cell>
        </row>
        <row r="15638">
          <cell r="O15638" t="str">
            <v/>
          </cell>
        </row>
        <row r="15639">
          <cell r="O15639" t="str">
            <v/>
          </cell>
        </row>
        <row r="15640">
          <cell r="O15640" t="str">
            <v/>
          </cell>
        </row>
        <row r="15641">
          <cell r="O15641" t="str">
            <v/>
          </cell>
        </row>
        <row r="15642">
          <cell r="O15642" t="str">
            <v/>
          </cell>
        </row>
        <row r="15643">
          <cell r="O15643" t="str">
            <v/>
          </cell>
        </row>
        <row r="15644">
          <cell r="O15644" t="str">
            <v/>
          </cell>
        </row>
        <row r="15645">
          <cell r="O15645" t="str">
            <v/>
          </cell>
        </row>
        <row r="15646">
          <cell r="O15646" t="str">
            <v/>
          </cell>
        </row>
        <row r="15647">
          <cell r="O15647" t="str">
            <v/>
          </cell>
        </row>
        <row r="15648">
          <cell r="O15648" t="str">
            <v/>
          </cell>
        </row>
        <row r="15649">
          <cell r="O15649" t="str">
            <v/>
          </cell>
        </row>
        <row r="15650">
          <cell r="O15650" t="str">
            <v/>
          </cell>
        </row>
        <row r="15651">
          <cell r="O15651" t="str">
            <v/>
          </cell>
        </row>
        <row r="15652">
          <cell r="O15652" t="str">
            <v/>
          </cell>
        </row>
        <row r="15653">
          <cell r="O15653" t="str">
            <v/>
          </cell>
        </row>
        <row r="15654">
          <cell r="O15654" t="str">
            <v/>
          </cell>
        </row>
        <row r="15655">
          <cell r="O15655" t="str">
            <v/>
          </cell>
        </row>
        <row r="15656">
          <cell r="O15656" t="str">
            <v/>
          </cell>
        </row>
        <row r="15657">
          <cell r="O15657" t="str">
            <v/>
          </cell>
        </row>
        <row r="15658">
          <cell r="O15658" t="str">
            <v/>
          </cell>
        </row>
        <row r="15659">
          <cell r="O15659" t="str">
            <v/>
          </cell>
        </row>
        <row r="15660">
          <cell r="O15660" t="str">
            <v/>
          </cell>
        </row>
        <row r="15661">
          <cell r="O15661" t="str">
            <v/>
          </cell>
        </row>
        <row r="15662">
          <cell r="O15662" t="str">
            <v/>
          </cell>
        </row>
        <row r="15663">
          <cell r="O15663" t="str">
            <v/>
          </cell>
        </row>
        <row r="15664">
          <cell r="O15664" t="str">
            <v/>
          </cell>
        </row>
        <row r="15665">
          <cell r="O15665" t="str">
            <v/>
          </cell>
        </row>
        <row r="15666">
          <cell r="O15666" t="str">
            <v/>
          </cell>
        </row>
        <row r="15667">
          <cell r="O15667" t="str">
            <v/>
          </cell>
        </row>
        <row r="15668">
          <cell r="O15668" t="str">
            <v/>
          </cell>
        </row>
        <row r="15669">
          <cell r="O15669" t="str">
            <v/>
          </cell>
        </row>
        <row r="15670">
          <cell r="O15670" t="str">
            <v/>
          </cell>
        </row>
        <row r="15671">
          <cell r="O15671" t="str">
            <v/>
          </cell>
        </row>
        <row r="15672">
          <cell r="O15672" t="str">
            <v/>
          </cell>
        </row>
        <row r="15673">
          <cell r="O15673" t="str">
            <v/>
          </cell>
        </row>
        <row r="15674">
          <cell r="O15674" t="str">
            <v/>
          </cell>
        </row>
        <row r="15675">
          <cell r="O15675" t="str">
            <v/>
          </cell>
        </row>
        <row r="15676">
          <cell r="O15676" t="str">
            <v/>
          </cell>
        </row>
        <row r="15677">
          <cell r="O15677" t="str">
            <v/>
          </cell>
        </row>
        <row r="15678">
          <cell r="O15678" t="str">
            <v/>
          </cell>
        </row>
        <row r="15679">
          <cell r="O15679" t="str">
            <v/>
          </cell>
        </row>
        <row r="15680">
          <cell r="O15680" t="str">
            <v/>
          </cell>
        </row>
        <row r="15681">
          <cell r="O15681" t="str">
            <v/>
          </cell>
        </row>
        <row r="15682">
          <cell r="O15682" t="str">
            <v/>
          </cell>
        </row>
        <row r="15683">
          <cell r="O15683" t="str">
            <v/>
          </cell>
        </row>
        <row r="15684">
          <cell r="O15684" t="str">
            <v/>
          </cell>
        </row>
        <row r="15685">
          <cell r="O15685" t="str">
            <v/>
          </cell>
        </row>
        <row r="15686">
          <cell r="O15686" t="str">
            <v/>
          </cell>
        </row>
        <row r="15687">
          <cell r="O15687" t="str">
            <v/>
          </cell>
        </row>
        <row r="15688">
          <cell r="O15688" t="str">
            <v/>
          </cell>
        </row>
        <row r="15689">
          <cell r="O15689" t="str">
            <v/>
          </cell>
        </row>
        <row r="15690">
          <cell r="O15690" t="str">
            <v/>
          </cell>
        </row>
        <row r="15691">
          <cell r="O15691" t="str">
            <v/>
          </cell>
        </row>
        <row r="15692">
          <cell r="O15692" t="str">
            <v/>
          </cell>
        </row>
        <row r="15693">
          <cell r="O15693" t="str">
            <v/>
          </cell>
        </row>
        <row r="15694">
          <cell r="O15694" t="str">
            <v/>
          </cell>
        </row>
        <row r="15695">
          <cell r="O15695" t="str">
            <v/>
          </cell>
        </row>
        <row r="15696">
          <cell r="O15696" t="str">
            <v/>
          </cell>
        </row>
        <row r="15697">
          <cell r="O15697" t="str">
            <v/>
          </cell>
        </row>
        <row r="15698">
          <cell r="O15698" t="str">
            <v/>
          </cell>
        </row>
        <row r="15699">
          <cell r="O15699" t="str">
            <v/>
          </cell>
        </row>
        <row r="15700">
          <cell r="O15700" t="str">
            <v/>
          </cell>
        </row>
        <row r="15701">
          <cell r="O15701" t="str">
            <v/>
          </cell>
        </row>
        <row r="15702">
          <cell r="O15702" t="str">
            <v/>
          </cell>
        </row>
        <row r="15703">
          <cell r="O15703" t="str">
            <v/>
          </cell>
        </row>
        <row r="15704">
          <cell r="O15704" t="str">
            <v/>
          </cell>
        </row>
        <row r="15705">
          <cell r="O15705" t="str">
            <v/>
          </cell>
        </row>
        <row r="15706">
          <cell r="O15706" t="str">
            <v/>
          </cell>
        </row>
        <row r="15707">
          <cell r="O15707" t="str">
            <v/>
          </cell>
        </row>
        <row r="15708">
          <cell r="O15708" t="str">
            <v/>
          </cell>
        </row>
        <row r="15709">
          <cell r="O15709" t="str">
            <v/>
          </cell>
        </row>
        <row r="15710">
          <cell r="O15710" t="str">
            <v/>
          </cell>
        </row>
        <row r="15711">
          <cell r="O15711" t="str">
            <v/>
          </cell>
        </row>
        <row r="15712">
          <cell r="O15712" t="str">
            <v/>
          </cell>
        </row>
        <row r="15713">
          <cell r="O15713" t="str">
            <v/>
          </cell>
        </row>
        <row r="15714">
          <cell r="O15714" t="str">
            <v/>
          </cell>
        </row>
        <row r="15715">
          <cell r="O15715" t="str">
            <v/>
          </cell>
        </row>
        <row r="15716">
          <cell r="O15716" t="str">
            <v/>
          </cell>
        </row>
        <row r="15717">
          <cell r="O15717" t="str">
            <v/>
          </cell>
        </row>
        <row r="15718">
          <cell r="O15718" t="str">
            <v/>
          </cell>
        </row>
        <row r="15719">
          <cell r="O15719" t="str">
            <v/>
          </cell>
        </row>
        <row r="15720">
          <cell r="O15720" t="str">
            <v/>
          </cell>
        </row>
        <row r="15721">
          <cell r="O15721" t="str">
            <v/>
          </cell>
        </row>
        <row r="15722">
          <cell r="O15722" t="str">
            <v/>
          </cell>
        </row>
        <row r="15723">
          <cell r="O15723" t="str">
            <v/>
          </cell>
        </row>
        <row r="15724">
          <cell r="O15724" t="str">
            <v/>
          </cell>
        </row>
        <row r="15725">
          <cell r="O15725" t="str">
            <v/>
          </cell>
        </row>
        <row r="15726">
          <cell r="O15726" t="str">
            <v/>
          </cell>
        </row>
        <row r="15727">
          <cell r="O15727" t="str">
            <v/>
          </cell>
        </row>
        <row r="15728">
          <cell r="O15728" t="str">
            <v/>
          </cell>
        </row>
        <row r="15729">
          <cell r="O15729" t="str">
            <v/>
          </cell>
        </row>
        <row r="15730">
          <cell r="O15730" t="str">
            <v/>
          </cell>
        </row>
        <row r="15731">
          <cell r="O15731" t="str">
            <v/>
          </cell>
        </row>
        <row r="15732">
          <cell r="O15732" t="str">
            <v/>
          </cell>
        </row>
        <row r="15733">
          <cell r="O15733" t="str">
            <v/>
          </cell>
        </row>
        <row r="15734">
          <cell r="O15734" t="str">
            <v/>
          </cell>
        </row>
        <row r="15735">
          <cell r="O15735" t="str">
            <v/>
          </cell>
        </row>
        <row r="15736">
          <cell r="O15736" t="str">
            <v/>
          </cell>
        </row>
        <row r="15737">
          <cell r="O15737" t="str">
            <v/>
          </cell>
        </row>
        <row r="15738">
          <cell r="O15738" t="str">
            <v/>
          </cell>
        </row>
        <row r="15739">
          <cell r="O15739" t="str">
            <v/>
          </cell>
        </row>
        <row r="15740">
          <cell r="O15740" t="str">
            <v/>
          </cell>
        </row>
        <row r="15741">
          <cell r="O15741" t="str">
            <v/>
          </cell>
        </row>
        <row r="15742">
          <cell r="O15742" t="str">
            <v/>
          </cell>
        </row>
        <row r="15743">
          <cell r="O15743" t="str">
            <v/>
          </cell>
        </row>
        <row r="15744">
          <cell r="O15744" t="str">
            <v/>
          </cell>
        </row>
        <row r="15745">
          <cell r="O15745" t="str">
            <v/>
          </cell>
        </row>
        <row r="15746">
          <cell r="O15746" t="str">
            <v/>
          </cell>
        </row>
        <row r="15747">
          <cell r="O15747" t="str">
            <v/>
          </cell>
        </row>
        <row r="15748">
          <cell r="O15748" t="str">
            <v/>
          </cell>
        </row>
        <row r="15749">
          <cell r="O15749" t="str">
            <v/>
          </cell>
        </row>
        <row r="15750">
          <cell r="O15750" t="str">
            <v/>
          </cell>
        </row>
        <row r="15751">
          <cell r="O15751" t="str">
            <v/>
          </cell>
        </row>
        <row r="15752">
          <cell r="O15752" t="str">
            <v/>
          </cell>
        </row>
        <row r="15753">
          <cell r="O15753" t="str">
            <v/>
          </cell>
        </row>
        <row r="15754">
          <cell r="O15754" t="str">
            <v/>
          </cell>
        </row>
        <row r="15755">
          <cell r="O15755" t="str">
            <v/>
          </cell>
        </row>
        <row r="15756">
          <cell r="O15756" t="str">
            <v/>
          </cell>
        </row>
        <row r="15757">
          <cell r="O15757" t="str">
            <v/>
          </cell>
        </row>
        <row r="15758">
          <cell r="O15758" t="str">
            <v/>
          </cell>
        </row>
        <row r="15759">
          <cell r="O15759" t="str">
            <v/>
          </cell>
        </row>
        <row r="15760">
          <cell r="O15760" t="str">
            <v/>
          </cell>
        </row>
        <row r="15761">
          <cell r="O15761" t="str">
            <v/>
          </cell>
        </row>
        <row r="15762">
          <cell r="O15762" t="str">
            <v/>
          </cell>
        </row>
        <row r="15763">
          <cell r="O15763" t="str">
            <v/>
          </cell>
        </row>
        <row r="15764">
          <cell r="O15764" t="str">
            <v/>
          </cell>
        </row>
        <row r="15765">
          <cell r="O15765" t="str">
            <v/>
          </cell>
        </row>
        <row r="15766">
          <cell r="O15766" t="str">
            <v/>
          </cell>
        </row>
        <row r="15767">
          <cell r="O15767" t="str">
            <v/>
          </cell>
        </row>
        <row r="15768">
          <cell r="O15768" t="str">
            <v/>
          </cell>
        </row>
        <row r="15769">
          <cell r="O15769" t="str">
            <v/>
          </cell>
        </row>
        <row r="15770">
          <cell r="O15770" t="str">
            <v/>
          </cell>
        </row>
        <row r="15771">
          <cell r="O15771" t="str">
            <v/>
          </cell>
        </row>
        <row r="15772">
          <cell r="O15772" t="str">
            <v/>
          </cell>
        </row>
        <row r="15773">
          <cell r="O15773" t="str">
            <v/>
          </cell>
        </row>
        <row r="15774">
          <cell r="O15774" t="str">
            <v/>
          </cell>
        </row>
        <row r="15775">
          <cell r="O15775" t="str">
            <v/>
          </cell>
        </row>
        <row r="15776">
          <cell r="O15776" t="str">
            <v/>
          </cell>
        </row>
        <row r="15777">
          <cell r="O15777" t="str">
            <v/>
          </cell>
        </row>
        <row r="15778">
          <cell r="O15778" t="str">
            <v/>
          </cell>
        </row>
        <row r="15779">
          <cell r="O15779" t="str">
            <v/>
          </cell>
        </row>
        <row r="15780">
          <cell r="O15780" t="str">
            <v/>
          </cell>
        </row>
        <row r="15781">
          <cell r="O15781" t="str">
            <v/>
          </cell>
        </row>
        <row r="15782">
          <cell r="O15782" t="str">
            <v/>
          </cell>
        </row>
        <row r="15783">
          <cell r="O15783" t="str">
            <v/>
          </cell>
        </row>
        <row r="15784">
          <cell r="O15784" t="str">
            <v/>
          </cell>
        </row>
        <row r="15785">
          <cell r="O15785" t="str">
            <v/>
          </cell>
        </row>
        <row r="15786">
          <cell r="O15786" t="str">
            <v/>
          </cell>
        </row>
        <row r="15787">
          <cell r="O15787" t="str">
            <v/>
          </cell>
        </row>
        <row r="15788">
          <cell r="O15788" t="str">
            <v/>
          </cell>
        </row>
        <row r="15789">
          <cell r="O15789" t="str">
            <v/>
          </cell>
        </row>
        <row r="15790">
          <cell r="O15790" t="str">
            <v/>
          </cell>
        </row>
        <row r="15791">
          <cell r="O15791" t="str">
            <v/>
          </cell>
        </row>
        <row r="15792">
          <cell r="O15792" t="str">
            <v/>
          </cell>
        </row>
        <row r="15793">
          <cell r="O15793" t="str">
            <v/>
          </cell>
        </row>
        <row r="15794">
          <cell r="O15794" t="str">
            <v/>
          </cell>
        </row>
        <row r="15795">
          <cell r="O15795" t="str">
            <v/>
          </cell>
        </row>
        <row r="15796">
          <cell r="O15796" t="str">
            <v/>
          </cell>
        </row>
        <row r="15797">
          <cell r="O15797" t="str">
            <v/>
          </cell>
        </row>
        <row r="15798">
          <cell r="O15798" t="str">
            <v/>
          </cell>
        </row>
        <row r="15799">
          <cell r="O15799" t="str">
            <v/>
          </cell>
        </row>
        <row r="15800">
          <cell r="O15800" t="str">
            <v/>
          </cell>
        </row>
        <row r="15801">
          <cell r="O15801" t="str">
            <v/>
          </cell>
        </row>
        <row r="15802">
          <cell r="O15802" t="str">
            <v/>
          </cell>
        </row>
        <row r="15803">
          <cell r="O15803" t="str">
            <v/>
          </cell>
        </row>
        <row r="15804">
          <cell r="O15804" t="str">
            <v/>
          </cell>
        </row>
        <row r="15805">
          <cell r="O15805" t="str">
            <v/>
          </cell>
        </row>
        <row r="15806">
          <cell r="O15806" t="str">
            <v/>
          </cell>
        </row>
        <row r="15807">
          <cell r="O15807" t="str">
            <v/>
          </cell>
        </row>
        <row r="15808">
          <cell r="O15808" t="str">
            <v/>
          </cell>
        </row>
        <row r="15809">
          <cell r="O15809" t="str">
            <v/>
          </cell>
        </row>
        <row r="15810">
          <cell r="O15810" t="str">
            <v/>
          </cell>
        </row>
        <row r="15811">
          <cell r="O15811" t="str">
            <v/>
          </cell>
        </row>
        <row r="15812">
          <cell r="O15812" t="str">
            <v/>
          </cell>
        </row>
        <row r="15813">
          <cell r="O15813" t="str">
            <v/>
          </cell>
        </row>
        <row r="15814">
          <cell r="O15814" t="str">
            <v/>
          </cell>
        </row>
        <row r="15815">
          <cell r="O15815" t="str">
            <v/>
          </cell>
        </row>
        <row r="15816">
          <cell r="O15816" t="str">
            <v/>
          </cell>
        </row>
        <row r="15817">
          <cell r="O15817" t="str">
            <v/>
          </cell>
        </row>
        <row r="15818">
          <cell r="O15818" t="str">
            <v/>
          </cell>
        </row>
        <row r="15819">
          <cell r="O15819" t="str">
            <v/>
          </cell>
        </row>
        <row r="15820">
          <cell r="O15820" t="str">
            <v/>
          </cell>
        </row>
        <row r="15821">
          <cell r="O15821" t="str">
            <v/>
          </cell>
        </row>
        <row r="15822">
          <cell r="O15822" t="str">
            <v/>
          </cell>
        </row>
        <row r="15823">
          <cell r="O15823" t="str">
            <v/>
          </cell>
        </row>
        <row r="15824">
          <cell r="O15824" t="str">
            <v/>
          </cell>
        </row>
        <row r="15825">
          <cell r="O15825" t="str">
            <v/>
          </cell>
        </row>
        <row r="15826">
          <cell r="O15826" t="str">
            <v/>
          </cell>
        </row>
        <row r="15827">
          <cell r="O15827" t="str">
            <v/>
          </cell>
        </row>
        <row r="15828">
          <cell r="O15828" t="str">
            <v/>
          </cell>
        </row>
        <row r="15829">
          <cell r="O15829" t="str">
            <v/>
          </cell>
        </row>
        <row r="15830">
          <cell r="O15830" t="str">
            <v/>
          </cell>
        </row>
        <row r="15831">
          <cell r="O15831" t="str">
            <v/>
          </cell>
        </row>
        <row r="15832">
          <cell r="O15832" t="str">
            <v/>
          </cell>
        </row>
        <row r="15833">
          <cell r="O15833" t="str">
            <v/>
          </cell>
        </row>
        <row r="15834">
          <cell r="O15834" t="str">
            <v/>
          </cell>
        </row>
        <row r="15835">
          <cell r="O15835" t="str">
            <v/>
          </cell>
        </row>
        <row r="15836">
          <cell r="O15836" t="str">
            <v/>
          </cell>
        </row>
        <row r="15837">
          <cell r="O15837" t="str">
            <v/>
          </cell>
        </row>
        <row r="15838">
          <cell r="O15838" t="str">
            <v/>
          </cell>
        </row>
        <row r="15839">
          <cell r="O15839" t="str">
            <v/>
          </cell>
        </row>
        <row r="15840">
          <cell r="O15840" t="str">
            <v/>
          </cell>
        </row>
        <row r="15841">
          <cell r="O15841" t="str">
            <v/>
          </cell>
        </row>
        <row r="15842">
          <cell r="O15842" t="str">
            <v/>
          </cell>
        </row>
        <row r="15843">
          <cell r="O15843" t="str">
            <v/>
          </cell>
        </row>
        <row r="15844">
          <cell r="O15844" t="str">
            <v/>
          </cell>
        </row>
        <row r="15845">
          <cell r="O15845" t="str">
            <v/>
          </cell>
        </row>
        <row r="15846">
          <cell r="O15846" t="str">
            <v/>
          </cell>
        </row>
        <row r="15847">
          <cell r="O15847" t="str">
            <v/>
          </cell>
        </row>
        <row r="15848">
          <cell r="O15848" t="str">
            <v/>
          </cell>
        </row>
        <row r="15849">
          <cell r="O15849" t="str">
            <v/>
          </cell>
        </row>
        <row r="15850">
          <cell r="O15850" t="str">
            <v/>
          </cell>
        </row>
        <row r="15851">
          <cell r="O15851" t="str">
            <v/>
          </cell>
        </row>
        <row r="15852">
          <cell r="O15852" t="str">
            <v/>
          </cell>
        </row>
        <row r="15853">
          <cell r="O15853" t="str">
            <v/>
          </cell>
        </row>
        <row r="15854">
          <cell r="O15854" t="str">
            <v/>
          </cell>
        </row>
        <row r="15855">
          <cell r="O15855" t="str">
            <v/>
          </cell>
        </row>
        <row r="15856">
          <cell r="O15856" t="str">
            <v/>
          </cell>
        </row>
        <row r="15857">
          <cell r="O15857" t="str">
            <v/>
          </cell>
        </row>
        <row r="15858">
          <cell r="O15858" t="str">
            <v/>
          </cell>
        </row>
        <row r="15859">
          <cell r="O15859" t="str">
            <v/>
          </cell>
        </row>
        <row r="15860">
          <cell r="O15860" t="str">
            <v/>
          </cell>
        </row>
        <row r="15861">
          <cell r="O15861" t="str">
            <v/>
          </cell>
        </row>
        <row r="15862">
          <cell r="O15862" t="str">
            <v/>
          </cell>
        </row>
        <row r="15863">
          <cell r="O15863" t="str">
            <v/>
          </cell>
        </row>
        <row r="15864">
          <cell r="O15864" t="str">
            <v/>
          </cell>
        </row>
        <row r="15865">
          <cell r="O15865" t="str">
            <v/>
          </cell>
        </row>
        <row r="15866">
          <cell r="O15866" t="str">
            <v/>
          </cell>
        </row>
        <row r="15867">
          <cell r="O15867" t="str">
            <v/>
          </cell>
        </row>
        <row r="15868">
          <cell r="O15868" t="str">
            <v/>
          </cell>
        </row>
        <row r="15869">
          <cell r="O15869" t="str">
            <v/>
          </cell>
        </row>
        <row r="15870">
          <cell r="O15870" t="str">
            <v/>
          </cell>
        </row>
        <row r="15871">
          <cell r="O15871" t="str">
            <v/>
          </cell>
        </row>
        <row r="15872">
          <cell r="O15872" t="str">
            <v/>
          </cell>
        </row>
        <row r="15873">
          <cell r="O15873" t="str">
            <v/>
          </cell>
        </row>
        <row r="15874">
          <cell r="O15874" t="str">
            <v/>
          </cell>
        </row>
        <row r="15875">
          <cell r="O15875" t="str">
            <v/>
          </cell>
        </row>
        <row r="15876">
          <cell r="O15876" t="str">
            <v/>
          </cell>
        </row>
        <row r="15877">
          <cell r="O15877" t="str">
            <v/>
          </cell>
        </row>
        <row r="15878">
          <cell r="O15878" t="str">
            <v/>
          </cell>
        </row>
        <row r="15879">
          <cell r="O15879" t="str">
            <v/>
          </cell>
        </row>
        <row r="15880">
          <cell r="O15880" t="str">
            <v/>
          </cell>
        </row>
        <row r="15881">
          <cell r="O15881" t="str">
            <v/>
          </cell>
        </row>
        <row r="15882">
          <cell r="O15882" t="str">
            <v/>
          </cell>
        </row>
        <row r="15883">
          <cell r="O15883" t="str">
            <v/>
          </cell>
        </row>
        <row r="15884">
          <cell r="O15884" t="str">
            <v/>
          </cell>
        </row>
        <row r="15885">
          <cell r="O15885" t="str">
            <v/>
          </cell>
        </row>
        <row r="15886">
          <cell r="O15886" t="str">
            <v/>
          </cell>
        </row>
        <row r="15887">
          <cell r="O15887" t="str">
            <v/>
          </cell>
        </row>
        <row r="15888">
          <cell r="O15888" t="str">
            <v/>
          </cell>
        </row>
        <row r="15889">
          <cell r="O15889" t="str">
            <v/>
          </cell>
        </row>
        <row r="15890">
          <cell r="O15890" t="str">
            <v/>
          </cell>
        </row>
        <row r="15891">
          <cell r="O15891" t="str">
            <v/>
          </cell>
        </row>
        <row r="15892">
          <cell r="O15892" t="str">
            <v/>
          </cell>
        </row>
        <row r="15893">
          <cell r="O15893" t="str">
            <v/>
          </cell>
        </row>
        <row r="15894">
          <cell r="O15894" t="str">
            <v/>
          </cell>
        </row>
        <row r="15895">
          <cell r="O15895" t="str">
            <v/>
          </cell>
        </row>
        <row r="15896">
          <cell r="O15896" t="str">
            <v/>
          </cell>
        </row>
        <row r="15897">
          <cell r="O15897" t="str">
            <v/>
          </cell>
        </row>
        <row r="15898">
          <cell r="O15898" t="str">
            <v/>
          </cell>
        </row>
        <row r="15899">
          <cell r="O15899" t="str">
            <v/>
          </cell>
        </row>
        <row r="15900">
          <cell r="O15900" t="str">
            <v/>
          </cell>
        </row>
        <row r="15901">
          <cell r="O15901" t="str">
            <v/>
          </cell>
        </row>
        <row r="15902">
          <cell r="O15902" t="str">
            <v/>
          </cell>
        </row>
        <row r="15903">
          <cell r="O15903" t="str">
            <v/>
          </cell>
        </row>
        <row r="15904">
          <cell r="O15904" t="str">
            <v/>
          </cell>
        </row>
        <row r="15905">
          <cell r="O15905" t="str">
            <v/>
          </cell>
        </row>
        <row r="15906">
          <cell r="O15906" t="str">
            <v/>
          </cell>
        </row>
        <row r="15907">
          <cell r="O15907" t="str">
            <v/>
          </cell>
        </row>
        <row r="15908">
          <cell r="O15908" t="str">
            <v/>
          </cell>
        </row>
        <row r="15909">
          <cell r="O15909" t="str">
            <v/>
          </cell>
        </row>
        <row r="15910">
          <cell r="O15910" t="str">
            <v/>
          </cell>
        </row>
        <row r="15911">
          <cell r="O15911" t="str">
            <v/>
          </cell>
        </row>
        <row r="15912">
          <cell r="O15912" t="str">
            <v/>
          </cell>
        </row>
        <row r="15913">
          <cell r="O15913" t="str">
            <v/>
          </cell>
        </row>
        <row r="15914">
          <cell r="O15914" t="str">
            <v/>
          </cell>
        </row>
        <row r="15915">
          <cell r="O15915" t="str">
            <v/>
          </cell>
        </row>
        <row r="15916">
          <cell r="O15916" t="str">
            <v/>
          </cell>
        </row>
        <row r="15917">
          <cell r="O15917" t="str">
            <v/>
          </cell>
        </row>
        <row r="15918">
          <cell r="O15918" t="str">
            <v/>
          </cell>
        </row>
        <row r="15919">
          <cell r="O15919" t="str">
            <v/>
          </cell>
        </row>
        <row r="15920">
          <cell r="O15920" t="str">
            <v/>
          </cell>
        </row>
        <row r="15921">
          <cell r="O15921" t="str">
            <v/>
          </cell>
        </row>
        <row r="15922">
          <cell r="O15922" t="str">
            <v/>
          </cell>
        </row>
        <row r="15923">
          <cell r="O15923" t="str">
            <v/>
          </cell>
        </row>
        <row r="15924">
          <cell r="O15924" t="str">
            <v/>
          </cell>
        </row>
        <row r="15925">
          <cell r="O15925" t="str">
            <v/>
          </cell>
        </row>
        <row r="15926">
          <cell r="O15926" t="str">
            <v/>
          </cell>
        </row>
        <row r="15927">
          <cell r="O15927" t="str">
            <v/>
          </cell>
        </row>
        <row r="15928">
          <cell r="O15928" t="str">
            <v/>
          </cell>
        </row>
        <row r="15929">
          <cell r="O15929" t="str">
            <v/>
          </cell>
        </row>
        <row r="15930">
          <cell r="O15930" t="str">
            <v/>
          </cell>
        </row>
        <row r="15931">
          <cell r="O15931" t="str">
            <v/>
          </cell>
        </row>
        <row r="15932">
          <cell r="O15932" t="str">
            <v/>
          </cell>
        </row>
        <row r="15933">
          <cell r="O15933" t="str">
            <v/>
          </cell>
        </row>
        <row r="15934">
          <cell r="O15934" t="str">
            <v/>
          </cell>
        </row>
        <row r="15935">
          <cell r="O15935" t="str">
            <v/>
          </cell>
        </row>
        <row r="15936">
          <cell r="O15936" t="str">
            <v/>
          </cell>
        </row>
        <row r="15937">
          <cell r="O15937" t="str">
            <v/>
          </cell>
        </row>
        <row r="15938">
          <cell r="O15938" t="str">
            <v/>
          </cell>
        </row>
        <row r="15939">
          <cell r="O15939" t="str">
            <v/>
          </cell>
        </row>
        <row r="15940">
          <cell r="O15940" t="str">
            <v/>
          </cell>
        </row>
        <row r="15941">
          <cell r="O15941" t="str">
            <v/>
          </cell>
        </row>
        <row r="15942">
          <cell r="O15942" t="str">
            <v/>
          </cell>
        </row>
        <row r="15943">
          <cell r="O15943" t="str">
            <v/>
          </cell>
        </row>
        <row r="15944">
          <cell r="O15944" t="str">
            <v/>
          </cell>
        </row>
        <row r="15945">
          <cell r="O15945" t="str">
            <v/>
          </cell>
        </row>
        <row r="15946">
          <cell r="O15946" t="str">
            <v/>
          </cell>
        </row>
        <row r="15947">
          <cell r="O15947" t="str">
            <v/>
          </cell>
        </row>
        <row r="15948">
          <cell r="O15948" t="str">
            <v/>
          </cell>
        </row>
        <row r="15949">
          <cell r="O15949" t="str">
            <v/>
          </cell>
        </row>
        <row r="15950">
          <cell r="O15950" t="str">
            <v/>
          </cell>
        </row>
        <row r="15951">
          <cell r="O15951" t="str">
            <v/>
          </cell>
        </row>
        <row r="15952">
          <cell r="O15952" t="str">
            <v/>
          </cell>
        </row>
        <row r="15953">
          <cell r="O15953" t="str">
            <v/>
          </cell>
        </row>
        <row r="15954">
          <cell r="O15954" t="str">
            <v/>
          </cell>
        </row>
        <row r="15955">
          <cell r="O15955" t="str">
            <v/>
          </cell>
        </row>
        <row r="15956">
          <cell r="O15956" t="str">
            <v/>
          </cell>
        </row>
        <row r="15957">
          <cell r="O15957" t="str">
            <v/>
          </cell>
        </row>
        <row r="15958">
          <cell r="O15958" t="str">
            <v/>
          </cell>
        </row>
        <row r="15959">
          <cell r="O15959" t="str">
            <v/>
          </cell>
        </row>
        <row r="15960">
          <cell r="O15960" t="str">
            <v/>
          </cell>
        </row>
        <row r="15961">
          <cell r="O15961" t="str">
            <v/>
          </cell>
        </row>
        <row r="15962">
          <cell r="O15962" t="str">
            <v/>
          </cell>
        </row>
        <row r="15963">
          <cell r="O15963" t="str">
            <v/>
          </cell>
        </row>
        <row r="15964">
          <cell r="O15964" t="str">
            <v/>
          </cell>
        </row>
        <row r="15965">
          <cell r="O15965" t="str">
            <v/>
          </cell>
        </row>
        <row r="15966">
          <cell r="O15966" t="str">
            <v/>
          </cell>
        </row>
        <row r="15967">
          <cell r="O15967" t="str">
            <v/>
          </cell>
        </row>
        <row r="15968">
          <cell r="O15968" t="str">
            <v/>
          </cell>
        </row>
        <row r="15969">
          <cell r="O15969" t="str">
            <v/>
          </cell>
        </row>
        <row r="15970">
          <cell r="O15970" t="str">
            <v/>
          </cell>
        </row>
        <row r="15971">
          <cell r="O15971" t="str">
            <v/>
          </cell>
        </row>
        <row r="15972">
          <cell r="O15972" t="str">
            <v/>
          </cell>
        </row>
        <row r="15973">
          <cell r="O15973" t="str">
            <v/>
          </cell>
        </row>
        <row r="15974">
          <cell r="O15974" t="str">
            <v/>
          </cell>
        </row>
        <row r="15975">
          <cell r="O15975" t="str">
            <v/>
          </cell>
        </row>
        <row r="15976">
          <cell r="O15976" t="str">
            <v/>
          </cell>
        </row>
        <row r="15977">
          <cell r="O15977" t="str">
            <v/>
          </cell>
        </row>
        <row r="15978">
          <cell r="O15978" t="str">
            <v/>
          </cell>
        </row>
        <row r="15979">
          <cell r="O15979" t="str">
            <v/>
          </cell>
        </row>
        <row r="15980">
          <cell r="O15980" t="str">
            <v/>
          </cell>
        </row>
        <row r="15981">
          <cell r="O15981" t="str">
            <v/>
          </cell>
        </row>
        <row r="15982">
          <cell r="O15982" t="str">
            <v/>
          </cell>
        </row>
        <row r="15983">
          <cell r="O15983" t="str">
            <v/>
          </cell>
        </row>
        <row r="15984">
          <cell r="O15984" t="str">
            <v/>
          </cell>
        </row>
        <row r="15985">
          <cell r="O15985" t="str">
            <v/>
          </cell>
        </row>
        <row r="15986">
          <cell r="O15986" t="str">
            <v/>
          </cell>
        </row>
        <row r="15987">
          <cell r="O15987" t="str">
            <v/>
          </cell>
        </row>
        <row r="15988">
          <cell r="O15988" t="str">
            <v/>
          </cell>
        </row>
        <row r="15989">
          <cell r="O15989" t="str">
            <v/>
          </cell>
        </row>
        <row r="15990">
          <cell r="O15990" t="str">
            <v/>
          </cell>
        </row>
        <row r="15991">
          <cell r="O15991" t="str">
            <v/>
          </cell>
        </row>
        <row r="15992">
          <cell r="O15992" t="str">
            <v/>
          </cell>
        </row>
        <row r="15993">
          <cell r="O15993" t="str">
            <v/>
          </cell>
        </row>
        <row r="15994">
          <cell r="O15994" t="str">
            <v/>
          </cell>
        </row>
        <row r="15995">
          <cell r="O15995" t="str">
            <v/>
          </cell>
        </row>
        <row r="15996">
          <cell r="O15996" t="str">
            <v/>
          </cell>
        </row>
        <row r="15997">
          <cell r="O15997" t="str">
            <v/>
          </cell>
        </row>
        <row r="15998">
          <cell r="O15998" t="str">
            <v/>
          </cell>
        </row>
        <row r="15999">
          <cell r="O15999" t="str">
            <v/>
          </cell>
        </row>
        <row r="16000">
          <cell r="O16000" t="str">
            <v/>
          </cell>
        </row>
        <row r="16001">
          <cell r="O16001" t="str">
            <v/>
          </cell>
        </row>
        <row r="16002">
          <cell r="O16002" t="str">
            <v/>
          </cell>
        </row>
        <row r="16003">
          <cell r="O16003" t="str">
            <v/>
          </cell>
        </row>
        <row r="16004">
          <cell r="O16004" t="str">
            <v/>
          </cell>
        </row>
        <row r="16005">
          <cell r="O16005" t="str">
            <v/>
          </cell>
        </row>
        <row r="16006">
          <cell r="O16006" t="str">
            <v/>
          </cell>
        </row>
        <row r="16007">
          <cell r="O16007" t="str">
            <v/>
          </cell>
        </row>
        <row r="16008">
          <cell r="O16008" t="str">
            <v/>
          </cell>
        </row>
        <row r="16009">
          <cell r="O16009" t="str">
            <v/>
          </cell>
        </row>
        <row r="16010">
          <cell r="O16010" t="str">
            <v/>
          </cell>
        </row>
        <row r="16011">
          <cell r="O16011" t="str">
            <v/>
          </cell>
        </row>
        <row r="16012">
          <cell r="O16012" t="str">
            <v/>
          </cell>
        </row>
        <row r="16013">
          <cell r="O16013" t="str">
            <v/>
          </cell>
        </row>
        <row r="16014">
          <cell r="O16014" t="str">
            <v/>
          </cell>
        </row>
        <row r="16015">
          <cell r="O16015" t="str">
            <v/>
          </cell>
        </row>
        <row r="16016">
          <cell r="O16016" t="str">
            <v/>
          </cell>
        </row>
        <row r="16017">
          <cell r="O16017" t="str">
            <v/>
          </cell>
        </row>
        <row r="16018">
          <cell r="O16018" t="str">
            <v/>
          </cell>
        </row>
        <row r="16019">
          <cell r="O16019" t="str">
            <v/>
          </cell>
        </row>
        <row r="16020">
          <cell r="O16020" t="str">
            <v/>
          </cell>
        </row>
        <row r="16021">
          <cell r="O16021" t="str">
            <v/>
          </cell>
        </row>
        <row r="16022">
          <cell r="O16022" t="str">
            <v/>
          </cell>
        </row>
        <row r="16023">
          <cell r="O16023" t="str">
            <v/>
          </cell>
        </row>
        <row r="16024">
          <cell r="O16024" t="str">
            <v/>
          </cell>
        </row>
        <row r="16025">
          <cell r="O16025" t="str">
            <v/>
          </cell>
        </row>
        <row r="16026">
          <cell r="O16026" t="str">
            <v/>
          </cell>
        </row>
        <row r="16027">
          <cell r="O16027" t="str">
            <v/>
          </cell>
        </row>
        <row r="16028">
          <cell r="O16028" t="str">
            <v/>
          </cell>
        </row>
        <row r="16029">
          <cell r="O16029" t="str">
            <v/>
          </cell>
        </row>
        <row r="16030">
          <cell r="O16030" t="str">
            <v/>
          </cell>
        </row>
        <row r="16031">
          <cell r="O16031" t="str">
            <v/>
          </cell>
        </row>
        <row r="16032">
          <cell r="O16032" t="str">
            <v/>
          </cell>
        </row>
        <row r="16033">
          <cell r="O16033" t="str">
            <v/>
          </cell>
        </row>
        <row r="16034">
          <cell r="O16034" t="str">
            <v/>
          </cell>
        </row>
        <row r="16035">
          <cell r="O16035" t="str">
            <v/>
          </cell>
        </row>
        <row r="16036">
          <cell r="O16036" t="str">
            <v/>
          </cell>
        </row>
        <row r="16037">
          <cell r="O16037" t="str">
            <v/>
          </cell>
        </row>
        <row r="16038">
          <cell r="O16038" t="str">
            <v/>
          </cell>
        </row>
        <row r="16039">
          <cell r="O16039" t="str">
            <v/>
          </cell>
        </row>
        <row r="16040">
          <cell r="O16040" t="str">
            <v/>
          </cell>
        </row>
        <row r="16041">
          <cell r="O16041" t="str">
            <v/>
          </cell>
        </row>
        <row r="16042">
          <cell r="O16042" t="str">
            <v/>
          </cell>
        </row>
        <row r="16043">
          <cell r="O16043" t="str">
            <v/>
          </cell>
        </row>
        <row r="16044">
          <cell r="O16044" t="str">
            <v/>
          </cell>
        </row>
        <row r="16045">
          <cell r="O16045" t="str">
            <v/>
          </cell>
        </row>
        <row r="16046">
          <cell r="O16046" t="str">
            <v/>
          </cell>
        </row>
        <row r="16047">
          <cell r="O16047" t="str">
            <v/>
          </cell>
        </row>
        <row r="16048">
          <cell r="O16048" t="str">
            <v/>
          </cell>
        </row>
        <row r="16049">
          <cell r="O16049" t="str">
            <v/>
          </cell>
        </row>
        <row r="16050">
          <cell r="O16050" t="str">
            <v/>
          </cell>
        </row>
        <row r="16051">
          <cell r="O16051" t="str">
            <v/>
          </cell>
        </row>
        <row r="16052">
          <cell r="O16052" t="str">
            <v/>
          </cell>
        </row>
        <row r="16053">
          <cell r="O16053" t="str">
            <v/>
          </cell>
        </row>
        <row r="16054">
          <cell r="O16054" t="str">
            <v/>
          </cell>
        </row>
        <row r="16055">
          <cell r="O16055" t="str">
            <v/>
          </cell>
        </row>
        <row r="16056">
          <cell r="O16056" t="str">
            <v/>
          </cell>
        </row>
        <row r="16057">
          <cell r="O16057" t="str">
            <v/>
          </cell>
        </row>
        <row r="16058">
          <cell r="O16058" t="str">
            <v/>
          </cell>
        </row>
        <row r="16059">
          <cell r="O16059" t="str">
            <v/>
          </cell>
        </row>
        <row r="16060">
          <cell r="O16060" t="str">
            <v/>
          </cell>
        </row>
        <row r="16061">
          <cell r="O16061" t="str">
            <v/>
          </cell>
        </row>
        <row r="16062">
          <cell r="O16062" t="str">
            <v/>
          </cell>
        </row>
        <row r="16063">
          <cell r="O16063" t="str">
            <v/>
          </cell>
        </row>
        <row r="16064">
          <cell r="O16064" t="str">
            <v/>
          </cell>
        </row>
        <row r="16065">
          <cell r="O16065" t="str">
            <v/>
          </cell>
        </row>
        <row r="16066">
          <cell r="O16066" t="str">
            <v/>
          </cell>
        </row>
        <row r="16067">
          <cell r="O16067" t="str">
            <v/>
          </cell>
        </row>
        <row r="16068">
          <cell r="O16068" t="str">
            <v/>
          </cell>
        </row>
        <row r="16069">
          <cell r="O16069" t="str">
            <v/>
          </cell>
        </row>
        <row r="16070">
          <cell r="O16070" t="str">
            <v/>
          </cell>
        </row>
        <row r="16071">
          <cell r="O16071" t="str">
            <v/>
          </cell>
        </row>
        <row r="16072">
          <cell r="O16072" t="str">
            <v/>
          </cell>
        </row>
        <row r="16073">
          <cell r="O16073" t="str">
            <v/>
          </cell>
        </row>
        <row r="16074">
          <cell r="O16074" t="str">
            <v/>
          </cell>
        </row>
        <row r="16075">
          <cell r="O16075" t="str">
            <v/>
          </cell>
        </row>
        <row r="16076">
          <cell r="O16076" t="str">
            <v/>
          </cell>
        </row>
        <row r="16077">
          <cell r="O16077" t="str">
            <v/>
          </cell>
        </row>
        <row r="16078">
          <cell r="O16078" t="str">
            <v/>
          </cell>
        </row>
        <row r="16079">
          <cell r="O16079" t="str">
            <v/>
          </cell>
        </row>
        <row r="16080">
          <cell r="O16080" t="str">
            <v/>
          </cell>
        </row>
        <row r="16081">
          <cell r="O16081" t="str">
            <v/>
          </cell>
        </row>
        <row r="16082">
          <cell r="O16082" t="str">
            <v/>
          </cell>
        </row>
        <row r="16083">
          <cell r="O16083" t="str">
            <v/>
          </cell>
        </row>
        <row r="16084">
          <cell r="O16084" t="str">
            <v/>
          </cell>
        </row>
        <row r="16085">
          <cell r="O16085" t="str">
            <v/>
          </cell>
        </row>
        <row r="16086">
          <cell r="O16086" t="str">
            <v/>
          </cell>
        </row>
        <row r="16087">
          <cell r="O16087" t="str">
            <v/>
          </cell>
        </row>
        <row r="16088">
          <cell r="O16088" t="str">
            <v/>
          </cell>
        </row>
        <row r="16089">
          <cell r="O16089" t="str">
            <v/>
          </cell>
        </row>
        <row r="16090">
          <cell r="O16090" t="str">
            <v/>
          </cell>
        </row>
        <row r="16091">
          <cell r="O16091" t="str">
            <v/>
          </cell>
        </row>
        <row r="16092">
          <cell r="O16092" t="str">
            <v/>
          </cell>
        </row>
        <row r="16093">
          <cell r="O16093" t="str">
            <v/>
          </cell>
        </row>
        <row r="16094">
          <cell r="O16094" t="str">
            <v/>
          </cell>
        </row>
        <row r="16095">
          <cell r="O16095" t="str">
            <v/>
          </cell>
        </row>
        <row r="16096">
          <cell r="O16096" t="str">
            <v/>
          </cell>
        </row>
        <row r="16097">
          <cell r="O16097" t="str">
            <v/>
          </cell>
        </row>
        <row r="16098">
          <cell r="O16098" t="str">
            <v/>
          </cell>
        </row>
        <row r="16099">
          <cell r="O16099" t="str">
            <v/>
          </cell>
        </row>
        <row r="16100">
          <cell r="O16100" t="str">
            <v/>
          </cell>
        </row>
        <row r="16101">
          <cell r="O16101" t="str">
            <v/>
          </cell>
        </row>
        <row r="16102">
          <cell r="O16102" t="str">
            <v/>
          </cell>
        </row>
        <row r="16103">
          <cell r="O16103" t="str">
            <v/>
          </cell>
        </row>
        <row r="16104">
          <cell r="O16104" t="str">
            <v/>
          </cell>
        </row>
        <row r="16105">
          <cell r="O16105" t="str">
            <v/>
          </cell>
        </row>
        <row r="16106">
          <cell r="O16106" t="str">
            <v/>
          </cell>
        </row>
        <row r="16107">
          <cell r="O16107" t="str">
            <v/>
          </cell>
        </row>
        <row r="16108">
          <cell r="O16108" t="str">
            <v/>
          </cell>
        </row>
        <row r="16109">
          <cell r="O16109" t="str">
            <v/>
          </cell>
        </row>
        <row r="16110">
          <cell r="O16110" t="str">
            <v/>
          </cell>
        </row>
        <row r="16111">
          <cell r="O16111" t="str">
            <v/>
          </cell>
        </row>
        <row r="16112">
          <cell r="O16112" t="str">
            <v/>
          </cell>
        </row>
        <row r="16113">
          <cell r="O16113" t="str">
            <v/>
          </cell>
        </row>
        <row r="16114">
          <cell r="O16114" t="str">
            <v/>
          </cell>
        </row>
        <row r="16115">
          <cell r="O16115" t="str">
            <v/>
          </cell>
        </row>
        <row r="16116">
          <cell r="O16116" t="str">
            <v/>
          </cell>
        </row>
        <row r="16117">
          <cell r="O16117" t="str">
            <v/>
          </cell>
        </row>
        <row r="16118">
          <cell r="O16118" t="str">
            <v/>
          </cell>
        </row>
        <row r="16119">
          <cell r="O16119" t="str">
            <v/>
          </cell>
        </row>
        <row r="16120">
          <cell r="O16120" t="str">
            <v/>
          </cell>
        </row>
        <row r="16121">
          <cell r="O16121" t="str">
            <v/>
          </cell>
        </row>
        <row r="16122">
          <cell r="O16122" t="str">
            <v/>
          </cell>
        </row>
        <row r="16123">
          <cell r="O16123" t="str">
            <v/>
          </cell>
        </row>
        <row r="16124">
          <cell r="O16124" t="str">
            <v/>
          </cell>
        </row>
        <row r="16125">
          <cell r="O16125" t="str">
            <v/>
          </cell>
        </row>
        <row r="16126">
          <cell r="O16126" t="str">
            <v/>
          </cell>
        </row>
        <row r="16127">
          <cell r="O16127" t="str">
            <v/>
          </cell>
        </row>
        <row r="16128">
          <cell r="O16128" t="str">
            <v/>
          </cell>
        </row>
        <row r="16129">
          <cell r="O16129" t="str">
            <v/>
          </cell>
        </row>
        <row r="16130">
          <cell r="O16130" t="str">
            <v/>
          </cell>
        </row>
        <row r="16131">
          <cell r="O16131" t="str">
            <v/>
          </cell>
        </row>
        <row r="16132">
          <cell r="O16132" t="str">
            <v/>
          </cell>
        </row>
        <row r="16133">
          <cell r="O16133" t="str">
            <v/>
          </cell>
        </row>
        <row r="16134">
          <cell r="O16134" t="str">
            <v/>
          </cell>
        </row>
        <row r="16135">
          <cell r="O16135" t="str">
            <v/>
          </cell>
        </row>
        <row r="16136">
          <cell r="O16136" t="str">
            <v/>
          </cell>
        </row>
        <row r="16137">
          <cell r="O16137" t="str">
            <v/>
          </cell>
        </row>
        <row r="16138">
          <cell r="O16138" t="str">
            <v/>
          </cell>
        </row>
        <row r="16139">
          <cell r="O16139" t="str">
            <v/>
          </cell>
        </row>
        <row r="16140">
          <cell r="O16140" t="str">
            <v/>
          </cell>
        </row>
        <row r="16141">
          <cell r="O16141" t="str">
            <v/>
          </cell>
        </row>
        <row r="16142">
          <cell r="O16142" t="str">
            <v/>
          </cell>
        </row>
        <row r="16143">
          <cell r="O16143" t="str">
            <v/>
          </cell>
        </row>
        <row r="16144">
          <cell r="O16144" t="str">
            <v/>
          </cell>
        </row>
        <row r="16145">
          <cell r="O16145" t="str">
            <v/>
          </cell>
        </row>
        <row r="16146">
          <cell r="O16146" t="str">
            <v/>
          </cell>
        </row>
        <row r="16147">
          <cell r="O16147" t="str">
            <v/>
          </cell>
        </row>
        <row r="16148">
          <cell r="O16148" t="str">
            <v/>
          </cell>
        </row>
        <row r="16149">
          <cell r="O16149" t="str">
            <v/>
          </cell>
        </row>
        <row r="16150">
          <cell r="O16150" t="str">
            <v/>
          </cell>
        </row>
        <row r="16151">
          <cell r="O16151" t="str">
            <v/>
          </cell>
        </row>
        <row r="16152">
          <cell r="O16152" t="str">
            <v/>
          </cell>
        </row>
        <row r="16153">
          <cell r="O16153" t="str">
            <v/>
          </cell>
        </row>
        <row r="16154">
          <cell r="O16154" t="str">
            <v/>
          </cell>
        </row>
        <row r="16155">
          <cell r="O16155" t="str">
            <v/>
          </cell>
        </row>
        <row r="16156">
          <cell r="O16156" t="str">
            <v/>
          </cell>
        </row>
        <row r="16157">
          <cell r="O16157" t="str">
            <v/>
          </cell>
        </row>
        <row r="16158">
          <cell r="O16158" t="str">
            <v/>
          </cell>
        </row>
        <row r="16159">
          <cell r="O16159" t="str">
            <v/>
          </cell>
        </row>
        <row r="16160">
          <cell r="O16160" t="str">
            <v/>
          </cell>
        </row>
        <row r="16161">
          <cell r="O16161" t="str">
            <v/>
          </cell>
        </row>
        <row r="16162">
          <cell r="O16162" t="str">
            <v/>
          </cell>
        </row>
        <row r="16163">
          <cell r="O16163" t="str">
            <v/>
          </cell>
        </row>
        <row r="16164">
          <cell r="O16164" t="str">
            <v/>
          </cell>
        </row>
        <row r="16165">
          <cell r="O16165" t="str">
            <v/>
          </cell>
        </row>
        <row r="16166">
          <cell r="O16166" t="str">
            <v/>
          </cell>
        </row>
        <row r="16167">
          <cell r="O16167" t="str">
            <v/>
          </cell>
        </row>
        <row r="16168">
          <cell r="O16168" t="str">
            <v/>
          </cell>
        </row>
        <row r="16169">
          <cell r="O16169" t="str">
            <v/>
          </cell>
        </row>
        <row r="16170">
          <cell r="O16170" t="str">
            <v/>
          </cell>
        </row>
        <row r="16171">
          <cell r="O16171" t="str">
            <v/>
          </cell>
        </row>
        <row r="16172">
          <cell r="O16172" t="str">
            <v/>
          </cell>
        </row>
        <row r="16173">
          <cell r="O16173" t="str">
            <v/>
          </cell>
        </row>
        <row r="16174">
          <cell r="O16174" t="str">
            <v/>
          </cell>
        </row>
        <row r="16175">
          <cell r="O16175" t="str">
            <v/>
          </cell>
        </row>
        <row r="16176">
          <cell r="O16176" t="str">
            <v/>
          </cell>
        </row>
        <row r="16177">
          <cell r="O16177" t="str">
            <v/>
          </cell>
        </row>
        <row r="16178">
          <cell r="O16178" t="str">
            <v/>
          </cell>
        </row>
        <row r="16179">
          <cell r="O16179" t="str">
            <v/>
          </cell>
        </row>
        <row r="16180">
          <cell r="O16180" t="str">
            <v/>
          </cell>
        </row>
        <row r="16181">
          <cell r="O16181" t="str">
            <v/>
          </cell>
        </row>
        <row r="16182">
          <cell r="O16182" t="str">
            <v/>
          </cell>
        </row>
        <row r="16183">
          <cell r="O16183" t="str">
            <v/>
          </cell>
        </row>
        <row r="16184">
          <cell r="O16184" t="str">
            <v/>
          </cell>
        </row>
        <row r="16185">
          <cell r="O16185" t="str">
            <v/>
          </cell>
        </row>
        <row r="16186">
          <cell r="O16186" t="str">
            <v/>
          </cell>
        </row>
        <row r="16187">
          <cell r="O16187" t="str">
            <v/>
          </cell>
        </row>
        <row r="16188">
          <cell r="O16188" t="str">
            <v/>
          </cell>
        </row>
        <row r="16189">
          <cell r="O16189" t="str">
            <v/>
          </cell>
        </row>
        <row r="16190">
          <cell r="O16190" t="str">
            <v/>
          </cell>
        </row>
        <row r="16191">
          <cell r="O16191" t="str">
            <v/>
          </cell>
        </row>
        <row r="16192">
          <cell r="O16192" t="str">
            <v/>
          </cell>
        </row>
        <row r="16193">
          <cell r="O16193" t="str">
            <v/>
          </cell>
        </row>
        <row r="16194">
          <cell r="O16194" t="str">
            <v/>
          </cell>
        </row>
        <row r="16195">
          <cell r="O16195" t="str">
            <v/>
          </cell>
        </row>
        <row r="16196">
          <cell r="O16196" t="str">
            <v/>
          </cell>
        </row>
        <row r="16197">
          <cell r="O16197" t="str">
            <v/>
          </cell>
        </row>
        <row r="16198">
          <cell r="O16198" t="str">
            <v/>
          </cell>
        </row>
        <row r="16199">
          <cell r="O16199" t="str">
            <v/>
          </cell>
        </row>
        <row r="16200">
          <cell r="O16200" t="str">
            <v/>
          </cell>
        </row>
        <row r="16201">
          <cell r="O16201" t="str">
            <v/>
          </cell>
        </row>
        <row r="16202">
          <cell r="O16202" t="str">
            <v/>
          </cell>
        </row>
        <row r="16203">
          <cell r="O16203" t="str">
            <v/>
          </cell>
        </row>
        <row r="16204">
          <cell r="O16204" t="str">
            <v/>
          </cell>
        </row>
        <row r="16205">
          <cell r="O16205" t="str">
            <v/>
          </cell>
        </row>
        <row r="16206">
          <cell r="O16206" t="str">
            <v/>
          </cell>
        </row>
        <row r="16207">
          <cell r="O16207" t="str">
            <v/>
          </cell>
        </row>
        <row r="16208">
          <cell r="O16208" t="str">
            <v/>
          </cell>
        </row>
        <row r="16209">
          <cell r="O16209" t="str">
            <v/>
          </cell>
        </row>
        <row r="16210">
          <cell r="O16210" t="str">
            <v/>
          </cell>
        </row>
        <row r="16211">
          <cell r="O16211" t="str">
            <v/>
          </cell>
        </row>
        <row r="16212">
          <cell r="O16212" t="str">
            <v/>
          </cell>
        </row>
        <row r="16213">
          <cell r="O16213" t="str">
            <v/>
          </cell>
        </row>
        <row r="16214">
          <cell r="O16214" t="str">
            <v/>
          </cell>
        </row>
        <row r="16215">
          <cell r="O16215" t="str">
            <v/>
          </cell>
        </row>
        <row r="16216">
          <cell r="O16216" t="str">
            <v/>
          </cell>
        </row>
        <row r="16217">
          <cell r="O16217" t="str">
            <v/>
          </cell>
        </row>
        <row r="16218">
          <cell r="O16218" t="str">
            <v/>
          </cell>
        </row>
        <row r="16219">
          <cell r="O16219" t="str">
            <v/>
          </cell>
        </row>
        <row r="16220">
          <cell r="O16220" t="str">
            <v/>
          </cell>
        </row>
        <row r="16221">
          <cell r="O16221" t="str">
            <v/>
          </cell>
        </row>
        <row r="16222">
          <cell r="O16222" t="str">
            <v/>
          </cell>
        </row>
        <row r="16223">
          <cell r="O16223" t="str">
            <v/>
          </cell>
        </row>
        <row r="16224">
          <cell r="O16224" t="str">
            <v/>
          </cell>
        </row>
        <row r="16225">
          <cell r="O16225" t="str">
            <v/>
          </cell>
        </row>
        <row r="16226">
          <cell r="O16226" t="str">
            <v/>
          </cell>
        </row>
        <row r="16227">
          <cell r="O16227" t="str">
            <v/>
          </cell>
        </row>
        <row r="16228">
          <cell r="O16228" t="str">
            <v/>
          </cell>
        </row>
        <row r="16229">
          <cell r="O16229" t="str">
            <v/>
          </cell>
        </row>
        <row r="16230">
          <cell r="O16230" t="str">
            <v/>
          </cell>
        </row>
        <row r="16231">
          <cell r="O16231" t="str">
            <v/>
          </cell>
        </row>
        <row r="16232">
          <cell r="O16232" t="str">
            <v/>
          </cell>
        </row>
        <row r="16233">
          <cell r="O16233" t="str">
            <v/>
          </cell>
        </row>
        <row r="16234">
          <cell r="O16234" t="str">
            <v/>
          </cell>
        </row>
        <row r="16235">
          <cell r="O16235" t="str">
            <v/>
          </cell>
        </row>
        <row r="16236">
          <cell r="O16236" t="str">
            <v/>
          </cell>
        </row>
        <row r="16237">
          <cell r="O16237" t="str">
            <v/>
          </cell>
        </row>
        <row r="16238">
          <cell r="O16238" t="str">
            <v/>
          </cell>
        </row>
        <row r="16239">
          <cell r="O16239" t="str">
            <v/>
          </cell>
        </row>
        <row r="16240">
          <cell r="O16240" t="str">
            <v/>
          </cell>
        </row>
        <row r="16241">
          <cell r="O16241" t="str">
            <v/>
          </cell>
        </row>
        <row r="16242">
          <cell r="O16242" t="str">
            <v/>
          </cell>
        </row>
        <row r="16243">
          <cell r="O16243" t="str">
            <v/>
          </cell>
        </row>
        <row r="16244">
          <cell r="O16244" t="str">
            <v/>
          </cell>
        </row>
        <row r="16245">
          <cell r="O16245" t="str">
            <v/>
          </cell>
        </row>
        <row r="16246">
          <cell r="O16246" t="str">
            <v/>
          </cell>
        </row>
        <row r="16247">
          <cell r="O16247" t="str">
            <v/>
          </cell>
        </row>
        <row r="16248">
          <cell r="O16248" t="str">
            <v/>
          </cell>
        </row>
        <row r="16249">
          <cell r="O16249" t="str">
            <v/>
          </cell>
        </row>
        <row r="16250">
          <cell r="O16250" t="str">
            <v/>
          </cell>
        </row>
        <row r="16251">
          <cell r="O16251" t="str">
            <v/>
          </cell>
        </row>
        <row r="16252">
          <cell r="O16252" t="str">
            <v/>
          </cell>
        </row>
        <row r="16253">
          <cell r="O16253" t="str">
            <v/>
          </cell>
        </row>
        <row r="16254">
          <cell r="O16254" t="str">
            <v/>
          </cell>
        </row>
        <row r="16255">
          <cell r="O16255" t="str">
            <v/>
          </cell>
        </row>
        <row r="16256">
          <cell r="O16256" t="str">
            <v/>
          </cell>
        </row>
        <row r="16257">
          <cell r="O16257" t="str">
            <v/>
          </cell>
        </row>
        <row r="16258">
          <cell r="O16258" t="str">
            <v/>
          </cell>
        </row>
        <row r="16259">
          <cell r="O16259" t="str">
            <v/>
          </cell>
        </row>
        <row r="16260">
          <cell r="O16260" t="str">
            <v/>
          </cell>
        </row>
        <row r="16261">
          <cell r="O16261" t="str">
            <v/>
          </cell>
        </row>
        <row r="16262">
          <cell r="O16262" t="str">
            <v/>
          </cell>
        </row>
        <row r="16263">
          <cell r="O16263" t="str">
            <v/>
          </cell>
        </row>
        <row r="16264">
          <cell r="O16264" t="str">
            <v/>
          </cell>
        </row>
        <row r="16265">
          <cell r="O16265" t="str">
            <v/>
          </cell>
        </row>
        <row r="16266">
          <cell r="O16266" t="str">
            <v/>
          </cell>
        </row>
        <row r="16267">
          <cell r="O16267" t="str">
            <v/>
          </cell>
        </row>
        <row r="16268">
          <cell r="O16268" t="str">
            <v/>
          </cell>
        </row>
        <row r="16269">
          <cell r="O16269" t="str">
            <v/>
          </cell>
        </row>
        <row r="16270">
          <cell r="O16270" t="str">
            <v/>
          </cell>
        </row>
        <row r="16271">
          <cell r="O16271" t="str">
            <v/>
          </cell>
        </row>
        <row r="16272">
          <cell r="O16272" t="str">
            <v/>
          </cell>
        </row>
        <row r="16273">
          <cell r="O16273" t="str">
            <v/>
          </cell>
        </row>
        <row r="16274">
          <cell r="O16274" t="str">
            <v/>
          </cell>
        </row>
        <row r="16275">
          <cell r="O16275" t="str">
            <v/>
          </cell>
        </row>
        <row r="16276">
          <cell r="O16276" t="str">
            <v/>
          </cell>
        </row>
        <row r="16277">
          <cell r="O16277" t="str">
            <v/>
          </cell>
        </row>
        <row r="16278">
          <cell r="O16278" t="str">
            <v/>
          </cell>
        </row>
        <row r="16279">
          <cell r="O16279" t="str">
            <v/>
          </cell>
        </row>
        <row r="16280">
          <cell r="O16280" t="str">
            <v/>
          </cell>
        </row>
        <row r="16281">
          <cell r="O16281" t="str">
            <v/>
          </cell>
        </row>
        <row r="16282">
          <cell r="O16282" t="str">
            <v/>
          </cell>
        </row>
        <row r="16283">
          <cell r="O16283" t="str">
            <v/>
          </cell>
        </row>
        <row r="16284">
          <cell r="O16284" t="str">
            <v/>
          </cell>
        </row>
        <row r="16285">
          <cell r="O16285" t="str">
            <v/>
          </cell>
        </row>
        <row r="16286">
          <cell r="O16286" t="str">
            <v/>
          </cell>
        </row>
        <row r="16287">
          <cell r="O16287" t="str">
            <v/>
          </cell>
        </row>
        <row r="16288">
          <cell r="O16288" t="str">
            <v/>
          </cell>
        </row>
        <row r="16289">
          <cell r="O16289" t="str">
            <v/>
          </cell>
        </row>
        <row r="16290">
          <cell r="O16290" t="str">
            <v/>
          </cell>
        </row>
        <row r="16291">
          <cell r="O16291" t="str">
            <v/>
          </cell>
        </row>
        <row r="16292">
          <cell r="O16292" t="str">
            <v/>
          </cell>
        </row>
        <row r="16293">
          <cell r="O16293" t="str">
            <v/>
          </cell>
        </row>
        <row r="16294">
          <cell r="O16294" t="str">
            <v/>
          </cell>
        </row>
        <row r="16295">
          <cell r="O16295" t="str">
            <v/>
          </cell>
        </row>
        <row r="16296">
          <cell r="O16296" t="str">
            <v/>
          </cell>
        </row>
        <row r="16297">
          <cell r="O16297" t="str">
            <v/>
          </cell>
        </row>
        <row r="16298">
          <cell r="O16298" t="str">
            <v/>
          </cell>
        </row>
        <row r="16299">
          <cell r="O16299" t="str">
            <v/>
          </cell>
        </row>
        <row r="16300">
          <cell r="O16300" t="str">
            <v/>
          </cell>
        </row>
        <row r="16301">
          <cell r="O16301" t="str">
            <v/>
          </cell>
        </row>
        <row r="16302">
          <cell r="O16302" t="str">
            <v/>
          </cell>
        </row>
        <row r="16303">
          <cell r="O16303" t="str">
            <v/>
          </cell>
        </row>
        <row r="16304">
          <cell r="O16304" t="str">
            <v/>
          </cell>
        </row>
        <row r="16305">
          <cell r="O16305" t="str">
            <v/>
          </cell>
        </row>
        <row r="16306">
          <cell r="O16306" t="str">
            <v/>
          </cell>
        </row>
        <row r="16307">
          <cell r="O16307" t="str">
            <v/>
          </cell>
        </row>
        <row r="16308">
          <cell r="O16308" t="str">
            <v/>
          </cell>
        </row>
        <row r="16309">
          <cell r="O16309" t="str">
            <v/>
          </cell>
        </row>
        <row r="16310">
          <cell r="O16310" t="str">
            <v/>
          </cell>
        </row>
        <row r="16311">
          <cell r="O16311" t="str">
            <v/>
          </cell>
        </row>
        <row r="16312">
          <cell r="O16312" t="str">
            <v/>
          </cell>
        </row>
        <row r="16313">
          <cell r="O16313" t="str">
            <v/>
          </cell>
        </row>
        <row r="16314">
          <cell r="O16314" t="str">
            <v/>
          </cell>
        </row>
        <row r="16315">
          <cell r="O16315" t="str">
            <v/>
          </cell>
        </row>
        <row r="16316">
          <cell r="O16316" t="str">
            <v/>
          </cell>
        </row>
        <row r="16317">
          <cell r="O16317" t="str">
            <v/>
          </cell>
        </row>
        <row r="16318">
          <cell r="O16318" t="str">
            <v/>
          </cell>
        </row>
        <row r="16319">
          <cell r="O16319" t="str">
            <v/>
          </cell>
        </row>
        <row r="16320">
          <cell r="O16320" t="str">
            <v/>
          </cell>
        </row>
        <row r="16321">
          <cell r="O16321" t="str">
            <v/>
          </cell>
        </row>
        <row r="16322">
          <cell r="O16322" t="str">
            <v/>
          </cell>
        </row>
        <row r="16323">
          <cell r="O16323" t="str">
            <v/>
          </cell>
        </row>
        <row r="16324">
          <cell r="O16324" t="str">
            <v/>
          </cell>
        </row>
        <row r="16325">
          <cell r="O16325" t="str">
            <v/>
          </cell>
        </row>
        <row r="16326">
          <cell r="O16326" t="str">
            <v/>
          </cell>
        </row>
        <row r="16327">
          <cell r="O16327" t="str">
            <v/>
          </cell>
        </row>
        <row r="16328">
          <cell r="O16328" t="str">
            <v/>
          </cell>
        </row>
        <row r="16329">
          <cell r="O16329" t="str">
            <v/>
          </cell>
        </row>
        <row r="16330">
          <cell r="O16330" t="str">
            <v/>
          </cell>
        </row>
        <row r="16331">
          <cell r="O16331" t="str">
            <v/>
          </cell>
        </row>
        <row r="16332">
          <cell r="O16332" t="str">
            <v/>
          </cell>
        </row>
        <row r="16333">
          <cell r="O16333" t="str">
            <v/>
          </cell>
        </row>
        <row r="16334">
          <cell r="O16334" t="str">
            <v/>
          </cell>
        </row>
        <row r="16335">
          <cell r="O16335" t="str">
            <v/>
          </cell>
        </row>
        <row r="16336">
          <cell r="O16336" t="str">
            <v/>
          </cell>
        </row>
        <row r="16337">
          <cell r="O16337" t="str">
            <v/>
          </cell>
        </row>
        <row r="16338">
          <cell r="O16338" t="str">
            <v/>
          </cell>
        </row>
        <row r="16339">
          <cell r="O16339" t="str">
            <v/>
          </cell>
        </row>
        <row r="16340">
          <cell r="O16340" t="str">
            <v/>
          </cell>
        </row>
        <row r="16341">
          <cell r="O16341" t="str">
            <v/>
          </cell>
        </row>
        <row r="16342">
          <cell r="O16342" t="str">
            <v/>
          </cell>
        </row>
        <row r="16343">
          <cell r="O16343" t="str">
            <v/>
          </cell>
        </row>
        <row r="16344">
          <cell r="O16344" t="str">
            <v/>
          </cell>
        </row>
        <row r="16345">
          <cell r="O16345" t="str">
            <v/>
          </cell>
        </row>
        <row r="16346">
          <cell r="O16346" t="str">
            <v/>
          </cell>
        </row>
        <row r="16347">
          <cell r="O16347" t="str">
            <v/>
          </cell>
        </row>
        <row r="16348">
          <cell r="O16348" t="str">
            <v/>
          </cell>
        </row>
        <row r="16349">
          <cell r="O16349" t="str">
            <v/>
          </cell>
        </row>
        <row r="16350">
          <cell r="O16350" t="str">
            <v/>
          </cell>
        </row>
        <row r="16351">
          <cell r="O16351" t="str">
            <v/>
          </cell>
        </row>
        <row r="16352">
          <cell r="O16352" t="str">
            <v/>
          </cell>
        </row>
        <row r="16353">
          <cell r="O16353" t="str">
            <v/>
          </cell>
        </row>
        <row r="16354">
          <cell r="O16354" t="str">
            <v/>
          </cell>
        </row>
        <row r="16355">
          <cell r="O16355" t="str">
            <v/>
          </cell>
        </row>
        <row r="16356">
          <cell r="O16356" t="str">
            <v/>
          </cell>
        </row>
        <row r="16357">
          <cell r="O16357" t="str">
            <v/>
          </cell>
        </row>
        <row r="16358">
          <cell r="O16358" t="str">
            <v/>
          </cell>
        </row>
        <row r="16359">
          <cell r="O16359" t="str">
            <v/>
          </cell>
        </row>
        <row r="16360">
          <cell r="O16360" t="str">
            <v/>
          </cell>
        </row>
        <row r="16361">
          <cell r="O16361" t="str">
            <v/>
          </cell>
        </row>
        <row r="16362">
          <cell r="O16362" t="str">
            <v/>
          </cell>
        </row>
        <row r="16363">
          <cell r="O16363" t="str">
            <v/>
          </cell>
        </row>
        <row r="16364">
          <cell r="O16364" t="str">
            <v/>
          </cell>
        </row>
        <row r="16365">
          <cell r="O16365" t="str">
            <v/>
          </cell>
        </row>
        <row r="16366">
          <cell r="O16366" t="str">
            <v/>
          </cell>
        </row>
        <row r="16367">
          <cell r="O16367" t="str">
            <v/>
          </cell>
        </row>
        <row r="16368">
          <cell r="O16368" t="str">
            <v/>
          </cell>
        </row>
        <row r="16369">
          <cell r="O16369" t="str">
            <v/>
          </cell>
        </row>
        <row r="16370">
          <cell r="O16370" t="str">
            <v/>
          </cell>
        </row>
        <row r="16371">
          <cell r="O16371" t="str">
            <v/>
          </cell>
        </row>
        <row r="16372">
          <cell r="O16372" t="str">
            <v/>
          </cell>
        </row>
        <row r="16373">
          <cell r="O16373" t="str">
            <v/>
          </cell>
        </row>
        <row r="16374">
          <cell r="O16374" t="str">
            <v/>
          </cell>
        </row>
        <row r="16375">
          <cell r="O16375" t="str">
            <v/>
          </cell>
        </row>
        <row r="16376">
          <cell r="O16376" t="str">
            <v/>
          </cell>
        </row>
        <row r="16377">
          <cell r="O16377" t="str">
            <v/>
          </cell>
        </row>
        <row r="16378">
          <cell r="O16378" t="str">
            <v/>
          </cell>
        </row>
        <row r="16379">
          <cell r="O16379" t="str">
            <v/>
          </cell>
        </row>
        <row r="16380">
          <cell r="O16380" t="str">
            <v/>
          </cell>
        </row>
        <row r="16381">
          <cell r="O16381" t="str">
            <v/>
          </cell>
        </row>
        <row r="16382">
          <cell r="O16382" t="str">
            <v/>
          </cell>
        </row>
        <row r="16383">
          <cell r="O16383" t="str">
            <v/>
          </cell>
        </row>
        <row r="16384">
          <cell r="O16384" t="str">
            <v/>
          </cell>
        </row>
        <row r="16385">
          <cell r="O16385" t="str">
            <v/>
          </cell>
        </row>
        <row r="16386">
          <cell r="O16386" t="str">
            <v/>
          </cell>
        </row>
        <row r="16387">
          <cell r="O16387" t="str">
            <v/>
          </cell>
        </row>
        <row r="16388">
          <cell r="O16388" t="str">
            <v/>
          </cell>
        </row>
        <row r="16389">
          <cell r="O16389" t="str">
            <v/>
          </cell>
        </row>
        <row r="16390">
          <cell r="O16390" t="str">
            <v/>
          </cell>
        </row>
        <row r="16391">
          <cell r="O16391" t="str">
            <v/>
          </cell>
        </row>
        <row r="16392">
          <cell r="O16392" t="str">
            <v/>
          </cell>
        </row>
        <row r="16393">
          <cell r="O16393" t="str">
            <v/>
          </cell>
        </row>
        <row r="16394">
          <cell r="O16394" t="str">
            <v/>
          </cell>
        </row>
        <row r="16395">
          <cell r="O16395" t="str">
            <v/>
          </cell>
        </row>
        <row r="16396">
          <cell r="O16396" t="str">
            <v/>
          </cell>
        </row>
        <row r="16397">
          <cell r="O16397" t="str">
            <v/>
          </cell>
        </row>
        <row r="16398">
          <cell r="O16398" t="str">
            <v/>
          </cell>
        </row>
        <row r="16399">
          <cell r="O16399" t="str">
            <v/>
          </cell>
        </row>
        <row r="16400">
          <cell r="O16400" t="str">
            <v/>
          </cell>
        </row>
        <row r="16401">
          <cell r="O16401" t="str">
            <v/>
          </cell>
        </row>
        <row r="16402">
          <cell r="O16402" t="str">
            <v/>
          </cell>
        </row>
        <row r="16403">
          <cell r="O16403" t="str">
            <v/>
          </cell>
        </row>
        <row r="16404">
          <cell r="O16404" t="str">
            <v/>
          </cell>
        </row>
        <row r="16405">
          <cell r="O16405" t="str">
            <v/>
          </cell>
        </row>
        <row r="16406">
          <cell r="O16406" t="str">
            <v/>
          </cell>
        </row>
        <row r="16407">
          <cell r="O16407" t="str">
            <v/>
          </cell>
        </row>
        <row r="16408">
          <cell r="O16408" t="str">
            <v/>
          </cell>
        </row>
        <row r="16409">
          <cell r="O16409" t="str">
            <v/>
          </cell>
        </row>
        <row r="16410">
          <cell r="O16410" t="str">
            <v/>
          </cell>
        </row>
        <row r="16411">
          <cell r="O16411" t="str">
            <v/>
          </cell>
        </row>
        <row r="16412">
          <cell r="O16412" t="str">
            <v/>
          </cell>
        </row>
        <row r="16413">
          <cell r="O16413" t="str">
            <v/>
          </cell>
        </row>
        <row r="16414">
          <cell r="O16414" t="str">
            <v/>
          </cell>
        </row>
        <row r="16415">
          <cell r="O16415" t="str">
            <v/>
          </cell>
        </row>
        <row r="16416">
          <cell r="O16416" t="str">
            <v/>
          </cell>
        </row>
        <row r="16417">
          <cell r="O16417" t="str">
            <v/>
          </cell>
        </row>
        <row r="16418">
          <cell r="O16418" t="str">
            <v/>
          </cell>
        </row>
        <row r="16419">
          <cell r="O16419" t="str">
            <v/>
          </cell>
        </row>
        <row r="16420">
          <cell r="O16420" t="str">
            <v/>
          </cell>
        </row>
        <row r="16421">
          <cell r="O16421" t="str">
            <v/>
          </cell>
        </row>
        <row r="16422">
          <cell r="O16422" t="str">
            <v/>
          </cell>
        </row>
        <row r="16423">
          <cell r="O16423" t="str">
            <v/>
          </cell>
        </row>
        <row r="16424">
          <cell r="O16424" t="str">
            <v/>
          </cell>
        </row>
        <row r="16425">
          <cell r="O16425" t="str">
            <v/>
          </cell>
        </row>
        <row r="16426">
          <cell r="O16426" t="str">
            <v/>
          </cell>
        </row>
        <row r="16427">
          <cell r="O16427" t="str">
            <v/>
          </cell>
        </row>
        <row r="16428">
          <cell r="O16428" t="str">
            <v/>
          </cell>
        </row>
        <row r="16429">
          <cell r="O16429" t="str">
            <v/>
          </cell>
        </row>
        <row r="16430">
          <cell r="O16430" t="str">
            <v/>
          </cell>
        </row>
        <row r="16431">
          <cell r="O16431" t="str">
            <v/>
          </cell>
        </row>
        <row r="16432">
          <cell r="O16432" t="str">
            <v/>
          </cell>
        </row>
        <row r="16433">
          <cell r="O16433" t="str">
            <v/>
          </cell>
        </row>
        <row r="16434">
          <cell r="O16434" t="str">
            <v/>
          </cell>
        </row>
        <row r="16435">
          <cell r="O16435" t="str">
            <v/>
          </cell>
        </row>
        <row r="16436">
          <cell r="O16436" t="str">
            <v/>
          </cell>
        </row>
        <row r="16437">
          <cell r="O16437" t="str">
            <v/>
          </cell>
        </row>
        <row r="16438">
          <cell r="O16438" t="str">
            <v/>
          </cell>
        </row>
        <row r="16439">
          <cell r="O16439" t="str">
            <v/>
          </cell>
        </row>
        <row r="16440">
          <cell r="O16440" t="str">
            <v/>
          </cell>
        </row>
        <row r="16441">
          <cell r="O16441" t="str">
            <v/>
          </cell>
        </row>
        <row r="16442">
          <cell r="O16442" t="str">
            <v/>
          </cell>
        </row>
        <row r="16443">
          <cell r="O16443" t="str">
            <v/>
          </cell>
        </row>
        <row r="16444">
          <cell r="O16444" t="str">
            <v/>
          </cell>
        </row>
        <row r="16445">
          <cell r="O16445" t="str">
            <v/>
          </cell>
        </row>
        <row r="16446">
          <cell r="O16446" t="str">
            <v/>
          </cell>
        </row>
        <row r="16447">
          <cell r="O16447" t="str">
            <v/>
          </cell>
        </row>
        <row r="16448">
          <cell r="O16448" t="str">
            <v/>
          </cell>
        </row>
        <row r="16449">
          <cell r="O16449" t="str">
            <v/>
          </cell>
        </row>
        <row r="16450">
          <cell r="O16450" t="str">
            <v/>
          </cell>
        </row>
        <row r="16451">
          <cell r="O16451" t="str">
            <v/>
          </cell>
        </row>
        <row r="16452">
          <cell r="O16452" t="str">
            <v/>
          </cell>
        </row>
        <row r="16453">
          <cell r="O16453" t="str">
            <v/>
          </cell>
        </row>
        <row r="16454">
          <cell r="O16454" t="str">
            <v/>
          </cell>
        </row>
        <row r="16455">
          <cell r="O16455" t="str">
            <v/>
          </cell>
        </row>
        <row r="16456">
          <cell r="O16456" t="str">
            <v/>
          </cell>
        </row>
        <row r="16457">
          <cell r="O16457" t="str">
            <v/>
          </cell>
        </row>
        <row r="16458">
          <cell r="O16458" t="str">
            <v/>
          </cell>
        </row>
        <row r="16459">
          <cell r="O16459" t="str">
            <v/>
          </cell>
        </row>
        <row r="16460">
          <cell r="O16460" t="str">
            <v/>
          </cell>
        </row>
        <row r="16461">
          <cell r="O16461" t="str">
            <v/>
          </cell>
        </row>
        <row r="16462">
          <cell r="O16462" t="str">
            <v/>
          </cell>
        </row>
        <row r="16463">
          <cell r="O16463" t="str">
            <v/>
          </cell>
        </row>
        <row r="16464">
          <cell r="O16464" t="str">
            <v/>
          </cell>
        </row>
        <row r="16465">
          <cell r="O16465" t="str">
            <v/>
          </cell>
        </row>
        <row r="16466">
          <cell r="O16466" t="str">
            <v/>
          </cell>
        </row>
        <row r="16467">
          <cell r="O16467" t="str">
            <v/>
          </cell>
        </row>
        <row r="16468">
          <cell r="O16468" t="str">
            <v/>
          </cell>
        </row>
        <row r="16469">
          <cell r="O16469" t="str">
            <v/>
          </cell>
        </row>
        <row r="16470">
          <cell r="O16470" t="str">
            <v/>
          </cell>
        </row>
        <row r="16471">
          <cell r="O16471" t="str">
            <v/>
          </cell>
        </row>
        <row r="16472">
          <cell r="O16472" t="str">
            <v/>
          </cell>
        </row>
        <row r="16473">
          <cell r="O16473" t="str">
            <v/>
          </cell>
        </row>
        <row r="16474">
          <cell r="O16474" t="str">
            <v/>
          </cell>
        </row>
        <row r="16475">
          <cell r="O16475" t="str">
            <v/>
          </cell>
        </row>
        <row r="16476">
          <cell r="O16476" t="str">
            <v/>
          </cell>
        </row>
        <row r="16477">
          <cell r="O16477" t="str">
            <v/>
          </cell>
        </row>
        <row r="16478">
          <cell r="O16478" t="str">
            <v/>
          </cell>
        </row>
        <row r="16479">
          <cell r="O16479" t="str">
            <v/>
          </cell>
        </row>
        <row r="16480">
          <cell r="O16480" t="str">
            <v/>
          </cell>
        </row>
        <row r="16481">
          <cell r="O16481" t="str">
            <v/>
          </cell>
        </row>
        <row r="16482">
          <cell r="O16482" t="str">
            <v/>
          </cell>
        </row>
        <row r="16483">
          <cell r="O16483" t="str">
            <v/>
          </cell>
        </row>
        <row r="16484">
          <cell r="O16484" t="str">
            <v/>
          </cell>
        </row>
        <row r="16485">
          <cell r="O16485" t="str">
            <v/>
          </cell>
        </row>
        <row r="16486">
          <cell r="O16486" t="str">
            <v/>
          </cell>
        </row>
        <row r="16487">
          <cell r="O16487" t="str">
            <v/>
          </cell>
        </row>
        <row r="16488">
          <cell r="O16488" t="str">
            <v/>
          </cell>
        </row>
        <row r="16489">
          <cell r="O16489" t="str">
            <v/>
          </cell>
        </row>
        <row r="16490">
          <cell r="O16490" t="str">
            <v/>
          </cell>
        </row>
        <row r="16491">
          <cell r="O16491" t="str">
            <v/>
          </cell>
        </row>
        <row r="16492">
          <cell r="O16492" t="str">
            <v/>
          </cell>
        </row>
        <row r="16493">
          <cell r="O16493" t="str">
            <v/>
          </cell>
        </row>
        <row r="16494">
          <cell r="O16494" t="str">
            <v/>
          </cell>
        </row>
        <row r="16495">
          <cell r="O16495" t="str">
            <v/>
          </cell>
        </row>
        <row r="16496">
          <cell r="O16496" t="str">
            <v/>
          </cell>
        </row>
        <row r="16497">
          <cell r="O16497" t="str">
            <v/>
          </cell>
        </row>
        <row r="16498">
          <cell r="O16498" t="str">
            <v/>
          </cell>
        </row>
        <row r="16499">
          <cell r="O16499" t="str">
            <v/>
          </cell>
        </row>
        <row r="16500">
          <cell r="O16500" t="str">
            <v/>
          </cell>
        </row>
        <row r="16501">
          <cell r="O16501" t="str">
            <v/>
          </cell>
        </row>
        <row r="16502">
          <cell r="O16502" t="str">
            <v/>
          </cell>
        </row>
        <row r="16503">
          <cell r="O16503" t="str">
            <v/>
          </cell>
        </row>
        <row r="16504">
          <cell r="O16504" t="str">
            <v/>
          </cell>
        </row>
        <row r="16505">
          <cell r="O16505" t="str">
            <v/>
          </cell>
        </row>
        <row r="16506">
          <cell r="O16506" t="str">
            <v/>
          </cell>
        </row>
        <row r="16507">
          <cell r="O16507" t="str">
            <v/>
          </cell>
        </row>
        <row r="16508">
          <cell r="O16508" t="str">
            <v/>
          </cell>
        </row>
        <row r="16509">
          <cell r="O16509" t="str">
            <v/>
          </cell>
        </row>
        <row r="16510">
          <cell r="O16510" t="str">
            <v/>
          </cell>
        </row>
        <row r="16511">
          <cell r="O16511" t="str">
            <v/>
          </cell>
        </row>
        <row r="16512">
          <cell r="O16512" t="str">
            <v/>
          </cell>
        </row>
        <row r="16513">
          <cell r="O16513" t="str">
            <v/>
          </cell>
        </row>
        <row r="16514">
          <cell r="O16514" t="str">
            <v/>
          </cell>
        </row>
        <row r="16515">
          <cell r="O16515" t="str">
            <v/>
          </cell>
        </row>
        <row r="16516">
          <cell r="O16516" t="str">
            <v/>
          </cell>
        </row>
        <row r="16517">
          <cell r="O16517" t="str">
            <v/>
          </cell>
        </row>
        <row r="16518">
          <cell r="O16518" t="str">
            <v/>
          </cell>
        </row>
        <row r="16519">
          <cell r="O16519" t="str">
            <v/>
          </cell>
        </row>
        <row r="16520">
          <cell r="O16520" t="str">
            <v/>
          </cell>
        </row>
        <row r="16521">
          <cell r="O16521" t="str">
            <v/>
          </cell>
        </row>
        <row r="16522">
          <cell r="O16522" t="str">
            <v/>
          </cell>
        </row>
        <row r="16523">
          <cell r="O16523" t="str">
            <v/>
          </cell>
        </row>
        <row r="16524">
          <cell r="O16524" t="str">
            <v/>
          </cell>
        </row>
        <row r="16525">
          <cell r="O16525" t="str">
            <v/>
          </cell>
        </row>
        <row r="16526">
          <cell r="O16526" t="str">
            <v/>
          </cell>
        </row>
        <row r="16527">
          <cell r="O16527" t="str">
            <v/>
          </cell>
        </row>
        <row r="16528">
          <cell r="O16528" t="str">
            <v/>
          </cell>
        </row>
        <row r="16529">
          <cell r="O16529" t="str">
            <v/>
          </cell>
        </row>
        <row r="16530">
          <cell r="O16530" t="str">
            <v/>
          </cell>
        </row>
        <row r="16531">
          <cell r="O16531" t="str">
            <v/>
          </cell>
        </row>
        <row r="16532">
          <cell r="O16532" t="str">
            <v/>
          </cell>
        </row>
        <row r="16533">
          <cell r="O16533" t="str">
            <v/>
          </cell>
        </row>
        <row r="16534">
          <cell r="O16534" t="str">
            <v/>
          </cell>
        </row>
        <row r="16535">
          <cell r="O16535" t="str">
            <v/>
          </cell>
        </row>
        <row r="16536">
          <cell r="O16536" t="str">
            <v/>
          </cell>
        </row>
        <row r="16537">
          <cell r="O16537" t="str">
            <v/>
          </cell>
        </row>
        <row r="16538">
          <cell r="O16538" t="str">
            <v/>
          </cell>
        </row>
        <row r="16539">
          <cell r="O16539" t="str">
            <v/>
          </cell>
        </row>
        <row r="16540">
          <cell r="O16540" t="str">
            <v/>
          </cell>
        </row>
        <row r="16541">
          <cell r="O16541" t="str">
            <v/>
          </cell>
        </row>
        <row r="16542">
          <cell r="O16542" t="str">
            <v/>
          </cell>
        </row>
        <row r="16543">
          <cell r="O16543" t="str">
            <v/>
          </cell>
        </row>
        <row r="16544">
          <cell r="O16544" t="str">
            <v/>
          </cell>
        </row>
        <row r="16545">
          <cell r="O16545" t="str">
            <v/>
          </cell>
        </row>
        <row r="16546">
          <cell r="O16546" t="str">
            <v/>
          </cell>
        </row>
        <row r="16547">
          <cell r="O16547" t="str">
            <v/>
          </cell>
        </row>
        <row r="16548">
          <cell r="O16548" t="str">
            <v/>
          </cell>
        </row>
        <row r="16549">
          <cell r="O16549" t="str">
            <v/>
          </cell>
        </row>
        <row r="16550">
          <cell r="O16550" t="str">
            <v/>
          </cell>
        </row>
        <row r="16551">
          <cell r="O16551" t="str">
            <v/>
          </cell>
        </row>
        <row r="16552">
          <cell r="O16552" t="str">
            <v/>
          </cell>
        </row>
        <row r="16553">
          <cell r="O16553" t="str">
            <v/>
          </cell>
        </row>
        <row r="16554">
          <cell r="O16554" t="str">
            <v/>
          </cell>
        </row>
        <row r="16555">
          <cell r="O16555" t="str">
            <v/>
          </cell>
        </row>
        <row r="16556">
          <cell r="O16556" t="str">
            <v/>
          </cell>
        </row>
        <row r="16557">
          <cell r="O16557" t="str">
            <v/>
          </cell>
        </row>
        <row r="16558">
          <cell r="O16558" t="str">
            <v/>
          </cell>
        </row>
        <row r="16559">
          <cell r="O16559" t="str">
            <v/>
          </cell>
        </row>
        <row r="16560">
          <cell r="O16560" t="str">
            <v/>
          </cell>
        </row>
        <row r="16561">
          <cell r="O16561" t="str">
            <v/>
          </cell>
        </row>
        <row r="16562">
          <cell r="O16562" t="str">
            <v/>
          </cell>
        </row>
        <row r="16563">
          <cell r="O16563" t="str">
            <v/>
          </cell>
        </row>
        <row r="16564">
          <cell r="O16564" t="str">
            <v/>
          </cell>
        </row>
        <row r="16565">
          <cell r="O16565" t="str">
            <v/>
          </cell>
        </row>
        <row r="16566">
          <cell r="O16566" t="str">
            <v/>
          </cell>
        </row>
        <row r="16567">
          <cell r="O16567" t="str">
            <v/>
          </cell>
        </row>
        <row r="16568">
          <cell r="O16568" t="str">
            <v/>
          </cell>
        </row>
        <row r="16569">
          <cell r="O16569" t="str">
            <v/>
          </cell>
        </row>
        <row r="16570">
          <cell r="O16570" t="str">
            <v/>
          </cell>
        </row>
        <row r="16571">
          <cell r="O16571" t="str">
            <v/>
          </cell>
        </row>
        <row r="16572">
          <cell r="O16572" t="str">
            <v/>
          </cell>
        </row>
        <row r="16573">
          <cell r="O16573" t="str">
            <v/>
          </cell>
        </row>
        <row r="16574">
          <cell r="O16574" t="str">
            <v/>
          </cell>
        </row>
        <row r="16575">
          <cell r="O16575" t="str">
            <v/>
          </cell>
        </row>
        <row r="16576">
          <cell r="O16576" t="str">
            <v/>
          </cell>
        </row>
        <row r="16577">
          <cell r="O16577" t="str">
            <v/>
          </cell>
        </row>
        <row r="16578">
          <cell r="O16578" t="str">
            <v/>
          </cell>
        </row>
        <row r="16579">
          <cell r="O16579" t="str">
            <v/>
          </cell>
        </row>
        <row r="16580">
          <cell r="O16580" t="str">
            <v/>
          </cell>
        </row>
        <row r="16581">
          <cell r="O16581" t="str">
            <v/>
          </cell>
        </row>
        <row r="16582">
          <cell r="O16582" t="str">
            <v/>
          </cell>
        </row>
        <row r="16583">
          <cell r="O16583" t="str">
            <v/>
          </cell>
        </row>
        <row r="16584">
          <cell r="O16584" t="str">
            <v/>
          </cell>
        </row>
        <row r="16585">
          <cell r="O16585" t="str">
            <v/>
          </cell>
        </row>
        <row r="16586">
          <cell r="O16586" t="str">
            <v/>
          </cell>
        </row>
        <row r="16587">
          <cell r="O16587" t="str">
            <v/>
          </cell>
        </row>
        <row r="16588">
          <cell r="O16588" t="str">
            <v/>
          </cell>
        </row>
        <row r="16589">
          <cell r="O16589" t="str">
            <v/>
          </cell>
        </row>
        <row r="16590">
          <cell r="O16590" t="str">
            <v/>
          </cell>
        </row>
        <row r="16591">
          <cell r="O16591" t="str">
            <v/>
          </cell>
        </row>
        <row r="16592">
          <cell r="O16592" t="str">
            <v/>
          </cell>
        </row>
        <row r="16593">
          <cell r="O16593" t="str">
            <v/>
          </cell>
        </row>
        <row r="16594">
          <cell r="O16594" t="str">
            <v/>
          </cell>
        </row>
        <row r="16595">
          <cell r="O16595" t="str">
            <v/>
          </cell>
        </row>
        <row r="16596">
          <cell r="O16596" t="str">
            <v/>
          </cell>
        </row>
        <row r="16597">
          <cell r="O16597" t="str">
            <v/>
          </cell>
        </row>
        <row r="16598">
          <cell r="O16598" t="str">
            <v/>
          </cell>
        </row>
        <row r="16599">
          <cell r="O16599" t="str">
            <v/>
          </cell>
        </row>
        <row r="16600">
          <cell r="O16600" t="str">
            <v/>
          </cell>
        </row>
        <row r="16601">
          <cell r="O16601" t="str">
            <v/>
          </cell>
        </row>
        <row r="16602">
          <cell r="O16602" t="str">
            <v/>
          </cell>
        </row>
        <row r="16603">
          <cell r="O16603" t="str">
            <v/>
          </cell>
        </row>
        <row r="16604">
          <cell r="O16604" t="str">
            <v/>
          </cell>
        </row>
        <row r="16605">
          <cell r="O16605" t="str">
            <v/>
          </cell>
        </row>
        <row r="16606">
          <cell r="O16606" t="str">
            <v/>
          </cell>
        </row>
        <row r="16607">
          <cell r="O16607" t="str">
            <v/>
          </cell>
        </row>
        <row r="16608">
          <cell r="O16608" t="str">
            <v/>
          </cell>
        </row>
        <row r="16609">
          <cell r="O16609" t="str">
            <v/>
          </cell>
        </row>
        <row r="16610">
          <cell r="O16610" t="str">
            <v/>
          </cell>
        </row>
        <row r="16611">
          <cell r="O16611" t="str">
            <v/>
          </cell>
        </row>
        <row r="16612">
          <cell r="O16612" t="str">
            <v/>
          </cell>
        </row>
        <row r="16613">
          <cell r="O16613" t="str">
            <v/>
          </cell>
        </row>
        <row r="16614">
          <cell r="O16614" t="str">
            <v/>
          </cell>
        </row>
        <row r="16615">
          <cell r="O16615" t="str">
            <v/>
          </cell>
        </row>
        <row r="16616">
          <cell r="O16616" t="str">
            <v/>
          </cell>
        </row>
        <row r="16617">
          <cell r="O16617" t="str">
            <v/>
          </cell>
        </row>
        <row r="16618">
          <cell r="O16618" t="str">
            <v/>
          </cell>
        </row>
        <row r="16619">
          <cell r="O16619" t="str">
            <v/>
          </cell>
        </row>
        <row r="16620">
          <cell r="O16620" t="str">
            <v/>
          </cell>
        </row>
        <row r="16621">
          <cell r="O16621" t="str">
            <v/>
          </cell>
        </row>
        <row r="16622">
          <cell r="O16622" t="str">
            <v/>
          </cell>
        </row>
        <row r="16623">
          <cell r="O16623" t="str">
            <v/>
          </cell>
        </row>
        <row r="16624">
          <cell r="O16624" t="str">
            <v/>
          </cell>
        </row>
        <row r="16625">
          <cell r="O16625" t="str">
            <v/>
          </cell>
        </row>
        <row r="16626">
          <cell r="O16626" t="str">
            <v/>
          </cell>
        </row>
        <row r="16627">
          <cell r="O16627" t="str">
            <v/>
          </cell>
        </row>
        <row r="16628">
          <cell r="O16628" t="str">
            <v/>
          </cell>
        </row>
        <row r="16629">
          <cell r="O16629" t="str">
            <v/>
          </cell>
        </row>
        <row r="16630">
          <cell r="O16630" t="str">
            <v/>
          </cell>
        </row>
        <row r="16631">
          <cell r="O16631" t="str">
            <v/>
          </cell>
        </row>
        <row r="16632">
          <cell r="O16632" t="str">
            <v/>
          </cell>
        </row>
        <row r="16633">
          <cell r="O16633" t="str">
            <v/>
          </cell>
        </row>
        <row r="16634">
          <cell r="O16634" t="str">
            <v/>
          </cell>
        </row>
        <row r="16635">
          <cell r="O16635" t="str">
            <v/>
          </cell>
        </row>
        <row r="16636">
          <cell r="O16636" t="str">
            <v/>
          </cell>
        </row>
        <row r="16637">
          <cell r="O16637" t="str">
            <v/>
          </cell>
        </row>
        <row r="16638">
          <cell r="O16638" t="str">
            <v/>
          </cell>
        </row>
        <row r="16639">
          <cell r="O16639" t="str">
            <v/>
          </cell>
        </row>
        <row r="16640">
          <cell r="O16640" t="str">
            <v/>
          </cell>
        </row>
        <row r="16641">
          <cell r="O16641" t="str">
            <v/>
          </cell>
        </row>
        <row r="16642">
          <cell r="O16642" t="str">
            <v/>
          </cell>
        </row>
        <row r="16643">
          <cell r="O16643" t="str">
            <v/>
          </cell>
        </row>
        <row r="16644">
          <cell r="O16644" t="str">
            <v/>
          </cell>
        </row>
        <row r="16645">
          <cell r="O16645" t="str">
            <v/>
          </cell>
        </row>
        <row r="16646">
          <cell r="O16646" t="str">
            <v/>
          </cell>
        </row>
        <row r="16647">
          <cell r="O16647" t="str">
            <v/>
          </cell>
        </row>
        <row r="16648">
          <cell r="O16648" t="str">
            <v/>
          </cell>
        </row>
        <row r="16649">
          <cell r="O16649" t="str">
            <v/>
          </cell>
        </row>
        <row r="16650">
          <cell r="O16650" t="str">
            <v/>
          </cell>
        </row>
        <row r="16651">
          <cell r="O16651" t="str">
            <v/>
          </cell>
        </row>
        <row r="16652">
          <cell r="O16652" t="str">
            <v/>
          </cell>
        </row>
        <row r="16653">
          <cell r="O16653" t="str">
            <v/>
          </cell>
        </row>
        <row r="16654">
          <cell r="O16654" t="str">
            <v/>
          </cell>
        </row>
        <row r="16655">
          <cell r="O16655" t="str">
            <v/>
          </cell>
        </row>
        <row r="16656">
          <cell r="O16656" t="str">
            <v/>
          </cell>
        </row>
        <row r="16657">
          <cell r="O16657" t="str">
            <v/>
          </cell>
        </row>
        <row r="16658">
          <cell r="O16658" t="str">
            <v/>
          </cell>
        </row>
        <row r="16659">
          <cell r="O16659" t="str">
            <v/>
          </cell>
        </row>
        <row r="16660">
          <cell r="O16660" t="str">
            <v/>
          </cell>
        </row>
        <row r="16661">
          <cell r="O16661" t="str">
            <v/>
          </cell>
        </row>
        <row r="16662">
          <cell r="O16662" t="str">
            <v/>
          </cell>
        </row>
        <row r="16663">
          <cell r="O16663" t="str">
            <v/>
          </cell>
        </row>
        <row r="16664">
          <cell r="O16664" t="str">
            <v/>
          </cell>
        </row>
        <row r="16665">
          <cell r="O16665" t="str">
            <v/>
          </cell>
        </row>
        <row r="16666">
          <cell r="O16666" t="str">
            <v/>
          </cell>
        </row>
        <row r="16667">
          <cell r="O16667" t="str">
            <v/>
          </cell>
        </row>
        <row r="16668">
          <cell r="O16668" t="str">
            <v/>
          </cell>
        </row>
        <row r="16669">
          <cell r="O16669" t="str">
            <v/>
          </cell>
        </row>
        <row r="16670">
          <cell r="O16670" t="str">
            <v/>
          </cell>
        </row>
        <row r="16671">
          <cell r="O16671" t="str">
            <v/>
          </cell>
        </row>
        <row r="16672">
          <cell r="O16672" t="str">
            <v/>
          </cell>
        </row>
        <row r="16673">
          <cell r="O16673" t="str">
            <v/>
          </cell>
        </row>
        <row r="16674">
          <cell r="O16674" t="str">
            <v/>
          </cell>
        </row>
        <row r="16675">
          <cell r="O16675" t="str">
            <v/>
          </cell>
        </row>
        <row r="16676">
          <cell r="O16676" t="str">
            <v/>
          </cell>
        </row>
        <row r="16677">
          <cell r="O16677" t="str">
            <v/>
          </cell>
        </row>
        <row r="16678">
          <cell r="O16678" t="str">
            <v/>
          </cell>
        </row>
        <row r="16679">
          <cell r="O16679" t="str">
            <v/>
          </cell>
        </row>
        <row r="16680">
          <cell r="O16680" t="str">
            <v/>
          </cell>
        </row>
        <row r="16681">
          <cell r="O16681" t="str">
            <v/>
          </cell>
        </row>
        <row r="16682">
          <cell r="O16682" t="str">
            <v/>
          </cell>
        </row>
        <row r="16683">
          <cell r="O16683" t="str">
            <v/>
          </cell>
        </row>
        <row r="16684">
          <cell r="O16684" t="str">
            <v/>
          </cell>
        </row>
        <row r="16685">
          <cell r="O16685" t="str">
            <v/>
          </cell>
        </row>
        <row r="16686">
          <cell r="O16686" t="str">
            <v/>
          </cell>
        </row>
        <row r="16687">
          <cell r="O16687" t="str">
            <v/>
          </cell>
        </row>
        <row r="16688">
          <cell r="O16688" t="str">
            <v/>
          </cell>
        </row>
        <row r="16689">
          <cell r="O16689" t="str">
            <v/>
          </cell>
        </row>
        <row r="16690">
          <cell r="O16690" t="str">
            <v/>
          </cell>
        </row>
        <row r="16691">
          <cell r="O16691" t="str">
            <v/>
          </cell>
        </row>
        <row r="16692">
          <cell r="O16692" t="str">
            <v/>
          </cell>
        </row>
        <row r="16693">
          <cell r="O16693" t="str">
            <v/>
          </cell>
        </row>
        <row r="16694">
          <cell r="O16694" t="str">
            <v/>
          </cell>
        </row>
        <row r="16695">
          <cell r="O16695" t="str">
            <v/>
          </cell>
        </row>
        <row r="16696">
          <cell r="O16696" t="str">
            <v/>
          </cell>
        </row>
        <row r="16697">
          <cell r="O16697" t="str">
            <v/>
          </cell>
        </row>
        <row r="16698">
          <cell r="O16698" t="str">
            <v/>
          </cell>
        </row>
        <row r="16699">
          <cell r="O16699" t="str">
            <v/>
          </cell>
        </row>
        <row r="16700">
          <cell r="O16700" t="str">
            <v/>
          </cell>
        </row>
        <row r="16701">
          <cell r="O16701" t="str">
            <v/>
          </cell>
        </row>
        <row r="16702">
          <cell r="O16702" t="str">
            <v/>
          </cell>
        </row>
        <row r="16703">
          <cell r="O16703" t="str">
            <v/>
          </cell>
        </row>
        <row r="16704">
          <cell r="O16704" t="str">
            <v/>
          </cell>
        </row>
        <row r="16705">
          <cell r="O16705" t="str">
            <v/>
          </cell>
        </row>
        <row r="16706">
          <cell r="O16706" t="str">
            <v/>
          </cell>
        </row>
        <row r="16707">
          <cell r="O16707" t="str">
            <v/>
          </cell>
        </row>
        <row r="16708">
          <cell r="O16708" t="str">
            <v/>
          </cell>
        </row>
        <row r="16709">
          <cell r="O16709" t="str">
            <v/>
          </cell>
        </row>
        <row r="16710">
          <cell r="O16710" t="str">
            <v/>
          </cell>
        </row>
        <row r="16711">
          <cell r="O16711" t="str">
            <v/>
          </cell>
        </row>
        <row r="16712">
          <cell r="O16712" t="str">
            <v/>
          </cell>
        </row>
        <row r="16713">
          <cell r="O16713" t="str">
            <v/>
          </cell>
        </row>
        <row r="16714">
          <cell r="O16714" t="str">
            <v/>
          </cell>
        </row>
        <row r="16715">
          <cell r="O16715" t="str">
            <v/>
          </cell>
        </row>
        <row r="16716">
          <cell r="O16716" t="str">
            <v/>
          </cell>
        </row>
        <row r="16717">
          <cell r="O16717" t="str">
            <v/>
          </cell>
        </row>
        <row r="16718">
          <cell r="O16718" t="str">
            <v/>
          </cell>
        </row>
        <row r="16719">
          <cell r="O16719" t="str">
            <v/>
          </cell>
        </row>
        <row r="16720">
          <cell r="O16720" t="str">
            <v/>
          </cell>
        </row>
        <row r="16721">
          <cell r="O16721" t="str">
            <v/>
          </cell>
        </row>
        <row r="16722">
          <cell r="O16722" t="str">
            <v/>
          </cell>
        </row>
        <row r="16723">
          <cell r="O16723" t="str">
            <v/>
          </cell>
        </row>
        <row r="16724">
          <cell r="O16724" t="str">
            <v/>
          </cell>
        </row>
        <row r="16725">
          <cell r="O16725" t="str">
            <v/>
          </cell>
        </row>
        <row r="16726">
          <cell r="O16726" t="str">
            <v/>
          </cell>
        </row>
        <row r="16727">
          <cell r="O16727" t="str">
            <v/>
          </cell>
        </row>
        <row r="16728">
          <cell r="O16728" t="str">
            <v/>
          </cell>
        </row>
        <row r="16729">
          <cell r="O16729" t="str">
            <v/>
          </cell>
        </row>
        <row r="16730">
          <cell r="O16730" t="str">
            <v/>
          </cell>
        </row>
        <row r="16731">
          <cell r="O16731" t="str">
            <v/>
          </cell>
        </row>
        <row r="16732">
          <cell r="O16732" t="str">
            <v/>
          </cell>
        </row>
        <row r="16733">
          <cell r="O16733" t="str">
            <v/>
          </cell>
        </row>
        <row r="16734">
          <cell r="O16734" t="str">
            <v/>
          </cell>
        </row>
        <row r="16735">
          <cell r="O16735" t="str">
            <v/>
          </cell>
        </row>
        <row r="16736">
          <cell r="O16736" t="str">
            <v/>
          </cell>
        </row>
        <row r="16737">
          <cell r="O16737" t="str">
            <v/>
          </cell>
        </row>
        <row r="16738">
          <cell r="O16738" t="str">
            <v/>
          </cell>
        </row>
        <row r="16739">
          <cell r="O16739" t="str">
            <v/>
          </cell>
        </row>
        <row r="16740">
          <cell r="O16740" t="str">
            <v/>
          </cell>
        </row>
        <row r="16741">
          <cell r="O16741" t="str">
            <v/>
          </cell>
        </row>
        <row r="16742">
          <cell r="O16742" t="str">
            <v/>
          </cell>
        </row>
        <row r="16743">
          <cell r="O16743" t="str">
            <v/>
          </cell>
        </row>
        <row r="16744">
          <cell r="O16744" t="str">
            <v/>
          </cell>
        </row>
        <row r="16745">
          <cell r="O16745" t="str">
            <v/>
          </cell>
        </row>
        <row r="16746">
          <cell r="O16746" t="str">
            <v/>
          </cell>
        </row>
        <row r="16747">
          <cell r="O16747" t="str">
            <v/>
          </cell>
        </row>
        <row r="16748">
          <cell r="O16748" t="str">
            <v/>
          </cell>
        </row>
        <row r="16749">
          <cell r="O16749" t="str">
            <v/>
          </cell>
        </row>
        <row r="16750">
          <cell r="O16750" t="str">
            <v/>
          </cell>
        </row>
        <row r="16751">
          <cell r="O16751" t="str">
            <v/>
          </cell>
        </row>
        <row r="16752">
          <cell r="O16752" t="str">
            <v/>
          </cell>
        </row>
        <row r="16753">
          <cell r="O16753" t="str">
            <v/>
          </cell>
        </row>
        <row r="16754">
          <cell r="O16754" t="str">
            <v/>
          </cell>
        </row>
        <row r="16755">
          <cell r="O16755" t="str">
            <v/>
          </cell>
        </row>
        <row r="16756">
          <cell r="O16756" t="str">
            <v/>
          </cell>
        </row>
        <row r="16757">
          <cell r="O16757" t="str">
            <v/>
          </cell>
        </row>
        <row r="16758">
          <cell r="O16758" t="str">
            <v/>
          </cell>
        </row>
        <row r="16759">
          <cell r="O16759" t="str">
            <v/>
          </cell>
        </row>
        <row r="16760">
          <cell r="O16760" t="str">
            <v/>
          </cell>
        </row>
        <row r="16761">
          <cell r="O16761" t="str">
            <v/>
          </cell>
        </row>
        <row r="16762">
          <cell r="O16762" t="str">
            <v/>
          </cell>
        </row>
        <row r="16763">
          <cell r="O16763" t="str">
            <v/>
          </cell>
        </row>
        <row r="16764">
          <cell r="O16764" t="str">
            <v/>
          </cell>
        </row>
        <row r="16765">
          <cell r="O16765" t="str">
            <v/>
          </cell>
        </row>
        <row r="16766">
          <cell r="O16766" t="str">
            <v/>
          </cell>
        </row>
        <row r="16767">
          <cell r="O16767" t="str">
            <v/>
          </cell>
        </row>
        <row r="16768">
          <cell r="O16768" t="str">
            <v/>
          </cell>
        </row>
        <row r="16769">
          <cell r="O16769" t="str">
            <v/>
          </cell>
        </row>
        <row r="16770">
          <cell r="O16770" t="str">
            <v/>
          </cell>
        </row>
        <row r="16771">
          <cell r="O16771" t="str">
            <v/>
          </cell>
        </row>
        <row r="16772">
          <cell r="O16772" t="str">
            <v/>
          </cell>
        </row>
        <row r="16773">
          <cell r="O16773" t="str">
            <v/>
          </cell>
        </row>
        <row r="16774">
          <cell r="O16774" t="str">
            <v/>
          </cell>
        </row>
        <row r="16775">
          <cell r="O16775" t="str">
            <v/>
          </cell>
        </row>
        <row r="16776">
          <cell r="O16776" t="str">
            <v/>
          </cell>
        </row>
        <row r="16777">
          <cell r="O16777" t="str">
            <v/>
          </cell>
        </row>
        <row r="16778">
          <cell r="O16778" t="str">
            <v/>
          </cell>
        </row>
        <row r="16779">
          <cell r="O16779" t="str">
            <v/>
          </cell>
        </row>
        <row r="16780">
          <cell r="O16780" t="str">
            <v/>
          </cell>
        </row>
        <row r="16781">
          <cell r="O16781" t="str">
            <v/>
          </cell>
        </row>
        <row r="16782">
          <cell r="O16782" t="str">
            <v/>
          </cell>
        </row>
        <row r="16783">
          <cell r="O16783" t="str">
            <v/>
          </cell>
        </row>
        <row r="16784">
          <cell r="O16784" t="str">
            <v/>
          </cell>
        </row>
        <row r="16785">
          <cell r="O16785" t="str">
            <v/>
          </cell>
        </row>
        <row r="16786">
          <cell r="O16786" t="str">
            <v/>
          </cell>
        </row>
        <row r="16787">
          <cell r="O16787" t="str">
            <v/>
          </cell>
        </row>
        <row r="16788">
          <cell r="O16788" t="str">
            <v/>
          </cell>
        </row>
        <row r="16789">
          <cell r="O16789" t="str">
            <v/>
          </cell>
        </row>
        <row r="16790">
          <cell r="O16790" t="str">
            <v/>
          </cell>
        </row>
        <row r="16791">
          <cell r="O16791" t="str">
            <v/>
          </cell>
        </row>
        <row r="16792">
          <cell r="O16792" t="str">
            <v/>
          </cell>
        </row>
        <row r="16793">
          <cell r="O16793" t="str">
            <v/>
          </cell>
        </row>
        <row r="16794">
          <cell r="O16794" t="str">
            <v/>
          </cell>
        </row>
        <row r="16795">
          <cell r="O16795" t="str">
            <v/>
          </cell>
        </row>
        <row r="16796">
          <cell r="O16796" t="str">
            <v/>
          </cell>
        </row>
        <row r="16797">
          <cell r="O16797" t="str">
            <v/>
          </cell>
        </row>
        <row r="16798">
          <cell r="O16798" t="str">
            <v/>
          </cell>
        </row>
        <row r="16799">
          <cell r="O16799" t="str">
            <v/>
          </cell>
        </row>
        <row r="16800">
          <cell r="O16800" t="str">
            <v/>
          </cell>
        </row>
        <row r="16801">
          <cell r="O16801" t="str">
            <v/>
          </cell>
        </row>
        <row r="16802">
          <cell r="O16802" t="str">
            <v/>
          </cell>
        </row>
        <row r="16803">
          <cell r="O16803" t="str">
            <v/>
          </cell>
        </row>
        <row r="16804">
          <cell r="O16804" t="str">
            <v/>
          </cell>
        </row>
        <row r="16805">
          <cell r="O16805" t="str">
            <v/>
          </cell>
        </row>
        <row r="16806">
          <cell r="O16806" t="str">
            <v/>
          </cell>
        </row>
        <row r="16807">
          <cell r="O16807" t="str">
            <v/>
          </cell>
        </row>
        <row r="16808">
          <cell r="O16808" t="str">
            <v/>
          </cell>
        </row>
        <row r="16809">
          <cell r="O16809" t="str">
            <v/>
          </cell>
        </row>
        <row r="16810">
          <cell r="O16810" t="str">
            <v/>
          </cell>
        </row>
        <row r="16811">
          <cell r="O16811" t="str">
            <v/>
          </cell>
        </row>
        <row r="16812">
          <cell r="O16812" t="str">
            <v/>
          </cell>
        </row>
        <row r="16813">
          <cell r="O16813" t="str">
            <v/>
          </cell>
        </row>
        <row r="16814">
          <cell r="O16814" t="str">
            <v/>
          </cell>
        </row>
        <row r="16815">
          <cell r="O16815" t="str">
            <v/>
          </cell>
        </row>
        <row r="16816">
          <cell r="O16816" t="str">
            <v/>
          </cell>
        </row>
        <row r="16817">
          <cell r="O16817" t="str">
            <v/>
          </cell>
        </row>
        <row r="16818">
          <cell r="O16818" t="str">
            <v/>
          </cell>
        </row>
        <row r="16819">
          <cell r="O16819" t="str">
            <v/>
          </cell>
        </row>
        <row r="16820">
          <cell r="O16820" t="str">
            <v/>
          </cell>
        </row>
        <row r="16821">
          <cell r="O16821" t="str">
            <v/>
          </cell>
        </row>
        <row r="16822">
          <cell r="O16822" t="str">
            <v/>
          </cell>
        </row>
        <row r="16823">
          <cell r="O16823" t="str">
            <v/>
          </cell>
        </row>
        <row r="16824">
          <cell r="O16824" t="str">
            <v/>
          </cell>
        </row>
        <row r="16825">
          <cell r="O16825" t="str">
            <v/>
          </cell>
        </row>
        <row r="16826">
          <cell r="O16826" t="str">
            <v/>
          </cell>
        </row>
        <row r="16827">
          <cell r="O16827" t="str">
            <v/>
          </cell>
        </row>
        <row r="16828">
          <cell r="O16828" t="str">
            <v/>
          </cell>
        </row>
        <row r="16829">
          <cell r="O16829" t="str">
            <v/>
          </cell>
        </row>
        <row r="16830">
          <cell r="O16830" t="str">
            <v/>
          </cell>
        </row>
        <row r="16831">
          <cell r="O16831" t="str">
            <v/>
          </cell>
        </row>
        <row r="16832">
          <cell r="O16832" t="str">
            <v/>
          </cell>
        </row>
        <row r="16833">
          <cell r="O16833" t="str">
            <v/>
          </cell>
        </row>
        <row r="16834">
          <cell r="O16834" t="str">
            <v/>
          </cell>
        </row>
        <row r="16835">
          <cell r="O16835" t="str">
            <v/>
          </cell>
        </row>
        <row r="16836">
          <cell r="O16836" t="str">
            <v/>
          </cell>
        </row>
        <row r="16837">
          <cell r="O16837" t="str">
            <v/>
          </cell>
        </row>
        <row r="16838">
          <cell r="O16838" t="str">
            <v/>
          </cell>
        </row>
        <row r="16839">
          <cell r="O16839" t="str">
            <v/>
          </cell>
        </row>
        <row r="16840">
          <cell r="O16840" t="str">
            <v/>
          </cell>
        </row>
        <row r="16841">
          <cell r="O16841" t="str">
            <v/>
          </cell>
        </row>
        <row r="16842">
          <cell r="O16842" t="str">
            <v/>
          </cell>
        </row>
        <row r="16843">
          <cell r="O16843" t="str">
            <v/>
          </cell>
        </row>
        <row r="16844">
          <cell r="O16844" t="str">
            <v/>
          </cell>
        </row>
        <row r="16845">
          <cell r="O16845" t="str">
            <v/>
          </cell>
        </row>
        <row r="16846">
          <cell r="O16846" t="str">
            <v/>
          </cell>
        </row>
        <row r="16847">
          <cell r="O16847" t="str">
            <v/>
          </cell>
        </row>
        <row r="16848">
          <cell r="O16848" t="str">
            <v/>
          </cell>
        </row>
        <row r="16849">
          <cell r="O16849" t="str">
            <v/>
          </cell>
        </row>
        <row r="16850">
          <cell r="O16850" t="str">
            <v/>
          </cell>
        </row>
        <row r="16851">
          <cell r="O16851" t="str">
            <v/>
          </cell>
        </row>
        <row r="16852">
          <cell r="O16852" t="str">
            <v/>
          </cell>
        </row>
        <row r="16853">
          <cell r="O16853" t="str">
            <v/>
          </cell>
        </row>
        <row r="16854">
          <cell r="O16854" t="str">
            <v/>
          </cell>
        </row>
        <row r="16855">
          <cell r="O16855" t="str">
            <v/>
          </cell>
        </row>
        <row r="16856">
          <cell r="O16856" t="str">
            <v/>
          </cell>
        </row>
        <row r="16857">
          <cell r="O16857" t="str">
            <v/>
          </cell>
        </row>
        <row r="16858">
          <cell r="O16858" t="str">
            <v/>
          </cell>
        </row>
        <row r="16859">
          <cell r="O16859" t="str">
            <v/>
          </cell>
        </row>
        <row r="16860">
          <cell r="O16860" t="str">
            <v/>
          </cell>
        </row>
        <row r="16861">
          <cell r="O16861" t="str">
            <v/>
          </cell>
        </row>
        <row r="16862">
          <cell r="O16862" t="str">
            <v/>
          </cell>
        </row>
        <row r="16863">
          <cell r="O16863" t="str">
            <v/>
          </cell>
        </row>
        <row r="16864">
          <cell r="O16864" t="str">
            <v/>
          </cell>
        </row>
        <row r="16865">
          <cell r="O16865" t="str">
            <v/>
          </cell>
        </row>
        <row r="16866">
          <cell r="O16866" t="str">
            <v/>
          </cell>
        </row>
        <row r="16867">
          <cell r="O16867" t="str">
            <v/>
          </cell>
        </row>
        <row r="16868">
          <cell r="O16868" t="str">
            <v/>
          </cell>
        </row>
        <row r="16869">
          <cell r="O16869" t="str">
            <v/>
          </cell>
        </row>
        <row r="16870">
          <cell r="O16870" t="str">
            <v/>
          </cell>
        </row>
        <row r="16871">
          <cell r="O16871" t="str">
            <v/>
          </cell>
        </row>
        <row r="16872">
          <cell r="O16872" t="str">
            <v/>
          </cell>
        </row>
        <row r="16873">
          <cell r="O16873" t="str">
            <v/>
          </cell>
        </row>
        <row r="16874">
          <cell r="O16874" t="str">
            <v/>
          </cell>
        </row>
        <row r="16875">
          <cell r="O16875" t="str">
            <v/>
          </cell>
        </row>
        <row r="16876">
          <cell r="O16876" t="str">
            <v/>
          </cell>
        </row>
        <row r="16877">
          <cell r="O16877" t="str">
            <v/>
          </cell>
        </row>
        <row r="16878">
          <cell r="O16878" t="str">
            <v/>
          </cell>
        </row>
        <row r="16879">
          <cell r="O16879" t="str">
            <v/>
          </cell>
        </row>
        <row r="16880">
          <cell r="O16880" t="str">
            <v/>
          </cell>
        </row>
        <row r="16881">
          <cell r="O16881" t="str">
            <v/>
          </cell>
        </row>
        <row r="16882">
          <cell r="O16882" t="str">
            <v/>
          </cell>
        </row>
        <row r="16883">
          <cell r="O16883" t="str">
            <v/>
          </cell>
        </row>
        <row r="16884">
          <cell r="O16884" t="str">
            <v/>
          </cell>
        </row>
        <row r="16885">
          <cell r="O16885" t="str">
            <v/>
          </cell>
        </row>
        <row r="16886">
          <cell r="O16886" t="str">
            <v/>
          </cell>
        </row>
        <row r="16887">
          <cell r="O16887" t="str">
            <v/>
          </cell>
        </row>
        <row r="16888">
          <cell r="O16888" t="str">
            <v/>
          </cell>
        </row>
        <row r="16889">
          <cell r="O16889" t="str">
            <v/>
          </cell>
        </row>
        <row r="16890">
          <cell r="O16890" t="str">
            <v/>
          </cell>
        </row>
        <row r="16891">
          <cell r="O16891" t="str">
            <v/>
          </cell>
        </row>
        <row r="16892">
          <cell r="O16892" t="str">
            <v/>
          </cell>
        </row>
        <row r="16893">
          <cell r="O16893" t="str">
            <v/>
          </cell>
        </row>
        <row r="16894">
          <cell r="O16894" t="str">
            <v/>
          </cell>
        </row>
        <row r="16895">
          <cell r="O16895" t="str">
            <v/>
          </cell>
        </row>
        <row r="16896">
          <cell r="O16896" t="str">
            <v/>
          </cell>
        </row>
        <row r="16897">
          <cell r="O16897" t="str">
            <v/>
          </cell>
        </row>
        <row r="16898">
          <cell r="O16898" t="str">
            <v/>
          </cell>
        </row>
        <row r="16899">
          <cell r="O16899" t="str">
            <v/>
          </cell>
        </row>
        <row r="16900">
          <cell r="O16900" t="str">
            <v/>
          </cell>
        </row>
        <row r="16901">
          <cell r="O16901" t="str">
            <v/>
          </cell>
        </row>
        <row r="16902">
          <cell r="O16902" t="str">
            <v/>
          </cell>
        </row>
        <row r="16903">
          <cell r="O16903" t="str">
            <v/>
          </cell>
        </row>
        <row r="16904">
          <cell r="O16904" t="str">
            <v/>
          </cell>
        </row>
        <row r="16905">
          <cell r="O16905" t="str">
            <v/>
          </cell>
        </row>
        <row r="16906">
          <cell r="O16906" t="str">
            <v/>
          </cell>
        </row>
        <row r="16907">
          <cell r="O16907" t="str">
            <v/>
          </cell>
        </row>
        <row r="16908">
          <cell r="O16908" t="str">
            <v/>
          </cell>
        </row>
        <row r="16909">
          <cell r="O16909" t="str">
            <v/>
          </cell>
        </row>
        <row r="16910">
          <cell r="O16910" t="str">
            <v/>
          </cell>
        </row>
        <row r="16911">
          <cell r="O16911" t="str">
            <v/>
          </cell>
        </row>
        <row r="16912">
          <cell r="O16912" t="str">
            <v/>
          </cell>
        </row>
        <row r="16913">
          <cell r="O16913" t="str">
            <v/>
          </cell>
        </row>
        <row r="16914">
          <cell r="O16914" t="str">
            <v/>
          </cell>
        </row>
        <row r="16915">
          <cell r="O16915" t="str">
            <v/>
          </cell>
        </row>
        <row r="16916">
          <cell r="O16916" t="str">
            <v/>
          </cell>
        </row>
        <row r="16917">
          <cell r="O16917" t="str">
            <v/>
          </cell>
        </row>
        <row r="16918">
          <cell r="O16918" t="str">
            <v/>
          </cell>
        </row>
        <row r="16919">
          <cell r="O16919" t="str">
            <v/>
          </cell>
        </row>
        <row r="16920">
          <cell r="O16920" t="str">
            <v/>
          </cell>
        </row>
        <row r="16921">
          <cell r="O16921" t="str">
            <v/>
          </cell>
        </row>
        <row r="16922">
          <cell r="O16922" t="str">
            <v/>
          </cell>
        </row>
        <row r="16923">
          <cell r="O16923" t="str">
            <v/>
          </cell>
        </row>
        <row r="16924">
          <cell r="O16924" t="str">
            <v/>
          </cell>
        </row>
        <row r="16925">
          <cell r="O16925" t="str">
            <v/>
          </cell>
        </row>
        <row r="16926">
          <cell r="O16926" t="str">
            <v/>
          </cell>
        </row>
        <row r="16927">
          <cell r="O16927" t="str">
            <v/>
          </cell>
        </row>
        <row r="16928">
          <cell r="O16928" t="str">
            <v/>
          </cell>
        </row>
        <row r="16929">
          <cell r="O16929" t="str">
            <v/>
          </cell>
        </row>
        <row r="16930">
          <cell r="O16930" t="str">
            <v/>
          </cell>
        </row>
        <row r="16931">
          <cell r="O16931" t="str">
            <v/>
          </cell>
        </row>
        <row r="16932">
          <cell r="O16932" t="str">
            <v/>
          </cell>
        </row>
        <row r="16933">
          <cell r="O16933" t="str">
            <v/>
          </cell>
        </row>
        <row r="16934">
          <cell r="O16934" t="str">
            <v/>
          </cell>
        </row>
        <row r="16935">
          <cell r="O16935" t="str">
            <v/>
          </cell>
        </row>
        <row r="16936">
          <cell r="O16936" t="str">
            <v/>
          </cell>
        </row>
        <row r="16937">
          <cell r="O16937" t="str">
            <v/>
          </cell>
        </row>
        <row r="16938">
          <cell r="O16938" t="str">
            <v/>
          </cell>
        </row>
        <row r="16939">
          <cell r="O16939" t="str">
            <v/>
          </cell>
        </row>
        <row r="16940">
          <cell r="O16940" t="str">
            <v/>
          </cell>
        </row>
        <row r="16941">
          <cell r="O16941" t="str">
            <v/>
          </cell>
        </row>
        <row r="16942">
          <cell r="O16942" t="str">
            <v/>
          </cell>
        </row>
        <row r="16943">
          <cell r="O16943" t="str">
            <v/>
          </cell>
        </row>
        <row r="16944">
          <cell r="O16944" t="str">
            <v/>
          </cell>
        </row>
        <row r="16945">
          <cell r="O16945" t="str">
            <v/>
          </cell>
        </row>
        <row r="16946">
          <cell r="O16946" t="str">
            <v/>
          </cell>
        </row>
        <row r="16947">
          <cell r="O16947" t="str">
            <v/>
          </cell>
        </row>
        <row r="16948">
          <cell r="O16948" t="str">
            <v/>
          </cell>
        </row>
        <row r="16949">
          <cell r="O16949" t="str">
            <v/>
          </cell>
        </row>
        <row r="16950">
          <cell r="O16950" t="str">
            <v/>
          </cell>
        </row>
        <row r="16951">
          <cell r="O16951" t="str">
            <v/>
          </cell>
        </row>
        <row r="16952">
          <cell r="O16952" t="str">
            <v/>
          </cell>
        </row>
        <row r="16953">
          <cell r="O16953" t="str">
            <v/>
          </cell>
        </row>
        <row r="16954">
          <cell r="O16954" t="str">
            <v/>
          </cell>
        </row>
        <row r="16955">
          <cell r="O16955" t="str">
            <v/>
          </cell>
        </row>
        <row r="16956">
          <cell r="O16956" t="str">
            <v/>
          </cell>
        </row>
        <row r="16957">
          <cell r="O16957" t="str">
            <v/>
          </cell>
        </row>
        <row r="16958">
          <cell r="O16958" t="str">
            <v/>
          </cell>
        </row>
        <row r="16959">
          <cell r="O16959" t="str">
            <v/>
          </cell>
        </row>
        <row r="16960">
          <cell r="O16960" t="str">
            <v/>
          </cell>
        </row>
        <row r="16961">
          <cell r="O16961" t="str">
            <v/>
          </cell>
        </row>
        <row r="16962">
          <cell r="O16962" t="str">
            <v/>
          </cell>
        </row>
        <row r="16963">
          <cell r="O16963" t="str">
            <v/>
          </cell>
        </row>
        <row r="16964">
          <cell r="O16964" t="str">
            <v/>
          </cell>
        </row>
        <row r="16965">
          <cell r="O16965" t="str">
            <v/>
          </cell>
        </row>
        <row r="16966">
          <cell r="O16966" t="str">
            <v/>
          </cell>
        </row>
        <row r="16967">
          <cell r="O16967" t="str">
            <v/>
          </cell>
        </row>
        <row r="16968">
          <cell r="O16968" t="str">
            <v/>
          </cell>
        </row>
        <row r="16969">
          <cell r="O16969" t="str">
            <v/>
          </cell>
        </row>
        <row r="16970">
          <cell r="O16970" t="str">
            <v/>
          </cell>
        </row>
        <row r="16971">
          <cell r="O16971" t="str">
            <v/>
          </cell>
        </row>
        <row r="16972">
          <cell r="O16972" t="str">
            <v/>
          </cell>
        </row>
        <row r="16973">
          <cell r="O16973" t="str">
            <v/>
          </cell>
        </row>
        <row r="16974">
          <cell r="O16974" t="str">
            <v/>
          </cell>
        </row>
        <row r="16975">
          <cell r="O16975" t="str">
            <v/>
          </cell>
        </row>
        <row r="16976">
          <cell r="O16976" t="str">
            <v/>
          </cell>
        </row>
        <row r="16977">
          <cell r="O16977" t="str">
            <v/>
          </cell>
        </row>
        <row r="16978">
          <cell r="O16978" t="str">
            <v/>
          </cell>
        </row>
        <row r="16979">
          <cell r="O16979" t="str">
            <v/>
          </cell>
        </row>
        <row r="16980">
          <cell r="O16980" t="str">
            <v/>
          </cell>
        </row>
        <row r="16981">
          <cell r="O16981" t="str">
            <v/>
          </cell>
        </row>
        <row r="16982">
          <cell r="O16982" t="str">
            <v/>
          </cell>
        </row>
        <row r="16983">
          <cell r="O16983" t="str">
            <v/>
          </cell>
        </row>
        <row r="16984">
          <cell r="O16984" t="str">
            <v/>
          </cell>
        </row>
        <row r="16985">
          <cell r="O16985" t="str">
            <v/>
          </cell>
        </row>
        <row r="16986">
          <cell r="O16986" t="str">
            <v/>
          </cell>
        </row>
        <row r="16987">
          <cell r="O16987" t="str">
            <v/>
          </cell>
        </row>
        <row r="16988">
          <cell r="O16988" t="str">
            <v/>
          </cell>
        </row>
        <row r="16989">
          <cell r="O16989" t="str">
            <v/>
          </cell>
        </row>
        <row r="16990">
          <cell r="O16990" t="str">
            <v/>
          </cell>
        </row>
        <row r="16991">
          <cell r="O16991" t="str">
            <v/>
          </cell>
        </row>
        <row r="16992">
          <cell r="O16992" t="str">
            <v/>
          </cell>
        </row>
        <row r="16993">
          <cell r="O16993" t="str">
            <v/>
          </cell>
        </row>
        <row r="16994">
          <cell r="O16994" t="str">
            <v/>
          </cell>
        </row>
        <row r="16995">
          <cell r="O16995" t="str">
            <v/>
          </cell>
        </row>
        <row r="16996">
          <cell r="O16996" t="str">
            <v/>
          </cell>
        </row>
        <row r="16997">
          <cell r="O16997" t="str">
            <v/>
          </cell>
        </row>
        <row r="16998">
          <cell r="O16998" t="str">
            <v/>
          </cell>
        </row>
        <row r="16999">
          <cell r="O16999" t="str">
            <v/>
          </cell>
        </row>
        <row r="17000">
          <cell r="O17000" t="str">
            <v/>
          </cell>
        </row>
        <row r="17001">
          <cell r="O17001" t="str">
            <v/>
          </cell>
        </row>
        <row r="17002">
          <cell r="O17002" t="str">
            <v/>
          </cell>
        </row>
        <row r="17003">
          <cell r="O17003" t="str">
            <v/>
          </cell>
        </row>
        <row r="17004">
          <cell r="O17004" t="str">
            <v/>
          </cell>
        </row>
        <row r="17005">
          <cell r="O17005" t="str">
            <v/>
          </cell>
        </row>
        <row r="17006">
          <cell r="O17006" t="str">
            <v/>
          </cell>
        </row>
        <row r="17007">
          <cell r="O17007" t="str">
            <v/>
          </cell>
        </row>
        <row r="17008">
          <cell r="O17008" t="str">
            <v/>
          </cell>
        </row>
        <row r="17009">
          <cell r="O17009" t="str">
            <v/>
          </cell>
        </row>
        <row r="17010">
          <cell r="O17010" t="str">
            <v/>
          </cell>
        </row>
        <row r="17011">
          <cell r="O17011" t="str">
            <v/>
          </cell>
        </row>
        <row r="17012">
          <cell r="O17012" t="str">
            <v/>
          </cell>
        </row>
        <row r="17013">
          <cell r="O17013" t="str">
            <v/>
          </cell>
        </row>
        <row r="17014">
          <cell r="O17014" t="str">
            <v/>
          </cell>
        </row>
        <row r="17015">
          <cell r="O17015" t="str">
            <v/>
          </cell>
        </row>
        <row r="17016">
          <cell r="O17016" t="str">
            <v/>
          </cell>
        </row>
        <row r="17017">
          <cell r="O17017" t="str">
            <v/>
          </cell>
        </row>
        <row r="17018">
          <cell r="O17018" t="str">
            <v/>
          </cell>
        </row>
        <row r="17019">
          <cell r="O17019" t="str">
            <v/>
          </cell>
        </row>
        <row r="17020">
          <cell r="O17020" t="str">
            <v/>
          </cell>
        </row>
        <row r="17021">
          <cell r="O17021" t="str">
            <v/>
          </cell>
        </row>
        <row r="17022">
          <cell r="O17022" t="str">
            <v/>
          </cell>
        </row>
        <row r="17023">
          <cell r="O17023" t="str">
            <v/>
          </cell>
        </row>
        <row r="17024">
          <cell r="O17024" t="str">
            <v/>
          </cell>
        </row>
        <row r="17025">
          <cell r="O17025" t="str">
            <v/>
          </cell>
        </row>
        <row r="17026">
          <cell r="O17026" t="str">
            <v/>
          </cell>
        </row>
        <row r="17027">
          <cell r="O17027" t="str">
            <v/>
          </cell>
        </row>
        <row r="17028">
          <cell r="O17028" t="str">
            <v/>
          </cell>
        </row>
        <row r="17029">
          <cell r="O17029" t="str">
            <v/>
          </cell>
        </row>
        <row r="17030">
          <cell r="O17030" t="str">
            <v/>
          </cell>
        </row>
        <row r="17031">
          <cell r="O17031" t="str">
            <v/>
          </cell>
        </row>
        <row r="17032">
          <cell r="O17032" t="str">
            <v/>
          </cell>
        </row>
        <row r="17033">
          <cell r="O17033" t="str">
            <v/>
          </cell>
        </row>
        <row r="17034">
          <cell r="O17034" t="str">
            <v/>
          </cell>
        </row>
        <row r="17035">
          <cell r="O17035" t="str">
            <v/>
          </cell>
        </row>
        <row r="17036">
          <cell r="O17036" t="str">
            <v/>
          </cell>
        </row>
        <row r="17037">
          <cell r="O17037" t="str">
            <v/>
          </cell>
        </row>
        <row r="17038">
          <cell r="O17038" t="str">
            <v/>
          </cell>
        </row>
        <row r="17039">
          <cell r="O17039" t="str">
            <v/>
          </cell>
        </row>
        <row r="17040">
          <cell r="O17040" t="str">
            <v/>
          </cell>
        </row>
        <row r="17041">
          <cell r="O17041" t="str">
            <v/>
          </cell>
        </row>
        <row r="17042">
          <cell r="O17042" t="str">
            <v/>
          </cell>
        </row>
        <row r="17043">
          <cell r="O17043" t="str">
            <v/>
          </cell>
        </row>
        <row r="17044">
          <cell r="O17044" t="str">
            <v/>
          </cell>
        </row>
        <row r="17045">
          <cell r="O17045" t="str">
            <v/>
          </cell>
        </row>
        <row r="17046">
          <cell r="O17046" t="str">
            <v/>
          </cell>
        </row>
        <row r="17047">
          <cell r="O17047" t="str">
            <v/>
          </cell>
        </row>
        <row r="17048">
          <cell r="O17048" t="str">
            <v/>
          </cell>
        </row>
        <row r="17049">
          <cell r="O17049" t="str">
            <v/>
          </cell>
        </row>
        <row r="17050">
          <cell r="O17050" t="str">
            <v/>
          </cell>
        </row>
        <row r="17051">
          <cell r="O17051" t="str">
            <v/>
          </cell>
        </row>
        <row r="17052">
          <cell r="O17052" t="str">
            <v/>
          </cell>
        </row>
        <row r="17053">
          <cell r="O17053" t="str">
            <v/>
          </cell>
        </row>
        <row r="17054">
          <cell r="O17054" t="str">
            <v/>
          </cell>
        </row>
        <row r="17055">
          <cell r="O17055" t="str">
            <v/>
          </cell>
        </row>
        <row r="17056">
          <cell r="O17056" t="str">
            <v/>
          </cell>
        </row>
        <row r="17057">
          <cell r="O17057" t="str">
            <v/>
          </cell>
        </row>
        <row r="17058">
          <cell r="O17058" t="str">
            <v/>
          </cell>
        </row>
        <row r="17059">
          <cell r="O17059" t="str">
            <v/>
          </cell>
        </row>
        <row r="17060">
          <cell r="O17060" t="str">
            <v/>
          </cell>
        </row>
        <row r="17061">
          <cell r="O17061" t="str">
            <v/>
          </cell>
        </row>
        <row r="17062">
          <cell r="O17062" t="str">
            <v/>
          </cell>
        </row>
        <row r="17063">
          <cell r="O17063" t="str">
            <v/>
          </cell>
        </row>
        <row r="17064">
          <cell r="O17064" t="str">
            <v/>
          </cell>
        </row>
        <row r="17065">
          <cell r="O17065" t="str">
            <v/>
          </cell>
        </row>
        <row r="17066">
          <cell r="O17066" t="str">
            <v/>
          </cell>
        </row>
        <row r="17067">
          <cell r="O17067" t="str">
            <v/>
          </cell>
        </row>
        <row r="17068">
          <cell r="O17068" t="str">
            <v/>
          </cell>
        </row>
        <row r="17069">
          <cell r="O17069" t="str">
            <v/>
          </cell>
        </row>
        <row r="17070">
          <cell r="O17070" t="str">
            <v/>
          </cell>
        </row>
        <row r="17071">
          <cell r="O17071" t="str">
            <v/>
          </cell>
        </row>
        <row r="17072">
          <cell r="O17072" t="str">
            <v/>
          </cell>
        </row>
        <row r="17073">
          <cell r="O17073" t="str">
            <v/>
          </cell>
        </row>
        <row r="17074">
          <cell r="O17074" t="str">
            <v/>
          </cell>
        </row>
        <row r="17075">
          <cell r="O17075" t="str">
            <v/>
          </cell>
        </row>
        <row r="17076">
          <cell r="O17076" t="str">
            <v/>
          </cell>
        </row>
        <row r="17077">
          <cell r="O17077" t="str">
            <v/>
          </cell>
        </row>
        <row r="17078">
          <cell r="O17078" t="str">
            <v/>
          </cell>
        </row>
        <row r="17079">
          <cell r="O17079" t="str">
            <v/>
          </cell>
        </row>
        <row r="17080">
          <cell r="O17080" t="str">
            <v/>
          </cell>
        </row>
        <row r="17081">
          <cell r="O17081" t="str">
            <v/>
          </cell>
        </row>
        <row r="17082">
          <cell r="O17082" t="str">
            <v/>
          </cell>
        </row>
        <row r="17083">
          <cell r="O17083" t="str">
            <v/>
          </cell>
        </row>
        <row r="17084">
          <cell r="O17084" t="str">
            <v/>
          </cell>
        </row>
        <row r="17085">
          <cell r="O17085" t="str">
            <v/>
          </cell>
        </row>
        <row r="17086">
          <cell r="O17086" t="str">
            <v/>
          </cell>
        </row>
        <row r="17087">
          <cell r="O17087" t="str">
            <v/>
          </cell>
        </row>
        <row r="17088">
          <cell r="O17088" t="str">
            <v/>
          </cell>
        </row>
        <row r="17089">
          <cell r="O17089" t="str">
            <v/>
          </cell>
        </row>
        <row r="17090">
          <cell r="O17090" t="str">
            <v/>
          </cell>
        </row>
        <row r="17091">
          <cell r="O17091" t="str">
            <v/>
          </cell>
        </row>
        <row r="17092">
          <cell r="O17092" t="str">
            <v/>
          </cell>
        </row>
        <row r="17093">
          <cell r="O17093" t="str">
            <v/>
          </cell>
        </row>
        <row r="17094">
          <cell r="O17094" t="str">
            <v/>
          </cell>
        </row>
        <row r="17095">
          <cell r="O17095" t="str">
            <v/>
          </cell>
        </row>
        <row r="17096">
          <cell r="O17096" t="str">
            <v/>
          </cell>
        </row>
        <row r="17097">
          <cell r="O17097" t="str">
            <v/>
          </cell>
        </row>
        <row r="17098">
          <cell r="O17098" t="str">
            <v/>
          </cell>
        </row>
        <row r="17099">
          <cell r="O17099" t="str">
            <v/>
          </cell>
        </row>
        <row r="17100">
          <cell r="O17100" t="str">
            <v/>
          </cell>
        </row>
        <row r="17101">
          <cell r="O17101" t="str">
            <v/>
          </cell>
        </row>
        <row r="17102">
          <cell r="O17102" t="str">
            <v/>
          </cell>
        </row>
        <row r="17103">
          <cell r="O17103" t="str">
            <v/>
          </cell>
        </row>
        <row r="17104">
          <cell r="O17104" t="str">
            <v/>
          </cell>
        </row>
        <row r="17105">
          <cell r="O17105" t="str">
            <v/>
          </cell>
        </row>
        <row r="17106">
          <cell r="O17106" t="str">
            <v/>
          </cell>
        </row>
        <row r="17107">
          <cell r="O17107" t="str">
            <v/>
          </cell>
        </row>
        <row r="17108">
          <cell r="O17108" t="str">
            <v/>
          </cell>
        </row>
        <row r="17109">
          <cell r="O17109" t="str">
            <v/>
          </cell>
        </row>
        <row r="17110">
          <cell r="O17110" t="str">
            <v/>
          </cell>
        </row>
        <row r="17111">
          <cell r="O17111" t="str">
            <v/>
          </cell>
        </row>
        <row r="17112">
          <cell r="O17112" t="str">
            <v/>
          </cell>
        </row>
        <row r="17113">
          <cell r="O17113" t="str">
            <v/>
          </cell>
        </row>
        <row r="17114">
          <cell r="O17114" t="str">
            <v/>
          </cell>
        </row>
        <row r="17115">
          <cell r="O17115" t="str">
            <v/>
          </cell>
        </row>
        <row r="17116">
          <cell r="O17116" t="str">
            <v/>
          </cell>
        </row>
        <row r="17117">
          <cell r="O17117" t="str">
            <v/>
          </cell>
        </row>
        <row r="17118">
          <cell r="O17118" t="str">
            <v/>
          </cell>
        </row>
        <row r="17119">
          <cell r="O17119" t="str">
            <v/>
          </cell>
        </row>
        <row r="17120">
          <cell r="O17120" t="str">
            <v/>
          </cell>
        </row>
        <row r="17121">
          <cell r="O17121" t="str">
            <v/>
          </cell>
        </row>
        <row r="17122">
          <cell r="O17122" t="str">
            <v/>
          </cell>
        </row>
        <row r="17123">
          <cell r="O17123" t="str">
            <v/>
          </cell>
        </row>
        <row r="17124">
          <cell r="O17124" t="str">
            <v/>
          </cell>
        </row>
        <row r="17125">
          <cell r="O17125" t="str">
            <v/>
          </cell>
        </row>
        <row r="17126">
          <cell r="O17126" t="str">
            <v/>
          </cell>
        </row>
        <row r="17127">
          <cell r="O17127" t="str">
            <v/>
          </cell>
        </row>
        <row r="17128">
          <cell r="O17128" t="str">
            <v/>
          </cell>
        </row>
        <row r="17129">
          <cell r="O17129" t="str">
            <v/>
          </cell>
        </row>
        <row r="17130">
          <cell r="O17130" t="str">
            <v/>
          </cell>
        </row>
        <row r="17131">
          <cell r="O17131" t="str">
            <v/>
          </cell>
        </row>
        <row r="17132">
          <cell r="O17132" t="str">
            <v/>
          </cell>
        </row>
        <row r="17133">
          <cell r="O17133" t="str">
            <v/>
          </cell>
        </row>
        <row r="17134">
          <cell r="O17134" t="str">
            <v/>
          </cell>
        </row>
        <row r="17135">
          <cell r="O17135" t="str">
            <v/>
          </cell>
        </row>
        <row r="17136">
          <cell r="O17136" t="str">
            <v/>
          </cell>
        </row>
        <row r="17137">
          <cell r="O17137" t="str">
            <v/>
          </cell>
        </row>
        <row r="17138">
          <cell r="O17138" t="str">
            <v/>
          </cell>
        </row>
        <row r="17139">
          <cell r="O17139" t="str">
            <v/>
          </cell>
        </row>
        <row r="17140">
          <cell r="O17140" t="str">
            <v/>
          </cell>
        </row>
        <row r="17141">
          <cell r="O17141" t="str">
            <v/>
          </cell>
        </row>
        <row r="17142">
          <cell r="O17142" t="str">
            <v/>
          </cell>
        </row>
        <row r="17143">
          <cell r="O17143" t="str">
            <v/>
          </cell>
        </row>
        <row r="17144">
          <cell r="O17144" t="str">
            <v/>
          </cell>
        </row>
        <row r="17145">
          <cell r="O17145" t="str">
            <v/>
          </cell>
        </row>
        <row r="17146">
          <cell r="O17146" t="str">
            <v/>
          </cell>
        </row>
        <row r="17147">
          <cell r="O17147" t="str">
            <v/>
          </cell>
        </row>
        <row r="17148">
          <cell r="O17148" t="str">
            <v/>
          </cell>
        </row>
        <row r="17149">
          <cell r="O17149" t="str">
            <v/>
          </cell>
        </row>
        <row r="17150">
          <cell r="O17150" t="str">
            <v/>
          </cell>
        </row>
        <row r="17151">
          <cell r="O17151" t="str">
            <v/>
          </cell>
        </row>
        <row r="17152">
          <cell r="O17152" t="str">
            <v/>
          </cell>
        </row>
        <row r="17153">
          <cell r="O17153" t="str">
            <v/>
          </cell>
        </row>
        <row r="17154">
          <cell r="O17154" t="str">
            <v/>
          </cell>
        </row>
        <row r="17155">
          <cell r="O17155" t="str">
            <v/>
          </cell>
        </row>
        <row r="17156">
          <cell r="O17156" t="str">
            <v/>
          </cell>
        </row>
        <row r="17157">
          <cell r="O17157" t="str">
            <v/>
          </cell>
        </row>
        <row r="17158">
          <cell r="O17158" t="str">
            <v/>
          </cell>
        </row>
        <row r="17159">
          <cell r="O17159" t="str">
            <v/>
          </cell>
        </row>
        <row r="17160">
          <cell r="O17160" t="str">
            <v/>
          </cell>
        </row>
        <row r="17161">
          <cell r="O17161" t="str">
            <v/>
          </cell>
        </row>
        <row r="17162">
          <cell r="O17162" t="str">
            <v/>
          </cell>
        </row>
        <row r="17163">
          <cell r="O17163" t="str">
            <v/>
          </cell>
        </row>
        <row r="17164">
          <cell r="O17164" t="str">
            <v/>
          </cell>
        </row>
        <row r="17165">
          <cell r="O17165" t="str">
            <v/>
          </cell>
        </row>
        <row r="17166">
          <cell r="O17166" t="str">
            <v/>
          </cell>
        </row>
        <row r="17167">
          <cell r="O17167" t="str">
            <v/>
          </cell>
        </row>
        <row r="17168">
          <cell r="O17168" t="str">
            <v/>
          </cell>
        </row>
        <row r="17169">
          <cell r="O17169" t="str">
            <v/>
          </cell>
        </row>
        <row r="17170">
          <cell r="O17170" t="str">
            <v/>
          </cell>
        </row>
        <row r="17171">
          <cell r="O17171" t="str">
            <v/>
          </cell>
        </row>
        <row r="17172">
          <cell r="O17172" t="str">
            <v/>
          </cell>
        </row>
        <row r="17173">
          <cell r="O17173" t="str">
            <v/>
          </cell>
        </row>
        <row r="17174">
          <cell r="O17174" t="str">
            <v/>
          </cell>
        </row>
        <row r="17175">
          <cell r="O17175" t="str">
            <v/>
          </cell>
        </row>
        <row r="17176">
          <cell r="O17176" t="str">
            <v/>
          </cell>
        </row>
        <row r="17177">
          <cell r="O17177" t="str">
            <v/>
          </cell>
        </row>
        <row r="17178">
          <cell r="O17178" t="str">
            <v/>
          </cell>
        </row>
        <row r="17179">
          <cell r="O17179" t="str">
            <v/>
          </cell>
        </row>
        <row r="17180">
          <cell r="O17180" t="str">
            <v/>
          </cell>
        </row>
        <row r="17181">
          <cell r="O17181" t="str">
            <v/>
          </cell>
        </row>
        <row r="17182">
          <cell r="O17182" t="str">
            <v/>
          </cell>
        </row>
        <row r="17183">
          <cell r="O17183" t="str">
            <v/>
          </cell>
        </row>
        <row r="17184">
          <cell r="O17184" t="str">
            <v/>
          </cell>
        </row>
        <row r="17185">
          <cell r="O17185" t="str">
            <v/>
          </cell>
        </row>
        <row r="17186">
          <cell r="O17186" t="str">
            <v/>
          </cell>
        </row>
        <row r="17187">
          <cell r="O17187" t="str">
            <v/>
          </cell>
        </row>
        <row r="17188">
          <cell r="O17188" t="str">
            <v/>
          </cell>
        </row>
        <row r="17189">
          <cell r="O17189" t="str">
            <v/>
          </cell>
        </row>
        <row r="17190">
          <cell r="O17190" t="str">
            <v/>
          </cell>
        </row>
        <row r="17191">
          <cell r="O17191" t="str">
            <v/>
          </cell>
        </row>
        <row r="17192">
          <cell r="O17192" t="str">
            <v/>
          </cell>
        </row>
        <row r="17193">
          <cell r="O17193" t="str">
            <v/>
          </cell>
        </row>
        <row r="17194">
          <cell r="O17194" t="str">
            <v/>
          </cell>
        </row>
        <row r="17195">
          <cell r="O17195" t="str">
            <v/>
          </cell>
        </row>
        <row r="17196">
          <cell r="O17196" t="str">
            <v/>
          </cell>
        </row>
        <row r="17197">
          <cell r="O17197" t="str">
            <v/>
          </cell>
        </row>
        <row r="17198">
          <cell r="O17198" t="str">
            <v/>
          </cell>
        </row>
        <row r="17199">
          <cell r="O17199" t="str">
            <v/>
          </cell>
        </row>
        <row r="17200">
          <cell r="O17200" t="str">
            <v/>
          </cell>
        </row>
        <row r="17201">
          <cell r="O17201" t="str">
            <v/>
          </cell>
        </row>
        <row r="17202">
          <cell r="O17202" t="str">
            <v/>
          </cell>
        </row>
        <row r="17203">
          <cell r="O17203" t="str">
            <v/>
          </cell>
        </row>
        <row r="17204">
          <cell r="O17204" t="str">
            <v/>
          </cell>
        </row>
        <row r="17205">
          <cell r="O17205" t="str">
            <v/>
          </cell>
        </row>
        <row r="17206">
          <cell r="O17206" t="str">
            <v/>
          </cell>
        </row>
        <row r="17207">
          <cell r="O17207" t="str">
            <v/>
          </cell>
        </row>
        <row r="17208">
          <cell r="O17208" t="str">
            <v/>
          </cell>
        </row>
        <row r="17209">
          <cell r="O17209" t="str">
            <v/>
          </cell>
        </row>
        <row r="17210">
          <cell r="O17210" t="str">
            <v/>
          </cell>
        </row>
        <row r="17211">
          <cell r="O17211" t="str">
            <v/>
          </cell>
        </row>
        <row r="17212">
          <cell r="O17212" t="str">
            <v/>
          </cell>
        </row>
        <row r="17213">
          <cell r="O17213" t="str">
            <v/>
          </cell>
        </row>
        <row r="17214">
          <cell r="O17214" t="str">
            <v/>
          </cell>
        </row>
        <row r="17215">
          <cell r="O17215" t="str">
            <v/>
          </cell>
        </row>
        <row r="17216">
          <cell r="O17216" t="str">
            <v/>
          </cell>
        </row>
        <row r="17217">
          <cell r="O17217" t="str">
            <v/>
          </cell>
        </row>
        <row r="17218">
          <cell r="O17218" t="str">
            <v/>
          </cell>
        </row>
        <row r="17219">
          <cell r="O17219" t="str">
            <v/>
          </cell>
        </row>
        <row r="17220">
          <cell r="O17220" t="str">
            <v/>
          </cell>
        </row>
        <row r="17221">
          <cell r="O17221" t="str">
            <v/>
          </cell>
        </row>
        <row r="17222">
          <cell r="O17222" t="str">
            <v/>
          </cell>
        </row>
        <row r="17223">
          <cell r="O17223" t="str">
            <v/>
          </cell>
        </row>
        <row r="17224">
          <cell r="O17224" t="str">
            <v/>
          </cell>
        </row>
        <row r="17225">
          <cell r="O17225" t="str">
            <v/>
          </cell>
        </row>
        <row r="17226">
          <cell r="O17226" t="str">
            <v/>
          </cell>
        </row>
        <row r="17227">
          <cell r="O17227" t="str">
            <v/>
          </cell>
        </row>
        <row r="17228">
          <cell r="O17228" t="str">
            <v/>
          </cell>
        </row>
        <row r="17229">
          <cell r="O17229" t="str">
            <v/>
          </cell>
        </row>
        <row r="17230">
          <cell r="O17230" t="str">
            <v/>
          </cell>
        </row>
        <row r="17231">
          <cell r="O17231" t="str">
            <v/>
          </cell>
        </row>
        <row r="17232">
          <cell r="O17232" t="str">
            <v/>
          </cell>
        </row>
        <row r="17233">
          <cell r="O17233" t="str">
            <v/>
          </cell>
        </row>
        <row r="17234">
          <cell r="O17234" t="str">
            <v/>
          </cell>
        </row>
        <row r="17235">
          <cell r="O17235" t="str">
            <v/>
          </cell>
        </row>
        <row r="17236">
          <cell r="O17236" t="str">
            <v/>
          </cell>
        </row>
        <row r="17237">
          <cell r="O17237" t="str">
            <v/>
          </cell>
        </row>
        <row r="17238">
          <cell r="O17238" t="str">
            <v/>
          </cell>
        </row>
        <row r="17239">
          <cell r="O17239" t="str">
            <v/>
          </cell>
        </row>
        <row r="17240">
          <cell r="O17240" t="str">
            <v/>
          </cell>
        </row>
        <row r="17241">
          <cell r="O17241" t="str">
            <v/>
          </cell>
        </row>
        <row r="17242">
          <cell r="O17242" t="str">
            <v/>
          </cell>
        </row>
        <row r="17243">
          <cell r="O17243" t="str">
            <v/>
          </cell>
        </row>
        <row r="17244">
          <cell r="O17244" t="str">
            <v/>
          </cell>
        </row>
        <row r="17245">
          <cell r="O17245" t="str">
            <v/>
          </cell>
        </row>
        <row r="17246">
          <cell r="O17246" t="str">
            <v/>
          </cell>
        </row>
        <row r="17247">
          <cell r="O17247" t="str">
            <v/>
          </cell>
        </row>
        <row r="17248">
          <cell r="O17248" t="str">
            <v/>
          </cell>
        </row>
        <row r="17249">
          <cell r="O17249" t="str">
            <v/>
          </cell>
        </row>
        <row r="17250">
          <cell r="O17250" t="str">
            <v/>
          </cell>
        </row>
        <row r="17251">
          <cell r="O17251" t="str">
            <v/>
          </cell>
        </row>
        <row r="17252">
          <cell r="O17252" t="str">
            <v/>
          </cell>
        </row>
        <row r="17253">
          <cell r="O17253" t="str">
            <v/>
          </cell>
        </row>
        <row r="17254">
          <cell r="O17254" t="str">
            <v/>
          </cell>
        </row>
        <row r="17255">
          <cell r="O17255" t="str">
            <v/>
          </cell>
        </row>
        <row r="17256">
          <cell r="O17256" t="str">
            <v/>
          </cell>
        </row>
        <row r="17257">
          <cell r="O17257" t="str">
            <v/>
          </cell>
        </row>
        <row r="17258">
          <cell r="O17258" t="str">
            <v/>
          </cell>
        </row>
        <row r="17259">
          <cell r="O17259" t="str">
            <v/>
          </cell>
        </row>
        <row r="17260">
          <cell r="O17260" t="str">
            <v/>
          </cell>
        </row>
        <row r="17261">
          <cell r="O17261" t="str">
            <v/>
          </cell>
        </row>
        <row r="17262">
          <cell r="O17262" t="str">
            <v/>
          </cell>
        </row>
        <row r="17263">
          <cell r="O17263" t="str">
            <v/>
          </cell>
        </row>
        <row r="17264">
          <cell r="O17264" t="str">
            <v/>
          </cell>
        </row>
        <row r="17265">
          <cell r="O17265" t="str">
            <v/>
          </cell>
        </row>
        <row r="17266">
          <cell r="O17266" t="str">
            <v/>
          </cell>
        </row>
        <row r="17267">
          <cell r="O17267" t="str">
            <v/>
          </cell>
        </row>
        <row r="17268">
          <cell r="O17268" t="str">
            <v/>
          </cell>
        </row>
        <row r="17269">
          <cell r="O17269" t="str">
            <v/>
          </cell>
        </row>
        <row r="17270">
          <cell r="O17270" t="str">
            <v/>
          </cell>
        </row>
        <row r="17271">
          <cell r="O17271" t="str">
            <v/>
          </cell>
        </row>
        <row r="17272">
          <cell r="O17272" t="str">
            <v/>
          </cell>
        </row>
        <row r="17273">
          <cell r="O17273" t="str">
            <v/>
          </cell>
        </row>
        <row r="17274">
          <cell r="O17274" t="str">
            <v/>
          </cell>
        </row>
        <row r="17275">
          <cell r="O17275" t="str">
            <v/>
          </cell>
        </row>
        <row r="17276">
          <cell r="O17276" t="str">
            <v/>
          </cell>
        </row>
        <row r="17277">
          <cell r="O17277" t="str">
            <v/>
          </cell>
        </row>
        <row r="17278">
          <cell r="O17278" t="str">
            <v/>
          </cell>
        </row>
        <row r="17279">
          <cell r="O17279" t="str">
            <v/>
          </cell>
        </row>
        <row r="17280">
          <cell r="O17280" t="str">
            <v/>
          </cell>
        </row>
        <row r="17281">
          <cell r="O17281" t="str">
            <v/>
          </cell>
        </row>
        <row r="17282">
          <cell r="O17282" t="str">
            <v/>
          </cell>
        </row>
        <row r="17283">
          <cell r="O17283" t="str">
            <v/>
          </cell>
        </row>
        <row r="17284">
          <cell r="O17284" t="str">
            <v/>
          </cell>
        </row>
        <row r="17285">
          <cell r="O17285" t="str">
            <v/>
          </cell>
        </row>
        <row r="17286">
          <cell r="O17286" t="str">
            <v/>
          </cell>
        </row>
        <row r="17287">
          <cell r="O17287" t="str">
            <v/>
          </cell>
        </row>
        <row r="17288">
          <cell r="O17288" t="str">
            <v/>
          </cell>
        </row>
        <row r="17289">
          <cell r="O17289" t="str">
            <v/>
          </cell>
        </row>
        <row r="17290">
          <cell r="O17290" t="str">
            <v/>
          </cell>
        </row>
        <row r="17291">
          <cell r="O17291" t="str">
            <v/>
          </cell>
        </row>
        <row r="17292">
          <cell r="O17292" t="str">
            <v/>
          </cell>
        </row>
        <row r="17293">
          <cell r="O17293" t="str">
            <v/>
          </cell>
        </row>
        <row r="17294">
          <cell r="O17294" t="str">
            <v/>
          </cell>
        </row>
        <row r="17295">
          <cell r="O17295" t="str">
            <v/>
          </cell>
        </row>
        <row r="17296">
          <cell r="O17296" t="str">
            <v/>
          </cell>
        </row>
        <row r="17297">
          <cell r="O17297" t="str">
            <v/>
          </cell>
        </row>
        <row r="17298">
          <cell r="O17298" t="str">
            <v/>
          </cell>
        </row>
        <row r="17299">
          <cell r="O17299" t="str">
            <v/>
          </cell>
        </row>
        <row r="17300">
          <cell r="O17300" t="str">
            <v/>
          </cell>
        </row>
        <row r="17301">
          <cell r="O17301" t="str">
            <v/>
          </cell>
        </row>
        <row r="17302">
          <cell r="O17302" t="str">
            <v/>
          </cell>
        </row>
        <row r="17303">
          <cell r="O17303" t="str">
            <v/>
          </cell>
        </row>
        <row r="17304">
          <cell r="O17304" t="str">
            <v/>
          </cell>
        </row>
        <row r="17305">
          <cell r="O17305" t="str">
            <v/>
          </cell>
        </row>
        <row r="17306">
          <cell r="O17306" t="str">
            <v/>
          </cell>
        </row>
        <row r="17307">
          <cell r="O17307" t="str">
            <v/>
          </cell>
        </row>
        <row r="17308">
          <cell r="O17308" t="str">
            <v/>
          </cell>
        </row>
        <row r="17309">
          <cell r="O17309" t="str">
            <v/>
          </cell>
        </row>
        <row r="17310">
          <cell r="O17310" t="str">
            <v/>
          </cell>
        </row>
        <row r="17311">
          <cell r="O17311" t="str">
            <v/>
          </cell>
        </row>
        <row r="17312">
          <cell r="O17312" t="str">
            <v/>
          </cell>
        </row>
        <row r="17313">
          <cell r="O17313" t="str">
            <v/>
          </cell>
        </row>
        <row r="17314">
          <cell r="O17314" t="str">
            <v/>
          </cell>
        </row>
        <row r="17315">
          <cell r="O17315" t="str">
            <v/>
          </cell>
        </row>
        <row r="17316">
          <cell r="O17316" t="str">
            <v/>
          </cell>
        </row>
        <row r="17317">
          <cell r="O17317" t="str">
            <v/>
          </cell>
        </row>
        <row r="17318">
          <cell r="O17318" t="str">
            <v/>
          </cell>
        </row>
        <row r="17319">
          <cell r="O17319" t="str">
            <v/>
          </cell>
        </row>
        <row r="17320">
          <cell r="O17320" t="str">
            <v/>
          </cell>
        </row>
        <row r="17321">
          <cell r="O17321" t="str">
            <v/>
          </cell>
        </row>
        <row r="17322">
          <cell r="O17322" t="str">
            <v/>
          </cell>
        </row>
        <row r="17323">
          <cell r="O17323" t="str">
            <v/>
          </cell>
        </row>
        <row r="17324">
          <cell r="O17324" t="str">
            <v/>
          </cell>
        </row>
        <row r="17325">
          <cell r="O17325" t="str">
            <v/>
          </cell>
        </row>
        <row r="17326">
          <cell r="O17326" t="str">
            <v/>
          </cell>
        </row>
        <row r="17327">
          <cell r="O17327" t="str">
            <v/>
          </cell>
        </row>
        <row r="17328">
          <cell r="O17328" t="str">
            <v/>
          </cell>
        </row>
        <row r="17329">
          <cell r="O17329" t="str">
            <v/>
          </cell>
        </row>
        <row r="17330">
          <cell r="O17330" t="str">
            <v/>
          </cell>
        </row>
        <row r="17331">
          <cell r="O17331" t="str">
            <v/>
          </cell>
        </row>
        <row r="17332">
          <cell r="O17332" t="str">
            <v/>
          </cell>
        </row>
        <row r="17333">
          <cell r="O17333" t="str">
            <v/>
          </cell>
        </row>
        <row r="17334">
          <cell r="O17334" t="str">
            <v/>
          </cell>
        </row>
        <row r="17335">
          <cell r="O17335" t="str">
            <v/>
          </cell>
        </row>
        <row r="17336">
          <cell r="O17336" t="str">
            <v/>
          </cell>
        </row>
        <row r="17337">
          <cell r="O17337" t="str">
            <v/>
          </cell>
        </row>
        <row r="17338">
          <cell r="O17338" t="str">
            <v/>
          </cell>
        </row>
        <row r="17339">
          <cell r="O17339" t="str">
            <v/>
          </cell>
        </row>
        <row r="17340">
          <cell r="O17340" t="str">
            <v/>
          </cell>
        </row>
        <row r="17341">
          <cell r="O17341" t="str">
            <v/>
          </cell>
        </row>
        <row r="17342">
          <cell r="O17342" t="str">
            <v/>
          </cell>
        </row>
        <row r="17343">
          <cell r="O17343" t="str">
            <v/>
          </cell>
        </row>
        <row r="17344">
          <cell r="O17344" t="str">
            <v/>
          </cell>
        </row>
        <row r="17345">
          <cell r="O17345" t="str">
            <v/>
          </cell>
        </row>
        <row r="17346">
          <cell r="O17346" t="str">
            <v/>
          </cell>
        </row>
        <row r="17347">
          <cell r="O17347" t="str">
            <v/>
          </cell>
        </row>
        <row r="17348">
          <cell r="O17348" t="str">
            <v/>
          </cell>
        </row>
        <row r="17349">
          <cell r="O17349" t="str">
            <v/>
          </cell>
        </row>
        <row r="17350">
          <cell r="O17350" t="str">
            <v/>
          </cell>
        </row>
        <row r="17351">
          <cell r="O17351" t="str">
            <v/>
          </cell>
        </row>
        <row r="17352">
          <cell r="O17352" t="str">
            <v/>
          </cell>
        </row>
        <row r="17353">
          <cell r="O17353" t="str">
            <v/>
          </cell>
        </row>
        <row r="17354">
          <cell r="O17354" t="str">
            <v/>
          </cell>
        </row>
        <row r="17355">
          <cell r="O17355" t="str">
            <v/>
          </cell>
        </row>
        <row r="17356">
          <cell r="O17356" t="str">
            <v/>
          </cell>
        </row>
        <row r="17357">
          <cell r="O17357" t="str">
            <v/>
          </cell>
        </row>
        <row r="17358">
          <cell r="O17358" t="str">
            <v/>
          </cell>
        </row>
        <row r="17359">
          <cell r="O17359" t="str">
            <v/>
          </cell>
        </row>
        <row r="17360">
          <cell r="O17360" t="str">
            <v/>
          </cell>
        </row>
        <row r="17361">
          <cell r="O17361" t="str">
            <v/>
          </cell>
        </row>
        <row r="17362">
          <cell r="O17362" t="str">
            <v/>
          </cell>
        </row>
        <row r="17363">
          <cell r="O17363" t="str">
            <v/>
          </cell>
        </row>
        <row r="17364">
          <cell r="O17364" t="str">
            <v/>
          </cell>
        </row>
        <row r="17365">
          <cell r="O17365" t="str">
            <v/>
          </cell>
        </row>
        <row r="17366">
          <cell r="O17366" t="str">
            <v/>
          </cell>
        </row>
        <row r="17367">
          <cell r="O17367" t="str">
            <v/>
          </cell>
        </row>
        <row r="17368">
          <cell r="O17368" t="str">
            <v/>
          </cell>
        </row>
        <row r="17369">
          <cell r="O17369" t="str">
            <v/>
          </cell>
        </row>
        <row r="17370">
          <cell r="O17370" t="str">
            <v/>
          </cell>
        </row>
        <row r="17371">
          <cell r="O17371" t="str">
            <v/>
          </cell>
        </row>
        <row r="17372">
          <cell r="O17372" t="str">
            <v/>
          </cell>
        </row>
        <row r="17373">
          <cell r="O17373" t="str">
            <v/>
          </cell>
        </row>
        <row r="17374">
          <cell r="O17374" t="str">
            <v/>
          </cell>
        </row>
        <row r="17375">
          <cell r="O17375" t="str">
            <v/>
          </cell>
        </row>
        <row r="17376">
          <cell r="O17376" t="str">
            <v/>
          </cell>
        </row>
        <row r="17377">
          <cell r="O17377" t="str">
            <v/>
          </cell>
        </row>
        <row r="17378">
          <cell r="O17378" t="str">
            <v/>
          </cell>
        </row>
        <row r="17379">
          <cell r="O17379" t="str">
            <v/>
          </cell>
        </row>
        <row r="17380">
          <cell r="O17380" t="str">
            <v/>
          </cell>
        </row>
        <row r="17381">
          <cell r="O17381" t="str">
            <v/>
          </cell>
        </row>
        <row r="17382">
          <cell r="O17382" t="str">
            <v/>
          </cell>
        </row>
        <row r="17383">
          <cell r="O17383" t="str">
            <v/>
          </cell>
        </row>
        <row r="17384">
          <cell r="O17384" t="str">
            <v/>
          </cell>
        </row>
        <row r="17385">
          <cell r="O17385" t="str">
            <v/>
          </cell>
        </row>
        <row r="17386">
          <cell r="O17386" t="str">
            <v/>
          </cell>
        </row>
        <row r="17387">
          <cell r="O17387" t="str">
            <v/>
          </cell>
        </row>
        <row r="17388">
          <cell r="O17388" t="str">
            <v/>
          </cell>
        </row>
        <row r="17389">
          <cell r="O17389" t="str">
            <v/>
          </cell>
        </row>
        <row r="17390">
          <cell r="O17390" t="str">
            <v/>
          </cell>
        </row>
        <row r="17391">
          <cell r="O17391" t="str">
            <v/>
          </cell>
        </row>
        <row r="17392">
          <cell r="O17392" t="str">
            <v/>
          </cell>
        </row>
        <row r="17393">
          <cell r="O17393" t="str">
            <v/>
          </cell>
        </row>
        <row r="17394">
          <cell r="O17394" t="str">
            <v/>
          </cell>
        </row>
        <row r="17395">
          <cell r="O17395" t="str">
            <v/>
          </cell>
        </row>
        <row r="17396">
          <cell r="O17396" t="str">
            <v/>
          </cell>
        </row>
        <row r="17397">
          <cell r="O17397" t="str">
            <v/>
          </cell>
        </row>
        <row r="17398">
          <cell r="O17398" t="str">
            <v/>
          </cell>
        </row>
        <row r="17399">
          <cell r="O17399" t="str">
            <v/>
          </cell>
        </row>
        <row r="17400">
          <cell r="O17400" t="str">
            <v/>
          </cell>
        </row>
        <row r="17401">
          <cell r="O17401" t="str">
            <v/>
          </cell>
        </row>
        <row r="17402">
          <cell r="O17402" t="str">
            <v/>
          </cell>
        </row>
        <row r="17403">
          <cell r="O17403" t="str">
            <v/>
          </cell>
        </row>
        <row r="17404">
          <cell r="O17404" t="str">
            <v/>
          </cell>
        </row>
        <row r="17405">
          <cell r="O17405" t="str">
            <v/>
          </cell>
        </row>
        <row r="17406">
          <cell r="O17406" t="str">
            <v/>
          </cell>
        </row>
        <row r="17407">
          <cell r="O17407" t="str">
            <v/>
          </cell>
        </row>
        <row r="17408">
          <cell r="O17408" t="str">
            <v/>
          </cell>
        </row>
        <row r="17409">
          <cell r="O17409" t="str">
            <v/>
          </cell>
        </row>
        <row r="17410">
          <cell r="O17410" t="str">
            <v/>
          </cell>
        </row>
        <row r="17411">
          <cell r="O17411" t="str">
            <v/>
          </cell>
        </row>
        <row r="17412">
          <cell r="O17412" t="str">
            <v/>
          </cell>
        </row>
        <row r="17413">
          <cell r="O17413" t="str">
            <v/>
          </cell>
        </row>
        <row r="17414">
          <cell r="O17414" t="str">
            <v/>
          </cell>
        </row>
        <row r="17415">
          <cell r="O17415" t="str">
            <v/>
          </cell>
        </row>
        <row r="17416">
          <cell r="O17416" t="str">
            <v/>
          </cell>
        </row>
        <row r="17417">
          <cell r="O17417" t="str">
            <v/>
          </cell>
        </row>
        <row r="17418">
          <cell r="O17418" t="str">
            <v/>
          </cell>
        </row>
        <row r="17419">
          <cell r="O17419" t="str">
            <v/>
          </cell>
        </row>
        <row r="17420">
          <cell r="O17420" t="str">
            <v/>
          </cell>
        </row>
        <row r="17421">
          <cell r="O17421" t="str">
            <v/>
          </cell>
        </row>
        <row r="17422">
          <cell r="O17422" t="str">
            <v/>
          </cell>
        </row>
        <row r="17423">
          <cell r="O17423" t="str">
            <v/>
          </cell>
        </row>
        <row r="17424">
          <cell r="O17424" t="str">
            <v/>
          </cell>
        </row>
        <row r="17425">
          <cell r="O17425" t="str">
            <v/>
          </cell>
        </row>
        <row r="17426">
          <cell r="O17426" t="str">
            <v/>
          </cell>
        </row>
        <row r="17427">
          <cell r="O17427" t="str">
            <v/>
          </cell>
        </row>
        <row r="17428">
          <cell r="O17428" t="str">
            <v/>
          </cell>
        </row>
        <row r="17429">
          <cell r="O17429" t="str">
            <v/>
          </cell>
        </row>
        <row r="17430">
          <cell r="O17430" t="str">
            <v/>
          </cell>
        </row>
        <row r="17431">
          <cell r="O17431" t="str">
            <v/>
          </cell>
        </row>
        <row r="17432">
          <cell r="O17432" t="str">
            <v/>
          </cell>
        </row>
        <row r="17433">
          <cell r="O17433" t="str">
            <v/>
          </cell>
        </row>
        <row r="17434">
          <cell r="O17434" t="str">
            <v/>
          </cell>
        </row>
        <row r="17435">
          <cell r="O17435" t="str">
            <v/>
          </cell>
        </row>
        <row r="17436">
          <cell r="O17436" t="str">
            <v/>
          </cell>
        </row>
        <row r="17437">
          <cell r="O17437" t="str">
            <v/>
          </cell>
        </row>
        <row r="17438">
          <cell r="O17438" t="str">
            <v/>
          </cell>
        </row>
        <row r="17439">
          <cell r="O17439" t="str">
            <v/>
          </cell>
        </row>
        <row r="17440">
          <cell r="O17440" t="str">
            <v/>
          </cell>
        </row>
        <row r="17441">
          <cell r="O17441" t="str">
            <v/>
          </cell>
        </row>
        <row r="17442">
          <cell r="O17442" t="str">
            <v/>
          </cell>
        </row>
        <row r="17443">
          <cell r="O17443" t="str">
            <v/>
          </cell>
        </row>
        <row r="17444">
          <cell r="O17444" t="str">
            <v/>
          </cell>
        </row>
        <row r="17445">
          <cell r="O17445" t="str">
            <v/>
          </cell>
        </row>
        <row r="17446">
          <cell r="O17446" t="str">
            <v/>
          </cell>
        </row>
        <row r="17447">
          <cell r="O17447" t="str">
            <v/>
          </cell>
        </row>
        <row r="17448">
          <cell r="O17448" t="str">
            <v/>
          </cell>
        </row>
        <row r="17449">
          <cell r="O17449" t="str">
            <v/>
          </cell>
        </row>
        <row r="17450">
          <cell r="O17450" t="str">
            <v/>
          </cell>
        </row>
        <row r="17451">
          <cell r="O17451" t="str">
            <v/>
          </cell>
        </row>
        <row r="17452">
          <cell r="O17452" t="str">
            <v/>
          </cell>
        </row>
        <row r="17453">
          <cell r="O17453" t="str">
            <v/>
          </cell>
        </row>
        <row r="17454">
          <cell r="O17454" t="str">
            <v/>
          </cell>
        </row>
        <row r="17455">
          <cell r="O17455" t="str">
            <v/>
          </cell>
        </row>
        <row r="17456">
          <cell r="O17456" t="str">
            <v/>
          </cell>
        </row>
        <row r="17457">
          <cell r="O17457" t="str">
            <v/>
          </cell>
        </row>
        <row r="17458">
          <cell r="O17458" t="str">
            <v/>
          </cell>
        </row>
        <row r="17459">
          <cell r="O17459" t="str">
            <v/>
          </cell>
        </row>
        <row r="17460">
          <cell r="O17460" t="str">
            <v/>
          </cell>
        </row>
        <row r="17461">
          <cell r="O17461" t="str">
            <v/>
          </cell>
        </row>
        <row r="17462">
          <cell r="O17462" t="str">
            <v/>
          </cell>
        </row>
        <row r="17463">
          <cell r="O17463" t="str">
            <v/>
          </cell>
        </row>
        <row r="17464">
          <cell r="O17464" t="str">
            <v/>
          </cell>
        </row>
        <row r="17465">
          <cell r="O17465" t="str">
            <v/>
          </cell>
        </row>
        <row r="17466">
          <cell r="O17466" t="str">
            <v/>
          </cell>
        </row>
        <row r="17467">
          <cell r="O17467" t="str">
            <v/>
          </cell>
        </row>
        <row r="17468">
          <cell r="O17468" t="str">
            <v/>
          </cell>
        </row>
        <row r="17469">
          <cell r="O17469" t="str">
            <v/>
          </cell>
        </row>
        <row r="17470">
          <cell r="O17470" t="str">
            <v/>
          </cell>
        </row>
        <row r="17471">
          <cell r="O17471" t="str">
            <v/>
          </cell>
        </row>
        <row r="17472">
          <cell r="O17472" t="str">
            <v/>
          </cell>
        </row>
        <row r="17473">
          <cell r="O17473" t="str">
            <v/>
          </cell>
        </row>
        <row r="17474">
          <cell r="O17474" t="str">
            <v/>
          </cell>
        </row>
        <row r="17475">
          <cell r="O17475" t="str">
            <v/>
          </cell>
        </row>
        <row r="17476">
          <cell r="O17476" t="str">
            <v/>
          </cell>
        </row>
        <row r="17477">
          <cell r="O17477" t="str">
            <v/>
          </cell>
        </row>
        <row r="17478">
          <cell r="O17478" t="str">
            <v/>
          </cell>
        </row>
        <row r="17479">
          <cell r="O17479" t="str">
            <v/>
          </cell>
        </row>
        <row r="17480">
          <cell r="O17480" t="str">
            <v/>
          </cell>
        </row>
        <row r="17481">
          <cell r="O17481" t="str">
            <v/>
          </cell>
        </row>
        <row r="17482">
          <cell r="O17482" t="str">
            <v/>
          </cell>
        </row>
        <row r="17483">
          <cell r="O17483" t="str">
            <v/>
          </cell>
        </row>
        <row r="17484">
          <cell r="O17484" t="str">
            <v/>
          </cell>
        </row>
        <row r="17485">
          <cell r="O17485" t="str">
            <v/>
          </cell>
        </row>
        <row r="17486">
          <cell r="O17486" t="str">
            <v/>
          </cell>
        </row>
        <row r="17487">
          <cell r="O17487" t="str">
            <v/>
          </cell>
        </row>
        <row r="17488">
          <cell r="O17488" t="str">
            <v/>
          </cell>
        </row>
        <row r="17489">
          <cell r="O17489" t="str">
            <v/>
          </cell>
        </row>
        <row r="17490">
          <cell r="O17490" t="str">
            <v/>
          </cell>
        </row>
        <row r="17491">
          <cell r="O17491" t="str">
            <v/>
          </cell>
        </row>
        <row r="17492">
          <cell r="O17492" t="str">
            <v/>
          </cell>
        </row>
        <row r="17493">
          <cell r="O17493" t="str">
            <v/>
          </cell>
        </row>
        <row r="17494">
          <cell r="O17494" t="str">
            <v/>
          </cell>
        </row>
        <row r="17495">
          <cell r="O17495" t="str">
            <v/>
          </cell>
        </row>
        <row r="17496">
          <cell r="O17496" t="str">
            <v/>
          </cell>
        </row>
        <row r="17497">
          <cell r="O17497" t="str">
            <v/>
          </cell>
        </row>
        <row r="17498">
          <cell r="O17498" t="str">
            <v/>
          </cell>
        </row>
        <row r="17499">
          <cell r="O17499" t="str">
            <v/>
          </cell>
        </row>
        <row r="17500">
          <cell r="O17500" t="str">
            <v/>
          </cell>
        </row>
        <row r="17501">
          <cell r="O17501" t="str">
            <v/>
          </cell>
        </row>
        <row r="17502">
          <cell r="O17502" t="str">
            <v/>
          </cell>
        </row>
        <row r="17503">
          <cell r="O17503" t="str">
            <v/>
          </cell>
        </row>
        <row r="17504">
          <cell r="O17504" t="str">
            <v/>
          </cell>
        </row>
        <row r="17505">
          <cell r="O17505" t="str">
            <v/>
          </cell>
        </row>
        <row r="17506">
          <cell r="O17506" t="str">
            <v/>
          </cell>
        </row>
        <row r="17507">
          <cell r="O17507" t="str">
            <v/>
          </cell>
        </row>
        <row r="17508">
          <cell r="O17508" t="str">
            <v/>
          </cell>
        </row>
        <row r="17509">
          <cell r="O17509" t="str">
            <v/>
          </cell>
        </row>
        <row r="17510">
          <cell r="O17510" t="str">
            <v/>
          </cell>
        </row>
        <row r="17511">
          <cell r="O17511" t="str">
            <v/>
          </cell>
        </row>
        <row r="17512">
          <cell r="O17512" t="str">
            <v/>
          </cell>
        </row>
        <row r="17513">
          <cell r="O17513" t="str">
            <v/>
          </cell>
        </row>
        <row r="17514">
          <cell r="O17514" t="str">
            <v/>
          </cell>
        </row>
        <row r="17515">
          <cell r="O17515" t="str">
            <v/>
          </cell>
        </row>
        <row r="17516">
          <cell r="O17516" t="str">
            <v/>
          </cell>
        </row>
        <row r="17517">
          <cell r="O17517" t="str">
            <v/>
          </cell>
        </row>
        <row r="17518">
          <cell r="O17518" t="str">
            <v/>
          </cell>
        </row>
        <row r="17519">
          <cell r="O17519" t="str">
            <v/>
          </cell>
        </row>
        <row r="17520">
          <cell r="O17520" t="str">
            <v/>
          </cell>
        </row>
        <row r="17521">
          <cell r="O17521" t="str">
            <v/>
          </cell>
        </row>
        <row r="17522">
          <cell r="O17522" t="str">
            <v/>
          </cell>
        </row>
        <row r="17523">
          <cell r="O17523" t="str">
            <v/>
          </cell>
        </row>
        <row r="17524">
          <cell r="O17524" t="str">
            <v/>
          </cell>
        </row>
        <row r="17525">
          <cell r="O17525" t="str">
            <v/>
          </cell>
        </row>
        <row r="17526">
          <cell r="O17526" t="str">
            <v/>
          </cell>
        </row>
        <row r="17527">
          <cell r="O17527" t="str">
            <v/>
          </cell>
        </row>
        <row r="17528">
          <cell r="O17528" t="str">
            <v/>
          </cell>
        </row>
        <row r="17529">
          <cell r="O17529" t="str">
            <v/>
          </cell>
        </row>
        <row r="17530">
          <cell r="O17530" t="str">
            <v/>
          </cell>
        </row>
        <row r="17531">
          <cell r="O17531" t="str">
            <v/>
          </cell>
        </row>
        <row r="17532">
          <cell r="O17532" t="str">
            <v/>
          </cell>
        </row>
        <row r="17533">
          <cell r="O17533" t="str">
            <v/>
          </cell>
        </row>
        <row r="17534">
          <cell r="O17534" t="str">
            <v/>
          </cell>
        </row>
        <row r="17535">
          <cell r="O17535" t="str">
            <v/>
          </cell>
        </row>
        <row r="17536">
          <cell r="O17536" t="str">
            <v/>
          </cell>
        </row>
        <row r="17537">
          <cell r="O17537" t="str">
            <v/>
          </cell>
        </row>
        <row r="17538">
          <cell r="O17538" t="str">
            <v/>
          </cell>
        </row>
        <row r="17539">
          <cell r="O17539" t="str">
            <v/>
          </cell>
        </row>
        <row r="17540">
          <cell r="O17540" t="str">
            <v/>
          </cell>
        </row>
        <row r="17541">
          <cell r="O17541" t="str">
            <v/>
          </cell>
        </row>
        <row r="17542">
          <cell r="O17542" t="str">
            <v/>
          </cell>
        </row>
        <row r="17543">
          <cell r="O17543" t="str">
            <v/>
          </cell>
        </row>
        <row r="17544">
          <cell r="O17544" t="str">
            <v/>
          </cell>
        </row>
        <row r="17545">
          <cell r="O17545" t="str">
            <v/>
          </cell>
        </row>
        <row r="17546">
          <cell r="O17546" t="str">
            <v/>
          </cell>
        </row>
        <row r="17547">
          <cell r="O17547" t="str">
            <v/>
          </cell>
        </row>
        <row r="17548">
          <cell r="O17548" t="str">
            <v/>
          </cell>
        </row>
        <row r="17549">
          <cell r="O17549" t="str">
            <v/>
          </cell>
        </row>
        <row r="17550">
          <cell r="O17550" t="str">
            <v/>
          </cell>
        </row>
        <row r="17551">
          <cell r="O17551" t="str">
            <v/>
          </cell>
        </row>
        <row r="17552">
          <cell r="O17552" t="str">
            <v/>
          </cell>
        </row>
        <row r="17553">
          <cell r="O17553" t="str">
            <v/>
          </cell>
        </row>
        <row r="17554">
          <cell r="O17554" t="str">
            <v/>
          </cell>
        </row>
        <row r="17555">
          <cell r="O17555" t="str">
            <v/>
          </cell>
        </row>
        <row r="17556">
          <cell r="O17556" t="str">
            <v/>
          </cell>
        </row>
        <row r="17557">
          <cell r="O17557" t="str">
            <v/>
          </cell>
        </row>
        <row r="17558">
          <cell r="O17558" t="str">
            <v/>
          </cell>
        </row>
        <row r="17559">
          <cell r="O17559" t="str">
            <v/>
          </cell>
        </row>
        <row r="17560">
          <cell r="O17560" t="str">
            <v/>
          </cell>
        </row>
        <row r="17561">
          <cell r="O17561" t="str">
            <v/>
          </cell>
        </row>
        <row r="17562">
          <cell r="O17562" t="str">
            <v/>
          </cell>
        </row>
        <row r="17563">
          <cell r="O17563" t="str">
            <v/>
          </cell>
        </row>
        <row r="17564">
          <cell r="O17564" t="str">
            <v/>
          </cell>
        </row>
        <row r="17565">
          <cell r="O17565" t="str">
            <v/>
          </cell>
        </row>
        <row r="17566">
          <cell r="O17566" t="str">
            <v/>
          </cell>
        </row>
        <row r="17567">
          <cell r="O17567" t="str">
            <v/>
          </cell>
        </row>
        <row r="17568">
          <cell r="O17568" t="str">
            <v/>
          </cell>
        </row>
        <row r="17569">
          <cell r="O17569" t="str">
            <v/>
          </cell>
        </row>
        <row r="17570">
          <cell r="O17570" t="str">
            <v/>
          </cell>
        </row>
        <row r="17571">
          <cell r="O17571" t="str">
            <v/>
          </cell>
        </row>
        <row r="17572">
          <cell r="O17572" t="str">
            <v/>
          </cell>
        </row>
        <row r="17573">
          <cell r="O17573" t="str">
            <v/>
          </cell>
        </row>
        <row r="17574">
          <cell r="O17574" t="str">
            <v/>
          </cell>
        </row>
        <row r="17575">
          <cell r="O17575" t="str">
            <v/>
          </cell>
        </row>
        <row r="17576">
          <cell r="O17576" t="str">
            <v/>
          </cell>
        </row>
        <row r="17577">
          <cell r="O17577" t="str">
            <v/>
          </cell>
        </row>
        <row r="17578">
          <cell r="O17578" t="str">
            <v/>
          </cell>
        </row>
        <row r="17579">
          <cell r="O17579" t="str">
            <v/>
          </cell>
        </row>
        <row r="17580">
          <cell r="O17580" t="str">
            <v/>
          </cell>
        </row>
        <row r="17581">
          <cell r="O17581" t="str">
            <v/>
          </cell>
        </row>
        <row r="17582">
          <cell r="O17582" t="str">
            <v/>
          </cell>
        </row>
        <row r="17583">
          <cell r="O17583" t="str">
            <v/>
          </cell>
        </row>
        <row r="17584">
          <cell r="O17584" t="str">
            <v/>
          </cell>
        </row>
        <row r="17585">
          <cell r="O17585" t="str">
            <v/>
          </cell>
        </row>
        <row r="17586">
          <cell r="O17586" t="str">
            <v/>
          </cell>
        </row>
        <row r="17587">
          <cell r="O17587" t="str">
            <v/>
          </cell>
        </row>
        <row r="17588">
          <cell r="O17588" t="str">
            <v/>
          </cell>
        </row>
        <row r="17589">
          <cell r="O17589" t="str">
            <v/>
          </cell>
        </row>
        <row r="17590">
          <cell r="O17590" t="str">
            <v/>
          </cell>
        </row>
        <row r="17591">
          <cell r="O17591" t="str">
            <v/>
          </cell>
        </row>
        <row r="17592">
          <cell r="O17592" t="str">
            <v/>
          </cell>
        </row>
        <row r="17593">
          <cell r="O17593" t="str">
            <v/>
          </cell>
        </row>
        <row r="17594">
          <cell r="O17594" t="str">
            <v/>
          </cell>
        </row>
        <row r="17595">
          <cell r="O17595" t="str">
            <v/>
          </cell>
        </row>
        <row r="17596">
          <cell r="O17596" t="str">
            <v/>
          </cell>
        </row>
        <row r="17597">
          <cell r="O17597" t="str">
            <v/>
          </cell>
        </row>
        <row r="17598">
          <cell r="O17598" t="str">
            <v/>
          </cell>
        </row>
        <row r="17599">
          <cell r="O17599" t="str">
            <v/>
          </cell>
        </row>
        <row r="17600">
          <cell r="O17600" t="str">
            <v/>
          </cell>
        </row>
        <row r="17601">
          <cell r="O17601" t="str">
            <v/>
          </cell>
        </row>
        <row r="17602">
          <cell r="O17602" t="str">
            <v/>
          </cell>
        </row>
        <row r="17603">
          <cell r="O17603" t="str">
            <v/>
          </cell>
        </row>
        <row r="17604">
          <cell r="O17604" t="str">
            <v/>
          </cell>
        </row>
        <row r="17605">
          <cell r="O17605" t="str">
            <v/>
          </cell>
        </row>
        <row r="17606">
          <cell r="O17606" t="str">
            <v/>
          </cell>
        </row>
        <row r="17607">
          <cell r="O17607" t="str">
            <v/>
          </cell>
        </row>
        <row r="17608">
          <cell r="O17608" t="str">
            <v/>
          </cell>
        </row>
        <row r="17609">
          <cell r="O17609" t="str">
            <v/>
          </cell>
        </row>
        <row r="17610">
          <cell r="O17610" t="str">
            <v/>
          </cell>
        </row>
        <row r="17611">
          <cell r="O17611" t="str">
            <v/>
          </cell>
        </row>
        <row r="17612">
          <cell r="O17612" t="str">
            <v/>
          </cell>
        </row>
        <row r="17613">
          <cell r="O17613" t="str">
            <v/>
          </cell>
        </row>
        <row r="17614">
          <cell r="O17614" t="str">
            <v/>
          </cell>
        </row>
        <row r="17615">
          <cell r="O17615" t="str">
            <v/>
          </cell>
        </row>
        <row r="17616">
          <cell r="O17616" t="str">
            <v/>
          </cell>
        </row>
        <row r="17617">
          <cell r="O17617" t="str">
            <v/>
          </cell>
        </row>
        <row r="17618">
          <cell r="O17618" t="str">
            <v/>
          </cell>
        </row>
        <row r="17619">
          <cell r="O17619" t="str">
            <v/>
          </cell>
        </row>
        <row r="17620">
          <cell r="O17620" t="str">
            <v/>
          </cell>
        </row>
        <row r="17621">
          <cell r="O17621" t="str">
            <v/>
          </cell>
        </row>
        <row r="17622">
          <cell r="O17622" t="str">
            <v/>
          </cell>
        </row>
        <row r="17623">
          <cell r="O17623" t="str">
            <v/>
          </cell>
        </row>
        <row r="17624">
          <cell r="O17624" t="str">
            <v/>
          </cell>
        </row>
        <row r="17625">
          <cell r="O17625" t="str">
            <v/>
          </cell>
        </row>
        <row r="17626">
          <cell r="O17626" t="str">
            <v/>
          </cell>
        </row>
        <row r="17627">
          <cell r="O17627" t="str">
            <v/>
          </cell>
        </row>
        <row r="17628">
          <cell r="O17628" t="str">
            <v/>
          </cell>
        </row>
        <row r="17629">
          <cell r="O17629" t="str">
            <v/>
          </cell>
        </row>
        <row r="17630">
          <cell r="O17630" t="str">
            <v/>
          </cell>
        </row>
        <row r="17631">
          <cell r="O17631" t="str">
            <v/>
          </cell>
        </row>
        <row r="17632">
          <cell r="O17632" t="str">
            <v/>
          </cell>
        </row>
        <row r="17633">
          <cell r="O17633" t="str">
            <v/>
          </cell>
        </row>
        <row r="17634">
          <cell r="O17634" t="str">
            <v/>
          </cell>
        </row>
        <row r="17635">
          <cell r="O17635" t="str">
            <v/>
          </cell>
        </row>
        <row r="17636">
          <cell r="O17636" t="str">
            <v/>
          </cell>
        </row>
        <row r="17637">
          <cell r="O17637" t="str">
            <v/>
          </cell>
        </row>
        <row r="17638">
          <cell r="O17638" t="str">
            <v/>
          </cell>
        </row>
        <row r="17639">
          <cell r="O17639" t="str">
            <v/>
          </cell>
        </row>
        <row r="17640">
          <cell r="O17640" t="str">
            <v/>
          </cell>
        </row>
        <row r="17641">
          <cell r="O17641" t="str">
            <v/>
          </cell>
        </row>
        <row r="17642">
          <cell r="O17642" t="str">
            <v/>
          </cell>
        </row>
        <row r="17643">
          <cell r="O17643" t="str">
            <v/>
          </cell>
        </row>
        <row r="17644">
          <cell r="O17644" t="str">
            <v/>
          </cell>
        </row>
        <row r="17645">
          <cell r="O17645" t="str">
            <v/>
          </cell>
        </row>
        <row r="17646">
          <cell r="O17646" t="str">
            <v/>
          </cell>
        </row>
        <row r="17647">
          <cell r="O17647" t="str">
            <v/>
          </cell>
        </row>
        <row r="17648">
          <cell r="O17648" t="str">
            <v/>
          </cell>
        </row>
        <row r="17649">
          <cell r="O17649" t="str">
            <v/>
          </cell>
        </row>
        <row r="17650">
          <cell r="O17650" t="str">
            <v/>
          </cell>
        </row>
        <row r="17651">
          <cell r="O17651" t="str">
            <v/>
          </cell>
        </row>
        <row r="17652">
          <cell r="O17652" t="str">
            <v/>
          </cell>
        </row>
        <row r="17653">
          <cell r="O17653" t="str">
            <v/>
          </cell>
        </row>
        <row r="17654">
          <cell r="O17654" t="str">
            <v/>
          </cell>
        </row>
        <row r="17655">
          <cell r="O17655" t="str">
            <v/>
          </cell>
        </row>
        <row r="17656">
          <cell r="O17656" t="str">
            <v/>
          </cell>
        </row>
        <row r="17657">
          <cell r="O17657" t="str">
            <v/>
          </cell>
        </row>
        <row r="17658">
          <cell r="O17658" t="str">
            <v/>
          </cell>
        </row>
        <row r="17659">
          <cell r="O17659" t="str">
            <v/>
          </cell>
        </row>
        <row r="17660">
          <cell r="O17660" t="str">
            <v/>
          </cell>
        </row>
        <row r="17661">
          <cell r="O17661" t="str">
            <v/>
          </cell>
        </row>
        <row r="17662">
          <cell r="O17662" t="str">
            <v/>
          </cell>
        </row>
        <row r="17663">
          <cell r="O17663" t="str">
            <v/>
          </cell>
        </row>
        <row r="17664">
          <cell r="O17664" t="str">
            <v/>
          </cell>
        </row>
        <row r="17665">
          <cell r="O17665" t="str">
            <v/>
          </cell>
        </row>
        <row r="17666">
          <cell r="O17666" t="str">
            <v/>
          </cell>
        </row>
        <row r="17667">
          <cell r="O17667" t="str">
            <v/>
          </cell>
        </row>
        <row r="17668">
          <cell r="O17668" t="str">
            <v/>
          </cell>
        </row>
        <row r="17669">
          <cell r="O17669" t="str">
            <v/>
          </cell>
        </row>
        <row r="17670">
          <cell r="O17670" t="str">
            <v/>
          </cell>
        </row>
        <row r="17671">
          <cell r="O17671" t="str">
            <v/>
          </cell>
        </row>
        <row r="17672">
          <cell r="O17672" t="str">
            <v/>
          </cell>
        </row>
        <row r="17673">
          <cell r="O17673" t="str">
            <v/>
          </cell>
        </row>
        <row r="17674">
          <cell r="O17674" t="str">
            <v/>
          </cell>
        </row>
        <row r="17675">
          <cell r="O17675" t="str">
            <v/>
          </cell>
        </row>
        <row r="17676">
          <cell r="O17676" t="str">
            <v/>
          </cell>
        </row>
        <row r="17677">
          <cell r="O17677" t="str">
            <v/>
          </cell>
        </row>
        <row r="17678">
          <cell r="O17678" t="str">
            <v/>
          </cell>
        </row>
        <row r="17679">
          <cell r="O17679" t="str">
            <v/>
          </cell>
        </row>
        <row r="17680">
          <cell r="O17680" t="str">
            <v/>
          </cell>
        </row>
        <row r="17681">
          <cell r="O17681" t="str">
            <v/>
          </cell>
        </row>
        <row r="17682">
          <cell r="O17682" t="str">
            <v/>
          </cell>
        </row>
        <row r="17683">
          <cell r="O17683" t="str">
            <v/>
          </cell>
        </row>
        <row r="17684">
          <cell r="O17684" t="str">
            <v/>
          </cell>
        </row>
        <row r="17685">
          <cell r="O17685" t="str">
            <v/>
          </cell>
        </row>
        <row r="17686">
          <cell r="O17686" t="str">
            <v/>
          </cell>
        </row>
        <row r="17687">
          <cell r="O17687" t="str">
            <v/>
          </cell>
        </row>
        <row r="17688">
          <cell r="O17688" t="str">
            <v/>
          </cell>
        </row>
        <row r="17689">
          <cell r="O17689" t="str">
            <v/>
          </cell>
        </row>
        <row r="17690">
          <cell r="O17690" t="str">
            <v/>
          </cell>
        </row>
        <row r="17691">
          <cell r="O17691" t="str">
            <v/>
          </cell>
        </row>
        <row r="17692">
          <cell r="O17692" t="str">
            <v/>
          </cell>
        </row>
        <row r="17693">
          <cell r="O17693" t="str">
            <v/>
          </cell>
        </row>
        <row r="17694">
          <cell r="O17694" t="str">
            <v/>
          </cell>
        </row>
        <row r="17695">
          <cell r="O17695" t="str">
            <v/>
          </cell>
        </row>
        <row r="17696">
          <cell r="O17696" t="str">
            <v/>
          </cell>
        </row>
        <row r="17697">
          <cell r="O17697" t="str">
            <v/>
          </cell>
        </row>
        <row r="17698">
          <cell r="O17698" t="str">
            <v/>
          </cell>
        </row>
        <row r="17699">
          <cell r="O17699" t="str">
            <v/>
          </cell>
        </row>
        <row r="17700">
          <cell r="O17700" t="str">
            <v/>
          </cell>
        </row>
        <row r="17701">
          <cell r="O17701" t="str">
            <v/>
          </cell>
        </row>
        <row r="17702">
          <cell r="O17702" t="str">
            <v/>
          </cell>
        </row>
        <row r="17703">
          <cell r="O17703" t="str">
            <v/>
          </cell>
        </row>
        <row r="17704">
          <cell r="O17704" t="str">
            <v/>
          </cell>
        </row>
        <row r="17705">
          <cell r="O17705" t="str">
            <v/>
          </cell>
        </row>
        <row r="17706">
          <cell r="O17706" t="str">
            <v/>
          </cell>
        </row>
        <row r="17707">
          <cell r="O17707" t="str">
            <v/>
          </cell>
        </row>
        <row r="17708">
          <cell r="O17708" t="str">
            <v/>
          </cell>
        </row>
        <row r="17709">
          <cell r="O17709" t="str">
            <v/>
          </cell>
        </row>
        <row r="17710">
          <cell r="O17710" t="str">
            <v/>
          </cell>
        </row>
        <row r="17711">
          <cell r="O17711" t="str">
            <v/>
          </cell>
        </row>
        <row r="17712">
          <cell r="O17712" t="str">
            <v/>
          </cell>
        </row>
        <row r="17713">
          <cell r="O17713" t="str">
            <v/>
          </cell>
        </row>
        <row r="17714">
          <cell r="O17714" t="str">
            <v/>
          </cell>
        </row>
        <row r="17715">
          <cell r="O17715" t="str">
            <v/>
          </cell>
        </row>
        <row r="17716">
          <cell r="O17716" t="str">
            <v/>
          </cell>
        </row>
        <row r="17717">
          <cell r="O17717" t="str">
            <v/>
          </cell>
        </row>
        <row r="17718">
          <cell r="O17718" t="str">
            <v/>
          </cell>
        </row>
        <row r="17719">
          <cell r="O17719" t="str">
            <v/>
          </cell>
        </row>
        <row r="17720">
          <cell r="O17720" t="str">
            <v/>
          </cell>
        </row>
        <row r="17721">
          <cell r="O17721" t="str">
            <v/>
          </cell>
        </row>
        <row r="17722">
          <cell r="O17722" t="str">
            <v/>
          </cell>
        </row>
        <row r="17723">
          <cell r="O17723" t="str">
            <v/>
          </cell>
        </row>
        <row r="17724">
          <cell r="O17724" t="str">
            <v/>
          </cell>
        </row>
        <row r="17725">
          <cell r="O17725" t="str">
            <v/>
          </cell>
        </row>
        <row r="17726">
          <cell r="O17726" t="str">
            <v/>
          </cell>
        </row>
        <row r="17727">
          <cell r="O17727" t="str">
            <v/>
          </cell>
        </row>
        <row r="17728">
          <cell r="O17728" t="str">
            <v/>
          </cell>
        </row>
        <row r="17729">
          <cell r="O17729" t="str">
            <v/>
          </cell>
        </row>
        <row r="17730">
          <cell r="O17730" t="str">
            <v/>
          </cell>
        </row>
        <row r="17731">
          <cell r="O17731" t="str">
            <v/>
          </cell>
        </row>
        <row r="17732">
          <cell r="O17732" t="str">
            <v/>
          </cell>
        </row>
        <row r="17733">
          <cell r="O17733" t="str">
            <v/>
          </cell>
        </row>
        <row r="17734">
          <cell r="O17734" t="str">
            <v/>
          </cell>
        </row>
        <row r="17735">
          <cell r="O17735" t="str">
            <v/>
          </cell>
        </row>
        <row r="17736">
          <cell r="O17736" t="str">
            <v/>
          </cell>
        </row>
        <row r="17737">
          <cell r="O17737" t="str">
            <v/>
          </cell>
        </row>
        <row r="17738">
          <cell r="O17738" t="str">
            <v/>
          </cell>
        </row>
        <row r="17739">
          <cell r="O17739" t="str">
            <v/>
          </cell>
        </row>
        <row r="17740">
          <cell r="O17740" t="str">
            <v/>
          </cell>
        </row>
        <row r="17741">
          <cell r="O17741" t="str">
            <v/>
          </cell>
        </row>
        <row r="17742">
          <cell r="O17742" t="str">
            <v/>
          </cell>
        </row>
        <row r="17743">
          <cell r="O17743" t="str">
            <v/>
          </cell>
        </row>
        <row r="17744">
          <cell r="O17744" t="str">
            <v/>
          </cell>
        </row>
        <row r="17745">
          <cell r="O17745" t="str">
            <v/>
          </cell>
        </row>
        <row r="17746">
          <cell r="O17746" t="str">
            <v/>
          </cell>
        </row>
        <row r="17747">
          <cell r="O17747" t="str">
            <v/>
          </cell>
        </row>
        <row r="17748">
          <cell r="O17748" t="str">
            <v/>
          </cell>
        </row>
        <row r="17749">
          <cell r="O17749" t="str">
            <v/>
          </cell>
        </row>
        <row r="17750">
          <cell r="O17750" t="str">
            <v/>
          </cell>
        </row>
        <row r="17751">
          <cell r="O17751" t="str">
            <v/>
          </cell>
        </row>
        <row r="17752">
          <cell r="O17752" t="str">
            <v/>
          </cell>
        </row>
        <row r="17753">
          <cell r="O17753" t="str">
            <v/>
          </cell>
        </row>
        <row r="17754">
          <cell r="O17754" t="str">
            <v/>
          </cell>
        </row>
        <row r="17755">
          <cell r="O17755" t="str">
            <v/>
          </cell>
        </row>
        <row r="17756">
          <cell r="O17756" t="str">
            <v/>
          </cell>
        </row>
        <row r="17757">
          <cell r="O17757" t="str">
            <v/>
          </cell>
        </row>
        <row r="17758">
          <cell r="O17758" t="str">
            <v/>
          </cell>
        </row>
        <row r="17759">
          <cell r="O17759" t="str">
            <v/>
          </cell>
        </row>
        <row r="17760">
          <cell r="O17760" t="str">
            <v/>
          </cell>
        </row>
        <row r="17761">
          <cell r="O17761" t="str">
            <v/>
          </cell>
        </row>
        <row r="17762">
          <cell r="O17762" t="str">
            <v/>
          </cell>
        </row>
        <row r="17763">
          <cell r="O17763" t="str">
            <v/>
          </cell>
        </row>
        <row r="17764">
          <cell r="O17764" t="str">
            <v/>
          </cell>
        </row>
        <row r="17765">
          <cell r="O17765" t="str">
            <v/>
          </cell>
        </row>
        <row r="17766">
          <cell r="O17766" t="str">
            <v/>
          </cell>
        </row>
        <row r="17767">
          <cell r="O17767" t="str">
            <v/>
          </cell>
        </row>
        <row r="17768">
          <cell r="O17768" t="str">
            <v/>
          </cell>
        </row>
        <row r="17769">
          <cell r="O17769" t="str">
            <v/>
          </cell>
        </row>
        <row r="17770">
          <cell r="O17770" t="str">
            <v/>
          </cell>
        </row>
        <row r="17771">
          <cell r="O17771" t="str">
            <v/>
          </cell>
        </row>
        <row r="17772">
          <cell r="O17772" t="str">
            <v/>
          </cell>
        </row>
        <row r="17773">
          <cell r="O17773" t="str">
            <v/>
          </cell>
        </row>
        <row r="17774">
          <cell r="O17774" t="str">
            <v/>
          </cell>
        </row>
        <row r="17775">
          <cell r="O17775" t="str">
            <v/>
          </cell>
        </row>
        <row r="17776">
          <cell r="O17776" t="str">
            <v/>
          </cell>
        </row>
        <row r="17777">
          <cell r="O17777" t="str">
            <v/>
          </cell>
        </row>
        <row r="17778">
          <cell r="O17778" t="str">
            <v/>
          </cell>
        </row>
        <row r="17779">
          <cell r="O17779" t="str">
            <v/>
          </cell>
        </row>
        <row r="17780">
          <cell r="O17780" t="str">
            <v/>
          </cell>
        </row>
        <row r="17781">
          <cell r="O17781" t="str">
            <v/>
          </cell>
        </row>
        <row r="17782">
          <cell r="O17782" t="str">
            <v/>
          </cell>
        </row>
        <row r="17783">
          <cell r="O17783" t="str">
            <v/>
          </cell>
        </row>
        <row r="17784">
          <cell r="O17784" t="str">
            <v/>
          </cell>
        </row>
        <row r="17785">
          <cell r="O17785" t="str">
            <v/>
          </cell>
        </row>
        <row r="17786">
          <cell r="O17786" t="str">
            <v/>
          </cell>
        </row>
        <row r="17787">
          <cell r="O17787" t="str">
            <v/>
          </cell>
        </row>
        <row r="17788">
          <cell r="O17788" t="str">
            <v/>
          </cell>
        </row>
        <row r="17789">
          <cell r="O17789" t="str">
            <v/>
          </cell>
        </row>
        <row r="17790">
          <cell r="O17790" t="str">
            <v/>
          </cell>
        </row>
        <row r="17791">
          <cell r="O17791" t="str">
            <v/>
          </cell>
        </row>
        <row r="17792">
          <cell r="O17792" t="str">
            <v/>
          </cell>
        </row>
        <row r="17793">
          <cell r="O17793" t="str">
            <v/>
          </cell>
        </row>
        <row r="17794">
          <cell r="O17794" t="str">
            <v/>
          </cell>
        </row>
        <row r="17795">
          <cell r="O17795" t="str">
            <v/>
          </cell>
        </row>
        <row r="17796">
          <cell r="O17796" t="str">
            <v/>
          </cell>
        </row>
        <row r="17797">
          <cell r="O17797" t="str">
            <v/>
          </cell>
        </row>
        <row r="17798">
          <cell r="O17798" t="str">
            <v/>
          </cell>
        </row>
        <row r="17799">
          <cell r="O17799" t="str">
            <v/>
          </cell>
        </row>
        <row r="17800">
          <cell r="O17800" t="str">
            <v/>
          </cell>
        </row>
        <row r="17801">
          <cell r="O17801" t="str">
            <v/>
          </cell>
        </row>
        <row r="17802">
          <cell r="O17802" t="str">
            <v/>
          </cell>
        </row>
        <row r="17803">
          <cell r="O17803" t="str">
            <v/>
          </cell>
        </row>
        <row r="17804">
          <cell r="O17804" t="str">
            <v/>
          </cell>
        </row>
        <row r="17805">
          <cell r="O17805" t="str">
            <v/>
          </cell>
        </row>
        <row r="17806">
          <cell r="O17806" t="str">
            <v/>
          </cell>
        </row>
        <row r="17807">
          <cell r="O17807" t="str">
            <v/>
          </cell>
        </row>
        <row r="17808">
          <cell r="O17808" t="str">
            <v/>
          </cell>
        </row>
        <row r="17809">
          <cell r="O17809" t="str">
            <v/>
          </cell>
        </row>
        <row r="17810">
          <cell r="O17810" t="str">
            <v/>
          </cell>
        </row>
        <row r="17811">
          <cell r="O17811" t="str">
            <v/>
          </cell>
        </row>
        <row r="17812">
          <cell r="O17812" t="str">
            <v/>
          </cell>
        </row>
        <row r="17813">
          <cell r="O17813" t="str">
            <v/>
          </cell>
        </row>
        <row r="17814">
          <cell r="O17814" t="str">
            <v/>
          </cell>
        </row>
        <row r="17815">
          <cell r="O17815" t="str">
            <v/>
          </cell>
        </row>
        <row r="17816">
          <cell r="O17816" t="str">
            <v/>
          </cell>
        </row>
        <row r="17817">
          <cell r="O17817" t="str">
            <v/>
          </cell>
        </row>
        <row r="17818">
          <cell r="O17818" t="str">
            <v/>
          </cell>
        </row>
        <row r="17819">
          <cell r="O17819" t="str">
            <v/>
          </cell>
        </row>
        <row r="17820">
          <cell r="O17820" t="str">
            <v/>
          </cell>
        </row>
        <row r="17821">
          <cell r="O17821" t="str">
            <v/>
          </cell>
        </row>
        <row r="17822">
          <cell r="O17822" t="str">
            <v/>
          </cell>
        </row>
        <row r="17823">
          <cell r="O17823" t="str">
            <v/>
          </cell>
        </row>
        <row r="17824">
          <cell r="O17824" t="str">
            <v/>
          </cell>
        </row>
        <row r="17825">
          <cell r="O17825" t="str">
            <v/>
          </cell>
        </row>
        <row r="17826">
          <cell r="O17826" t="str">
            <v/>
          </cell>
        </row>
        <row r="17827">
          <cell r="O17827" t="str">
            <v/>
          </cell>
        </row>
        <row r="17828">
          <cell r="O17828" t="str">
            <v/>
          </cell>
        </row>
        <row r="17829">
          <cell r="O17829" t="str">
            <v/>
          </cell>
        </row>
        <row r="17830">
          <cell r="O17830" t="str">
            <v/>
          </cell>
        </row>
        <row r="17831">
          <cell r="O17831" t="str">
            <v/>
          </cell>
        </row>
        <row r="17832">
          <cell r="O17832" t="str">
            <v/>
          </cell>
        </row>
        <row r="17833">
          <cell r="O17833" t="str">
            <v/>
          </cell>
        </row>
        <row r="17834">
          <cell r="O17834" t="str">
            <v/>
          </cell>
        </row>
        <row r="17835">
          <cell r="O17835" t="str">
            <v/>
          </cell>
        </row>
        <row r="17836">
          <cell r="O17836" t="str">
            <v/>
          </cell>
        </row>
        <row r="17837">
          <cell r="O17837" t="str">
            <v/>
          </cell>
        </row>
        <row r="17838">
          <cell r="O17838" t="str">
            <v/>
          </cell>
        </row>
        <row r="17839">
          <cell r="O17839" t="str">
            <v/>
          </cell>
        </row>
        <row r="17840">
          <cell r="O17840" t="str">
            <v/>
          </cell>
        </row>
        <row r="17841">
          <cell r="O17841" t="str">
            <v/>
          </cell>
        </row>
        <row r="17842">
          <cell r="O17842" t="str">
            <v/>
          </cell>
        </row>
        <row r="17843">
          <cell r="O17843" t="str">
            <v/>
          </cell>
        </row>
        <row r="17844">
          <cell r="O17844" t="str">
            <v/>
          </cell>
        </row>
        <row r="17845">
          <cell r="O17845" t="str">
            <v/>
          </cell>
        </row>
        <row r="17846">
          <cell r="O17846" t="str">
            <v/>
          </cell>
        </row>
        <row r="17847">
          <cell r="O17847" t="str">
            <v/>
          </cell>
        </row>
        <row r="17848">
          <cell r="O17848" t="str">
            <v/>
          </cell>
        </row>
        <row r="17849">
          <cell r="O17849" t="str">
            <v/>
          </cell>
        </row>
        <row r="17850">
          <cell r="O17850" t="str">
            <v/>
          </cell>
        </row>
        <row r="17851">
          <cell r="O17851" t="str">
            <v/>
          </cell>
        </row>
        <row r="17852">
          <cell r="O17852" t="str">
            <v/>
          </cell>
        </row>
        <row r="17853">
          <cell r="O17853" t="str">
            <v/>
          </cell>
        </row>
        <row r="17854">
          <cell r="O17854" t="str">
            <v/>
          </cell>
        </row>
        <row r="17855">
          <cell r="O17855" t="str">
            <v/>
          </cell>
        </row>
        <row r="17856">
          <cell r="O17856" t="str">
            <v/>
          </cell>
        </row>
        <row r="17857">
          <cell r="O17857" t="str">
            <v/>
          </cell>
        </row>
        <row r="17858">
          <cell r="O17858" t="str">
            <v/>
          </cell>
        </row>
        <row r="17859">
          <cell r="O17859" t="str">
            <v/>
          </cell>
        </row>
        <row r="17860">
          <cell r="O17860" t="str">
            <v/>
          </cell>
        </row>
        <row r="17861">
          <cell r="O17861" t="str">
            <v/>
          </cell>
        </row>
        <row r="17862">
          <cell r="O17862" t="str">
            <v/>
          </cell>
        </row>
        <row r="17863">
          <cell r="O17863" t="str">
            <v/>
          </cell>
        </row>
        <row r="17864">
          <cell r="O17864" t="str">
            <v/>
          </cell>
        </row>
        <row r="17865">
          <cell r="O17865" t="str">
            <v/>
          </cell>
        </row>
        <row r="17866">
          <cell r="O17866" t="str">
            <v/>
          </cell>
        </row>
        <row r="17867">
          <cell r="O17867" t="str">
            <v/>
          </cell>
        </row>
        <row r="17868">
          <cell r="O17868" t="str">
            <v/>
          </cell>
        </row>
        <row r="17869">
          <cell r="O17869" t="str">
            <v/>
          </cell>
        </row>
        <row r="17870">
          <cell r="O17870" t="str">
            <v/>
          </cell>
        </row>
        <row r="17871">
          <cell r="O17871" t="str">
            <v/>
          </cell>
        </row>
        <row r="17872">
          <cell r="O17872" t="str">
            <v/>
          </cell>
        </row>
        <row r="17873">
          <cell r="O17873" t="str">
            <v/>
          </cell>
        </row>
        <row r="17874">
          <cell r="O17874" t="str">
            <v/>
          </cell>
        </row>
        <row r="17875">
          <cell r="O17875" t="str">
            <v/>
          </cell>
        </row>
        <row r="17876">
          <cell r="O17876" t="str">
            <v/>
          </cell>
        </row>
        <row r="17877">
          <cell r="O17877" t="str">
            <v/>
          </cell>
        </row>
        <row r="17878">
          <cell r="O17878" t="str">
            <v/>
          </cell>
        </row>
        <row r="17879">
          <cell r="O17879" t="str">
            <v/>
          </cell>
        </row>
        <row r="17880">
          <cell r="O17880" t="str">
            <v/>
          </cell>
        </row>
        <row r="17881">
          <cell r="O17881" t="str">
            <v/>
          </cell>
        </row>
        <row r="17882">
          <cell r="O17882" t="str">
            <v/>
          </cell>
        </row>
        <row r="17883">
          <cell r="O17883" t="str">
            <v/>
          </cell>
        </row>
        <row r="17884">
          <cell r="O17884" t="str">
            <v/>
          </cell>
        </row>
        <row r="17885">
          <cell r="O17885" t="str">
            <v/>
          </cell>
        </row>
        <row r="17886">
          <cell r="O17886" t="str">
            <v/>
          </cell>
        </row>
        <row r="17887">
          <cell r="O17887" t="str">
            <v/>
          </cell>
        </row>
        <row r="17888">
          <cell r="O17888" t="str">
            <v/>
          </cell>
        </row>
        <row r="17889">
          <cell r="O17889" t="str">
            <v/>
          </cell>
        </row>
        <row r="17890">
          <cell r="O17890" t="str">
            <v/>
          </cell>
        </row>
        <row r="17891">
          <cell r="O17891" t="str">
            <v/>
          </cell>
        </row>
        <row r="17892">
          <cell r="O17892" t="str">
            <v/>
          </cell>
        </row>
        <row r="17893">
          <cell r="O17893" t="str">
            <v/>
          </cell>
        </row>
        <row r="17894">
          <cell r="O17894" t="str">
            <v/>
          </cell>
        </row>
        <row r="17895">
          <cell r="O17895" t="str">
            <v/>
          </cell>
        </row>
        <row r="17896">
          <cell r="O17896" t="str">
            <v/>
          </cell>
        </row>
        <row r="17897">
          <cell r="O17897" t="str">
            <v/>
          </cell>
        </row>
        <row r="17898">
          <cell r="O17898" t="str">
            <v/>
          </cell>
        </row>
        <row r="17899">
          <cell r="O17899" t="str">
            <v/>
          </cell>
        </row>
        <row r="17900">
          <cell r="O17900" t="str">
            <v/>
          </cell>
        </row>
        <row r="17901">
          <cell r="O17901" t="str">
            <v/>
          </cell>
        </row>
        <row r="17902">
          <cell r="O17902" t="str">
            <v/>
          </cell>
        </row>
        <row r="17903">
          <cell r="O17903" t="str">
            <v/>
          </cell>
        </row>
        <row r="17904">
          <cell r="O17904" t="str">
            <v/>
          </cell>
        </row>
        <row r="17905">
          <cell r="O17905" t="str">
            <v/>
          </cell>
        </row>
        <row r="17906">
          <cell r="O17906" t="str">
            <v/>
          </cell>
        </row>
        <row r="17907">
          <cell r="O17907" t="str">
            <v/>
          </cell>
        </row>
        <row r="17908">
          <cell r="O17908" t="str">
            <v/>
          </cell>
        </row>
        <row r="17909">
          <cell r="O17909" t="str">
            <v/>
          </cell>
        </row>
        <row r="17910">
          <cell r="O17910" t="str">
            <v/>
          </cell>
        </row>
        <row r="17911">
          <cell r="O17911" t="str">
            <v/>
          </cell>
        </row>
        <row r="17912">
          <cell r="O17912" t="str">
            <v/>
          </cell>
        </row>
        <row r="17913">
          <cell r="O17913" t="str">
            <v/>
          </cell>
        </row>
        <row r="17914">
          <cell r="O17914" t="str">
            <v/>
          </cell>
        </row>
        <row r="17915">
          <cell r="O17915" t="str">
            <v/>
          </cell>
        </row>
        <row r="17916">
          <cell r="O17916" t="str">
            <v/>
          </cell>
        </row>
        <row r="17917">
          <cell r="O17917" t="str">
            <v/>
          </cell>
        </row>
        <row r="17918">
          <cell r="O17918" t="str">
            <v/>
          </cell>
        </row>
        <row r="17919">
          <cell r="O17919" t="str">
            <v/>
          </cell>
        </row>
        <row r="17920">
          <cell r="O17920" t="str">
            <v/>
          </cell>
        </row>
        <row r="17921">
          <cell r="O17921" t="str">
            <v/>
          </cell>
        </row>
        <row r="17922">
          <cell r="O17922" t="str">
            <v/>
          </cell>
        </row>
        <row r="17923">
          <cell r="O17923" t="str">
            <v/>
          </cell>
        </row>
        <row r="17924">
          <cell r="O17924" t="str">
            <v/>
          </cell>
        </row>
        <row r="17925">
          <cell r="O17925" t="str">
            <v/>
          </cell>
        </row>
        <row r="17926">
          <cell r="O17926" t="str">
            <v/>
          </cell>
        </row>
        <row r="17927">
          <cell r="O17927" t="str">
            <v/>
          </cell>
        </row>
        <row r="17928">
          <cell r="O17928" t="str">
            <v/>
          </cell>
        </row>
        <row r="17929">
          <cell r="O17929" t="str">
            <v/>
          </cell>
        </row>
        <row r="17930">
          <cell r="O17930" t="str">
            <v/>
          </cell>
        </row>
        <row r="17931">
          <cell r="O17931" t="str">
            <v/>
          </cell>
        </row>
        <row r="17932">
          <cell r="O17932" t="str">
            <v/>
          </cell>
        </row>
        <row r="17933">
          <cell r="O17933" t="str">
            <v/>
          </cell>
        </row>
        <row r="17934">
          <cell r="O17934" t="str">
            <v/>
          </cell>
        </row>
        <row r="17935">
          <cell r="O17935" t="str">
            <v/>
          </cell>
        </row>
        <row r="17936">
          <cell r="O17936" t="str">
            <v/>
          </cell>
        </row>
        <row r="17937">
          <cell r="O17937" t="str">
            <v/>
          </cell>
        </row>
        <row r="17938">
          <cell r="O17938" t="str">
            <v/>
          </cell>
        </row>
        <row r="17939">
          <cell r="O17939" t="str">
            <v/>
          </cell>
        </row>
        <row r="17940">
          <cell r="O17940" t="str">
            <v/>
          </cell>
        </row>
        <row r="17941">
          <cell r="O17941" t="str">
            <v/>
          </cell>
        </row>
        <row r="17942">
          <cell r="O17942" t="str">
            <v/>
          </cell>
        </row>
        <row r="17943">
          <cell r="O17943" t="str">
            <v/>
          </cell>
        </row>
        <row r="17944">
          <cell r="O17944" t="str">
            <v/>
          </cell>
        </row>
        <row r="17945">
          <cell r="O17945" t="str">
            <v/>
          </cell>
        </row>
        <row r="17946">
          <cell r="O17946" t="str">
            <v/>
          </cell>
        </row>
        <row r="17947">
          <cell r="O17947" t="str">
            <v/>
          </cell>
        </row>
        <row r="17948">
          <cell r="O17948" t="str">
            <v/>
          </cell>
        </row>
        <row r="17949">
          <cell r="O17949" t="str">
            <v/>
          </cell>
        </row>
        <row r="17950">
          <cell r="O17950" t="str">
            <v/>
          </cell>
        </row>
        <row r="17951">
          <cell r="O17951" t="str">
            <v/>
          </cell>
        </row>
        <row r="17952">
          <cell r="O17952" t="str">
            <v/>
          </cell>
        </row>
        <row r="17953">
          <cell r="O17953" t="str">
            <v/>
          </cell>
        </row>
        <row r="17954">
          <cell r="O17954" t="str">
            <v/>
          </cell>
        </row>
        <row r="17955">
          <cell r="O17955" t="str">
            <v/>
          </cell>
        </row>
        <row r="17956">
          <cell r="O17956" t="str">
            <v/>
          </cell>
        </row>
        <row r="17957">
          <cell r="O17957" t="str">
            <v/>
          </cell>
        </row>
        <row r="17958">
          <cell r="O17958" t="str">
            <v/>
          </cell>
        </row>
        <row r="17959">
          <cell r="O17959" t="str">
            <v/>
          </cell>
        </row>
        <row r="17960">
          <cell r="O17960" t="str">
            <v/>
          </cell>
        </row>
        <row r="17961">
          <cell r="O17961" t="str">
            <v/>
          </cell>
        </row>
        <row r="17962">
          <cell r="O17962" t="str">
            <v/>
          </cell>
        </row>
        <row r="17963">
          <cell r="O17963" t="str">
            <v/>
          </cell>
        </row>
        <row r="17964">
          <cell r="O17964" t="str">
            <v/>
          </cell>
        </row>
        <row r="17965">
          <cell r="O17965" t="str">
            <v/>
          </cell>
        </row>
        <row r="17966">
          <cell r="O17966" t="str">
            <v/>
          </cell>
        </row>
        <row r="17967">
          <cell r="O17967" t="str">
            <v/>
          </cell>
        </row>
        <row r="17968">
          <cell r="O17968" t="str">
            <v/>
          </cell>
        </row>
        <row r="17969">
          <cell r="O17969" t="str">
            <v/>
          </cell>
        </row>
        <row r="17970">
          <cell r="O17970" t="str">
            <v/>
          </cell>
        </row>
        <row r="17971">
          <cell r="O17971" t="str">
            <v/>
          </cell>
        </row>
        <row r="17972">
          <cell r="O17972" t="str">
            <v/>
          </cell>
        </row>
        <row r="17973">
          <cell r="O17973" t="str">
            <v/>
          </cell>
        </row>
        <row r="17974">
          <cell r="O17974" t="str">
            <v/>
          </cell>
        </row>
        <row r="17975">
          <cell r="O17975" t="str">
            <v/>
          </cell>
        </row>
        <row r="17976">
          <cell r="O17976" t="str">
            <v/>
          </cell>
        </row>
        <row r="17977">
          <cell r="O17977" t="str">
            <v/>
          </cell>
        </row>
        <row r="17978">
          <cell r="O17978" t="str">
            <v/>
          </cell>
        </row>
        <row r="17979">
          <cell r="O17979" t="str">
            <v/>
          </cell>
        </row>
        <row r="17980">
          <cell r="O17980" t="str">
            <v/>
          </cell>
        </row>
        <row r="17981">
          <cell r="O17981" t="str">
            <v/>
          </cell>
        </row>
        <row r="17982">
          <cell r="O17982" t="str">
            <v/>
          </cell>
        </row>
        <row r="17983">
          <cell r="O17983" t="str">
            <v/>
          </cell>
        </row>
        <row r="17984">
          <cell r="O17984" t="str">
            <v/>
          </cell>
        </row>
        <row r="17985">
          <cell r="O17985" t="str">
            <v/>
          </cell>
        </row>
        <row r="17986">
          <cell r="O17986" t="str">
            <v/>
          </cell>
        </row>
        <row r="17987">
          <cell r="O17987" t="str">
            <v/>
          </cell>
        </row>
        <row r="17988">
          <cell r="O17988" t="str">
            <v/>
          </cell>
        </row>
        <row r="17989">
          <cell r="O17989" t="str">
            <v/>
          </cell>
        </row>
        <row r="17990">
          <cell r="O17990" t="str">
            <v/>
          </cell>
        </row>
        <row r="17991">
          <cell r="O17991" t="str">
            <v/>
          </cell>
        </row>
        <row r="17992">
          <cell r="O17992" t="str">
            <v/>
          </cell>
        </row>
        <row r="17993">
          <cell r="O17993" t="str">
            <v/>
          </cell>
        </row>
        <row r="17994">
          <cell r="O17994" t="str">
            <v/>
          </cell>
        </row>
        <row r="17995">
          <cell r="O17995" t="str">
            <v/>
          </cell>
        </row>
        <row r="17996">
          <cell r="O17996" t="str">
            <v/>
          </cell>
        </row>
        <row r="17997">
          <cell r="O17997" t="str">
            <v/>
          </cell>
        </row>
        <row r="17998">
          <cell r="O17998" t="str">
            <v/>
          </cell>
        </row>
        <row r="17999">
          <cell r="O17999" t="str">
            <v/>
          </cell>
        </row>
        <row r="18000">
          <cell r="O18000" t="str">
            <v/>
          </cell>
        </row>
        <row r="18001">
          <cell r="O18001" t="str">
            <v/>
          </cell>
        </row>
        <row r="18002">
          <cell r="O18002" t="str">
            <v/>
          </cell>
        </row>
        <row r="18003">
          <cell r="O18003" t="str">
            <v/>
          </cell>
        </row>
        <row r="18004">
          <cell r="O18004" t="str">
            <v/>
          </cell>
        </row>
        <row r="18005">
          <cell r="O18005" t="str">
            <v/>
          </cell>
        </row>
        <row r="18006">
          <cell r="O18006" t="str">
            <v/>
          </cell>
        </row>
        <row r="18007">
          <cell r="O18007" t="str">
            <v/>
          </cell>
        </row>
        <row r="18008">
          <cell r="O18008" t="str">
            <v/>
          </cell>
        </row>
        <row r="18009">
          <cell r="O18009" t="str">
            <v/>
          </cell>
        </row>
        <row r="18010">
          <cell r="O18010" t="str">
            <v/>
          </cell>
        </row>
        <row r="18011">
          <cell r="O18011" t="str">
            <v/>
          </cell>
        </row>
        <row r="18012">
          <cell r="O18012" t="str">
            <v/>
          </cell>
        </row>
        <row r="18013">
          <cell r="O18013" t="str">
            <v/>
          </cell>
        </row>
        <row r="18014">
          <cell r="O18014" t="str">
            <v/>
          </cell>
        </row>
        <row r="18015">
          <cell r="O18015" t="str">
            <v/>
          </cell>
        </row>
        <row r="18016">
          <cell r="O18016" t="str">
            <v/>
          </cell>
        </row>
        <row r="18017">
          <cell r="O18017" t="str">
            <v/>
          </cell>
        </row>
        <row r="18018">
          <cell r="O18018" t="str">
            <v/>
          </cell>
        </row>
        <row r="18019">
          <cell r="O18019" t="str">
            <v/>
          </cell>
        </row>
        <row r="18020">
          <cell r="O18020" t="str">
            <v/>
          </cell>
        </row>
        <row r="18021">
          <cell r="O18021" t="str">
            <v/>
          </cell>
        </row>
        <row r="18022">
          <cell r="O18022" t="str">
            <v/>
          </cell>
        </row>
        <row r="18023">
          <cell r="O18023" t="str">
            <v/>
          </cell>
        </row>
        <row r="18024">
          <cell r="O18024" t="str">
            <v/>
          </cell>
        </row>
        <row r="18025">
          <cell r="O18025" t="str">
            <v/>
          </cell>
        </row>
        <row r="18026">
          <cell r="O18026" t="str">
            <v/>
          </cell>
        </row>
        <row r="18027">
          <cell r="O18027" t="str">
            <v/>
          </cell>
        </row>
        <row r="18028">
          <cell r="O18028" t="str">
            <v/>
          </cell>
        </row>
        <row r="18029">
          <cell r="O18029" t="str">
            <v/>
          </cell>
        </row>
        <row r="18030">
          <cell r="O18030" t="str">
            <v/>
          </cell>
        </row>
        <row r="18031">
          <cell r="O18031" t="str">
            <v/>
          </cell>
        </row>
        <row r="18032">
          <cell r="O18032" t="str">
            <v/>
          </cell>
        </row>
        <row r="18033">
          <cell r="O18033" t="str">
            <v/>
          </cell>
        </row>
        <row r="18034">
          <cell r="O18034" t="str">
            <v/>
          </cell>
        </row>
        <row r="18035">
          <cell r="O18035" t="str">
            <v/>
          </cell>
        </row>
        <row r="18036">
          <cell r="O18036" t="str">
            <v/>
          </cell>
        </row>
        <row r="18037">
          <cell r="O18037" t="str">
            <v/>
          </cell>
        </row>
        <row r="18038">
          <cell r="O18038" t="str">
            <v/>
          </cell>
        </row>
        <row r="18039">
          <cell r="O18039" t="str">
            <v/>
          </cell>
        </row>
        <row r="18040">
          <cell r="O18040" t="str">
            <v/>
          </cell>
        </row>
        <row r="18041">
          <cell r="O18041" t="str">
            <v/>
          </cell>
        </row>
        <row r="18042">
          <cell r="O18042" t="str">
            <v/>
          </cell>
        </row>
        <row r="18043">
          <cell r="O18043" t="str">
            <v/>
          </cell>
        </row>
        <row r="18044">
          <cell r="O18044" t="str">
            <v/>
          </cell>
        </row>
        <row r="18045">
          <cell r="O18045" t="str">
            <v/>
          </cell>
        </row>
        <row r="18046">
          <cell r="O18046" t="str">
            <v/>
          </cell>
        </row>
        <row r="18047">
          <cell r="O18047" t="str">
            <v/>
          </cell>
        </row>
        <row r="18048">
          <cell r="O18048" t="str">
            <v/>
          </cell>
        </row>
        <row r="18049">
          <cell r="O18049" t="str">
            <v/>
          </cell>
        </row>
        <row r="18050">
          <cell r="O18050" t="str">
            <v/>
          </cell>
        </row>
        <row r="18051">
          <cell r="O18051" t="str">
            <v/>
          </cell>
        </row>
        <row r="18052">
          <cell r="O18052" t="str">
            <v/>
          </cell>
        </row>
        <row r="18053">
          <cell r="O18053" t="str">
            <v/>
          </cell>
        </row>
        <row r="18054">
          <cell r="O18054" t="str">
            <v/>
          </cell>
        </row>
        <row r="18055">
          <cell r="O18055" t="str">
            <v/>
          </cell>
        </row>
        <row r="18056">
          <cell r="O18056" t="str">
            <v/>
          </cell>
        </row>
        <row r="18057">
          <cell r="O18057" t="str">
            <v/>
          </cell>
        </row>
        <row r="18058">
          <cell r="O18058" t="str">
            <v/>
          </cell>
        </row>
        <row r="18059">
          <cell r="O18059" t="str">
            <v/>
          </cell>
        </row>
        <row r="18060">
          <cell r="O18060" t="str">
            <v/>
          </cell>
        </row>
        <row r="18061">
          <cell r="O18061" t="str">
            <v/>
          </cell>
        </row>
        <row r="18062">
          <cell r="O18062" t="str">
            <v/>
          </cell>
        </row>
        <row r="18063">
          <cell r="O18063" t="str">
            <v/>
          </cell>
        </row>
        <row r="18064">
          <cell r="O18064" t="str">
            <v/>
          </cell>
        </row>
        <row r="18065">
          <cell r="O18065" t="str">
            <v/>
          </cell>
        </row>
        <row r="18066">
          <cell r="O18066" t="str">
            <v/>
          </cell>
        </row>
        <row r="18067">
          <cell r="O18067" t="str">
            <v/>
          </cell>
        </row>
        <row r="18068">
          <cell r="O18068" t="str">
            <v/>
          </cell>
        </row>
        <row r="18069">
          <cell r="O18069" t="str">
            <v/>
          </cell>
        </row>
        <row r="18070">
          <cell r="O18070" t="str">
            <v/>
          </cell>
        </row>
        <row r="18071">
          <cell r="O18071" t="str">
            <v/>
          </cell>
        </row>
        <row r="18072">
          <cell r="O18072" t="str">
            <v/>
          </cell>
        </row>
        <row r="18073">
          <cell r="O18073" t="str">
            <v/>
          </cell>
        </row>
        <row r="18074">
          <cell r="O18074" t="str">
            <v/>
          </cell>
        </row>
        <row r="18075">
          <cell r="O18075" t="str">
            <v/>
          </cell>
        </row>
        <row r="18076">
          <cell r="O18076" t="str">
            <v/>
          </cell>
        </row>
        <row r="18077">
          <cell r="O18077" t="str">
            <v/>
          </cell>
        </row>
        <row r="18078">
          <cell r="O18078" t="str">
            <v/>
          </cell>
        </row>
        <row r="18079">
          <cell r="O18079" t="str">
            <v/>
          </cell>
        </row>
        <row r="18080">
          <cell r="O18080" t="str">
            <v/>
          </cell>
        </row>
        <row r="18081">
          <cell r="O18081" t="str">
            <v/>
          </cell>
        </row>
        <row r="18082">
          <cell r="O18082" t="str">
            <v/>
          </cell>
        </row>
        <row r="18083">
          <cell r="O18083" t="str">
            <v/>
          </cell>
        </row>
        <row r="18084">
          <cell r="O18084" t="str">
            <v/>
          </cell>
        </row>
        <row r="18085">
          <cell r="O18085" t="str">
            <v/>
          </cell>
        </row>
        <row r="18086">
          <cell r="O18086" t="str">
            <v/>
          </cell>
        </row>
        <row r="18087">
          <cell r="O18087" t="str">
            <v/>
          </cell>
        </row>
        <row r="18088">
          <cell r="O18088" t="str">
            <v/>
          </cell>
        </row>
        <row r="18089">
          <cell r="O18089" t="str">
            <v/>
          </cell>
        </row>
        <row r="18090">
          <cell r="O18090" t="str">
            <v/>
          </cell>
        </row>
        <row r="18091">
          <cell r="O18091" t="str">
            <v/>
          </cell>
        </row>
        <row r="18092">
          <cell r="O18092" t="str">
            <v/>
          </cell>
        </row>
        <row r="18093">
          <cell r="O18093" t="str">
            <v/>
          </cell>
        </row>
        <row r="18094">
          <cell r="O18094" t="str">
            <v/>
          </cell>
        </row>
        <row r="18095">
          <cell r="O18095" t="str">
            <v/>
          </cell>
        </row>
        <row r="18096">
          <cell r="O18096" t="str">
            <v/>
          </cell>
        </row>
        <row r="18097">
          <cell r="O18097" t="str">
            <v/>
          </cell>
        </row>
        <row r="18098">
          <cell r="O18098" t="str">
            <v/>
          </cell>
        </row>
        <row r="18099">
          <cell r="O18099" t="str">
            <v/>
          </cell>
        </row>
        <row r="18100">
          <cell r="O18100" t="str">
            <v/>
          </cell>
        </row>
        <row r="18101">
          <cell r="O18101" t="str">
            <v/>
          </cell>
        </row>
        <row r="18102">
          <cell r="O18102" t="str">
            <v/>
          </cell>
        </row>
        <row r="18103">
          <cell r="O18103" t="str">
            <v/>
          </cell>
        </row>
        <row r="18104">
          <cell r="O18104" t="str">
            <v/>
          </cell>
        </row>
        <row r="18105">
          <cell r="O18105" t="str">
            <v/>
          </cell>
        </row>
        <row r="18106">
          <cell r="O18106" t="str">
            <v/>
          </cell>
        </row>
        <row r="18107">
          <cell r="O18107" t="str">
            <v/>
          </cell>
        </row>
        <row r="18108">
          <cell r="O18108" t="str">
            <v/>
          </cell>
        </row>
        <row r="18109">
          <cell r="O18109" t="str">
            <v/>
          </cell>
        </row>
        <row r="18110">
          <cell r="O18110" t="str">
            <v/>
          </cell>
        </row>
        <row r="18111">
          <cell r="O18111" t="str">
            <v/>
          </cell>
        </row>
        <row r="18112">
          <cell r="O18112" t="str">
            <v/>
          </cell>
        </row>
        <row r="18113">
          <cell r="O18113" t="str">
            <v/>
          </cell>
        </row>
        <row r="18114">
          <cell r="O18114" t="str">
            <v/>
          </cell>
        </row>
        <row r="18115">
          <cell r="O18115" t="str">
            <v/>
          </cell>
        </row>
        <row r="18116">
          <cell r="O18116" t="str">
            <v/>
          </cell>
        </row>
        <row r="18117">
          <cell r="O18117" t="str">
            <v/>
          </cell>
        </row>
        <row r="18118">
          <cell r="O18118" t="str">
            <v/>
          </cell>
        </row>
        <row r="18119">
          <cell r="O18119" t="str">
            <v/>
          </cell>
        </row>
        <row r="18120">
          <cell r="O18120" t="str">
            <v/>
          </cell>
        </row>
        <row r="18121">
          <cell r="O18121" t="str">
            <v/>
          </cell>
        </row>
        <row r="18122">
          <cell r="O18122" t="str">
            <v/>
          </cell>
        </row>
        <row r="18123">
          <cell r="O18123" t="str">
            <v/>
          </cell>
        </row>
        <row r="18124">
          <cell r="O18124" t="str">
            <v/>
          </cell>
        </row>
        <row r="18125">
          <cell r="O18125" t="str">
            <v/>
          </cell>
        </row>
        <row r="18126">
          <cell r="O18126" t="str">
            <v/>
          </cell>
        </row>
        <row r="18127">
          <cell r="O18127" t="str">
            <v/>
          </cell>
        </row>
        <row r="18128">
          <cell r="O18128" t="str">
            <v/>
          </cell>
        </row>
        <row r="18129">
          <cell r="O18129" t="str">
            <v/>
          </cell>
        </row>
        <row r="18130">
          <cell r="O18130" t="str">
            <v/>
          </cell>
        </row>
        <row r="18131">
          <cell r="O18131" t="str">
            <v/>
          </cell>
        </row>
        <row r="18132">
          <cell r="O18132" t="str">
            <v/>
          </cell>
        </row>
        <row r="18133">
          <cell r="O18133" t="str">
            <v/>
          </cell>
        </row>
        <row r="18134">
          <cell r="O18134" t="str">
            <v/>
          </cell>
        </row>
        <row r="18135">
          <cell r="O18135" t="str">
            <v/>
          </cell>
        </row>
        <row r="18136">
          <cell r="O18136" t="str">
            <v/>
          </cell>
        </row>
        <row r="18137">
          <cell r="O18137" t="str">
            <v/>
          </cell>
        </row>
        <row r="18138">
          <cell r="O18138" t="str">
            <v/>
          </cell>
        </row>
        <row r="18139">
          <cell r="O18139" t="str">
            <v/>
          </cell>
        </row>
        <row r="18140">
          <cell r="O18140" t="str">
            <v/>
          </cell>
        </row>
        <row r="18141">
          <cell r="O18141" t="str">
            <v/>
          </cell>
        </row>
        <row r="18142">
          <cell r="O18142" t="str">
            <v/>
          </cell>
        </row>
        <row r="18143">
          <cell r="O18143" t="str">
            <v/>
          </cell>
        </row>
        <row r="18144">
          <cell r="O18144" t="str">
            <v/>
          </cell>
        </row>
        <row r="18145">
          <cell r="O18145" t="str">
            <v/>
          </cell>
        </row>
        <row r="18146">
          <cell r="O18146" t="str">
            <v/>
          </cell>
        </row>
        <row r="18147">
          <cell r="O18147" t="str">
            <v/>
          </cell>
        </row>
        <row r="18148">
          <cell r="O18148" t="str">
            <v/>
          </cell>
        </row>
        <row r="18149">
          <cell r="O18149" t="str">
            <v/>
          </cell>
        </row>
        <row r="18150">
          <cell r="O18150" t="str">
            <v/>
          </cell>
        </row>
        <row r="18151">
          <cell r="O18151" t="str">
            <v/>
          </cell>
        </row>
        <row r="18152">
          <cell r="O18152" t="str">
            <v/>
          </cell>
        </row>
        <row r="18153">
          <cell r="O18153" t="str">
            <v/>
          </cell>
        </row>
        <row r="18154">
          <cell r="O18154" t="str">
            <v/>
          </cell>
        </row>
        <row r="18155">
          <cell r="O18155" t="str">
            <v/>
          </cell>
        </row>
        <row r="18156">
          <cell r="O18156" t="str">
            <v/>
          </cell>
        </row>
        <row r="18157">
          <cell r="O18157" t="str">
            <v/>
          </cell>
        </row>
        <row r="18158">
          <cell r="O18158" t="str">
            <v/>
          </cell>
        </row>
        <row r="18159">
          <cell r="O18159" t="str">
            <v/>
          </cell>
        </row>
        <row r="18160">
          <cell r="O18160" t="str">
            <v/>
          </cell>
        </row>
        <row r="18161">
          <cell r="O18161" t="str">
            <v/>
          </cell>
        </row>
        <row r="18162">
          <cell r="O18162" t="str">
            <v/>
          </cell>
        </row>
        <row r="18163">
          <cell r="O18163" t="str">
            <v/>
          </cell>
        </row>
        <row r="18164">
          <cell r="O18164" t="str">
            <v/>
          </cell>
        </row>
        <row r="18165">
          <cell r="O18165" t="str">
            <v/>
          </cell>
        </row>
        <row r="18166">
          <cell r="O18166" t="str">
            <v/>
          </cell>
        </row>
        <row r="18167">
          <cell r="O18167" t="str">
            <v/>
          </cell>
        </row>
        <row r="18168">
          <cell r="O18168" t="str">
            <v/>
          </cell>
        </row>
        <row r="18169">
          <cell r="O18169" t="str">
            <v/>
          </cell>
        </row>
        <row r="18170">
          <cell r="O18170" t="str">
            <v/>
          </cell>
        </row>
        <row r="18171">
          <cell r="O18171" t="str">
            <v/>
          </cell>
        </row>
        <row r="18172">
          <cell r="O18172" t="str">
            <v/>
          </cell>
        </row>
        <row r="18173">
          <cell r="O18173" t="str">
            <v/>
          </cell>
        </row>
        <row r="18174">
          <cell r="O18174" t="str">
            <v/>
          </cell>
        </row>
        <row r="18175">
          <cell r="O18175" t="str">
            <v/>
          </cell>
        </row>
        <row r="18176">
          <cell r="O18176" t="str">
            <v/>
          </cell>
        </row>
        <row r="18177">
          <cell r="O18177" t="str">
            <v/>
          </cell>
        </row>
        <row r="18178">
          <cell r="O18178" t="str">
            <v/>
          </cell>
        </row>
        <row r="18179">
          <cell r="O18179" t="str">
            <v/>
          </cell>
        </row>
        <row r="18180">
          <cell r="O18180" t="str">
            <v/>
          </cell>
        </row>
        <row r="18181">
          <cell r="O18181" t="str">
            <v/>
          </cell>
        </row>
        <row r="18182">
          <cell r="O18182" t="str">
            <v/>
          </cell>
        </row>
        <row r="18183">
          <cell r="O18183" t="str">
            <v/>
          </cell>
        </row>
        <row r="18184">
          <cell r="O18184" t="str">
            <v/>
          </cell>
        </row>
        <row r="18185">
          <cell r="O18185" t="str">
            <v/>
          </cell>
        </row>
        <row r="18186">
          <cell r="O18186" t="str">
            <v/>
          </cell>
        </row>
        <row r="18187">
          <cell r="O18187" t="str">
            <v/>
          </cell>
        </row>
        <row r="18188">
          <cell r="O18188" t="str">
            <v/>
          </cell>
        </row>
        <row r="18189">
          <cell r="O18189" t="str">
            <v/>
          </cell>
        </row>
        <row r="18190">
          <cell r="O18190" t="str">
            <v/>
          </cell>
        </row>
        <row r="18191">
          <cell r="O18191" t="str">
            <v/>
          </cell>
        </row>
        <row r="18192">
          <cell r="O18192" t="str">
            <v/>
          </cell>
        </row>
        <row r="18193">
          <cell r="O18193" t="str">
            <v/>
          </cell>
        </row>
        <row r="18194">
          <cell r="O18194" t="str">
            <v/>
          </cell>
        </row>
        <row r="18195">
          <cell r="O18195" t="str">
            <v/>
          </cell>
        </row>
        <row r="18196">
          <cell r="O18196" t="str">
            <v/>
          </cell>
        </row>
        <row r="18197">
          <cell r="O18197" t="str">
            <v/>
          </cell>
        </row>
        <row r="18198">
          <cell r="O18198" t="str">
            <v/>
          </cell>
        </row>
        <row r="18199">
          <cell r="O18199" t="str">
            <v/>
          </cell>
        </row>
        <row r="18200">
          <cell r="O18200" t="str">
            <v/>
          </cell>
        </row>
        <row r="18201">
          <cell r="O18201" t="str">
            <v/>
          </cell>
        </row>
        <row r="18202">
          <cell r="O18202" t="str">
            <v/>
          </cell>
        </row>
        <row r="18203">
          <cell r="O18203" t="str">
            <v/>
          </cell>
        </row>
        <row r="18204">
          <cell r="O18204" t="str">
            <v/>
          </cell>
        </row>
        <row r="18205">
          <cell r="O18205" t="str">
            <v/>
          </cell>
        </row>
        <row r="18206">
          <cell r="O18206" t="str">
            <v/>
          </cell>
        </row>
        <row r="18207">
          <cell r="O18207" t="str">
            <v/>
          </cell>
        </row>
        <row r="18208">
          <cell r="O18208" t="str">
            <v/>
          </cell>
        </row>
        <row r="18209">
          <cell r="O18209" t="str">
            <v/>
          </cell>
        </row>
        <row r="18210">
          <cell r="O18210" t="str">
            <v/>
          </cell>
        </row>
        <row r="18211">
          <cell r="O18211" t="str">
            <v/>
          </cell>
        </row>
        <row r="18212">
          <cell r="O18212" t="str">
            <v/>
          </cell>
        </row>
        <row r="18213">
          <cell r="O18213" t="str">
            <v/>
          </cell>
        </row>
        <row r="18214">
          <cell r="O18214" t="str">
            <v/>
          </cell>
        </row>
        <row r="18215">
          <cell r="O18215" t="str">
            <v/>
          </cell>
        </row>
        <row r="18216">
          <cell r="O18216" t="str">
            <v/>
          </cell>
        </row>
        <row r="18217">
          <cell r="O18217" t="str">
            <v/>
          </cell>
        </row>
        <row r="18218">
          <cell r="O18218" t="str">
            <v/>
          </cell>
        </row>
        <row r="18219">
          <cell r="O18219" t="str">
            <v/>
          </cell>
        </row>
        <row r="18220">
          <cell r="O18220" t="str">
            <v/>
          </cell>
        </row>
        <row r="18221">
          <cell r="O18221" t="str">
            <v/>
          </cell>
        </row>
        <row r="18222">
          <cell r="O18222" t="str">
            <v/>
          </cell>
        </row>
        <row r="18223">
          <cell r="O18223" t="str">
            <v/>
          </cell>
        </row>
        <row r="18224">
          <cell r="O18224" t="str">
            <v/>
          </cell>
        </row>
        <row r="18225">
          <cell r="O18225" t="str">
            <v/>
          </cell>
        </row>
        <row r="18226">
          <cell r="O18226" t="str">
            <v/>
          </cell>
        </row>
        <row r="18227">
          <cell r="O18227" t="str">
            <v/>
          </cell>
        </row>
        <row r="18228">
          <cell r="O18228" t="str">
            <v/>
          </cell>
        </row>
        <row r="18229">
          <cell r="O18229" t="str">
            <v/>
          </cell>
        </row>
        <row r="18230">
          <cell r="O18230" t="str">
            <v/>
          </cell>
        </row>
        <row r="18231">
          <cell r="O18231" t="str">
            <v/>
          </cell>
        </row>
        <row r="18232">
          <cell r="O18232" t="str">
            <v/>
          </cell>
        </row>
        <row r="18233">
          <cell r="O18233" t="str">
            <v/>
          </cell>
        </row>
        <row r="18234">
          <cell r="O18234" t="str">
            <v/>
          </cell>
        </row>
        <row r="18235">
          <cell r="O18235" t="str">
            <v/>
          </cell>
        </row>
        <row r="18236">
          <cell r="O18236" t="str">
            <v/>
          </cell>
        </row>
        <row r="18237">
          <cell r="O18237" t="str">
            <v/>
          </cell>
        </row>
        <row r="18238">
          <cell r="O18238" t="str">
            <v/>
          </cell>
        </row>
        <row r="18239">
          <cell r="O18239" t="str">
            <v/>
          </cell>
        </row>
        <row r="18240">
          <cell r="O18240" t="str">
            <v/>
          </cell>
        </row>
        <row r="18241">
          <cell r="O18241" t="str">
            <v/>
          </cell>
        </row>
        <row r="18242">
          <cell r="O18242" t="str">
            <v/>
          </cell>
        </row>
        <row r="18243">
          <cell r="O18243" t="str">
            <v/>
          </cell>
        </row>
        <row r="18244">
          <cell r="O18244" t="str">
            <v/>
          </cell>
        </row>
        <row r="18245">
          <cell r="O18245" t="str">
            <v/>
          </cell>
        </row>
        <row r="18246">
          <cell r="O18246" t="str">
            <v/>
          </cell>
        </row>
        <row r="18247">
          <cell r="O18247" t="str">
            <v/>
          </cell>
        </row>
        <row r="18248">
          <cell r="O18248" t="str">
            <v/>
          </cell>
        </row>
        <row r="18249">
          <cell r="O18249" t="str">
            <v/>
          </cell>
        </row>
        <row r="18250">
          <cell r="O18250" t="str">
            <v/>
          </cell>
        </row>
        <row r="18251">
          <cell r="O18251" t="str">
            <v/>
          </cell>
        </row>
        <row r="18252">
          <cell r="O18252" t="str">
            <v/>
          </cell>
        </row>
        <row r="18253">
          <cell r="O18253" t="str">
            <v/>
          </cell>
        </row>
        <row r="18254">
          <cell r="O18254" t="str">
            <v/>
          </cell>
        </row>
        <row r="18255">
          <cell r="O18255" t="str">
            <v/>
          </cell>
        </row>
        <row r="18256">
          <cell r="O18256" t="str">
            <v/>
          </cell>
        </row>
        <row r="18257">
          <cell r="O18257" t="str">
            <v/>
          </cell>
        </row>
        <row r="18258">
          <cell r="O18258" t="str">
            <v/>
          </cell>
        </row>
        <row r="18259">
          <cell r="O18259" t="str">
            <v/>
          </cell>
        </row>
        <row r="18260">
          <cell r="O18260" t="str">
            <v/>
          </cell>
        </row>
        <row r="18261">
          <cell r="O18261" t="str">
            <v/>
          </cell>
        </row>
        <row r="18262">
          <cell r="O18262" t="str">
            <v/>
          </cell>
        </row>
        <row r="18263">
          <cell r="O18263" t="str">
            <v/>
          </cell>
        </row>
        <row r="18264">
          <cell r="O18264" t="str">
            <v/>
          </cell>
        </row>
        <row r="18265">
          <cell r="O18265" t="str">
            <v/>
          </cell>
        </row>
        <row r="18266">
          <cell r="O18266" t="str">
            <v/>
          </cell>
        </row>
        <row r="18267">
          <cell r="O18267" t="str">
            <v/>
          </cell>
        </row>
        <row r="18268">
          <cell r="O18268" t="str">
            <v/>
          </cell>
        </row>
        <row r="18269">
          <cell r="O18269" t="str">
            <v/>
          </cell>
        </row>
        <row r="18270">
          <cell r="O18270" t="str">
            <v/>
          </cell>
        </row>
        <row r="18271">
          <cell r="O18271" t="str">
            <v/>
          </cell>
        </row>
        <row r="18272">
          <cell r="O18272" t="str">
            <v/>
          </cell>
        </row>
        <row r="18273">
          <cell r="O18273" t="str">
            <v/>
          </cell>
        </row>
        <row r="18274">
          <cell r="O18274" t="str">
            <v/>
          </cell>
        </row>
        <row r="18275">
          <cell r="O18275" t="str">
            <v/>
          </cell>
        </row>
        <row r="18276">
          <cell r="O18276" t="str">
            <v/>
          </cell>
        </row>
        <row r="18277">
          <cell r="O18277" t="str">
            <v/>
          </cell>
        </row>
        <row r="18278">
          <cell r="O18278" t="str">
            <v/>
          </cell>
        </row>
        <row r="18279">
          <cell r="O18279" t="str">
            <v/>
          </cell>
        </row>
        <row r="18280">
          <cell r="O18280" t="str">
            <v/>
          </cell>
        </row>
        <row r="18281">
          <cell r="O18281" t="str">
            <v/>
          </cell>
        </row>
        <row r="18282">
          <cell r="O18282" t="str">
            <v/>
          </cell>
        </row>
        <row r="18283">
          <cell r="O18283" t="str">
            <v/>
          </cell>
        </row>
        <row r="18284">
          <cell r="O18284" t="str">
            <v/>
          </cell>
        </row>
        <row r="18285">
          <cell r="O18285" t="str">
            <v/>
          </cell>
        </row>
        <row r="18286">
          <cell r="O18286" t="str">
            <v/>
          </cell>
        </row>
        <row r="18287">
          <cell r="O18287" t="str">
            <v/>
          </cell>
        </row>
        <row r="18288">
          <cell r="O18288" t="str">
            <v/>
          </cell>
        </row>
        <row r="18289">
          <cell r="O18289" t="str">
            <v/>
          </cell>
        </row>
        <row r="18290">
          <cell r="O18290" t="str">
            <v/>
          </cell>
        </row>
        <row r="18291">
          <cell r="O18291" t="str">
            <v/>
          </cell>
        </row>
        <row r="18292">
          <cell r="O18292" t="str">
            <v/>
          </cell>
        </row>
        <row r="18293">
          <cell r="O18293" t="str">
            <v/>
          </cell>
        </row>
        <row r="18294">
          <cell r="O18294" t="str">
            <v/>
          </cell>
        </row>
        <row r="18295">
          <cell r="O18295" t="str">
            <v/>
          </cell>
        </row>
        <row r="18296">
          <cell r="O18296" t="str">
            <v/>
          </cell>
        </row>
        <row r="18297">
          <cell r="O18297" t="str">
            <v/>
          </cell>
        </row>
        <row r="18298">
          <cell r="O18298" t="str">
            <v/>
          </cell>
        </row>
        <row r="18299">
          <cell r="O18299" t="str">
            <v/>
          </cell>
        </row>
        <row r="18300">
          <cell r="O18300" t="str">
            <v/>
          </cell>
        </row>
        <row r="18301">
          <cell r="O18301" t="str">
            <v/>
          </cell>
        </row>
        <row r="18302">
          <cell r="O18302" t="str">
            <v/>
          </cell>
        </row>
        <row r="18303">
          <cell r="O18303" t="str">
            <v/>
          </cell>
        </row>
        <row r="18304">
          <cell r="O18304" t="str">
            <v/>
          </cell>
        </row>
        <row r="18305">
          <cell r="O18305" t="str">
            <v/>
          </cell>
        </row>
        <row r="18306">
          <cell r="O18306" t="str">
            <v/>
          </cell>
        </row>
        <row r="18307">
          <cell r="O18307" t="str">
            <v/>
          </cell>
        </row>
        <row r="18308">
          <cell r="O18308" t="str">
            <v/>
          </cell>
        </row>
        <row r="18309">
          <cell r="O18309" t="str">
            <v/>
          </cell>
        </row>
        <row r="18310">
          <cell r="O18310" t="str">
            <v/>
          </cell>
        </row>
        <row r="18311">
          <cell r="O18311" t="str">
            <v/>
          </cell>
        </row>
        <row r="18312">
          <cell r="O18312" t="str">
            <v/>
          </cell>
        </row>
        <row r="18313">
          <cell r="O18313" t="str">
            <v/>
          </cell>
        </row>
        <row r="18314">
          <cell r="O18314" t="str">
            <v/>
          </cell>
        </row>
        <row r="18315">
          <cell r="O18315" t="str">
            <v/>
          </cell>
        </row>
        <row r="18316">
          <cell r="O18316" t="str">
            <v/>
          </cell>
        </row>
        <row r="18317">
          <cell r="O18317" t="str">
            <v/>
          </cell>
        </row>
        <row r="18318">
          <cell r="O18318" t="str">
            <v/>
          </cell>
        </row>
        <row r="18319">
          <cell r="O18319" t="str">
            <v/>
          </cell>
        </row>
        <row r="18320">
          <cell r="O18320" t="str">
            <v/>
          </cell>
        </row>
        <row r="18321">
          <cell r="O18321" t="str">
            <v/>
          </cell>
        </row>
        <row r="18322">
          <cell r="O18322" t="str">
            <v/>
          </cell>
        </row>
        <row r="18323">
          <cell r="O18323" t="str">
            <v/>
          </cell>
        </row>
        <row r="18324">
          <cell r="O18324" t="str">
            <v/>
          </cell>
        </row>
        <row r="18325">
          <cell r="O18325" t="str">
            <v/>
          </cell>
        </row>
        <row r="18326">
          <cell r="O18326" t="str">
            <v/>
          </cell>
        </row>
        <row r="18327">
          <cell r="O18327" t="str">
            <v/>
          </cell>
        </row>
        <row r="18328">
          <cell r="O18328" t="str">
            <v/>
          </cell>
        </row>
        <row r="18329">
          <cell r="O18329" t="str">
            <v/>
          </cell>
        </row>
        <row r="18330">
          <cell r="O18330" t="str">
            <v/>
          </cell>
        </row>
        <row r="18331">
          <cell r="O18331" t="str">
            <v/>
          </cell>
        </row>
        <row r="18332">
          <cell r="O18332" t="str">
            <v/>
          </cell>
        </row>
        <row r="18333">
          <cell r="O18333" t="str">
            <v/>
          </cell>
        </row>
        <row r="18334">
          <cell r="O18334" t="str">
            <v/>
          </cell>
        </row>
        <row r="18335">
          <cell r="O18335" t="str">
            <v/>
          </cell>
        </row>
        <row r="18336">
          <cell r="O18336" t="str">
            <v/>
          </cell>
        </row>
        <row r="18337">
          <cell r="O18337" t="str">
            <v/>
          </cell>
        </row>
        <row r="18338">
          <cell r="O18338" t="str">
            <v/>
          </cell>
        </row>
        <row r="18339">
          <cell r="O18339" t="str">
            <v/>
          </cell>
        </row>
        <row r="18340">
          <cell r="O18340" t="str">
            <v/>
          </cell>
        </row>
        <row r="18341">
          <cell r="O18341" t="str">
            <v/>
          </cell>
        </row>
        <row r="18342">
          <cell r="O18342" t="str">
            <v/>
          </cell>
        </row>
        <row r="18343">
          <cell r="O18343" t="str">
            <v/>
          </cell>
        </row>
        <row r="18344">
          <cell r="O18344" t="str">
            <v/>
          </cell>
        </row>
        <row r="18345">
          <cell r="O18345" t="str">
            <v/>
          </cell>
        </row>
        <row r="18346">
          <cell r="O18346" t="str">
            <v/>
          </cell>
        </row>
        <row r="18347">
          <cell r="O18347" t="str">
            <v/>
          </cell>
        </row>
        <row r="18348">
          <cell r="O18348" t="str">
            <v/>
          </cell>
        </row>
        <row r="18349">
          <cell r="O18349" t="str">
            <v/>
          </cell>
        </row>
        <row r="18350">
          <cell r="O18350" t="str">
            <v/>
          </cell>
        </row>
        <row r="18351">
          <cell r="O18351" t="str">
            <v/>
          </cell>
        </row>
        <row r="18352">
          <cell r="O18352" t="str">
            <v/>
          </cell>
        </row>
        <row r="18353">
          <cell r="O18353" t="str">
            <v/>
          </cell>
        </row>
        <row r="18354">
          <cell r="O18354" t="str">
            <v/>
          </cell>
        </row>
        <row r="18355">
          <cell r="O18355" t="str">
            <v/>
          </cell>
        </row>
        <row r="18356">
          <cell r="O18356" t="str">
            <v/>
          </cell>
        </row>
        <row r="18357">
          <cell r="O18357" t="str">
            <v/>
          </cell>
        </row>
        <row r="18358">
          <cell r="O18358" t="str">
            <v/>
          </cell>
        </row>
        <row r="18359">
          <cell r="O18359" t="str">
            <v/>
          </cell>
        </row>
        <row r="18360">
          <cell r="O18360" t="str">
            <v/>
          </cell>
        </row>
        <row r="18361">
          <cell r="O18361" t="str">
            <v/>
          </cell>
        </row>
        <row r="18362">
          <cell r="O18362" t="str">
            <v/>
          </cell>
        </row>
        <row r="18363">
          <cell r="O18363" t="str">
            <v/>
          </cell>
        </row>
        <row r="18364">
          <cell r="O18364" t="str">
            <v/>
          </cell>
        </row>
        <row r="18365">
          <cell r="O18365" t="str">
            <v/>
          </cell>
        </row>
        <row r="18366">
          <cell r="O18366" t="str">
            <v/>
          </cell>
        </row>
        <row r="18367">
          <cell r="O18367" t="str">
            <v/>
          </cell>
        </row>
        <row r="18368">
          <cell r="O18368" t="str">
            <v/>
          </cell>
        </row>
        <row r="18369">
          <cell r="O18369" t="str">
            <v/>
          </cell>
        </row>
        <row r="18370">
          <cell r="O18370" t="str">
            <v/>
          </cell>
        </row>
        <row r="18371">
          <cell r="O18371" t="str">
            <v/>
          </cell>
        </row>
        <row r="18372">
          <cell r="O18372" t="str">
            <v/>
          </cell>
        </row>
        <row r="18373">
          <cell r="O18373" t="str">
            <v/>
          </cell>
        </row>
        <row r="18374">
          <cell r="O18374" t="str">
            <v/>
          </cell>
        </row>
        <row r="18375">
          <cell r="O18375" t="str">
            <v/>
          </cell>
        </row>
        <row r="18376">
          <cell r="O18376" t="str">
            <v/>
          </cell>
        </row>
        <row r="18377">
          <cell r="O18377" t="str">
            <v/>
          </cell>
        </row>
        <row r="18378">
          <cell r="O18378" t="str">
            <v/>
          </cell>
        </row>
        <row r="18379">
          <cell r="O18379" t="str">
            <v/>
          </cell>
        </row>
        <row r="18380">
          <cell r="O18380" t="str">
            <v/>
          </cell>
        </row>
        <row r="18381">
          <cell r="O18381" t="str">
            <v/>
          </cell>
        </row>
        <row r="18382">
          <cell r="O18382" t="str">
            <v/>
          </cell>
        </row>
        <row r="18383">
          <cell r="O18383" t="str">
            <v/>
          </cell>
        </row>
        <row r="18384">
          <cell r="O18384" t="str">
            <v/>
          </cell>
        </row>
        <row r="18385">
          <cell r="O18385" t="str">
            <v/>
          </cell>
        </row>
        <row r="18386">
          <cell r="O18386" t="str">
            <v/>
          </cell>
        </row>
        <row r="18387">
          <cell r="O18387" t="str">
            <v/>
          </cell>
        </row>
        <row r="18388">
          <cell r="O18388" t="str">
            <v/>
          </cell>
        </row>
        <row r="18389">
          <cell r="O18389" t="str">
            <v/>
          </cell>
        </row>
        <row r="18390">
          <cell r="O18390" t="str">
            <v/>
          </cell>
        </row>
        <row r="18391">
          <cell r="O18391" t="str">
            <v/>
          </cell>
        </row>
        <row r="18392">
          <cell r="O18392" t="str">
            <v/>
          </cell>
        </row>
        <row r="18393">
          <cell r="O18393" t="str">
            <v/>
          </cell>
        </row>
        <row r="18394">
          <cell r="O18394" t="str">
            <v/>
          </cell>
        </row>
        <row r="18395">
          <cell r="O18395" t="str">
            <v/>
          </cell>
        </row>
        <row r="18396">
          <cell r="O18396" t="str">
            <v/>
          </cell>
        </row>
        <row r="18397">
          <cell r="O18397" t="str">
            <v/>
          </cell>
        </row>
        <row r="18398">
          <cell r="O18398" t="str">
            <v/>
          </cell>
        </row>
        <row r="18399">
          <cell r="O18399" t="str">
            <v/>
          </cell>
        </row>
        <row r="18400">
          <cell r="O18400" t="str">
            <v/>
          </cell>
        </row>
        <row r="18401">
          <cell r="O18401" t="str">
            <v/>
          </cell>
        </row>
        <row r="18402">
          <cell r="O18402" t="str">
            <v/>
          </cell>
        </row>
        <row r="18403">
          <cell r="O18403" t="str">
            <v/>
          </cell>
        </row>
        <row r="18404">
          <cell r="O18404" t="str">
            <v/>
          </cell>
        </row>
        <row r="18405">
          <cell r="O18405" t="str">
            <v/>
          </cell>
        </row>
        <row r="18406">
          <cell r="O18406" t="str">
            <v/>
          </cell>
        </row>
        <row r="18407">
          <cell r="O18407" t="str">
            <v/>
          </cell>
        </row>
        <row r="18408">
          <cell r="O18408" t="str">
            <v/>
          </cell>
        </row>
        <row r="18409">
          <cell r="O18409" t="str">
            <v/>
          </cell>
        </row>
        <row r="18410">
          <cell r="O18410" t="str">
            <v/>
          </cell>
        </row>
        <row r="18411">
          <cell r="O18411" t="str">
            <v/>
          </cell>
        </row>
        <row r="18412">
          <cell r="O18412" t="str">
            <v/>
          </cell>
        </row>
        <row r="18413">
          <cell r="O18413" t="str">
            <v/>
          </cell>
        </row>
        <row r="18414">
          <cell r="O18414" t="str">
            <v/>
          </cell>
        </row>
        <row r="18415">
          <cell r="O18415" t="str">
            <v/>
          </cell>
        </row>
        <row r="18416">
          <cell r="O18416" t="str">
            <v/>
          </cell>
        </row>
        <row r="18417">
          <cell r="O18417" t="str">
            <v/>
          </cell>
        </row>
        <row r="18418">
          <cell r="O18418" t="str">
            <v/>
          </cell>
        </row>
        <row r="18419">
          <cell r="O18419" t="str">
            <v/>
          </cell>
        </row>
        <row r="18420">
          <cell r="O18420" t="str">
            <v/>
          </cell>
        </row>
        <row r="18421">
          <cell r="O18421" t="str">
            <v/>
          </cell>
        </row>
        <row r="18422">
          <cell r="O18422" t="str">
            <v/>
          </cell>
        </row>
        <row r="18423">
          <cell r="O18423" t="str">
            <v/>
          </cell>
        </row>
        <row r="18424">
          <cell r="O18424" t="str">
            <v/>
          </cell>
        </row>
        <row r="18425">
          <cell r="O18425" t="str">
            <v/>
          </cell>
        </row>
        <row r="18426">
          <cell r="O18426" t="str">
            <v/>
          </cell>
        </row>
        <row r="18427">
          <cell r="O18427" t="str">
            <v/>
          </cell>
        </row>
        <row r="18428">
          <cell r="O18428" t="str">
            <v/>
          </cell>
        </row>
        <row r="18429">
          <cell r="O18429" t="str">
            <v/>
          </cell>
        </row>
        <row r="18430">
          <cell r="O18430" t="str">
            <v/>
          </cell>
        </row>
        <row r="18431">
          <cell r="O18431" t="str">
            <v/>
          </cell>
        </row>
        <row r="18432">
          <cell r="O18432" t="str">
            <v/>
          </cell>
        </row>
        <row r="18433">
          <cell r="O18433" t="str">
            <v/>
          </cell>
        </row>
        <row r="18434">
          <cell r="O18434" t="str">
            <v/>
          </cell>
        </row>
        <row r="18435">
          <cell r="O18435" t="str">
            <v/>
          </cell>
        </row>
        <row r="18436">
          <cell r="O18436" t="str">
            <v/>
          </cell>
        </row>
        <row r="18437">
          <cell r="O18437" t="str">
            <v/>
          </cell>
        </row>
        <row r="18438">
          <cell r="O18438" t="str">
            <v/>
          </cell>
        </row>
        <row r="18439">
          <cell r="O18439" t="str">
            <v/>
          </cell>
        </row>
        <row r="18440">
          <cell r="O18440" t="str">
            <v/>
          </cell>
        </row>
        <row r="18441">
          <cell r="O18441" t="str">
            <v/>
          </cell>
        </row>
        <row r="18442">
          <cell r="O18442" t="str">
            <v/>
          </cell>
        </row>
        <row r="18443">
          <cell r="O18443" t="str">
            <v/>
          </cell>
        </row>
        <row r="18444">
          <cell r="O18444" t="str">
            <v/>
          </cell>
        </row>
        <row r="18445">
          <cell r="O18445" t="str">
            <v/>
          </cell>
        </row>
        <row r="18446">
          <cell r="O18446" t="str">
            <v/>
          </cell>
        </row>
        <row r="18447">
          <cell r="O18447" t="str">
            <v/>
          </cell>
        </row>
        <row r="18448">
          <cell r="O18448" t="str">
            <v/>
          </cell>
        </row>
        <row r="18449">
          <cell r="O18449" t="str">
            <v/>
          </cell>
        </row>
        <row r="18450">
          <cell r="O18450" t="str">
            <v/>
          </cell>
        </row>
        <row r="18451">
          <cell r="O18451" t="str">
            <v/>
          </cell>
        </row>
        <row r="18452">
          <cell r="O18452" t="str">
            <v/>
          </cell>
        </row>
        <row r="18453">
          <cell r="O18453" t="str">
            <v/>
          </cell>
        </row>
        <row r="18454">
          <cell r="O18454" t="str">
            <v/>
          </cell>
        </row>
        <row r="18455">
          <cell r="O18455" t="str">
            <v/>
          </cell>
        </row>
        <row r="18456">
          <cell r="O18456" t="str">
            <v/>
          </cell>
        </row>
        <row r="18457">
          <cell r="O18457" t="str">
            <v/>
          </cell>
        </row>
        <row r="18458">
          <cell r="O18458" t="str">
            <v/>
          </cell>
        </row>
        <row r="18459">
          <cell r="O18459" t="str">
            <v/>
          </cell>
        </row>
        <row r="18460">
          <cell r="O18460" t="str">
            <v/>
          </cell>
        </row>
        <row r="18461">
          <cell r="O18461" t="str">
            <v/>
          </cell>
        </row>
        <row r="18462">
          <cell r="O18462" t="str">
            <v/>
          </cell>
        </row>
        <row r="18463">
          <cell r="O18463" t="str">
            <v/>
          </cell>
        </row>
        <row r="18464">
          <cell r="O18464" t="str">
            <v/>
          </cell>
        </row>
        <row r="18465">
          <cell r="O18465" t="str">
            <v/>
          </cell>
        </row>
        <row r="18466">
          <cell r="O18466" t="str">
            <v/>
          </cell>
        </row>
        <row r="18467">
          <cell r="O18467" t="str">
            <v/>
          </cell>
        </row>
        <row r="18468">
          <cell r="O18468" t="str">
            <v/>
          </cell>
        </row>
        <row r="18469">
          <cell r="O18469" t="str">
            <v/>
          </cell>
        </row>
        <row r="18470">
          <cell r="O18470" t="str">
            <v/>
          </cell>
        </row>
        <row r="18471">
          <cell r="O18471" t="str">
            <v/>
          </cell>
        </row>
        <row r="18472">
          <cell r="O18472" t="str">
            <v/>
          </cell>
        </row>
        <row r="18473">
          <cell r="O18473" t="str">
            <v/>
          </cell>
        </row>
        <row r="18474">
          <cell r="O18474" t="str">
            <v/>
          </cell>
        </row>
        <row r="18475">
          <cell r="O18475" t="str">
            <v/>
          </cell>
        </row>
        <row r="18476">
          <cell r="O18476" t="str">
            <v/>
          </cell>
        </row>
        <row r="18477">
          <cell r="O18477" t="str">
            <v/>
          </cell>
        </row>
        <row r="18478">
          <cell r="O18478" t="str">
            <v/>
          </cell>
        </row>
        <row r="18479">
          <cell r="O18479" t="str">
            <v/>
          </cell>
        </row>
        <row r="18480">
          <cell r="O18480" t="str">
            <v/>
          </cell>
        </row>
        <row r="18481">
          <cell r="O18481" t="str">
            <v/>
          </cell>
        </row>
        <row r="18482">
          <cell r="O18482" t="str">
            <v/>
          </cell>
        </row>
        <row r="18483">
          <cell r="O18483" t="str">
            <v/>
          </cell>
        </row>
        <row r="18484">
          <cell r="O18484" t="str">
            <v/>
          </cell>
        </row>
        <row r="18485">
          <cell r="O18485" t="str">
            <v/>
          </cell>
        </row>
        <row r="18486">
          <cell r="O18486" t="str">
            <v/>
          </cell>
        </row>
        <row r="18487">
          <cell r="O18487" t="str">
            <v/>
          </cell>
        </row>
        <row r="18488">
          <cell r="O18488" t="str">
            <v/>
          </cell>
        </row>
        <row r="18489">
          <cell r="O18489" t="str">
            <v/>
          </cell>
        </row>
        <row r="18490">
          <cell r="O18490" t="str">
            <v/>
          </cell>
        </row>
        <row r="18491">
          <cell r="O18491" t="str">
            <v/>
          </cell>
        </row>
        <row r="18492">
          <cell r="O18492" t="str">
            <v/>
          </cell>
        </row>
        <row r="18493">
          <cell r="O18493" t="str">
            <v/>
          </cell>
        </row>
        <row r="18494">
          <cell r="O18494" t="str">
            <v/>
          </cell>
        </row>
        <row r="18495">
          <cell r="O18495" t="str">
            <v/>
          </cell>
        </row>
        <row r="18496">
          <cell r="O18496" t="str">
            <v/>
          </cell>
        </row>
        <row r="18497">
          <cell r="O18497" t="str">
            <v/>
          </cell>
        </row>
        <row r="18498">
          <cell r="O18498" t="str">
            <v/>
          </cell>
        </row>
        <row r="18499">
          <cell r="O18499" t="str">
            <v/>
          </cell>
        </row>
        <row r="18500">
          <cell r="O18500" t="str">
            <v/>
          </cell>
        </row>
        <row r="18501">
          <cell r="O18501" t="str">
            <v/>
          </cell>
        </row>
        <row r="18502">
          <cell r="O18502" t="str">
            <v/>
          </cell>
        </row>
        <row r="18503">
          <cell r="O18503" t="str">
            <v/>
          </cell>
        </row>
        <row r="18504">
          <cell r="O18504" t="str">
            <v/>
          </cell>
        </row>
        <row r="18505">
          <cell r="O18505" t="str">
            <v/>
          </cell>
        </row>
        <row r="18506">
          <cell r="O18506" t="str">
            <v/>
          </cell>
        </row>
        <row r="18507">
          <cell r="O18507" t="str">
            <v/>
          </cell>
        </row>
        <row r="18508">
          <cell r="O18508" t="str">
            <v/>
          </cell>
        </row>
        <row r="18509">
          <cell r="O18509" t="str">
            <v/>
          </cell>
        </row>
        <row r="18510">
          <cell r="O18510" t="str">
            <v/>
          </cell>
        </row>
        <row r="18511">
          <cell r="O18511" t="str">
            <v/>
          </cell>
        </row>
        <row r="18512">
          <cell r="O18512" t="str">
            <v/>
          </cell>
        </row>
        <row r="18513">
          <cell r="O18513" t="str">
            <v/>
          </cell>
        </row>
        <row r="18514">
          <cell r="O18514" t="str">
            <v/>
          </cell>
        </row>
        <row r="18515">
          <cell r="O18515" t="str">
            <v/>
          </cell>
        </row>
        <row r="18516">
          <cell r="O18516" t="str">
            <v/>
          </cell>
        </row>
        <row r="18517">
          <cell r="O18517" t="str">
            <v/>
          </cell>
        </row>
        <row r="18518">
          <cell r="O18518" t="str">
            <v/>
          </cell>
        </row>
        <row r="18519">
          <cell r="O18519" t="str">
            <v/>
          </cell>
        </row>
        <row r="18520">
          <cell r="O18520" t="str">
            <v/>
          </cell>
        </row>
        <row r="18521">
          <cell r="O18521" t="str">
            <v/>
          </cell>
        </row>
        <row r="18522">
          <cell r="O18522" t="str">
            <v/>
          </cell>
        </row>
        <row r="18523">
          <cell r="O18523" t="str">
            <v/>
          </cell>
        </row>
        <row r="18524">
          <cell r="O18524" t="str">
            <v/>
          </cell>
        </row>
        <row r="18525">
          <cell r="O18525" t="str">
            <v/>
          </cell>
        </row>
        <row r="18526">
          <cell r="O18526" t="str">
            <v/>
          </cell>
        </row>
        <row r="18527">
          <cell r="O18527" t="str">
            <v/>
          </cell>
        </row>
        <row r="18528">
          <cell r="O18528" t="str">
            <v/>
          </cell>
        </row>
        <row r="18529">
          <cell r="O18529" t="str">
            <v/>
          </cell>
        </row>
        <row r="18530">
          <cell r="O18530" t="str">
            <v/>
          </cell>
        </row>
        <row r="18531">
          <cell r="O18531" t="str">
            <v/>
          </cell>
        </row>
        <row r="18532">
          <cell r="O18532" t="str">
            <v/>
          </cell>
        </row>
        <row r="18533">
          <cell r="O18533" t="str">
            <v/>
          </cell>
        </row>
        <row r="18534">
          <cell r="O18534" t="str">
            <v/>
          </cell>
        </row>
        <row r="18535">
          <cell r="O18535" t="str">
            <v/>
          </cell>
        </row>
        <row r="18536">
          <cell r="O18536" t="str">
            <v/>
          </cell>
        </row>
        <row r="18537">
          <cell r="O18537" t="str">
            <v/>
          </cell>
        </row>
        <row r="18538">
          <cell r="O18538" t="str">
            <v/>
          </cell>
        </row>
        <row r="18539">
          <cell r="O18539" t="str">
            <v/>
          </cell>
        </row>
        <row r="18540">
          <cell r="O18540" t="str">
            <v/>
          </cell>
        </row>
        <row r="18541">
          <cell r="O18541" t="str">
            <v/>
          </cell>
        </row>
        <row r="18542">
          <cell r="O18542" t="str">
            <v/>
          </cell>
        </row>
        <row r="18543">
          <cell r="O18543" t="str">
            <v/>
          </cell>
        </row>
        <row r="18544">
          <cell r="O18544" t="str">
            <v/>
          </cell>
        </row>
        <row r="18545">
          <cell r="O18545" t="str">
            <v/>
          </cell>
        </row>
        <row r="18546">
          <cell r="O18546" t="str">
            <v/>
          </cell>
        </row>
        <row r="18547">
          <cell r="O18547" t="str">
            <v/>
          </cell>
        </row>
        <row r="18548">
          <cell r="O18548" t="str">
            <v/>
          </cell>
        </row>
        <row r="18549">
          <cell r="O18549" t="str">
            <v/>
          </cell>
        </row>
        <row r="18550">
          <cell r="O18550" t="str">
            <v/>
          </cell>
        </row>
        <row r="18551">
          <cell r="O18551" t="str">
            <v/>
          </cell>
        </row>
        <row r="18552">
          <cell r="O18552" t="str">
            <v/>
          </cell>
        </row>
        <row r="18553">
          <cell r="O18553" t="str">
            <v/>
          </cell>
        </row>
        <row r="18554">
          <cell r="O18554" t="str">
            <v/>
          </cell>
        </row>
        <row r="18555">
          <cell r="O18555" t="str">
            <v/>
          </cell>
        </row>
        <row r="18556">
          <cell r="O18556" t="str">
            <v/>
          </cell>
        </row>
        <row r="18557">
          <cell r="O18557" t="str">
            <v/>
          </cell>
        </row>
        <row r="18558">
          <cell r="O18558" t="str">
            <v/>
          </cell>
        </row>
        <row r="18559">
          <cell r="O18559" t="str">
            <v/>
          </cell>
        </row>
        <row r="18560">
          <cell r="O18560" t="str">
            <v/>
          </cell>
        </row>
        <row r="18561">
          <cell r="O18561" t="str">
            <v/>
          </cell>
        </row>
        <row r="18562">
          <cell r="O18562" t="str">
            <v/>
          </cell>
        </row>
        <row r="18563">
          <cell r="O18563" t="str">
            <v/>
          </cell>
        </row>
        <row r="18564">
          <cell r="O18564" t="str">
            <v/>
          </cell>
        </row>
        <row r="18565">
          <cell r="O18565" t="str">
            <v/>
          </cell>
        </row>
        <row r="18566">
          <cell r="O18566" t="str">
            <v/>
          </cell>
        </row>
        <row r="18567">
          <cell r="O18567" t="str">
            <v/>
          </cell>
        </row>
        <row r="18568">
          <cell r="O18568" t="str">
            <v/>
          </cell>
        </row>
        <row r="18569">
          <cell r="O18569" t="str">
            <v/>
          </cell>
        </row>
        <row r="18570">
          <cell r="O18570" t="str">
            <v/>
          </cell>
        </row>
        <row r="18571">
          <cell r="O18571" t="str">
            <v/>
          </cell>
        </row>
        <row r="18572">
          <cell r="O18572" t="str">
            <v/>
          </cell>
        </row>
        <row r="18573">
          <cell r="O18573" t="str">
            <v/>
          </cell>
        </row>
        <row r="18574">
          <cell r="O18574" t="str">
            <v/>
          </cell>
        </row>
        <row r="18575">
          <cell r="O18575" t="str">
            <v/>
          </cell>
        </row>
        <row r="18576">
          <cell r="O18576" t="str">
            <v/>
          </cell>
        </row>
        <row r="18577">
          <cell r="O18577" t="str">
            <v/>
          </cell>
        </row>
        <row r="18578">
          <cell r="O18578" t="str">
            <v/>
          </cell>
        </row>
        <row r="18579">
          <cell r="O18579" t="str">
            <v/>
          </cell>
        </row>
        <row r="18580">
          <cell r="O18580" t="str">
            <v/>
          </cell>
        </row>
        <row r="18581">
          <cell r="O18581" t="str">
            <v/>
          </cell>
        </row>
        <row r="18582">
          <cell r="O18582" t="str">
            <v/>
          </cell>
        </row>
        <row r="18583">
          <cell r="O18583" t="str">
            <v/>
          </cell>
        </row>
        <row r="18584">
          <cell r="O18584" t="str">
            <v/>
          </cell>
        </row>
        <row r="18585">
          <cell r="O18585" t="str">
            <v/>
          </cell>
        </row>
        <row r="18586">
          <cell r="O18586" t="str">
            <v/>
          </cell>
        </row>
        <row r="18587">
          <cell r="O18587" t="str">
            <v/>
          </cell>
        </row>
        <row r="18588">
          <cell r="O18588" t="str">
            <v/>
          </cell>
        </row>
        <row r="18589">
          <cell r="O18589" t="str">
            <v/>
          </cell>
        </row>
        <row r="18590">
          <cell r="O18590" t="str">
            <v/>
          </cell>
        </row>
        <row r="18591">
          <cell r="O18591" t="str">
            <v/>
          </cell>
        </row>
        <row r="18592">
          <cell r="O18592" t="str">
            <v/>
          </cell>
        </row>
        <row r="18593">
          <cell r="O18593" t="str">
            <v/>
          </cell>
        </row>
        <row r="18594">
          <cell r="O18594" t="str">
            <v/>
          </cell>
        </row>
        <row r="18595">
          <cell r="O18595" t="str">
            <v/>
          </cell>
        </row>
        <row r="18596">
          <cell r="O18596" t="str">
            <v/>
          </cell>
        </row>
        <row r="18597">
          <cell r="O18597" t="str">
            <v/>
          </cell>
        </row>
        <row r="18598">
          <cell r="O18598" t="str">
            <v/>
          </cell>
        </row>
        <row r="18599">
          <cell r="O18599" t="str">
            <v/>
          </cell>
        </row>
        <row r="18600">
          <cell r="O18600" t="str">
            <v/>
          </cell>
        </row>
        <row r="18601">
          <cell r="O18601" t="str">
            <v/>
          </cell>
        </row>
        <row r="18602">
          <cell r="O18602" t="str">
            <v/>
          </cell>
        </row>
        <row r="18603">
          <cell r="O18603" t="str">
            <v/>
          </cell>
        </row>
        <row r="18604">
          <cell r="O18604" t="str">
            <v/>
          </cell>
        </row>
        <row r="18605">
          <cell r="O18605" t="str">
            <v/>
          </cell>
        </row>
        <row r="18606">
          <cell r="O18606" t="str">
            <v/>
          </cell>
        </row>
        <row r="18607">
          <cell r="O18607" t="str">
            <v/>
          </cell>
        </row>
        <row r="18608">
          <cell r="O18608" t="str">
            <v/>
          </cell>
        </row>
        <row r="18609">
          <cell r="O18609" t="str">
            <v/>
          </cell>
        </row>
        <row r="18610">
          <cell r="O18610" t="str">
            <v/>
          </cell>
        </row>
        <row r="18611">
          <cell r="O18611" t="str">
            <v/>
          </cell>
        </row>
        <row r="18612">
          <cell r="O18612" t="str">
            <v/>
          </cell>
        </row>
        <row r="18613">
          <cell r="O18613" t="str">
            <v/>
          </cell>
        </row>
        <row r="18614">
          <cell r="O18614" t="str">
            <v/>
          </cell>
        </row>
        <row r="18615">
          <cell r="O18615" t="str">
            <v/>
          </cell>
        </row>
        <row r="18616">
          <cell r="O18616" t="str">
            <v/>
          </cell>
        </row>
        <row r="18617">
          <cell r="O18617" t="str">
            <v/>
          </cell>
        </row>
        <row r="18618">
          <cell r="O18618" t="str">
            <v/>
          </cell>
        </row>
        <row r="18619">
          <cell r="O18619" t="str">
            <v/>
          </cell>
        </row>
        <row r="18620">
          <cell r="O18620" t="str">
            <v/>
          </cell>
        </row>
        <row r="18621">
          <cell r="O18621" t="str">
            <v/>
          </cell>
        </row>
        <row r="18622">
          <cell r="O18622" t="str">
            <v/>
          </cell>
        </row>
        <row r="18623">
          <cell r="O18623" t="str">
            <v/>
          </cell>
        </row>
        <row r="18624">
          <cell r="O18624" t="str">
            <v/>
          </cell>
        </row>
        <row r="18625">
          <cell r="O18625" t="str">
            <v/>
          </cell>
        </row>
        <row r="18626">
          <cell r="O18626" t="str">
            <v/>
          </cell>
        </row>
        <row r="18627">
          <cell r="O18627" t="str">
            <v/>
          </cell>
        </row>
        <row r="18628">
          <cell r="O18628" t="str">
            <v/>
          </cell>
        </row>
        <row r="18629">
          <cell r="O18629" t="str">
            <v/>
          </cell>
        </row>
        <row r="18630">
          <cell r="O18630" t="str">
            <v/>
          </cell>
        </row>
        <row r="18631">
          <cell r="O18631" t="str">
            <v/>
          </cell>
        </row>
        <row r="18632">
          <cell r="O18632" t="str">
            <v/>
          </cell>
        </row>
        <row r="18633">
          <cell r="O18633" t="str">
            <v/>
          </cell>
        </row>
        <row r="18634">
          <cell r="O18634" t="str">
            <v/>
          </cell>
        </row>
        <row r="18635">
          <cell r="O18635" t="str">
            <v/>
          </cell>
        </row>
        <row r="18636">
          <cell r="O18636" t="str">
            <v/>
          </cell>
        </row>
        <row r="18637">
          <cell r="O18637" t="str">
            <v/>
          </cell>
        </row>
        <row r="18638">
          <cell r="O18638" t="str">
            <v/>
          </cell>
        </row>
        <row r="18639">
          <cell r="O18639" t="str">
            <v/>
          </cell>
        </row>
        <row r="18640">
          <cell r="O18640" t="str">
            <v/>
          </cell>
        </row>
        <row r="18641">
          <cell r="O18641" t="str">
            <v/>
          </cell>
        </row>
        <row r="18642">
          <cell r="O18642" t="str">
            <v/>
          </cell>
        </row>
        <row r="18643">
          <cell r="O18643" t="str">
            <v/>
          </cell>
        </row>
        <row r="18644">
          <cell r="O18644" t="str">
            <v/>
          </cell>
        </row>
        <row r="18645">
          <cell r="O18645" t="str">
            <v/>
          </cell>
        </row>
        <row r="18646">
          <cell r="O18646" t="str">
            <v/>
          </cell>
        </row>
        <row r="18647">
          <cell r="O18647" t="str">
            <v/>
          </cell>
        </row>
        <row r="18648">
          <cell r="O18648" t="str">
            <v/>
          </cell>
        </row>
        <row r="18649">
          <cell r="O18649" t="str">
            <v/>
          </cell>
        </row>
        <row r="18650">
          <cell r="O18650" t="str">
            <v/>
          </cell>
        </row>
        <row r="18651">
          <cell r="O18651" t="str">
            <v/>
          </cell>
        </row>
        <row r="18652">
          <cell r="O18652" t="str">
            <v/>
          </cell>
        </row>
        <row r="18653">
          <cell r="O18653" t="str">
            <v/>
          </cell>
        </row>
        <row r="18654">
          <cell r="O18654" t="str">
            <v/>
          </cell>
        </row>
        <row r="18655">
          <cell r="O18655" t="str">
            <v/>
          </cell>
        </row>
        <row r="18656">
          <cell r="O18656" t="str">
            <v/>
          </cell>
        </row>
        <row r="18657">
          <cell r="O18657" t="str">
            <v/>
          </cell>
        </row>
        <row r="18658">
          <cell r="O18658" t="str">
            <v/>
          </cell>
        </row>
        <row r="18659">
          <cell r="O18659" t="str">
            <v/>
          </cell>
        </row>
        <row r="18660">
          <cell r="O18660" t="str">
            <v/>
          </cell>
        </row>
        <row r="18661">
          <cell r="O18661" t="str">
            <v/>
          </cell>
        </row>
        <row r="18662">
          <cell r="O18662" t="str">
            <v/>
          </cell>
        </row>
        <row r="18663">
          <cell r="O18663" t="str">
            <v/>
          </cell>
        </row>
        <row r="18664">
          <cell r="O18664" t="str">
            <v/>
          </cell>
        </row>
        <row r="18665">
          <cell r="O18665" t="str">
            <v/>
          </cell>
        </row>
        <row r="18666">
          <cell r="O18666" t="str">
            <v/>
          </cell>
        </row>
        <row r="18667">
          <cell r="O18667" t="str">
            <v/>
          </cell>
        </row>
        <row r="18668">
          <cell r="O18668" t="str">
            <v/>
          </cell>
        </row>
        <row r="18669">
          <cell r="O18669" t="str">
            <v/>
          </cell>
        </row>
        <row r="18670">
          <cell r="O18670" t="str">
            <v/>
          </cell>
        </row>
        <row r="18671">
          <cell r="O18671" t="str">
            <v/>
          </cell>
        </row>
        <row r="18672">
          <cell r="O18672" t="str">
            <v/>
          </cell>
        </row>
        <row r="18673">
          <cell r="O18673" t="str">
            <v/>
          </cell>
        </row>
        <row r="18674">
          <cell r="O18674" t="str">
            <v/>
          </cell>
        </row>
        <row r="18675">
          <cell r="O18675" t="str">
            <v/>
          </cell>
        </row>
        <row r="18676">
          <cell r="O18676" t="str">
            <v/>
          </cell>
        </row>
        <row r="18677">
          <cell r="O18677" t="str">
            <v/>
          </cell>
        </row>
        <row r="18678">
          <cell r="O18678" t="str">
            <v/>
          </cell>
        </row>
        <row r="18679">
          <cell r="O18679" t="str">
            <v/>
          </cell>
        </row>
        <row r="18680">
          <cell r="O18680" t="str">
            <v/>
          </cell>
        </row>
        <row r="18681">
          <cell r="O18681" t="str">
            <v/>
          </cell>
        </row>
        <row r="18682">
          <cell r="O18682" t="str">
            <v/>
          </cell>
        </row>
        <row r="18683">
          <cell r="O18683" t="str">
            <v/>
          </cell>
        </row>
        <row r="18684">
          <cell r="O18684" t="str">
            <v/>
          </cell>
        </row>
        <row r="18685">
          <cell r="O18685" t="str">
            <v/>
          </cell>
        </row>
        <row r="18686">
          <cell r="O18686" t="str">
            <v/>
          </cell>
        </row>
        <row r="18687">
          <cell r="O18687" t="str">
            <v/>
          </cell>
        </row>
        <row r="18688">
          <cell r="O18688" t="str">
            <v/>
          </cell>
        </row>
        <row r="18689">
          <cell r="O18689" t="str">
            <v/>
          </cell>
        </row>
        <row r="18690">
          <cell r="O18690" t="str">
            <v/>
          </cell>
        </row>
        <row r="18691">
          <cell r="O18691" t="str">
            <v/>
          </cell>
        </row>
        <row r="18692">
          <cell r="O18692" t="str">
            <v/>
          </cell>
        </row>
        <row r="18693">
          <cell r="O18693" t="str">
            <v/>
          </cell>
        </row>
        <row r="18694">
          <cell r="O18694" t="str">
            <v/>
          </cell>
        </row>
        <row r="18695">
          <cell r="O18695" t="str">
            <v/>
          </cell>
        </row>
        <row r="18696">
          <cell r="O18696" t="str">
            <v/>
          </cell>
        </row>
        <row r="18697">
          <cell r="O18697" t="str">
            <v/>
          </cell>
        </row>
        <row r="18698">
          <cell r="O18698" t="str">
            <v/>
          </cell>
        </row>
        <row r="18699">
          <cell r="O18699" t="str">
            <v/>
          </cell>
        </row>
        <row r="18700">
          <cell r="O18700" t="str">
            <v/>
          </cell>
        </row>
        <row r="18701">
          <cell r="O18701" t="str">
            <v/>
          </cell>
        </row>
        <row r="18702">
          <cell r="O18702" t="str">
            <v/>
          </cell>
        </row>
        <row r="18703">
          <cell r="O18703" t="str">
            <v/>
          </cell>
        </row>
        <row r="18704">
          <cell r="O18704" t="str">
            <v/>
          </cell>
        </row>
        <row r="18705">
          <cell r="O18705" t="str">
            <v/>
          </cell>
        </row>
        <row r="18706">
          <cell r="O18706" t="str">
            <v/>
          </cell>
        </row>
        <row r="18707">
          <cell r="O18707" t="str">
            <v/>
          </cell>
        </row>
        <row r="18708">
          <cell r="O18708" t="str">
            <v/>
          </cell>
        </row>
        <row r="18709">
          <cell r="O18709" t="str">
            <v/>
          </cell>
        </row>
        <row r="18710">
          <cell r="O18710" t="str">
            <v/>
          </cell>
        </row>
        <row r="18711">
          <cell r="O18711" t="str">
            <v/>
          </cell>
        </row>
        <row r="18712">
          <cell r="O18712" t="str">
            <v/>
          </cell>
        </row>
        <row r="18713">
          <cell r="O18713" t="str">
            <v/>
          </cell>
        </row>
        <row r="18714">
          <cell r="O18714" t="str">
            <v/>
          </cell>
        </row>
        <row r="18715">
          <cell r="O18715" t="str">
            <v/>
          </cell>
        </row>
        <row r="18716">
          <cell r="O18716" t="str">
            <v/>
          </cell>
        </row>
        <row r="18717">
          <cell r="O18717" t="str">
            <v/>
          </cell>
        </row>
        <row r="18718">
          <cell r="O18718" t="str">
            <v/>
          </cell>
        </row>
        <row r="18719">
          <cell r="O18719" t="str">
            <v/>
          </cell>
        </row>
        <row r="18720">
          <cell r="O18720" t="str">
            <v/>
          </cell>
        </row>
        <row r="18721">
          <cell r="O18721" t="str">
            <v/>
          </cell>
        </row>
        <row r="18722">
          <cell r="O18722" t="str">
            <v/>
          </cell>
        </row>
        <row r="18723">
          <cell r="O18723" t="str">
            <v/>
          </cell>
        </row>
        <row r="18724">
          <cell r="O18724" t="str">
            <v/>
          </cell>
        </row>
        <row r="18725">
          <cell r="O18725" t="str">
            <v/>
          </cell>
        </row>
        <row r="18726">
          <cell r="O18726" t="str">
            <v/>
          </cell>
        </row>
        <row r="18727">
          <cell r="O18727" t="str">
            <v/>
          </cell>
        </row>
        <row r="18728">
          <cell r="O18728" t="str">
            <v/>
          </cell>
        </row>
        <row r="18729">
          <cell r="O18729" t="str">
            <v/>
          </cell>
        </row>
        <row r="18730">
          <cell r="O18730" t="str">
            <v/>
          </cell>
        </row>
        <row r="18731">
          <cell r="O18731" t="str">
            <v/>
          </cell>
        </row>
        <row r="18732">
          <cell r="O18732" t="str">
            <v/>
          </cell>
        </row>
        <row r="18733">
          <cell r="O18733" t="str">
            <v/>
          </cell>
        </row>
        <row r="18734">
          <cell r="O18734" t="str">
            <v/>
          </cell>
        </row>
        <row r="18735">
          <cell r="O18735" t="str">
            <v/>
          </cell>
        </row>
        <row r="18736">
          <cell r="O18736" t="str">
            <v/>
          </cell>
        </row>
        <row r="18737">
          <cell r="O18737" t="str">
            <v/>
          </cell>
        </row>
        <row r="18738">
          <cell r="O18738" t="str">
            <v/>
          </cell>
        </row>
        <row r="18739">
          <cell r="O18739" t="str">
            <v/>
          </cell>
        </row>
        <row r="18740">
          <cell r="O18740" t="str">
            <v/>
          </cell>
        </row>
        <row r="18741">
          <cell r="O18741" t="str">
            <v/>
          </cell>
        </row>
        <row r="18742">
          <cell r="O18742" t="str">
            <v/>
          </cell>
        </row>
        <row r="18743">
          <cell r="O18743" t="str">
            <v/>
          </cell>
        </row>
        <row r="18744">
          <cell r="O18744" t="str">
            <v/>
          </cell>
        </row>
        <row r="18745">
          <cell r="O18745" t="str">
            <v/>
          </cell>
        </row>
        <row r="18746">
          <cell r="O18746" t="str">
            <v/>
          </cell>
        </row>
        <row r="18747">
          <cell r="O18747" t="str">
            <v/>
          </cell>
        </row>
        <row r="18748">
          <cell r="O18748" t="str">
            <v/>
          </cell>
        </row>
        <row r="18749">
          <cell r="O18749" t="str">
            <v/>
          </cell>
        </row>
        <row r="18750">
          <cell r="O18750" t="str">
            <v/>
          </cell>
        </row>
        <row r="18751">
          <cell r="O18751" t="str">
            <v/>
          </cell>
        </row>
        <row r="18752">
          <cell r="O18752" t="str">
            <v/>
          </cell>
        </row>
        <row r="18753">
          <cell r="O18753" t="str">
            <v/>
          </cell>
        </row>
        <row r="18754">
          <cell r="O18754" t="str">
            <v/>
          </cell>
        </row>
        <row r="18755">
          <cell r="O18755" t="str">
            <v/>
          </cell>
        </row>
        <row r="18756">
          <cell r="O18756" t="str">
            <v/>
          </cell>
        </row>
        <row r="18757">
          <cell r="O18757" t="str">
            <v/>
          </cell>
        </row>
        <row r="18758">
          <cell r="O18758" t="str">
            <v/>
          </cell>
        </row>
        <row r="18759">
          <cell r="O18759" t="str">
            <v/>
          </cell>
        </row>
        <row r="18760">
          <cell r="O18760" t="str">
            <v/>
          </cell>
        </row>
        <row r="18761">
          <cell r="O18761" t="str">
            <v/>
          </cell>
        </row>
        <row r="18762">
          <cell r="O18762" t="str">
            <v/>
          </cell>
        </row>
        <row r="18763">
          <cell r="O18763" t="str">
            <v/>
          </cell>
        </row>
        <row r="18764">
          <cell r="O18764" t="str">
            <v/>
          </cell>
        </row>
        <row r="18765">
          <cell r="O18765" t="str">
            <v/>
          </cell>
        </row>
        <row r="18766">
          <cell r="O18766" t="str">
            <v/>
          </cell>
        </row>
        <row r="18767">
          <cell r="O18767" t="str">
            <v/>
          </cell>
        </row>
        <row r="18768">
          <cell r="O18768" t="str">
            <v/>
          </cell>
        </row>
        <row r="18769">
          <cell r="O18769" t="str">
            <v/>
          </cell>
        </row>
        <row r="18770">
          <cell r="O18770" t="str">
            <v/>
          </cell>
        </row>
        <row r="18771">
          <cell r="O18771" t="str">
            <v/>
          </cell>
        </row>
        <row r="18772">
          <cell r="O18772" t="str">
            <v/>
          </cell>
        </row>
        <row r="18773">
          <cell r="O18773" t="str">
            <v/>
          </cell>
        </row>
        <row r="18774">
          <cell r="O18774" t="str">
            <v/>
          </cell>
        </row>
        <row r="18775">
          <cell r="O18775" t="str">
            <v/>
          </cell>
        </row>
        <row r="18776">
          <cell r="O18776" t="str">
            <v/>
          </cell>
        </row>
        <row r="18777">
          <cell r="O18777" t="str">
            <v/>
          </cell>
        </row>
        <row r="18778">
          <cell r="O18778" t="str">
            <v/>
          </cell>
        </row>
        <row r="18779">
          <cell r="O18779" t="str">
            <v/>
          </cell>
        </row>
        <row r="18780">
          <cell r="O18780" t="str">
            <v/>
          </cell>
        </row>
        <row r="18781">
          <cell r="O18781" t="str">
            <v/>
          </cell>
        </row>
        <row r="18782">
          <cell r="O18782" t="str">
            <v/>
          </cell>
        </row>
        <row r="18783">
          <cell r="O18783" t="str">
            <v/>
          </cell>
        </row>
        <row r="18784">
          <cell r="O18784" t="str">
            <v/>
          </cell>
        </row>
        <row r="18785">
          <cell r="O18785" t="str">
            <v/>
          </cell>
        </row>
        <row r="18786">
          <cell r="O18786" t="str">
            <v/>
          </cell>
        </row>
        <row r="18787">
          <cell r="O18787" t="str">
            <v/>
          </cell>
        </row>
        <row r="18788">
          <cell r="O18788" t="str">
            <v/>
          </cell>
        </row>
        <row r="18789">
          <cell r="O18789" t="str">
            <v/>
          </cell>
        </row>
        <row r="18790">
          <cell r="O18790" t="str">
            <v/>
          </cell>
        </row>
        <row r="18791">
          <cell r="O18791" t="str">
            <v/>
          </cell>
        </row>
        <row r="18792">
          <cell r="O18792" t="str">
            <v/>
          </cell>
        </row>
        <row r="18793">
          <cell r="O18793" t="str">
            <v/>
          </cell>
        </row>
        <row r="18794">
          <cell r="O18794" t="str">
            <v/>
          </cell>
        </row>
        <row r="18795">
          <cell r="O18795" t="str">
            <v/>
          </cell>
        </row>
        <row r="18796">
          <cell r="O18796" t="str">
            <v/>
          </cell>
        </row>
        <row r="18797">
          <cell r="O18797" t="str">
            <v/>
          </cell>
        </row>
        <row r="18798">
          <cell r="O18798" t="str">
            <v/>
          </cell>
        </row>
        <row r="18799">
          <cell r="O18799" t="str">
            <v/>
          </cell>
        </row>
        <row r="18800">
          <cell r="O18800" t="str">
            <v/>
          </cell>
        </row>
        <row r="18801">
          <cell r="O18801" t="str">
            <v/>
          </cell>
        </row>
        <row r="18802">
          <cell r="O18802" t="str">
            <v/>
          </cell>
        </row>
        <row r="18803">
          <cell r="O18803" t="str">
            <v/>
          </cell>
        </row>
        <row r="18804">
          <cell r="O18804" t="str">
            <v/>
          </cell>
        </row>
        <row r="18805">
          <cell r="O18805" t="str">
            <v/>
          </cell>
        </row>
        <row r="18806">
          <cell r="O18806" t="str">
            <v/>
          </cell>
        </row>
        <row r="18807">
          <cell r="O18807" t="str">
            <v/>
          </cell>
        </row>
        <row r="18808">
          <cell r="O18808" t="str">
            <v/>
          </cell>
        </row>
        <row r="18809">
          <cell r="O18809" t="str">
            <v/>
          </cell>
        </row>
        <row r="18810">
          <cell r="O18810" t="str">
            <v/>
          </cell>
        </row>
        <row r="18811">
          <cell r="O18811" t="str">
            <v/>
          </cell>
        </row>
        <row r="18812">
          <cell r="O18812" t="str">
            <v/>
          </cell>
        </row>
        <row r="18813">
          <cell r="O18813" t="str">
            <v/>
          </cell>
        </row>
        <row r="18814">
          <cell r="O18814" t="str">
            <v/>
          </cell>
        </row>
        <row r="18815">
          <cell r="O18815" t="str">
            <v/>
          </cell>
        </row>
        <row r="18816">
          <cell r="O18816" t="str">
            <v/>
          </cell>
        </row>
        <row r="18817">
          <cell r="O18817" t="str">
            <v/>
          </cell>
        </row>
        <row r="18818">
          <cell r="O18818" t="str">
            <v/>
          </cell>
        </row>
        <row r="18819">
          <cell r="O18819" t="str">
            <v/>
          </cell>
        </row>
        <row r="18820">
          <cell r="O18820" t="str">
            <v/>
          </cell>
        </row>
        <row r="18821">
          <cell r="O18821" t="str">
            <v/>
          </cell>
        </row>
        <row r="18822">
          <cell r="O18822" t="str">
            <v/>
          </cell>
        </row>
        <row r="18823">
          <cell r="O18823" t="str">
            <v/>
          </cell>
        </row>
        <row r="18824">
          <cell r="O18824" t="str">
            <v/>
          </cell>
        </row>
        <row r="18825">
          <cell r="O18825" t="str">
            <v/>
          </cell>
        </row>
        <row r="18826">
          <cell r="O18826" t="str">
            <v/>
          </cell>
        </row>
        <row r="18827">
          <cell r="O18827" t="str">
            <v/>
          </cell>
        </row>
        <row r="18828">
          <cell r="O18828" t="str">
            <v/>
          </cell>
        </row>
        <row r="18829">
          <cell r="O18829" t="str">
            <v/>
          </cell>
        </row>
        <row r="18830">
          <cell r="O18830" t="str">
            <v/>
          </cell>
        </row>
        <row r="18831">
          <cell r="O18831" t="str">
            <v/>
          </cell>
        </row>
        <row r="18832">
          <cell r="O18832" t="str">
            <v/>
          </cell>
        </row>
        <row r="18833">
          <cell r="O18833" t="str">
            <v/>
          </cell>
        </row>
        <row r="18834">
          <cell r="O18834" t="str">
            <v/>
          </cell>
        </row>
        <row r="18835">
          <cell r="O18835" t="str">
            <v/>
          </cell>
        </row>
        <row r="18836">
          <cell r="O18836" t="str">
            <v/>
          </cell>
        </row>
        <row r="18837">
          <cell r="O18837" t="str">
            <v/>
          </cell>
        </row>
        <row r="18838">
          <cell r="O18838" t="str">
            <v/>
          </cell>
        </row>
        <row r="18839">
          <cell r="O18839" t="str">
            <v/>
          </cell>
        </row>
        <row r="18840">
          <cell r="O18840" t="str">
            <v/>
          </cell>
        </row>
        <row r="18841">
          <cell r="O18841" t="str">
            <v/>
          </cell>
        </row>
        <row r="18842">
          <cell r="O18842" t="str">
            <v/>
          </cell>
        </row>
        <row r="18843">
          <cell r="O18843" t="str">
            <v/>
          </cell>
        </row>
        <row r="18844">
          <cell r="O18844" t="str">
            <v/>
          </cell>
        </row>
        <row r="18845">
          <cell r="O18845" t="str">
            <v/>
          </cell>
        </row>
        <row r="18846">
          <cell r="O18846" t="str">
            <v/>
          </cell>
        </row>
        <row r="18847">
          <cell r="O18847" t="str">
            <v/>
          </cell>
        </row>
        <row r="18848">
          <cell r="O18848" t="str">
            <v/>
          </cell>
        </row>
        <row r="18849">
          <cell r="O18849" t="str">
            <v/>
          </cell>
        </row>
        <row r="18850">
          <cell r="O18850" t="str">
            <v/>
          </cell>
        </row>
        <row r="18851">
          <cell r="O18851" t="str">
            <v/>
          </cell>
        </row>
        <row r="18852">
          <cell r="O18852" t="str">
            <v/>
          </cell>
        </row>
        <row r="18853">
          <cell r="O18853" t="str">
            <v/>
          </cell>
        </row>
        <row r="18854">
          <cell r="O18854" t="str">
            <v/>
          </cell>
        </row>
        <row r="18855">
          <cell r="O18855" t="str">
            <v/>
          </cell>
        </row>
        <row r="18856">
          <cell r="O18856" t="str">
            <v/>
          </cell>
        </row>
        <row r="18857">
          <cell r="O18857" t="str">
            <v/>
          </cell>
        </row>
        <row r="18858">
          <cell r="O18858" t="str">
            <v/>
          </cell>
        </row>
        <row r="18859">
          <cell r="O18859" t="str">
            <v/>
          </cell>
        </row>
        <row r="18860">
          <cell r="O18860" t="str">
            <v/>
          </cell>
        </row>
        <row r="18861">
          <cell r="O18861" t="str">
            <v/>
          </cell>
        </row>
        <row r="18862">
          <cell r="O18862" t="str">
            <v/>
          </cell>
        </row>
        <row r="18863">
          <cell r="O18863" t="str">
            <v/>
          </cell>
        </row>
        <row r="18864">
          <cell r="O18864" t="str">
            <v/>
          </cell>
        </row>
        <row r="18865">
          <cell r="O18865" t="str">
            <v/>
          </cell>
        </row>
        <row r="18866">
          <cell r="O18866" t="str">
            <v/>
          </cell>
        </row>
        <row r="18867">
          <cell r="O18867" t="str">
            <v/>
          </cell>
        </row>
        <row r="18868">
          <cell r="O18868" t="str">
            <v/>
          </cell>
        </row>
        <row r="18869">
          <cell r="O18869" t="str">
            <v/>
          </cell>
        </row>
        <row r="18870">
          <cell r="O18870" t="str">
            <v/>
          </cell>
        </row>
        <row r="18871">
          <cell r="O18871" t="str">
            <v/>
          </cell>
        </row>
        <row r="18872">
          <cell r="O18872" t="str">
            <v/>
          </cell>
        </row>
        <row r="18873">
          <cell r="O18873" t="str">
            <v/>
          </cell>
        </row>
        <row r="18874">
          <cell r="O18874" t="str">
            <v/>
          </cell>
        </row>
        <row r="18875">
          <cell r="O18875" t="str">
            <v/>
          </cell>
        </row>
        <row r="18876">
          <cell r="O18876" t="str">
            <v/>
          </cell>
        </row>
        <row r="18877">
          <cell r="O18877" t="str">
            <v/>
          </cell>
        </row>
        <row r="18878">
          <cell r="O18878" t="str">
            <v/>
          </cell>
        </row>
        <row r="18879">
          <cell r="O18879" t="str">
            <v/>
          </cell>
        </row>
        <row r="18880">
          <cell r="O18880" t="str">
            <v/>
          </cell>
        </row>
        <row r="18881">
          <cell r="O18881" t="str">
            <v/>
          </cell>
        </row>
        <row r="18882">
          <cell r="O18882" t="str">
            <v/>
          </cell>
        </row>
        <row r="18883">
          <cell r="O18883" t="str">
            <v/>
          </cell>
        </row>
        <row r="18884">
          <cell r="O18884" t="str">
            <v/>
          </cell>
        </row>
        <row r="18885">
          <cell r="O18885" t="str">
            <v/>
          </cell>
        </row>
        <row r="18886">
          <cell r="O18886" t="str">
            <v/>
          </cell>
        </row>
        <row r="18887">
          <cell r="O18887" t="str">
            <v/>
          </cell>
        </row>
        <row r="18888">
          <cell r="O18888" t="str">
            <v/>
          </cell>
        </row>
        <row r="18889">
          <cell r="O18889" t="str">
            <v/>
          </cell>
        </row>
        <row r="18890">
          <cell r="O18890" t="str">
            <v/>
          </cell>
        </row>
        <row r="18891">
          <cell r="O18891" t="str">
            <v/>
          </cell>
        </row>
        <row r="18892">
          <cell r="O18892" t="str">
            <v/>
          </cell>
        </row>
        <row r="18893">
          <cell r="O18893" t="str">
            <v/>
          </cell>
        </row>
        <row r="18894">
          <cell r="O18894" t="str">
            <v/>
          </cell>
        </row>
        <row r="18895">
          <cell r="O18895" t="str">
            <v/>
          </cell>
        </row>
        <row r="18896">
          <cell r="O18896" t="str">
            <v/>
          </cell>
        </row>
        <row r="18897">
          <cell r="O18897" t="str">
            <v/>
          </cell>
        </row>
        <row r="18898">
          <cell r="O18898" t="str">
            <v/>
          </cell>
        </row>
        <row r="18899">
          <cell r="O18899" t="str">
            <v/>
          </cell>
        </row>
        <row r="18900">
          <cell r="O18900" t="str">
            <v/>
          </cell>
        </row>
        <row r="18901">
          <cell r="O18901" t="str">
            <v/>
          </cell>
        </row>
        <row r="18902">
          <cell r="O18902" t="str">
            <v/>
          </cell>
        </row>
        <row r="18903">
          <cell r="O18903" t="str">
            <v/>
          </cell>
        </row>
        <row r="18904">
          <cell r="O18904" t="str">
            <v/>
          </cell>
        </row>
        <row r="18905">
          <cell r="O18905" t="str">
            <v/>
          </cell>
        </row>
        <row r="18906">
          <cell r="O18906" t="str">
            <v/>
          </cell>
        </row>
        <row r="18907">
          <cell r="O18907" t="str">
            <v/>
          </cell>
        </row>
        <row r="18908">
          <cell r="O18908" t="str">
            <v/>
          </cell>
        </row>
        <row r="18909">
          <cell r="O18909" t="str">
            <v/>
          </cell>
        </row>
        <row r="18910">
          <cell r="O18910" t="str">
            <v/>
          </cell>
        </row>
        <row r="18911">
          <cell r="O18911" t="str">
            <v/>
          </cell>
        </row>
        <row r="18912">
          <cell r="O18912" t="str">
            <v/>
          </cell>
        </row>
        <row r="18913">
          <cell r="O18913" t="str">
            <v/>
          </cell>
        </row>
        <row r="18914">
          <cell r="O18914" t="str">
            <v/>
          </cell>
        </row>
        <row r="18915">
          <cell r="O18915" t="str">
            <v/>
          </cell>
        </row>
        <row r="18916">
          <cell r="O18916" t="str">
            <v/>
          </cell>
        </row>
        <row r="18917">
          <cell r="O18917" t="str">
            <v/>
          </cell>
        </row>
        <row r="18918">
          <cell r="O18918" t="str">
            <v/>
          </cell>
        </row>
        <row r="18919">
          <cell r="O18919" t="str">
            <v/>
          </cell>
        </row>
        <row r="18920">
          <cell r="O18920" t="str">
            <v/>
          </cell>
        </row>
        <row r="18921">
          <cell r="O18921" t="str">
            <v/>
          </cell>
        </row>
        <row r="18922">
          <cell r="O18922" t="str">
            <v/>
          </cell>
        </row>
        <row r="18923">
          <cell r="O18923" t="str">
            <v/>
          </cell>
        </row>
        <row r="18924">
          <cell r="O18924" t="str">
            <v/>
          </cell>
        </row>
        <row r="18925">
          <cell r="O18925" t="str">
            <v/>
          </cell>
        </row>
        <row r="18926">
          <cell r="O18926" t="str">
            <v/>
          </cell>
        </row>
        <row r="18927">
          <cell r="O18927" t="str">
            <v/>
          </cell>
        </row>
        <row r="18928">
          <cell r="O18928" t="str">
            <v/>
          </cell>
        </row>
        <row r="18929">
          <cell r="O18929" t="str">
            <v/>
          </cell>
        </row>
        <row r="18930">
          <cell r="O18930" t="str">
            <v/>
          </cell>
        </row>
        <row r="18931">
          <cell r="O18931" t="str">
            <v/>
          </cell>
        </row>
        <row r="18932">
          <cell r="O18932" t="str">
            <v/>
          </cell>
        </row>
        <row r="18933">
          <cell r="O18933" t="str">
            <v/>
          </cell>
        </row>
        <row r="18934">
          <cell r="O18934" t="str">
            <v/>
          </cell>
        </row>
        <row r="18935">
          <cell r="O18935" t="str">
            <v/>
          </cell>
        </row>
        <row r="18936">
          <cell r="O18936" t="str">
            <v/>
          </cell>
        </row>
        <row r="18937">
          <cell r="O18937" t="str">
            <v/>
          </cell>
        </row>
        <row r="18938">
          <cell r="O18938" t="str">
            <v/>
          </cell>
        </row>
        <row r="18939">
          <cell r="O18939" t="str">
            <v/>
          </cell>
        </row>
        <row r="18940">
          <cell r="O18940" t="str">
            <v/>
          </cell>
        </row>
        <row r="18941">
          <cell r="O18941" t="str">
            <v/>
          </cell>
        </row>
        <row r="18942">
          <cell r="O18942" t="str">
            <v/>
          </cell>
        </row>
        <row r="18943">
          <cell r="O18943" t="str">
            <v/>
          </cell>
        </row>
        <row r="18944">
          <cell r="O18944" t="str">
            <v/>
          </cell>
        </row>
        <row r="18945">
          <cell r="O18945" t="str">
            <v/>
          </cell>
        </row>
        <row r="18946">
          <cell r="O18946" t="str">
            <v/>
          </cell>
        </row>
        <row r="18947">
          <cell r="O18947" t="str">
            <v/>
          </cell>
        </row>
        <row r="18948">
          <cell r="O18948" t="str">
            <v/>
          </cell>
        </row>
        <row r="18949">
          <cell r="O18949" t="str">
            <v/>
          </cell>
        </row>
        <row r="18950">
          <cell r="O18950" t="str">
            <v/>
          </cell>
        </row>
        <row r="18951">
          <cell r="O18951" t="str">
            <v/>
          </cell>
        </row>
        <row r="18952">
          <cell r="O18952" t="str">
            <v/>
          </cell>
        </row>
        <row r="18953">
          <cell r="O18953" t="str">
            <v/>
          </cell>
        </row>
        <row r="18954">
          <cell r="O18954" t="str">
            <v/>
          </cell>
        </row>
        <row r="18955">
          <cell r="O18955" t="str">
            <v/>
          </cell>
        </row>
        <row r="18956">
          <cell r="O18956" t="str">
            <v/>
          </cell>
        </row>
        <row r="18957">
          <cell r="O18957" t="str">
            <v/>
          </cell>
        </row>
        <row r="18958">
          <cell r="O18958" t="str">
            <v/>
          </cell>
        </row>
        <row r="18959">
          <cell r="O18959" t="str">
            <v/>
          </cell>
        </row>
        <row r="18960">
          <cell r="O18960" t="str">
            <v/>
          </cell>
        </row>
        <row r="18961">
          <cell r="O18961" t="str">
            <v/>
          </cell>
        </row>
        <row r="18962">
          <cell r="O18962" t="str">
            <v/>
          </cell>
        </row>
        <row r="18963">
          <cell r="O18963" t="str">
            <v/>
          </cell>
        </row>
        <row r="18964">
          <cell r="O18964" t="str">
            <v/>
          </cell>
        </row>
        <row r="18965">
          <cell r="O18965" t="str">
            <v/>
          </cell>
        </row>
        <row r="18966">
          <cell r="O18966" t="str">
            <v/>
          </cell>
        </row>
        <row r="18967">
          <cell r="O18967" t="str">
            <v/>
          </cell>
        </row>
        <row r="18968">
          <cell r="O18968" t="str">
            <v/>
          </cell>
        </row>
        <row r="18969">
          <cell r="O18969" t="str">
            <v/>
          </cell>
        </row>
        <row r="18970">
          <cell r="O18970" t="str">
            <v/>
          </cell>
        </row>
        <row r="18971">
          <cell r="O18971" t="str">
            <v/>
          </cell>
        </row>
        <row r="18972">
          <cell r="O18972" t="str">
            <v/>
          </cell>
        </row>
        <row r="18973">
          <cell r="O18973" t="str">
            <v/>
          </cell>
        </row>
        <row r="18974">
          <cell r="O18974" t="str">
            <v/>
          </cell>
        </row>
        <row r="18975">
          <cell r="O18975" t="str">
            <v/>
          </cell>
        </row>
        <row r="18976">
          <cell r="O18976" t="str">
            <v/>
          </cell>
        </row>
        <row r="18977">
          <cell r="O18977" t="str">
            <v/>
          </cell>
        </row>
        <row r="18978">
          <cell r="O18978" t="str">
            <v/>
          </cell>
        </row>
        <row r="18979">
          <cell r="O18979" t="str">
            <v/>
          </cell>
        </row>
        <row r="18980">
          <cell r="O18980" t="str">
            <v/>
          </cell>
        </row>
        <row r="18981">
          <cell r="O18981" t="str">
            <v/>
          </cell>
        </row>
        <row r="18982">
          <cell r="O18982" t="str">
            <v/>
          </cell>
        </row>
        <row r="18983">
          <cell r="O18983" t="str">
            <v/>
          </cell>
        </row>
        <row r="18984">
          <cell r="O18984" t="str">
            <v/>
          </cell>
        </row>
        <row r="18985">
          <cell r="O18985" t="str">
            <v/>
          </cell>
        </row>
        <row r="18986">
          <cell r="O18986" t="str">
            <v/>
          </cell>
        </row>
        <row r="18987">
          <cell r="O18987" t="str">
            <v/>
          </cell>
        </row>
        <row r="18988">
          <cell r="O18988" t="str">
            <v/>
          </cell>
        </row>
        <row r="18989">
          <cell r="O18989" t="str">
            <v/>
          </cell>
        </row>
        <row r="18990">
          <cell r="O18990" t="str">
            <v/>
          </cell>
        </row>
        <row r="18991">
          <cell r="O18991" t="str">
            <v/>
          </cell>
        </row>
        <row r="18992">
          <cell r="O18992" t="str">
            <v/>
          </cell>
        </row>
        <row r="18993">
          <cell r="O18993" t="str">
            <v/>
          </cell>
        </row>
        <row r="18994">
          <cell r="O18994" t="str">
            <v/>
          </cell>
        </row>
        <row r="18995">
          <cell r="O18995" t="str">
            <v/>
          </cell>
        </row>
        <row r="18996">
          <cell r="O18996" t="str">
            <v/>
          </cell>
        </row>
        <row r="18997">
          <cell r="O18997" t="str">
            <v/>
          </cell>
        </row>
        <row r="18998">
          <cell r="O18998" t="str">
            <v/>
          </cell>
        </row>
        <row r="18999">
          <cell r="O18999" t="str">
            <v/>
          </cell>
        </row>
        <row r="19000">
          <cell r="O19000" t="str">
            <v/>
          </cell>
        </row>
        <row r="19001">
          <cell r="O19001" t="str">
            <v/>
          </cell>
        </row>
        <row r="19002">
          <cell r="O19002" t="str">
            <v/>
          </cell>
        </row>
        <row r="19003">
          <cell r="O19003" t="str">
            <v/>
          </cell>
        </row>
        <row r="19004">
          <cell r="O19004" t="str">
            <v/>
          </cell>
        </row>
        <row r="19005">
          <cell r="O19005" t="str">
            <v/>
          </cell>
        </row>
        <row r="19006">
          <cell r="O19006" t="str">
            <v/>
          </cell>
        </row>
        <row r="19007">
          <cell r="O19007" t="str">
            <v/>
          </cell>
        </row>
        <row r="19008">
          <cell r="O19008" t="str">
            <v/>
          </cell>
        </row>
        <row r="19009">
          <cell r="O19009" t="str">
            <v/>
          </cell>
        </row>
        <row r="19010">
          <cell r="O19010" t="str">
            <v/>
          </cell>
        </row>
        <row r="19011">
          <cell r="O19011" t="str">
            <v/>
          </cell>
        </row>
        <row r="19012">
          <cell r="O19012" t="str">
            <v/>
          </cell>
        </row>
        <row r="19013">
          <cell r="O19013" t="str">
            <v/>
          </cell>
        </row>
        <row r="19014">
          <cell r="O19014" t="str">
            <v/>
          </cell>
        </row>
        <row r="19015">
          <cell r="O19015" t="str">
            <v/>
          </cell>
        </row>
        <row r="19016">
          <cell r="O19016" t="str">
            <v/>
          </cell>
        </row>
        <row r="19017">
          <cell r="O19017" t="str">
            <v/>
          </cell>
        </row>
        <row r="19018">
          <cell r="O19018" t="str">
            <v/>
          </cell>
        </row>
        <row r="19019">
          <cell r="O19019" t="str">
            <v/>
          </cell>
        </row>
        <row r="19020">
          <cell r="O19020" t="str">
            <v/>
          </cell>
        </row>
        <row r="19021">
          <cell r="O19021" t="str">
            <v/>
          </cell>
        </row>
        <row r="19022">
          <cell r="O19022" t="str">
            <v/>
          </cell>
        </row>
        <row r="19023">
          <cell r="O19023" t="str">
            <v/>
          </cell>
        </row>
        <row r="19024">
          <cell r="O19024" t="str">
            <v/>
          </cell>
        </row>
        <row r="19025">
          <cell r="O19025" t="str">
            <v/>
          </cell>
        </row>
        <row r="19026">
          <cell r="O19026" t="str">
            <v/>
          </cell>
        </row>
        <row r="19027">
          <cell r="O19027" t="str">
            <v/>
          </cell>
        </row>
        <row r="19028">
          <cell r="O19028" t="str">
            <v/>
          </cell>
        </row>
        <row r="19029">
          <cell r="O19029" t="str">
            <v/>
          </cell>
        </row>
        <row r="19030">
          <cell r="O19030" t="str">
            <v/>
          </cell>
        </row>
        <row r="19031">
          <cell r="O19031" t="str">
            <v/>
          </cell>
        </row>
        <row r="19032">
          <cell r="O19032" t="str">
            <v/>
          </cell>
        </row>
        <row r="19033">
          <cell r="O19033" t="str">
            <v/>
          </cell>
        </row>
        <row r="19034">
          <cell r="O19034" t="str">
            <v/>
          </cell>
        </row>
        <row r="19035">
          <cell r="O19035" t="str">
            <v/>
          </cell>
        </row>
        <row r="19036">
          <cell r="O19036" t="str">
            <v/>
          </cell>
        </row>
        <row r="19037">
          <cell r="O19037" t="str">
            <v/>
          </cell>
        </row>
        <row r="19038">
          <cell r="O19038" t="str">
            <v/>
          </cell>
        </row>
        <row r="19039">
          <cell r="O19039" t="str">
            <v/>
          </cell>
        </row>
        <row r="19040">
          <cell r="O19040" t="str">
            <v/>
          </cell>
        </row>
        <row r="19041">
          <cell r="O19041" t="str">
            <v/>
          </cell>
        </row>
        <row r="19042">
          <cell r="O19042" t="str">
            <v/>
          </cell>
        </row>
        <row r="19043">
          <cell r="O19043" t="str">
            <v/>
          </cell>
        </row>
        <row r="19044">
          <cell r="O19044" t="str">
            <v/>
          </cell>
        </row>
        <row r="19045">
          <cell r="O19045" t="str">
            <v/>
          </cell>
        </row>
        <row r="19046">
          <cell r="O19046" t="str">
            <v/>
          </cell>
        </row>
        <row r="19047">
          <cell r="O19047" t="str">
            <v/>
          </cell>
        </row>
        <row r="19048">
          <cell r="O19048" t="str">
            <v/>
          </cell>
        </row>
        <row r="19049">
          <cell r="O19049" t="str">
            <v/>
          </cell>
        </row>
        <row r="19050">
          <cell r="O19050" t="str">
            <v/>
          </cell>
        </row>
        <row r="19051">
          <cell r="O19051" t="str">
            <v/>
          </cell>
        </row>
        <row r="19052">
          <cell r="O19052" t="str">
            <v/>
          </cell>
        </row>
        <row r="19053">
          <cell r="O19053" t="str">
            <v/>
          </cell>
        </row>
        <row r="19054">
          <cell r="O19054" t="str">
            <v/>
          </cell>
        </row>
        <row r="19055">
          <cell r="O19055" t="str">
            <v/>
          </cell>
        </row>
        <row r="19056">
          <cell r="O19056" t="str">
            <v/>
          </cell>
        </row>
        <row r="19057">
          <cell r="O19057" t="str">
            <v/>
          </cell>
        </row>
        <row r="19058">
          <cell r="O19058" t="str">
            <v/>
          </cell>
        </row>
        <row r="19059">
          <cell r="O19059" t="str">
            <v/>
          </cell>
        </row>
        <row r="19060">
          <cell r="O19060" t="str">
            <v/>
          </cell>
        </row>
        <row r="19061">
          <cell r="O19061" t="str">
            <v/>
          </cell>
        </row>
        <row r="19062">
          <cell r="O19062" t="str">
            <v/>
          </cell>
        </row>
        <row r="19063">
          <cell r="O19063" t="str">
            <v/>
          </cell>
        </row>
        <row r="19064">
          <cell r="O19064" t="str">
            <v/>
          </cell>
        </row>
        <row r="19065">
          <cell r="O19065" t="str">
            <v/>
          </cell>
        </row>
        <row r="19066">
          <cell r="O19066" t="str">
            <v/>
          </cell>
        </row>
        <row r="19067">
          <cell r="O19067" t="str">
            <v/>
          </cell>
        </row>
        <row r="19068">
          <cell r="O19068" t="str">
            <v/>
          </cell>
        </row>
        <row r="19069">
          <cell r="O19069" t="str">
            <v/>
          </cell>
        </row>
        <row r="19070">
          <cell r="O19070" t="str">
            <v/>
          </cell>
        </row>
        <row r="19071">
          <cell r="O19071" t="str">
            <v/>
          </cell>
        </row>
        <row r="19072">
          <cell r="O19072" t="str">
            <v/>
          </cell>
        </row>
        <row r="19073">
          <cell r="O19073" t="str">
            <v/>
          </cell>
        </row>
        <row r="19074">
          <cell r="O19074" t="str">
            <v/>
          </cell>
        </row>
        <row r="19075">
          <cell r="O19075" t="str">
            <v/>
          </cell>
        </row>
        <row r="19076">
          <cell r="O19076" t="str">
            <v/>
          </cell>
        </row>
        <row r="19077">
          <cell r="O19077" t="str">
            <v/>
          </cell>
        </row>
        <row r="19078">
          <cell r="O19078" t="str">
            <v/>
          </cell>
        </row>
        <row r="19079">
          <cell r="O19079" t="str">
            <v/>
          </cell>
        </row>
        <row r="19080">
          <cell r="O19080" t="str">
            <v/>
          </cell>
        </row>
        <row r="19081">
          <cell r="O19081" t="str">
            <v/>
          </cell>
        </row>
        <row r="19082">
          <cell r="O19082" t="str">
            <v/>
          </cell>
        </row>
        <row r="19083">
          <cell r="O19083" t="str">
            <v/>
          </cell>
        </row>
        <row r="19084">
          <cell r="O19084" t="str">
            <v/>
          </cell>
        </row>
        <row r="19085">
          <cell r="O19085" t="str">
            <v/>
          </cell>
        </row>
        <row r="19086">
          <cell r="O19086" t="str">
            <v/>
          </cell>
        </row>
        <row r="19087">
          <cell r="O19087" t="str">
            <v/>
          </cell>
        </row>
        <row r="19088">
          <cell r="O19088" t="str">
            <v/>
          </cell>
        </row>
        <row r="19089">
          <cell r="O19089" t="str">
            <v/>
          </cell>
        </row>
        <row r="19090">
          <cell r="O19090" t="str">
            <v/>
          </cell>
        </row>
        <row r="19091">
          <cell r="O19091" t="str">
            <v/>
          </cell>
        </row>
        <row r="19092">
          <cell r="O19092" t="str">
            <v/>
          </cell>
        </row>
        <row r="19093">
          <cell r="O19093" t="str">
            <v/>
          </cell>
        </row>
        <row r="19094">
          <cell r="O19094" t="str">
            <v/>
          </cell>
        </row>
        <row r="19095">
          <cell r="O19095" t="str">
            <v/>
          </cell>
        </row>
        <row r="19096">
          <cell r="O19096" t="str">
            <v/>
          </cell>
        </row>
        <row r="19097">
          <cell r="O19097" t="str">
            <v/>
          </cell>
        </row>
        <row r="19098">
          <cell r="O19098" t="str">
            <v/>
          </cell>
        </row>
        <row r="19099">
          <cell r="O19099" t="str">
            <v/>
          </cell>
        </row>
        <row r="19100">
          <cell r="O19100" t="str">
            <v/>
          </cell>
        </row>
        <row r="19101">
          <cell r="O19101" t="str">
            <v/>
          </cell>
        </row>
        <row r="19102">
          <cell r="O19102" t="str">
            <v/>
          </cell>
        </row>
        <row r="19103">
          <cell r="O19103" t="str">
            <v/>
          </cell>
        </row>
        <row r="19104">
          <cell r="O19104" t="str">
            <v/>
          </cell>
        </row>
        <row r="19105">
          <cell r="O19105" t="str">
            <v/>
          </cell>
        </row>
        <row r="19106">
          <cell r="O19106" t="str">
            <v/>
          </cell>
        </row>
        <row r="19107">
          <cell r="O19107" t="str">
            <v/>
          </cell>
        </row>
        <row r="19108">
          <cell r="O19108" t="str">
            <v/>
          </cell>
        </row>
        <row r="19109">
          <cell r="O19109" t="str">
            <v/>
          </cell>
        </row>
        <row r="19110">
          <cell r="O19110" t="str">
            <v/>
          </cell>
        </row>
        <row r="19111">
          <cell r="O19111" t="str">
            <v/>
          </cell>
        </row>
        <row r="19112">
          <cell r="O19112" t="str">
            <v/>
          </cell>
        </row>
        <row r="19113">
          <cell r="O19113" t="str">
            <v/>
          </cell>
        </row>
        <row r="19114">
          <cell r="O19114" t="str">
            <v/>
          </cell>
        </row>
        <row r="19115">
          <cell r="O19115" t="str">
            <v/>
          </cell>
        </row>
        <row r="19116">
          <cell r="O19116" t="str">
            <v/>
          </cell>
        </row>
        <row r="19117">
          <cell r="O19117" t="str">
            <v/>
          </cell>
        </row>
        <row r="19118">
          <cell r="O19118" t="str">
            <v/>
          </cell>
        </row>
        <row r="19119">
          <cell r="O19119" t="str">
            <v/>
          </cell>
        </row>
        <row r="19120">
          <cell r="O19120" t="str">
            <v/>
          </cell>
        </row>
        <row r="19121">
          <cell r="O19121" t="str">
            <v/>
          </cell>
        </row>
        <row r="19122">
          <cell r="O19122" t="str">
            <v/>
          </cell>
        </row>
        <row r="19123">
          <cell r="O19123" t="str">
            <v/>
          </cell>
        </row>
        <row r="19124">
          <cell r="O19124" t="str">
            <v/>
          </cell>
        </row>
        <row r="19125">
          <cell r="O19125" t="str">
            <v/>
          </cell>
        </row>
        <row r="19126">
          <cell r="O19126" t="str">
            <v/>
          </cell>
        </row>
        <row r="19127">
          <cell r="O19127" t="str">
            <v/>
          </cell>
        </row>
        <row r="19128">
          <cell r="O19128" t="str">
            <v/>
          </cell>
        </row>
        <row r="19129">
          <cell r="O19129" t="str">
            <v/>
          </cell>
        </row>
        <row r="19130">
          <cell r="O19130" t="str">
            <v/>
          </cell>
        </row>
        <row r="19131">
          <cell r="O19131" t="str">
            <v/>
          </cell>
        </row>
        <row r="19132">
          <cell r="O19132" t="str">
            <v/>
          </cell>
        </row>
        <row r="19133">
          <cell r="O19133" t="str">
            <v/>
          </cell>
        </row>
        <row r="19134">
          <cell r="O19134" t="str">
            <v/>
          </cell>
        </row>
        <row r="19135">
          <cell r="O19135" t="str">
            <v/>
          </cell>
        </row>
        <row r="19136">
          <cell r="O19136" t="str">
            <v/>
          </cell>
        </row>
        <row r="19137">
          <cell r="O19137" t="str">
            <v/>
          </cell>
        </row>
        <row r="19138">
          <cell r="O19138" t="str">
            <v/>
          </cell>
        </row>
        <row r="19139">
          <cell r="O19139" t="str">
            <v/>
          </cell>
        </row>
        <row r="19140">
          <cell r="O19140" t="str">
            <v/>
          </cell>
        </row>
        <row r="19141">
          <cell r="O19141" t="str">
            <v/>
          </cell>
        </row>
        <row r="19142">
          <cell r="O19142" t="str">
            <v/>
          </cell>
        </row>
        <row r="19143">
          <cell r="O19143" t="str">
            <v/>
          </cell>
        </row>
        <row r="19144">
          <cell r="O19144" t="str">
            <v/>
          </cell>
        </row>
        <row r="19145">
          <cell r="O19145" t="str">
            <v/>
          </cell>
        </row>
        <row r="19146">
          <cell r="O19146" t="str">
            <v/>
          </cell>
        </row>
        <row r="19147">
          <cell r="O19147" t="str">
            <v/>
          </cell>
        </row>
        <row r="19148">
          <cell r="O19148" t="str">
            <v/>
          </cell>
        </row>
        <row r="19149">
          <cell r="O19149" t="str">
            <v/>
          </cell>
        </row>
        <row r="19150">
          <cell r="O19150" t="str">
            <v/>
          </cell>
        </row>
        <row r="19151">
          <cell r="O19151" t="str">
            <v/>
          </cell>
        </row>
        <row r="19152">
          <cell r="O19152" t="str">
            <v/>
          </cell>
        </row>
        <row r="19153">
          <cell r="O19153" t="str">
            <v/>
          </cell>
        </row>
        <row r="19154">
          <cell r="O19154" t="str">
            <v/>
          </cell>
        </row>
        <row r="19155">
          <cell r="O19155" t="str">
            <v/>
          </cell>
        </row>
        <row r="19156">
          <cell r="O19156" t="str">
            <v/>
          </cell>
        </row>
        <row r="19157">
          <cell r="O19157" t="str">
            <v/>
          </cell>
        </row>
        <row r="19158">
          <cell r="O19158" t="str">
            <v/>
          </cell>
        </row>
        <row r="19159">
          <cell r="O19159" t="str">
            <v/>
          </cell>
        </row>
        <row r="19160">
          <cell r="O19160" t="str">
            <v/>
          </cell>
        </row>
        <row r="19161">
          <cell r="O19161" t="str">
            <v/>
          </cell>
        </row>
        <row r="19162">
          <cell r="O19162" t="str">
            <v/>
          </cell>
        </row>
        <row r="19163">
          <cell r="O19163" t="str">
            <v/>
          </cell>
        </row>
        <row r="19164">
          <cell r="O19164" t="str">
            <v/>
          </cell>
        </row>
        <row r="19165">
          <cell r="O19165" t="str">
            <v/>
          </cell>
        </row>
        <row r="19166">
          <cell r="O19166" t="str">
            <v/>
          </cell>
        </row>
        <row r="19167">
          <cell r="O19167" t="str">
            <v/>
          </cell>
        </row>
        <row r="19168">
          <cell r="O19168" t="str">
            <v/>
          </cell>
        </row>
        <row r="19169">
          <cell r="O19169" t="str">
            <v/>
          </cell>
        </row>
        <row r="19170">
          <cell r="O19170" t="str">
            <v/>
          </cell>
        </row>
        <row r="19171">
          <cell r="O19171" t="str">
            <v/>
          </cell>
        </row>
        <row r="19172">
          <cell r="O19172" t="str">
            <v/>
          </cell>
        </row>
        <row r="19173">
          <cell r="O19173" t="str">
            <v/>
          </cell>
        </row>
        <row r="19174">
          <cell r="O19174" t="str">
            <v/>
          </cell>
        </row>
        <row r="19175">
          <cell r="O19175" t="str">
            <v/>
          </cell>
        </row>
        <row r="19176">
          <cell r="O19176" t="str">
            <v/>
          </cell>
        </row>
        <row r="19177">
          <cell r="O19177" t="str">
            <v/>
          </cell>
        </row>
        <row r="19178">
          <cell r="O19178" t="str">
            <v/>
          </cell>
        </row>
        <row r="19179">
          <cell r="O19179" t="str">
            <v/>
          </cell>
        </row>
        <row r="19180">
          <cell r="O19180" t="str">
            <v/>
          </cell>
        </row>
        <row r="19181">
          <cell r="O19181" t="str">
            <v/>
          </cell>
        </row>
        <row r="19182">
          <cell r="O19182" t="str">
            <v/>
          </cell>
        </row>
        <row r="19183">
          <cell r="O19183" t="str">
            <v/>
          </cell>
        </row>
        <row r="19184">
          <cell r="O19184" t="str">
            <v/>
          </cell>
        </row>
        <row r="19185">
          <cell r="O19185" t="str">
            <v/>
          </cell>
        </row>
        <row r="19186">
          <cell r="O19186" t="str">
            <v/>
          </cell>
        </row>
        <row r="19187">
          <cell r="O19187" t="str">
            <v/>
          </cell>
        </row>
        <row r="19188">
          <cell r="O19188" t="str">
            <v/>
          </cell>
        </row>
        <row r="19189">
          <cell r="O19189" t="str">
            <v/>
          </cell>
        </row>
        <row r="19190">
          <cell r="O19190" t="str">
            <v/>
          </cell>
        </row>
        <row r="19191">
          <cell r="O19191" t="str">
            <v/>
          </cell>
        </row>
        <row r="19192">
          <cell r="O19192" t="str">
            <v/>
          </cell>
        </row>
        <row r="19193">
          <cell r="O19193" t="str">
            <v/>
          </cell>
        </row>
        <row r="19194">
          <cell r="O19194" t="str">
            <v/>
          </cell>
        </row>
        <row r="19195">
          <cell r="O19195" t="str">
            <v/>
          </cell>
        </row>
        <row r="19196">
          <cell r="O19196" t="str">
            <v/>
          </cell>
        </row>
        <row r="19197">
          <cell r="O19197" t="str">
            <v/>
          </cell>
        </row>
        <row r="19198">
          <cell r="O19198" t="str">
            <v/>
          </cell>
        </row>
        <row r="19199">
          <cell r="O19199" t="str">
            <v/>
          </cell>
        </row>
        <row r="19200">
          <cell r="O19200" t="str">
            <v/>
          </cell>
        </row>
        <row r="19201">
          <cell r="O19201" t="str">
            <v/>
          </cell>
        </row>
        <row r="19202">
          <cell r="O19202" t="str">
            <v/>
          </cell>
        </row>
        <row r="19203">
          <cell r="O19203" t="str">
            <v/>
          </cell>
        </row>
        <row r="19204">
          <cell r="O19204" t="str">
            <v/>
          </cell>
        </row>
        <row r="19205">
          <cell r="O19205" t="str">
            <v/>
          </cell>
        </row>
        <row r="19206">
          <cell r="O19206" t="str">
            <v/>
          </cell>
        </row>
        <row r="19207">
          <cell r="O19207" t="str">
            <v/>
          </cell>
        </row>
        <row r="19208">
          <cell r="O19208" t="str">
            <v/>
          </cell>
        </row>
        <row r="19209">
          <cell r="O19209" t="str">
            <v/>
          </cell>
        </row>
        <row r="19210">
          <cell r="O19210" t="str">
            <v/>
          </cell>
        </row>
        <row r="19211">
          <cell r="O19211" t="str">
            <v/>
          </cell>
        </row>
        <row r="19212">
          <cell r="O19212" t="str">
            <v/>
          </cell>
        </row>
        <row r="19213">
          <cell r="O19213" t="str">
            <v/>
          </cell>
        </row>
        <row r="19214">
          <cell r="O19214" t="str">
            <v/>
          </cell>
        </row>
        <row r="19215">
          <cell r="O19215" t="str">
            <v/>
          </cell>
        </row>
        <row r="19216">
          <cell r="O19216" t="str">
            <v/>
          </cell>
        </row>
        <row r="19217">
          <cell r="O19217" t="str">
            <v/>
          </cell>
        </row>
        <row r="19218">
          <cell r="O19218" t="str">
            <v/>
          </cell>
        </row>
        <row r="19219">
          <cell r="O19219" t="str">
            <v/>
          </cell>
        </row>
        <row r="19220">
          <cell r="O19220" t="str">
            <v/>
          </cell>
        </row>
        <row r="19221">
          <cell r="O19221" t="str">
            <v/>
          </cell>
        </row>
        <row r="19222">
          <cell r="O19222" t="str">
            <v/>
          </cell>
        </row>
        <row r="19223">
          <cell r="O19223" t="str">
            <v/>
          </cell>
        </row>
        <row r="19224">
          <cell r="O19224" t="str">
            <v/>
          </cell>
        </row>
        <row r="19225">
          <cell r="O19225" t="str">
            <v/>
          </cell>
        </row>
        <row r="19226">
          <cell r="O19226" t="str">
            <v/>
          </cell>
        </row>
        <row r="19227">
          <cell r="O19227" t="str">
            <v/>
          </cell>
        </row>
        <row r="19228">
          <cell r="O19228" t="str">
            <v/>
          </cell>
        </row>
        <row r="19229">
          <cell r="O19229" t="str">
            <v/>
          </cell>
        </row>
        <row r="19230">
          <cell r="O19230" t="str">
            <v/>
          </cell>
        </row>
        <row r="19231">
          <cell r="O19231" t="str">
            <v/>
          </cell>
        </row>
        <row r="19232">
          <cell r="O19232" t="str">
            <v/>
          </cell>
        </row>
        <row r="19233">
          <cell r="O19233" t="str">
            <v/>
          </cell>
        </row>
        <row r="19234">
          <cell r="O19234" t="str">
            <v/>
          </cell>
        </row>
        <row r="19235">
          <cell r="O19235" t="str">
            <v/>
          </cell>
        </row>
        <row r="19236">
          <cell r="O19236" t="str">
            <v/>
          </cell>
        </row>
        <row r="19237">
          <cell r="O19237" t="str">
            <v/>
          </cell>
        </row>
        <row r="19238">
          <cell r="O19238" t="str">
            <v/>
          </cell>
        </row>
        <row r="19239">
          <cell r="O19239" t="str">
            <v/>
          </cell>
        </row>
        <row r="19240">
          <cell r="O19240" t="str">
            <v/>
          </cell>
        </row>
        <row r="19241">
          <cell r="O19241" t="str">
            <v/>
          </cell>
        </row>
        <row r="19242">
          <cell r="O19242" t="str">
            <v/>
          </cell>
        </row>
        <row r="19243">
          <cell r="O19243" t="str">
            <v/>
          </cell>
        </row>
        <row r="19244">
          <cell r="O19244" t="str">
            <v/>
          </cell>
        </row>
        <row r="19245">
          <cell r="O19245" t="str">
            <v/>
          </cell>
        </row>
        <row r="19246">
          <cell r="O19246" t="str">
            <v/>
          </cell>
        </row>
        <row r="19247">
          <cell r="O19247" t="str">
            <v/>
          </cell>
        </row>
        <row r="19248">
          <cell r="O19248" t="str">
            <v/>
          </cell>
        </row>
        <row r="19249">
          <cell r="O19249" t="str">
            <v/>
          </cell>
        </row>
        <row r="19250">
          <cell r="O19250" t="str">
            <v/>
          </cell>
        </row>
        <row r="19251">
          <cell r="O19251" t="str">
            <v/>
          </cell>
        </row>
        <row r="19252">
          <cell r="O19252" t="str">
            <v/>
          </cell>
        </row>
        <row r="19253">
          <cell r="O19253" t="str">
            <v/>
          </cell>
        </row>
        <row r="19254">
          <cell r="O19254" t="str">
            <v/>
          </cell>
        </row>
        <row r="19255">
          <cell r="O19255" t="str">
            <v/>
          </cell>
        </row>
        <row r="19256">
          <cell r="O19256" t="str">
            <v/>
          </cell>
        </row>
        <row r="19257">
          <cell r="O19257" t="str">
            <v/>
          </cell>
        </row>
        <row r="19258">
          <cell r="O19258" t="str">
            <v/>
          </cell>
        </row>
        <row r="19259">
          <cell r="O19259" t="str">
            <v/>
          </cell>
        </row>
        <row r="19260">
          <cell r="O19260" t="str">
            <v/>
          </cell>
        </row>
        <row r="19261">
          <cell r="O19261" t="str">
            <v/>
          </cell>
        </row>
        <row r="19262">
          <cell r="O19262" t="str">
            <v/>
          </cell>
        </row>
        <row r="19263">
          <cell r="O19263" t="str">
            <v/>
          </cell>
        </row>
        <row r="19264">
          <cell r="O19264" t="str">
            <v/>
          </cell>
        </row>
        <row r="19265">
          <cell r="O19265" t="str">
            <v/>
          </cell>
        </row>
        <row r="19266">
          <cell r="O19266" t="str">
            <v/>
          </cell>
        </row>
        <row r="19267">
          <cell r="O19267" t="str">
            <v/>
          </cell>
        </row>
        <row r="19268">
          <cell r="O19268" t="str">
            <v/>
          </cell>
        </row>
        <row r="19269">
          <cell r="O19269" t="str">
            <v/>
          </cell>
        </row>
        <row r="19270">
          <cell r="O19270" t="str">
            <v/>
          </cell>
        </row>
        <row r="19271">
          <cell r="O19271" t="str">
            <v/>
          </cell>
        </row>
        <row r="19272">
          <cell r="O19272" t="str">
            <v/>
          </cell>
        </row>
        <row r="19273">
          <cell r="O19273" t="str">
            <v/>
          </cell>
        </row>
        <row r="19274">
          <cell r="O19274" t="str">
            <v/>
          </cell>
        </row>
        <row r="19275">
          <cell r="O19275" t="str">
            <v/>
          </cell>
        </row>
        <row r="19276">
          <cell r="O19276" t="str">
            <v/>
          </cell>
        </row>
        <row r="19277">
          <cell r="O19277" t="str">
            <v/>
          </cell>
        </row>
        <row r="19278">
          <cell r="O19278" t="str">
            <v/>
          </cell>
        </row>
        <row r="19279">
          <cell r="O19279" t="str">
            <v/>
          </cell>
        </row>
        <row r="19280">
          <cell r="O19280" t="str">
            <v/>
          </cell>
        </row>
        <row r="19281">
          <cell r="O19281" t="str">
            <v/>
          </cell>
        </row>
        <row r="19282">
          <cell r="O19282" t="str">
            <v/>
          </cell>
        </row>
        <row r="19283">
          <cell r="O19283" t="str">
            <v/>
          </cell>
        </row>
        <row r="19284">
          <cell r="O19284" t="str">
            <v/>
          </cell>
        </row>
        <row r="19285">
          <cell r="O19285" t="str">
            <v/>
          </cell>
        </row>
        <row r="19286">
          <cell r="O19286" t="str">
            <v/>
          </cell>
        </row>
        <row r="19287">
          <cell r="O19287" t="str">
            <v/>
          </cell>
        </row>
        <row r="19288">
          <cell r="O19288" t="str">
            <v/>
          </cell>
        </row>
        <row r="19289">
          <cell r="O19289" t="str">
            <v/>
          </cell>
        </row>
        <row r="19290">
          <cell r="O19290" t="str">
            <v/>
          </cell>
        </row>
        <row r="19291">
          <cell r="O19291" t="str">
            <v/>
          </cell>
        </row>
        <row r="19292">
          <cell r="O19292" t="str">
            <v/>
          </cell>
        </row>
        <row r="19293">
          <cell r="O19293" t="str">
            <v/>
          </cell>
        </row>
        <row r="19294">
          <cell r="O19294" t="str">
            <v/>
          </cell>
        </row>
        <row r="19295">
          <cell r="O19295" t="str">
            <v/>
          </cell>
        </row>
        <row r="19296">
          <cell r="O19296" t="str">
            <v/>
          </cell>
        </row>
        <row r="19297">
          <cell r="O19297" t="str">
            <v/>
          </cell>
        </row>
        <row r="19298">
          <cell r="O19298" t="str">
            <v/>
          </cell>
        </row>
        <row r="19299">
          <cell r="O19299" t="str">
            <v/>
          </cell>
        </row>
        <row r="19300">
          <cell r="O19300" t="str">
            <v/>
          </cell>
        </row>
        <row r="19301">
          <cell r="O19301" t="str">
            <v/>
          </cell>
        </row>
        <row r="19302">
          <cell r="O19302" t="str">
            <v/>
          </cell>
        </row>
        <row r="19303">
          <cell r="O19303" t="str">
            <v/>
          </cell>
        </row>
        <row r="19304">
          <cell r="O19304" t="str">
            <v/>
          </cell>
        </row>
        <row r="19305">
          <cell r="O19305" t="str">
            <v/>
          </cell>
        </row>
        <row r="19306">
          <cell r="O19306" t="str">
            <v/>
          </cell>
        </row>
        <row r="19307">
          <cell r="O19307" t="str">
            <v/>
          </cell>
        </row>
        <row r="19308">
          <cell r="O19308" t="str">
            <v/>
          </cell>
        </row>
        <row r="19309">
          <cell r="O19309" t="str">
            <v/>
          </cell>
        </row>
        <row r="19310">
          <cell r="O19310" t="str">
            <v/>
          </cell>
        </row>
        <row r="19311">
          <cell r="O19311" t="str">
            <v/>
          </cell>
        </row>
        <row r="19312">
          <cell r="O19312" t="str">
            <v/>
          </cell>
        </row>
        <row r="19313">
          <cell r="O19313" t="str">
            <v/>
          </cell>
        </row>
        <row r="19314">
          <cell r="O19314" t="str">
            <v/>
          </cell>
        </row>
        <row r="19315">
          <cell r="O19315" t="str">
            <v/>
          </cell>
        </row>
        <row r="19316">
          <cell r="O19316" t="str">
            <v/>
          </cell>
        </row>
        <row r="19317">
          <cell r="O19317" t="str">
            <v/>
          </cell>
        </row>
        <row r="19318">
          <cell r="O19318" t="str">
            <v/>
          </cell>
        </row>
        <row r="19319">
          <cell r="O19319" t="str">
            <v/>
          </cell>
        </row>
        <row r="19320">
          <cell r="O19320" t="str">
            <v/>
          </cell>
        </row>
        <row r="19321">
          <cell r="O19321" t="str">
            <v/>
          </cell>
        </row>
        <row r="19322">
          <cell r="O19322" t="str">
            <v/>
          </cell>
        </row>
        <row r="19323">
          <cell r="O19323" t="str">
            <v/>
          </cell>
        </row>
        <row r="19324">
          <cell r="O19324" t="str">
            <v/>
          </cell>
        </row>
        <row r="19325">
          <cell r="O19325" t="str">
            <v/>
          </cell>
        </row>
        <row r="19326">
          <cell r="O19326" t="str">
            <v/>
          </cell>
        </row>
        <row r="19327">
          <cell r="O19327" t="str">
            <v/>
          </cell>
        </row>
        <row r="19328">
          <cell r="O19328" t="str">
            <v/>
          </cell>
        </row>
        <row r="19329">
          <cell r="O19329" t="str">
            <v/>
          </cell>
        </row>
        <row r="19330">
          <cell r="O19330" t="str">
            <v/>
          </cell>
        </row>
        <row r="19331">
          <cell r="O19331" t="str">
            <v/>
          </cell>
        </row>
        <row r="19332">
          <cell r="O19332" t="str">
            <v/>
          </cell>
        </row>
        <row r="19333">
          <cell r="O19333" t="str">
            <v/>
          </cell>
        </row>
        <row r="19334">
          <cell r="O19334" t="str">
            <v/>
          </cell>
        </row>
        <row r="19335">
          <cell r="O19335" t="str">
            <v/>
          </cell>
        </row>
        <row r="19336">
          <cell r="O19336" t="str">
            <v/>
          </cell>
        </row>
        <row r="19337">
          <cell r="O19337" t="str">
            <v/>
          </cell>
        </row>
        <row r="19338">
          <cell r="O19338" t="str">
            <v/>
          </cell>
        </row>
        <row r="19339">
          <cell r="O19339" t="str">
            <v/>
          </cell>
        </row>
        <row r="19340">
          <cell r="O19340" t="str">
            <v/>
          </cell>
        </row>
        <row r="19341">
          <cell r="O19341" t="str">
            <v/>
          </cell>
        </row>
        <row r="19342">
          <cell r="O19342" t="str">
            <v/>
          </cell>
        </row>
        <row r="19343">
          <cell r="O19343" t="str">
            <v/>
          </cell>
        </row>
        <row r="19344">
          <cell r="O19344" t="str">
            <v/>
          </cell>
        </row>
        <row r="19345">
          <cell r="O19345" t="str">
            <v/>
          </cell>
        </row>
        <row r="19346">
          <cell r="O19346" t="str">
            <v/>
          </cell>
        </row>
        <row r="19347">
          <cell r="O19347" t="str">
            <v/>
          </cell>
        </row>
        <row r="19348">
          <cell r="O19348" t="str">
            <v/>
          </cell>
        </row>
        <row r="19349">
          <cell r="O19349" t="str">
            <v/>
          </cell>
        </row>
        <row r="19350">
          <cell r="O19350" t="str">
            <v/>
          </cell>
        </row>
        <row r="19351">
          <cell r="O19351" t="str">
            <v/>
          </cell>
        </row>
        <row r="19352">
          <cell r="O19352" t="str">
            <v/>
          </cell>
        </row>
        <row r="19353">
          <cell r="O19353" t="str">
            <v/>
          </cell>
        </row>
        <row r="19354">
          <cell r="O19354" t="str">
            <v/>
          </cell>
        </row>
        <row r="19355">
          <cell r="O19355" t="str">
            <v/>
          </cell>
        </row>
        <row r="19356">
          <cell r="O19356" t="str">
            <v/>
          </cell>
        </row>
        <row r="19357">
          <cell r="O19357" t="str">
            <v/>
          </cell>
        </row>
        <row r="19358">
          <cell r="O19358" t="str">
            <v/>
          </cell>
        </row>
        <row r="19359">
          <cell r="O19359" t="str">
            <v/>
          </cell>
        </row>
        <row r="19360">
          <cell r="O19360" t="str">
            <v/>
          </cell>
        </row>
        <row r="19361">
          <cell r="O19361" t="str">
            <v/>
          </cell>
        </row>
        <row r="19362">
          <cell r="O19362" t="str">
            <v/>
          </cell>
        </row>
        <row r="19363">
          <cell r="O19363" t="str">
            <v/>
          </cell>
        </row>
        <row r="19364">
          <cell r="O19364" t="str">
            <v/>
          </cell>
        </row>
        <row r="19365">
          <cell r="O19365" t="str">
            <v/>
          </cell>
        </row>
        <row r="19366">
          <cell r="O19366" t="str">
            <v/>
          </cell>
        </row>
        <row r="19367">
          <cell r="O19367" t="str">
            <v/>
          </cell>
        </row>
        <row r="19368">
          <cell r="O19368" t="str">
            <v/>
          </cell>
        </row>
        <row r="19369">
          <cell r="O19369" t="str">
            <v/>
          </cell>
        </row>
        <row r="19370">
          <cell r="O19370" t="str">
            <v/>
          </cell>
        </row>
        <row r="19371">
          <cell r="O19371" t="str">
            <v/>
          </cell>
        </row>
        <row r="19372">
          <cell r="O19372" t="str">
            <v/>
          </cell>
        </row>
        <row r="19373">
          <cell r="O19373" t="str">
            <v/>
          </cell>
        </row>
        <row r="19374">
          <cell r="O19374" t="str">
            <v/>
          </cell>
        </row>
        <row r="19375">
          <cell r="O19375" t="str">
            <v/>
          </cell>
        </row>
        <row r="19376">
          <cell r="O19376" t="str">
            <v/>
          </cell>
        </row>
        <row r="19377">
          <cell r="O19377" t="str">
            <v/>
          </cell>
        </row>
        <row r="19378">
          <cell r="O19378" t="str">
            <v/>
          </cell>
        </row>
        <row r="19379">
          <cell r="O19379" t="str">
            <v/>
          </cell>
        </row>
        <row r="19380">
          <cell r="O19380" t="str">
            <v/>
          </cell>
        </row>
        <row r="19381">
          <cell r="O19381" t="str">
            <v/>
          </cell>
        </row>
        <row r="19382">
          <cell r="O19382" t="str">
            <v/>
          </cell>
        </row>
        <row r="19383">
          <cell r="O19383" t="str">
            <v/>
          </cell>
        </row>
        <row r="19384">
          <cell r="O19384" t="str">
            <v/>
          </cell>
        </row>
        <row r="19385">
          <cell r="O19385" t="str">
            <v/>
          </cell>
        </row>
        <row r="19386">
          <cell r="O19386" t="str">
            <v/>
          </cell>
        </row>
        <row r="19387">
          <cell r="O19387" t="str">
            <v/>
          </cell>
        </row>
        <row r="19388">
          <cell r="O19388" t="str">
            <v/>
          </cell>
        </row>
        <row r="19389">
          <cell r="O19389" t="str">
            <v/>
          </cell>
        </row>
        <row r="19390">
          <cell r="O19390" t="str">
            <v/>
          </cell>
        </row>
        <row r="19391">
          <cell r="O19391" t="str">
            <v/>
          </cell>
        </row>
        <row r="19392">
          <cell r="O19392" t="str">
            <v/>
          </cell>
        </row>
        <row r="19393">
          <cell r="O19393" t="str">
            <v/>
          </cell>
        </row>
        <row r="19394">
          <cell r="O19394" t="str">
            <v/>
          </cell>
        </row>
        <row r="19395">
          <cell r="O19395" t="str">
            <v/>
          </cell>
        </row>
        <row r="19396">
          <cell r="O19396" t="str">
            <v/>
          </cell>
        </row>
        <row r="19397">
          <cell r="O19397" t="str">
            <v/>
          </cell>
        </row>
        <row r="19398">
          <cell r="O19398" t="str">
            <v/>
          </cell>
        </row>
        <row r="19399">
          <cell r="O19399" t="str">
            <v/>
          </cell>
        </row>
        <row r="19400">
          <cell r="O19400" t="str">
            <v/>
          </cell>
        </row>
        <row r="19401">
          <cell r="O19401" t="str">
            <v/>
          </cell>
        </row>
        <row r="19402">
          <cell r="O19402" t="str">
            <v/>
          </cell>
        </row>
        <row r="19403">
          <cell r="O19403" t="str">
            <v/>
          </cell>
        </row>
        <row r="19404">
          <cell r="O19404" t="str">
            <v/>
          </cell>
        </row>
        <row r="19405">
          <cell r="O19405" t="str">
            <v/>
          </cell>
        </row>
        <row r="19406">
          <cell r="O19406" t="str">
            <v/>
          </cell>
        </row>
        <row r="19407">
          <cell r="O19407" t="str">
            <v/>
          </cell>
        </row>
        <row r="19408">
          <cell r="O19408" t="str">
            <v/>
          </cell>
        </row>
        <row r="19409">
          <cell r="O19409" t="str">
            <v/>
          </cell>
        </row>
        <row r="19410">
          <cell r="O19410" t="str">
            <v/>
          </cell>
        </row>
        <row r="19411">
          <cell r="O19411" t="str">
            <v/>
          </cell>
        </row>
        <row r="19412">
          <cell r="O19412" t="str">
            <v/>
          </cell>
        </row>
        <row r="19413">
          <cell r="O19413" t="str">
            <v/>
          </cell>
        </row>
        <row r="19414">
          <cell r="O19414" t="str">
            <v/>
          </cell>
        </row>
        <row r="19415">
          <cell r="O19415" t="str">
            <v/>
          </cell>
        </row>
        <row r="19416">
          <cell r="O19416" t="str">
            <v/>
          </cell>
        </row>
        <row r="19417">
          <cell r="O19417" t="str">
            <v/>
          </cell>
        </row>
        <row r="19418">
          <cell r="O19418" t="str">
            <v/>
          </cell>
        </row>
        <row r="19419">
          <cell r="O19419" t="str">
            <v/>
          </cell>
        </row>
        <row r="19420">
          <cell r="O19420" t="str">
            <v/>
          </cell>
        </row>
        <row r="19421">
          <cell r="O19421" t="str">
            <v/>
          </cell>
        </row>
        <row r="19422">
          <cell r="O19422" t="str">
            <v/>
          </cell>
        </row>
        <row r="19423">
          <cell r="O19423" t="str">
            <v/>
          </cell>
        </row>
        <row r="19424">
          <cell r="O19424" t="str">
            <v/>
          </cell>
        </row>
        <row r="19425">
          <cell r="O19425" t="str">
            <v/>
          </cell>
        </row>
        <row r="19426">
          <cell r="O19426" t="str">
            <v/>
          </cell>
        </row>
        <row r="19427">
          <cell r="O19427" t="str">
            <v/>
          </cell>
        </row>
        <row r="19428">
          <cell r="O19428" t="str">
            <v/>
          </cell>
        </row>
        <row r="19429">
          <cell r="O19429" t="str">
            <v/>
          </cell>
        </row>
        <row r="19430">
          <cell r="O19430" t="str">
            <v/>
          </cell>
        </row>
        <row r="19431">
          <cell r="O19431" t="str">
            <v/>
          </cell>
        </row>
        <row r="19432">
          <cell r="O19432" t="str">
            <v/>
          </cell>
        </row>
        <row r="19433">
          <cell r="O19433" t="str">
            <v/>
          </cell>
        </row>
        <row r="19434">
          <cell r="O19434" t="str">
            <v/>
          </cell>
        </row>
        <row r="19435">
          <cell r="O19435" t="str">
            <v/>
          </cell>
        </row>
        <row r="19436">
          <cell r="O19436" t="str">
            <v/>
          </cell>
        </row>
        <row r="19437">
          <cell r="O19437" t="str">
            <v/>
          </cell>
        </row>
        <row r="19438">
          <cell r="O19438" t="str">
            <v/>
          </cell>
        </row>
        <row r="19439">
          <cell r="O19439" t="str">
            <v/>
          </cell>
        </row>
        <row r="19440">
          <cell r="O19440" t="str">
            <v/>
          </cell>
        </row>
        <row r="19441">
          <cell r="O19441" t="str">
            <v/>
          </cell>
        </row>
        <row r="19442">
          <cell r="O19442" t="str">
            <v/>
          </cell>
        </row>
        <row r="19443">
          <cell r="O19443" t="str">
            <v/>
          </cell>
        </row>
        <row r="19444">
          <cell r="O19444" t="str">
            <v/>
          </cell>
        </row>
        <row r="19445">
          <cell r="O19445" t="str">
            <v/>
          </cell>
        </row>
        <row r="19446">
          <cell r="O19446" t="str">
            <v/>
          </cell>
        </row>
        <row r="19447">
          <cell r="O19447" t="str">
            <v/>
          </cell>
        </row>
        <row r="19448">
          <cell r="O19448" t="str">
            <v/>
          </cell>
        </row>
        <row r="19449">
          <cell r="O19449" t="str">
            <v/>
          </cell>
        </row>
        <row r="19450">
          <cell r="O19450" t="str">
            <v/>
          </cell>
        </row>
        <row r="19451">
          <cell r="O19451" t="str">
            <v/>
          </cell>
        </row>
        <row r="19452">
          <cell r="O19452" t="str">
            <v/>
          </cell>
        </row>
        <row r="19453">
          <cell r="O19453" t="str">
            <v/>
          </cell>
        </row>
        <row r="19454">
          <cell r="O19454" t="str">
            <v/>
          </cell>
        </row>
        <row r="19455">
          <cell r="O19455" t="str">
            <v/>
          </cell>
        </row>
        <row r="19456">
          <cell r="O19456" t="str">
            <v/>
          </cell>
        </row>
        <row r="19457">
          <cell r="O19457" t="str">
            <v/>
          </cell>
        </row>
        <row r="19458">
          <cell r="O19458" t="str">
            <v/>
          </cell>
        </row>
        <row r="19459">
          <cell r="O19459" t="str">
            <v/>
          </cell>
        </row>
        <row r="19460">
          <cell r="O19460" t="str">
            <v/>
          </cell>
        </row>
        <row r="19461">
          <cell r="O19461" t="str">
            <v/>
          </cell>
        </row>
        <row r="19462">
          <cell r="O19462" t="str">
            <v/>
          </cell>
        </row>
        <row r="19463">
          <cell r="O19463" t="str">
            <v/>
          </cell>
        </row>
        <row r="19464">
          <cell r="O19464" t="str">
            <v/>
          </cell>
        </row>
        <row r="19465">
          <cell r="O19465" t="str">
            <v/>
          </cell>
        </row>
        <row r="19466">
          <cell r="O19466" t="str">
            <v/>
          </cell>
        </row>
        <row r="19467">
          <cell r="O19467" t="str">
            <v/>
          </cell>
        </row>
        <row r="19468">
          <cell r="O19468" t="str">
            <v/>
          </cell>
        </row>
        <row r="19469">
          <cell r="O19469" t="str">
            <v/>
          </cell>
        </row>
        <row r="19470">
          <cell r="O19470" t="str">
            <v/>
          </cell>
        </row>
        <row r="19471">
          <cell r="O19471" t="str">
            <v/>
          </cell>
        </row>
        <row r="19472">
          <cell r="O19472" t="str">
            <v/>
          </cell>
        </row>
        <row r="19473">
          <cell r="O19473" t="str">
            <v/>
          </cell>
        </row>
        <row r="19474">
          <cell r="O19474" t="str">
            <v/>
          </cell>
        </row>
        <row r="19475">
          <cell r="O19475" t="str">
            <v/>
          </cell>
        </row>
        <row r="19476">
          <cell r="O19476" t="str">
            <v/>
          </cell>
        </row>
        <row r="19477">
          <cell r="O19477" t="str">
            <v/>
          </cell>
        </row>
        <row r="19478">
          <cell r="O19478" t="str">
            <v/>
          </cell>
        </row>
        <row r="19479">
          <cell r="O19479" t="str">
            <v/>
          </cell>
        </row>
        <row r="19480">
          <cell r="O19480" t="str">
            <v/>
          </cell>
        </row>
        <row r="19481">
          <cell r="O19481" t="str">
            <v/>
          </cell>
        </row>
        <row r="19482">
          <cell r="O19482" t="str">
            <v/>
          </cell>
        </row>
        <row r="19483">
          <cell r="O19483" t="str">
            <v/>
          </cell>
        </row>
        <row r="19484">
          <cell r="O19484" t="str">
            <v/>
          </cell>
        </row>
        <row r="19485">
          <cell r="O19485" t="str">
            <v/>
          </cell>
        </row>
        <row r="19486">
          <cell r="O19486" t="str">
            <v/>
          </cell>
        </row>
        <row r="19487">
          <cell r="O19487" t="str">
            <v/>
          </cell>
        </row>
        <row r="19488">
          <cell r="O19488" t="str">
            <v/>
          </cell>
        </row>
        <row r="19489">
          <cell r="O19489" t="str">
            <v/>
          </cell>
        </row>
        <row r="19490">
          <cell r="O19490" t="str">
            <v/>
          </cell>
        </row>
        <row r="19491">
          <cell r="O19491" t="str">
            <v/>
          </cell>
        </row>
        <row r="19492">
          <cell r="O19492" t="str">
            <v/>
          </cell>
        </row>
        <row r="19493">
          <cell r="O19493" t="str">
            <v/>
          </cell>
        </row>
        <row r="19494">
          <cell r="O19494" t="str">
            <v/>
          </cell>
        </row>
        <row r="19495">
          <cell r="O19495" t="str">
            <v/>
          </cell>
        </row>
        <row r="19496">
          <cell r="O19496" t="str">
            <v/>
          </cell>
        </row>
        <row r="19497">
          <cell r="O19497" t="str">
            <v/>
          </cell>
        </row>
        <row r="19498">
          <cell r="O19498" t="str">
            <v/>
          </cell>
        </row>
        <row r="19499">
          <cell r="O19499" t="str">
            <v/>
          </cell>
        </row>
        <row r="19500">
          <cell r="O19500" t="str">
            <v/>
          </cell>
        </row>
        <row r="19501">
          <cell r="O19501" t="str">
            <v/>
          </cell>
        </row>
        <row r="19502">
          <cell r="O19502" t="str">
            <v/>
          </cell>
        </row>
        <row r="19503">
          <cell r="O19503" t="str">
            <v/>
          </cell>
        </row>
        <row r="19504">
          <cell r="O19504" t="str">
            <v/>
          </cell>
        </row>
        <row r="19505">
          <cell r="O19505" t="str">
            <v/>
          </cell>
        </row>
        <row r="19506">
          <cell r="O19506" t="str">
            <v/>
          </cell>
        </row>
        <row r="19507">
          <cell r="O19507" t="str">
            <v/>
          </cell>
        </row>
        <row r="19508">
          <cell r="O19508" t="str">
            <v/>
          </cell>
        </row>
        <row r="19509">
          <cell r="O19509" t="str">
            <v/>
          </cell>
        </row>
        <row r="19510">
          <cell r="O19510" t="str">
            <v/>
          </cell>
        </row>
        <row r="19511">
          <cell r="O19511" t="str">
            <v/>
          </cell>
        </row>
        <row r="19512">
          <cell r="O19512" t="str">
            <v/>
          </cell>
        </row>
        <row r="19513">
          <cell r="O19513" t="str">
            <v/>
          </cell>
        </row>
        <row r="19514">
          <cell r="O19514" t="str">
            <v/>
          </cell>
        </row>
        <row r="19515">
          <cell r="O19515" t="str">
            <v/>
          </cell>
        </row>
        <row r="19516">
          <cell r="O19516" t="str">
            <v/>
          </cell>
        </row>
        <row r="19517">
          <cell r="O19517" t="str">
            <v/>
          </cell>
        </row>
        <row r="19518">
          <cell r="O19518" t="str">
            <v/>
          </cell>
        </row>
        <row r="19519">
          <cell r="O19519" t="str">
            <v/>
          </cell>
        </row>
        <row r="19520">
          <cell r="O19520" t="str">
            <v/>
          </cell>
        </row>
        <row r="19521">
          <cell r="O19521" t="str">
            <v/>
          </cell>
        </row>
        <row r="19522">
          <cell r="O19522" t="str">
            <v/>
          </cell>
        </row>
        <row r="19523">
          <cell r="O19523" t="str">
            <v/>
          </cell>
        </row>
        <row r="19524">
          <cell r="O19524" t="str">
            <v/>
          </cell>
        </row>
        <row r="19525">
          <cell r="O19525" t="str">
            <v/>
          </cell>
        </row>
        <row r="19526">
          <cell r="O19526" t="str">
            <v/>
          </cell>
        </row>
        <row r="19527">
          <cell r="O19527" t="str">
            <v/>
          </cell>
        </row>
        <row r="19528">
          <cell r="O19528" t="str">
            <v/>
          </cell>
        </row>
        <row r="19529">
          <cell r="O19529" t="str">
            <v/>
          </cell>
        </row>
        <row r="19530">
          <cell r="O19530" t="str">
            <v/>
          </cell>
        </row>
        <row r="19531">
          <cell r="O19531" t="str">
            <v/>
          </cell>
        </row>
        <row r="19532">
          <cell r="O19532" t="str">
            <v/>
          </cell>
        </row>
        <row r="19533">
          <cell r="O19533" t="str">
            <v/>
          </cell>
        </row>
        <row r="19534">
          <cell r="O19534" t="str">
            <v/>
          </cell>
        </row>
        <row r="19535">
          <cell r="O19535" t="str">
            <v/>
          </cell>
        </row>
        <row r="19536">
          <cell r="O19536" t="str">
            <v/>
          </cell>
        </row>
        <row r="19537">
          <cell r="O19537" t="str">
            <v/>
          </cell>
        </row>
        <row r="19538">
          <cell r="O19538" t="str">
            <v/>
          </cell>
        </row>
        <row r="19539">
          <cell r="O19539" t="str">
            <v/>
          </cell>
        </row>
        <row r="19540">
          <cell r="O19540" t="str">
            <v/>
          </cell>
        </row>
        <row r="19541">
          <cell r="O19541" t="str">
            <v/>
          </cell>
        </row>
        <row r="19542">
          <cell r="O19542" t="str">
            <v/>
          </cell>
        </row>
        <row r="19543">
          <cell r="O19543" t="str">
            <v/>
          </cell>
        </row>
        <row r="19544">
          <cell r="O19544" t="str">
            <v/>
          </cell>
        </row>
        <row r="19545">
          <cell r="O19545" t="str">
            <v/>
          </cell>
        </row>
        <row r="19546">
          <cell r="O19546" t="str">
            <v/>
          </cell>
        </row>
        <row r="19547">
          <cell r="O19547" t="str">
            <v/>
          </cell>
        </row>
        <row r="19548">
          <cell r="O19548" t="str">
            <v/>
          </cell>
        </row>
        <row r="19549">
          <cell r="O19549" t="str">
            <v/>
          </cell>
        </row>
        <row r="19550">
          <cell r="O19550" t="str">
            <v/>
          </cell>
        </row>
        <row r="19551">
          <cell r="O19551" t="str">
            <v/>
          </cell>
        </row>
        <row r="19552">
          <cell r="O19552" t="str">
            <v/>
          </cell>
        </row>
        <row r="19553">
          <cell r="O19553" t="str">
            <v/>
          </cell>
        </row>
        <row r="19554">
          <cell r="O19554" t="str">
            <v/>
          </cell>
        </row>
        <row r="19555">
          <cell r="O19555" t="str">
            <v/>
          </cell>
        </row>
        <row r="19556">
          <cell r="O19556" t="str">
            <v/>
          </cell>
        </row>
        <row r="19557">
          <cell r="O19557" t="str">
            <v/>
          </cell>
        </row>
        <row r="19558">
          <cell r="O19558" t="str">
            <v/>
          </cell>
        </row>
        <row r="19559">
          <cell r="O19559" t="str">
            <v/>
          </cell>
        </row>
        <row r="19560">
          <cell r="O19560" t="str">
            <v/>
          </cell>
        </row>
        <row r="19561">
          <cell r="O19561" t="str">
            <v/>
          </cell>
        </row>
        <row r="19562">
          <cell r="O19562" t="str">
            <v/>
          </cell>
        </row>
        <row r="19563">
          <cell r="O19563" t="str">
            <v/>
          </cell>
        </row>
        <row r="19564">
          <cell r="O19564" t="str">
            <v/>
          </cell>
        </row>
        <row r="19565">
          <cell r="O19565" t="str">
            <v/>
          </cell>
        </row>
        <row r="19566">
          <cell r="O19566" t="str">
            <v/>
          </cell>
        </row>
        <row r="19567">
          <cell r="O19567" t="str">
            <v/>
          </cell>
        </row>
        <row r="19568">
          <cell r="O19568" t="str">
            <v/>
          </cell>
        </row>
        <row r="19569">
          <cell r="O19569" t="str">
            <v/>
          </cell>
        </row>
        <row r="19570">
          <cell r="O19570" t="str">
            <v/>
          </cell>
        </row>
        <row r="19571">
          <cell r="O19571" t="str">
            <v/>
          </cell>
        </row>
        <row r="19572">
          <cell r="O19572" t="str">
            <v/>
          </cell>
        </row>
        <row r="19573">
          <cell r="O19573" t="str">
            <v/>
          </cell>
        </row>
        <row r="19574">
          <cell r="O19574" t="str">
            <v/>
          </cell>
        </row>
        <row r="19575">
          <cell r="O19575" t="str">
            <v/>
          </cell>
        </row>
        <row r="19576">
          <cell r="O19576" t="str">
            <v/>
          </cell>
        </row>
        <row r="19577">
          <cell r="O19577" t="str">
            <v/>
          </cell>
        </row>
        <row r="19578">
          <cell r="O19578" t="str">
            <v/>
          </cell>
        </row>
        <row r="19579">
          <cell r="O19579" t="str">
            <v/>
          </cell>
        </row>
        <row r="19580">
          <cell r="O19580" t="str">
            <v/>
          </cell>
        </row>
        <row r="19581">
          <cell r="O19581" t="str">
            <v/>
          </cell>
        </row>
        <row r="19582">
          <cell r="O19582" t="str">
            <v/>
          </cell>
        </row>
        <row r="19583">
          <cell r="O19583" t="str">
            <v/>
          </cell>
        </row>
        <row r="19584">
          <cell r="O19584" t="str">
            <v/>
          </cell>
        </row>
        <row r="19585">
          <cell r="O19585" t="str">
            <v/>
          </cell>
        </row>
        <row r="19586">
          <cell r="O19586" t="str">
            <v/>
          </cell>
        </row>
        <row r="19587">
          <cell r="O19587" t="str">
            <v/>
          </cell>
        </row>
        <row r="19588">
          <cell r="O19588" t="str">
            <v/>
          </cell>
        </row>
        <row r="19589">
          <cell r="O19589" t="str">
            <v/>
          </cell>
        </row>
        <row r="19590">
          <cell r="O19590" t="str">
            <v/>
          </cell>
        </row>
        <row r="19591">
          <cell r="O19591" t="str">
            <v/>
          </cell>
        </row>
        <row r="19592">
          <cell r="O19592" t="str">
            <v/>
          </cell>
        </row>
        <row r="19593">
          <cell r="O19593" t="str">
            <v/>
          </cell>
        </row>
        <row r="19594">
          <cell r="O19594" t="str">
            <v/>
          </cell>
        </row>
        <row r="19595">
          <cell r="O19595" t="str">
            <v/>
          </cell>
        </row>
        <row r="19596">
          <cell r="O19596" t="str">
            <v/>
          </cell>
        </row>
        <row r="19597">
          <cell r="O19597" t="str">
            <v/>
          </cell>
        </row>
        <row r="19598">
          <cell r="O19598" t="str">
            <v/>
          </cell>
        </row>
        <row r="19599">
          <cell r="O19599" t="str">
            <v/>
          </cell>
        </row>
        <row r="19600">
          <cell r="O19600" t="str">
            <v/>
          </cell>
        </row>
        <row r="19601">
          <cell r="O19601" t="str">
            <v/>
          </cell>
        </row>
        <row r="19602">
          <cell r="O19602" t="str">
            <v/>
          </cell>
        </row>
        <row r="19603">
          <cell r="O19603" t="str">
            <v/>
          </cell>
        </row>
        <row r="19604">
          <cell r="O19604" t="str">
            <v/>
          </cell>
        </row>
        <row r="19605">
          <cell r="O19605" t="str">
            <v/>
          </cell>
        </row>
        <row r="19606">
          <cell r="O19606" t="str">
            <v/>
          </cell>
        </row>
        <row r="19607">
          <cell r="O19607" t="str">
            <v/>
          </cell>
        </row>
        <row r="19608">
          <cell r="O19608" t="str">
            <v/>
          </cell>
        </row>
        <row r="19609">
          <cell r="O19609" t="str">
            <v/>
          </cell>
        </row>
        <row r="19610">
          <cell r="O19610" t="str">
            <v/>
          </cell>
        </row>
        <row r="19611">
          <cell r="O19611" t="str">
            <v/>
          </cell>
        </row>
        <row r="19612">
          <cell r="O19612" t="str">
            <v/>
          </cell>
        </row>
        <row r="19613">
          <cell r="O19613" t="str">
            <v/>
          </cell>
        </row>
        <row r="19614">
          <cell r="O19614" t="str">
            <v/>
          </cell>
        </row>
        <row r="19615">
          <cell r="O19615" t="str">
            <v/>
          </cell>
        </row>
        <row r="19616">
          <cell r="O19616" t="str">
            <v/>
          </cell>
        </row>
        <row r="19617">
          <cell r="O19617" t="str">
            <v/>
          </cell>
        </row>
        <row r="19618">
          <cell r="O19618" t="str">
            <v/>
          </cell>
        </row>
        <row r="19619">
          <cell r="O19619" t="str">
            <v/>
          </cell>
        </row>
        <row r="19620">
          <cell r="O19620" t="str">
            <v/>
          </cell>
        </row>
        <row r="19621">
          <cell r="O19621" t="str">
            <v/>
          </cell>
        </row>
        <row r="19622">
          <cell r="O19622" t="str">
            <v/>
          </cell>
        </row>
        <row r="19623">
          <cell r="O19623" t="str">
            <v/>
          </cell>
        </row>
        <row r="19624">
          <cell r="O19624" t="str">
            <v/>
          </cell>
        </row>
        <row r="19625">
          <cell r="O19625" t="str">
            <v/>
          </cell>
        </row>
        <row r="19626">
          <cell r="O19626" t="str">
            <v/>
          </cell>
        </row>
        <row r="19627">
          <cell r="O19627" t="str">
            <v/>
          </cell>
        </row>
        <row r="19628">
          <cell r="O19628" t="str">
            <v/>
          </cell>
        </row>
        <row r="19629">
          <cell r="O19629" t="str">
            <v/>
          </cell>
        </row>
        <row r="19630">
          <cell r="O19630" t="str">
            <v/>
          </cell>
        </row>
        <row r="19631">
          <cell r="O19631" t="str">
            <v/>
          </cell>
        </row>
        <row r="19632">
          <cell r="O19632" t="str">
            <v/>
          </cell>
        </row>
        <row r="19633">
          <cell r="O19633" t="str">
            <v/>
          </cell>
        </row>
        <row r="19634">
          <cell r="O19634" t="str">
            <v/>
          </cell>
        </row>
        <row r="19635">
          <cell r="O19635" t="str">
            <v/>
          </cell>
        </row>
        <row r="19636">
          <cell r="O19636" t="str">
            <v/>
          </cell>
        </row>
        <row r="19637">
          <cell r="O19637" t="str">
            <v/>
          </cell>
        </row>
        <row r="19638">
          <cell r="O19638" t="str">
            <v/>
          </cell>
        </row>
        <row r="19639">
          <cell r="O19639" t="str">
            <v/>
          </cell>
        </row>
        <row r="19640">
          <cell r="O19640" t="str">
            <v/>
          </cell>
        </row>
        <row r="19641">
          <cell r="O19641" t="str">
            <v/>
          </cell>
        </row>
        <row r="19642">
          <cell r="O19642" t="str">
            <v/>
          </cell>
        </row>
        <row r="19643">
          <cell r="O19643" t="str">
            <v/>
          </cell>
        </row>
        <row r="19644">
          <cell r="O19644" t="str">
            <v/>
          </cell>
        </row>
        <row r="19645">
          <cell r="O19645" t="str">
            <v/>
          </cell>
        </row>
        <row r="19646">
          <cell r="O19646" t="str">
            <v/>
          </cell>
        </row>
        <row r="19647">
          <cell r="O19647" t="str">
            <v/>
          </cell>
        </row>
        <row r="19648">
          <cell r="O19648" t="str">
            <v/>
          </cell>
        </row>
        <row r="19649">
          <cell r="O19649" t="str">
            <v/>
          </cell>
        </row>
        <row r="19650">
          <cell r="O19650" t="str">
            <v/>
          </cell>
        </row>
        <row r="19651">
          <cell r="O19651" t="str">
            <v/>
          </cell>
        </row>
        <row r="19652">
          <cell r="O19652" t="str">
            <v/>
          </cell>
        </row>
        <row r="19653">
          <cell r="O19653" t="str">
            <v/>
          </cell>
        </row>
        <row r="19654">
          <cell r="O19654" t="str">
            <v/>
          </cell>
        </row>
        <row r="19655">
          <cell r="O19655" t="str">
            <v/>
          </cell>
        </row>
        <row r="19656">
          <cell r="O19656" t="str">
            <v/>
          </cell>
        </row>
        <row r="19657">
          <cell r="O19657" t="str">
            <v/>
          </cell>
        </row>
        <row r="19658">
          <cell r="O19658" t="str">
            <v/>
          </cell>
        </row>
        <row r="19659">
          <cell r="O19659" t="str">
            <v/>
          </cell>
        </row>
        <row r="19660">
          <cell r="O19660" t="str">
            <v/>
          </cell>
        </row>
        <row r="19661">
          <cell r="O19661" t="str">
            <v/>
          </cell>
        </row>
        <row r="19662">
          <cell r="O19662" t="str">
            <v/>
          </cell>
        </row>
        <row r="19663">
          <cell r="O19663" t="str">
            <v/>
          </cell>
        </row>
        <row r="19664">
          <cell r="O19664" t="str">
            <v/>
          </cell>
        </row>
        <row r="19665">
          <cell r="O19665" t="str">
            <v/>
          </cell>
        </row>
        <row r="19666">
          <cell r="O19666" t="str">
            <v/>
          </cell>
        </row>
        <row r="19667">
          <cell r="O19667" t="str">
            <v/>
          </cell>
        </row>
        <row r="19668">
          <cell r="O19668" t="str">
            <v/>
          </cell>
        </row>
        <row r="19669">
          <cell r="O19669" t="str">
            <v/>
          </cell>
        </row>
        <row r="19670">
          <cell r="O19670" t="str">
            <v/>
          </cell>
        </row>
        <row r="19671">
          <cell r="O19671" t="str">
            <v/>
          </cell>
        </row>
        <row r="19672">
          <cell r="O19672" t="str">
            <v/>
          </cell>
        </row>
        <row r="19673">
          <cell r="O19673" t="str">
            <v/>
          </cell>
        </row>
        <row r="19674">
          <cell r="O19674" t="str">
            <v/>
          </cell>
        </row>
        <row r="19675">
          <cell r="O19675" t="str">
            <v/>
          </cell>
        </row>
        <row r="19676">
          <cell r="O19676" t="str">
            <v/>
          </cell>
        </row>
        <row r="19677">
          <cell r="O19677" t="str">
            <v/>
          </cell>
        </row>
        <row r="19678">
          <cell r="O19678" t="str">
            <v/>
          </cell>
        </row>
        <row r="19679">
          <cell r="O19679" t="str">
            <v/>
          </cell>
        </row>
        <row r="19680">
          <cell r="O19680" t="str">
            <v/>
          </cell>
        </row>
        <row r="19681">
          <cell r="O19681" t="str">
            <v/>
          </cell>
        </row>
        <row r="19682">
          <cell r="O19682" t="str">
            <v/>
          </cell>
        </row>
        <row r="19683">
          <cell r="O19683" t="str">
            <v/>
          </cell>
        </row>
        <row r="19684">
          <cell r="O19684" t="str">
            <v/>
          </cell>
        </row>
        <row r="19685">
          <cell r="O19685" t="str">
            <v/>
          </cell>
        </row>
        <row r="19686">
          <cell r="O19686" t="str">
            <v/>
          </cell>
        </row>
        <row r="19687">
          <cell r="O19687" t="str">
            <v/>
          </cell>
        </row>
        <row r="19688">
          <cell r="O19688" t="str">
            <v/>
          </cell>
        </row>
        <row r="19689">
          <cell r="O19689" t="str">
            <v/>
          </cell>
        </row>
        <row r="19690">
          <cell r="O19690" t="str">
            <v/>
          </cell>
        </row>
        <row r="19691">
          <cell r="O19691" t="str">
            <v/>
          </cell>
        </row>
        <row r="19692">
          <cell r="O19692" t="str">
            <v/>
          </cell>
        </row>
        <row r="19693">
          <cell r="O19693" t="str">
            <v/>
          </cell>
        </row>
        <row r="19694">
          <cell r="O19694" t="str">
            <v/>
          </cell>
        </row>
        <row r="19695">
          <cell r="O19695" t="str">
            <v/>
          </cell>
        </row>
        <row r="19696">
          <cell r="O19696" t="str">
            <v/>
          </cell>
        </row>
        <row r="19697">
          <cell r="O19697" t="str">
            <v/>
          </cell>
        </row>
        <row r="19698">
          <cell r="O19698" t="str">
            <v/>
          </cell>
        </row>
        <row r="19699">
          <cell r="O19699" t="str">
            <v/>
          </cell>
        </row>
        <row r="19700">
          <cell r="O19700" t="str">
            <v/>
          </cell>
        </row>
        <row r="19701">
          <cell r="O19701" t="str">
            <v/>
          </cell>
        </row>
        <row r="19702">
          <cell r="O19702" t="str">
            <v/>
          </cell>
        </row>
        <row r="19703">
          <cell r="O19703" t="str">
            <v/>
          </cell>
        </row>
        <row r="19704">
          <cell r="O19704" t="str">
            <v/>
          </cell>
        </row>
        <row r="19705">
          <cell r="O19705" t="str">
            <v/>
          </cell>
        </row>
        <row r="19706">
          <cell r="O19706" t="str">
            <v/>
          </cell>
        </row>
        <row r="19707">
          <cell r="O19707" t="str">
            <v/>
          </cell>
        </row>
        <row r="19708">
          <cell r="O19708" t="str">
            <v/>
          </cell>
        </row>
        <row r="19709">
          <cell r="O19709" t="str">
            <v/>
          </cell>
        </row>
        <row r="19710">
          <cell r="O19710" t="str">
            <v/>
          </cell>
        </row>
        <row r="19711">
          <cell r="O19711" t="str">
            <v/>
          </cell>
        </row>
        <row r="19712">
          <cell r="O19712" t="str">
            <v/>
          </cell>
        </row>
        <row r="19713">
          <cell r="O19713" t="str">
            <v/>
          </cell>
        </row>
        <row r="19714">
          <cell r="O19714" t="str">
            <v/>
          </cell>
        </row>
        <row r="19715">
          <cell r="O19715" t="str">
            <v/>
          </cell>
        </row>
        <row r="19716">
          <cell r="O19716" t="str">
            <v/>
          </cell>
        </row>
        <row r="19717">
          <cell r="O19717" t="str">
            <v/>
          </cell>
        </row>
        <row r="19718">
          <cell r="O19718" t="str">
            <v/>
          </cell>
        </row>
        <row r="19719">
          <cell r="O19719" t="str">
            <v/>
          </cell>
        </row>
        <row r="19720">
          <cell r="O19720" t="str">
            <v/>
          </cell>
        </row>
        <row r="19721">
          <cell r="O19721" t="str">
            <v/>
          </cell>
        </row>
        <row r="19722">
          <cell r="O19722" t="str">
            <v/>
          </cell>
        </row>
        <row r="19723">
          <cell r="O19723" t="str">
            <v/>
          </cell>
        </row>
        <row r="19724">
          <cell r="O19724" t="str">
            <v/>
          </cell>
        </row>
        <row r="19725">
          <cell r="O19725" t="str">
            <v/>
          </cell>
        </row>
        <row r="19726">
          <cell r="O19726" t="str">
            <v/>
          </cell>
        </row>
        <row r="19727">
          <cell r="O19727" t="str">
            <v/>
          </cell>
        </row>
        <row r="19728">
          <cell r="O19728" t="str">
            <v/>
          </cell>
        </row>
        <row r="19729">
          <cell r="O19729" t="str">
            <v/>
          </cell>
        </row>
        <row r="19730">
          <cell r="O19730" t="str">
            <v/>
          </cell>
        </row>
        <row r="19731">
          <cell r="O19731" t="str">
            <v/>
          </cell>
        </row>
        <row r="19732">
          <cell r="O19732" t="str">
            <v/>
          </cell>
        </row>
        <row r="19733">
          <cell r="O19733" t="str">
            <v/>
          </cell>
        </row>
        <row r="19734">
          <cell r="O19734" t="str">
            <v/>
          </cell>
        </row>
        <row r="19735">
          <cell r="O19735" t="str">
            <v/>
          </cell>
        </row>
        <row r="19736">
          <cell r="O19736" t="str">
            <v/>
          </cell>
        </row>
        <row r="19737">
          <cell r="O19737" t="str">
            <v/>
          </cell>
        </row>
        <row r="19738">
          <cell r="O19738" t="str">
            <v/>
          </cell>
        </row>
        <row r="19739">
          <cell r="O19739" t="str">
            <v/>
          </cell>
        </row>
        <row r="19740">
          <cell r="O19740" t="str">
            <v/>
          </cell>
        </row>
        <row r="19741">
          <cell r="O19741" t="str">
            <v/>
          </cell>
        </row>
        <row r="19742">
          <cell r="O19742" t="str">
            <v/>
          </cell>
        </row>
        <row r="19743">
          <cell r="O19743" t="str">
            <v/>
          </cell>
        </row>
        <row r="19744">
          <cell r="O19744" t="str">
            <v/>
          </cell>
        </row>
        <row r="19745">
          <cell r="O19745" t="str">
            <v/>
          </cell>
        </row>
        <row r="19746">
          <cell r="O19746" t="str">
            <v/>
          </cell>
        </row>
        <row r="19747">
          <cell r="O19747" t="str">
            <v/>
          </cell>
        </row>
        <row r="19748">
          <cell r="O19748" t="str">
            <v/>
          </cell>
        </row>
        <row r="19749">
          <cell r="O19749" t="str">
            <v/>
          </cell>
        </row>
        <row r="19750">
          <cell r="O19750" t="str">
            <v/>
          </cell>
        </row>
        <row r="19751">
          <cell r="O19751" t="str">
            <v/>
          </cell>
        </row>
        <row r="19752">
          <cell r="O19752" t="str">
            <v/>
          </cell>
        </row>
        <row r="19753">
          <cell r="O19753" t="str">
            <v/>
          </cell>
        </row>
        <row r="19754">
          <cell r="O19754" t="str">
            <v/>
          </cell>
        </row>
        <row r="19755">
          <cell r="O19755" t="str">
            <v/>
          </cell>
        </row>
        <row r="19756">
          <cell r="O19756" t="str">
            <v/>
          </cell>
        </row>
        <row r="19757">
          <cell r="O19757" t="str">
            <v/>
          </cell>
        </row>
        <row r="19758">
          <cell r="O19758" t="str">
            <v/>
          </cell>
        </row>
        <row r="19759">
          <cell r="O19759" t="str">
            <v/>
          </cell>
        </row>
        <row r="19760">
          <cell r="O19760" t="str">
            <v/>
          </cell>
        </row>
        <row r="19761">
          <cell r="O19761" t="str">
            <v/>
          </cell>
        </row>
        <row r="19762">
          <cell r="O19762" t="str">
            <v/>
          </cell>
        </row>
        <row r="19763">
          <cell r="O19763" t="str">
            <v/>
          </cell>
        </row>
        <row r="19764">
          <cell r="O19764" t="str">
            <v/>
          </cell>
        </row>
        <row r="19765">
          <cell r="O19765" t="str">
            <v/>
          </cell>
        </row>
        <row r="19766">
          <cell r="O19766" t="str">
            <v/>
          </cell>
        </row>
        <row r="19767">
          <cell r="O19767" t="str">
            <v/>
          </cell>
        </row>
        <row r="19768">
          <cell r="O19768" t="str">
            <v/>
          </cell>
        </row>
        <row r="19769">
          <cell r="O19769" t="str">
            <v/>
          </cell>
        </row>
        <row r="19770">
          <cell r="O19770" t="str">
            <v/>
          </cell>
        </row>
        <row r="19771">
          <cell r="O19771" t="str">
            <v/>
          </cell>
        </row>
        <row r="19772">
          <cell r="O19772" t="str">
            <v/>
          </cell>
        </row>
        <row r="19773">
          <cell r="O19773" t="str">
            <v/>
          </cell>
        </row>
        <row r="19774">
          <cell r="O19774" t="str">
            <v/>
          </cell>
        </row>
        <row r="19775">
          <cell r="O19775" t="str">
            <v/>
          </cell>
        </row>
        <row r="19776">
          <cell r="O19776" t="str">
            <v/>
          </cell>
        </row>
        <row r="19777">
          <cell r="O19777" t="str">
            <v/>
          </cell>
        </row>
        <row r="19778">
          <cell r="O19778" t="str">
            <v/>
          </cell>
        </row>
        <row r="19779">
          <cell r="O19779" t="str">
            <v/>
          </cell>
        </row>
        <row r="19780">
          <cell r="O19780" t="str">
            <v/>
          </cell>
        </row>
        <row r="19781">
          <cell r="O19781" t="str">
            <v/>
          </cell>
        </row>
        <row r="19782">
          <cell r="O19782" t="str">
            <v/>
          </cell>
        </row>
        <row r="19783">
          <cell r="O19783" t="str">
            <v/>
          </cell>
        </row>
        <row r="19784">
          <cell r="O19784" t="str">
            <v/>
          </cell>
        </row>
        <row r="19785">
          <cell r="O19785" t="str">
            <v/>
          </cell>
        </row>
        <row r="19786">
          <cell r="O19786" t="str">
            <v/>
          </cell>
        </row>
        <row r="19787">
          <cell r="O19787" t="str">
            <v/>
          </cell>
        </row>
        <row r="19788">
          <cell r="O19788" t="str">
            <v/>
          </cell>
        </row>
        <row r="19789">
          <cell r="O19789" t="str">
            <v/>
          </cell>
        </row>
        <row r="19790">
          <cell r="O19790" t="str">
            <v/>
          </cell>
        </row>
        <row r="19791">
          <cell r="O19791" t="str">
            <v/>
          </cell>
        </row>
        <row r="19792">
          <cell r="O19792" t="str">
            <v/>
          </cell>
        </row>
        <row r="19793">
          <cell r="O19793" t="str">
            <v/>
          </cell>
        </row>
        <row r="19794">
          <cell r="O19794" t="str">
            <v/>
          </cell>
        </row>
        <row r="19795">
          <cell r="O19795" t="str">
            <v/>
          </cell>
        </row>
        <row r="19796">
          <cell r="O19796" t="str">
            <v/>
          </cell>
        </row>
        <row r="19797">
          <cell r="O19797" t="str">
            <v/>
          </cell>
        </row>
        <row r="19798">
          <cell r="O19798" t="str">
            <v/>
          </cell>
        </row>
        <row r="19799">
          <cell r="O19799" t="str">
            <v/>
          </cell>
        </row>
        <row r="19800">
          <cell r="O19800" t="str">
            <v/>
          </cell>
        </row>
        <row r="19801">
          <cell r="O19801" t="str">
            <v/>
          </cell>
        </row>
        <row r="19802">
          <cell r="O19802" t="str">
            <v/>
          </cell>
        </row>
        <row r="19803">
          <cell r="O19803" t="str">
            <v/>
          </cell>
        </row>
        <row r="19804">
          <cell r="O19804" t="str">
            <v/>
          </cell>
        </row>
        <row r="19805">
          <cell r="O19805" t="str">
            <v/>
          </cell>
        </row>
        <row r="19806">
          <cell r="O19806" t="str">
            <v/>
          </cell>
        </row>
        <row r="19807">
          <cell r="O19807" t="str">
            <v/>
          </cell>
        </row>
        <row r="19808">
          <cell r="O19808" t="str">
            <v/>
          </cell>
        </row>
        <row r="19809">
          <cell r="O19809" t="str">
            <v/>
          </cell>
        </row>
        <row r="19810">
          <cell r="O19810" t="str">
            <v/>
          </cell>
        </row>
        <row r="19811">
          <cell r="O19811" t="str">
            <v/>
          </cell>
        </row>
        <row r="19812">
          <cell r="O19812" t="str">
            <v/>
          </cell>
        </row>
        <row r="19813">
          <cell r="O19813" t="str">
            <v/>
          </cell>
        </row>
        <row r="19814">
          <cell r="O19814" t="str">
            <v/>
          </cell>
        </row>
        <row r="19815">
          <cell r="O19815" t="str">
            <v/>
          </cell>
        </row>
        <row r="19816">
          <cell r="O19816" t="str">
            <v/>
          </cell>
        </row>
        <row r="19817">
          <cell r="O19817" t="str">
            <v/>
          </cell>
        </row>
        <row r="19818">
          <cell r="O19818" t="str">
            <v/>
          </cell>
        </row>
        <row r="19819">
          <cell r="O19819" t="str">
            <v/>
          </cell>
        </row>
        <row r="19820">
          <cell r="O19820" t="str">
            <v/>
          </cell>
        </row>
        <row r="19821">
          <cell r="O19821" t="str">
            <v/>
          </cell>
        </row>
        <row r="19822">
          <cell r="O19822" t="str">
            <v/>
          </cell>
        </row>
        <row r="19823">
          <cell r="O19823" t="str">
            <v/>
          </cell>
        </row>
        <row r="19824">
          <cell r="O19824" t="str">
            <v/>
          </cell>
        </row>
        <row r="19825">
          <cell r="O19825" t="str">
            <v/>
          </cell>
        </row>
        <row r="19826">
          <cell r="O19826" t="str">
            <v/>
          </cell>
        </row>
        <row r="19827">
          <cell r="O19827" t="str">
            <v/>
          </cell>
        </row>
        <row r="19828">
          <cell r="O19828" t="str">
            <v/>
          </cell>
        </row>
        <row r="19829">
          <cell r="O19829" t="str">
            <v/>
          </cell>
        </row>
        <row r="19830">
          <cell r="O19830" t="str">
            <v/>
          </cell>
        </row>
        <row r="19831">
          <cell r="O19831" t="str">
            <v/>
          </cell>
        </row>
        <row r="19832">
          <cell r="O19832" t="str">
            <v/>
          </cell>
        </row>
        <row r="19833">
          <cell r="O19833" t="str">
            <v/>
          </cell>
        </row>
        <row r="19834">
          <cell r="O19834" t="str">
            <v/>
          </cell>
        </row>
        <row r="19835">
          <cell r="O19835" t="str">
            <v/>
          </cell>
        </row>
        <row r="19836">
          <cell r="O19836" t="str">
            <v/>
          </cell>
        </row>
        <row r="19837">
          <cell r="O19837" t="str">
            <v/>
          </cell>
        </row>
        <row r="19838">
          <cell r="O19838" t="str">
            <v/>
          </cell>
        </row>
        <row r="19839">
          <cell r="O19839" t="str">
            <v/>
          </cell>
        </row>
        <row r="19840">
          <cell r="O19840" t="str">
            <v/>
          </cell>
        </row>
        <row r="19841">
          <cell r="O19841" t="str">
            <v/>
          </cell>
        </row>
        <row r="19842">
          <cell r="O19842" t="str">
            <v/>
          </cell>
        </row>
        <row r="19843">
          <cell r="O19843" t="str">
            <v/>
          </cell>
        </row>
        <row r="19844">
          <cell r="O19844" t="str">
            <v/>
          </cell>
        </row>
        <row r="19845">
          <cell r="O19845" t="str">
            <v/>
          </cell>
        </row>
        <row r="19846">
          <cell r="O19846" t="str">
            <v/>
          </cell>
        </row>
        <row r="19847">
          <cell r="O19847" t="str">
            <v/>
          </cell>
        </row>
        <row r="19848">
          <cell r="O19848" t="str">
            <v/>
          </cell>
        </row>
        <row r="19849">
          <cell r="O19849" t="str">
            <v/>
          </cell>
        </row>
        <row r="19850">
          <cell r="O19850" t="str">
            <v/>
          </cell>
        </row>
        <row r="19851">
          <cell r="O19851" t="str">
            <v/>
          </cell>
        </row>
        <row r="19852">
          <cell r="O19852" t="str">
            <v/>
          </cell>
        </row>
        <row r="19853">
          <cell r="O19853" t="str">
            <v/>
          </cell>
        </row>
        <row r="19854">
          <cell r="O19854" t="str">
            <v/>
          </cell>
        </row>
        <row r="19855">
          <cell r="O19855" t="str">
            <v/>
          </cell>
        </row>
        <row r="19856">
          <cell r="O19856" t="str">
            <v/>
          </cell>
        </row>
        <row r="19857">
          <cell r="O19857" t="str">
            <v/>
          </cell>
        </row>
        <row r="19858">
          <cell r="O19858" t="str">
            <v/>
          </cell>
        </row>
        <row r="19859">
          <cell r="O19859" t="str">
            <v/>
          </cell>
        </row>
        <row r="19860">
          <cell r="O19860" t="str">
            <v/>
          </cell>
        </row>
        <row r="19861">
          <cell r="O19861" t="str">
            <v/>
          </cell>
        </row>
        <row r="19862">
          <cell r="O19862" t="str">
            <v/>
          </cell>
        </row>
        <row r="19863">
          <cell r="O19863" t="str">
            <v/>
          </cell>
        </row>
        <row r="19864">
          <cell r="O19864" t="str">
            <v/>
          </cell>
        </row>
        <row r="19865">
          <cell r="O19865" t="str">
            <v/>
          </cell>
        </row>
        <row r="19866">
          <cell r="O19866" t="str">
            <v/>
          </cell>
        </row>
        <row r="19867">
          <cell r="O19867" t="str">
            <v/>
          </cell>
        </row>
        <row r="19868">
          <cell r="O19868" t="str">
            <v/>
          </cell>
        </row>
        <row r="19869">
          <cell r="O19869" t="str">
            <v/>
          </cell>
        </row>
        <row r="19870">
          <cell r="O19870" t="str">
            <v/>
          </cell>
        </row>
        <row r="19871">
          <cell r="O19871" t="str">
            <v/>
          </cell>
        </row>
        <row r="19872">
          <cell r="O19872" t="str">
            <v/>
          </cell>
        </row>
        <row r="19873">
          <cell r="O19873" t="str">
            <v/>
          </cell>
        </row>
        <row r="19874">
          <cell r="O19874" t="str">
            <v/>
          </cell>
        </row>
        <row r="19875">
          <cell r="O19875" t="str">
            <v/>
          </cell>
        </row>
        <row r="19876">
          <cell r="O19876" t="str">
            <v/>
          </cell>
        </row>
        <row r="19877">
          <cell r="O19877" t="str">
            <v/>
          </cell>
        </row>
        <row r="19878">
          <cell r="O19878" t="str">
            <v/>
          </cell>
        </row>
        <row r="19879">
          <cell r="O19879" t="str">
            <v/>
          </cell>
        </row>
        <row r="19880">
          <cell r="O19880" t="str">
            <v/>
          </cell>
        </row>
        <row r="19881">
          <cell r="O19881" t="str">
            <v/>
          </cell>
        </row>
        <row r="19882">
          <cell r="O19882" t="str">
            <v/>
          </cell>
        </row>
        <row r="19883">
          <cell r="O19883" t="str">
            <v/>
          </cell>
        </row>
        <row r="19884">
          <cell r="O19884" t="str">
            <v/>
          </cell>
        </row>
        <row r="19885">
          <cell r="O19885" t="str">
            <v/>
          </cell>
        </row>
        <row r="19886">
          <cell r="O19886" t="str">
            <v/>
          </cell>
        </row>
        <row r="19887">
          <cell r="O19887" t="str">
            <v/>
          </cell>
        </row>
        <row r="19888">
          <cell r="O19888" t="str">
            <v/>
          </cell>
        </row>
        <row r="19889">
          <cell r="O19889" t="str">
            <v/>
          </cell>
        </row>
        <row r="19890">
          <cell r="O19890" t="str">
            <v/>
          </cell>
        </row>
        <row r="19891">
          <cell r="O19891" t="str">
            <v/>
          </cell>
        </row>
        <row r="19892">
          <cell r="O19892" t="str">
            <v/>
          </cell>
        </row>
        <row r="19893">
          <cell r="O19893" t="str">
            <v/>
          </cell>
        </row>
        <row r="19894">
          <cell r="O19894" t="str">
            <v/>
          </cell>
        </row>
        <row r="19895">
          <cell r="O19895" t="str">
            <v/>
          </cell>
        </row>
        <row r="19896">
          <cell r="O19896" t="str">
            <v/>
          </cell>
        </row>
        <row r="19897">
          <cell r="O19897" t="str">
            <v/>
          </cell>
        </row>
        <row r="19898">
          <cell r="O19898" t="str">
            <v/>
          </cell>
        </row>
        <row r="19899">
          <cell r="O19899" t="str">
            <v/>
          </cell>
        </row>
        <row r="19900">
          <cell r="O19900" t="str">
            <v/>
          </cell>
        </row>
        <row r="19901">
          <cell r="O19901" t="str">
            <v/>
          </cell>
        </row>
        <row r="19902">
          <cell r="O19902" t="str">
            <v/>
          </cell>
        </row>
        <row r="19903">
          <cell r="O19903" t="str">
            <v/>
          </cell>
        </row>
        <row r="19904">
          <cell r="O19904" t="str">
            <v/>
          </cell>
        </row>
        <row r="19905">
          <cell r="O19905" t="str">
            <v/>
          </cell>
        </row>
        <row r="19906">
          <cell r="O19906" t="str">
            <v/>
          </cell>
        </row>
        <row r="19907">
          <cell r="O19907" t="str">
            <v/>
          </cell>
        </row>
        <row r="19908">
          <cell r="O19908" t="str">
            <v/>
          </cell>
        </row>
        <row r="19909">
          <cell r="O19909" t="str">
            <v/>
          </cell>
        </row>
        <row r="19910">
          <cell r="O19910" t="str">
            <v/>
          </cell>
        </row>
        <row r="19911">
          <cell r="O19911" t="str">
            <v/>
          </cell>
        </row>
        <row r="19912">
          <cell r="O19912" t="str">
            <v/>
          </cell>
        </row>
        <row r="19913">
          <cell r="O19913" t="str">
            <v/>
          </cell>
        </row>
        <row r="19914">
          <cell r="O19914" t="str">
            <v/>
          </cell>
        </row>
        <row r="19915">
          <cell r="O19915" t="str">
            <v/>
          </cell>
        </row>
        <row r="19916">
          <cell r="O19916" t="str">
            <v/>
          </cell>
        </row>
        <row r="19917">
          <cell r="O19917" t="str">
            <v/>
          </cell>
        </row>
        <row r="19918">
          <cell r="O19918" t="str">
            <v/>
          </cell>
        </row>
        <row r="19919">
          <cell r="O19919" t="str">
            <v/>
          </cell>
        </row>
        <row r="19920">
          <cell r="O19920" t="str">
            <v/>
          </cell>
        </row>
        <row r="19921">
          <cell r="O19921" t="str">
            <v/>
          </cell>
        </row>
        <row r="19922">
          <cell r="O19922" t="str">
            <v/>
          </cell>
        </row>
        <row r="19923">
          <cell r="O19923" t="str">
            <v/>
          </cell>
        </row>
        <row r="19924">
          <cell r="O19924" t="str">
            <v/>
          </cell>
        </row>
        <row r="19925">
          <cell r="O19925" t="str">
            <v/>
          </cell>
        </row>
        <row r="19926">
          <cell r="O19926" t="str">
            <v/>
          </cell>
        </row>
        <row r="19927">
          <cell r="O19927" t="str">
            <v/>
          </cell>
        </row>
        <row r="19928">
          <cell r="O19928" t="str">
            <v/>
          </cell>
        </row>
        <row r="19929">
          <cell r="O19929" t="str">
            <v/>
          </cell>
        </row>
        <row r="19930">
          <cell r="O19930" t="str">
            <v/>
          </cell>
        </row>
        <row r="19931">
          <cell r="O19931" t="str">
            <v/>
          </cell>
        </row>
        <row r="19932">
          <cell r="O19932" t="str">
            <v/>
          </cell>
        </row>
        <row r="19933">
          <cell r="O19933" t="str">
            <v/>
          </cell>
        </row>
        <row r="19934">
          <cell r="O19934" t="str">
            <v/>
          </cell>
        </row>
        <row r="19935">
          <cell r="O19935" t="str">
            <v/>
          </cell>
        </row>
        <row r="19936">
          <cell r="O19936" t="str">
            <v/>
          </cell>
        </row>
        <row r="19937">
          <cell r="O19937" t="str">
            <v/>
          </cell>
        </row>
        <row r="19938">
          <cell r="O19938" t="str">
            <v/>
          </cell>
        </row>
        <row r="19939">
          <cell r="O19939" t="str">
            <v/>
          </cell>
        </row>
        <row r="19940">
          <cell r="O19940" t="str">
            <v/>
          </cell>
        </row>
        <row r="19941">
          <cell r="O19941" t="str">
            <v/>
          </cell>
        </row>
        <row r="19942">
          <cell r="O19942" t="str">
            <v/>
          </cell>
        </row>
        <row r="19943">
          <cell r="O19943" t="str">
            <v/>
          </cell>
        </row>
        <row r="19944">
          <cell r="O19944" t="str">
            <v/>
          </cell>
        </row>
        <row r="19945">
          <cell r="O19945" t="str">
            <v/>
          </cell>
        </row>
        <row r="19946">
          <cell r="O19946" t="str">
            <v/>
          </cell>
        </row>
        <row r="19947">
          <cell r="O19947" t="str">
            <v/>
          </cell>
        </row>
        <row r="19948">
          <cell r="O19948" t="str">
            <v/>
          </cell>
        </row>
        <row r="19949">
          <cell r="O19949" t="str">
            <v/>
          </cell>
        </row>
        <row r="19950">
          <cell r="O19950" t="str">
            <v/>
          </cell>
        </row>
        <row r="19951">
          <cell r="O19951" t="str">
            <v/>
          </cell>
        </row>
        <row r="19952">
          <cell r="O19952" t="str">
            <v/>
          </cell>
        </row>
        <row r="19953">
          <cell r="O19953" t="str">
            <v/>
          </cell>
        </row>
        <row r="19954">
          <cell r="O19954" t="str">
            <v/>
          </cell>
        </row>
        <row r="19955">
          <cell r="O19955" t="str">
            <v/>
          </cell>
        </row>
        <row r="19956">
          <cell r="O19956" t="str">
            <v/>
          </cell>
        </row>
        <row r="19957">
          <cell r="O19957" t="str">
            <v/>
          </cell>
        </row>
        <row r="19958">
          <cell r="O19958" t="str">
            <v/>
          </cell>
        </row>
        <row r="19959">
          <cell r="O19959" t="str">
            <v/>
          </cell>
        </row>
        <row r="19960">
          <cell r="O19960" t="str">
            <v/>
          </cell>
        </row>
        <row r="19961">
          <cell r="O19961" t="str">
            <v/>
          </cell>
        </row>
        <row r="19962">
          <cell r="O19962" t="str">
            <v/>
          </cell>
        </row>
        <row r="19963">
          <cell r="O19963" t="str">
            <v/>
          </cell>
        </row>
        <row r="19964">
          <cell r="O19964" t="str">
            <v/>
          </cell>
        </row>
        <row r="19965">
          <cell r="O19965" t="str">
            <v/>
          </cell>
        </row>
        <row r="19966">
          <cell r="O19966" t="str">
            <v/>
          </cell>
        </row>
        <row r="19967">
          <cell r="O19967" t="str">
            <v/>
          </cell>
        </row>
        <row r="19968">
          <cell r="O19968" t="str">
            <v/>
          </cell>
        </row>
        <row r="19969">
          <cell r="O19969" t="str">
            <v/>
          </cell>
        </row>
        <row r="19970">
          <cell r="O19970" t="str">
            <v/>
          </cell>
        </row>
        <row r="19971">
          <cell r="O19971" t="str">
            <v/>
          </cell>
        </row>
        <row r="19972">
          <cell r="O19972" t="str">
            <v/>
          </cell>
        </row>
        <row r="19973">
          <cell r="O19973" t="str">
            <v/>
          </cell>
        </row>
        <row r="19974">
          <cell r="O19974" t="str">
            <v/>
          </cell>
        </row>
        <row r="19975">
          <cell r="O19975" t="str">
            <v/>
          </cell>
        </row>
        <row r="19976">
          <cell r="O19976" t="str">
            <v/>
          </cell>
        </row>
        <row r="19977">
          <cell r="O19977" t="str">
            <v/>
          </cell>
        </row>
        <row r="19978">
          <cell r="O19978" t="str">
            <v/>
          </cell>
        </row>
        <row r="19979">
          <cell r="O19979" t="str">
            <v/>
          </cell>
        </row>
        <row r="19980">
          <cell r="O19980" t="str">
            <v/>
          </cell>
        </row>
        <row r="19981">
          <cell r="O19981" t="str">
            <v/>
          </cell>
        </row>
        <row r="19982">
          <cell r="O19982" t="str">
            <v/>
          </cell>
        </row>
        <row r="19983">
          <cell r="O19983" t="str">
            <v/>
          </cell>
        </row>
        <row r="19984">
          <cell r="O19984" t="str">
            <v/>
          </cell>
        </row>
        <row r="19985">
          <cell r="O19985" t="str">
            <v/>
          </cell>
        </row>
        <row r="19986">
          <cell r="O19986" t="str">
            <v/>
          </cell>
        </row>
        <row r="19987">
          <cell r="O19987" t="str">
            <v/>
          </cell>
        </row>
        <row r="19988">
          <cell r="O19988" t="str">
            <v/>
          </cell>
        </row>
        <row r="19989">
          <cell r="O19989" t="str">
            <v/>
          </cell>
        </row>
        <row r="19990">
          <cell r="O19990" t="str">
            <v/>
          </cell>
        </row>
        <row r="19991">
          <cell r="O19991" t="str">
            <v/>
          </cell>
        </row>
        <row r="19992">
          <cell r="O19992" t="str">
            <v/>
          </cell>
        </row>
        <row r="19993">
          <cell r="O19993" t="str">
            <v/>
          </cell>
        </row>
        <row r="19994">
          <cell r="O19994" t="str">
            <v/>
          </cell>
        </row>
        <row r="19995">
          <cell r="O19995" t="str">
            <v/>
          </cell>
        </row>
        <row r="19996">
          <cell r="O19996" t="str">
            <v/>
          </cell>
        </row>
        <row r="19997">
          <cell r="O19997" t="str">
            <v/>
          </cell>
        </row>
        <row r="19998">
          <cell r="O19998" t="str">
            <v/>
          </cell>
        </row>
        <row r="19999">
          <cell r="O19999" t="str">
            <v/>
          </cell>
        </row>
        <row r="20000">
          <cell r="O20000" t="str">
            <v/>
          </cell>
        </row>
        <row r="20001">
          <cell r="O20001" t="str">
            <v/>
          </cell>
        </row>
        <row r="20002">
          <cell r="O20002" t="str">
            <v/>
          </cell>
        </row>
        <row r="20003">
          <cell r="O20003" t="str">
            <v/>
          </cell>
        </row>
        <row r="20004">
          <cell r="O20004" t="str">
            <v/>
          </cell>
        </row>
        <row r="20005">
          <cell r="O20005" t="str">
            <v/>
          </cell>
        </row>
        <row r="20006">
          <cell r="O20006" t="str">
            <v/>
          </cell>
        </row>
        <row r="20007">
          <cell r="O20007" t="str">
            <v/>
          </cell>
        </row>
        <row r="20008">
          <cell r="O20008" t="str">
            <v/>
          </cell>
        </row>
        <row r="20009">
          <cell r="O20009" t="str">
            <v/>
          </cell>
        </row>
        <row r="20010">
          <cell r="O20010" t="str">
            <v/>
          </cell>
        </row>
        <row r="20011">
          <cell r="O20011" t="str">
            <v/>
          </cell>
        </row>
        <row r="20012">
          <cell r="O20012" t="str">
            <v/>
          </cell>
        </row>
        <row r="20013">
          <cell r="O20013" t="str">
            <v/>
          </cell>
        </row>
        <row r="20014">
          <cell r="O20014" t="str">
            <v/>
          </cell>
        </row>
        <row r="20015">
          <cell r="O20015" t="str">
            <v/>
          </cell>
        </row>
        <row r="20016">
          <cell r="O20016" t="str">
            <v/>
          </cell>
        </row>
        <row r="20017">
          <cell r="O20017" t="str">
            <v/>
          </cell>
        </row>
        <row r="20018">
          <cell r="O20018" t="str">
            <v/>
          </cell>
        </row>
        <row r="20019">
          <cell r="O20019" t="str">
            <v/>
          </cell>
        </row>
        <row r="20020">
          <cell r="O20020" t="str">
            <v/>
          </cell>
        </row>
        <row r="20021">
          <cell r="O20021" t="str">
            <v/>
          </cell>
        </row>
        <row r="20022">
          <cell r="O20022" t="str">
            <v/>
          </cell>
        </row>
        <row r="20023">
          <cell r="O20023" t="str">
            <v/>
          </cell>
        </row>
        <row r="20024">
          <cell r="O20024" t="str">
            <v/>
          </cell>
        </row>
        <row r="20025">
          <cell r="O20025" t="str">
            <v/>
          </cell>
        </row>
        <row r="20026">
          <cell r="O20026" t="str">
            <v/>
          </cell>
        </row>
        <row r="20027">
          <cell r="O20027" t="str">
            <v/>
          </cell>
        </row>
        <row r="20028">
          <cell r="O20028" t="str">
            <v/>
          </cell>
        </row>
        <row r="20029">
          <cell r="O20029" t="str">
            <v/>
          </cell>
        </row>
        <row r="20030">
          <cell r="O20030" t="str">
            <v/>
          </cell>
        </row>
        <row r="20031">
          <cell r="O20031" t="str">
            <v/>
          </cell>
        </row>
        <row r="20032">
          <cell r="O20032" t="str">
            <v/>
          </cell>
        </row>
        <row r="20033">
          <cell r="O20033" t="str">
            <v/>
          </cell>
        </row>
        <row r="20034">
          <cell r="O20034" t="str">
            <v/>
          </cell>
        </row>
        <row r="20035">
          <cell r="O20035" t="str">
            <v/>
          </cell>
        </row>
        <row r="20036">
          <cell r="O20036" t="str">
            <v/>
          </cell>
        </row>
        <row r="20037">
          <cell r="O20037" t="str">
            <v/>
          </cell>
        </row>
        <row r="20038">
          <cell r="O20038" t="str">
            <v/>
          </cell>
        </row>
        <row r="20039">
          <cell r="O20039" t="str">
            <v/>
          </cell>
        </row>
        <row r="20040">
          <cell r="O20040" t="str">
            <v/>
          </cell>
        </row>
        <row r="20041">
          <cell r="O20041" t="str">
            <v/>
          </cell>
        </row>
        <row r="20042">
          <cell r="O20042" t="str">
            <v/>
          </cell>
        </row>
        <row r="20043">
          <cell r="O20043" t="str">
            <v/>
          </cell>
        </row>
        <row r="20044">
          <cell r="O20044" t="str">
            <v/>
          </cell>
        </row>
        <row r="20045">
          <cell r="O20045" t="str">
            <v/>
          </cell>
        </row>
        <row r="20046">
          <cell r="O20046" t="str">
            <v/>
          </cell>
        </row>
        <row r="20047">
          <cell r="O20047" t="str">
            <v/>
          </cell>
        </row>
        <row r="20048">
          <cell r="O20048" t="str">
            <v/>
          </cell>
        </row>
        <row r="20049">
          <cell r="O20049" t="str">
            <v/>
          </cell>
        </row>
        <row r="20050">
          <cell r="O20050" t="str">
            <v/>
          </cell>
        </row>
        <row r="20051">
          <cell r="O20051" t="str">
            <v/>
          </cell>
        </row>
        <row r="20052">
          <cell r="O20052" t="str">
            <v/>
          </cell>
        </row>
        <row r="20053">
          <cell r="O20053" t="str">
            <v/>
          </cell>
        </row>
        <row r="20054">
          <cell r="O20054" t="str">
            <v/>
          </cell>
        </row>
        <row r="20055">
          <cell r="O20055" t="str">
            <v/>
          </cell>
        </row>
        <row r="20056">
          <cell r="O20056" t="str">
            <v/>
          </cell>
        </row>
        <row r="20057">
          <cell r="O20057" t="str">
            <v/>
          </cell>
        </row>
        <row r="20058">
          <cell r="O20058" t="str">
            <v/>
          </cell>
        </row>
        <row r="20059">
          <cell r="O20059" t="str">
            <v/>
          </cell>
        </row>
        <row r="20060">
          <cell r="O20060" t="str">
            <v/>
          </cell>
        </row>
        <row r="20061">
          <cell r="O20061" t="str">
            <v/>
          </cell>
        </row>
        <row r="20062">
          <cell r="O20062" t="str">
            <v/>
          </cell>
        </row>
        <row r="20063">
          <cell r="O20063" t="str">
            <v/>
          </cell>
        </row>
        <row r="20064">
          <cell r="O20064" t="str">
            <v/>
          </cell>
        </row>
        <row r="20065">
          <cell r="O20065" t="str">
            <v/>
          </cell>
        </row>
        <row r="20066">
          <cell r="O20066" t="str">
            <v/>
          </cell>
        </row>
        <row r="20067">
          <cell r="O20067" t="str">
            <v/>
          </cell>
        </row>
        <row r="20068">
          <cell r="O20068" t="str">
            <v/>
          </cell>
        </row>
        <row r="20069">
          <cell r="O20069" t="str">
            <v/>
          </cell>
        </row>
        <row r="20070">
          <cell r="O20070" t="str">
            <v/>
          </cell>
        </row>
        <row r="20071">
          <cell r="O20071" t="str">
            <v/>
          </cell>
        </row>
        <row r="20072">
          <cell r="O20072" t="str">
            <v/>
          </cell>
        </row>
        <row r="20073">
          <cell r="O20073" t="str">
            <v/>
          </cell>
        </row>
        <row r="20074">
          <cell r="O20074" t="str">
            <v/>
          </cell>
        </row>
        <row r="20075">
          <cell r="O20075" t="str">
            <v/>
          </cell>
        </row>
        <row r="20076">
          <cell r="O20076" t="str">
            <v/>
          </cell>
        </row>
        <row r="20077">
          <cell r="O20077" t="str">
            <v/>
          </cell>
        </row>
        <row r="20078">
          <cell r="O20078" t="str">
            <v/>
          </cell>
        </row>
        <row r="20079">
          <cell r="O20079" t="str">
            <v/>
          </cell>
        </row>
        <row r="20080">
          <cell r="O20080" t="str">
            <v/>
          </cell>
        </row>
        <row r="20081">
          <cell r="O20081" t="str">
            <v/>
          </cell>
        </row>
        <row r="20082">
          <cell r="O20082" t="str">
            <v/>
          </cell>
        </row>
        <row r="20083">
          <cell r="O20083" t="str">
            <v/>
          </cell>
        </row>
        <row r="20084">
          <cell r="O20084" t="str">
            <v/>
          </cell>
        </row>
        <row r="20085">
          <cell r="O20085" t="str">
            <v/>
          </cell>
        </row>
        <row r="20086">
          <cell r="O20086" t="str">
            <v/>
          </cell>
        </row>
        <row r="20087">
          <cell r="O20087" t="str">
            <v/>
          </cell>
        </row>
        <row r="20088">
          <cell r="O20088" t="str">
            <v/>
          </cell>
        </row>
        <row r="20089">
          <cell r="O20089" t="str">
            <v/>
          </cell>
        </row>
        <row r="20090">
          <cell r="O20090" t="str">
            <v/>
          </cell>
        </row>
        <row r="20091">
          <cell r="O20091" t="str">
            <v/>
          </cell>
        </row>
        <row r="20092">
          <cell r="O20092" t="str">
            <v/>
          </cell>
        </row>
        <row r="20093">
          <cell r="O20093" t="str">
            <v/>
          </cell>
        </row>
        <row r="20094">
          <cell r="O20094" t="str">
            <v/>
          </cell>
        </row>
        <row r="20095">
          <cell r="O20095" t="str">
            <v/>
          </cell>
        </row>
        <row r="20096">
          <cell r="O20096" t="str">
            <v/>
          </cell>
        </row>
        <row r="20097">
          <cell r="O20097" t="str">
            <v/>
          </cell>
        </row>
        <row r="20098">
          <cell r="O20098" t="str">
            <v/>
          </cell>
        </row>
        <row r="20099">
          <cell r="O20099" t="str">
            <v/>
          </cell>
        </row>
        <row r="20100">
          <cell r="O20100" t="str">
            <v/>
          </cell>
        </row>
        <row r="20101">
          <cell r="O20101" t="str">
            <v/>
          </cell>
        </row>
        <row r="20102">
          <cell r="O20102" t="str">
            <v/>
          </cell>
        </row>
        <row r="20103">
          <cell r="O20103" t="str">
            <v/>
          </cell>
        </row>
        <row r="20104">
          <cell r="O20104" t="str">
            <v/>
          </cell>
        </row>
        <row r="20105">
          <cell r="O20105" t="str">
            <v/>
          </cell>
        </row>
        <row r="20106">
          <cell r="O20106" t="str">
            <v/>
          </cell>
        </row>
        <row r="20107">
          <cell r="O20107" t="str">
            <v/>
          </cell>
        </row>
        <row r="20108">
          <cell r="O20108" t="str">
            <v/>
          </cell>
        </row>
        <row r="20109">
          <cell r="O20109" t="str">
            <v/>
          </cell>
        </row>
        <row r="20110">
          <cell r="O20110" t="str">
            <v/>
          </cell>
        </row>
        <row r="20111">
          <cell r="O20111" t="str">
            <v/>
          </cell>
        </row>
        <row r="20112">
          <cell r="O20112" t="str">
            <v/>
          </cell>
        </row>
        <row r="20113">
          <cell r="O20113" t="str">
            <v/>
          </cell>
        </row>
        <row r="20114">
          <cell r="O20114" t="str">
            <v/>
          </cell>
        </row>
        <row r="20115">
          <cell r="O20115" t="str">
            <v/>
          </cell>
        </row>
        <row r="20116">
          <cell r="O20116" t="str">
            <v/>
          </cell>
        </row>
        <row r="20117">
          <cell r="O20117" t="str">
            <v/>
          </cell>
        </row>
        <row r="20118">
          <cell r="O20118" t="str">
            <v/>
          </cell>
        </row>
        <row r="20119">
          <cell r="O20119" t="str">
            <v/>
          </cell>
        </row>
        <row r="20120">
          <cell r="O20120" t="str">
            <v/>
          </cell>
        </row>
        <row r="20121">
          <cell r="O20121" t="str">
            <v/>
          </cell>
        </row>
        <row r="20122">
          <cell r="O20122" t="str">
            <v/>
          </cell>
        </row>
        <row r="20123">
          <cell r="O20123" t="str">
            <v/>
          </cell>
        </row>
        <row r="20124">
          <cell r="O20124" t="str">
            <v/>
          </cell>
        </row>
        <row r="20125">
          <cell r="O20125" t="str">
            <v/>
          </cell>
        </row>
        <row r="20126">
          <cell r="O20126" t="str">
            <v/>
          </cell>
        </row>
        <row r="20127">
          <cell r="O20127" t="str">
            <v/>
          </cell>
        </row>
        <row r="20128">
          <cell r="O20128" t="str">
            <v/>
          </cell>
        </row>
        <row r="20129">
          <cell r="O20129" t="str">
            <v/>
          </cell>
        </row>
        <row r="20130">
          <cell r="O20130" t="str">
            <v/>
          </cell>
        </row>
        <row r="20131">
          <cell r="O20131" t="str">
            <v/>
          </cell>
        </row>
        <row r="20132">
          <cell r="O20132" t="str">
            <v/>
          </cell>
        </row>
        <row r="20133">
          <cell r="O20133" t="str">
            <v/>
          </cell>
        </row>
        <row r="20134">
          <cell r="O20134" t="str">
            <v/>
          </cell>
        </row>
        <row r="20135">
          <cell r="O20135" t="str">
            <v/>
          </cell>
        </row>
        <row r="20136">
          <cell r="O20136" t="str">
            <v/>
          </cell>
        </row>
        <row r="20137">
          <cell r="O20137" t="str">
            <v/>
          </cell>
        </row>
        <row r="20138">
          <cell r="O20138" t="str">
            <v/>
          </cell>
        </row>
        <row r="20139">
          <cell r="O20139" t="str">
            <v/>
          </cell>
        </row>
        <row r="20140">
          <cell r="O20140" t="str">
            <v/>
          </cell>
        </row>
        <row r="20141">
          <cell r="O20141" t="str">
            <v/>
          </cell>
        </row>
        <row r="20142">
          <cell r="O20142" t="str">
            <v/>
          </cell>
        </row>
        <row r="20143">
          <cell r="O20143" t="str">
            <v/>
          </cell>
        </row>
        <row r="20144">
          <cell r="O20144" t="str">
            <v/>
          </cell>
        </row>
        <row r="20145">
          <cell r="O20145" t="str">
            <v/>
          </cell>
        </row>
        <row r="20146">
          <cell r="O20146" t="str">
            <v/>
          </cell>
        </row>
        <row r="20147">
          <cell r="O20147" t="str">
            <v/>
          </cell>
        </row>
        <row r="20148">
          <cell r="O20148" t="str">
            <v/>
          </cell>
        </row>
        <row r="20149">
          <cell r="O20149" t="str">
            <v/>
          </cell>
        </row>
        <row r="20150">
          <cell r="O20150" t="str">
            <v/>
          </cell>
        </row>
        <row r="20151">
          <cell r="O20151" t="str">
            <v/>
          </cell>
        </row>
        <row r="20152">
          <cell r="O20152" t="str">
            <v/>
          </cell>
        </row>
        <row r="20153">
          <cell r="O20153" t="str">
            <v/>
          </cell>
        </row>
        <row r="20154">
          <cell r="O20154" t="str">
            <v/>
          </cell>
        </row>
        <row r="20155">
          <cell r="O20155" t="str">
            <v/>
          </cell>
        </row>
        <row r="20156">
          <cell r="O20156" t="str">
            <v/>
          </cell>
        </row>
        <row r="20157">
          <cell r="O20157" t="str">
            <v/>
          </cell>
        </row>
        <row r="20158">
          <cell r="O20158" t="str">
            <v/>
          </cell>
        </row>
        <row r="20159">
          <cell r="O20159" t="str">
            <v/>
          </cell>
        </row>
        <row r="20160">
          <cell r="O20160" t="str">
            <v/>
          </cell>
        </row>
        <row r="20161">
          <cell r="O20161" t="str">
            <v/>
          </cell>
        </row>
        <row r="20162">
          <cell r="O20162" t="str">
            <v/>
          </cell>
        </row>
        <row r="20163">
          <cell r="O20163" t="str">
            <v/>
          </cell>
        </row>
        <row r="20164">
          <cell r="O20164" t="str">
            <v/>
          </cell>
        </row>
        <row r="20165">
          <cell r="O20165" t="str">
            <v/>
          </cell>
        </row>
        <row r="20166">
          <cell r="O20166" t="str">
            <v/>
          </cell>
        </row>
        <row r="20167">
          <cell r="O20167" t="str">
            <v/>
          </cell>
        </row>
        <row r="20168">
          <cell r="O20168" t="str">
            <v/>
          </cell>
        </row>
        <row r="20169">
          <cell r="O20169" t="str">
            <v/>
          </cell>
        </row>
        <row r="20170">
          <cell r="O20170" t="str">
            <v/>
          </cell>
        </row>
        <row r="20171">
          <cell r="O20171" t="str">
            <v/>
          </cell>
        </row>
        <row r="20172">
          <cell r="O20172" t="str">
            <v/>
          </cell>
        </row>
        <row r="20173">
          <cell r="O20173" t="str">
            <v/>
          </cell>
        </row>
        <row r="20174">
          <cell r="O20174" t="str">
            <v/>
          </cell>
        </row>
        <row r="20175">
          <cell r="O20175" t="str">
            <v/>
          </cell>
        </row>
        <row r="20176">
          <cell r="O20176" t="str">
            <v/>
          </cell>
        </row>
        <row r="20177">
          <cell r="O20177" t="str">
            <v/>
          </cell>
        </row>
        <row r="20178">
          <cell r="O20178" t="str">
            <v/>
          </cell>
        </row>
        <row r="20179">
          <cell r="O20179" t="str">
            <v/>
          </cell>
        </row>
        <row r="20180">
          <cell r="O20180" t="str">
            <v/>
          </cell>
        </row>
        <row r="20181">
          <cell r="O20181" t="str">
            <v/>
          </cell>
        </row>
        <row r="20182">
          <cell r="O20182" t="str">
            <v/>
          </cell>
        </row>
        <row r="20183">
          <cell r="O20183" t="str">
            <v/>
          </cell>
        </row>
        <row r="20184">
          <cell r="O20184" t="str">
            <v/>
          </cell>
        </row>
        <row r="20185">
          <cell r="O20185" t="str">
            <v/>
          </cell>
        </row>
        <row r="20186">
          <cell r="O20186" t="str">
            <v/>
          </cell>
        </row>
        <row r="20187">
          <cell r="O20187" t="str">
            <v/>
          </cell>
        </row>
        <row r="20188">
          <cell r="O20188" t="str">
            <v/>
          </cell>
        </row>
        <row r="20189">
          <cell r="O20189" t="str">
            <v/>
          </cell>
        </row>
        <row r="20190">
          <cell r="O20190" t="str">
            <v/>
          </cell>
        </row>
        <row r="20191">
          <cell r="O20191" t="str">
            <v/>
          </cell>
        </row>
        <row r="20192">
          <cell r="O20192" t="str">
            <v/>
          </cell>
        </row>
        <row r="20193">
          <cell r="O20193" t="str">
            <v/>
          </cell>
        </row>
        <row r="20194">
          <cell r="O20194" t="str">
            <v/>
          </cell>
        </row>
        <row r="20195">
          <cell r="O20195" t="str">
            <v/>
          </cell>
        </row>
        <row r="20196">
          <cell r="O20196" t="str">
            <v/>
          </cell>
        </row>
        <row r="20197">
          <cell r="O20197" t="str">
            <v/>
          </cell>
        </row>
        <row r="20198">
          <cell r="O20198" t="str">
            <v/>
          </cell>
        </row>
        <row r="20199">
          <cell r="O20199" t="str">
            <v/>
          </cell>
        </row>
        <row r="20200">
          <cell r="O20200" t="str">
            <v/>
          </cell>
        </row>
        <row r="20201">
          <cell r="O20201" t="str">
            <v/>
          </cell>
        </row>
        <row r="20202">
          <cell r="O20202" t="str">
            <v/>
          </cell>
        </row>
        <row r="20203">
          <cell r="O20203" t="str">
            <v/>
          </cell>
        </row>
        <row r="20204">
          <cell r="O20204" t="str">
            <v/>
          </cell>
        </row>
        <row r="20205">
          <cell r="O20205" t="str">
            <v/>
          </cell>
        </row>
        <row r="20206">
          <cell r="O20206" t="str">
            <v/>
          </cell>
        </row>
        <row r="20207">
          <cell r="O20207" t="str">
            <v/>
          </cell>
        </row>
        <row r="20208">
          <cell r="O20208" t="str">
            <v/>
          </cell>
        </row>
        <row r="20209">
          <cell r="O20209" t="str">
            <v/>
          </cell>
        </row>
        <row r="20210">
          <cell r="O20210" t="str">
            <v/>
          </cell>
        </row>
        <row r="20211">
          <cell r="O20211" t="str">
            <v/>
          </cell>
        </row>
        <row r="20212">
          <cell r="O20212" t="str">
            <v/>
          </cell>
        </row>
        <row r="20213">
          <cell r="O20213" t="str">
            <v/>
          </cell>
        </row>
        <row r="20214">
          <cell r="O20214" t="str">
            <v/>
          </cell>
        </row>
        <row r="20215">
          <cell r="O20215" t="str">
            <v/>
          </cell>
        </row>
        <row r="20216">
          <cell r="O20216" t="str">
            <v/>
          </cell>
        </row>
        <row r="20217">
          <cell r="O20217" t="str">
            <v/>
          </cell>
        </row>
        <row r="20218">
          <cell r="O20218" t="str">
            <v/>
          </cell>
        </row>
        <row r="20219">
          <cell r="O20219" t="str">
            <v/>
          </cell>
        </row>
        <row r="20220">
          <cell r="O20220" t="str">
            <v/>
          </cell>
        </row>
        <row r="20221">
          <cell r="O20221" t="str">
            <v/>
          </cell>
        </row>
        <row r="20222">
          <cell r="O20222" t="str">
            <v/>
          </cell>
        </row>
        <row r="20223">
          <cell r="O20223" t="str">
            <v/>
          </cell>
        </row>
        <row r="20224">
          <cell r="O20224" t="str">
            <v/>
          </cell>
        </row>
        <row r="20225">
          <cell r="O20225" t="str">
            <v/>
          </cell>
        </row>
        <row r="20226">
          <cell r="O20226" t="str">
            <v/>
          </cell>
        </row>
        <row r="20227">
          <cell r="O20227" t="str">
            <v/>
          </cell>
        </row>
        <row r="20228">
          <cell r="O20228" t="str">
            <v/>
          </cell>
        </row>
        <row r="20229">
          <cell r="O20229" t="str">
            <v/>
          </cell>
        </row>
        <row r="20230">
          <cell r="O20230" t="str">
            <v/>
          </cell>
        </row>
        <row r="20231">
          <cell r="O20231" t="str">
            <v/>
          </cell>
        </row>
        <row r="20232">
          <cell r="O20232" t="str">
            <v/>
          </cell>
        </row>
        <row r="20233">
          <cell r="O20233" t="str">
            <v/>
          </cell>
        </row>
        <row r="20234">
          <cell r="O20234" t="str">
            <v/>
          </cell>
        </row>
        <row r="20235">
          <cell r="O20235" t="str">
            <v/>
          </cell>
        </row>
        <row r="20236">
          <cell r="O20236" t="str">
            <v/>
          </cell>
        </row>
        <row r="20237">
          <cell r="O20237" t="str">
            <v/>
          </cell>
        </row>
        <row r="20238">
          <cell r="O20238" t="str">
            <v/>
          </cell>
        </row>
        <row r="20239">
          <cell r="O20239" t="str">
            <v/>
          </cell>
        </row>
        <row r="20240">
          <cell r="O20240" t="str">
            <v/>
          </cell>
        </row>
        <row r="20241">
          <cell r="O20241" t="str">
            <v/>
          </cell>
        </row>
        <row r="20242">
          <cell r="O20242" t="str">
            <v/>
          </cell>
        </row>
        <row r="20243">
          <cell r="O20243" t="str">
            <v/>
          </cell>
        </row>
        <row r="20244">
          <cell r="O20244" t="str">
            <v/>
          </cell>
        </row>
        <row r="20245">
          <cell r="O20245" t="str">
            <v/>
          </cell>
        </row>
        <row r="20246">
          <cell r="O20246" t="str">
            <v/>
          </cell>
        </row>
        <row r="20247">
          <cell r="O20247" t="str">
            <v/>
          </cell>
        </row>
        <row r="20248">
          <cell r="O20248" t="str">
            <v/>
          </cell>
        </row>
        <row r="20249">
          <cell r="O20249" t="str">
            <v/>
          </cell>
        </row>
        <row r="20250">
          <cell r="O20250" t="str">
            <v/>
          </cell>
        </row>
        <row r="20251">
          <cell r="O20251" t="str">
            <v/>
          </cell>
        </row>
        <row r="20252">
          <cell r="O20252" t="str">
            <v/>
          </cell>
        </row>
        <row r="20253">
          <cell r="O20253" t="str">
            <v/>
          </cell>
        </row>
        <row r="20254">
          <cell r="O20254" t="str">
            <v/>
          </cell>
        </row>
        <row r="20255">
          <cell r="O20255" t="str">
            <v/>
          </cell>
        </row>
        <row r="20256">
          <cell r="O20256" t="str">
            <v/>
          </cell>
        </row>
        <row r="20257">
          <cell r="O20257" t="str">
            <v/>
          </cell>
        </row>
        <row r="20258">
          <cell r="O20258" t="str">
            <v/>
          </cell>
        </row>
        <row r="20259">
          <cell r="O20259" t="str">
            <v/>
          </cell>
        </row>
        <row r="20260">
          <cell r="O20260" t="str">
            <v/>
          </cell>
        </row>
        <row r="20261">
          <cell r="O20261" t="str">
            <v/>
          </cell>
        </row>
        <row r="20262">
          <cell r="O20262" t="str">
            <v/>
          </cell>
        </row>
        <row r="20263">
          <cell r="O20263" t="str">
            <v/>
          </cell>
        </row>
        <row r="20264">
          <cell r="O20264" t="str">
            <v/>
          </cell>
        </row>
        <row r="20265">
          <cell r="O20265" t="str">
            <v/>
          </cell>
        </row>
        <row r="20266">
          <cell r="O20266" t="str">
            <v/>
          </cell>
        </row>
        <row r="20267">
          <cell r="O20267" t="str">
            <v/>
          </cell>
        </row>
        <row r="20268">
          <cell r="O20268" t="str">
            <v/>
          </cell>
        </row>
        <row r="20269">
          <cell r="O20269" t="str">
            <v/>
          </cell>
        </row>
        <row r="20270">
          <cell r="O20270" t="str">
            <v/>
          </cell>
        </row>
        <row r="20271">
          <cell r="O20271" t="str">
            <v/>
          </cell>
        </row>
        <row r="20272">
          <cell r="O20272" t="str">
            <v/>
          </cell>
        </row>
        <row r="20273">
          <cell r="O20273" t="str">
            <v/>
          </cell>
        </row>
        <row r="20274">
          <cell r="O20274" t="str">
            <v/>
          </cell>
        </row>
        <row r="20275">
          <cell r="O20275" t="str">
            <v/>
          </cell>
        </row>
        <row r="20276">
          <cell r="O20276" t="str">
            <v/>
          </cell>
        </row>
        <row r="20277">
          <cell r="O20277" t="str">
            <v/>
          </cell>
        </row>
        <row r="20278">
          <cell r="O20278" t="str">
            <v/>
          </cell>
        </row>
        <row r="20279">
          <cell r="O20279" t="str">
            <v/>
          </cell>
        </row>
        <row r="20280">
          <cell r="O20280" t="str">
            <v/>
          </cell>
        </row>
        <row r="20281">
          <cell r="O20281" t="str">
            <v/>
          </cell>
        </row>
        <row r="20282">
          <cell r="O20282" t="str">
            <v/>
          </cell>
        </row>
        <row r="20283">
          <cell r="O20283" t="str">
            <v/>
          </cell>
        </row>
        <row r="20284">
          <cell r="O20284" t="str">
            <v/>
          </cell>
        </row>
        <row r="20285">
          <cell r="O20285" t="str">
            <v/>
          </cell>
        </row>
        <row r="20286">
          <cell r="O20286" t="str">
            <v/>
          </cell>
        </row>
        <row r="20287">
          <cell r="O20287" t="str">
            <v/>
          </cell>
        </row>
        <row r="20288">
          <cell r="O20288" t="str">
            <v/>
          </cell>
        </row>
        <row r="20289">
          <cell r="O20289" t="str">
            <v/>
          </cell>
        </row>
        <row r="20290">
          <cell r="O20290" t="str">
            <v/>
          </cell>
        </row>
        <row r="20291">
          <cell r="O20291" t="str">
            <v/>
          </cell>
        </row>
        <row r="20292">
          <cell r="O20292" t="str">
            <v/>
          </cell>
        </row>
        <row r="20293">
          <cell r="O20293" t="str">
            <v/>
          </cell>
        </row>
        <row r="20294">
          <cell r="O20294" t="str">
            <v/>
          </cell>
        </row>
        <row r="20295">
          <cell r="O20295" t="str">
            <v/>
          </cell>
        </row>
        <row r="20296">
          <cell r="O20296" t="str">
            <v/>
          </cell>
        </row>
        <row r="20297">
          <cell r="O20297" t="str">
            <v/>
          </cell>
        </row>
        <row r="20298">
          <cell r="O20298" t="str">
            <v/>
          </cell>
        </row>
        <row r="20299">
          <cell r="O20299" t="str">
            <v/>
          </cell>
        </row>
        <row r="20300">
          <cell r="O20300" t="str">
            <v/>
          </cell>
        </row>
        <row r="20301">
          <cell r="O20301" t="str">
            <v/>
          </cell>
        </row>
        <row r="20302">
          <cell r="O20302" t="str">
            <v/>
          </cell>
        </row>
        <row r="20303">
          <cell r="O20303" t="str">
            <v/>
          </cell>
        </row>
        <row r="20304">
          <cell r="O20304" t="str">
            <v/>
          </cell>
        </row>
        <row r="20305">
          <cell r="O20305" t="str">
            <v/>
          </cell>
        </row>
        <row r="20306">
          <cell r="O20306" t="str">
            <v/>
          </cell>
        </row>
        <row r="20307">
          <cell r="O20307" t="str">
            <v/>
          </cell>
        </row>
        <row r="20308">
          <cell r="O20308" t="str">
            <v/>
          </cell>
        </row>
        <row r="20309">
          <cell r="O20309" t="str">
            <v/>
          </cell>
        </row>
        <row r="20310">
          <cell r="O20310" t="str">
            <v/>
          </cell>
        </row>
        <row r="20311">
          <cell r="O20311" t="str">
            <v/>
          </cell>
        </row>
        <row r="20312">
          <cell r="O20312" t="str">
            <v/>
          </cell>
        </row>
        <row r="20313">
          <cell r="O20313" t="str">
            <v/>
          </cell>
        </row>
        <row r="20314">
          <cell r="O20314" t="str">
            <v/>
          </cell>
        </row>
        <row r="20315">
          <cell r="O20315" t="str">
            <v/>
          </cell>
        </row>
        <row r="20316">
          <cell r="O20316" t="str">
            <v/>
          </cell>
        </row>
        <row r="20317">
          <cell r="O20317" t="str">
            <v/>
          </cell>
        </row>
        <row r="20318">
          <cell r="O20318" t="str">
            <v/>
          </cell>
        </row>
        <row r="20319">
          <cell r="O20319" t="str">
            <v/>
          </cell>
        </row>
        <row r="20320">
          <cell r="O20320" t="str">
            <v/>
          </cell>
        </row>
        <row r="20321">
          <cell r="O20321" t="str">
            <v/>
          </cell>
        </row>
        <row r="20322">
          <cell r="O20322" t="str">
            <v/>
          </cell>
        </row>
        <row r="20323">
          <cell r="O20323" t="str">
            <v/>
          </cell>
        </row>
        <row r="20324">
          <cell r="O20324" t="str">
            <v/>
          </cell>
        </row>
        <row r="20325">
          <cell r="O20325" t="str">
            <v/>
          </cell>
        </row>
        <row r="20326">
          <cell r="O20326" t="str">
            <v/>
          </cell>
        </row>
        <row r="20327">
          <cell r="O20327" t="str">
            <v/>
          </cell>
        </row>
        <row r="20328">
          <cell r="O20328" t="str">
            <v/>
          </cell>
        </row>
        <row r="20329">
          <cell r="O20329" t="str">
            <v/>
          </cell>
        </row>
        <row r="20330">
          <cell r="O20330" t="str">
            <v/>
          </cell>
        </row>
        <row r="20331">
          <cell r="O20331" t="str">
            <v/>
          </cell>
        </row>
        <row r="20332">
          <cell r="O20332" t="str">
            <v/>
          </cell>
        </row>
        <row r="20333">
          <cell r="O20333" t="str">
            <v/>
          </cell>
        </row>
        <row r="20334">
          <cell r="O20334" t="str">
            <v/>
          </cell>
        </row>
        <row r="20335">
          <cell r="O20335" t="str">
            <v/>
          </cell>
        </row>
        <row r="20336">
          <cell r="O20336" t="str">
            <v/>
          </cell>
        </row>
        <row r="20337">
          <cell r="O20337" t="str">
            <v/>
          </cell>
        </row>
        <row r="20338">
          <cell r="O20338" t="str">
            <v/>
          </cell>
        </row>
        <row r="20339">
          <cell r="O20339" t="str">
            <v/>
          </cell>
        </row>
        <row r="20340">
          <cell r="O20340" t="str">
            <v/>
          </cell>
        </row>
        <row r="20341">
          <cell r="O20341" t="str">
            <v/>
          </cell>
        </row>
        <row r="20342">
          <cell r="O20342" t="str">
            <v/>
          </cell>
        </row>
        <row r="20343">
          <cell r="O20343" t="str">
            <v/>
          </cell>
        </row>
        <row r="20344">
          <cell r="O20344" t="str">
            <v/>
          </cell>
        </row>
        <row r="20345">
          <cell r="O20345" t="str">
            <v/>
          </cell>
        </row>
        <row r="20346">
          <cell r="O20346" t="str">
            <v/>
          </cell>
        </row>
        <row r="20347">
          <cell r="O20347" t="str">
            <v/>
          </cell>
        </row>
        <row r="20348">
          <cell r="O20348" t="str">
            <v/>
          </cell>
        </row>
        <row r="20349">
          <cell r="O20349" t="str">
            <v/>
          </cell>
        </row>
        <row r="20350">
          <cell r="O20350" t="str">
            <v/>
          </cell>
        </row>
        <row r="20351">
          <cell r="O20351" t="str">
            <v/>
          </cell>
        </row>
        <row r="20352">
          <cell r="O20352" t="str">
            <v/>
          </cell>
        </row>
        <row r="20353">
          <cell r="O20353" t="str">
            <v/>
          </cell>
        </row>
        <row r="20354">
          <cell r="O20354" t="str">
            <v/>
          </cell>
        </row>
        <row r="20355">
          <cell r="O20355" t="str">
            <v/>
          </cell>
        </row>
        <row r="20356">
          <cell r="O20356" t="str">
            <v/>
          </cell>
        </row>
        <row r="20357">
          <cell r="O20357" t="str">
            <v/>
          </cell>
        </row>
        <row r="20358">
          <cell r="O20358" t="str">
            <v/>
          </cell>
        </row>
        <row r="20359">
          <cell r="O20359" t="str">
            <v/>
          </cell>
        </row>
        <row r="20360">
          <cell r="O20360" t="str">
            <v/>
          </cell>
        </row>
        <row r="20361">
          <cell r="O20361" t="str">
            <v/>
          </cell>
        </row>
        <row r="20362">
          <cell r="O20362" t="str">
            <v/>
          </cell>
        </row>
        <row r="20363">
          <cell r="O20363" t="str">
            <v/>
          </cell>
        </row>
        <row r="20364">
          <cell r="O20364" t="str">
            <v/>
          </cell>
        </row>
        <row r="20365">
          <cell r="O20365" t="str">
            <v/>
          </cell>
        </row>
        <row r="20366">
          <cell r="O20366" t="str">
            <v/>
          </cell>
        </row>
        <row r="20367">
          <cell r="O20367" t="str">
            <v/>
          </cell>
        </row>
        <row r="20368">
          <cell r="O20368" t="str">
            <v/>
          </cell>
        </row>
        <row r="20369">
          <cell r="O20369" t="str">
            <v/>
          </cell>
        </row>
        <row r="20370">
          <cell r="O20370" t="str">
            <v/>
          </cell>
        </row>
        <row r="20371">
          <cell r="O20371" t="str">
            <v/>
          </cell>
        </row>
        <row r="20372">
          <cell r="O20372" t="str">
            <v/>
          </cell>
        </row>
        <row r="20373">
          <cell r="O20373" t="str">
            <v/>
          </cell>
        </row>
        <row r="20374">
          <cell r="O20374" t="str">
            <v/>
          </cell>
        </row>
        <row r="20375">
          <cell r="O20375" t="str">
            <v/>
          </cell>
        </row>
        <row r="20376">
          <cell r="O20376" t="str">
            <v/>
          </cell>
        </row>
        <row r="20377">
          <cell r="O20377" t="str">
            <v/>
          </cell>
        </row>
        <row r="20378">
          <cell r="O20378" t="str">
            <v/>
          </cell>
        </row>
        <row r="20379">
          <cell r="O20379" t="str">
            <v/>
          </cell>
        </row>
        <row r="20380">
          <cell r="O20380" t="str">
            <v/>
          </cell>
        </row>
        <row r="20381">
          <cell r="O20381" t="str">
            <v/>
          </cell>
        </row>
        <row r="20382">
          <cell r="O20382" t="str">
            <v/>
          </cell>
        </row>
        <row r="20383">
          <cell r="O20383" t="str">
            <v/>
          </cell>
        </row>
        <row r="20384">
          <cell r="O20384" t="str">
            <v/>
          </cell>
        </row>
        <row r="20385">
          <cell r="O20385" t="str">
            <v/>
          </cell>
        </row>
        <row r="20386">
          <cell r="O20386" t="str">
            <v/>
          </cell>
        </row>
        <row r="20387">
          <cell r="O20387" t="str">
            <v/>
          </cell>
        </row>
        <row r="20388">
          <cell r="O20388" t="str">
            <v/>
          </cell>
        </row>
        <row r="20389">
          <cell r="O20389" t="str">
            <v/>
          </cell>
        </row>
        <row r="20390">
          <cell r="O20390" t="str">
            <v/>
          </cell>
        </row>
        <row r="20391">
          <cell r="O20391" t="str">
            <v/>
          </cell>
        </row>
        <row r="20392">
          <cell r="O20392" t="str">
            <v/>
          </cell>
        </row>
        <row r="20393">
          <cell r="O20393" t="str">
            <v/>
          </cell>
        </row>
        <row r="20394">
          <cell r="O20394" t="str">
            <v/>
          </cell>
        </row>
        <row r="20395">
          <cell r="O20395" t="str">
            <v/>
          </cell>
        </row>
        <row r="20396">
          <cell r="O20396" t="str">
            <v/>
          </cell>
        </row>
        <row r="20397">
          <cell r="O20397" t="str">
            <v/>
          </cell>
        </row>
        <row r="20398">
          <cell r="O20398" t="str">
            <v/>
          </cell>
        </row>
        <row r="20399">
          <cell r="O20399" t="str">
            <v/>
          </cell>
        </row>
        <row r="20400">
          <cell r="O20400" t="str">
            <v/>
          </cell>
        </row>
        <row r="20401">
          <cell r="O20401" t="str">
            <v/>
          </cell>
        </row>
        <row r="20402">
          <cell r="O20402" t="str">
            <v/>
          </cell>
        </row>
        <row r="20403">
          <cell r="O20403" t="str">
            <v/>
          </cell>
        </row>
        <row r="20404">
          <cell r="O20404" t="str">
            <v/>
          </cell>
        </row>
        <row r="20405">
          <cell r="O20405" t="str">
            <v/>
          </cell>
        </row>
        <row r="20406">
          <cell r="O20406" t="str">
            <v/>
          </cell>
        </row>
        <row r="20407">
          <cell r="O20407" t="str">
            <v/>
          </cell>
        </row>
        <row r="20408">
          <cell r="O20408" t="str">
            <v/>
          </cell>
        </row>
        <row r="20409">
          <cell r="O20409" t="str">
            <v/>
          </cell>
        </row>
        <row r="20410">
          <cell r="O20410" t="str">
            <v/>
          </cell>
        </row>
        <row r="20411">
          <cell r="O20411" t="str">
            <v/>
          </cell>
        </row>
        <row r="20412">
          <cell r="O20412" t="str">
            <v/>
          </cell>
        </row>
        <row r="20413">
          <cell r="O20413" t="str">
            <v/>
          </cell>
        </row>
        <row r="20414">
          <cell r="O20414" t="str">
            <v/>
          </cell>
        </row>
        <row r="20415">
          <cell r="O20415" t="str">
            <v/>
          </cell>
        </row>
        <row r="20416">
          <cell r="O20416" t="str">
            <v/>
          </cell>
        </row>
        <row r="20417">
          <cell r="O20417" t="str">
            <v/>
          </cell>
        </row>
        <row r="20418">
          <cell r="O20418" t="str">
            <v/>
          </cell>
        </row>
        <row r="20419">
          <cell r="O20419" t="str">
            <v/>
          </cell>
        </row>
        <row r="20420">
          <cell r="O20420" t="str">
            <v/>
          </cell>
        </row>
        <row r="20421">
          <cell r="O20421" t="str">
            <v/>
          </cell>
        </row>
        <row r="20422">
          <cell r="O20422" t="str">
            <v/>
          </cell>
        </row>
        <row r="20423">
          <cell r="O20423" t="str">
            <v/>
          </cell>
        </row>
        <row r="20424">
          <cell r="O20424" t="str">
            <v/>
          </cell>
        </row>
        <row r="20425">
          <cell r="O20425" t="str">
            <v/>
          </cell>
        </row>
        <row r="20426">
          <cell r="O20426" t="str">
            <v/>
          </cell>
        </row>
        <row r="20427">
          <cell r="O20427" t="str">
            <v/>
          </cell>
        </row>
        <row r="20428">
          <cell r="O20428" t="str">
            <v/>
          </cell>
        </row>
        <row r="20429">
          <cell r="O20429" t="str">
            <v/>
          </cell>
        </row>
        <row r="20430">
          <cell r="O20430" t="str">
            <v/>
          </cell>
        </row>
        <row r="20431">
          <cell r="O20431" t="str">
            <v/>
          </cell>
        </row>
        <row r="20432">
          <cell r="O20432" t="str">
            <v/>
          </cell>
        </row>
        <row r="20433">
          <cell r="O20433" t="str">
            <v/>
          </cell>
        </row>
        <row r="20434">
          <cell r="O20434" t="str">
            <v/>
          </cell>
        </row>
        <row r="20435">
          <cell r="O20435" t="str">
            <v/>
          </cell>
        </row>
        <row r="20436">
          <cell r="O20436" t="str">
            <v/>
          </cell>
        </row>
        <row r="20437">
          <cell r="O20437" t="str">
            <v/>
          </cell>
        </row>
        <row r="20438">
          <cell r="O20438" t="str">
            <v/>
          </cell>
        </row>
        <row r="20439">
          <cell r="O20439" t="str">
            <v/>
          </cell>
        </row>
        <row r="20440">
          <cell r="O20440" t="str">
            <v/>
          </cell>
        </row>
        <row r="20441">
          <cell r="O20441" t="str">
            <v/>
          </cell>
        </row>
        <row r="20442">
          <cell r="O20442" t="str">
            <v/>
          </cell>
        </row>
        <row r="20443">
          <cell r="O20443" t="str">
            <v/>
          </cell>
        </row>
        <row r="20444">
          <cell r="O20444" t="str">
            <v/>
          </cell>
        </row>
        <row r="20445">
          <cell r="O20445" t="str">
            <v/>
          </cell>
        </row>
        <row r="20446">
          <cell r="O20446" t="str">
            <v/>
          </cell>
        </row>
        <row r="20447">
          <cell r="O20447" t="str">
            <v/>
          </cell>
        </row>
        <row r="20448">
          <cell r="O20448" t="str">
            <v/>
          </cell>
        </row>
        <row r="20449">
          <cell r="O20449" t="str">
            <v/>
          </cell>
        </row>
        <row r="20450">
          <cell r="O20450" t="str">
            <v/>
          </cell>
        </row>
        <row r="20451">
          <cell r="O20451" t="str">
            <v/>
          </cell>
        </row>
        <row r="20452">
          <cell r="O20452" t="str">
            <v/>
          </cell>
        </row>
        <row r="20453">
          <cell r="O20453" t="str">
            <v/>
          </cell>
        </row>
        <row r="20454">
          <cell r="O20454" t="str">
            <v/>
          </cell>
        </row>
        <row r="20455">
          <cell r="O20455" t="str">
            <v/>
          </cell>
        </row>
        <row r="20456">
          <cell r="O20456" t="str">
            <v/>
          </cell>
        </row>
        <row r="20457">
          <cell r="O20457" t="str">
            <v/>
          </cell>
        </row>
        <row r="20458">
          <cell r="O20458" t="str">
            <v/>
          </cell>
        </row>
        <row r="20459">
          <cell r="O20459" t="str">
            <v/>
          </cell>
        </row>
        <row r="20460">
          <cell r="O20460" t="str">
            <v/>
          </cell>
        </row>
        <row r="20461">
          <cell r="O20461" t="str">
            <v/>
          </cell>
        </row>
        <row r="20462">
          <cell r="O20462" t="str">
            <v/>
          </cell>
        </row>
        <row r="20463">
          <cell r="O20463" t="str">
            <v/>
          </cell>
        </row>
        <row r="20464">
          <cell r="O20464" t="str">
            <v/>
          </cell>
        </row>
        <row r="20465">
          <cell r="O20465" t="str">
            <v/>
          </cell>
        </row>
        <row r="20466">
          <cell r="O20466" t="str">
            <v/>
          </cell>
        </row>
        <row r="20467">
          <cell r="O20467" t="str">
            <v/>
          </cell>
        </row>
        <row r="20468">
          <cell r="O20468" t="str">
            <v/>
          </cell>
        </row>
        <row r="20469">
          <cell r="O20469" t="str">
            <v/>
          </cell>
        </row>
        <row r="20470">
          <cell r="O20470" t="str">
            <v/>
          </cell>
        </row>
        <row r="20471">
          <cell r="O20471" t="str">
            <v/>
          </cell>
        </row>
        <row r="20472">
          <cell r="O20472" t="str">
            <v/>
          </cell>
        </row>
        <row r="20473">
          <cell r="O20473" t="str">
            <v/>
          </cell>
        </row>
        <row r="20474">
          <cell r="O20474" t="str">
            <v/>
          </cell>
        </row>
        <row r="20475">
          <cell r="O20475" t="str">
            <v/>
          </cell>
        </row>
        <row r="20476">
          <cell r="O20476" t="str">
            <v/>
          </cell>
        </row>
        <row r="20477">
          <cell r="O20477" t="str">
            <v/>
          </cell>
        </row>
        <row r="20478">
          <cell r="O20478" t="str">
            <v/>
          </cell>
        </row>
        <row r="20479">
          <cell r="O20479" t="str">
            <v/>
          </cell>
        </row>
        <row r="20480">
          <cell r="O20480" t="str">
            <v/>
          </cell>
        </row>
        <row r="20481">
          <cell r="O20481" t="str">
            <v/>
          </cell>
        </row>
        <row r="20482">
          <cell r="O20482" t="str">
            <v/>
          </cell>
        </row>
        <row r="20483">
          <cell r="O20483" t="str">
            <v/>
          </cell>
        </row>
        <row r="20484">
          <cell r="O20484" t="str">
            <v/>
          </cell>
        </row>
        <row r="20485">
          <cell r="O20485" t="str">
            <v/>
          </cell>
        </row>
        <row r="20486">
          <cell r="O20486" t="str">
            <v/>
          </cell>
        </row>
        <row r="20487">
          <cell r="O20487" t="str">
            <v/>
          </cell>
        </row>
        <row r="20488">
          <cell r="O20488" t="str">
            <v/>
          </cell>
        </row>
        <row r="20489">
          <cell r="O20489" t="str">
            <v/>
          </cell>
        </row>
        <row r="20490">
          <cell r="O20490" t="str">
            <v/>
          </cell>
        </row>
        <row r="20491">
          <cell r="O20491" t="str">
            <v/>
          </cell>
        </row>
        <row r="20492">
          <cell r="O20492" t="str">
            <v/>
          </cell>
        </row>
        <row r="20493">
          <cell r="O20493" t="str">
            <v/>
          </cell>
        </row>
        <row r="20494">
          <cell r="O20494" t="str">
            <v/>
          </cell>
        </row>
        <row r="20495">
          <cell r="O20495" t="str">
            <v/>
          </cell>
        </row>
        <row r="20496">
          <cell r="O20496" t="str">
            <v/>
          </cell>
        </row>
        <row r="20497">
          <cell r="O20497" t="str">
            <v/>
          </cell>
        </row>
        <row r="20498">
          <cell r="O20498" t="str">
            <v/>
          </cell>
        </row>
        <row r="20499">
          <cell r="O20499" t="str">
            <v/>
          </cell>
        </row>
        <row r="20500">
          <cell r="O20500" t="str">
            <v/>
          </cell>
        </row>
        <row r="20501">
          <cell r="O20501" t="str">
            <v/>
          </cell>
        </row>
        <row r="20502">
          <cell r="O20502" t="str">
            <v/>
          </cell>
        </row>
        <row r="20503">
          <cell r="O20503" t="str">
            <v/>
          </cell>
        </row>
        <row r="20504">
          <cell r="O20504" t="str">
            <v/>
          </cell>
        </row>
        <row r="20505">
          <cell r="O20505" t="str">
            <v/>
          </cell>
        </row>
        <row r="20506">
          <cell r="O20506" t="str">
            <v/>
          </cell>
        </row>
        <row r="20507">
          <cell r="O20507" t="str">
            <v/>
          </cell>
        </row>
        <row r="20508">
          <cell r="O20508" t="str">
            <v/>
          </cell>
        </row>
        <row r="20509">
          <cell r="O20509" t="str">
            <v/>
          </cell>
        </row>
        <row r="20510">
          <cell r="O20510" t="str">
            <v/>
          </cell>
        </row>
        <row r="20511">
          <cell r="O20511" t="str">
            <v/>
          </cell>
        </row>
        <row r="20512">
          <cell r="O20512" t="str">
            <v/>
          </cell>
        </row>
        <row r="20513">
          <cell r="O20513" t="str">
            <v/>
          </cell>
        </row>
        <row r="20514">
          <cell r="O20514" t="str">
            <v/>
          </cell>
        </row>
        <row r="20515">
          <cell r="O20515" t="str">
            <v/>
          </cell>
        </row>
        <row r="20516">
          <cell r="O20516" t="str">
            <v/>
          </cell>
        </row>
        <row r="20517">
          <cell r="O20517" t="str">
            <v/>
          </cell>
        </row>
        <row r="20518">
          <cell r="O20518" t="str">
            <v/>
          </cell>
        </row>
        <row r="20519">
          <cell r="O20519" t="str">
            <v/>
          </cell>
        </row>
        <row r="20520">
          <cell r="O20520" t="str">
            <v/>
          </cell>
        </row>
        <row r="20521">
          <cell r="O20521" t="str">
            <v/>
          </cell>
        </row>
        <row r="20522">
          <cell r="O20522" t="str">
            <v/>
          </cell>
        </row>
        <row r="20523">
          <cell r="O20523" t="str">
            <v/>
          </cell>
        </row>
        <row r="20524">
          <cell r="O20524" t="str">
            <v/>
          </cell>
        </row>
        <row r="20525">
          <cell r="O20525" t="str">
            <v/>
          </cell>
        </row>
        <row r="20526">
          <cell r="O20526" t="str">
            <v/>
          </cell>
        </row>
        <row r="20527">
          <cell r="O20527" t="str">
            <v/>
          </cell>
        </row>
        <row r="20528">
          <cell r="O20528" t="str">
            <v/>
          </cell>
        </row>
        <row r="20529">
          <cell r="O20529" t="str">
            <v/>
          </cell>
        </row>
        <row r="20530">
          <cell r="O20530" t="str">
            <v/>
          </cell>
        </row>
        <row r="20531">
          <cell r="O20531" t="str">
            <v/>
          </cell>
        </row>
        <row r="20532">
          <cell r="O20532" t="str">
            <v/>
          </cell>
        </row>
        <row r="20533">
          <cell r="O20533" t="str">
            <v/>
          </cell>
        </row>
        <row r="20534">
          <cell r="O20534" t="str">
            <v/>
          </cell>
        </row>
        <row r="20535">
          <cell r="O20535" t="str">
            <v/>
          </cell>
        </row>
        <row r="20536">
          <cell r="O20536" t="str">
            <v/>
          </cell>
        </row>
        <row r="20537">
          <cell r="O20537" t="str">
            <v/>
          </cell>
        </row>
        <row r="20538">
          <cell r="O20538" t="str">
            <v/>
          </cell>
        </row>
        <row r="20539">
          <cell r="O20539" t="str">
            <v/>
          </cell>
        </row>
        <row r="20540">
          <cell r="O20540" t="str">
            <v/>
          </cell>
        </row>
        <row r="20541">
          <cell r="O20541" t="str">
            <v/>
          </cell>
        </row>
        <row r="20542">
          <cell r="O20542" t="str">
            <v/>
          </cell>
        </row>
        <row r="20543">
          <cell r="O20543" t="str">
            <v/>
          </cell>
        </row>
        <row r="20544">
          <cell r="O20544" t="str">
            <v/>
          </cell>
        </row>
        <row r="20545">
          <cell r="O20545" t="str">
            <v/>
          </cell>
        </row>
        <row r="20546">
          <cell r="O20546" t="str">
            <v/>
          </cell>
        </row>
        <row r="20547">
          <cell r="O20547" t="str">
            <v/>
          </cell>
        </row>
        <row r="20548">
          <cell r="O20548" t="str">
            <v/>
          </cell>
        </row>
        <row r="20549">
          <cell r="O20549" t="str">
            <v/>
          </cell>
        </row>
        <row r="20550">
          <cell r="O20550" t="str">
            <v/>
          </cell>
        </row>
        <row r="20551">
          <cell r="O20551" t="str">
            <v/>
          </cell>
        </row>
        <row r="20552">
          <cell r="O20552" t="str">
            <v/>
          </cell>
        </row>
        <row r="20553">
          <cell r="O20553" t="str">
            <v/>
          </cell>
        </row>
        <row r="20554">
          <cell r="O20554" t="str">
            <v/>
          </cell>
        </row>
        <row r="20555">
          <cell r="O20555" t="str">
            <v/>
          </cell>
        </row>
        <row r="20556">
          <cell r="O20556" t="str">
            <v/>
          </cell>
        </row>
        <row r="20557">
          <cell r="O20557" t="str">
            <v/>
          </cell>
        </row>
        <row r="20558">
          <cell r="O20558" t="str">
            <v/>
          </cell>
        </row>
        <row r="20559">
          <cell r="O20559" t="str">
            <v/>
          </cell>
        </row>
        <row r="20560">
          <cell r="O20560" t="str">
            <v/>
          </cell>
        </row>
        <row r="20561">
          <cell r="O20561" t="str">
            <v/>
          </cell>
        </row>
        <row r="20562">
          <cell r="O20562" t="str">
            <v/>
          </cell>
        </row>
        <row r="20563">
          <cell r="O20563" t="str">
            <v/>
          </cell>
        </row>
        <row r="20564">
          <cell r="O20564" t="str">
            <v/>
          </cell>
        </row>
        <row r="20565">
          <cell r="O20565" t="str">
            <v/>
          </cell>
        </row>
        <row r="20566">
          <cell r="O20566" t="str">
            <v/>
          </cell>
        </row>
        <row r="20567">
          <cell r="O20567" t="str">
            <v/>
          </cell>
        </row>
        <row r="20568">
          <cell r="O20568" t="str">
            <v/>
          </cell>
        </row>
        <row r="20569">
          <cell r="O20569" t="str">
            <v/>
          </cell>
        </row>
        <row r="20570">
          <cell r="O20570" t="str">
            <v/>
          </cell>
        </row>
        <row r="20571">
          <cell r="O20571" t="str">
            <v/>
          </cell>
        </row>
        <row r="20572">
          <cell r="O20572" t="str">
            <v/>
          </cell>
        </row>
        <row r="20573">
          <cell r="O20573" t="str">
            <v/>
          </cell>
        </row>
        <row r="20574">
          <cell r="O20574" t="str">
            <v/>
          </cell>
        </row>
        <row r="20575">
          <cell r="O20575" t="str">
            <v/>
          </cell>
        </row>
        <row r="20576">
          <cell r="O20576" t="str">
            <v/>
          </cell>
        </row>
        <row r="20577">
          <cell r="O20577" t="str">
            <v/>
          </cell>
        </row>
        <row r="20578">
          <cell r="O20578" t="str">
            <v/>
          </cell>
        </row>
        <row r="20579">
          <cell r="O20579" t="str">
            <v/>
          </cell>
        </row>
        <row r="20580">
          <cell r="O20580" t="str">
            <v/>
          </cell>
        </row>
        <row r="20581">
          <cell r="O20581" t="str">
            <v/>
          </cell>
        </row>
        <row r="20582">
          <cell r="O20582" t="str">
            <v/>
          </cell>
        </row>
        <row r="20583">
          <cell r="O20583" t="str">
            <v/>
          </cell>
        </row>
        <row r="20584">
          <cell r="O20584" t="str">
            <v/>
          </cell>
        </row>
        <row r="20585">
          <cell r="O20585" t="str">
            <v/>
          </cell>
        </row>
        <row r="20586">
          <cell r="O20586" t="str">
            <v/>
          </cell>
        </row>
        <row r="20587">
          <cell r="O20587" t="str">
            <v/>
          </cell>
        </row>
        <row r="20588">
          <cell r="O20588" t="str">
            <v/>
          </cell>
        </row>
        <row r="20589">
          <cell r="O20589" t="str">
            <v/>
          </cell>
        </row>
        <row r="20590">
          <cell r="O20590" t="str">
            <v/>
          </cell>
        </row>
        <row r="20591">
          <cell r="O20591" t="str">
            <v/>
          </cell>
        </row>
        <row r="20592">
          <cell r="O20592" t="str">
            <v/>
          </cell>
        </row>
        <row r="20593">
          <cell r="O20593" t="str">
            <v/>
          </cell>
        </row>
        <row r="20594">
          <cell r="O20594" t="str">
            <v/>
          </cell>
        </row>
        <row r="20595">
          <cell r="O20595" t="str">
            <v/>
          </cell>
        </row>
        <row r="20596">
          <cell r="O20596" t="str">
            <v/>
          </cell>
        </row>
        <row r="20597">
          <cell r="O20597" t="str">
            <v/>
          </cell>
        </row>
        <row r="20598">
          <cell r="O20598" t="str">
            <v/>
          </cell>
        </row>
        <row r="20599">
          <cell r="O20599" t="str">
            <v/>
          </cell>
        </row>
        <row r="20600">
          <cell r="O20600" t="str">
            <v/>
          </cell>
        </row>
        <row r="20601">
          <cell r="O20601" t="str">
            <v/>
          </cell>
        </row>
        <row r="20602">
          <cell r="O20602" t="str">
            <v/>
          </cell>
        </row>
        <row r="20603">
          <cell r="O20603" t="str">
            <v/>
          </cell>
        </row>
        <row r="20604">
          <cell r="O20604" t="str">
            <v/>
          </cell>
        </row>
        <row r="20605">
          <cell r="O20605" t="str">
            <v/>
          </cell>
        </row>
        <row r="20606">
          <cell r="O20606" t="str">
            <v/>
          </cell>
        </row>
        <row r="20607">
          <cell r="O20607" t="str">
            <v/>
          </cell>
        </row>
        <row r="20608">
          <cell r="O20608" t="str">
            <v/>
          </cell>
        </row>
        <row r="20609">
          <cell r="O20609" t="str">
            <v/>
          </cell>
        </row>
        <row r="20610">
          <cell r="O20610" t="str">
            <v/>
          </cell>
        </row>
        <row r="20611">
          <cell r="O20611" t="str">
            <v/>
          </cell>
        </row>
        <row r="20612">
          <cell r="O20612" t="str">
            <v/>
          </cell>
        </row>
        <row r="20613">
          <cell r="O20613" t="str">
            <v/>
          </cell>
        </row>
        <row r="20614">
          <cell r="O20614" t="str">
            <v/>
          </cell>
        </row>
        <row r="20615">
          <cell r="O20615" t="str">
            <v/>
          </cell>
        </row>
        <row r="20616">
          <cell r="O20616" t="str">
            <v/>
          </cell>
        </row>
        <row r="20617">
          <cell r="O20617" t="str">
            <v/>
          </cell>
        </row>
        <row r="20618">
          <cell r="O20618" t="str">
            <v/>
          </cell>
        </row>
        <row r="20619">
          <cell r="O20619" t="str">
            <v/>
          </cell>
        </row>
        <row r="20620">
          <cell r="O20620" t="str">
            <v/>
          </cell>
        </row>
        <row r="20621">
          <cell r="O20621" t="str">
            <v/>
          </cell>
        </row>
        <row r="20622">
          <cell r="O20622" t="str">
            <v/>
          </cell>
        </row>
        <row r="20623">
          <cell r="O20623" t="str">
            <v/>
          </cell>
        </row>
        <row r="20624">
          <cell r="O20624" t="str">
            <v/>
          </cell>
        </row>
        <row r="20625">
          <cell r="O20625" t="str">
            <v/>
          </cell>
        </row>
        <row r="20626">
          <cell r="O20626" t="str">
            <v/>
          </cell>
        </row>
        <row r="20627">
          <cell r="O20627" t="str">
            <v/>
          </cell>
        </row>
        <row r="20628">
          <cell r="O20628" t="str">
            <v/>
          </cell>
        </row>
        <row r="20629">
          <cell r="O20629" t="str">
            <v/>
          </cell>
        </row>
        <row r="20630">
          <cell r="O20630" t="str">
            <v/>
          </cell>
        </row>
        <row r="20631">
          <cell r="O20631" t="str">
            <v/>
          </cell>
        </row>
        <row r="20632">
          <cell r="O20632" t="str">
            <v/>
          </cell>
        </row>
        <row r="20633">
          <cell r="O20633" t="str">
            <v/>
          </cell>
        </row>
        <row r="20634">
          <cell r="O20634" t="str">
            <v/>
          </cell>
        </row>
        <row r="20635">
          <cell r="O20635" t="str">
            <v/>
          </cell>
        </row>
        <row r="20636">
          <cell r="O20636" t="str">
            <v/>
          </cell>
        </row>
        <row r="20637">
          <cell r="O20637" t="str">
            <v/>
          </cell>
        </row>
        <row r="20638">
          <cell r="O20638" t="str">
            <v/>
          </cell>
        </row>
        <row r="20639">
          <cell r="O20639" t="str">
            <v/>
          </cell>
        </row>
        <row r="20640">
          <cell r="O20640" t="str">
            <v/>
          </cell>
        </row>
        <row r="20641">
          <cell r="O20641" t="str">
            <v/>
          </cell>
        </row>
        <row r="20642">
          <cell r="O20642" t="str">
            <v/>
          </cell>
        </row>
        <row r="20643">
          <cell r="O20643" t="str">
            <v/>
          </cell>
        </row>
        <row r="20644">
          <cell r="O20644" t="str">
            <v/>
          </cell>
        </row>
        <row r="20645">
          <cell r="O20645" t="str">
            <v/>
          </cell>
        </row>
        <row r="20646">
          <cell r="O20646" t="str">
            <v/>
          </cell>
        </row>
        <row r="20647">
          <cell r="O20647" t="str">
            <v/>
          </cell>
        </row>
        <row r="20648">
          <cell r="O20648" t="str">
            <v/>
          </cell>
        </row>
        <row r="20649">
          <cell r="O20649" t="str">
            <v/>
          </cell>
        </row>
        <row r="20650">
          <cell r="O20650" t="str">
            <v/>
          </cell>
        </row>
        <row r="20651">
          <cell r="O20651" t="str">
            <v/>
          </cell>
        </row>
        <row r="20652">
          <cell r="O20652" t="str">
            <v/>
          </cell>
        </row>
        <row r="20653">
          <cell r="O20653" t="str">
            <v/>
          </cell>
        </row>
        <row r="20654">
          <cell r="O20654" t="str">
            <v/>
          </cell>
        </row>
        <row r="20655">
          <cell r="O20655" t="str">
            <v/>
          </cell>
        </row>
        <row r="20656">
          <cell r="O20656" t="str">
            <v/>
          </cell>
        </row>
        <row r="20657">
          <cell r="O20657" t="str">
            <v/>
          </cell>
        </row>
        <row r="20658">
          <cell r="O20658" t="str">
            <v/>
          </cell>
        </row>
        <row r="20659">
          <cell r="O20659" t="str">
            <v/>
          </cell>
        </row>
        <row r="20660">
          <cell r="O20660" t="str">
            <v/>
          </cell>
        </row>
        <row r="20661">
          <cell r="O20661" t="str">
            <v/>
          </cell>
        </row>
        <row r="20662">
          <cell r="O20662" t="str">
            <v/>
          </cell>
        </row>
        <row r="20663">
          <cell r="O20663" t="str">
            <v/>
          </cell>
        </row>
        <row r="20664">
          <cell r="O20664" t="str">
            <v/>
          </cell>
        </row>
        <row r="20665">
          <cell r="O20665" t="str">
            <v/>
          </cell>
        </row>
        <row r="20666">
          <cell r="O20666" t="str">
            <v/>
          </cell>
        </row>
        <row r="20667">
          <cell r="O20667" t="str">
            <v/>
          </cell>
        </row>
        <row r="20668">
          <cell r="O20668" t="str">
            <v/>
          </cell>
        </row>
        <row r="20669">
          <cell r="O20669" t="str">
            <v/>
          </cell>
        </row>
        <row r="20670">
          <cell r="O20670" t="str">
            <v/>
          </cell>
        </row>
        <row r="20671">
          <cell r="O20671" t="str">
            <v/>
          </cell>
        </row>
        <row r="20672">
          <cell r="O20672" t="str">
            <v/>
          </cell>
        </row>
        <row r="20673">
          <cell r="O20673" t="str">
            <v/>
          </cell>
        </row>
        <row r="20674">
          <cell r="O20674" t="str">
            <v/>
          </cell>
        </row>
        <row r="20675">
          <cell r="O20675" t="str">
            <v/>
          </cell>
        </row>
        <row r="20676">
          <cell r="O20676" t="str">
            <v/>
          </cell>
        </row>
        <row r="20677">
          <cell r="O20677" t="str">
            <v/>
          </cell>
        </row>
        <row r="20678">
          <cell r="O20678" t="str">
            <v/>
          </cell>
        </row>
        <row r="20679">
          <cell r="O20679" t="str">
            <v/>
          </cell>
        </row>
        <row r="20680">
          <cell r="O20680" t="str">
            <v/>
          </cell>
        </row>
        <row r="20681">
          <cell r="O20681" t="str">
            <v/>
          </cell>
        </row>
        <row r="20682">
          <cell r="O20682" t="str">
            <v/>
          </cell>
        </row>
        <row r="20683">
          <cell r="O20683" t="str">
            <v/>
          </cell>
        </row>
        <row r="20684">
          <cell r="O20684" t="str">
            <v/>
          </cell>
        </row>
        <row r="20685">
          <cell r="O20685" t="str">
            <v/>
          </cell>
        </row>
        <row r="20686">
          <cell r="O20686" t="str">
            <v/>
          </cell>
        </row>
        <row r="20687">
          <cell r="O20687" t="str">
            <v/>
          </cell>
        </row>
        <row r="20688">
          <cell r="O20688" t="str">
            <v/>
          </cell>
        </row>
        <row r="20689">
          <cell r="O20689" t="str">
            <v/>
          </cell>
        </row>
        <row r="20690">
          <cell r="O20690" t="str">
            <v/>
          </cell>
        </row>
        <row r="20691">
          <cell r="O20691" t="str">
            <v/>
          </cell>
        </row>
        <row r="20692">
          <cell r="O20692" t="str">
            <v/>
          </cell>
        </row>
        <row r="20693">
          <cell r="O20693" t="str">
            <v/>
          </cell>
        </row>
        <row r="20694">
          <cell r="O20694" t="str">
            <v/>
          </cell>
        </row>
        <row r="20695">
          <cell r="O20695" t="str">
            <v/>
          </cell>
        </row>
        <row r="20696">
          <cell r="O20696" t="str">
            <v/>
          </cell>
        </row>
        <row r="20697">
          <cell r="O20697" t="str">
            <v/>
          </cell>
        </row>
        <row r="20698">
          <cell r="O20698" t="str">
            <v/>
          </cell>
        </row>
        <row r="20699">
          <cell r="O20699" t="str">
            <v/>
          </cell>
        </row>
        <row r="20700">
          <cell r="O20700" t="str">
            <v/>
          </cell>
        </row>
        <row r="20701">
          <cell r="O20701" t="str">
            <v/>
          </cell>
        </row>
        <row r="20702">
          <cell r="O20702" t="str">
            <v/>
          </cell>
        </row>
        <row r="20703">
          <cell r="O20703" t="str">
            <v/>
          </cell>
        </row>
        <row r="20704">
          <cell r="O20704" t="str">
            <v/>
          </cell>
        </row>
        <row r="20705">
          <cell r="O20705" t="str">
            <v/>
          </cell>
        </row>
        <row r="20706">
          <cell r="O20706" t="str">
            <v/>
          </cell>
        </row>
        <row r="20707">
          <cell r="O20707" t="str">
            <v/>
          </cell>
        </row>
        <row r="20708">
          <cell r="O20708" t="str">
            <v/>
          </cell>
        </row>
        <row r="20709">
          <cell r="O20709" t="str">
            <v/>
          </cell>
        </row>
        <row r="20710">
          <cell r="O20710" t="str">
            <v/>
          </cell>
        </row>
        <row r="20711">
          <cell r="O20711" t="str">
            <v/>
          </cell>
        </row>
        <row r="20712">
          <cell r="O20712" t="str">
            <v/>
          </cell>
        </row>
        <row r="20713">
          <cell r="O20713" t="str">
            <v/>
          </cell>
        </row>
        <row r="20714">
          <cell r="O20714" t="str">
            <v/>
          </cell>
        </row>
        <row r="20715">
          <cell r="O20715" t="str">
            <v/>
          </cell>
        </row>
        <row r="20716">
          <cell r="O20716" t="str">
            <v/>
          </cell>
        </row>
        <row r="20717">
          <cell r="O20717" t="str">
            <v/>
          </cell>
        </row>
        <row r="20718">
          <cell r="O20718" t="str">
            <v/>
          </cell>
        </row>
        <row r="20719">
          <cell r="O20719" t="str">
            <v/>
          </cell>
        </row>
        <row r="20720">
          <cell r="O20720" t="str">
            <v/>
          </cell>
        </row>
        <row r="20721">
          <cell r="O20721" t="str">
            <v/>
          </cell>
        </row>
        <row r="20722">
          <cell r="O20722" t="str">
            <v/>
          </cell>
        </row>
        <row r="20723">
          <cell r="O20723" t="str">
            <v/>
          </cell>
        </row>
        <row r="20724">
          <cell r="O20724" t="str">
            <v/>
          </cell>
        </row>
        <row r="20725">
          <cell r="O20725" t="str">
            <v/>
          </cell>
        </row>
        <row r="20726">
          <cell r="O20726" t="str">
            <v/>
          </cell>
        </row>
        <row r="20727">
          <cell r="O20727" t="str">
            <v/>
          </cell>
        </row>
        <row r="20728">
          <cell r="O20728" t="str">
            <v/>
          </cell>
        </row>
        <row r="20729">
          <cell r="O20729" t="str">
            <v/>
          </cell>
        </row>
        <row r="20730">
          <cell r="O20730" t="str">
            <v/>
          </cell>
        </row>
        <row r="20731">
          <cell r="O20731" t="str">
            <v/>
          </cell>
        </row>
        <row r="20732">
          <cell r="O20732" t="str">
            <v/>
          </cell>
        </row>
        <row r="20733">
          <cell r="O20733" t="str">
            <v/>
          </cell>
        </row>
        <row r="20734">
          <cell r="O20734" t="str">
            <v/>
          </cell>
        </row>
        <row r="20735">
          <cell r="O20735" t="str">
            <v/>
          </cell>
        </row>
        <row r="20736">
          <cell r="O20736" t="str">
            <v/>
          </cell>
        </row>
        <row r="20737">
          <cell r="O20737" t="str">
            <v/>
          </cell>
        </row>
        <row r="20738">
          <cell r="O20738" t="str">
            <v/>
          </cell>
        </row>
        <row r="20739">
          <cell r="O20739" t="str">
            <v/>
          </cell>
        </row>
        <row r="20740">
          <cell r="O20740" t="str">
            <v/>
          </cell>
        </row>
        <row r="20741">
          <cell r="O20741" t="str">
            <v/>
          </cell>
        </row>
        <row r="20742">
          <cell r="O20742" t="str">
            <v/>
          </cell>
        </row>
        <row r="20743">
          <cell r="O20743" t="str">
            <v/>
          </cell>
        </row>
        <row r="20744">
          <cell r="O20744" t="str">
            <v/>
          </cell>
        </row>
        <row r="20745">
          <cell r="O20745" t="str">
            <v/>
          </cell>
        </row>
        <row r="20746">
          <cell r="O20746" t="str">
            <v/>
          </cell>
        </row>
        <row r="20747">
          <cell r="O20747" t="str">
            <v/>
          </cell>
        </row>
        <row r="20748">
          <cell r="O20748" t="str">
            <v/>
          </cell>
        </row>
        <row r="20749">
          <cell r="O20749" t="str">
            <v/>
          </cell>
        </row>
        <row r="20750">
          <cell r="O20750" t="str">
            <v/>
          </cell>
        </row>
        <row r="20751">
          <cell r="O20751" t="str">
            <v/>
          </cell>
        </row>
        <row r="20752">
          <cell r="O20752" t="str">
            <v/>
          </cell>
        </row>
        <row r="20753">
          <cell r="O20753" t="str">
            <v/>
          </cell>
        </row>
        <row r="20754">
          <cell r="O20754" t="str">
            <v/>
          </cell>
        </row>
        <row r="20755">
          <cell r="O20755" t="str">
            <v/>
          </cell>
        </row>
        <row r="20756">
          <cell r="O20756" t="str">
            <v/>
          </cell>
        </row>
        <row r="20757">
          <cell r="O20757" t="str">
            <v/>
          </cell>
        </row>
        <row r="20758">
          <cell r="O20758" t="str">
            <v/>
          </cell>
        </row>
        <row r="20759">
          <cell r="O20759" t="str">
            <v/>
          </cell>
        </row>
        <row r="20760">
          <cell r="O20760" t="str">
            <v/>
          </cell>
        </row>
        <row r="20761">
          <cell r="O20761" t="str">
            <v/>
          </cell>
        </row>
        <row r="20762">
          <cell r="O20762" t="str">
            <v/>
          </cell>
        </row>
        <row r="20763">
          <cell r="O20763" t="str">
            <v/>
          </cell>
        </row>
        <row r="20764">
          <cell r="O20764" t="str">
            <v/>
          </cell>
        </row>
        <row r="20765">
          <cell r="O20765" t="str">
            <v/>
          </cell>
        </row>
        <row r="20766">
          <cell r="O20766" t="str">
            <v/>
          </cell>
        </row>
        <row r="20767">
          <cell r="O20767" t="str">
            <v/>
          </cell>
        </row>
        <row r="20768">
          <cell r="O20768" t="str">
            <v/>
          </cell>
        </row>
        <row r="20769">
          <cell r="O20769" t="str">
            <v/>
          </cell>
        </row>
        <row r="20770">
          <cell r="O20770" t="str">
            <v/>
          </cell>
        </row>
        <row r="20771">
          <cell r="O20771" t="str">
            <v/>
          </cell>
        </row>
        <row r="20772">
          <cell r="O20772" t="str">
            <v/>
          </cell>
        </row>
        <row r="20773">
          <cell r="O20773" t="str">
            <v/>
          </cell>
        </row>
        <row r="20774">
          <cell r="O20774" t="str">
            <v/>
          </cell>
        </row>
        <row r="20775">
          <cell r="O20775" t="str">
            <v/>
          </cell>
        </row>
        <row r="20776">
          <cell r="O20776" t="str">
            <v/>
          </cell>
        </row>
        <row r="20777">
          <cell r="O20777" t="str">
            <v/>
          </cell>
        </row>
        <row r="20778">
          <cell r="O20778" t="str">
            <v/>
          </cell>
        </row>
        <row r="20779">
          <cell r="O20779" t="str">
            <v/>
          </cell>
        </row>
        <row r="20780">
          <cell r="O20780" t="str">
            <v/>
          </cell>
        </row>
        <row r="20781">
          <cell r="O20781" t="str">
            <v/>
          </cell>
        </row>
        <row r="20782">
          <cell r="O20782" t="str">
            <v/>
          </cell>
        </row>
        <row r="20783">
          <cell r="O20783" t="str">
            <v/>
          </cell>
        </row>
        <row r="20784">
          <cell r="O20784" t="str">
            <v/>
          </cell>
        </row>
        <row r="20785">
          <cell r="O20785" t="str">
            <v/>
          </cell>
        </row>
        <row r="20786">
          <cell r="O20786" t="str">
            <v/>
          </cell>
        </row>
        <row r="20787">
          <cell r="O20787" t="str">
            <v/>
          </cell>
        </row>
        <row r="20788">
          <cell r="O20788" t="str">
            <v/>
          </cell>
        </row>
        <row r="20789">
          <cell r="O20789" t="str">
            <v/>
          </cell>
        </row>
        <row r="20790">
          <cell r="O20790" t="str">
            <v/>
          </cell>
        </row>
        <row r="20791">
          <cell r="O20791" t="str">
            <v/>
          </cell>
        </row>
        <row r="20792">
          <cell r="O20792" t="str">
            <v/>
          </cell>
        </row>
        <row r="20793">
          <cell r="O20793" t="str">
            <v/>
          </cell>
        </row>
        <row r="20794">
          <cell r="O20794" t="str">
            <v/>
          </cell>
        </row>
        <row r="20795">
          <cell r="O20795" t="str">
            <v/>
          </cell>
        </row>
        <row r="20796">
          <cell r="O20796" t="str">
            <v/>
          </cell>
        </row>
        <row r="20797">
          <cell r="O20797" t="str">
            <v/>
          </cell>
        </row>
        <row r="20798">
          <cell r="O20798" t="str">
            <v/>
          </cell>
        </row>
        <row r="20799">
          <cell r="O20799" t="str">
            <v/>
          </cell>
        </row>
        <row r="20800">
          <cell r="O20800" t="str">
            <v/>
          </cell>
        </row>
        <row r="20801">
          <cell r="O20801" t="str">
            <v/>
          </cell>
        </row>
        <row r="20802">
          <cell r="O20802" t="str">
            <v/>
          </cell>
        </row>
        <row r="20803">
          <cell r="O20803" t="str">
            <v/>
          </cell>
        </row>
        <row r="20804">
          <cell r="O20804" t="str">
            <v/>
          </cell>
        </row>
        <row r="20805">
          <cell r="O20805" t="str">
            <v/>
          </cell>
        </row>
        <row r="20806">
          <cell r="O20806" t="str">
            <v/>
          </cell>
        </row>
        <row r="20807">
          <cell r="O20807" t="str">
            <v/>
          </cell>
        </row>
        <row r="20808">
          <cell r="O20808" t="str">
            <v/>
          </cell>
        </row>
        <row r="20809">
          <cell r="O20809" t="str">
            <v/>
          </cell>
        </row>
        <row r="20810">
          <cell r="O20810" t="str">
            <v/>
          </cell>
        </row>
        <row r="20811">
          <cell r="O20811" t="str">
            <v/>
          </cell>
        </row>
        <row r="20812">
          <cell r="O20812" t="str">
            <v/>
          </cell>
        </row>
        <row r="20813">
          <cell r="O20813" t="str">
            <v/>
          </cell>
        </row>
        <row r="20814">
          <cell r="O20814" t="str">
            <v/>
          </cell>
        </row>
        <row r="20815">
          <cell r="O20815" t="str">
            <v/>
          </cell>
        </row>
        <row r="20816">
          <cell r="O20816" t="str">
            <v/>
          </cell>
        </row>
        <row r="20817">
          <cell r="O20817" t="str">
            <v/>
          </cell>
        </row>
        <row r="20818">
          <cell r="O20818" t="str">
            <v/>
          </cell>
        </row>
        <row r="20819">
          <cell r="O20819" t="str">
            <v/>
          </cell>
        </row>
        <row r="20820">
          <cell r="O20820" t="str">
            <v/>
          </cell>
        </row>
        <row r="20821">
          <cell r="O20821" t="str">
            <v/>
          </cell>
        </row>
        <row r="20822">
          <cell r="O20822" t="str">
            <v/>
          </cell>
        </row>
        <row r="20823">
          <cell r="O20823" t="str">
            <v/>
          </cell>
        </row>
        <row r="20824">
          <cell r="O20824" t="str">
            <v/>
          </cell>
        </row>
        <row r="20825">
          <cell r="O20825" t="str">
            <v/>
          </cell>
        </row>
        <row r="20826">
          <cell r="O20826" t="str">
            <v/>
          </cell>
        </row>
        <row r="20827">
          <cell r="O20827" t="str">
            <v/>
          </cell>
        </row>
        <row r="20828">
          <cell r="O20828" t="str">
            <v/>
          </cell>
        </row>
        <row r="20829">
          <cell r="O20829" t="str">
            <v/>
          </cell>
        </row>
        <row r="20830">
          <cell r="O20830" t="str">
            <v/>
          </cell>
        </row>
        <row r="20831">
          <cell r="O20831" t="str">
            <v/>
          </cell>
        </row>
        <row r="20832">
          <cell r="O20832" t="str">
            <v/>
          </cell>
        </row>
        <row r="20833">
          <cell r="O20833" t="str">
            <v/>
          </cell>
        </row>
        <row r="20834">
          <cell r="O20834" t="str">
            <v/>
          </cell>
        </row>
        <row r="20835">
          <cell r="O20835" t="str">
            <v/>
          </cell>
        </row>
        <row r="20836">
          <cell r="O20836" t="str">
            <v/>
          </cell>
        </row>
        <row r="20837">
          <cell r="O20837" t="str">
            <v/>
          </cell>
        </row>
        <row r="20838">
          <cell r="O20838" t="str">
            <v/>
          </cell>
        </row>
        <row r="20839">
          <cell r="O20839" t="str">
            <v/>
          </cell>
        </row>
        <row r="20840">
          <cell r="O20840" t="str">
            <v/>
          </cell>
        </row>
        <row r="20841">
          <cell r="O20841" t="str">
            <v/>
          </cell>
        </row>
        <row r="20842">
          <cell r="O20842" t="str">
            <v/>
          </cell>
        </row>
        <row r="20843">
          <cell r="O20843" t="str">
            <v/>
          </cell>
        </row>
        <row r="20844">
          <cell r="O20844" t="str">
            <v/>
          </cell>
        </row>
        <row r="20845">
          <cell r="O20845" t="str">
            <v/>
          </cell>
        </row>
        <row r="20846">
          <cell r="O20846" t="str">
            <v/>
          </cell>
        </row>
        <row r="20847">
          <cell r="O20847" t="str">
            <v/>
          </cell>
        </row>
        <row r="20848">
          <cell r="O20848" t="str">
            <v/>
          </cell>
        </row>
        <row r="20849">
          <cell r="O20849" t="str">
            <v/>
          </cell>
        </row>
        <row r="20850">
          <cell r="O20850" t="str">
            <v/>
          </cell>
        </row>
        <row r="20851">
          <cell r="O20851" t="str">
            <v/>
          </cell>
        </row>
        <row r="20852">
          <cell r="O20852" t="str">
            <v/>
          </cell>
        </row>
        <row r="20853">
          <cell r="O20853" t="str">
            <v/>
          </cell>
        </row>
        <row r="20854">
          <cell r="O20854" t="str">
            <v/>
          </cell>
        </row>
        <row r="20855">
          <cell r="O20855" t="str">
            <v/>
          </cell>
        </row>
        <row r="20856">
          <cell r="O20856" t="str">
            <v/>
          </cell>
        </row>
        <row r="20857">
          <cell r="O20857" t="str">
            <v/>
          </cell>
        </row>
        <row r="20858">
          <cell r="O20858" t="str">
            <v/>
          </cell>
        </row>
        <row r="20859">
          <cell r="O20859" t="str">
            <v/>
          </cell>
        </row>
        <row r="20860">
          <cell r="O20860" t="str">
            <v/>
          </cell>
        </row>
        <row r="20861">
          <cell r="O20861" t="str">
            <v/>
          </cell>
        </row>
        <row r="20862">
          <cell r="O20862" t="str">
            <v/>
          </cell>
        </row>
        <row r="20863">
          <cell r="O20863" t="str">
            <v/>
          </cell>
        </row>
        <row r="20864">
          <cell r="O20864" t="str">
            <v/>
          </cell>
        </row>
        <row r="20865">
          <cell r="O20865" t="str">
            <v/>
          </cell>
        </row>
        <row r="20866">
          <cell r="O20866" t="str">
            <v/>
          </cell>
        </row>
        <row r="20867">
          <cell r="O20867" t="str">
            <v/>
          </cell>
        </row>
        <row r="20868">
          <cell r="O20868" t="str">
            <v/>
          </cell>
        </row>
        <row r="20869">
          <cell r="O20869" t="str">
            <v/>
          </cell>
        </row>
        <row r="20870">
          <cell r="O20870" t="str">
            <v/>
          </cell>
        </row>
        <row r="20871">
          <cell r="O20871" t="str">
            <v/>
          </cell>
        </row>
        <row r="20872">
          <cell r="O20872" t="str">
            <v/>
          </cell>
        </row>
        <row r="20873">
          <cell r="O20873" t="str">
            <v/>
          </cell>
        </row>
        <row r="20874">
          <cell r="O20874" t="str">
            <v/>
          </cell>
        </row>
        <row r="20875">
          <cell r="O20875" t="str">
            <v/>
          </cell>
        </row>
        <row r="20876">
          <cell r="O20876" t="str">
            <v/>
          </cell>
        </row>
        <row r="20877">
          <cell r="O20877" t="str">
            <v/>
          </cell>
        </row>
        <row r="20878">
          <cell r="O20878" t="str">
            <v/>
          </cell>
        </row>
        <row r="20879">
          <cell r="O20879" t="str">
            <v/>
          </cell>
        </row>
        <row r="20880">
          <cell r="O20880" t="str">
            <v/>
          </cell>
        </row>
        <row r="20881">
          <cell r="O20881" t="str">
            <v/>
          </cell>
        </row>
        <row r="20882">
          <cell r="O20882" t="str">
            <v/>
          </cell>
        </row>
        <row r="20883">
          <cell r="O20883" t="str">
            <v/>
          </cell>
        </row>
        <row r="20884">
          <cell r="O20884" t="str">
            <v/>
          </cell>
        </row>
        <row r="20885">
          <cell r="O20885" t="str">
            <v/>
          </cell>
        </row>
        <row r="20886">
          <cell r="O20886" t="str">
            <v/>
          </cell>
        </row>
        <row r="20887">
          <cell r="O20887" t="str">
            <v/>
          </cell>
        </row>
        <row r="20888">
          <cell r="O20888" t="str">
            <v/>
          </cell>
        </row>
        <row r="20889">
          <cell r="O20889" t="str">
            <v/>
          </cell>
        </row>
        <row r="20890">
          <cell r="O20890" t="str">
            <v/>
          </cell>
        </row>
        <row r="20891">
          <cell r="O20891" t="str">
            <v/>
          </cell>
        </row>
        <row r="20892">
          <cell r="O20892" t="str">
            <v/>
          </cell>
        </row>
        <row r="20893">
          <cell r="O20893" t="str">
            <v/>
          </cell>
        </row>
        <row r="20894">
          <cell r="O20894" t="str">
            <v/>
          </cell>
        </row>
        <row r="20895">
          <cell r="O20895" t="str">
            <v/>
          </cell>
        </row>
        <row r="20896">
          <cell r="O20896" t="str">
            <v/>
          </cell>
        </row>
        <row r="20897">
          <cell r="O20897" t="str">
            <v/>
          </cell>
        </row>
        <row r="20898">
          <cell r="O20898" t="str">
            <v/>
          </cell>
        </row>
        <row r="20899">
          <cell r="O20899" t="str">
            <v/>
          </cell>
        </row>
        <row r="20900">
          <cell r="O20900" t="str">
            <v/>
          </cell>
        </row>
        <row r="20901">
          <cell r="O20901" t="str">
            <v/>
          </cell>
        </row>
        <row r="20902">
          <cell r="O20902" t="str">
            <v/>
          </cell>
        </row>
        <row r="20903">
          <cell r="O20903" t="str">
            <v/>
          </cell>
        </row>
        <row r="20904">
          <cell r="O20904" t="str">
            <v/>
          </cell>
        </row>
        <row r="20905">
          <cell r="O20905" t="str">
            <v/>
          </cell>
        </row>
        <row r="20906">
          <cell r="O20906" t="str">
            <v/>
          </cell>
        </row>
        <row r="20907">
          <cell r="O20907" t="str">
            <v/>
          </cell>
        </row>
        <row r="20908">
          <cell r="O20908" t="str">
            <v/>
          </cell>
        </row>
        <row r="20909">
          <cell r="O20909" t="str">
            <v/>
          </cell>
        </row>
        <row r="20910">
          <cell r="O20910" t="str">
            <v/>
          </cell>
        </row>
        <row r="20911">
          <cell r="O20911" t="str">
            <v/>
          </cell>
        </row>
        <row r="20912">
          <cell r="O20912" t="str">
            <v/>
          </cell>
        </row>
        <row r="20913">
          <cell r="O20913" t="str">
            <v/>
          </cell>
        </row>
        <row r="20914">
          <cell r="O20914" t="str">
            <v/>
          </cell>
        </row>
        <row r="20915">
          <cell r="O20915" t="str">
            <v/>
          </cell>
        </row>
        <row r="20916">
          <cell r="O20916" t="str">
            <v/>
          </cell>
        </row>
        <row r="20917">
          <cell r="O20917" t="str">
            <v/>
          </cell>
        </row>
        <row r="20918">
          <cell r="O20918" t="str">
            <v/>
          </cell>
        </row>
        <row r="20919">
          <cell r="O20919" t="str">
            <v/>
          </cell>
        </row>
        <row r="20920">
          <cell r="O20920" t="str">
            <v/>
          </cell>
        </row>
        <row r="20921">
          <cell r="O20921" t="str">
            <v/>
          </cell>
        </row>
        <row r="20922">
          <cell r="O20922" t="str">
            <v/>
          </cell>
        </row>
        <row r="20923">
          <cell r="O20923" t="str">
            <v/>
          </cell>
        </row>
        <row r="20924">
          <cell r="O20924" t="str">
            <v/>
          </cell>
        </row>
        <row r="20925">
          <cell r="O20925" t="str">
            <v/>
          </cell>
        </row>
        <row r="20926">
          <cell r="O20926" t="str">
            <v/>
          </cell>
        </row>
        <row r="20927">
          <cell r="O20927" t="str">
            <v/>
          </cell>
        </row>
        <row r="20928">
          <cell r="O20928" t="str">
            <v/>
          </cell>
        </row>
        <row r="20929">
          <cell r="O20929" t="str">
            <v/>
          </cell>
        </row>
        <row r="20930">
          <cell r="O20930" t="str">
            <v/>
          </cell>
        </row>
        <row r="20931">
          <cell r="O20931" t="str">
            <v/>
          </cell>
        </row>
        <row r="20932">
          <cell r="O20932" t="str">
            <v/>
          </cell>
        </row>
        <row r="20933">
          <cell r="O20933" t="str">
            <v/>
          </cell>
        </row>
        <row r="20934">
          <cell r="O20934" t="str">
            <v/>
          </cell>
        </row>
        <row r="20935">
          <cell r="O20935" t="str">
            <v/>
          </cell>
        </row>
        <row r="20936">
          <cell r="O20936" t="str">
            <v/>
          </cell>
        </row>
        <row r="20937">
          <cell r="O20937" t="str">
            <v/>
          </cell>
        </row>
        <row r="20938">
          <cell r="O20938" t="str">
            <v/>
          </cell>
        </row>
        <row r="20939">
          <cell r="O20939" t="str">
            <v/>
          </cell>
        </row>
        <row r="20940">
          <cell r="O20940" t="str">
            <v/>
          </cell>
        </row>
        <row r="20941">
          <cell r="O20941" t="str">
            <v/>
          </cell>
        </row>
        <row r="20942">
          <cell r="O20942" t="str">
            <v/>
          </cell>
        </row>
        <row r="20943">
          <cell r="O20943" t="str">
            <v/>
          </cell>
        </row>
        <row r="20944">
          <cell r="O20944" t="str">
            <v/>
          </cell>
        </row>
        <row r="20945">
          <cell r="O20945" t="str">
            <v/>
          </cell>
        </row>
        <row r="20946">
          <cell r="O20946" t="str">
            <v/>
          </cell>
        </row>
        <row r="20947">
          <cell r="O20947" t="str">
            <v/>
          </cell>
        </row>
        <row r="20948">
          <cell r="O20948" t="str">
            <v/>
          </cell>
        </row>
        <row r="20949">
          <cell r="O20949" t="str">
            <v/>
          </cell>
        </row>
        <row r="20950">
          <cell r="O20950" t="str">
            <v/>
          </cell>
        </row>
        <row r="20951">
          <cell r="O20951" t="str">
            <v/>
          </cell>
        </row>
        <row r="20952">
          <cell r="O20952" t="str">
            <v/>
          </cell>
        </row>
        <row r="20953">
          <cell r="O20953" t="str">
            <v/>
          </cell>
        </row>
        <row r="20954">
          <cell r="O20954" t="str">
            <v/>
          </cell>
        </row>
        <row r="20955">
          <cell r="O20955" t="str">
            <v/>
          </cell>
        </row>
        <row r="20956">
          <cell r="O20956" t="str">
            <v/>
          </cell>
        </row>
        <row r="20957">
          <cell r="O20957" t="str">
            <v/>
          </cell>
        </row>
        <row r="20958">
          <cell r="O20958" t="str">
            <v/>
          </cell>
        </row>
        <row r="20959">
          <cell r="O20959" t="str">
            <v/>
          </cell>
        </row>
        <row r="20960">
          <cell r="O20960" t="str">
            <v/>
          </cell>
        </row>
        <row r="20961">
          <cell r="O20961" t="str">
            <v/>
          </cell>
        </row>
        <row r="20962">
          <cell r="O20962" t="str">
            <v/>
          </cell>
        </row>
        <row r="20963">
          <cell r="O20963" t="str">
            <v/>
          </cell>
        </row>
        <row r="20964">
          <cell r="O20964" t="str">
            <v/>
          </cell>
        </row>
        <row r="20965">
          <cell r="O20965" t="str">
            <v/>
          </cell>
        </row>
        <row r="20966">
          <cell r="O20966" t="str">
            <v/>
          </cell>
        </row>
        <row r="20967">
          <cell r="O20967" t="str">
            <v/>
          </cell>
        </row>
        <row r="20968">
          <cell r="O20968" t="str">
            <v/>
          </cell>
        </row>
        <row r="20969">
          <cell r="O20969" t="str">
            <v/>
          </cell>
        </row>
        <row r="20970">
          <cell r="O20970" t="str">
            <v/>
          </cell>
        </row>
        <row r="20971">
          <cell r="O20971" t="str">
            <v/>
          </cell>
        </row>
        <row r="20972">
          <cell r="O20972" t="str">
            <v/>
          </cell>
        </row>
        <row r="20973">
          <cell r="O20973" t="str">
            <v/>
          </cell>
        </row>
        <row r="20974">
          <cell r="O20974" t="str">
            <v/>
          </cell>
        </row>
        <row r="20975">
          <cell r="O20975" t="str">
            <v/>
          </cell>
        </row>
        <row r="20976">
          <cell r="O20976" t="str">
            <v/>
          </cell>
        </row>
        <row r="20977">
          <cell r="O20977" t="str">
            <v/>
          </cell>
        </row>
        <row r="20978">
          <cell r="O20978" t="str">
            <v/>
          </cell>
        </row>
        <row r="20979">
          <cell r="O20979" t="str">
            <v/>
          </cell>
        </row>
        <row r="20980">
          <cell r="O20980" t="str">
            <v/>
          </cell>
        </row>
        <row r="20981">
          <cell r="O20981" t="str">
            <v/>
          </cell>
        </row>
        <row r="20982">
          <cell r="O20982" t="str">
            <v/>
          </cell>
        </row>
        <row r="20983">
          <cell r="O20983" t="str">
            <v/>
          </cell>
        </row>
        <row r="20984">
          <cell r="O20984" t="str">
            <v/>
          </cell>
        </row>
        <row r="20985">
          <cell r="O20985" t="str">
            <v/>
          </cell>
        </row>
        <row r="20986">
          <cell r="O20986" t="str">
            <v/>
          </cell>
        </row>
        <row r="20987">
          <cell r="O20987" t="str">
            <v/>
          </cell>
        </row>
        <row r="20988">
          <cell r="O20988" t="str">
            <v/>
          </cell>
        </row>
        <row r="20989">
          <cell r="O20989" t="str">
            <v/>
          </cell>
        </row>
        <row r="20990">
          <cell r="O20990" t="str">
            <v/>
          </cell>
        </row>
        <row r="20991">
          <cell r="O20991" t="str">
            <v/>
          </cell>
        </row>
        <row r="20992">
          <cell r="O20992" t="str">
            <v/>
          </cell>
        </row>
        <row r="20993">
          <cell r="O20993" t="str">
            <v/>
          </cell>
        </row>
        <row r="20994">
          <cell r="O20994" t="str">
            <v/>
          </cell>
        </row>
        <row r="20995">
          <cell r="O20995" t="str">
            <v/>
          </cell>
        </row>
        <row r="20996">
          <cell r="O20996" t="str">
            <v/>
          </cell>
        </row>
        <row r="20997">
          <cell r="O20997" t="str">
            <v/>
          </cell>
        </row>
        <row r="20998">
          <cell r="O20998" t="str">
            <v/>
          </cell>
        </row>
        <row r="20999">
          <cell r="O20999" t="str">
            <v/>
          </cell>
        </row>
        <row r="21000">
          <cell r="O21000" t="str">
            <v/>
          </cell>
        </row>
        <row r="21001">
          <cell r="O21001" t="str">
            <v/>
          </cell>
        </row>
        <row r="21002">
          <cell r="O21002" t="str">
            <v/>
          </cell>
        </row>
        <row r="21003">
          <cell r="O21003" t="str">
            <v/>
          </cell>
        </row>
        <row r="21004">
          <cell r="O21004" t="str">
            <v/>
          </cell>
        </row>
        <row r="21005">
          <cell r="O21005" t="str">
            <v/>
          </cell>
        </row>
        <row r="21006">
          <cell r="O21006" t="str">
            <v/>
          </cell>
        </row>
        <row r="21007">
          <cell r="O21007" t="str">
            <v/>
          </cell>
        </row>
        <row r="21008">
          <cell r="O21008" t="str">
            <v/>
          </cell>
        </row>
        <row r="21009">
          <cell r="O21009" t="str">
            <v/>
          </cell>
        </row>
        <row r="21010">
          <cell r="O21010" t="str">
            <v/>
          </cell>
        </row>
        <row r="21011">
          <cell r="O21011" t="str">
            <v/>
          </cell>
        </row>
        <row r="21012">
          <cell r="O21012" t="str">
            <v/>
          </cell>
        </row>
        <row r="21013">
          <cell r="O21013" t="str">
            <v/>
          </cell>
        </row>
        <row r="21014">
          <cell r="O21014" t="str">
            <v/>
          </cell>
        </row>
        <row r="21015">
          <cell r="O21015" t="str">
            <v/>
          </cell>
        </row>
        <row r="21016">
          <cell r="O21016" t="str">
            <v/>
          </cell>
        </row>
        <row r="21017">
          <cell r="O21017" t="str">
            <v/>
          </cell>
        </row>
        <row r="21018">
          <cell r="O21018" t="str">
            <v/>
          </cell>
        </row>
        <row r="21019">
          <cell r="O21019" t="str">
            <v/>
          </cell>
        </row>
        <row r="21020">
          <cell r="O21020" t="str">
            <v/>
          </cell>
        </row>
        <row r="21021">
          <cell r="O21021" t="str">
            <v/>
          </cell>
        </row>
        <row r="21022">
          <cell r="O21022" t="str">
            <v/>
          </cell>
        </row>
        <row r="21023">
          <cell r="O21023" t="str">
            <v/>
          </cell>
        </row>
        <row r="21024">
          <cell r="O21024" t="str">
            <v/>
          </cell>
        </row>
        <row r="21025">
          <cell r="O21025" t="str">
            <v/>
          </cell>
        </row>
        <row r="21026">
          <cell r="O21026" t="str">
            <v/>
          </cell>
        </row>
        <row r="21027">
          <cell r="O21027" t="str">
            <v/>
          </cell>
        </row>
        <row r="21028">
          <cell r="O21028" t="str">
            <v/>
          </cell>
        </row>
        <row r="21029">
          <cell r="O21029" t="str">
            <v/>
          </cell>
        </row>
        <row r="21030">
          <cell r="O21030" t="str">
            <v/>
          </cell>
        </row>
        <row r="21031">
          <cell r="O21031" t="str">
            <v/>
          </cell>
        </row>
        <row r="21032">
          <cell r="O21032" t="str">
            <v/>
          </cell>
        </row>
        <row r="21033">
          <cell r="O21033" t="str">
            <v/>
          </cell>
        </row>
        <row r="21034">
          <cell r="O21034" t="str">
            <v/>
          </cell>
        </row>
        <row r="21035">
          <cell r="O21035" t="str">
            <v/>
          </cell>
        </row>
        <row r="21036">
          <cell r="O21036" t="str">
            <v/>
          </cell>
        </row>
        <row r="21037">
          <cell r="O21037" t="str">
            <v/>
          </cell>
        </row>
        <row r="21038">
          <cell r="O21038" t="str">
            <v/>
          </cell>
        </row>
        <row r="21039">
          <cell r="O21039" t="str">
            <v/>
          </cell>
        </row>
        <row r="21040">
          <cell r="O21040" t="str">
            <v/>
          </cell>
        </row>
        <row r="21041">
          <cell r="O21041" t="str">
            <v/>
          </cell>
        </row>
        <row r="21042">
          <cell r="O21042" t="str">
            <v/>
          </cell>
        </row>
        <row r="21043">
          <cell r="O21043" t="str">
            <v/>
          </cell>
        </row>
        <row r="21044">
          <cell r="O21044" t="str">
            <v/>
          </cell>
        </row>
        <row r="21045">
          <cell r="O21045" t="str">
            <v/>
          </cell>
        </row>
        <row r="21046">
          <cell r="O21046" t="str">
            <v/>
          </cell>
        </row>
        <row r="21047">
          <cell r="O21047" t="str">
            <v/>
          </cell>
        </row>
        <row r="21048">
          <cell r="O21048" t="str">
            <v/>
          </cell>
        </row>
        <row r="21049">
          <cell r="O21049" t="str">
            <v/>
          </cell>
        </row>
        <row r="21050">
          <cell r="O21050" t="str">
            <v/>
          </cell>
        </row>
        <row r="21051">
          <cell r="O21051" t="str">
            <v/>
          </cell>
        </row>
        <row r="21052">
          <cell r="O21052" t="str">
            <v/>
          </cell>
        </row>
        <row r="21053">
          <cell r="O21053" t="str">
            <v/>
          </cell>
        </row>
        <row r="21054">
          <cell r="O21054" t="str">
            <v/>
          </cell>
        </row>
        <row r="21055">
          <cell r="O21055" t="str">
            <v/>
          </cell>
        </row>
        <row r="21056">
          <cell r="O21056" t="str">
            <v/>
          </cell>
        </row>
        <row r="21057">
          <cell r="O21057" t="str">
            <v/>
          </cell>
        </row>
        <row r="21058">
          <cell r="O21058" t="str">
            <v/>
          </cell>
        </row>
        <row r="21059">
          <cell r="O21059" t="str">
            <v/>
          </cell>
        </row>
        <row r="21060">
          <cell r="O21060" t="str">
            <v/>
          </cell>
        </row>
        <row r="21061">
          <cell r="O21061" t="str">
            <v/>
          </cell>
        </row>
        <row r="21062">
          <cell r="O21062" t="str">
            <v/>
          </cell>
        </row>
        <row r="21063">
          <cell r="O21063" t="str">
            <v/>
          </cell>
        </row>
        <row r="21064">
          <cell r="O21064" t="str">
            <v/>
          </cell>
        </row>
        <row r="21065">
          <cell r="O21065" t="str">
            <v/>
          </cell>
        </row>
        <row r="21066">
          <cell r="O21066" t="str">
            <v/>
          </cell>
        </row>
        <row r="21067">
          <cell r="O21067" t="str">
            <v/>
          </cell>
        </row>
        <row r="21068">
          <cell r="O21068" t="str">
            <v/>
          </cell>
        </row>
        <row r="21069">
          <cell r="O21069" t="str">
            <v/>
          </cell>
        </row>
        <row r="21070">
          <cell r="O21070" t="str">
            <v/>
          </cell>
        </row>
        <row r="21071">
          <cell r="O21071" t="str">
            <v/>
          </cell>
        </row>
        <row r="21072">
          <cell r="O21072" t="str">
            <v/>
          </cell>
        </row>
        <row r="21073">
          <cell r="O21073" t="str">
            <v/>
          </cell>
        </row>
        <row r="21074">
          <cell r="O21074" t="str">
            <v/>
          </cell>
        </row>
        <row r="21075">
          <cell r="O21075" t="str">
            <v/>
          </cell>
        </row>
        <row r="21076">
          <cell r="O21076" t="str">
            <v/>
          </cell>
        </row>
        <row r="21077">
          <cell r="O21077" t="str">
            <v/>
          </cell>
        </row>
        <row r="21078">
          <cell r="O21078" t="str">
            <v/>
          </cell>
        </row>
        <row r="21079">
          <cell r="O21079" t="str">
            <v/>
          </cell>
        </row>
        <row r="21080">
          <cell r="O21080" t="str">
            <v/>
          </cell>
        </row>
        <row r="21081">
          <cell r="O21081" t="str">
            <v/>
          </cell>
        </row>
        <row r="21082">
          <cell r="O21082" t="str">
            <v/>
          </cell>
        </row>
        <row r="21083">
          <cell r="O21083" t="str">
            <v/>
          </cell>
        </row>
        <row r="21084">
          <cell r="O21084" t="str">
            <v/>
          </cell>
        </row>
        <row r="21085">
          <cell r="O21085" t="str">
            <v/>
          </cell>
        </row>
        <row r="21086">
          <cell r="O21086" t="str">
            <v/>
          </cell>
        </row>
        <row r="21087">
          <cell r="O21087" t="str">
            <v/>
          </cell>
        </row>
        <row r="21088">
          <cell r="O21088" t="str">
            <v/>
          </cell>
        </row>
        <row r="21089">
          <cell r="O21089" t="str">
            <v/>
          </cell>
        </row>
        <row r="21090">
          <cell r="O21090" t="str">
            <v/>
          </cell>
        </row>
        <row r="21091">
          <cell r="O21091" t="str">
            <v/>
          </cell>
        </row>
        <row r="21092">
          <cell r="O21092" t="str">
            <v/>
          </cell>
        </row>
        <row r="21093">
          <cell r="O21093" t="str">
            <v/>
          </cell>
        </row>
        <row r="21094">
          <cell r="O21094" t="str">
            <v/>
          </cell>
        </row>
        <row r="21095">
          <cell r="O21095" t="str">
            <v/>
          </cell>
        </row>
        <row r="21096">
          <cell r="O21096" t="str">
            <v/>
          </cell>
        </row>
        <row r="21097">
          <cell r="O21097" t="str">
            <v/>
          </cell>
        </row>
        <row r="21098">
          <cell r="O21098" t="str">
            <v/>
          </cell>
        </row>
        <row r="21099">
          <cell r="O21099" t="str">
            <v/>
          </cell>
        </row>
        <row r="21100">
          <cell r="O21100" t="str">
            <v/>
          </cell>
        </row>
        <row r="21101">
          <cell r="O21101" t="str">
            <v/>
          </cell>
        </row>
        <row r="21102">
          <cell r="O21102" t="str">
            <v/>
          </cell>
        </row>
        <row r="21103">
          <cell r="O21103" t="str">
            <v/>
          </cell>
        </row>
        <row r="21104">
          <cell r="O21104" t="str">
            <v/>
          </cell>
        </row>
        <row r="21105">
          <cell r="O21105" t="str">
            <v/>
          </cell>
        </row>
        <row r="21106">
          <cell r="O21106" t="str">
            <v/>
          </cell>
        </row>
        <row r="21107">
          <cell r="O21107" t="str">
            <v/>
          </cell>
        </row>
        <row r="21108">
          <cell r="O21108" t="str">
            <v/>
          </cell>
        </row>
        <row r="21109">
          <cell r="O21109" t="str">
            <v/>
          </cell>
        </row>
        <row r="21110">
          <cell r="O21110" t="str">
            <v/>
          </cell>
        </row>
        <row r="21111">
          <cell r="O21111" t="str">
            <v/>
          </cell>
        </row>
        <row r="21112">
          <cell r="O21112" t="str">
            <v/>
          </cell>
        </row>
        <row r="21113">
          <cell r="O21113" t="str">
            <v/>
          </cell>
        </row>
        <row r="21114">
          <cell r="O21114" t="str">
            <v/>
          </cell>
        </row>
        <row r="21115">
          <cell r="O21115" t="str">
            <v/>
          </cell>
        </row>
        <row r="21116">
          <cell r="O21116" t="str">
            <v/>
          </cell>
        </row>
        <row r="21117">
          <cell r="O21117" t="str">
            <v/>
          </cell>
        </row>
        <row r="21118">
          <cell r="O21118" t="str">
            <v/>
          </cell>
        </row>
        <row r="21119">
          <cell r="O21119" t="str">
            <v/>
          </cell>
        </row>
        <row r="21120">
          <cell r="O21120" t="str">
            <v/>
          </cell>
        </row>
        <row r="21121">
          <cell r="O21121" t="str">
            <v/>
          </cell>
        </row>
        <row r="21122">
          <cell r="O21122" t="str">
            <v/>
          </cell>
        </row>
        <row r="21123">
          <cell r="O21123" t="str">
            <v/>
          </cell>
        </row>
        <row r="21124">
          <cell r="O21124" t="str">
            <v/>
          </cell>
        </row>
        <row r="21125">
          <cell r="O21125" t="str">
            <v/>
          </cell>
        </row>
        <row r="21126">
          <cell r="O21126" t="str">
            <v/>
          </cell>
        </row>
        <row r="21127">
          <cell r="O21127" t="str">
            <v/>
          </cell>
        </row>
        <row r="21128">
          <cell r="O21128" t="str">
            <v/>
          </cell>
        </row>
        <row r="21129">
          <cell r="O21129" t="str">
            <v/>
          </cell>
        </row>
        <row r="21130">
          <cell r="O21130" t="str">
            <v/>
          </cell>
        </row>
        <row r="21131">
          <cell r="O21131" t="str">
            <v/>
          </cell>
        </row>
        <row r="21132">
          <cell r="O21132" t="str">
            <v/>
          </cell>
        </row>
        <row r="21133">
          <cell r="O21133" t="str">
            <v/>
          </cell>
        </row>
        <row r="21134">
          <cell r="O21134" t="str">
            <v/>
          </cell>
        </row>
        <row r="21135">
          <cell r="O21135" t="str">
            <v/>
          </cell>
        </row>
        <row r="21136">
          <cell r="O21136" t="str">
            <v/>
          </cell>
        </row>
        <row r="21137">
          <cell r="O21137" t="str">
            <v/>
          </cell>
        </row>
        <row r="21138">
          <cell r="O21138" t="str">
            <v/>
          </cell>
        </row>
        <row r="21139">
          <cell r="O21139" t="str">
            <v/>
          </cell>
        </row>
        <row r="21140">
          <cell r="O21140" t="str">
            <v/>
          </cell>
        </row>
        <row r="21141">
          <cell r="O21141" t="str">
            <v/>
          </cell>
        </row>
        <row r="21142">
          <cell r="O21142" t="str">
            <v/>
          </cell>
        </row>
        <row r="21143">
          <cell r="O21143" t="str">
            <v/>
          </cell>
        </row>
        <row r="21144">
          <cell r="O21144" t="str">
            <v/>
          </cell>
        </row>
        <row r="21145">
          <cell r="O21145" t="str">
            <v/>
          </cell>
        </row>
        <row r="21146">
          <cell r="O21146" t="str">
            <v/>
          </cell>
        </row>
        <row r="21147">
          <cell r="O21147" t="str">
            <v/>
          </cell>
        </row>
        <row r="21148">
          <cell r="O21148" t="str">
            <v/>
          </cell>
        </row>
        <row r="21149">
          <cell r="O21149" t="str">
            <v/>
          </cell>
        </row>
        <row r="21150">
          <cell r="O21150" t="str">
            <v/>
          </cell>
        </row>
        <row r="21151">
          <cell r="O21151" t="str">
            <v/>
          </cell>
        </row>
        <row r="21152">
          <cell r="O21152" t="str">
            <v/>
          </cell>
        </row>
        <row r="21153">
          <cell r="O21153" t="str">
            <v/>
          </cell>
        </row>
        <row r="21154">
          <cell r="O21154" t="str">
            <v/>
          </cell>
        </row>
        <row r="21155">
          <cell r="O21155" t="str">
            <v/>
          </cell>
        </row>
        <row r="21156">
          <cell r="O21156" t="str">
            <v/>
          </cell>
        </row>
        <row r="21157">
          <cell r="O21157" t="str">
            <v/>
          </cell>
        </row>
        <row r="21158">
          <cell r="O21158" t="str">
            <v/>
          </cell>
        </row>
        <row r="21159">
          <cell r="O21159" t="str">
            <v/>
          </cell>
        </row>
        <row r="21160">
          <cell r="O21160" t="str">
            <v/>
          </cell>
        </row>
        <row r="21161">
          <cell r="O21161" t="str">
            <v/>
          </cell>
        </row>
        <row r="21162">
          <cell r="O21162" t="str">
            <v/>
          </cell>
        </row>
        <row r="21163">
          <cell r="O21163" t="str">
            <v/>
          </cell>
        </row>
        <row r="21164">
          <cell r="O21164" t="str">
            <v/>
          </cell>
        </row>
        <row r="21165">
          <cell r="O21165" t="str">
            <v/>
          </cell>
        </row>
        <row r="21166">
          <cell r="O21166" t="str">
            <v/>
          </cell>
        </row>
        <row r="21167">
          <cell r="O21167" t="str">
            <v/>
          </cell>
        </row>
        <row r="21168">
          <cell r="O21168" t="str">
            <v/>
          </cell>
        </row>
        <row r="21169">
          <cell r="O21169" t="str">
            <v/>
          </cell>
        </row>
        <row r="21170">
          <cell r="O21170" t="str">
            <v/>
          </cell>
        </row>
        <row r="21171">
          <cell r="O21171" t="str">
            <v/>
          </cell>
        </row>
        <row r="21172">
          <cell r="O21172" t="str">
            <v/>
          </cell>
        </row>
        <row r="21173">
          <cell r="O21173" t="str">
            <v/>
          </cell>
        </row>
        <row r="21174">
          <cell r="O21174" t="str">
            <v/>
          </cell>
        </row>
        <row r="21175">
          <cell r="O21175" t="str">
            <v/>
          </cell>
        </row>
        <row r="21176">
          <cell r="O21176" t="str">
            <v/>
          </cell>
        </row>
        <row r="21177">
          <cell r="O21177" t="str">
            <v/>
          </cell>
        </row>
        <row r="21178">
          <cell r="O21178" t="str">
            <v/>
          </cell>
        </row>
        <row r="21179">
          <cell r="O21179" t="str">
            <v/>
          </cell>
        </row>
        <row r="21180">
          <cell r="O21180" t="str">
            <v/>
          </cell>
        </row>
        <row r="21181">
          <cell r="O21181" t="str">
            <v/>
          </cell>
        </row>
        <row r="21182">
          <cell r="O21182" t="str">
            <v/>
          </cell>
        </row>
        <row r="21183">
          <cell r="O21183" t="str">
            <v/>
          </cell>
        </row>
        <row r="21184">
          <cell r="O21184" t="str">
            <v/>
          </cell>
        </row>
        <row r="21185">
          <cell r="O21185" t="str">
            <v/>
          </cell>
        </row>
        <row r="21186">
          <cell r="O21186" t="str">
            <v/>
          </cell>
        </row>
        <row r="21187">
          <cell r="O21187" t="str">
            <v/>
          </cell>
        </row>
        <row r="21188">
          <cell r="O21188" t="str">
            <v/>
          </cell>
        </row>
        <row r="21189">
          <cell r="O21189" t="str">
            <v/>
          </cell>
        </row>
        <row r="21190">
          <cell r="O21190" t="str">
            <v/>
          </cell>
        </row>
        <row r="21191">
          <cell r="O21191" t="str">
            <v/>
          </cell>
        </row>
        <row r="21192">
          <cell r="O21192" t="str">
            <v/>
          </cell>
        </row>
        <row r="21193">
          <cell r="O21193" t="str">
            <v/>
          </cell>
        </row>
        <row r="21194">
          <cell r="O21194" t="str">
            <v/>
          </cell>
        </row>
        <row r="21195">
          <cell r="O21195" t="str">
            <v/>
          </cell>
        </row>
        <row r="21196">
          <cell r="O21196" t="str">
            <v/>
          </cell>
        </row>
        <row r="21197">
          <cell r="O21197" t="str">
            <v/>
          </cell>
        </row>
        <row r="21198">
          <cell r="O21198" t="str">
            <v/>
          </cell>
        </row>
        <row r="21199">
          <cell r="O21199" t="str">
            <v/>
          </cell>
        </row>
        <row r="21200">
          <cell r="O21200" t="str">
            <v/>
          </cell>
        </row>
        <row r="21201">
          <cell r="O21201" t="str">
            <v/>
          </cell>
        </row>
        <row r="21202">
          <cell r="O21202" t="str">
            <v/>
          </cell>
        </row>
        <row r="21203">
          <cell r="O21203" t="str">
            <v/>
          </cell>
        </row>
        <row r="21204">
          <cell r="O21204" t="str">
            <v/>
          </cell>
        </row>
        <row r="21205">
          <cell r="O21205" t="str">
            <v/>
          </cell>
        </row>
        <row r="21206">
          <cell r="O21206" t="str">
            <v/>
          </cell>
        </row>
        <row r="21207">
          <cell r="O21207" t="str">
            <v/>
          </cell>
        </row>
        <row r="21208">
          <cell r="O21208" t="str">
            <v/>
          </cell>
        </row>
        <row r="21209">
          <cell r="O21209" t="str">
            <v/>
          </cell>
        </row>
        <row r="21210">
          <cell r="O21210" t="str">
            <v/>
          </cell>
        </row>
        <row r="21211">
          <cell r="O21211" t="str">
            <v/>
          </cell>
        </row>
        <row r="21212">
          <cell r="O21212" t="str">
            <v/>
          </cell>
        </row>
        <row r="21213">
          <cell r="O21213" t="str">
            <v/>
          </cell>
        </row>
        <row r="21214">
          <cell r="O21214" t="str">
            <v/>
          </cell>
        </row>
        <row r="21215">
          <cell r="O21215" t="str">
            <v/>
          </cell>
        </row>
        <row r="21216">
          <cell r="O21216" t="str">
            <v/>
          </cell>
        </row>
        <row r="21217">
          <cell r="O21217" t="str">
            <v/>
          </cell>
        </row>
        <row r="21218">
          <cell r="O21218" t="str">
            <v/>
          </cell>
        </row>
        <row r="21219">
          <cell r="O21219" t="str">
            <v/>
          </cell>
        </row>
        <row r="21220">
          <cell r="O21220" t="str">
            <v/>
          </cell>
        </row>
        <row r="21221">
          <cell r="O21221" t="str">
            <v/>
          </cell>
        </row>
        <row r="21222">
          <cell r="O21222" t="str">
            <v/>
          </cell>
        </row>
        <row r="21223">
          <cell r="O21223" t="str">
            <v/>
          </cell>
        </row>
        <row r="21224">
          <cell r="O21224" t="str">
            <v/>
          </cell>
        </row>
        <row r="21225">
          <cell r="O21225" t="str">
            <v/>
          </cell>
        </row>
        <row r="21226">
          <cell r="O21226" t="str">
            <v/>
          </cell>
        </row>
        <row r="21227">
          <cell r="O21227" t="str">
            <v/>
          </cell>
        </row>
        <row r="21228">
          <cell r="O21228" t="str">
            <v/>
          </cell>
        </row>
        <row r="21229">
          <cell r="O21229" t="str">
            <v/>
          </cell>
        </row>
        <row r="21230">
          <cell r="O21230" t="str">
            <v/>
          </cell>
        </row>
        <row r="21231">
          <cell r="O21231" t="str">
            <v/>
          </cell>
        </row>
        <row r="21232">
          <cell r="O21232" t="str">
            <v/>
          </cell>
        </row>
        <row r="21233">
          <cell r="O21233" t="str">
            <v/>
          </cell>
        </row>
        <row r="21234">
          <cell r="O21234" t="str">
            <v/>
          </cell>
        </row>
        <row r="21235">
          <cell r="O21235" t="str">
            <v/>
          </cell>
        </row>
        <row r="21236">
          <cell r="O21236" t="str">
            <v/>
          </cell>
        </row>
        <row r="21237">
          <cell r="O21237" t="str">
            <v/>
          </cell>
        </row>
        <row r="21238">
          <cell r="O21238" t="str">
            <v/>
          </cell>
        </row>
        <row r="21239">
          <cell r="O21239" t="str">
            <v/>
          </cell>
        </row>
        <row r="21240">
          <cell r="O21240" t="str">
            <v/>
          </cell>
        </row>
        <row r="21241">
          <cell r="O21241" t="str">
            <v/>
          </cell>
        </row>
        <row r="21242">
          <cell r="O21242" t="str">
            <v/>
          </cell>
        </row>
        <row r="21243">
          <cell r="O21243" t="str">
            <v/>
          </cell>
        </row>
        <row r="21244">
          <cell r="O21244" t="str">
            <v/>
          </cell>
        </row>
        <row r="21245">
          <cell r="O21245" t="str">
            <v/>
          </cell>
        </row>
        <row r="21246">
          <cell r="O21246" t="str">
            <v/>
          </cell>
        </row>
        <row r="21247">
          <cell r="O21247" t="str">
            <v/>
          </cell>
        </row>
        <row r="21248">
          <cell r="O21248" t="str">
            <v/>
          </cell>
        </row>
        <row r="21249">
          <cell r="O21249" t="str">
            <v/>
          </cell>
        </row>
        <row r="21250">
          <cell r="O21250" t="str">
            <v/>
          </cell>
        </row>
        <row r="21251">
          <cell r="O21251" t="str">
            <v/>
          </cell>
        </row>
        <row r="21252">
          <cell r="O21252" t="str">
            <v/>
          </cell>
        </row>
        <row r="21253">
          <cell r="O21253" t="str">
            <v/>
          </cell>
        </row>
        <row r="21254">
          <cell r="O21254" t="str">
            <v/>
          </cell>
        </row>
        <row r="21255">
          <cell r="O21255" t="str">
            <v/>
          </cell>
        </row>
        <row r="21256">
          <cell r="O21256" t="str">
            <v/>
          </cell>
        </row>
        <row r="21257">
          <cell r="O21257" t="str">
            <v/>
          </cell>
        </row>
        <row r="21258">
          <cell r="O21258" t="str">
            <v/>
          </cell>
        </row>
        <row r="21259">
          <cell r="O21259" t="str">
            <v/>
          </cell>
        </row>
        <row r="21260">
          <cell r="O21260" t="str">
            <v/>
          </cell>
        </row>
        <row r="21261">
          <cell r="O21261" t="str">
            <v/>
          </cell>
        </row>
        <row r="21262">
          <cell r="O21262" t="str">
            <v/>
          </cell>
        </row>
        <row r="21263">
          <cell r="O21263" t="str">
            <v/>
          </cell>
        </row>
        <row r="21264">
          <cell r="O21264" t="str">
            <v/>
          </cell>
        </row>
        <row r="21265">
          <cell r="O21265" t="str">
            <v/>
          </cell>
        </row>
        <row r="21266">
          <cell r="O21266" t="str">
            <v/>
          </cell>
        </row>
        <row r="21267">
          <cell r="O21267" t="str">
            <v/>
          </cell>
        </row>
        <row r="21268">
          <cell r="O21268" t="str">
            <v/>
          </cell>
        </row>
        <row r="21269">
          <cell r="O21269" t="str">
            <v/>
          </cell>
        </row>
        <row r="21270">
          <cell r="O21270" t="str">
            <v/>
          </cell>
        </row>
        <row r="21271">
          <cell r="O21271" t="str">
            <v/>
          </cell>
        </row>
        <row r="21272">
          <cell r="O21272" t="str">
            <v/>
          </cell>
        </row>
        <row r="21273">
          <cell r="O21273" t="str">
            <v/>
          </cell>
        </row>
        <row r="21274">
          <cell r="O21274" t="str">
            <v/>
          </cell>
        </row>
        <row r="21275">
          <cell r="O21275" t="str">
            <v/>
          </cell>
        </row>
        <row r="21276">
          <cell r="O21276" t="str">
            <v/>
          </cell>
        </row>
        <row r="21277">
          <cell r="O21277" t="str">
            <v/>
          </cell>
        </row>
        <row r="21278">
          <cell r="O21278" t="str">
            <v/>
          </cell>
        </row>
        <row r="21279">
          <cell r="O21279" t="str">
            <v/>
          </cell>
        </row>
        <row r="21280">
          <cell r="O21280" t="str">
            <v/>
          </cell>
        </row>
        <row r="21281">
          <cell r="O21281" t="str">
            <v/>
          </cell>
        </row>
        <row r="21282">
          <cell r="O21282" t="str">
            <v/>
          </cell>
        </row>
        <row r="21283">
          <cell r="O21283" t="str">
            <v/>
          </cell>
        </row>
        <row r="21284">
          <cell r="O21284" t="str">
            <v/>
          </cell>
        </row>
        <row r="21285">
          <cell r="O21285" t="str">
            <v/>
          </cell>
        </row>
        <row r="21286">
          <cell r="O21286" t="str">
            <v/>
          </cell>
        </row>
        <row r="21287">
          <cell r="O21287" t="str">
            <v/>
          </cell>
        </row>
        <row r="21288">
          <cell r="O21288" t="str">
            <v/>
          </cell>
        </row>
        <row r="21289">
          <cell r="O21289" t="str">
            <v/>
          </cell>
        </row>
        <row r="21290">
          <cell r="O21290" t="str">
            <v/>
          </cell>
        </row>
        <row r="21291">
          <cell r="O21291" t="str">
            <v/>
          </cell>
        </row>
        <row r="21292">
          <cell r="O21292" t="str">
            <v/>
          </cell>
        </row>
        <row r="21293">
          <cell r="O21293" t="str">
            <v/>
          </cell>
        </row>
        <row r="21294">
          <cell r="O21294" t="str">
            <v/>
          </cell>
        </row>
        <row r="21295">
          <cell r="O21295" t="str">
            <v/>
          </cell>
        </row>
        <row r="21296">
          <cell r="O21296" t="str">
            <v/>
          </cell>
        </row>
        <row r="21297">
          <cell r="O21297" t="str">
            <v/>
          </cell>
        </row>
        <row r="21298">
          <cell r="O21298" t="str">
            <v/>
          </cell>
        </row>
        <row r="21299">
          <cell r="O21299" t="str">
            <v/>
          </cell>
        </row>
        <row r="21300">
          <cell r="O21300" t="str">
            <v/>
          </cell>
        </row>
        <row r="21301">
          <cell r="O21301" t="str">
            <v/>
          </cell>
        </row>
        <row r="21302">
          <cell r="O21302" t="str">
            <v/>
          </cell>
        </row>
        <row r="21303">
          <cell r="O21303" t="str">
            <v/>
          </cell>
        </row>
        <row r="21304">
          <cell r="O21304" t="str">
            <v/>
          </cell>
        </row>
        <row r="21305">
          <cell r="O21305" t="str">
            <v/>
          </cell>
        </row>
        <row r="21306">
          <cell r="O21306" t="str">
            <v/>
          </cell>
        </row>
        <row r="21307">
          <cell r="O21307" t="str">
            <v/>
          </cell>
        </row>
        <row r="21308">
          <cell r="O21308" t="str">
            <v/>
          </cell>
        </row>
        <row r="21309">
          <cell r="O21309" t="str">
            <v/>
          </cell>
        </row>
        <row r="21310">
          <cell r="O21310" t="str">
            <v/>
          </cell>
        </row>
        <row r="21311">
          <cell r="O21311" t="str">
            <v/>
          </cell>
        </row>
        <row r="21312">
          <cell r="O21312" t="str">
            <v/>
          </cell>
        </row>
        <row r="21313">
          <cell r="O21313" t="str">
            <v/>
          </cell>
        </row>
        <row r="21314">
          <cell r="O21314" t="str">
            <v/>
          </cell>
        </row>
        <row r="21315">
          <cell r="O21315" t="str">
            <v/>
          </cell>
        </row>
        <row r="21316">
          <cell r="O21316" t="str">
            <v/>
          </cell>
        </row>
        <row r="21317">
          <cell r="O21317" t="str">
            <v/>
          </cell>
        </row>
        <row r="21318">
          <cell r="O21318" t="str">
            <v/>
          </cell>
        </row>
        <row r="21319">
          <cell r="O21319" t="str">
            <v/>
          </cell>
        </row>
        <row r="21320">
          <cell r="O21320" t="str">
            <v/>
          </cell>
        </row>
        <row r="21321">
          <cell r="O21321" t="str">
            <v/>
          </cell>
        </row>
        <row r="21322">
          <cell r="O21322" t="str">
            <v/>
          </cell>
        </row>
        <row r="21323">
          <cell r="O21323" t="str">
            <v/>
          </cell>
        </row>
        <row r="21324">
          <cell r="O21324" t="str">
            <v/>
          </cell>
        </row>
        <row r="21325">
          <cell r="O21325" t="str">
            <v/>
          </cell>
        </row>
        <row r="21326">
          <cell r="O21326" t="str">
            <v/>
          </cell>
        </row>
        <row r="21327">
          <cell r="O21327" t="str">
            <v/>
          </cell>
        </row>
        <row r="21328">
          <cell r="O21328" t="str">
            <v/>
          </cell>
        </row>
        <row r="21329">
          <cell r="O21329" t="str">
            <v/>
          </cell>
        </row>
        <row r="21330">
          <cell r="O21330" t="str">
            <v/>
          </cell>
        </row>
        <row r="21331">
          <cell r="O21331" t="str">
            <v/>
          </cell>
        </row>
        <row r="21332">
          <cell r="O21332" t="str">
            <v/>
          </cell>
        </row>
        <row r="21333">
          <cell r="O21333" t="str">
            <v/>
          </cell>
        </row>
        <row r="21334">
          <cell r="O21334" t="str">
            <v/>
          </cell>
        </row>
        <row r="21335">
          <cell r="O21335" t="str">
            <v/>
          </cell>
        </row>
        <row r="21336">
          <cell r="O21336" t="str">
            <v/>
          </cell>
        </row>
        <row r="21337">
          <cell r="O21337" t="str">
            <v/>
          </cell>
        </row>
        <row r="21338">
          <cell r="O21338" t="str">
            <v/>
          </cell>
        </row>
        <row r="21339">
          <cell r="O21339" t="str">
            <v/>
          </cell>
        </row>
        <row r="21340">
          <cell r="O21340" t="str">
            <v/>
          </cell>
        </row>
        <row r="21341">
          <cell r="O21341" t="str">
            <v/>
          </cell>
        </row>
        <row r="21342">
          <cell r="O21342" t="str">
            <v/>
          </cell>
        </row>
        <row r="21343">
          <cell r="O21343" t="str">
            <v/>
          </cell>
        </row>
        <row r="21344">
          <cell r="O21344" t="str">
            <v/>
          </cell>
        </row>
        <row r="21345">
          <cell r="O21345" t="str">
            <v/>
          </cell>
        </row>
        <row r="21346">
          <cell r="O21346" t="str">
            <v/>
          </cell>
        </row>
        <row r="21347">
          <cell r="O21347" t="str">
            <v/>
          </cell>
        </row>
        <row r="21348">
          <cell r="O21348" t="str">
            <v/>
          </cell>
        </row>
        <row r="21349">
          <cell r="O21349" t="str">
            <v/>
          </cell>
        </row>
        <row r="21350">
          <cell r="O21350" t="str">
            <v/>
          </cell>
        </row>
        <row r="21351">
          <cell r="O21351" t="str">
            <v/>
          </cell>
        </row>
        <row r="21352">
          <cell r="O21352" t="str">
            <v/>
          </cell>
        </row>
        <row r="21353">
          <cell r="O21353" t="str">
            <v/>
          </cell>
        </row>
        <row r="21354">
          <cell r="O21354" t="str">
            <v/>
          </cell>
        </row>
        <row r="21355">
          <cell r="O21355" t="str">
            <v/>
          </cell>
        </row>
        <row r="21356">
          <cell r="O21356" t="str">
            <v/>
          </cell>
        </row>
        <row r="21357">
          <cell r="O21357" t="str">
            <v/>
          </cell>
        </row>
        <row r="21358">
          <cell r="O21358" t="str">
            <v/>
          </cell>
        </row>
        <row r="21359">
          <cell r="O21359" t="str">
            <v/>
          </cell>
        </row>
        <row r="21360">
          <cell r="O21360" t="str">
            <v/>
          </cell>
        </row>
        <row r="21361">
          <cell r="O21361" t="str">
            <v/>
          </cell>
        </row>
        <row r="21362">
          <cell r="O21362" t="str">
            <v/>
          </cell>
        </row>
        <row r="21363">
          <cell r="O21363" t="str">
            <v/>
          </cell>
        </row>
        <row r="21364">
          <cell r="O21364" t="str">
            <v/>
          </cell>
        </row>
        <row r="21365">
          <cell r="O21365" t="str">
            <v/>
          </cell>
        </row>
        <row r="21366">
          <cell r="O21366" t="str">
            <v/>
          </cell>
        </row>
        <row r="21367">
          <cell r="O21367" t="str">
            <v/>
          </cell>
        </row>
        <row r="21368">
          <cell r="O21368" t="str">
            <v/>
          </cell>
        </row>
        <row r="21369">
          <cell r="O21369" t="str">
            <v/>
          </cell>
        </row>
        <row r="21370">
          <cell r="O21370" t="str">
            <v/>
          </cell>
        </row>
        <row r="21371">
          <cell r="O21371" t="str">
            <v/>
          </cell>
        </row>
        <row r="21372">
          <cell r="O21372" t="str">
            <v/>
          </cell>
        </row>
        <row r="21373">
          <cell r="O21373" t="str">
            <v/>
          </cell>
        </row>
        <row r="21374">
          <cell r="O21374" t="str">
            <v/>
          </cell>
        </row>
        <row r="21375">
          <cell r="O21375" t="str">
            <v/>
          </cell>
        </row>
        <row r="21376">
          <cell r="O21376" t="str">
            <v/>
          </cell>
        </row>
        <row r="21377">
          <cell r="O21377" t="str">
            <v/>
          </cell>
        </row>
        <row r="21378">
          <cell r="O21378" t="str">
            <v/>
          </cell>
        </row>
        <row r="21379">
          <cell r="O21379" t="str">
            <v/>
          </cell>
        </row>
        <row r="21380">
          <cell r="O21380" t="str">
            <v/>
          </cell>
        </row>
        <row r="21381">
          <cell r="O21381" t="str">
            <v/>
          </cell>
        </row>
        <row r="21382">
          <cell r="O21382" t="str">
            <v/>
          </cell>
        </row>
        <row r="21383">
          <cell r="O21383" t="str">
            <v/>
          </cell>
        </row>
        <row r="21384">
          <cell r="O21384" t="str">
            <v/>
          </cell>
        </row>
        <row r="21385">
          <cell r="O21385" t="str">
            <v/>
          </cell>
        </row>
        <row r="21386">
          <cell r="O21386" t="str">
            <v/>
          </cell>
        </row>
        <row r="21387">
          <cell r="O21387" t="str">
            <v/>
          </cell>
        </row>
        <row r="21388">
          <cell r="O21388" t="str">
            <v/>
          </cell>
        </row>
        <row r="21389">
          <cell r="O21389" t="str">
            <v/>
          </cell>
        </row>
        <row r="21390">
          <cell r="O21390" t="str">
            <v/>
          </cell>
        </row>
        <row r="21391">
          <cell r="O21391" t="str">
            <v/>
          </cell>
        </row>
        <row r="21392">
          <cell r="O21392" t="str">
            <v/>
          </cell>
        </row>
        <row r="21393">
          <cell r="O21393" t="str">
            <v/>
          </cell>
        </row>
        <row r="21394">
          <cell r="O21394" t="str">
            <v/>
          </cell>
        </row>
        <row r="21395">
          <cell r="O21395" t="str">
            <v/>
          </cell>
        </row>
        <row r="21396">
          <cell r="O21396" t="str">
            <v/>
          </cell>
        </row>
        <row r="21397">
          <cell r="O21397" t="str">
            <v/>
          </cell>
        </row>
        <row r="21398">
          <cell r="O21398" t="str">
            <v/>
          </cell>
        </row>
        <row r="21399">
          <cell r="O21399" t="str">
            <v/>
          </cell>
        </row>
        <row r="21400">
          <cell r="O21400" t="str">
            <v/>
          </cell>
        </row>
        <row r="21401">
          <cell r="O21401" t="str">
            <v/>
          </cell>
        </row>
        <row r="21402">
          <cell r="O21402" t="str">
            <v/>
          </cell>
        </row>
        <row r="21403">
          <cell r="O21403" t="str">
            <v/>
          </cell>
        </row>
        <row r="21404">
          <cell r="O21404" t="str">
            <v/>
          </cell>
        </row>
        <row r="21405">
          <cell r="O21405" t="str">
            <v/>
          </cell>
        </row>
        <row r="21406">
          <cell r="O21406" t="str">
            <v/>
          </cell>
        </row>
        <row r="21407">
          <cell r="O21407" t="str">
            <v/>
          </cell>
        </row>
        <row r="21408">
          <cell r="O21408" t="str">
            <v/>
          </cell>
        </row>
        <row r="21409">
          <cell r="O21409" t="str">
            <v/>
          </cell>
        </row>
        <row r="21410">
          <cell r="O21410" t="str">
            <v/>
          </cell>
        </row>
        <row r="21411">
          <cell r="O21411" t="str">
            <v/>
          </cell>
        </row>
        <row r="21412">
          <cell r="O21412" t="str">
            <v/>
          </cell>
        </row>
        <row r="21413">
          <cell r="O21413" t="str">
            <v/>
          </cell>
        </row>
        <row r="21414">
          <cell r="O21414" t="str">
            <v/>
          </cell>
        </row>
        <row r="21415">
          <cell r="O21415" t="str">
            <v/>
          </cell>
        </row>
        <row r="21416">
          <cell r="O21416" t="str">
            <v/>
          </cell>
        </row>
        <row r="21417">
          <cell r="O21417" t="str">
            <v/>
          </cell>
        </row>
        <row r="21418">
          <cell r="O21418" t="str">
            <v/>
          </cell>
        </row>
        <row r="21419">
          <cell r="O21419" t="str">
            <v/>
          </cell>
        </row>
        <row r="21420">
          <cell r="O21420" t="str">
            <v/>
          </cell>
        </row>
        <row r="21421">
          <cell r="O21421" t="str">
            <v/>
          </cell>
        </row>
        <row r="21422">
          <cell r="O21422" t="str">
            <v/>
          </cell>
        </row>
        <row r="21423">
          <cell r="O21423" t="str">
            <v/>
          </cell>
        </row>
        <row r="21424">
          <cell r="O21424" t="str">
            <v/>
          </cell>
        </row>
        <row r="21425">
          <cell r="O21425" t="str">
            <v/>
          </cell>
        </row>
        <row r="21426">
          <cell r="O21426" t="str">
            <v/>
          </cell>
        </row>
        <row r="21427">
          <cell r="O21427" t="str">
            <v/>
          </cell>
        </row>
        <row r="21428">
          <cell r="O21428" t="str">
            <v/>
          </cell>
        </row>
        <row r="21429">
          <cell r="O21429" t="str">
            <v/>
          </cell>
        </row>
        <row r="21430">
          <cell r="O21430" t="str">
            <v/>
          </cell>
        </row>
        <row r="21431">
          <cell r="O21431" t="str">
            <v/>
          </cell>
        </row>
        <row r="21432">
          <cell r="O21432" t="str">
            <v/>
          </cell>
        </row>
        <row r="21433">
          <cell r="O21433" t="str">
            <v/>
          </cell>
        </row>
        <row r="21434">
          <cell r="O21434" t="str">
            <v/>
          </cell>
        </row>
        <row r="21435">
          <cell r="O21435" t="str">
            <v/>
          </cell>
        </row>
        <row r="21436">
          <cell r="O21436" t="str">
            <v/>
          </cell>
        </row>
        <row r="21437">
          <cell r="O21437" t="str">
            <v/>
          </cell>
        </row>
        <row r="21438">
          <cell r="O21438" t="str">
            <v/>
          </cell>
        </row>
        <row r="21439">
          <cell r="O21439" t="str">
            <v/>
          </cell>
        </row>
        <row r="21440">
          <cell r="O21440" t="str">
            <v/>
          </cell>
        </row>
        <row r="21441">
          <cell r="O21441" t="str">
            <v/>
          </cell>
        </row>
        <row r="21442">
          <cell r="O21442" t="str">
            <v/>
          </cell>
        </row>
        <row r="21443">
          <cell r="O21443" t="str">
            <v/>
          </cell>
        </row>
        <row r="21444">
          <cell r="O21444" t="str">
            <v/>
          </cell>
        </row>
        <row r="21445">
          <cell r="O21445" t="str">
            <v/>
          </cell>
        </row>
        <row r="21446">
          <cell r="O21446" t="str">
            <v/>
          </cell>
        </row>
        <row r="21447">
          <cell r="O21447" t="str">
            <v/>
          </cell>
        </row>
        <row r="21448">
          <cell r="O21448" t="str">
            <v/>
          </cell>
        </row>
        <row r="21449">
          <cell r="O21449" t="str">
            <v/>
          </cell>
        </row>
        <row r="21450">
          <cell r="O21450" t="str">
            <v/>
          </cell>
        </row>
        <row r="21451">
          <cell r="O21451" t="str">
            <v/>
          </cell>
        </row>
        <row r="21452">
          <cell r="O21452" t="str">
            <v/>
          </cell>
        </row>
        <row r="21453">
          <cell r="O21453" t="str">
            <v/>
          </cell>
        </row>
        <row r="21454">
          <cell r="O21454" t="str">
            <v/>
          </cell>
        </row>
        <row r="21455">
          <cell r="O21455" t="str">
            <v/>
          </cell>
        </row>
        <row r="21456">
          <cell r="O21456" t="str">
            <v/>
          </cell>
        </row>
        <row r="21457">
          <cell r="O21457" t="str">
            <v/>
          </cell>
        </row>
        <row r="21458">
          <cell r="O21458" t="str">
            <v/>
          </cell>
        </row>
        <row r="21459">
          <cell r="O21459" t="str">
            <v/>
          </cell>
        </row>
        <row r="21460">
          <cell r="O21460" t="str">
            <v/>
          </cell>
        </row>
        <row r="21461">
          <cell r="O21461" t="str">
            <v/>
          </cell>
        </row>
        <row r="21462">
          <cell r="O21462" t="str">
            <v/>
          </cell>
        </row>
        <row r="21463">
          <cell r="O21463" t="str">
            <v/>
          </cell>
        </row>
        <row r="21464">
          <cell r="O21464" t="str">
            <v/>
          </cell>
        </row>
        <row r="21465">
          <cell r="O21465" t="str">
            <v/>
          </cell>
        </row>
        <row r="21466">
          <cell r="O21466" t="str">
            <v/>
          </cell>
        </row>
        <row r="21467">
          <cell r="O21467" t="str">
            <v/>
          </cell>
        </row>
        <row r="21468">
          <cell r="O21468" t="str">
            <v/>
          </cell>
        </row>
        <row r="21469">
          <cell r="O21469" t="str">
            <v/>
          </cell>
        </row>
        <row r="21470">
          <cell r="O21470" t="str">
            <v/>
          </cell>
        </row>
        <row r="21471">
          <cell r="O21471" t="str">
            <v/>
          </cell>
        </row>
        <row r="21472">
          <cell r="O21472" t="str">
            <v/>
          </cell>
        </row>
        <row r="21473">
          <cell r="O21473" t="str">
            <v/>
          </cell>
        </row>
        <row r="21474">
          <cell r="O21474" t="str">
            <v/>
          </cell>
        </row>
        <row r="21475">
          <cell r="O21475" t="str">
            <v/>
          </cell>
        </row>
        <row r="21476">
          <cell r="O21476" t="str">
            <v/>
          </cell>
        </row>
        <row r="21477">
          <cell r="O21477" t="str">
            <v/>
          </cell>
        </row>
        <row r="21478">
          <cell r="O21478" t="str">
            <v/>
          </cell>
        </row>
        <row r="21479">
          <cell r="O21479" t="str">
            <v/>
          </cell>
        </row>
        <row r="21480">
          <cell r="O21480" t="str">
            <v/>
          </cell>
        </row>
        <row r="21481">
          <cell r="O21481" t="str">
            <v/>
          </cell>
        </row>
        <row r="21482">
          <cell r="O21482" t="str">
            <v/>
          </cell>
        </row>
        <row r="21483">
          <cell r="O21483" t="str">
            <v/>
          </cell>
        </row>
        <row r="21484">
          <cell r="O21484" t="str">
            <v/>
          </cell>
        </row>
        <row r="21485">
          <cell r="O21485" t="str">
            <v/>
          </cell>
        </row>
        <row r="21486">
          <cell r="O21486" t="str">
            <v/>
          </cell>
        </row>
        <row r="21487">
          <cell r="O21487" t="str">
            <v/>
          </cell>
        </row>
        <row r="21488">
          <cell r="O21488" t="str">
            <v/>
          </cell>
        </row>
        <row r="21489">
          <cell r="O21489" t="str">
            <v/>
          </cell>
        </row>
        <row r="21490">
          <cell r="O21490" t="str">
            <v/>
          </cell>
        </row>
        <row r="21491">
          <cell r="O21491" t="str">
            <v/>
          </cell>
        </row>
        <row r="21492">
          <cell r="O21492" t="str">
            <v/>
          </cell>
        </row>
        <row r="21493">
          <cell r="O21493" t="str">
            <v/>
          </cell>
        </row>
        <row r="21494">
          <cell r="O21494" t="str">
            <v/>
          </cell>
        </row>
        <row r="21495">
          <cell r="O21495" t="str">
            <v/>
          </cell>
        </row>
        <row r="21496">
          <cell r="O21496" t="str">
            <v/>
          </cell>
        </row>
        <row r="21497">
          <cell r="O21497" t="str">
            <v/>
          </cell>
        </row>
        <row r="21498">
          <cell r="O21498" t="str">
            <v/>
          </cell>
        </row>
        <row r="21499">
          <cell r="O21499" t="str">
            <v/>
          </cell>
        </row>
        <row r="21500">
          <cell r="O21500" t="str">
            <v/>
          </cell>
        </row>
        <row r="21501">
          <cell r="O21501" t="str">
            <v/>
          </cell>
        </row>
        <row r="21502">
          <cell r="O21502" t="str">
            <v/>
          </cell>
        </row>
        <row r="21503">
          <cell r="O21503" t="str">
            <v/>
          </cell>
        </row>
        <row r="21504">
          <cell r="O21504" t="str">
            <v/>
          </cell>
        </row>
        <row r="21505">
          <cell r="O21505" t="str">
            <v/>
          </cell>
        </row>
        <row r="21506">
          <cell r="O21506" t="str">
            <v/>
          </cell>
        </row>
        <row r="21507">
          <cell r="O21507" t="str">
            <v/>
          </cell>
        </row>
        <row r="21508">
          <cell r="O21508" t="str">
            <v/>
          </cell>
        </row>
        <row r="21509">
          <cell r="O21509" t="str">
            <v/>
          </cell>
        </row>
        <row r="21510">
          <cell r="O21510" t="str">
            <v/>
          </cell>
        </row>
        <row r="21511">
          <cell r="O21511" t="str">
            <v/>
          </cell>
        </row>
        <row r="21512">
          <cell r="O21512" t="str">
            <v/>
          </cell>
        </row>
        <row r="21513">
          <cell r="O21513" t="str">
            <v/>
          </cell>
        </row>
        <row r="21514">
          <cell r="O21514" t="str">
            <v/>
          </cell>
        </row>
        <row r="21515">
          <cell r="O21515" t="str">
            <v/>
          </cell>
        </row>
        <row r="21516">
          <cell r="O21516" t="str">
            <v/>
          </cell>
        </row>
        <row r="21517">
          <cell r="O21517" t="str">
            <v/>
          </cell>
        </row>
        <row r="21518">
          <cell r="O21518" t="str">
            <v/>
          </cell>
        </row>
        <row r="21519">
          <cell r="O21519" t="str">
            <v/>
          </cell>
        </row>
        <row r="21520">
          <cell r="O21520" t="str">
            <v/>
          </cell>
        </row>
        <row r="21521">
          <cell r="O21521" t="str">
            <v/>
          </cell>
        </row>
        <row r="21522">
          <cell r="O21522" t="str">
            <v/>
          </cell>
        </row>
        <row r="21523">
          <cell r="O21523" t="str">
            <v/>
          </cell>
        </row>
        <row r="21524">
          <cell r="O21524" t="str">
            <v/>
          </cell>
        </row>
        <row r="21525">
          <cell r="O21525" t="str">
            <v/>
          </cell>
        </row>
        <row r="21526">
          <cell r="O21526" t="str">
            <v/>
          </cell>
        </row>
        <row r="21527">
          <cell r="O21527" t="str">
            <v/>
          </cell>
        </row>
        <row r="21528">
          <cell r="O21528" t="str">
            <v/>
          </cell>
        </row>
        <row r="21529">
          <cell r="O21529" t="str">
            <v/>
          </cell>
        </row>
        <row r="21530">
          <cell r="O21530" t="str">
            <v/>
          </cell>
        </row>
        <row r="21531">
          <cell r="O21531" t="str">
            <v/>
          </cell>
        </row>
        <row r="21532">
          <cell r="O21532" t="str">
            <v/>
          </cell>
        </row>
        <row r="21533">
          <cell r="O21533" t="str">
            <v/>
          </cell>
        </row>
        <row r="21534">
          <cell r="O21534" t="str">
            <v/>
          </cell>
        </row>
        <row r="21535">
          <cell r="O21535" t="str">
            <v/>
          </cell>
        </row>
        <row r="21536">
          <cell r="O21536" t="str">
            <v/>
          </cell>
        </row>
        <row r="21537">
          <cell r="O21537" t="str">
            <v/>
          </cell>
        </row>
        <row r="21538">
          <cell r="O21538" t="str">
            <v/>
          </cell>
        </row>
        <row r="21539">
          <cell r="O21539" t="str">
            <v/>
          </cell>
        </row>
        <row r="21540">
          <cell r="O21540" t="str">
            <v/>
          </cell>
        </row>
        <row r="21541">
          <cell r="O21541" t="str">
            <v/>
          </cell>
        </row>
        <row r="21542">
          <cell r="O21542" t="str">
            <v/>
          </cell>
        </row>
        <row r="21543">
          <cell r="O21543" t="str">
            <v/>
          </cell>
        </row>
        <row r="21544">
          <cell r="O21544" t="str">
            <v/>
          </cell>
        </row>
        <row r="21545">
          <cell r="O21545" t="str">
            <v/>
          </cell>
        </row>
        <row r="21546">
          <cell r="O21546" t="str">
            <v/>
          </cell>
        </row>
        <row r="21547">
          <cell r="O21547" t="str">
            <v/>
          </cell>
        </row>
        <row r="21548">
          <cell r="O21548" t="str">
            <v/>
          </cell>
        </row>
        <row r="21549">
          <cell r="O21549" t="str">
            <v/>
          </cell>
        </row>
        <row r="21550">
          <cell r="O21550" t="str">
            <v/>
          </cell>
        </row>
        <row r="21551">
          <cell r="O21551" t="str">
            <v/>
          </cell>
        </row>
        <row r="21552">
          <cell r="O21552" t="str">
            <v/>
          </cell>
        </row>
        <row r="21553">
          <cell r="O21553" t="str">
            <v/>
          </cell>
        </row>
        <row r="21554">
          <cell r="O21554" t="str">
            <v/>
          </cell>
        </row>
        <row r="21555">
          <cell r="O21555" t="str">
            <v/>
          </cell>
        </row>
        <row r="21556">
          <cell r="O21556" t="str">
            <v/>
          </cell>
        </row>
        <row r="21557">
          <cell r="O21557" t="str">
            <v/>
          </cell>
        </row>
        <row r="21558">
          <cell r="O21558" t="str">
            <v/>
          </cell>
        </row>
        <row r="21559">
          <cell r="O21559" t="str">
            <v/>
          </cell>
        </row>
        <row r="21560">
          <cell r="O21560" t="str">
            <v/>
          </cell>
        </row>
        <row r="21561">
          <cell r="O21561" t="str">
            <v/>
          </cell>
        </row>
        <row r="21562">
          <cell r="O21562" t="str">
            <v/>
          </cell>
        </row>
        <row r="21563">
          <cell r="O21563" t="str">
            <v/>
          </cell>
        </row>
        <row r="21564">
          <cell r="O21564" t="str">
            <v/>
          </cell>
        </row>
        <row r="21565">
          <cell r="O21565" t="str">
            <v/>
          </cell>
        </row>
        <row r="21566">
          <cell r="O21566" t="str">
            <v/>
          </cell>
        </row>
        <row r="21567">
          <cell r="O21567" t="str">
            <v/>
          </cell>
        </row>
        <row r="21568">
          <cell r="O21568" t="str">
            <v/>
          </cell>
        </row>
        <row r="21569">
          <cell r="O21569" t="str">
            <v/>
          </cell>
        </row>
        <row r="21570">
          <cell r="O21570" t="str">
            <v/>
          </cell>
        </row>
        <row r="21571">
          <cell r="O21571" t="str">
            <v/>
          </cell>
        </row>
        <row r="21572">
          <cell r="O21572" t="str">
            <v/>
          </cell>
        </row>
        <row r="21573">
          <cell r="O21573" t="str">
            <v/>
          </cell>
        </row>
        <row r="21574">
          <cell r="O21574" t="str">
            <v/>
          </cell>
        </row>
        <row r="21575">
          <cell r="O21575" t="str">
            <v/>
          </cell>
        </row>
        <row r="21576">
          <cell r="O21576" t="str">
            <v/>
          </cell>
        </row>
        <row r="21577">
          <cell r="O21577" t="str">
            <v/>
          </cell>
        </row>
        <row r="21578">
          <cell r="O21578" t="str">
            <v/>
          </cell>
        </row>
        <row r="21579">
          <cell r="O21579" t="str">
            <v/>
          </cell>
        </row>
        <row r="21580">
          <cell r="O21580" t="str">
            <v/>
          </cell>
        </row>
        <row r="21581">
          <cell r="O21581" t="str">
            <v/>
          </cell>
        </row>
        <row r="21582">
          <cell r="O21582" t="str">
            <v/>
          </cell>
        </row>
        <row r="21583">
          <cell r="O21583" t="str">
            <v/>
          </cell>
        </row>
        <row r="21584">
          <cell r="O21584" t="str">
            <v/>
          </cell>
        </row>
        <row r="21585">
          <cell r="O21585" t="str">
            <v/>
          </cell>
        </row>
        <row r="21586">
          <cell r="O21586" t="str">
            <v/>
          </cell>
        </row>
        <row r="21587">
          <cell r="O21587" t="str">
            <v/>
          </cell>
        </row>
        <row r="21588">
          <cell r="O21588" t="str">
            <v/>
          </cell>
        </row>
        <row r="21589">
          <cell r="O21589" t="str">
            <v/>
          </cell>
        </row>
        <row r="21590">
          <cell r="O21590" t="str">
            <v/>
          </cell>
        </row>
        <row r="21591">
          <cell r="O21591" t="str">
            <v/>
          </cell>
        </row>
        <row r="21592">
          <cell r="O21592" t="str">
            <v/>
          </cell>
        </row>
        <row r="21593">
          <cell r="O21593" t="str">
            <v/>
          </cell>
        </row>
        <row r="21594">
          <cell r="O21594" t="str">
            <v/>
          </cell>
        </row>
        <row r="21595">
          <cell r="O21595" t="str">
            <v/>
          </cell>
        </row>
        <row r="21596">
          <cell r="O21596" t="str">
            <v/>
          </cell>
        </row>
        <row r="21597">
          <cell r="O21597" t="str">
            <v/>
          </cell>
        </row>
        <row r="21598">
          <cell r="O21598" t="str">
            <v/>
          </cell>
        </row>
        <row r="21599">
          <cell r="O21599" t="str">
            <v/>
          </cell>
        </row>
        <row r="21600">
          <cell r="O21600" t="str">
            <v/>
          </cell>
        </row>
        <row r="21601">
          <cell r="O21601" t="str">
            <v/>
          </cell>
        </row>
        <row r="21602">
          <cell r="O21602" t="str">
            <v/>
          </cell>
        </row>
        <row r="21603">
          <cell r="O21603" t="str">
            <v/>
          </cell>
        </row>
        <row r="21604">
          <cell r="O21604" t="str">
            <v/>
          </cell>
        </row>
        <row r="21605">
          <cell r="O21605" t="str">
            <v/>
          </cell>
        </row>
        <row r="21606">
          <cell r="O21606" t="str">
            <v/>
          </cell>
        </row>
        <row r="21607">
          <cell r="O21607" t="str">
            <v/>
          </cell>
        </row>
        <row r="21608">
          <cell r="O21608" t="str">
            <v/>
          </cell>
        </row>
        <row r="21609">
          <cell r="O21609" t="str">
            <v/>
          </cell>
        </row>
        <row r="21610">
          <cell r="O21610" t="str">
            <v/>
          </cell>
        </row>
        <row r="21611">
          <cell r="O21611" t="str">
            <v/>
          </cell>
        </row>
        <row r="21612">
          <cell r="O21612" t="str">
            <v/>
          </cell>
        </row>
        <row r="21613">
          <cell r="O21613" t="str">
            <v/>
          </cell>
        </row>
        <row r="21614">
          <cell r="O21614" t="str">
            <v/>
          </cell>
        </row>
        <row r="21615">
          <cell r="O21615" t="str">
            <v/>
          </cell>
        </row>
        <row r="21616">
          <cell r="O21616" t="str">
            <v/>
          </cell>
        </row>
        <row r="21617">
          <cell r="O21617" t="str">
            <v/>
          </cell>
        </row>
        <row r="21618">
          <cell r="O21618" t="str">
            <v/>
          </cell>
        </row>
        <row r="21619">
          <cell r="O21619" t="str">
            <v/>
          </cell>
        </row>
        <row r="21620">
          <cell r="O21620" t="str">
            <v/>
          </cell>
        </row>
        <row r="21621">
          <cell r="O21621" t="str">
            <v/>
          </cell>
        </row>
        <row r="21622">
          <cell r="O21622" t="str">
            <v/>
          </cell>
        </row>
        <row r="21623">
          <cell r="O21623" t="str">
            <v/>
          </cell>
        </row>
        <row r="21624">
          <cell r="O21624" t="str">
            <v/>
          </cell>
        </row>
        <row r="21625">
          <cell r="O21625" t="str">
            <v/>
          </cell>
        </row>
        <row r="21626">
          <cell r="O21626" t="str">
            <v/>
          </cell>
        </row>
        <row r="21627">
          <cell r="O21627" t="str">
            <v/>
          </cell>
        </row>
        <row r="21628">
          <cell r="O21628" t="str">
            <v/>
          </cell>
        </row>
        <row r="21629">
          <cell r="O21629" t="str">
            <v/>
          </cell>
        </row>
        <row r="21630">
          <cell r="O21630" t="str">
            <v/>
          </cell>
        </row>
        <row r="21631">
          <cell r="O21631" t="str">
            <v/>
          </cell>
        </row>
        <row r="21632">
          <cell r="O21632" t="str">
            <v/>
          </cell>
        </row>
        <row r="21633">
          <cell r="O21633" t="str">
            <v/>
          </cell>
        </row>
        <row r="21634">
          <cell r="O21634" t="str">
            <v/>
          </cell>
        </row>
        <row r="21635">
          <cell r="O21635" t="str">
            <v/>
          </cell>
        </row>
        <row r="21636">
          <cell r="O21636" t="str">
            <v/>
          </cell>
        </row>
        <row r="21637">
          <cell r="O21637" t="str">
            <v/>
          </cell>
        </row>
        <row r="21638">
          <cell r="O21638" t="str">
            <v/>
          </cell>
        </row>
        <row r="21639">
          <cell r="O21639" t="str">
            <v/>
          </cell>
        </row>
        <row r="21640">
          <cell r="O21640" t="str">
            <v/>
          </cell>
        </row>
        <row r="21641">
          <cell r="O21641" t="str">
            <v/>
          </cell>
        </row>
        <row r="21642">
          <cell r="O21642" t="str">
            <v/>
          </cell>
        </row>
        <row r="21643">
          <cell r="O21643" t="str">
            <v/>
          </cell>
        </row>
        <row r="21644">
          <cell r="O21644" t="str">
            <v/>
          </cell>
        </row>
        <row r="21645">
          <cell r="O21645" t="str">
            <v/>
          </cell>
        </row>
        <row r="21646">
          <cell r="O21646" t="str">
            <v/>
          </cell>
        </row>
        <row r="21647">
          <cell r="O21647" t="str">
            <v/>
          </cell>
        </row>
        <row r="21648">
          <cell r="O21648" t="str">
            <v/>
          </cell>
        </row>
        <row r="21649">
          <cell r="O21649" t="str">
            <v/>
          </cell>
        </row>
        <row r="21650">
          <cell r="O21650" t="str">
            <v/>
          </cell>
        </row>
        <row r="21651">
          <cell r="O21651" t="str">
            <v/>
          </cell>
        </row>
        <row r="21652">
          <cell r="O21652" t="str">
            <v/>
          </cell>
        </row>
        <row r="21653">
          <cell r="O21653" t="str">
            <v/>
          </cell>
        </row>
        <row r="21654">
          <cell r="O21654" t="str">
            <v/>
          </cell>
        </row>
        <row r="21655">
          <cell r="O21655" t="str">
            <v/>
          </cell>
        </row>
        <row r="21656">
          <cell r="O21656" t="str">
            <v/>
          </cell>
        </row>
        <row r="21657">
          <cell r="O21657" t="str">
            <v/>
          </cell>
        </row>
        <row r="21658">
          <cell r="O21658" t="str">
            <v/>
          </cell>
        </row>
        <row r="21659">
          <cell r="O21659" t="str">
            <v/>
          </cell>
        </row>
        <row r="21660">
          <cell r="O21660" t="str">
            <v/>
          </cell>
        </row>
        <row r="21661">
          <cell r="O21661" t="str">
            <v/>
          </cell>
        </row>
        <row r="21662">
          <cell r="O21662" t="str">
            <v/>
          </cell>
        </row>
        <row r="21663">
          <cell r="O21663" t="str">
            <v/>
          </cell>
        </row>
        <row r="21664">
          <cell r="O21664" t="str">
            <v/>
          </cell>
        </row>
        <row r="21665">
          <cell r="O21665" t="str">
            <v/>
          </cell>
        </row>
        <row r="21666">
          <cell r="O21666" t="str">
            <v/>
          </cell>
        </row>
        <row r="21667">
          <cell r="O21667" t="str">
            <v/>
          </cell>
        </row>
        <row r="21668">
          <cell r="O21668" t="str">
            <v/>
          </cell>
        </row>
        <row r="21669">
          <cell r="O21669" t="str">
            <v/>
          </cell>
        </row>
        <row r="21670">
          <cell r="O21670" t="str">
            <v/>
          </cell>
        </row>
        <row r="21671">
          <cell r="O21671" t="str">
            <v/>
          </cell>
        </row>
        <row r="21672">
          <cell r="O21672" t="str">
            <v/>
          </cell>
        </row>
        <row r="21673">
          <cell r="O21673" t="str">
            <v/>
          </cell>
        </row>
        <row r="21674">
          <cell r="O21674" t="str">
            <v/>
          </cell>
        </row>
        <row r="21675">
          <cell r="O21675" t="str">
            <v/>
          </cell>
        </row>
        <row r="21676">
          <cell r="O21676" t="str">
            <v/>
          </cell>
        </row>
        <row r="21677">
          <cell r="O21677" t="str">
            <v/>
          </cell>
        </row>
        <row r="21678">
          <cell r="O21678" t="str">
            <v/>
          </cell>
        </row>
        <row r="21679">
          <cell r="O21679" t="str">
            <v/>
          </cell>
        </row>
        <row r="21680">
          <cell r="O21680" t="str">
            <v/>
          </cell>
        </row>
        <row r="21681">
          <cell r="O21681" t="str">
            <v/>
          </cell>
        </row>
        <row r="21682">
          <cell r="O21682" t="str">
            <v/>
          </cell>
        </row>
        <row r="21683">
          <cell r="O21683" t="str">
            <v/>
          </cell>
        </row>
        <row r="21684">
          <cell r="O21684" t="str">
            <v/>
          </cell>
        </row>
        <row r="21685">
          <cell r="O21685" t="str">
            <v/>
          </cell>
        </row>
        <row r="21686">
          <cell r="O21686" t="str">
            <v/>
          </cell>
        </row>
        <row r="21687">
          <cell r="O21687" t="str">
            <v/>
          </cell>
        </row>
        <row r="21688">
          <cell r="O21688" t="str">
            <v/>
          </cell>
        </row>
        <row r="21689">
          <cell r="O21689" t="str">
            <v/>
          </cell>
        </row>
        <row r="21690">
          <cell r="O21690" t="str">
            <v/>
          </cell>
        </row>
        <row r="21691">
          <cell r="O21691" t="str">
            <v/>
          </cell>
        </row>
        <row r="21692">
          <cell r="O21692" t="str">
            <v/>
          </cell>
        </row>
        <row r="21693">
          <cell r="O21693" t="str">
            <v/>
          </cell>
        </row>
        <row r="21694">
          <cell r="O21694" t="str">
            <v/>
          </cell>
        </row>
        <row r="21695">
          <cell r="O21695" t="str">
            <v/>
          </cell>
        </row>
        <row r="21696">
          <cell r="O21696" t="str">
            <v/>
          </cell>
        </row>
        <row r="21697">
          <cell r="O21697" t="str">
            <v/>
          </cell>
        </row>
        <row r="21698">
          <cell r="O21698" t="str">
            <v/>
          </cell>
        </row>
        <row r="21699">
          <cell r="O21699" t="str">
            <v/>
          </cell>
        </row>
        <row r="21700">
          <cell r="O21700" t="str">
            <v/>
          </cell>
        </row>
        <row r="21701">
          <cell r="O21701" t="str">
            <v/>
          </cell>
        </row>
        <row r="21702">
          <cell r="O21702" t="str">
            <v/>
          </cell>
        </row>
        <row r="21703">
          <cell r="O21703" t="str">
            <v/>
          </cell>
        </row>
        <row r="21704">
          <cell r="O21704" t="str">
            <v/>
          </cell>
        </row>
        <row r="21705">
          <cell r="O21705" t="str">
            <v/>
          </cell>
        </row>
        <row r="21706">
          <cell r="O21706" t="str">
            <v/>
          </cell>
        </row>
        <row r="21707">
          <cell r="O21707" t="str">
            <v/>
          </cell>
        </row>
        <row r="21708">
          <cell r="O21708" t="str">
            <v/>
          </cell>
        </row>
        <row r="21709">
          <cell r="O21709" t="str">
            <v/>
          </cell>
        </row>
        <row r="21710">
          <cell r="O21710" t="str">
            <v/>
          </cell>
        </row>
        <row r="21711">
          <cell r="O21711" t="str">
            <v/>
          </cell>
        </row>
        <row r="21712">
          <cell r="O21712" t="str">
            <v/>
          </cell>
        </row>
        <row r="21713">
          <cell r="O21713" t="str">
            <v/>
          </cell>
        </row>
        <row r="21714">
          <cell r="O21714" t="str">
            <v/>
          </cell>
        </row>
        <row r="21715">
          <cell r="O21715" t="str">
            <v/>
          </cell>
        </row>
        <row r="21716">
          <cell r="O21716" t="str">
            <v/>
          </cell>
        </row>
        <row r="21717">
          <cell r="O21717" t="str">
            <v/>
          </cell>
        </row>
        <row r="21718">
          <cell r="O21718" t="str">
            <v/>
          </cell>
        </row>
        <row r="21719">
          <cell r="O21719" t="str">
            <v/>
          </cell>
        </row>
        <row r="21720">
          <cell r="O21720" t="str">
            <v/>
          </cell>
        </row>
        <row r="21721">
          <cell r="O21721" t="str">
            <v/>
          </cell>
        </row>
        <row r="21722">
          <cell r="O21722" t="str">
            <v/>
          </cell>
        </row>
        <row r="21723">
          <cell r="O21723" t="str">
            <v/>
          </cell>
        </row>
        <row r="21724">
          <cell r="O21724" t="str">
            <v/>
          </cell>
        </row>
        <row r="21725">
          <cell r="O21725" t="str">
            <v/>
          </cell>
        </row>
        <row r="21726">
          <cell r="O21726" t="str">
            <v/>
          </cell>
        </row>
        <row r="21727">
          <cell r="O21727" t="str">
            <v/>
          </cell>
        </row>
        <row r="21728">
          <cell r="O21728" t="str">
            <v/>
          </cell>
        </row>
        <row r="21729">
          <cell r="O21729" t="str">
            <v/>
          </cell>
        </row>
        <row r="21730">
          <cell r="O21730" t="str">
            <v/>
          </cell>
        </row>
        <row r="21731">
          <cell r="O21731" t="str">
            <v/>
          </cell>
        </row>
        <row r="21732">
          <cell r="O21732" t="str">
            <v/>
          </cell>
        </row>
        <row r="21733">
          <cell r="O21733" t="str">
            <v/>
          </cell>
        </row>
        <row r="21734">
          <cell r="O21734" t="str">
            <v/>
          </cell>
        </row>
        <row r="21735">
          <cell r="O21735" t="str">
            <v/>
          </cell>
        </row>
        <row r="21736">
          <cell r="O21736" t="str">
            <v/>
          </cell>
        </row>
        <row r="21737">
          <cell r="O21737" t="str">
            <v/>
          </cell>
        </row>
        <row r="21738">
          <cell r="O21738" t="str">
            <v/>
          </cell>
        </row>
        <row r="21739">
          <cell r="O21739" t="str">
            <v/>
          </cell>
        </row>
        <row r="21740">
          <cell r="O21740" t="str">
            <v/>
          </cell>
        </row>
        <row r="21741">
          <cell r="O21741" t="str">
            <v/>
          </cell>
        </row>
        <row r="21742">
          <cell r="O21742" t="str">
            <v/>
          </cell>
        </row>
        <row r="21743">
          <cell r="O21743" t="str">
            <v/>
          </cell>
        </row>
        <row r="21744">
          <cell r="O21744" t="str">
            <v/>
          </cell>
        </row>
        <row r="21745">
          <cell r="O21745" t="str">
            <v/>
          </cell>
        </row>
        <row r="21746">
          <cell r="O21746" t="str">
            <v/>
          </cell>
        </row>
        <row r="21747">
          <cell r="O21747" t="str">
            <v/>
          </cell>
        </row>
        <row r="21748">
          <cell r="O21748" t="str">
            <v/>
          </cell>
        </row>
        <row r="21749">
          <cell r="O21749" t="str">
            <v/>
          </cell>
        </row>
        <row r="21750">
          <cell r="O21750" t="str">
            <v/>
          </cell>
        </row>
        <row r="21751">
          <cell r="O21751" t="str">
            <v/>
          </cell>
        </row>
        <row r="21752">
          <cell r="O21752" t="str">
            <v/>
          </cell>
        </row>
        <row r="21753">
          <cell r="O21753" t="str">
            <v/>
          </cell>
        </row>
        <row r="21754">
          <cell r="O21754" t="str">
            <v/>
          </cell>
        </row>
        <row r="21755">
          <cell r="O21755" t="str">
            <v/>
          </cell>
        </row>
        <row r="21756">
          <cell r="O21756" t="str">
            <v/>
          </cell>
        </row>
        <row r="21757">
          <cell r="O21757" t="str">
            <v/>
          </cell>
        </row>
        <row r="21758">
          <cell r="O21758" t="str">
            <v/>
          </cell>
        </row>
        <row r="21759">
          <cell r="O21759" t="str">
            <v/>
          </cell>
        </row>
        <row r="21760">
          <cell r="O21760" t="str">
            <v/>
          </cell>
        </row>
        <row r="21761">
          <cell r="O21761" t="str">
            <v/>
          </cell>
        </row>
        <row r="21762">
          <cell r="O21762" t="str">
            <v/>
          </cell>
        </row>
        <row r="21763">
          <cell r="O21763" t="str">
            <v/>
          </cell>
        </row>
        <row r="21764">
          <cell r="O21764" t="str">
            <v/>
          </cell>
        </row>
        <row r="21765">
          <cell r="O21765" t="str">
            <v/>
          </cell>
        </row>
        <row r="21766">
          <cell r="O21766" t="str">
            <v/>
          </cell>
        </row>
        <row r="21767">
          <cell r="O21767" t="str">
            <v/>
          </cell>
        </row>
        <row r="21768">
          <cell r="O21768" t="str">
            <v/>
          </cell>
        </row>
        <row r="21769">
          <cell r="O21769" t="str">
            <v/>
          </cell>
        </row>
        <row r="21770">
          <cell r="O21770" t="str">
            <v/>
          </cell>
        </row>
        <row r="21771">
          <cell r="O21771" t="str">
            <v/>
          </cell>
        </row>
        <row r="21772">
          <cell r="O21772" t="str">
            <v/>
          </cell>
        </row>
        <row r="21773">
          <cell r="O21773" t="str">
            <v/>
          </cell>
        </row>
        <row r="21774">
          <cell r="O21774" t="str">
            <v/>
          </cell>
        </row>
        <row r="21775">
          <cell r="O21775" t="str">
            <v/>
          </cell>
        </row>
        <row r="21776">
          <cell r="O21776" t="str">
            <v/>
          </cell>
        </row>
        <row r="21777">
          <cell r="O21777" t="str">
            <v/>
          </cell>
        </row>
        <row r="21778">
          <cell r="O21778" t="str">
            <v/>
          </cell>
        </row>
        <row r="21779">
          <cell r="O21779" t="str">
            <v/>
          </cell>
        </row>
        <row r="21780">
          <cell r="O21780" t="str">
            <v/>
          </cell>
        </row>
        <row r="21781">
          <cell r="O21781" t="str">
            <v/>
          </cell>
        </row>
        <row r="21782">
          <cell r="O21782" t="str">
            <v/>
          </cell>
        </row>
        <row r="21783">
          <cell r="O21783" t="str">
            <v/>
          </cell>
        </row>
        <row r="21784">
          <cell r="O21784" t="str">
            <v/>
          </cell>
        </row>
        <row r="21785">
          <cell r="O21785" t="str">
            <v/>
          </cell>
        </row>
        <row r="21786">
          <cell r="O21786" t="str">
            <v/>
          </cell>
        </row>
        <row r="21787">
          <cell r="O21787" t="str">
            <v/>
          </cell>
        </row>
        <row r="21788">
          <cell r="O21788" t="str">
            <v/>
          </cell>
        </row>
        <row r="21789">
          <cell r="O21789" t="str">
            <v/>
          </cell>
        </row>
        <row r="21790">
          <cell r="O21790" t="str">
            <v/>
          </cell>
        </row>
        <row r="21791">
          <cell r="O21791" t="str">
            <v/>
          </cell>
        </row>
        <row r="21792">
          <cell r="O21792" t="str">
            <v/>
          </cell>
        </row>
        <row r="21793">
          <cell r="O21793" t="str">
            <v/>
          </cell>
        </row>
        <row r="21794">
          <cell r="O21794" t="str">
            <v/>
          </cell>
        </row>
        <row r="21795">
          <cell r="O21795" t="str">
            <v/>
          </cell>
        </row>
        <row r="21796">
          <cell r="O21796" t="str">
            <v/>
          </cell>
        </row>
        <row r="21797">
          <cell r="O21797" t="str">
            <v/>
          </cell>
        </row>
        <row r="21798">
          <cell r="O21798" t="str">
            <v/>
          </cell>
        </row>
        <row r="21799">
          <cell r="O21799" t="str">
            <v/>
          </cell>
        </row>
        <row r="21800">
          <cell r="O21800" t="str">
            <v/>
          </cell>
        </row>
        <row r="21801">
          <cell r="O21801" t="str">
            <v/>
          </cell>
        </row>
        <row r="21802">
          <cell r="O21802" t="str">
            <v/>
          </cell>
        </row>
        <row r="21803">
          <cell r="O21803" t="str">
            <v/>
          </cell>
        </row>
        <row r="21804">
          <cell r="O21804" t="str">
            <v/>
          </cell>
        </row>
        <row r="21805">
          <cell r="O21805" t="str">
            <v/>
          </cell>
        </row>
        <row r="21806">
          <cell r="O21806" t="str">
            <v/>
          </cell>
        </row>
        <row r="21807">
          <cell r="O21807" t="str">
            <v/>
          </cell>
        </row>
        <row r="21808">
          <cell r="O21808" t="str">
            <v/>
          </cell>
        </row>
        <row r="21809">
          <cell r="O21809" t="str">
            <v/>
          </cell>
        </row>
        <row r="21810">
          <cell r="O21810" t="str">
            <v/>
          </cell>
        </row>
        <row r="21811">
          <cell r="O21811" t="str">
            <v/>
          </cell>
        </row>
        <row r="21812">
          <cell r="O21812" t="str">
            <v/>
          </cell>
        </row>
        <row r="21813">
          <cell r="O21813" t="str">
            <v/>
          </cell>
        </row>
        <row r="21814">
          <cell r="O21814" t="str">
            <v/>
          </cell>
        </row>
        <row r="21815">
          <cell r="O21815" t="str">
            <v/>
          </cell>
        </row>
        <row r="21816">
          <cell r="O21816" t="str">
            <v/>
          </cell>
        </row>
        <row r="21817">
          <cell r="O21817" t="str">
            <v/>
          </cell>
        </row>
        <row r="21818">
          <cell r="O21818" t="str">
            <v/>
          </cell>
        </row>
        <row r="21819">
          <cell r="O21819" t="str">
            <v/>
          </cell>
        </row>
        <row r="21820">
          <cell r="O21820" t="str">
            <v/>
          </cell>
        </row>
        <row r="21821">
          <cell r="O21821" t="str">
            <v/>
          </cell>
        </row>
        <row r="21822">
          <cell r="O21822" t="str">
            <v/>
          </cell>
        </row>
        <row r="21823">
          <cell r="O21823" t="str">
            <v/>
          </cell>
        </row>
        <row r="21824">
          <cell r="O21824" t="str">
            <v/>
          </cell>
        </row>
        <row r="21825">
          <cell r="O21825" t="str">
            <v/>
          </cell>
        </row>
        <row r="21826">
          <cell r="O21826" t="str">
            <v/>
          </cell>
        </row>
        <row r="21827">
          <cell r="O21827" t="str">
            <v/>
          </cell>
        </row>
        <row r="21828">
          <cell r="O21828" t="str">
            <v/>
          </cell>
        </row>
        <row r="21829">
          <cell r="O21829" t="str">
            <v/>
          </cell>
        </row>
        <row r="21830">
          <cell r="O21830" t="str">
            <v/>
          </cell>
        </row>
        <row r="21831">
          <cell r="O21831" t="str">
            <v/>
          </cell>
        </row>
        <row r="21832">
          <cell r="O21832" t="str">
            <v/>
          </cell>
        </row>
        <row r="21833">
          <cell r="O21833" t="str">
            <v/>
          </cell>
        </row>
        <row r="21834">
          <cell r="O21834" t="str">
            <v/>
          </cell>
        </row>
        <row r="21835">
          <cell r="O21835" t="str">
            <v/>
          </cell>
        </row>
        <row r="21836">
          <cell r="O21836" t="str">
            <v/>
          </cell>
        </row>
        <row r="21837">
          <cell r="O21837" t="str">
            <v/>
          </cell>
        </row>
        <row r="21838">
          <cell r="O21838" t="str">
            <v/>
          </cell>
        </row>
        <row r="21839">
          <cell r="O21839" t="str">
            <v/>
          </cell>
        </row>
        <row r="21840">
          <cell r="O21840" t="str">
            <v/>
          </cell>
        </row>
        <row r="21841">
          <cell r="O21841" t="str">
            <v/>
          </cell>
        </row>
        <row r="21842">
          <cell r="O21842" t="str">
            <v/>
          </cell>
        </row>
        <row r="21843">
          <cell r="O21843" t="str">
            <v/>
          </cell>
        </row>
        <row r="21844">
          <cell r="O21844" t="str">
            <v/>
          </cell>
        </row>
        <row r="21845">
          <cell r="O21845" t="str">
            <v/>
          </cell>
        </row>
        <row r="21846">
          <cell r="O21846" t="str">
            <v/>
          </cell>
        </row>
        <row r="21847">
          <cell r="O21847" t="str">
            <v/>
          </cell>
        </row>
        <row r="21848">
          <cell r="O21848" t="str">
            <v/>
          </cell>
        </row>
        <row r="21849">
          <cell r="O21849" t="str">
            <v/>
          </cell>
        </row>
        <row r="21850">
          <cell r="O21850" t="str">
            <v/>
          </cell>
        </row>
        <row r="21851">
          <cell r="O21851" t="str">
            <v/>
          </cell>
        </row>
        <row r="21852">
          <cell r="O21852" t="str">
            <v/>
          </cell>
        </row>
        <row r="21853">
          <cell r="O21853" t="str">
            <v/>
          </cell>
        </row>
        <row r="21854">
          <cell r="O21854" t="str">
            <v/>
          </cell>
        </row>
        <row r="21855">
          <cell r="O21855" t="str">
            <v/>
          </cell>
        </row>
        <row r="21856">
          <cell r="O21856" t="str">
            <v/>
          </cell>
        </row>
        <row r="21857">
          <cell r="O21857" t="str">
            <v/>
          </cell>
        </row>
        <row r="21858">
          <cell r="O21858" t="str">
            <v/>
          </cell>
        </row>
        <row r="21859">
          <cell r="O21859" t="str">
            <v/>
          </cell>
        </row>
        <row r="21860">
          <cell r="O21860" t="str">
            <v/>
          </cell>
        </row>
        <row r="21861">
          <cell r="O21861" t="str">
            <v/>
          </cell>
        </row>
        <row r="21862">
          <cell r="O21862" t="str">
            <v/>
          </cell>
        </row>
        <row r="21863">
          <cell r="O21863" t="str">
            <v/>
          </cell>
        </row>
        <row r="21864">
          <cell r="O21864" t="str">
            <v/>
          </cell>
        </row>
        <row r="21865">
          <cell r="O21865" t="str">
            <v/>
          </cell>
        </row>
        <row r="21866">
          <cell r="O21866" t="str">
            <v/>
          </cell>
        </row>
        <row r="21867">
          <cell r="O21867" t="str">
            <v/>
          </cell>
        </row>
        <row r="21868">
          <cell r="O21868" t="str">
            <v/>
          </cell>
        </row>
        <row r="21869">
          <cell r="O21869" t="str">
            <v/>
          </cell>
        </row>
        <row r="21870">
          <cell r="O21870" t="str">
            <v/>
          </cell>
        </row>
        <row r="21871">
          <cell r="O21871" t="str">
            <v/>
          </cell>
        </row>
        <row r="21872">
          <cell r="O21872" t="str">
            <v/>
          </cell>
        </row>
        <row r="21873">
          <cell r="O21873" t="str">
            <v/>
          </cell>
        </row>
        <row r="21874">
          <cell r="O21874" t="str">
            <v/>
          </cell>
        </row>
        <row r="21875">
          <cell r="O21875" t="str">
            <v/>
          </cell>
        </row>
        <row r="21876">
          <cell r="O21876" t="str">
            <v/>
          </cell>
        </row>
        <row r="21877">
          <cell r="O21877" t="str">
            <v/>
          </cell>
        </row>
        <row r="21878">
          <cell r="O21878" t="str">
            <v/>
          </cell>
        </row>
        <row r="21879">
          <cell r="O21879" t="str">
            <v/>
          </cell>
        </row>
        <row r="21880">
          <cell r="O21880" t="str">
            <v/>
          </cell>
        </row>
        <row r="21881">
          <cell r="O21881" t="str">
            <v/>
          </cell>
        </row>
        <row r="21882">
          <cell r="O21882" t="str">
            <v/>
          </cell>
        </row>
        <row r="21883">
          <cell r="O21883" t="str">
            <v/>
          </cell>
        </row>
        <row r="21884">
          <cell r="O21884" t="str">
            <v/>
          </cell>
        </row>
        <row r="21885">
          <cell r="O21885" t="str">
            <v/>
          </cell>
        </row>
        <row r="21886">
          <cell r="O21886" t="str">
            <v/>
          </cell>
        </row>
        <row r="21887">
          <cell r="O21887" t="str">
            <v/>
          </cell>
        </row>
        <row r="21888">
          <cell r="O21888" t="str">
            <v/>
          </cell>
        </row>
        <row r="21889">
          <cell r="O21889" t="str">
            <v/>
          </cell>
        </row>
        <row r="21890">
          <cell r="O21890" t="str">
            <v/>
          </cell>
        </row>
        <row r="21891">
          <cell r="O21891" t="str">
            <v/>
          </cell>
        </row>
        <row r="21892">
          <cell r="O21892" t="str">
            <v/>
          </cell>
        </row>
        <row r="21893">
          <cell r="O21893" t="str">
            <v/>
          </cell>
        </row>
        <row r="21894">
          <cell r="O21894" t="str">
            <v/>
          </cell>
        </row>
        <row r="21895">
          <cell r="O21895" t="str">
            <v/>
          </cell>
        </row>
        <row r="21896">
          <cell r="O21896" t="str">
            <v/>
          </cell>
        </row>
        <row r="21897">
          <cell r="O21897" t="str">
            <v/>
          </cell>
        </row>
        <row r="21898">
          <cell r="O21898" t="str">
            <v/>
          </cell>
        </row>
        <row r="21899">
          <cell r="O21899" t="str">
            <v/>
          </cell>
        </row>
        <row r="21900">
          <cell r="O21900" t="str">
            <v/>
          </cell>
        </row>
        <row r="21901">
          <cell r="O21901" t="str">
            <v/>
          </cell>
        </row>
        <row r="21902">
          <cell r="O21902" t="str">
            <v/>
          </cell>
        </row>
        <row r="21903">
          <cell r="O21903" t="str">
            <v/>
          </cell>
        </row>
        <row r="21904">
          <cell r="O21904" t="str">
            <v/>
          </cell>
        </row>
        <row r="21905">
          <cell r="O21905" t="str">
            <v/>
          </cell>
        </row>
        <row r="21906">
          <cell r="O21906" t="str">
            <v/>
          </cell>
        </row>
        <row r="21907">
          <cell r="O21907" t="str">
            <v/>
          </cell>
        </row>
        <row r="21908">
          <cell r="O21908" t="str">
            <v/>
          </cell>
        </row>
        <row r="21909">
          <cell r="O21909" t="str">
            <v/>
          </cell>
        </row>
        <row r="21910">
          <cell r="O21910" t="str">
            <v/>
          </cell>
        </row>
        <row r="21911">
          <cell r="O21911" t="str">
            <v/>
          </cell>
        </row>
        <row r="21912">
          <cell r="O21912" t="str">
            <v/>
          </cell>
        </row>
        <row r="21913">
          <cell r="O21913" t="str">
            <v/>
          </cell>
        </row>
        <row r="21914">
          <cell r="O21914" t="str">
            <v/>
          </cell>
        </row>
        <row r="21915">
          <cell r="O21915" t="str">
            <v/>
          </cell>
        </row>
        <row r="21916">
          <cell r="O21916" t="str">
            <v/>
          </cell>
        </row>
        <row r="21917">
          <cell r="O21917" t="str">
            <v/>
          </cell>
        </row>
        <row r="21918">
          <cell r="O21918" t="str">
            <v/>
          </cell>
        </row>
        <row r="21919">
          <cell r="O21919" t="str">
            <v/>
          </cell>
        </row>
        <row r="21920">
          <cell r="O21920" t="str">
            <v/>
          </cell>
        </row>
        <row r="21921">
          <cell r="O21921" t="str">
            <v/>
          </cell>
        </row>
        <row r="21922">
          <cell r="O21922" t="str">
            <v/>
          </cell>
        </row>
        <row r="21923">
          <cell r="O21923" t="str">
            <v/>
          </cell>
        </row>
        <row r="21924">
          <cell r="O21924" t="str">
            <v/>
          </cell>
        </row>
        <row r="21925">
          <cell r="O21925" t="str">
            <v/>
          </cell>
        </row>
        <row r="21926">
          <cell r="O21926" t="str">
            <v/>
          </cell>
        </row>
        <row r="21927">
          <cell r="O21927" t="str">
            <v/>
          </cell>
        </row>
        <row r="21928">
          <cell r="O21928" t="str">
            <v/>
          </cell>
        </row>
        <row r="21929">
          <cell r="O21929" t="str">
            <v/>
          </cell>
        </row>
        <row r="21930">
          <cell r="O21930" t="str">
            <v/>
          </cell>
        </row>
        <row r="21931">
          <cell r="O21931" t="str">
            <v/>
          </cell>
        </row>
        <row r="21932">
          <cell r="O21932" t="str">
            <v/>
          </cell>
        </row>
        <row r="21933">
          <cell r="O21933" t="str">
            <v/>
          </cell>
        </row>
        <row r="21934">
          <cell r="O21934" t="str">
            <v/>
          </cell>
        </row>
        <row r="21935">
          <cell r="O21935" t="str">
            <v/>
          </cell>
        </row>
        <row r="21936">
          <cell r="O21936" t="str">
            <v/>
          </cell>
        </row>
        <row r="21937">
          <cell r="O21937" t="str">
            <v/>
          </cell>
        </row>
        <row r="21938">
          <cell r="O21938" t="str">
            <v/>
          </cell>
        </row>
        <row r="21939">
          <cell r="O21939" t="str">
            <v/>
          </cell>
        </row>
        <row r="21940">
          <cell r="O21940" t="str">
            <v/>
          </cell>
        </row>
        <row r="21941">
          <cell r="O21941" t="str">
            <v/>
          </cell>
        </row>
        <row r="21942">
          <cell r="O21942" t="str">
            <v/>
          </cell>
        </row>
        <row r="21943">
          <cell r="O21943" t="str">
            <v/>
          </cell>
        </row>
        <row r="21944">
          <cell r="O21944" t="str">
            <v/>
          </cell>
        </row>
        <row r="21945">
          <cell r="O21945" t="str">
            <v/>
          </cell>
        </row>
        <row r="21946">
          <cell r="O21946" t="str">
            <v/>
          </cell>
        </row>
        <row r="21947">
          <cell r="O21947" t="str">
            <v/>
          </cell>
        </row>
        <row r="21948">
          <cell r="O21948" t="str">
            <v/>
          </cell>
        </row>
        <row r="21949">
          <cell r="O21949" t="str">
            <v/>
          </cell>
        </row>
        <row r="21950">
          <cell r="O21950" t="str">
            <v/>
          </cell>
        </row>
        <row r="21951">
          <cell r="O21951" t="str">
            <v/>
          </cell>
        </row>
        <row r="21952">
          <cell r="O21952" t="str">
            <v/>
          </cell>
        </row>
        <row r="21953">
          <cell r="O21953" t="str">
            <v/>
          </cell>
        </row>
        <row r="21954">
          <cell r="O21954" t="str">
            <v/>
          </cell>
        </row>
        <row r="21955">
          <cell r="O21955" t="str">
            <v/>
          </cell>
        </row>
        <row r="21956">
          <cell r="O21956" t="str">
            <v/>
          </cell>
        </row>
        <row r="21957">
          <cell r="O21957" t="str">
            <v/>
          </cell>
        </row>
        <row r="21958">
          <cell r="O21958" t="str">
            <v/>
          </cell>
        </row>
        <row r="21959">
          <cell r="O21959" t="str">
            <v/>
          </cell>
        </row>
        <row r="21960">
          <cell r="O21960" t="str">
            <v/>
          </cell>
        </row>
        <row r="21961">
          <cell r="O21961" t="str">
            <v/>
          </cell>
        </row>
        <row r="21962">
          <cell r="O21962" t="str">
            <v/>
          </cell>
        </row>
        <row r="21963">
          <cell r="O21963" t="str">
            <v/>
          </cell>
        </row>
        <row r="21964">
          <cell r="O21964" t="str">
            <v/>
          </cell>
        </row>
        <row r="21965">
          <cell r="O21965" t="str">
            <v/>
          </cell>
        </row>
        <row r="21966">
          <cell r="O21966" t="str">
            <v/>
          </cell>
        </row>
        <row r="21967">
          <cell r="O21967" t="str">
            <v/>
          </cell>
        </row>
        <row r="21968">
          <cell r="O21968" t="str">
            <v/>
          </cell>
        </row>
        <row r="21969">
          <cell r="O21969" t="str">
            <v/>
          </cell>
        </row>
        <row r="21970">
          <cell r="O21970" t="str">
            <v/>
          </cell>
        </row>
        <row r="21971">
          <cell r="O21971" t="str">
            <v/>
          </cell>
        </row>
        <row r="21972">
          <cell r="O21972" t="str">
            <v/>
          </cell>
        </row>
        <row r="21973">
          <cell r="O21973" t="str">
            <v/>
          </cell>
        </row>
        <row r="21974">
          <cell r="O21974" t="str">
            <v/>
          </cell>
        </row>
        <row r="21975">
          <cell r="O21975" t="str">
            <v/>
          </cell>
        </row>
        <row r="21976">
          <cell r="O21976" t="str">
            <v/>
          </cell>
        </row>
        <row r="21977">
          <cell r="O21977" t="str">
            <v/>
          </cell>
        </row>
        <row r="21978">
          <cell r="O21978" t="str">
            <v/>
          </cell>
        </row>
        <row r="21979">
          <cell r="O21979" t="str">
            <v/>
          </cell>
        </row>
        <row r="21980">
          <cell r="O21980" t="str">
            <v/>
          </cell>
        </row>
        <row r="21981">
          <cell r="O21981" t="str">
            <v/>
          </cell>
        </row>
        <row r="21982">
          <cell r="O21982" t="str">
            <v/>
          </cell>
        </row>
        <row r="21983">
          <cell r="O21983" t="str">
            <v/>
          </cell>
        </row>
        <row r="21984">
          <cell r="O21984" t="str">
            <v/>
          </cell>
        </row>
        <row r="21985">
          <cell r="O21985" t="str">
            <v/>
          </cell>
        </row>
        <row r="21986">
          <cell r="O21986" t="str">
            <v/>
          </cell>
        </row>
        <row r="21987">
          <cell r="O21987" t="str">
            <v/>
          </cell>
        </row>
        <row r="21988">
          <cell r="O21988" t="str">
            <v/>
          </cell>
        </row>
        <row r="21989">
          <cell r="O21989" t="str">
            <v/>
          </cell>
        </row>
        <row r="21990">
          <cell r="O21990" t="str">
            <v/>
          </cell>
        </row>
        <row r="21991">
          <cell r="O21991" t="str">
            <v/>
          </cell>
        </row>
        <row r="21992">
          <cell r="O21992" t="str">
            <v/>
          </cell>
        </row>
        <row r="21993">
          <cell r="O21993" t="str">
            <v/>
          </cell>
        </row>
        <row r="21994">
          <cell r="O21994" t="str">
            <v/>
          </cell>
        </row>
        <row r="21995">
          <cell r="O21995" t="str">
            <v/>
          </cell>
        </row>
        <row r="21996">
          <cell r="O21996" t="str">
            <v/>
          </cell>
        </row>
        <row r="21997">
          <cell r="O21997" t="str">
            <v/>
          </cell>
        </row>
        <row r="21998">
          <cell r="O21998" t="str">
            <v/>
          </cell>
        </row>
        <row r="21999">
          <cell r="O21999" t="str">
            <v/>
          </cell>
        </row>
        <row r="22000">
          <cell r="O22000" t="str">
            <v/>
          </cell>
        </row>
        <row r="22001">
          <cell r="O22001" t="str">
            <v/>
          </cell>
        </row>
        <row r="22002">
          <cell r="O22002" t="str">
            <v/>
          </cell>
        </row>
        <row r="22003">
          <cell r="O22003" t="str">
            <v/>
          </cell>
        </row>
        <row r="22004">
          <cell r="O22004" t="str">
            <v/>
          </cell>
        </row>
        <row r="22005">
          <cell r="O22005" t="str">
            <v/>
          </cell>
        </row>
        <row r="22006">
          <cell r="O22006" t="str">
            <v/>
          </cell>
        </row>
        <row r="22007">
          <cell r="O22007" t="str">
            <v/>
          </cell>
        </row>
        <row r="22008">
          <cell r="O22008" t="str">
            <v/>
          </cell>
        </row>
        <row r="22009">
          <cell r="O22009" t="str">
            <v/>
          </cell>
        </row>
        <row r="22010">
          <cell r="O22010" t="str">
            <v/>
          </cell>
        </row>
        <row r="22011">
          <cell r="O22011" t="str">
            <v/>
          </cell>
        </row>
        <row r="22012">
          <cell r="O22012" t="str">
            <v/>
          </cell>
        </row>
        <row r="22013">
          <cell r="O22013" t="str">
            <v/>
          </cell>
        </row>
        <row r="22014">
          <cell r="O22014" t="str">
            <v/>
          </cell>
        </row>
        <row r="22015">
          <cell r="O22015" t="str">
            <v/>
          </cell>
        </row>
        <row r="22016">
          <cell r="O22016" t="str">
            <v/>
          </cell>
        </row>
        <row r="22017">
          <cell r="O22017" t="str">
            <v/>
          </cell>
        </row>
        <row r="22018">
          <cell r="O22018" t="str">
            <v/>
          </cell>
        </row>
        <row r="22019">
          <cell r="O22019" t="str">
            <v/>
          </cell>
        </row>
        <row r="22020">
          <cell r="O22020" t="str">
            <v/>
          </cell>
        </row>
        <row r="22021">
          <cell r="O22021" t="str">
            <v/>
          </cell>
        </row>
        <row r="22022">
          <cell r="O22022" t="str">
            <v/>
          </cell>
        </row>
        <row r="22023">
          <cell r="O22023" t="str">
            <v/>
          </cell>
        </row>
        <row r="22024">
          <cell r="O22024" t="str">
            <v/>
          </cell>
        </row>
        <row r="22025">
          <cell r="O22025" t="str">
            <v/>
          </cell>
        </row>
        <row r="22026">
          <cell r="O22026" t="str">
            <v/>
          </cell>
        </row>
        <row r="22027">
          <cell r="O22027" t="str">
            <v/>
          </cell>
        </row>
        <row r="22028">
          <cell r="O22028" t="str">
            <v/>
          </cell>
        </row>
        <row r="22029">
          <cell r="O22029" t="str">
            <v/>
          </cell>
        </row>
        <row r="22030">
          <cell r="O22030" t="str">
            <v/>
          </cell>
        </row>
        <row r="22031">
          <cell r="O22031" t="str">
            <v/>
          </cell>
        </row>
        <row r="22032">
          <cell r="O22032" t="str">
            <v/>
          </cell>
        </row>
        <row r="22033">
          <cell r="O22033" t="str">
            <v/>
          </cell>
        </row>
        <row r="22034">
          <cell r="O22034" t="str">
            <v/>
          </cell>
        </row>
        <row r="22035">
          <cell r="O22035" t="str">
            <v/>
          </cell>
        </row>
        <row r="22036">
          <cell r="O22036" t="str">
            <v/>
          </cell>
        </row>
        <row r="22037">
          <cell r="O22037" t="str">
            <v/>
          </cell>
        </row>
        <row r="22038">
          <cell r="O22038" t="str">
            <v/>
          </cell>
        </row>
        <row r="22039">
          <cell r="O22039" t="str">
            <v/>
          </cell>
        </row>
        <row r="22040">
          <cell r="O22040" t="str">
            <v/>
          </cell>
        </row>
        <row r="22041">
          <cell r="O22041" t="str">
            <v/>
          </cell>
        </row>
        <row r="22042">
          <cell r="O22042" t="str">
            <v/>
          </cell>
        </row>
        <row r="22043">
          <cell r="O22043" t="str">
            <v/>
          </cell>
        </row>
        <row r="22044">
          <cell r="O22044" t="str">
            <v/>
          </cell>
        </row>
        <row r="22045">
          <cell r="O22045" t="str">
            <v/>
          </cell>
        </row>
        <row r="22046">
          <cell r="O22046" t="str">
            <v/>
          </cell>
        </row>
        <row r="22047">
          <cell r="O22047" t="str">
            <v/>
          </cell>
        </row>
        <row r="22048">
          <cell r="O22048" t="str">
            <v/>
          </cell>
        </row>
        <row r="22049">
          <cell r="O22049" t="str">
            <v/>
          </cell>
        </row>
        <row r="22050">
          <cell r="O22050" t="str">
            <v/>
          </cell>
        </row>
        <row r="22051">
          <cell r="O22051" t="str">
            <v/>
          </cell>
        </row>
        <row r="22052">
          <cell r="O22052" t="str">
            <v/>
          </cell>
        </row>
        <row r="22053">
          <cell r="O22053" t="str">
            <v/>
          </cell>
        </row>
        <row r="22054">
          <cell r="O22054" t="str">
            <v/>
          </cell>
        </row>
        <row r="22055">
          <cell r="O22055" t="str">
            <v/>
          </cell>
        </row>
        <row r="22056">
          <cell r="O22056" t="str">
            <v/>
          </cell>
        </row>
        <row r="22057">
          <cell r="O22057" t="str">
            <v/>
          </cell>
        </row>
        <row r="22058">
          <cell r="O22058" t="str">
            <v/>
          </cell>
        </row>
        <row r="22059">
          <cell r="O22059" t="str">
            <v/>
          </cell>
        </row>
        <row r="22060">
          <cell r="O22060" t="str">
            <v/>
          </cell>
        </row>
        <row r="22061">
          <cell r="O22061" t="str">
            <v/>
          </cell>
        </row>
        <row r="22062">
          <cell r="O22062" t="str">
            <v/>
          </cell>
        </row>
        <row r="22063">
          <cell r="O22063" t="str">
            <v/>
          </cell>
        </row>
        <row r="22064">
          <cell r="O22064" t="str">
            <v/>
          </cell>
        </row>
        <row r="22065">
          <cell r="O22065" t="str">
            <v/>
          </cell>
        </row>
        <row r="22066">
          <cell r="O22066" t="str">
            <v/>
          </cell>
        </row>
        <row r="22067">
          <cell r="O22067" t="str">
            <v/>
          </cell>
        </row>
        <row r="22068">
          <cell r="O22068" t="str">
            <v/>
          </cell>
        </row>
        <row r="22069">
          <cell r="O22069" t="str">
            <v/>
          </cell>
        </row>
        <row r="22070">
          <cell r="O22070" t="str">
            <v/>
          </cell>
        </row>
        <row r="22071">
          <cell r="O22071" t="str">
            <v/>
          </cell>
        </row>
        <row r="22072">
          <cell r="O22072" t="str">
            <v/>
          </cell>
        </row>
        <row r="22073">
          <cell r="O22073" t="str">
            <v/>
          </cell>
        </row>
        <row r="22074">
          <cell r="O22074" t="str">
            <v/>
          </cell>
        </row>
        <row r="22075">
          <cell r="O22075" t="str">
            <v/>
          </cell>
        </row>
        <row r="22076">
          <cell r="O22076" t="str">
            <v/>
          </cell>
        </row>
        <row r="22077">
          <cell r="O22077" t="str">
            <v/>
          </cell>
        </row>
        <row r="22078">
          <cell r="O22078" t="str">
            <v/>
          </cell>
        </row>
        <row r="22079">
          <cell r="O22079" t="str">
            <v/>
          </cell>
        </row>
        <row r="22080">
          <cell r="O22080" t="str">
            <v/>
          </cell>
        </row>
        <row r="22081">
          <cell r="O22081" t="str">
            <v/>
          </cell>
        </row>
        <row r="22082">
          <cell r="O22082" t="str">
            <v/>
          </cell>
        </row>
        <row r="22083">
          <cell r="O22083" t="str">
            <v/>
          </cell>
        </row>
        <row r="22084">
          <cell r="O22084" t="str">
            <v/>
          </cell>
        </row>
        <row r="22085">
          <cell r="O22085" t="str">
            <v/>
          </cell>
        </row>
        <row r="22086">
          <cell r="O22086" t="str">
            <v/>
          </cell>
        </row>
        <row r="22087">
          <cell r="O22087" t="str">
            <v/>
          </cell>
        </row>
        <row r="22088">
          <cell r="O22088" t="str">
            <v/>
          </cell>
        </row>
        <row r="22089">
          <cell r="O22089" t="str">
            <v/>
          </cell>
        </row>
        <row r="22090">
          <cell r="O22090" t="str">
            <v/>
          </cell>
        </row>
        <row r="22091">
          <cell r="O22091" t="str">
            <v/>
          </cell>
        </row>
        <row r="22092">
          <cell r="O22092" t="str">
            <v/>
          </cell>
        </row>
        <row r="22093">
          <cell r="O22093" t="str">
            <v/>
          </cell>
        </row>
        <row r="22094">
          <cell r="O22094" t="str">
            <v/>
          </cell>
        </row>
        <row r="22095">
          <cell r="O22095" t="str">
            <v/>
          </cell>
        </row>
        <row r="22096">
          <cell r="O22096" t="str">
            <v/>
          </cell>
        </row>
        <row r="22097">
          <cell r="O22097" t="str">
            <v/>
          </cell>
        </row>
        <row r="22098">
          <cell r="O22098" t="str">
            <v/>
          </cell>
        </row>
        <row r="22099">
          <cell r="O22099" t="str">
            <v/>
          </cell>
        </row>
        <row r="22100">
          <cell r="O22100" t="str">
            <v/>
          </cell>
        </row>
        <row r="22101">
          <cell r="O22101" t="str">
            <v/>
          </cell>
        </row>
        <row r="22102">
          <cell r="O22102" t="str">
            <v/>
          </cell>
        </row>
        <row r="22103">
          <cell r="O22103" t="str">
            <v/>
          </cell>
        </row>
        <row r="22104">
          <cell r="O22104" t="str">
            <v/>
          </cell>
        </row>
        <row r="22105">
          <cell r="O22105" t="str">
            <v/>
          </cell>
        </row>
        <row r="22106">
          <cell r="O22106" t="str">
            <v/>
          </cell>
        </row>
        <row r="22107">
          <cell r="O22107" t="str">
            <v/>
          </cell>
        </row>
        <row r="22108">
          <cell r="O22108" t="str">
            <v/>
          </cell>
        </row>
        <row r="22109">
          <cell r="O22109" t="str">
            <v/>
          </cell>
        </row>
        <row r="22110">
          <cell r="O22110" t="str">
            <v/>
          </cell>
        </row>
        <row r="22111">
          <cell r="O22111" t="str">
            <v/>
          </cell>
        </row>
        <row r="22112">
          <cell r="O22112" t="str">
            <v/>
          </cell>
        </row>
        <row r="22113">
          <cell r="O22113" t="str">
            <v/>
          </cell>
        </row>
        <row r="22114">
          <cell r="O22114" t="str">
            <v/>
          </cell>
        </row>
        <row r="22115">
          <cell r="O22115" t="str">
            <v/>
          </cell>
        </row>
        <row r="22116">
          <cell r="O22116" t="str">
            <v/>
          </cell>
        </row>
        <row r="22117">
          <cell r="O22117" t="str">
            <v/>
          </cell>
        </row>
        <row r="22118">
          <cell r="O22118" t="str">
            <v/>
          </cell>
        </row>
        <row r="22119">
          <cell r="O22119" t="str">
            <v/>
          </cell>
        </row>
        <row r="22120">
          <cell r="O22120" t="str">
            <v/>
          </cell>
        </row>
        <row r="22121">
          <cell r="O22121" t="str">
            <v/>
          </cell>
        </row>
        <row r="22122">
          <cell r="O22122" t="str">
            <v/>
          </cell>
        </row>
        <row r="22123">
          <cell r="O22123" t="str">
            <v/>
          </cell>
        </row>
        <row r="22124">
          <cell r="O22124" t="str">
            <v/>
          </cell>
        </row>
        <row r="22125">
          <cell r="O22125" t="str">
            <v/>
          </cell>
        </row>
        <row r="22126">
          <cell r="O22126" t="str">
            <v/>
          </cell>
        </row>
        <row r="22127">
          <cell r="O22127" t="str">
            <v/>
          </cell>
        </row>
        <row r="22128">
          <cell r="O22128" t="str">
            <v/>
          </cell>
        </row>
        <row r="22129">
          <cell r="O22129" t="str">
            <v/>
          </cell>
        </row>
        <row r="22130">
          <cell r="O22130" t="str">
            <v/>
          </cell>
        </row>
        <row r="22131">
          <cell r="O22131" t="str">
            <v/>
          </cell>
        </row>
        <row r="22132">
          <cell r="O22132" t="str">
            <v/>
          </cell>
        </row>
        <row r="22133">
          <cell r="O22133" t="str">
            <v/>
          </cell>
        </row>
        <row r="22134">
          <cell r="O22134" t="str">
            <v/>
          </cell>
        </row>
        <row r="22135">
          <cell r="O22135" t="str">
            <v/>
          </cell>
        </row>
        <row r="22136">
          <cell r="O22136" t="str">
            <v/>
          </cell>
        </row>
        <row r="22137">
          <cell r="O22137" t="str">
            <v/>
          </cell>
        </row>
        <row r="22138">
          <cell r="O22138" t="str">
            <v/>
          </cell>
        </row>
        <row r="22139">
          <cell r="O22139" t="str">
            <v/>
          </cell>
        </row>
        <row r="22140">
          <cell r="O22140" t="str">
            <v/>
          </cell>
        </row>
        <row r="22141">
          <cell r="O22141" t="str">
            <v/>
          </cell>
        </row>
        <row r="22142">
          <cell r="O22142" t="str">
            <v/>
          </cell>
        </row>
        <row r="22143">
          <cell r="O22143" t="str">
            <v/>
          </cell>
        </row>
        <row r="22144">
          <cell r="O22144" t="str">
            <v/>
          </cell>
        </row>
        <row r="22145">
          <cell r="O22145" t="str">
            <v/>
          </cell>
        </row>
        <row r="22146">
          <cell r="O22146" t="str">
            <v/>
          </cell>
        </row>
        <row r="22147">
          <cell r="O22147" t="str">
            <v/>
          </cell>
        </row>
        <row r="22148">
          <cell r="O22148" t="str">
            <v/>
          </cell>
        </row>
        <row r="22149">
          <cell r="O22149" t="str">
            <v/>
          </cell>
        </row>
        <row r="22150">
          <cell r="O22150" t="str">
            <v/>
          </cell>
        </row>
        <row r="22151">
          <cell r="O22151" t="str">
            <v/>
          </cell>
        </row>
        <row r="22152">
          <cell r="O22152" t="str">
            <v/>
          </cell>
        </row>
        <row r="22153">
          <cell r="O22153" t="str">
            <v/>
          </cell>
        </row>
        <row r="22154">
          <cell r="O22154" t="str">
            <v/>
          </cell>
        </row>
        <row r="22155">
          <cell r="O22155" t="str">
            <v/>
          </cell>
        </row>
        <row r="22156">
          <cell r="O22156" t="str">
            <v/>
          </cell>
        </row>
        <row r="22157">
          <cell r="O22157" t="str">
            <v/>
          </cell>
        </row>
        <row r="22158">
          <cell r="O22158" t="str">
            <v/>
          </cell>
        </row>
        <row r="22159">
          <cell r="O22159" t="str">
            <v/>
          </cell>
        </row>
        <row r="22160">
          <cell r="O22160" t="str">
            <v/>
          </cell>
        </row>
        <row r="22161">
          <cell r="O22161" t="str">
            <v/>
          </cell>
        </row>
        <row r="22162">
          <cell r="O22162" t="str">
            <v/>
          </cell>
        </row>
        <row r="22163">
          <cell r="O22163" t="str">
            <v/>
          </cell>
        </row>
        <row r="22164">
          <cell r="O22164" t="str">
            <v/>
          </cell>
        </row>
        <row r="22165">
          <cell r="O22165" t="str">
            <v/>
          </cell>
        </row>
        <row r="22166">
          <cell r="O22166" t="str">
            <v/>
          </cell>
        </row>
        <row r="22167">
          <cell r="O22167" t="str">
            <v/>
          </cell>
        </row>
        <row r="22168">
          <cell r="O22168" t="str">
            <v/>
          </cell>
        </row>
        <row r="22169">
          <cell r="O22169" t="str">
            <v/>
          </cell>
        </row>
        <row r="22170">
          <cell r="O22170" t="str">
            <v/>
          </cell>
        </row>
        <row r="22171">
          <cell r="O22171" t="str">
            <v/>
          </cell>
        </row>
        <row r="22172">
          <cell r="O22172" t="str">
            <v/>
          </cell>
        </row>
        <row r="22173">
          <cell r="O22173" t="str">
            <v/>
          </cell>
        </row>
        <row r="22174">
          <cell r="O22174" t="str">
            <v/>
          </cell>
        </row>
        <row r="22175">
          <cell r="O22175" t="str">
            <v/>
          </cell>
        </row>
        <row r="22176">
          <cell r="O22176" t="str">
            <v/>
          </cell>
        </row>
        <row r="22177">
          <cell r="O22177" t="str">
            <v/>
          </cell>
        </row>
        <row r="22178">
          <cell r="O22178" t="str">
            <v/>
          </cell>
        </row>
        <row r="22179">
          <cell r="O22179" t="str">
            <v/>
          </cell>
        </row>
        <row r="22180">
          <cell r="O22180" t="str">
            <v/>
          </cell>
        </row>
        <row r="22181">
          <cell r="O22181" t="str">
            <v/>
          </cell>
        </row>
        <row r="22182">
          <cell r="O22182" t="str">
            <v/>
          </cell>
        </row>
        <row r="22183">
          <cell r="O22183" t="str">
            <v/>
          </cell>
        </row>
        <row r="22184">
          <cell r="O22184" t="str">
            <v/>
          </cell>
        </row>
        <row r="22185">
          <cell r="O22185" t="str">
            <v/>
          </cell>
        </row>
        <row r="22186">
          <cell r="O22186" t="str">
            <v/>
          </cell>
        </row>
        <row r="22187">
          <cell r="O22187" t="str">
            <v/>
          </cell>
        </row>
        <row r="22188">
          <cell r="O22188" t="str">
            <v/>
          </cell>
        </row>
        <row r="22189">
          <cell r="O22189" t="str">
            <v/>
          </cell>
        </row>
        <row r="22190">
          <cell r="O22190" t="str">
            <v/>
          </cell>
        </row>
        <row r="22191">
          <cell r="O22191" t="str">
            <v/>
          </cell>
        </row>
        <row r="22192">
          <cell r="O22192" t="str">
            <v/>
          </cell>
        </row>
        <row r="22193">
          <cell r="O22193" t="str">
            <v/>
          </cell>
        </row>
        <row r="22194">
          <cell r="O22194" t="str">
            <v/>
          </cell>
        </row>
        <row r="22195">
          <cell r="O22195" t="str">
            <v/>
          </cell>
        </row>
        <row r="22196">
          <cell r="O22196" t="str">
            <v/>
          </cell>
        </row>
        <row r="22197">
          <cell r="O22197" t="str">
            <v/>
          </cell>
        </row>
        <row r="22198">
          <cell r="O22198" t="str">
            <v/>
          </cell>
        </row>
        <row r="22199">
          <cell r="O22199" t="str">
            <v/>
          </cell>
        </row>
        <row r="22200">
          <cell r="O22200" t="str">
            <v/>
          </cell>
        </row>
        <row r="22201">
          <cell r="O22201" t="str">
            <v/>
          </cell>
        </row>
        <row r="22202">
          <cell r="O22202" t="str">
            <v/>
          </cell>
        </row>
        <row r="22203">
          <cell r="O22203" t="str">
            <v/>
          </cell>
        </row>
        <row r="22204">
          <cell r="O22204" t="str">
            <v/>
          </cell>
        </row>
        <row r="22205">
          <cell r="O22205" t="str">
            <v/>
          </cell>
        </row>
        <row r="22206">
          <cell r="O22206" t="str">
            <v/>
          </cell>
        </row>
        <row r="22207">
          <cell r="O22207" t="str">
            <v/>
          </cell>
        </row>
        <row r="22208">
          <cell r="O22208" t="str">
            <v/>
          </cell>
        </row>
        <row r="22209">
          <cell r="O22209" t="str">
            <v/>
          </cell>
        </row>
        <row r="22210">
          <cell r="O22210" t="str">
            <v/>
          </cell>
        </row>
        <row r="22211">
          <cell r="O22211" t="str">
            <v/>
          </cell>
        </row>
        <row r="22212">
          <cell r="O22212" t="str">
            <v/>
          </cell>
        </row>
        <row r="22213">
          <cell r="O22213" t="str">
            <v/>
          </cell>
        </row>
        <row r="22214">
          <cell r="O22214" t="str">
            <v/>
          </cell>
        </row>
        <row r="22215">
          <cell r="O22215" t="str">
            <v/>
          </cell>
        </row>
        <row r="22216">
          <cell r="O22216" t="str">
            <v/>
          </cell>
        </row>
        <row r="22217">
          <cell r="O22217" t="str">
            <v/>
          </cell>
        </row>
        <row r="22218">
          <cell r="O22218" t="str">
            <v/>
          </cell>
        </row>
        <row r="22219">
          <cell r="O22219" t="str">
            <v/>
          </cell>
        </row>
        <row r="22220">
          <cell r="O22220" t="str">
            <v/>
          </cell>
        </row>
        <row r="22221">
          <cell r="O22221" t="str">
            <v/>
          </cell>
        </row>
        <row r="22222">
          <cell r="O22222" t="str">
            <v/>
          </cell>
        </row>
        <row r="22223">
          <cell r="O22223" t="str">
            <v/>
          </cell>
        </row>
        <row r="22224">
          <cell r="O22224" t="str">
            <v/>
          </cell>
        </row>
        <row r="22225">
          <cell r="O22225" t="str">
            <v/>
          </cell>
        </row>
        <row r="22226">
          <cell r="O22226" t="str">
            <v/>
          </cell>
        </row>
        <row r="22227">
          <cell r="O22227" t="str">
            <v/>
          </cell>
        </row>
        <row r="22228">
          <cell r="O22228" t="str">
            <v/>
          </cell>
        </row>
        <row r="22229">
          <cell r="O22229" t="str">
            <v/>
          </cell>
        </row>
        <row r="22230">
          <cell r="O22230" t="str">
            <v/>
          </cell>
        </row>
        <row r="22231">
          <cell r="O22231" t="str">
            <v/>
          </cell>
        </row>
        <row r="22232">
          <cell r="O22232" t="str">
            <v/>
          </cell>
        </row>
        <row r="22233">
          <cell r="O22233" t="str">
            <v/>
          </cell>
        </row>
        <row r="22234">
          <cell r="O22234" t="str">
            <v/>
          </cell>
        </row>
        <row r="22235">
          <cell r="O22235" t="str">
            <v/>
          </cell>
        </row>
        <row r="22236">
          <cell r="O22236" t="str">
            <v/>
          </cell>
        </row>
        <row r="22237">
          <cell r="O22237" t="str">
            <v/>
          </cell>
        </row>
        <row r="22238">
          <cell r="O22238" t="str">
            <v/>
          </cell>
        </row>
        <row r="22239">
          <cell r="O22239" t="str">
            <v/>
          </cell>
        </row>
        <row r="22240">
          <cell r="O22240" t="str">
            <v/>
          </cell>
        </row>
        <row r="22241">
          <cell r="O22241" t="str">
            <v/>
          </cell>
        </row>
        <row r="22242">
          <cell r="O22242" t="str">
            <v/>
          </cell>
        </row>
        <row r="22243">
          <cell r="O22243" t="str">
            <v/>
          </cell>
        </row>
        <row r="22244">
          <cell r="O22244" t="str">
            <v/>
          </cell>
        </row>
        <row r="22245">
          <cell r="O22245" t="str">
            <v/>
          </cell>
        </row>
        <row r="22246">
          <cell r="O22246" t="str">
            <v/>
          </cell>
        </row>
        <row r="22247">
          <cell r="O22247" t="str">
            <v/>
          </cell>
        </row>
        <row r="22248">
          <cell r="O22248" t="str">
            <v/>
          </cell>
        </row>
        <row r="22249">
          <cell r="O22249" t="str">
            <v/>
          </cell>
        </row>
        <row r="22250">
          <cell r="O22250" t="str">
            <v/>
          </cell>
        </row>
        <row r="22251">
          <cell r="O22251" t="str">
            <v/>
          </cell>
        </row>
        <row r="22252">
          <cell r="O22252" t="str">
            <v/>
          </cell>
        </row>
        <row r="22253">
          <cell r="O22253" t="str">
            <v/>
          </cell>
        </row>
        <row r="22254">
          <cell r="O22254" t="str">
            <v/>
          </cell>
        </row>
        <row r="22255">
          <cell r="O22255" t="str">
            <v/>
          </cell>
        </row>
        <row r="22256">
          <cell r="O22256" t="str">
            <v/>
          </cell>
        </row>
        <row r="22257">
          <cell r="O22257" t="str">
            <v/>
          </cell>
        </row>
        <row r="22258">
          <cell r="O22258" t="str">
            <v/>
          </cell>
        </row>
        <row r="22259">
          <cell r="O22259" t="str">
            <v/>
          </cell>
        </row>
        <row r="22260">
          <cell r="O22260" t="str">
            <v/>
          </cell>
        </row>
        <row r="22261">
          <cell r="O22261" t="str">
            <v/>
          </cell>
        </row>
        <row r="22262">
          <cell r="O22262" t="str">
            <v/>
          </cell>
        </row>
        <row r="22263">
          <cell r="O22263" t="str">
            <v/>
          </cell>
        </row>
        <row r="22264">
          <cell r="O22264" t="str">
            <v/>
          </cell>
        </row>
        <row r="22265">
          <cell r="O22265" t="str">
            <v/>
          </cell>
        </row>
        <row r="22266">
          <cell r="O22266" t="str">
            <v/>
          </cell>
        </row>
        <row r="22267">
          <cell r="O22267" t="str">
            <v/>
          </cell>
        </row>
        <row r="22268">
          <cell r="O22268" t="str">
            <v/>
          </cell>
        </row>
        <row r="22269">
          <cell r="O22269" t="str">
            <v/>
          </cell>
        </row>
        <row r="22270">
          <cell r="O22270" t="str">
            <v/>
          </cell>
        </row>
        <row r="22271">
          <cell r="O22271" t="str">
            <v/>
          </cell>
        </row>
        <row r="22272">
          <cell r="O22272" t="str">
            <v/>
          </cell>
        </row>
        <row r="22273">
          <cell r="O22273" t="str">
            <v/>
          </cell>
        </row>
        <row r="22274">
          <cell r="O22274" t="str">
            <v/>
          </cell>
        </row>
        <row r="22275">
          <cell r="O22275" t="str">
            <v/>
          </cell>
        </row>
        <row r="22276">
          <cell r="O22276" t="str">
            <v/>
          </cell>
        </row>
        <row r="22277">
          <cell r="O22277" t="str">
            <v/>
          </cell>
        </row>
        <row r="22278">
          <cell r="O22278" t="str">
            <v/>
          </cell>
        </row>
        <row r="22279">
          <cell r="O22279" t="str">
            <v/>
          </cell>
        </row>
        <row r="22280">
          <cell r="O22280" t="str">
            <v/>
          </cell>
        </row>
        <row r="22281">
          <cell r="O22281" t="str">
            <v/>
          </cell>
        </row>
        <row r="22282">
          <cell r="O22282" t="str">
            <v/>
          </cell>
        </row>
        <row r="22283">
          <cell r="O22283" t="str">
            <v/>
          </cell>
        </row>
        <row r="22284">
          <cell r="O22284" t="str">
            <v/>
          </cell>
        </row>
        <row r="22285">
          <cell r="O22285" t="str">
            <v/>
          </cell>
        </row>
        <row r="22286">
          <cell r="O22286" t="str">
            <v/>
          </cell>
        </row>
        <row r="22287">
          <cell r="O22287" t="str">
            <v/>
          </cell>
        </row>
        <row r="22288">
          <cell r="O22288" t="str">
            <v/>
          </cell>
        </row>
        <row r="22289">
          <cell r="O22289" t="str">
            <v/>
          </cell>
        </row>
        <row r="22290">
          <cell r="O22290" t="str">
            <v/>
          </cell>
        </row>
        <row r="22291">
          <cell r="O22291" t="str">
            <v/>
          </cell>
        </row>
        <row r="22292">
          <cell r="O22292" t="str">
            <v/>
          </cell>
        </row>
        <row r="22293">
          <cell r="O22293" t="str">
            <v/>
          </cell>
        </row>
        <row r="22294">
          <cell r="O22294" t="str">
            <v/>
          </cell>
        </row>
        <row r="22295">
          <cell r="O22295" t="str">
            <v/>
          </cell>
        </row>
        <row r="22296">
          <cell r="O22296" t="str">
            <v/>
          </cell>
        </row>
        <row r="22297">
          <cell r="O22297" t="str">
            <v/>
          </cell>
        </row>
        <row r="22298">
          <cell r="O22298" t="str">
            <v/>
          </cell>
        </row>
        <row r="22299">
          <cell r="O22299" t="str">
            <v/>
          </cell>
        </row>
        <row r="22300">
          <cell r="O22300" t="str">
            <v/>
          </cell>
        </row>
        <row r="22301">
          <cell r="O22301" t="str">
            <v/>
          </cell>
        </row>
        <row r="22302">
          <cell r="O22302" t="str">
            <v/>
          </cell>
        </row>
        <row r="22303">
          <cell r="O22303" t="str">
            <v/>
          </cell>
        </row>
        <row r="22304">
          <cell r="O22304" t="str">
            <v/>
          </cell>
        </row>
        <row r="22305">
          <cell r="O22305" t="str">
            <v/>
          </cell>
        </row>
        <row r="22306">
          <cell r="O22306" t="str">
            <v/>
          </cell>
        </row>
        <row r="22307">
          <cell r="O22307" t="str">
            <v/>
          </cell>
        </row>
        <row r="22308">
          <cell r="O22308" t="str">
            <v/>
          </cell>
        </row>
        <row r="22309">
          <cell r="O22309" t="str">
            <v/>
          </cell>
        </row>
        <row r="22310">
          <cell r="O22310" t="str">
            <v/>
          </cell>
        </row>
        <row r="22311">
          <cell r="O22311" t="str">
            <v/>
          </cell>
        </row>
        <row r="22312">
          <cell r="O22312" t="str">
            <v/>
          </cell>
        </row>
        <row r="22313">
          <cell r="O22313" t="str">
            <v/>
          </cell>
        </row>
        <row r="22314">
          <cell r="O22314" t="str">
            <v/>
          </cell>
        </row>
        <row r="22315">
          <cell r="O22315" t="str">
            <v/>
          </cell>
        </row>
        <row r="22316">
          <cell r="O22316" t="str">
            <v/>
          </cell>
        </row>
        <row r="22317">
          <cell r="O22317" t="str">
            <v/>
          </cell>
        </row>
        <row r="22318">
          <cell r="O22318" t="str">
            <v/>
          </cell>
        </row>
        <row r="22319">
          <cell r="O22319" t="str">
            <v/>
          </cell>
        </row>
        <row r="22320">
          <cell r="O22320" t="str">
            <v/>
          </cell>
        </row>
        <row r="22321">
          <cell r="O22321" t="str">
            <v/>
          </cell>
        </row>
        <row r="22322">
          <cell r="O22322" t="str">
            <v/>
          </cell>
        </row>
        <row r="22323">
          <cell r="O22323" t="str">
            <v/>
          </cell>
        </row>
        <row r="22324">
          <cell r="O22324" t="str">
            <v/>
          </cell>
        </row>
        <row r="22325">
          <cell r="O22325" t="str">
            <v/>
          </cell>
        </row>
        <row r="22326">
          <cell r="O22326" t="str">
            <v/>
          </cell>
        </row>
        <row r="22327">
          <cell r="O22327" t="str">
            <v/>
          </cell>
        </row>
        <row r="22328">
          <cell r="O22328" t="str">
            <v/>
          </cell>
        </row>
        <row r="22329">
          <cell r="O22329" t="str">
            <v/>
          </cell>
        </row>
        <row r="22330">
          <cell r="O22330" t="str">
            <v/>
          </cell>
        </row>
        <row r="22331">
          <cell r="O22331" t="str">
            <v/>
          </cell>
        </row>
        <row r="22332">
          <cell r="O22332" t="str">
            <v/>
          </cell>
        </row>
        <row r="22333">
          <cell r="O22333" t="str">
            <v/>
          </cell>
        </row>
        <row r="22334">
          <cell r="O22334" t="str">
            <v/>
          </cell>
        </row>
        <row r="22335">
          <cell r="O22335" t="str">
            <v/>
          </cell>
        </row>
        <row r="22336">
          <cell r="O22336" t="str">
            <v/>
          </cell>
        </row>
        <row r="22337">
          <cell r="O22337" t="str">
            <v/>
          </cell>
        </row>
        <row r="22338">
          <cell r="O22338" t="str">
            <v/>
          </cell>
        </row>
        <row r="22339">
          <cell r="O22339" t="str">
            <v/>
          </cell>
        </row>
        <row r="22340">
          <cell r="O22340" t="str">
            <v/>
          </cell>
        </row>
        <row r="22341">
          <cell r="O22341" t="str">
            <v/>
          </cell>
        </row>
        <row r="22342">
          <cell r="O22342" t="str">
            <v/>
          </cell>
        </row>
        <row r="22343">
          <cell r="O22343" t="str">
            <v/>
          </cell>
        </row>
        <row r="22344">
          <cell r="O22344" t="str">
            <v/>
          </cell>
        </row>
        <row r="22345">
          <cell r="O22345" t="str">
            <v/>
          </cell>
        </row>
        <row r="22346">
          <cell r="O22346" t="str">
            <v/>
          </cell>
        </row>
        <row r="22347">
          <cell r="O22347" t="str">
            <v/>
          </cell>
        </row>
        <row r="22348">
          <cell r="O22348" t="str">
            <v/>
          </cell>
        </row>
        <row r="22349">
          <cell r="O22349" t="str">
            <v/>
          </cell>
        </row>
        <row r="22350">
          <cell r="O22350" t="str">
            <v/>
          </cell>
        </row>
        <row r="22351">
          <cell r="O22351" t="str">
            <v/>
          </cell>
        </row>
        <row r="22352">
          <cell r="O22352" t="str">
            <v/>
          </cell>
        </row>
        <row r="22353">
          <cell r="O22353" t="str">
            <v/>
          </cell>
        </row>
        <row r="22354">
          <cell r="O22354" t="str">
            <v/>
          </cell>
        </row>
        <row r="22355">
          <cell r="O22355" t="str">
            <v/>
          </cell>
        </row>
        <row r="22356">
          <cell r="O22356" t="str">
            <v/>
          </cell>
        </row>
        <row r="22357">
          <cell r="O22357" t="str">
            <v/>
          </cell>
        </row>
        <row r="22358">
          <cell r="O22358" t="str">
            <v/>
          </cell>
        </row>
        <row r="22359">
          <cell r="O22359" t="str">
            <v/>
          </cell>
        </row>
        <row r="22360">
          <cell r="O22360" t="str">
            <v/>
          </cell>
        </row>
        <row r="22361">
          <cell r="O22361" t="str">
            <v/>
          </cell>
        </row>
        <row r="22362">
          <cell r="O22362" t="str">
            <v/>
          </cell>
        </row>
        <row r="22363">
          <cell r="O22363" t="str">
            <v/>
          </cell>
        </row>
        <row r="22364">
          <cell r="O22364" t="str">
            <v/>
          </cell>
        </row>
        <row r="22365">
          <cell r="O22365" t="str">
            <v/>
          </cell>
        </row>
        <row r="22366">
          <cell r="O22366" t="str">
            <v/>
          </cell>
        </row>
        <row r="22367">
          <cell r="O22367" t="str">
            <v/>
          </cell>
        </row>
        <row r="22368">
          <cell r="O22368" t="str">
            <v/>
          </cell>
        </row>
        <row r="22369">
          <cell r="O22369" t="str">
            <v/>
          </cell>
        </row>
        <row r="22370">
          <cell r="O22370" t="str">
            <v/>
          </cell>
        </row>
        <row r="22371">
          <cell r="O22371" t="str">
            <v/>
          </cell>
        </row>
        <row r="22372">
          <cell r="O22372" t="str">
            <v/>
          </cell>
        </row>
        <row r="22373">
          <cell r="O22373" t="str">
            <v/>
          </cell>
        </row>
        <row r="22374">
          <cell r="O22374" t="str">
            <v/>
          </cell>
        </row>
        <row r="22375">
          <cell r="O22375" t="str">
            <v/>
          </cell>
        </row>
        <row r="22376">
          <cell r="O22376" t="str">
            <v/>
          </cell>
        </row>
        <row r="22377">
          <cell r="O22377" t="str">
            <v/>
          </cell>
        </row>
        <row r="22378">
          <cell r="O22378" t="str">
            <v/>
          </cell>
        </row>
        <row r="22379">
          <cell r="O22379" t="str">
            <v/>
          </cell>
        </row>
        <row r="22380">
          <cell r="O22380" t="str">
            <v/>
          </cell>
        </row>
        <row r="22381">
          <cell r="O22381" t="str">
            <v/>
          </cell>
        </row>
        <row r="22382">
          <cell r="O22382" t="str">
            <v/>
          </cell>
        </row>
        <row r="22383">
          <cell r="O22383" t="str">
            <v/>
          </cell>
        </row>
        <row r="22384">
          <cell r="O22384" t="str">
            <v/>
          </cell>
        </row>
        <row r="22385">
          <cell r="O22385" t="str">
            <v/>
          </cell>
        </row>
        <row r="22386">
          <cell r="O22386" t="str">
            <v/>
          </cell>
        </row>
        <row r="22387">
          <cell r="O22387" t="str">
            <v/>
          </cell>
        </row>
        <row r="22388">
          <cell r="O22388" t="str">
            <v/>
          </cell>
        </row>
        <row r="22389">
          <cell r="O22389" t="str">
            <v/>
          </cell>
        </row>
        <row r="22390">
          <cell r="O22390" t="str">
            <v/>
          </cell>
        </row>
        <row r="22391">
          <cell r="O22391" t="str">
            <v/>
          </cell>
        </row>
        <row r="22392">
          <cell r="O22392" t="str">
            <v/>
          </cell>
        </row>
        <row r="22393">
          <cell r="O22393" t="str">
            <v/>
          </cell>
        </row>
        <row r="22394">
          <cell r="O22394" t="str">
            <v/>
          </cell>
        </row>
        <row r="22395">
          <cell r="O22395" t="str">
            <v/>
          </cell>
        </row>
        <row r="22396">
          <cell r="O22396" t="str">
            <v/>
          </cell>
        </row>
        <row r="22397">
          <cell r="O22397" t="str">
            <v/>
          </cell>
        </row>
        <row r="22398">
          <cell r="O22398" t="str">
            <v/>
          </cell>
        </row>
        <row r="22399">
          <cell r="O22399" t="str">
            <v/>
          </cell>
        </row>
        <row r="22400">
          <cell r="O22400" t="str">
            <v/>
          </cell>
        </row>
        <row r="22401">
          <cell r="O22401" t="str">
            <v/>
          </cell>
        </row>
        <row r="22402">
          <cell r="O22402" t="str">
            <v/>
          </cell>
        </row>
        <row r="22403">
          <cell r="O22403" t="str">
            <v/>
          </cell>
        </row>
        <row r="22404">
          <cell r="O22404" t="str">
            <v/>
          </cell>
        </row>
        <row r="22405">
          <cell r="O22405" t="str">
            <v/>
          </cell>
        </row>
        <row r="22406">
          <cell r="O22406" t="str">
            <v/>
          </cell>
        </row>
        <row r="22407">
          <cell r="O22407" t="str">
            <v/>
          </cell>
        </row>
        <row r="22408">
          <cell r="O22408" t="str">
            <v/>
          </cell>
        </row>
        <row r="22409">
          <cell r="O22409" t="str">
            <v/>
          </cell>
        </row>
        <row r="22410">
          <cell r="O22410" t="str">
            <v/>
          </cell>
        </row>
        <row r="22411">
          <cell r="O22411" t="str">
            <v/>
          </cell>
        </row>
        <row r="22412">
          <cell r="O22412" t="str">
            <v/>
          </cell>
        </row>
        <row r="22413">
          <cell r="O22413" t="str">
            <v/>
          </cell>
        </row>
        <row r="22414">
          <cell r="O22414" t="str">
            <v/>
          </cell>
        </row>
        <row r="22415">
          <cell r="O22415" t="str">
            <v/>
          </cell>
        </row>
        <row r="22416">
          <cell r="O22416" t="str">
            <v/>
          </cell>
        </row>
        <row r="22417">
          <cell r="O22417" t="str">
            <v/>
          </cell>
        </row>
        <row r="22418">
          <cell r="O22418" t="str">
            <v/>
          </cell>
        </row>
        <row r="22419">
          <cell r="O22419" t="str">
            <v/>
          </cell>
        </row>
        <row r="22420">
          <cell r="O22420" t="str">
            <v/>
          </cell>
        </row>
        <row r="22421">
          <cell r="O22421" t="str">
            <v/>
          </cell>
        </row>
        <row r="22422">
          <cell r="O22422" t="str">
            <v/>
          </cell>
        </row>
        <row r="22423">
          <cell r="O22423" t="str">
            <v/>
          </cell>
        </row>
        <row r="22424">
          <cell r="O22424" t="str">
            <v/>
          </cell>
        </row>
        <row r="22425">
          <cell r="O22425" t="str">
            <v/>
          </cell>
        </row>
        <row r="22426">
          <cell r="O22426" t="str">
            <v/>
          </cell>
        </row>
        <row r="22427">
          <cell r="O22427" t="str">
            <v/>
          </cell>
        </row>
        <row r="22428">
          <cell r="O22428" t="str">
            <v/>
          </cell>
        </row>
        <row r="22429">
          <cell r="O22429" t="str">
            <v/>
          </cell>
        </row>
        <row r="22430">
          <cell r="O22430" t="str">
            <v/>
          </cell>
        </row>
        <row r="22431">
          <cell r="O22431" t="str">
            <v/>
          </cell>
        </row>
        <row r="22432">
          <cell r="O22432" t="str">
            <v/>
          </cell>
        </row>
        <row r="22433">
          <cell r="O22433" t="str">
            <v/>
          </cell>
        </row>
        <row r="22434">
          <cell r="O22434" t="str">
            <v/>
          </cell>
        </row>
        <row r="22435">
          <cell r="O22435" t="str">
            <v/>
          </cell>
        </row>
        <row r="22436">
          <cell r="O22436" t="str">
            <v/>
          </cell>
        </row>
        <row r="22437">
          <cell r="O22437" t="str">
            <v/>
          </cell>
        </row>
        <row r="22438">
          <cell r="O22438" t="str">
            <v/>
          </cell>
        </row>
        <row r="22439">
          <cell r="O22439" t="str">
            <v/>
          </cell>
        </row>
        <row r="22440">
          <cell r="O22440" t="str">
            <v/>
          </cell>
        </row>
        <row r="22441">
          <cell r="O22441" t="str">
            <v/>
          </cell>
        </row>
        <row r="22442">
          <cell r="O22442" t="str">
            <v/>
          </cell>
        </row>
        <row r="22443">
          <cell r="O22443" t="str">
            <v/>
          </cell>
        </row>
        <row r="22444">
          <cell r="O22444" t="str">
            <v/>
          </cell>
        </row>
        <row r="22445">
          <cell r="O22445" t="str">
            <v/>
          </cell>
        </row>
        <row r="22446">
          <cell r="O22446" t="str">
            <v/>
          </cell>
        </row>
        <row r="22447">
          <cell r="O22447" t="str">
            <v/>
          </cell>
        </row>
        <row r="22448">
          <cell r="O22448" t="str">
            <v/>
          </cell>
        </row>
        <row r="22449">
          <cell r="O22449" t="str">
            <v/>
          </cell>
        </row>
        <row r="22450">
          <cell r="O22450" t="str">
            <v/>
          </cell>
        </row>
        <row r="22451">
          <cell r="O22451" t="str">
            <v/>
          </cell>
        </row>
        <row r="22452">
          <cell r="O22452" t="str">
            <v/>
          </cell>
        </row>
        <row r="22453">
          <cell r="O22453" t="str">
            <v/>
          </cell>
        </row>
        <row r="22454">
          <cell r="O22454" t="str">
            <v/>
          </cell>
        </row>
        <row r="22455">
          <cell r="O22455" t="str">
            <v/>
          </cell>
        </row>
        <row r="22456">
          <cell r="O22456" t="str">
            <v/>
          </cell>
        </row>
        <row r="22457">
          <cell r="O22457" t="str">
            <v/>
          </cell>
        </row>
        <row r="22458">
          <cell r="O22458" t="str">
            <v/>
          </cell>
        </row>
        <row r="22459">
          <cell r="O22459" t="str">
            <v/>
          </cell>
        </row>
        <row r="22460">
          <cell r="O22460" t="str">
            <v/>
          </cell>
        </row>
        <row r="22461">
          <cell r="O22461" t="str">
            <v/>
          </cell>
        </row>
        <row r="22462">
          <cell r="O22462" t="str">
            <v/>
          </cell>
        </row>
        <row r="22463">
          <cell r="O22463" t="str">
            <v/>
          </cell>
        </row>
        <row r="22464">
          <cell r="O22464" t="str">
            <v/>
          </cell>
        </row>
        <row r="22465">
          <cell r="O22465" t="str">
            <v/>
          </cell>
        </row>
        <row r="22466">
          <cell r="O22466" t="str">
            <v/>
          </cell>
        </row>
        <row r="22467">
          <cell r="O22467" t="str">
            <v/>
          </cell>
        </row>
        <row r="22468">
          <cell r="O22468" t="str">
            <v/>
          </cell>
        </row>
        <row r="22469">
          <cell r="O22469" t="str">
            <v/>
          </cell>
        </row>
        <row r="22470">
          <cell r="O22470" t="str">
            <v/>
          </cell>
        </row>
        <row r="22471">
          <cell r="O22471" t="str">
            <v/>
          </cell>
        </row>
        <row r="22472">
          <cell r="O22472" t="str">
            <v/>
          </cell>
        </row>
        <row r="22473">
          <cell r="O22473" t="str">
            <v/>
          </cell>
        </row>
        <row r="22474">
          <cell r="O22474" t="str">
            <v/>
          </cell>
        </row>
        <row r="22475">
          <cell r="O22475" t="str">
            <v/>
          </cell>
        </row>
        <row r="22476">
          <cell r="O22476" t="str">
            <v/>
          </cell>
        </row>
        <row r="22477">
          <cell r="O22477" t="str">
            <v/>
          </cell>
        </row>
        <row r="22478">
          <cell r="O22478" t="str">
            <v/>
          </cell>
        </row>
        <row r="22479">
          <cell r="O22479" t="str">
            <v/>
          </cell>
        </row>
        <row r="22480">
          <cell r="O22480" t="str">
            <v/>
          </cell>
        </row>
        <row r="22481">
          <cell r="O22481" t="str">
            <v/>
          </cell>
        </row>
        <row r="22482">
          <cell r="O22482" t="str">
            <v/>
          </cell>
        </row>
        <row r="22483">
          <cell r="O22483" t="str">
            <v/>
          </cell>
        </row>
        <row r="22484">
          <cell r="O22484" t="str">
            <v/>
          </cell>
        </row>
        <row r="22485">
          <cell r="O22485" t="str">
            <v/>
          </cell>
        </row>
        <row r="22486">
          <cell r="O22486" t="str">
            <v/>
          </cell>
        </row>
        <row r="22487">
          <cell r="O22487" t="str">
            <v/>
          </cell>
        </row>
        <row r="22488">
          <cell r="O22488" t="str">
            <v/>
          </cell>
        </row>
        <row r="22489">
          <cell r="O22489" t="str">
            <v/>
          </cell>
        </row>
        <row r="22490">
          <cell r="O22490" t="str">
            <v/>
          </cell>
        </row>
        <row r="22491">
          <cell r="O22491" t="str">
            <v/>
          </cell>
        </row>
        <row r="22492">
          <cell r="O22492" t="str">
            <v/>
          </cell>
        </row>
        <row r="22493">
          <cell r="O22493" t="str">
            <v/>
          </cell>
        </row>
        <row r="22494">
          <cell r="O22494" t="str">
            <v/>
          </cell>
        </row>
        <row r="22495">
          <cell r="O22495" t="str">
            <v/>
          </cell>
        </row>
        <row r="22496">
          <cell r="O22496" t="str">
            <v/>
          </cell>
        </row>
        <row r="22497">
          <cell r="O22497" t="str">
            <v/>
          </cell>
        </row>
        <row r="22498">
          <cell r="O22498" t="str">
            <v/>
          </cell>
        </row>
        <row r="22499">
          <cell r="O22499" t="str">
            <v/>
          </cell>
        </row>
        <row r="22500">
          <cell r="O22500" t="str">
            <v/>
          </cell>
        </row>
        <row r="22501">
          <cell r="O22501" t="str">
            <v/>
          </cell>
        </row>
        <row r="22502">
          <cell r="O22502" t="str">
            <v/>
          </cell>
        </row>
        <row r="22503">
          <cell r="O22503" t="str">
            <v/>
          </cell>
        </row>
        <row r="22504">
          <cell r="O22504" t="str">
            <v/>
          </cell>
        </row>
        <row r="22505">
          <cell r="O22505" t="str">
            <v/>
          </cell>
        </row>
        <row r="22506">
          <cell r="O22506" t="str">
            <v/>
          </cell>
        </row>
        <row r="22507">
          <cell r="O22507" t="str">
            <v/>
          </cell>
        </row>
        <row r="22508">
          <cell r="O22508" t="str">
            <v/>
          </cell>
        </row>
        <row r="22509">
          <cell r="O22509" t="str">
            <v/>
          </cell>
        </row>
        <row r="22510">
          <cell r="O22510" t="str">
            <v/>
          </cell>
        </row>
        <row r="22511">
          <cell r="O22511" t="str">
            <v/>
          </cell>
        </row>
        <row r="22512">
          <cell r="O22512" t="str">
            <v/>
          </cell>
        </row>
        <row r="22513">
          <cell r="O22513" t="str">
            <v/>
          </cell>
        </row>
        <row r="22514">
          <cell r="O22514" t="str">
            <v/>
          </cell>
        </row>
        <row r="22515">
          <cell r="O22515" t="str">
            <v/>
          </cell>
        </row>
        <row r="22516">
          <cell r="O22516" t="str">
            <v/>
          </cell>
        </row>
        <row r="22517">
          <cell r="O22517" t="str">
            <v/>
          </cell>
        </row>
        <row r="22518">
          <cell r="O22518" t="str">
            <v/>
          </cell>
        </row>
        <row r="22519">
          <cell r="O22519" t="str">
            <v/>
          </cell>
        </row>
        <row r="22520">
          <cell r="O22520" t="str">
            <v/>
          </cell>
        </row>
        <row r="22521">
          <cell r="O22521" t="str">
            <v/>
          </cell>
        </row>
        <row r="22522">
          <cell r="O22522" t="str">
            <v/>
          </cell>
        </row>
        <row r="22523">
          <cell r="O22523" t="str">
            <v/>
          </cell>
        </row>
        <row r="22524">
          <cell r="O22524" t="str">
            <v/>
          </cell>
        </row>
        <row r="22525">
          <cell r="O22525" t="str">
            <v/>
          </cell>
        </row>
        <row r="22526">
          <cell r="O22526" t="str">
            <v/>
          </cell>
        </row>
        <row r="22527">
          <cell r="O22527" t="str">
            <v/>
          </cell>
        </row>
        <row r="22528">
          <cell r="O22528" t="str">
            <v/>
          </cell>
        </row>
        <row r="22529">
          <cell r="O22529" t="str">
            <v/>
          </cell>
        </row>
        <row r="22530">
          <cell r="O22530" t="str">
            <v/>
          </cell>
        </row>
        <row r="22531">
          <cell r="O22531" t="str">
            <v/>
          </cell>
        </row>
        <row r="22532">
          <cell r="O22532" t="str">
            <v/>
          </cell>
        </row>
        <row r="22533">
          <cell r="O22533" t="str">
            <v/>
          </cell>
        </row>
        <row r="22534">
          <cell r="O22534" t="str">
            <v/>
          </cell>
        </row>
        <row r="22535">
          <cell r="O22535" t="str">
            <v/>
          </cell>
        </row>
        <row r="22536">
          <cell r="O22536" t="str">
            <v/>
          </cell>
        </row>
        <row r="22537">
          <cell r="O22537" t="str">
            <v/>
          </cell>
        </row>
        <row r="22538">
          <cell r="O22538" t="str">
            <v/>
          </cell>
        </row>
        <row r="22539">
          <cell r="O22539" t="str">
            <v/>
          </cell>
        </row>
        <row r="22540">
          <cell r="O22540" t="str">
            <v/>
          </cell>
        </row>
        <row r="22541">
          <cell r="O22541" t="str">
            <v/>
          </cell>
        </row>
        <row r="22542">
          <cell r="O22542" t="str">
            <v/>
          </cell>
        </row>
        <row r="22543">
          <cell r="O22543" t="str">
            <v/>
          </cell>
        </row>
        <row r="22544">
          <cell r="O22544" t="str">
            <v/>
          </cell>
        </row>
        <row r="22545">
          <cell r="O22545" t="str">
            <v/>
          </cell>
        </row>
        <row r="22546">
          <cell r="O22546" t="str">
            <v/>
          </cell>
        </row>
        <row r="22547">
          <cell r="O22547" t="str">
            <v/>
          </cell>
        </row>
        <row r="22548">
          <cell r="O22548" t="str">
            <v/>
          </cell>
        </row>
        <row r="22549">
          <cell r="O22549" t="str">
            <v/>
          </cell>
        </row>
        <row r="22550">
          <cell r="O22550" t="str">
            <v/>
          </cell>
        </row>
        <row r="22551">
          <cell r="O22551" t="str">
            <v/>
          </cell>
        </row>
        <row r="22552">
          <cell r="O22552" t="str">
            <v/>
          </cell>
        </row>
        <row r="22553">
          <cell r="O22553" t="str">
            <v/>
          </cell>
        </row>
        <row r="22554">
          <cell r="O22554" t="str">
            <v/>
          </cell>
        </row>
        <row r="22555">
          <cell r="O22555" t="str">
            <v/>
          </cell>
        </row>
        <row r="22556">
          <cell r="O22556" t="str">
            <v/>
          </cell>
        </row>
        <row r="22557">
          <cell r="O22557" t="str">
            <v/>
          </cell>
        </row>
        <row r="22558">
          <cell r="O22558" t="str">
            <v/>
          </cell>
        </row>
        <row r="22559">
          <cell r="O22559" t="str">
            <v/>
          </cell>
        </row>
        <row r="22560">
          <cell r="O22560" t="str">
            <v/>
          </cell>
        </row>
        <row r="22561">
          <cell r="O22561" t="str">
            <v/>
          </cell>
        </row>
        <row r="22562">
          <cell r="O22562" t="str">
            <v/>
          </cell>
        </row>
        <row r="22563">
          <cell r="O22563" t="str">
            <v/>
          </cell>
        </row>
        <row r="22564">
          <cell r="O22564" t="str">
            <v/>
          </cell>
        </row>
        <row r="22565">
          <cell r="O22565" t="str">
            <v/>
          </cell>
        </row>
        <row r="22566">
          <cell r="O22566" t="str">
            <v/>
          </cell>
        </row>
        <row r="22567">
          <cell r="O22567" t="str">
            <v/>
          </cell>
        </row>
        <row r="22568">
          <cell r="O22568" t="str">
            <v/>
          </cell>
        </row>
        <row r="22569">
          <cell r="O22569" t="str">
            <v/>
          </cell>
        </row>
        <row r="22570">
          <cell r="O22570" t="str">
            <v/>
          </cell>
        </row>
        <row r="22571">
          <cell r="O22571" t="str">
            <v/>
          </cell>
        </row>
        <row r="22572">
          <cell r="O22572" t="str">
            <v/>
          </cell>
        </row>
        <row r="22573">
          <cell r="O22573" t="str">
            <v/>
          </cell>
        </row>
        <row r="22574">
          <cell r="O22574" t="str">
            <v/>
          </cell>
        </row>
        <row r="22575">
          <cell r="O22575" t="str">
            <v/>
          </cell>
        </row>
        <row r="22576">
          <cell r="O22576" t="str">
            <v/>
          </cell>
        </row>
        <row r="22577">
          <cell r="O22577" t="str">
            <v/>
          </cell>
        </row>
        <row r="22578">
          <cell r="O22578" t="str">
            <v/>
          </cell>
        </row>
        <row r="22579">
          <cell r="O22579" t="str">
            <v/>
          </cell>
        </row>
        <row r="22580">
          <cell r="O22580" t="str">
            <v/>
          </cell>
        </row>
        <row r="22581">
          <cell r="O22581" t="str">
            <v/>
          </cell>
        </row>
        <row r="22582">
          <cell r="O22582" t="str">
            <v/>
          </cell>
        </row>
        <row r="22583">
          <cell r="O22583" t="str">
            <v/>
          </cell>
        </row>
        <row r="22584">
          <cell r="O22584" t="str">
            <v/>
          </cell>
        </row>
        <row r="22585">
          <cell r="O22585" t="str">
            <v/>
          </cell>
        </row>
        <row r="22586">
          <cell r="O22586" t="str">
            <v/>
          </cell>
        </row>
        <row r="22587">
          <cell r="O22587" t="str">
            <v/>
          </cell>
        </row>
        <row r="22588">
          <cell r="O22588" t="str">
            <v/>
          </cell>
        </row>
        <row r="22589">
          <cell r="O22589" t="str">
            <v/>
          </cell>
        </row>
        <row r="22590">
          <cell r="O22590" t="str">
            <v/>
          </cell>
        </row>
        <row r="22591">
          <cell r="O22591" t="str">
            <v/>
          </cell>
        </row>
        <row r="22592">
          <cell r="O22592" t="str">
            <v/>
          </cell>
        </row>
        <row r="22593">
          <cell r="O22593" t="str">
            <v/>
          </cell>
        </row>
        <row r="22594">
          <cell r="O22594" t="str">
            <v/>
          </cell>
        </row>
        <row r="22595">
          <cell r="O22595" t="str">
            <v/>
          </cell>
        </row>
        <row r="22596">
          <cell r="O22596" t="str">
            <v/>
          </cell>
        </row>
        <row r="22597">
          <cell r="O22597" t="str">
            <v/>
          </cell>
        </row>
        <row r="22598">
          <cell r="O22598" t="str">
            <v/>
          </cell>
        </row>
        <row r="22599">
          <cell r="O22599" t="str">
            <v/>
          </cell>
        </row>
        <row r="22600">
          <cell r="O22600" t="str">
            <v/>
          </cell>
        </row>
        <row r="22601">
          <cell r="O22601" t="str">
            <v/>
          </cell>
        </row>
        <row r="22602">
          <cell r="O22602" t="str">
            <v/>
          </cell>
        </row>
        <row r="22603">
          <cell r="O22603" t="str">
            <v/>
          </cell>
        </row>
        <row r="22604">
          <cell r="O22604" t="str">
            <v/>
          </cell>
        </row>
        <row r="22605">
          <cell r="O22605" t="str">
            <v/>
          </cell>
        </row>
        <row r="22606">
          <cell r="O22606" t="str">
            <v/>
          </cell>
        </row>
        <row r="22607">
          <cell r="O22607" t="str">
            <v/>
          </cell>
        </row>
        <row r="22608">
          <cell r="O22608" t="str">
            <v/>
          </cell>
        </row>
        <row r="22609">
          <cell r="O22609" t="str">
            <v/>
          </cell>
        </row>
        <row r="22610">
          <cell r="O22610" t="str">
            <v/>
          </cell>
        </row>
        <row r="22611">
          <cell r="O22611" t="str">
            <v/>
          </cell>
        </row>
        <row r="22612">
          <cell r="O22612" t="str">
            <v/>
          </cell>
        </row>
        <row r="22613">
          <cell r="O22613" t="str">
            <v/>
          </cell>
        </row>
        <row r="22614">
          <cell r="O22614" t="str">
            <v/>
          </cell>
        </row>
        <row r="22615">
          <cell r="O22615" t="str">
            <v/>
          </cell>
        </row>
        <row r="22616">
          <cell r="O22616" t="str">
            <v/>
          </cell>
        </row>
        <row r="22617">
          <cell r="O22617" t="str">
            <v/>
          </cell>
        </row>
        <row r="22618">
          <cell r="O22618" t="str">
            <v/>
          </cell>
        </row>
        <row r="22619">
          <cell r="O22619" t="str">
            <v/>
          </cell>
        </row>
        <row r="22620">
          <cell r="O22620" t="str">
            <v/>
          </cell>
        </row>
        <row r="22621">
          <cell r="O22621" t="str">
            <v/>
          </cell>
        </row>
        <row r="22622">
          <cell r="O22622" t="str">
            <v/>
          </cell>
        </row>
        <row r="22623">
          <cell r="O22623" t="str">
            <v/>
          </cell>
        </row>
        <row r="22624">
          <cell r="O22624" t="str">
            <v/>
          </cell>
        </row>
        <row r="22625">
          <cell r="O22625" t="str">
            <v/>
          </cell>
        </row>
        <row r="22626">
          <cell r="O22626" t="str">
            <v/>
          </cell>
        </row>
        <row r="22627">
          <cell r="O22627" t="str">
            <v/>
          </cell>
        </row>
        <row r="22628">
          <cell r="O22628" t="str">
            <v/>
          </cell>
        </row>
        <row r="22629">
          <cell r="O22629" t="str">
            <v/>
          </cell>
        </row>
        <row r="22630">
          <cell r="O22630" t="str">
            <v/>
          </cell>
        </row>
        <row r="22631">
          <cell r="O22631" t="str">
            <v/>
          </cell>
        </row>
        <row r="22632">
          <cell r="O22632" t="str">
            <v/>
          </cell>
        </row>
        <row r="22633">
          <cell r="O22633" t="str">
            <v/>
          </cell>
        </row>
        <row r="22634">
          <cell r="O22634" t="str">
            <v/>
          </cell>
        </row>
        <row r="22635">
          <cell r="O22635" t="str">
            <v/>
          </cell>
        </row>
        <row r="22636">
          <cell r="O22636" t="str">
            <v/>
          </cell>
        </row>
        <row r="22637">
          <cell r="O22637" t="str">
            <v/>
          </cell>
        </row>
        <row r="22638">
          <cell r="O22638" t="str">
            <v/>
          </cell>
        </row>
        <row r="22639">
          <cell r="O22639" t="str">
            <v/>
          </cell>
        </row>
        <row r="22640">
          <cell r="O22640" t="str">
            <v/>
          </cell>
        </row>
        <row r="22641">
          <cell r="O22641" t="str">
            <v/>
          </cell>
        </row>
        <row r="22642">
          <cell r="O22642" t="str">
            <v/>
          </cell>
        </row>
        <row r="22643">
          <cell r="O22643" t="str">
            <v/>
          </cell>
        </row>
        <row r="22644">
          <cell r="O22644" t="str">
            <v/>
          </cell>
        </row>
        <row r="22645">
          <cell r="O22645" t="str">
            <v/>
          </cell>
        </row>
        <row r="22646">
          <cell r="O22646" t="str">
            <v/>
          </cell>
        </row>
        <row r="22647">
          <cell r="O22647" t="str">
            <v/>
          </cell>
        </row>
        <row r="22648">
          <cell r="O22648" t="str">
            <v/>
          </cell>
        </row>
        <row r="22649">
          <cell r="O22649" t="str">
            <v/>
          </cell>
        </row>
        <row r="22650">
          <cell r="O22650" t="str">
            <v/>
          </cell>
        </row>
        <row r="22651">
          <cell r="O22651" t="str">
            <v/>
          </cell>
        </row>
        <row r="22652">
          <cell r="O22652" t="str">
            <v/>
          </cell>
        </row>
        <row r="22653">
          <cell r="O22653" t="str">
            <v/>
          </cell>
        </row>
        <row r="22654">
          <cell r="O22654" t="str">
            <v/>
          </cell>
        </row>
        <row r="22655">
          <cell r="O22655" t="str">
            <v/>
          </cell>
        </row>
        <row r="22656">
          <cell r="O22656" t="str">
            <v/>
          </cell>
        </row>
        <row r="22657">
          <cell r="O22657" t="str">
            <v/>
          </cell>
        </row>
        <row r="22658">
          <cell r="O22658" t="str">
            <v/>
          </cell>
        </row>
        <row r="22659">
          <cell r="O22659" t="str">
            <v/>
          </cell>
        </row>
        <row r="22660">
          <cell r="O22660" t="str">
            <v/>
          </cell>
        </row>
        <row r="22661">
          <cell r="O22661" t="str">
            <v/>
          </cell>
        </row>
        <row r="22662">
          <cell r="O22662" t="str">
            <v/>
          </cell>
        </row>
        <row r="22663">
          <cell r="O22663" t="str">
            <v/>
          </cell>
        </row>
        <row r="22664">
          <cell r="O22664" t="str">
            <v/>
          </cell>
        </row>
        <row r="22665">
          <cell r="O22665" t="str">
            <v/>
          </cell>
        </row>
        <row r="22666">
          <cell r="O22666" t="str">
            <v/>
          </cell>
        </row>
        <row r="22667">
          <cell r="O22667" t="str">
            <v/>
          </cell>
        </row>
        <row r="22668">
          <cell r="O22668" t="str">
            <v/>
          </cell>
        </row>
        <row r="22669">
          <cell r="O22669" t="str">
            <v/>
          </cell>
        </row>
        <row r="22670">
          <cell r="O22670" t="str">
            <v/>
          </cell>
        </row>
        <row r="22671">
          <cell r="O22671" t="str">
            <v/>
          </cell>
        </row>
        <row r="22672">
          <cell r="O22672" t="str">
            <v/>
          </cell>
        </row>
        <row r="22673">
          <cell r="O22673" t="str">
            <v/>
          </cell>
        </row>
        <row r="22674">
          <cell r="O22674" t="str">
            <v/>
          </cell>
        </row>
        <row r="22675">
          <cell r="O22675" t="str">
            <v/>
          </cell>
        </row>
        <row r="22676">
          <cell r="O22676" t="str">
            <v/>
          </cell>
        </row>
        <row r="22677">
          <cell r="O22677" t="str">
            <v/>
          </cell>
        </row>
        <row r="22678">
          <cell r="O22678" t="str">
            <v/>
          </cell>
        </row>
        <row r="22679">
          <cell r="O22679" t="str">
            <v/>
          </cell>
        </row>
        <row r="22680">
          <cell r="O22680" t="str">
            <v/>
          </cell>
        </row>
        <row r="22681">
          <cell r="O22681" t="str">
            <v/>
          </cell>
        </row>
        <row r="22682">
          <cell r="O22682" t="str">
            <v/>
          </cell>
        </row>
        <row r="22683">
          <cell r="O22683" t="str">
            <v/>
          </cell>
        </row>
        <row r="22684">
          <cell r="O22684" t="str">
            <v/>
          </cell>
        </row>
        <row r="22685">
          <cell r="O22685" t="str">
            <v/>
          </cell>
        </row>
        <row r="22686">
          <cell r="O22686" t="str">
            <v/>
          </cell>
        </row>
        <row r="22687">
          <cell r="O22687" t="str">
            <v/>
          </cell>
        </row>
        <row r="22688">
          <cell r="O22688" t="str">
            <v/>
          </cell>
        </row>
        <row r="22689">
          <cell r="O22689" t="str">
            <v/>
          </cell>
        </row>
        <row r="22690">
          <cell r="O22690" t="str">
            <v/>
          </cell>
        </row>
        <row r="22691">
          <cell r="O22691" t="str">
            <v/>
          </cell>
        </row>
        <row r="22692">
          <cell r="O22692" t="str">
            <v/>
          </cell>
        </row>
        <row r="22693">
          <cell r="O22693" t="str">
            <v/>
          </cell>
        </row>
        <row r="22694">
          <cell r="O22694" t="str">
            <v/>
          </cell>
        </row>
        <row r="22695">
          <cell r="O22695" t="str">
            <v/>
          </cell>
        </row>
        <row r="22696">
          <cell r="O22696" t="str">
            <v/>
          </cell>
        </row>
        <row r="22697">
          <cell r="O22697" t="str">
            <v/>
          </cell>
        </row>
        <row r="22698">
          <cell r="O22698" t="str">
            <v/>
          </cell>
        </row>
        <row r="22699">
          <cell r="O22699" t="str">
            <v/>
          </cell>
        </row>
        <row r="22700">
          <cell r="O22700" t="str">
            <v/>
          </cell>
        </row>
        <row r="22701">
          <cell r="O22701" t="str">
            <v/>
          </cell>
        </row>
        <row r="22702">
          <cell r="O22702" t="str">
            <v/>
          </cell>
        </row>
        <row r="22703">
          <cell r="O22703" t="str">
            <v/>
          </cell>
        </row>
        <row r="22704">
          <cell r="O22704" t="str">
            <v/>
          </cell>
        </row>
        <row r="22705">
          <cell r="O22705" t="str">
            <v/>
          </cell>
        </row>
        <row r="22706">
          <cell r="O22706" t="str">
            <v/>
          </cell>
        </row>
        <row r="22707">
          <cell r="O22707" t="str">
            <v/>
          </cell>
        </row>
        <row r="22708">
          <cell r="O22708" t="str">
            <v/>
          </cell>
        </row>
        <row r="22709">
          <cell r="O22709" t="str">
            <v/>
          </cell>
        </row>
        <row r="22710">
          <cell r="O22710" t="str">
            <v/>
          </cell>
        </row>
        <row r="22711">
          <cell r="O22711" t="str">
            <v/>
          </cell>
        </row>
        <row r="22712">
          <cell r="O22712" t="str">
            <v/>
          </cell>
        </row>
        <row r="22713">
          <cell r="O22713" t="str">
            <v/>
          </cell>
        </row>
        <row r="22714">
          <cell r="O22714" t="str">
            <v/>
          </cell>
        </row>
        <row r="22715">
          <cell r="O22715" t="str">
            <v/>
          </cell>
        </row>
        <row r="22716">
          <cell r="O22716" t="str">
            <v/>
          </cell>
        </row>
        <row r="22717">
          <cell r="O22717" t="str">
            <v/>
          </cell>
        </row>
        <row r="22718">
          <cell r="O22718" t="str">
            <v/>
          </cell>
        </row>
        <row r="22719">
          <cell r="O22719" t="str">
            <v/>
          </cell>
        </row>
        <row r="22720">
          <cell r="O22720" t="str">
            <v/>
          </cell>
        </row>
        <row r="22721">
          <cell r="O22721" t="str">
            <v/>
          </cell>
        </row>
        <row r="22722">
          <cell r="O22722" t="str">
            <v/>
          </cell>
        </row>
        <row r="22723">
          <cell r="O22723" t="str">
            <v/>
          </cell>
        </row>
        <row r="22724">
          <cell r="O22724" t="str">
            <v/>
          </cell>
        </row>
        <row r="22725">
          <cell r="O22725" t="str">
            <v/>
          </cell>
        </row>
        <row r="22726">
          <cell r="O22726" t="str">
            <v/>
          </cell>
        </row>
        <row r="22727">
          <cell r="O22727" t="str">
            <v/>
          </cell>
        </row>
        <row r="22728">
          <cell r="O22728" t="str">
            <v/>
          </cell>
        </row>
        <row r="22729">
          <cell r="O22729" t="str">
            <v/>
          </cell>
        </row>
        <row r="22730">
          <cell r="O22730" t="str">
            <v/>
          </cell>
        </row>
        <row r="22731">
          <cell r="O22731" t="str">
            <v/>
          </cell>
        </row>
        <row r="22732">
          <cell r="O22732" t="str">
            <v/>
          </cell>
        </row>
        <row r="22733">
          <cell r="O22733" t="str">
            <v/>
          </cell>
        </row>
        <row r="22734">
          <cell r="O22734" t="str">
            <v/>
          </cell>
        </row>
        <row r="22735">
          <cell r="O22735" t="str">
            <v/>
          </cell>
        </row>
        <row r="22736">
          <cell r="O22736" t="str">
            <v/>
          </cell>
        </row>
        <row r="22737">
          <cell r="O22737" t="str">
            <v/>
          </cell>
        </row>
        <row r="22738">
          <cell r="O22738" t="str">
            <v/>
          </cell>
        </row>
        <row r="22739">
          <cell r="O22739" t="str">
            <v/>
          </cell>
        </row>
        <row r="22740">
          <cell r="O22740" t="str">
            <v/>
          </cell>
        </row>
        <row r="22741">
          <cell r="O22741" t="str">
            <v/>
          </cell>
        </row>
        <row r="22742">
          <cell r="O22742" t="str">
            <v/>
          </cell>
        </row>
        <row r="22743">
          <cell r="O22743" t="str">
            <v/>
          </cell>
        </row>
        <row r="22744">
          <cell r="O22744" t="str">
            <v/>
          </cell>
        </row>
        <row r="22745">
          <cell r="O22745" t="str">
            <v/>
          </cell>
        </row>
        <row r="22746">
          <cell r="O22746" t="str">
            <v/>
          </cell>
        </row>
        <row r="22747">
          <cell r="O22747" t="str">
            <v/>
          </cell>
        </row>
        <row r="22748">
          <cell r="O22748" t="str">
            <v/>
          </cell>
        </row>
        <row r="22749">
          <cell r="O22749" t="str">
            <v/>
          </cell>
        </row>
        <row r="22750">
          <cell r="O22750" t="str">
            <v/>
          </cell>
        </row>
        <row r="22751">
          <cell r="O22751" t="str">
            <v/>
          </cell>
        </row>
        <row r="22752">
          <cell r="O22752" t="str">
            <v/>
          </cell>
        </row>
        <row r="22753">
          <cell r="O22753" t="str">
            <v/>
          </cell>
        </row>
        <row r="22754">
          <cell r="O22754" t="str">
            <v/>
          </cell>
        </row>
        <row r="22755">
          <cell r="O22755" t="str">
            <v/>
          </cell>
        </row>
        <row r="22756">
          <cell r="O22756" t="str">
            <v/>
          </cell>
        </row>
        <row r="22757">
          <cell r="O22757" t="str">
            <v/>
          </cell>
        </row>
        <row r="22758">
          <cell r="O22758" t="str">
            <v/>
          </cell>
        </row>
        <row r="22759">
          <cell r="O22759" t="str">
            <v/>
          </cell>
        </row>
        <row r="22760">
          <cell r="O22760" t="str">
            <v/>
          </cell>
        </row>
        <row r="22761">
          <cell r="O22761" t="str">
            <v/>
          </cell>
        </row>
        <row r="22762">
          <cell r="O22762" t="str">
            <v/>
          </cell>
        </row>
        <row r="22763">
          <cell r="O22763" t="str">
            <v/>
          </cell>
        </row>
        <row r="22764">
          <cell r="O22764" t="str">
            <v/>
          </cell>
        </row>
        <row r="22765">
          <cell r="O22765" t="str">
            <v/>
          </cell>
        </row>
        <row r="22766">
          <cell r="O22766" t="str">
            <v/>
          </cell>
        </row>
        <row r="22767">
          <cell r="O22767" t="str">
            <v/>
          </cell>
        </row>
        <row r="22768">
          <cell r="O22768" t="str">
            <v/>
          </cell>
        </row>
        <row r="22769">
          <cell r="O22769" t="str">
            <v/>
          </cell>
        </row>
        <row r="22770">
          <cell r="O22770" t="str">
            <v/>
          </cell>
        </row>
        <row r="22771">
          <cell r="O22771" t="str">
            <v/>
          </cell>
        </row>
        <row r="22772">
          <cell r="O22772" t="str">
            <v/>
          </cell>
        </row>
        <row r="22773">
          <cell r="O22773" t="str">
            <v/>
          </cell>
        </row>
        <row r="22774">
          <cell r="O22774" t="str">
            <v/>
          </cell>
        </row>
        <row r="22775">
          <cell r="O22775" t="str">
            <v/>
          </cell>
        </row>
        <row r="22776">
          <cell r="O22776" t="str">
            <v/>
          </cell>
        </row>
        <row r="22777">
          <cell r="O22777" t="str">
            <v/>
          </cell>
        </row>
        <row r="22778">
          <cell r="O22778" t="str">
            <v/>
          </cell>
        </row>
        <row r="22779">
          <cell r="O22779" t="str">
            <v/>
          </cell>
        </row>
        <row r="22780">
          <cell r="O22780" t="str">
            <v/>
          </cell>
        </row>
        <row r="22781">
          <cell r="O22781" t="str">
            <v/>
          </cell>
        </row>
        <row r="22782">
          <cell r="O22782" t="str">
            <v/>
          </cell>
        </row>
        <row r="22783">
          <cell r="O22783" t="str">
            <v/>
          </cell>
        </row>
        <row r="22784">
          <cell r="O22784" t="str">
            <v/>
          </cell>
        </row>
        <row r="22785">
          <cell r="O22785" t="str">
            <v/>
          </cell>
        </row>
        <row r="22786">
          <cell r="O22786" t="str">
            <v/>
          </cell>
        </row>
        <row r="22787">
          <cell r="O22787" t="str">
            <v/>
          </cell>
        </row>
        <row r="22788">
          <cell r="O22788" t="str">
            <v/>
          </cell>
        </row>
        <row r="22789">
          <cell r="O22789" t="str">
            <v/>
          </cell>
        </row>
        <row r="22790">
          <cell r="O22790" t="str">
            <v/>
          </cell>
        </row>
        <row r="22791">
          <cell r="O22791" t="str">
            <v/>
          </cell>
        </row>
        <row r="22792">
          <cell r="O22792" t="str">
            <v/>
          </cell>
        </row>
        <row r="22793">
          <cell r="O22793" t="str">
            <v/>
          </cell>
        </row>
        <row r="22794">
          <cell r="O22794" t="str">
            <v/>
          </cell>
        </row>
        <row r="22795">
          <cell r="O22795" t="str">
            <v/>
          </cell>
        </row>
        <row r="22796">
          <cell r="O22796" t="str">
            <v/>
          </cell>
        </row>
        <row r="22797">
          <cell r="O22797" t="str">
            <v/>
          </cell>
        </row>
        <row r="22798">
          <cell r="O22798" t="str">
            <v/>
          </cell>
        </row>
        <row r="22799">
          <cell r="O22799" t="str">
            <v/>
          </cell>
        </row>
        <row r="22800">
          <cell r="O22800" t="str">
            <v/>
          </cell>
        </row>
        <row r="22801">
          <cell r="O22801" t="str">
            <v/>
          </cell>
        </row>
        <row r="22802">
          <cell r="O22802" t="str">
            <v/>
          </cell>
        </row>
        <row r="22803">
          <cell r="O22803" t="str">
            <v/>
          </cell>
        </row>
        <row r="22804">
          <cell r="O22804" t="str">
            <v/>
          </cell>
        </row>
        <row r="22805">
          <cell r="O22805" t="str">
            <v/>
          </cell>
        </row>
        <row r="22806">
          <cell r="O22806" t="str">
            <v/>
          </cell>
        </row>
        <row r="22807">
          <cell r="O22807" t="str">
            <v/>
          </cell>
        </row>
        <row r="22808">
          <cell r="O22808" t="str">
            <v/>
          </cell>
        </row>
        <row r="22809">
          <cell r="O22809" t="str">
            <v/>
          </cell>
        </row>
        <row r="22810">
          <cell r="O22810" t="str">
            <v/>
          </cell>
        </row>
        <row r="22811">
          <cell r="O22811" t="str">
            <v/>
          </cell>
        </row>
        <row r="22812">
          <cell r="O22812" t="str">
            <v/>
          </cell>
        </row>
        <row r="22813">
          <cell r="O22813" t="str">
            <v/>
          </cell>
        </row>
        <row r="22814">
          <cell r="O22814" t="str">
            <v/>
          </cell>
        </row>
        <row r="22815">
          <cell r="O22815" t="str">
            <v/>
          </cell>
        </row>
        <row r="22816">
          <cell r="O22816" t="str">
            <v/>
          </cell>
        </row>
        <row r="22817">
          <cell r="O22817" t="str">
            <v/>
          </cell>
        </row>
        <row r="22818">
          <cell r="O22818" t="str">
            <v/>
          </cell>
        </row>
        <row r="22819">
          <cell r="O22819" t="str">
            <v/>
          </cell>
        </row>
        <row r="22820">
          <cell r="O22820" t="str">
            <v/>
          </cell>
        </row>
        <row r="22821">
          <cell r="O22821" t="str">
            <v/>
          </cell>
        </row>
        <row r="22822">
          <cell r="O22822" t="str">
            <v/>
          </cell>
        </row>
        <row r="22823">
          <cell r="O22823" t="str">
            <v/>
          </cell>
        </row>
        <row r="22824">
          <cell r="O22824" t="str">
            <v/>
          </cell>
        </row>
        <row r="22825">
          <cell r="O22825" t="str">
            <v/>
          </cell>
        </row>
        <row r="22826">
          <cell r="O22826" t="str">
            <v/>
          </cell>
        </row>
        <row r="22827">
          <cell r="O22827" t="str">
            <v/>
          </cell>
        </row>
        <row r="22828">
          <cell r="O22828" t="str">
            <v/>
          </cell>
        </row>
        <row r="22829">
          <cell r="O22829" t="str">
            <v/>
          </cell>
        </row>
        <row r="22830">
          <cell r="O22830" t="str">
            <v/>
          </cell>
        </row>
        <row r="22831">
          <cell r="O22831" t="str">
            <v/>
          </cell>
        </row>
        <row r="22832">
          <cell r="O22832" t="str">
            <v/>
          </cell>
        </row>
        <row r="22833">
          <cell r="O22833" t="str">
            <v/>
          </cell>
        </row>
        <row r="22834">
          <cell r="O22834" t="str">
            <v/>
          </cell>
        </row>
        <row r="22835">
          <cell r="O22835" t="str">
            <v/>
          </cell>
        </row>
        <row r="22836">
          <cell r="O22836" t="str">
            <v/>
          </cell>
        </row>
        <row r="22837">
          <cell r="O22837" t="str">
            <v/>
          </cell>
        </row>
        <row r="22838">
          <cell r="O22838" t="str">
            <v/>
          </cell>
        </row>
        <row r="22839">
          <cell r="O22839" t="str">
            <v/>
          </cell>
        </row>
        <row r="22840">
          <cell r="O22840" t="str">
            <v/>
          </cell>
        </row>
        <row r="22841">
          <cell r="O22841" t="str">
            <v/>
          </cell>
        </row>
        <row r="22842">
          <cell r="O22842" t="str">
            <v/>
          </cell>
        </row>
        <row r="22843">
          <cell r="O22843" t="str">
            <v/>
          </cell>
        </row>
        <row r="22844">
          <cell r="O22844" t="str">
            <v/>
          </cell>
        </row>
        <row r="22845">
          <cell r="O22845" t="str">
            <v/>
          </cell>
        </row>
        <row r="22846">
          <cell r="O22846" t="str">
            <v/>
          </cell>
        </row>
        <row r="22847">
          <cell r="O22847" t="str">
            <v/>
          </cell>
        </row>
        <row r="22848">
          <cell r="O22848" t="str">
            <v/>
          </cell>
        </row>
        <row r="22849">
          <cell r="O22849" t="str">
            <v/>
          </cell>
        </row>
        <row r="22850">
          <cell r="O22850" t="str">
            <v/>
          </cell>
        </row>
        <row r="22851">
          <cell r="O22851" t="str">
            <v/>
          </cell>
        </row>
        <row r="22852">
          <cell r="O22852" t="str">
            <v/>
          </cell>
        </row>
        <row r="22853">
          <cell r="O22853" t="str">
            <v/>
          </cell>
        </row>
        <row r="22854">
          <cell r="O22854" t="str">
            <v/>
          </cell>
        </row>
        <row r="22855">
          <cell r="O22855" t="str">
            <v/>
          </cell>
        </row>
        <row r="22856">
          <cell r="O22856" t="str">
            <v/>
          </cell>
        </row>
        <row r="22857">
          <cell r="O22857" t="str">
            <v/>
          </cell>
        </row>
        <row r="22858">
          <cell r="O22858" t="str">
            <v/>
          </cell>
        </row>
        <row r="22859">
          <cell r="O22859" t="str">
            <v/>
          </cell>
        </row>
        <row r="22860">
          <cell r="O22860" t="str">
            <v/>
          </cell>
        </row>
        <row r="22861">
          <cell r="O22861" t="str">
            <v/>
          </cell>
        </row>
        <row r="22862">
          <cell r="O22862" t="str">
            <v/>
          </cell>
        </row>
        <row r="22863">
          <cell r="O22863" t="str">
            <v/>
          </cell>
        </row>
        <row r="22864">
          <cell r="O22864" t="str">
            <v/>
          </cell>
        </row>
        <row r="22865">
          <cell r="O22865" t="str">
            <v/>
          </cell>
        </row>
        <row r="22866">
          <cell r="O22866" t="str">
            <v/>
          </cell>
        </row>
        <row r="22867">
          <cell r="O22867" t="str">
            <v/>
          </cell>
        </row>
        <row r="22868">
          <cell r="O22868" t="str">
            <v/>
          </cell>
        </row>
        <row r="22869">
          <cell r="O22869" t="str">
            <v/>
          </cell>
        </row>
        <row r="22870">
          <cell r="O22870" t="str">
            <v/>
          </cell>
        </row>
        <row r="22871">
          <cell r="O22871" t="str">
            <v/>
          </cell>
        </row>
        <row r="22872">
          <cell r="O22872" t="str">
            <v/>
          </cell>
        </row>
        <row r="22873">
          <cell r="O22873" t="str">
            <v/>
          </cell>
        </row>
        <row r="22874">
          <cell r="O22874" t="str">
            <v/>
          </cell>
        </row>
        <row r="22875">
          <cell r="O22875" t="str">
            <v/>
          </cell>
        </row>
        <row r="22876">
          <cell r="O22876" t="str">
            <v/>
          </cell>
        </row>
        <row r="22877">
          <cell r="O22877" t="str">
            <v/>
          </cell>
        </row>
        <row r="22878">
          <cell r="O22878" t="str">
            <v/>
          </cell>
        </row>
        <row r="22879">
          <cell r="O22879" t="str">
            <v/>
          </cell>
        </row>
        <row r="22880">
          <cell r="O22880" t="str">
            <v/>
          </cell>
        </row>
        <row r="22881">
          <cell r="O22881" t="str">
            <v/>
          </cell>
        </row>
        <row r="22882">
          <cell r="O22882" t="str">
            <v/>
          </cell>
        </row>
        <row r="22883">
          <cell r="O22883" t="str">
            <v/>
          </cell>
        </row>
        <row r="22884">
          <cell r="O22884" t="str">
            <v/>
          </cell>
        </row>
        <row r="22885">
          <cell r="O22885" t="str">
            <v/>
          </cell>
        </row>
        <row r="22886">
          <cell r="O22886" t="str">
            <v/>
          </cell>
        </row>
        <row r="22887">
          <cell r="O22887" t="str">
            <v/>
          </cell>
        </row>
        <row r="22888">
          <cell r="O22888" t="str">
            <v/>
          </cell>
        </row>
        <row r="22889">
          <cell r="O22889" t="str">
            <v/>
          </cell>
        </row>
        <row r="22890">
          <cell r="O22890" t="str">
            <v/>
          </cell>
        </row>
        <row r="22891">
          <cell r="O22891" t="str">
            <v/>
          </cell>
        </row>
        <row r="22892">
          <cell r="O22892" t="str">
            <v/>
          </cell>
        </row>
        <row r="22893">
          <cell r="O22893" t="str">
            <v/>
          </cell>
        </row>
        <row r="22894">
          <cell r="O22894" t="str">
            <v/>
          </cell>
        </row>
        <row r="22895">
          <cell r="O22895" t="str">
            <v/>
          </cell>
        </row>
        <row r="22896">
          <cell r="O22896" t="str">
            <v/>
          </cell>
        </row>
        <row r="22897">
          <cell r="O22897" t="str">
            <v/>
          </cell>
        </row>
        <row r="22898">
          <cell r="O22898" t="str">
            <v/>
          </cell>
        </row>
        <row r="22899">
          <cell r="O22899" t="str">
            <v/>
          </cell>
        </row>
        <row r="22900">
          <cell r="O22900" t="str">
            <v/>
          </cell>
        </row>
        <row r="22901">
          <cell r="O22901" t="str">
            <v/>
          </cell>
        </row>
        <row r="22902">
          <cell r="O22902" t="str">
            <v/>
          </cell>
        </row>
        <row r="22903">
          <cell r="O22903" t="str">
            <v/>
          </cell>
        </row>
        <row r="22904">
          <cell r="O22904" t="str">
            <v/>
          </cell>
        </row>
        <row r="22905">
          <cell r="O22905" t="str">
            <v/>
          </cell>
        </row>
        <row r="22906">
          <cell r="O22906" t="str">
            <v/>
          </cell>
        </row>
        <row r="22907">
          <cell r="O22907" t="str">
            <v/>
          </cell>
        </row>
        <row r="22908">
          <cell r="O22908" t="str">
            <v/>
          </cell>
        </row>
        <row r="22909">
          <cell r="O22909" t="str">
            <v/>
          </cell>
        </row>
        <row r="22910">
          <cell r="O22910" t="str">
            <v/>
          </cell>
        </row>
        <row r="22911">
          <cell r="O22911" t="str">
            <v/>
          </cell>
        </row>
        <row r="22912">
          <cell r="O22912" t="str">
            <v/>
          </cell>
        </row>
        <row r="22913">
          <cell r="O22913" t="str">
            <v/>
          </cell>
        </row>
        <row r="22914">
          <cell r="O22914" t="str">
            <v/>
          </cell>
        </row>
        <row r="22915">
          <cell r="O22915" t="str">
            <v/>
          </cell>
        </row>
        <row r="22916">
          <cell r="O22916" t="str">
            <v/>
          </cell>
        </row>
        <row r="22917">
          <cell r="O22917" t="str">
            <v/>
          </cell>
        </row>
        <row r="22918">
          <cell r="O22918" t="str">
            <v/>
          </cell>
        </row>
        <row r="22919">
          <cell r="O22919" t="str">
            <v/>
          </cell>
        </row>
        <row r="22920">
          <cell r="O22920" t="str">
            <v/>
          </cell>
        </row>
        <row r="22921">
          <cell r="O22921" t="str">
            <v/>
          </cell>
        </row>
        <row r="22922">
          <cell r="O22922" t="str">
            <v/>
          </cell>
        </row>
        <row r="22923">
          <cell r="O22923" t="str">
            <v/>
          </cell>
        </row>
        <row r="22924">
          <cell r="O22924" t="str">
            <v/>
          </cell>
        </row>
        <row r="22925">
          <cell r="O22925" t="str">
            <v/>
          </cell>
        </row>
        <row r="22926">
          <cell r="O22926" t="str">
            <v/>
          </cell>
        </row>
        <row r="22927">
          <cell r="O22927" t="str">
            <v/>
          </cell>
        </row>
        <row r="22928">
          <cell r="O22928" t="str">
            <v/>
          </cell>
        </row>
        <row r="22929">
          <cell r="O22929" t="str">
            <v/>
          </cell>
        </row>
        <row r="22930">
          <cell r="O22930" t="str">
            <v/>
          </cell>
        </row>
        <row r="22931">
          <cell r="O22931" t="str">
            <v/>
          </cell>
        </row>
        <row r="22932">
          <cell r="O22932" t="str">
            <v/>
          </cell>
        </row>
        <row r="22933">
          <cell r="O22933" t="str">
            <v/>
          </cell>
        </row>
        <row r="22934">
          <cell r="O22934" t="str">
            <v/>
          </cell>
        </row>
        <row r="22935">
          <cell r="O22935" t="str">
            <v/>
          </cell>
        </row>
        <row r="22936">
          <cell r="O22936" t="str">
            <v/>
          </cell>
        </row>
        <row r="22937">
          <cell r="O22937" t="str">
            <v/>
          </cell>
        </row>
        <row r="22938">
          <cell r="O22938" t="str">
            <v/>
          </cell>
        </row>
        <row r="22939">
          <cell r="O22939" t="str">
            <v/>
          </cell>
        </row>
        <row r="22940">
          <cell r="O22940" t="str">
            <v/>
          </cell>
        </row>
        <row r="22941">
          <cell r="O22941" t="str">
            <v/>
          </cell>
        </row>
        <row r="22942">
          <cell r="O22942" t="str">
            <v/>
          </cell>
        </row>
        <row r="22943">
          <cell r="O22943" t="str">
            <v/>
          </cell>
        </row>
        <row r="22944">
          <cell r="O22944" t="str">
            <v/>
          </cell>
        </row>
        <row r="22945">
          <cell r="O22945" t="str">
            <v/>
          </cell>
        </row>
        <row r="22946">
          <cell r="O22946" t="str">
            <v/>
          </cell>
        </row>
        <row r="22947">
          <cell r="O22947" t="str">
            <v/>
          </cell>
        </row>
        <row r="22948">
          <cell r="O22948" t="str">
            <v/>
          </cell>
        </row>
        <row r="22949">
          <cell r="O22949" t="str">
            <v/>
          </cell>
        </row>
        <row r="22950">
          <cell r="O22950" t="str">
            <v/>
          </cell>
        </row>
        <row r="22951">
          <cell r="O22951" t="str">
            <v/>
          </cell>
        </row>
        <row r="22952">
          <cell r="O22952" t="str">
            <v/>
          </cell>
        </row>
        <row r="22953">
          <cell r="O22953" t="str">
            <v/>
          </cell>
        </row>
        <row r="22954">
          <cell r="O22954" t="str">
            <v/>
          </cell>
        </row>
        <row r="22955">
          <cell r="O22955" t="str">
            <v/>
          </cell>
        </row>
        <row r="22956">
          <cell r="O22956" t="str">
            <v/>
          </cell>
        </row>
        <row r="22957">
          <cell r="O22957" t="str">
            <v/>
          </cell>
        </row>
        <row r="22958">
          <cell r="O22958" t="str">
            <v/>
          </cell>
        </row>
        <row r="22959">
          <cell r="O22959" t="str">
            <v/>
          </cell>
        </row>
        <row r="22960">
          <cell r="O22960" t="str">
            <v/>
          </cell>
        </row>
        <row r="22961">
          <cell r="O22961" t="str">
            <v/>
          </cell>
        </row>
        <row r="22962">
          <cell r="O22962" t="str">
            <v/>
          </cell>
        </row>
        <row r="22963">
          <cell r="O22963" t="str">
            <v/>
          </cell>
        </row>
        <row r="22964">
          <cell r="O22964" t="str">
            <v/>
          </cell>
        </row>
        <row r="22965">
          <cell r="O22965" t="str">
            <v/>
          </cell>
        </row>
        <row r="22966">
          <cell r="O22966" t="str">
            <v/>
          </cell>
        </row>
        <row r="22967">
          <cell r="O22967" t="str">
            <v/>
          </cell>
        </row>
        <row r="22968">
          <cell r="O22968" t="str">
            <v/>
          </cell>
        </row>
        <row r="22969">
          <cell r="O22969" t="str">
            <v/>
          </cell>
        </row>
        <row r="22970">
          <cell r="O22970" t="str">
            <v/>
          </cell>
        </row>
        <row r="22971">
          <cell r="O22971" t="str">
            <v/>
          </cell>
        </row>
        <row r="22972">
          <cell r="O22972" t="str">
            <v/>
          </cell>
        </row>
        <row r="22973">
          <cell r="O22973" t="str">
            <v/>
          </cell>
        </row>
        <row r="22974">
          <cell r="O22974" t="str">
            <v/>
          </cell>
        </row>
        <row r="22975">
          <cell r="O22975" t="str">
            <v/>
          </cell>
        </row>
        <row r="22976">
          <cell r="O22976" t="str">
            <v/>
          </cell>
        </row>
        <row r="22977">
          <cell r="O22977" t="str">
            <v/>
          </cell>
        </row>
        <row r="22978">
          <cell r="O22978" t="str">
            <v/>
          </cell>
        </row>
        <row r="22979">
          <cell r="O22979" t="str">
            <v/>
          </cell>
        </row>
        <row r="22980">
          <cell r="O22980" t="str">
            <v/>
          </cell>
        </row>
        <row r="22981">
          <cell r="O22981" t="str">
            <v/>
          </cell>
        </row>
        <row r="22982">
          <cell r="O22982" t="str">
            <v/>
          </cell>
        </row>
        <row r="22983">
          <cell r="O22983" t="str">
            <v/>
          </cell>
        </row>
        <row r="22984">
          <cell r="O22984" t="str">
            <v/>
          </cell>
        </row>
        <row r="22985">
          <cell r="O22985" t="str">
            <v/>
          </cell>
        </row>
        <row r="22986">
          <cell r="O22986" t="str">
            <v/>
          </cell>
        </row>
        <row r="22987">
          <cell r="O22987" t="str">
            <v/>
          </cell>
        </row>
        <row r="22988">
          <cell r="O22988" t="str">
            <v/>
          </cell>
        </row>
        <row r="22989">
          <cell r="O22989" t="str">
            <v/>
          </cell>
        </row>
        <row r="22990">
          <cell r="O22990" t="str">
            <v/>
          </cell>
        </row>
        <row r="22991">
          <cell r="O22991" t="str">
            <v/>
          </cell>
        </row>
        <row r="22992">
          <cell r="O22992" t="str">
            <v/>
          </cell>
        </row>
        <row r="22993">
          <cell r="O22993" t="str">
            <v/>
          </cell>
        </row>
        <row r="22994">
          <cell r="O22994" t="str">
            <v/>
          </cell>
        </row>
        <row r="22995">
          <cell r="O22995" t="str">
            <v/>
          </cell>
        </row>
        <row r="22996">
          <cell r="O22996" t="str">
            <v/>
          </cell>
        </row>
        <row r="22997">
          <cell r="O22997" t="str">
            <v/>
          </cell>
        </row>
        <row r="22998">
          <cell r="O22998" t="str">
            <v/>
          </cell>
        </row>
        <row r="22999">
          <cell r="O22999" t="str">
            <v/>
          </cell>
        </row>
        <row r="23000">
          <cell r="O23000" t="str">
            <v/>
          </cell>
        </row>
        <row r="23001">
          <cell r="O23001" t="str">
            <v/>
          </cell>
        </row>
        <row r="23002">
          <cell r="O23002" t="str">
            <v/>
          </cell>
        </row>
        <row r="23003">
          <cell r="O23003" t="str">
            <v/>
          </cell>
        </row>
        <row r="23004">
          <cell r="O23004" t="str">
            <v/>
          </cell>
        </row>
        <row r="23005">
          <cell r="O23005" t="str">
            <v/>
          </cell>
        </row>
        <row r="23006">
          <cell r="O23006" t="str">
            <v/>
          </cell>
        </row>
        <row r="23007">
          <cell r="O23007" t="str">
            <v/>
          </cell>
        </row>
        <row r="23008">
          <cell r="O23008" t="str">
            <v/>
          </cell>
        </row>
        <row r="23009">
          <cell r="O23009" t="str">
            <v/>
          </cell>
        </row>
        <row r="23010">
          <cell r="O23010" t="str">
            <v/>
          </cell>
        </row>
        <row r="23011">
          <cell r="O23011" t="str">
            <v/>
          </cell>
        </row>
        <row r="23012">
          <cell r="O23012" t="str">
            <v/>
          </cell>
        </row>
        <row r="23013">
          <cell r="O23013" t="str">
            <v/>
          </cell>
        </row>
        <row r="23014">
          <cell r="O23014" t="str">
            <v/>
          </cell>
        </row>
        <row r="23015">
          <cell r="O23015" t="str">
            <v/>
          </cell>
        </row>
        <row r="23016">
          <cell r="O23016" t="str">
            <v/>
          </cell>
        </row>
        <row r="23017">
          <cell r="O23017" t="str">
            <v/>
          </cell>
        </row>
        <row r="23018">
          <cell r="O23018" t="str">
            <v/>
          </cell>
        </row>
        <row r="23019">
          <cell r="O23019" t="str">
            <v/>
          </cell>
        </row>
        <row r="23020">
          <cell r="O23020" t="str">
            <v/>
          </cell>
        </row>
        <row r="23021">
          <cell r="O23021" t="str">
            <v/>
          </cell>
        </row>
        <row r="23022">
          <cell r="O23022" t="str">
            <v/>
          </cell>
        </row>
        <row r="23023">
          <cell r="O23023" t="str">
            <v/>
          </cell>
        </row>
        <row r="23024">
          <cell r="O23024" t="str">
            <v/>
          </cell>
        </row>
        <row r="23025">
          <cell r="O23025" t="str">
            <v/>
          </cell>
        </row>
        <row r="23026">
          <cell r="O23026" t="str">
            <v/>
          </cell>
        </row>
        <row r="23027">
          <cell r="O23027" t="str">
            <v/>
          </cell>
        </row>
        <row r="23028">
          <cell r="O23028" t="str">
            <v/>
          </cell>
        </row>
        <row r="23029">
          <cell r="O23029" t="str">
            <v/>
          </cell>
        </row>
        <row r="23030">
          <cell r="O23030" t="str">
            <v/>
          </cell>
        </row>
        <row r="23031">
          <cell r="O23031" t="str">
            <v/>
          </cell>
        </row>
        <row r="23032">
          <cell r="O23032" t="str">
            <v/>
          </cell>
        </row>
        <row r="23033">
          <cell r="O23033" t="str">
            <v/>
          </cell>
        </row>
        <row r="23034">
          <cell r="O23034" t="str">
            <v/>
          </cell>
        </row>
        <row r="23035">
          <cell r="O23035" t="str">
            <v/>
          </cell>
        </row>
        <row r="23036">
          <cell r="O23036" t="str">
            <v/>
          </cell>
        </row>
        <row r="23037">
          <cell r="O23037" t="str">
            <v/>
          </cell>
        </row>
        <row r="23038">
          <cell r="O23038" t="str">
            <v/>
          </cell>
        </row>
        <row r="23039">
          <cell r="O23039" t="str">
            <v/>
          </cell>
        </row>
        <row r="23040">
          <cell r="O23040" t="str">
            <v/>
          </cell>
        </row>
        <row r="23041">
          <cell r="O23041" t="str">
            <v/>
          </cell>
        </row>
        <row r="23042">
          <cell r="O23042" t="str">
            <v/>
          </cell>
        </row>
        <row r="23043">
          <cell r="O23043" t="str">
            <v/>
          </cell>
        </row>
        <row r="23044">
          <cell r="O23044" t="str">
            <v/>
          </cell>
        </row>
        <row r="23045">
          <cell r="O23045" t="str">
            <v/>
          </cell>
        </row>
        <row r="23046">
          <cell r="O23046" t="str">
            <v/>
          </cell>
        </row>
        <row r="23047">
          <cell r="O23047" t="str">
            <v/>
          </cell>
        </row>
        <row r="23048">
          <cell r="O23048" t="str">
            <v/>
          </cell>
        </row>
        <row r="23049">
          <cell r="O23049" t="str">
            <v/>
          </cell>
        </row>
        <row r="23050">
          <cell r="O23050" t="str">
            <v/>
          </cell>
        </row>
        <row r="23051">
          <cell r="O23051" t="str">
            <v/>
          </cell>
        </row>
        <row r="23052">
          <cell r="O23052" t="str">
            <v/>
          </cell>
        </row>
        <row r="23053">
          <cell r="O23053" t="str">
            <v/>
          </cell>
        </row>
        <row r="23054">
          <cell r="O23054" t="str">
            <v/>
          </cell>
        </row>
        <row r="23055">
          <cell r="O23055" t="str">
            <v/>
          </cell>
        </row>
        <row r="23056">
          <cell r="O23056" t="str">
            <v/>
          </cell>
        </row>
        <row r="23057">
          <cell r="O23057" t="str">
            <v/>
          </cell>
        </row>
        <row r="23058">
          <cell r="O23058" t="str">
            <v/>
          </cell>
        </row>
        <row r="23059">
          <cell r="O23059" t="str">
            <v/>
          </cell>
        </row>
        <row r="23060">
          <cell r="O23060" t="str">
            <v/>
          </cell>
        </row>
        <row r="23061">
          <cell r="O23061" t="str">
            <v/>
          </cell>
        </row>
        <row r="23062">
          <cell r="O23062" t="str">
            <v/>
          </cell>
        </row>
        <row r="23063">
          <cell r="O23063" t="str">
            <v/>
          </cell>
        </row>
        <row r="23064">
          <cell r="O23064" t="str">
            <v/>
          </cell>
        </row>
        <row r="23065">
          <cell r="O23065" t="str">
            <v/>
          </cell>
        </row>
        <row r="23066">
          <cell r="O23066" t="str">
            <v/>
          </cell>
        </row>
        <row r="23067">
          <cell r="O23067" t="str">
            <v/>
          </cell>
        </row>
        <row r="23068">
          <cell r="O23068" t="str">
            <v/>
          </cell>
        </row>
        <row r="23069">
          <cell r="O23069" t="str">
            <v/>
          </cell>
        </row>
        <row r="23070">
          <cell r="O23070" t="str">
            <v/>
          </cell>
        </row>
        <row r="23071">
          <cell r="O23071" t="str">
            <v/>
          </cell>
        </row>
        <row r="23072">
          <cell r="O23072" t="str">
            <v/>
          </cell>
        </row>
        <row r="23073">
          <cell r="O23073" t="str">
            <v/>
          </cell>
        </row>
        <row r="23074">
          <cell r="O23074" t="str">
            <v/>
          </cell>
        </row>
        <row r="23075">
          <cell r="O23075" t="str">
            <v/>
          </cell>
        </row>
        <row r="23076">
          <cell r="O23076" t="str">
            <v/>
          </cell>
        </row>
        <row r="23077">
          <cell r="O23077" t="str">
            <v/>
          </cell>
        </row>
        <row r="23078">
          <cell r="O23078" t="str">
            <v/>
          </cell>
        </row>
        <row r="23079">
          <cell r="O23079" t="str">
            <v/>
          </cell>
        </row>
        <row r="23080">
          <cell r="O23080" t="str">
            <v/>
          </cell>
        </row>
        <row r="23081">
          <cell r="O23081" t="str">
            <v/>
          </cell>
        </row>
        <row r="23082">
          <cell r="O23082" t="str">
            <v/>
          </cell>
        </row>
        <row r="23083">
          <cell r="O23083" t="str">
            <v/>
          </cell>
        </row>
        <row r="23084">
          <cell r="O23084" t="str">
            <v/>
          </cell>
        </row>
        <row r="23085">
          <cell r="O23085" t="str">
            <v/>
          </cell>
        </row>
        <row r="23086">
          <cell r="O23086" t="str">
            <v/>
          </cell>
        </row>
        <row r="23087">
          <cell r="O23087" t="str">
            <v/>
          </cell>
        </row>
        <row r="23088">
          <cell r="O23088" t="str">
            <v/>
          </cell>
        </row>
        <row r="23089">
          <cell r="O23089" t="str">
            <v/>
          </cell>
        </row>
        <row r="23090">
          <cell r="O23090" t="str">
            <v/>
          </cell>
        </row>
        <row r="23091">
          <cell r="O23091" t="str">
            <v/>
          </cell>
        </row>
        <row r="23092">
          <cell r="O23092" t="str">
            <v/>
          </cell>
        </row>
        <row r="23093">
          <cell r="O23093" t="str">
            <v/>
          </cell>
        </row>
        <row r="23094">
          <cell r="O23094" t="str">
            <v/>
          </cell>
        </row>
        <row r="23095">
          <cell r="O23095" t="str">
            <v/>
          </cell>
        </row>
        <row r="23096">
          <cell r="O23096" t="str">
            <v/>
          </cell>
        </row>
        <row r="23097">
          <cell r="O23097" t="str">
            <v/>
          </cell>
        </row>
        <row r="23098">
          <cell r="O23098" t="str">
            <v/>
          </cell>
        </row>
        <row r="23099">
          <cell r="O23099" t="str">
            <v/>
          </cell>
        </row>
        <row r="23100">
          <cell r="O23100" t="str">
            <v/>
          </cell>
        </row>
        <row r="23101">
          <cell r="O23101" t="str">
            <v/>
          </cell>
        </row>
        <row r="23102">
          <cell r="O23102" t="str">
            <v/>
          </cell>
        </row>
        <row r="23103">
          <cell r="O23103" t="str">
            <v/>
          </cell>
        </row>
        <row r="23104">
          <cell r="O23104" t="str">
            <v/>
          </cell>
        </row>
        <row r="23105">
          <cell r="O23105" t="str">
            <v/>
          </cell>
        </row>
        <row r="23106">
          <cell r="O23106" t="str">
            <v/>
          </cell>
        </row>
        <row r="23107">
          <cell r="O23107" t="str">
            <v/>
          </cell>
        </row>
        <row r="23108">
          <cell r="O23108" t="str">
            <v/>
          </cell>
        </row>
        <row r="23109">
          <cell r="O23109" t="str">
            <v/>
          </cell>
        </row>
        <row r="23110">
          <cell r="O23110" t="str">
            <v/>
          </cell>
        </row>
        <row r="23111">
          <cell r="O23111" t="str">
            <v/>
          </cell>
        </row>
        <row r="23112">
          <cell r="O23112" t="str">
            <v/>
          </cell>
        </row>
        <row r="23113">
          <cell r="O23113" t="str">
            <v/>
          </cell>
        </row>
        <row r="23114">
          <cell r="O23114" t="str">
            <v/>
          </cell>
        </row>
        <row r="23115">
          <cell r="O23115" t="str">
            <v/>
          </cell>
        </row>
        <row r="23116">
          <cell r="O23116" t="str">
            <v/>
          </cell>
        </row>
        <row r="23117">
          <cell r="O23117" t="str">
            <v/>
          </cell>
        </row>
        <row r="23118">
          <cell r="O23118" t="str">
            <v/>
          </cell>
        </row>
        <row r="23119">
          <cell r="O23119" t="str">
            <v/>
          </cell>
        </row>
        <row r="23120">
          <cell r="O23120" t="str">
            <v/>
          </cell>
        </row>
        <row r="23121">
          <cell r="O23121" t="str">
            <v/>
          </cell>
        </row>
        <row r="23122">
          <cell r="O23122" t="str">
            <v/>
          </cell>
        </row>
        <row r="23123">
          <cell r="O23123" t="str">
            <v/>
          </cell>
        </row>
        <row r="23124">
          <cell r="O23124" t="str">
            <v/>
          </cell>
        </row>
        <row r="23125">
          <cell r="O23125" t="str">
            <v/>
          </cell>
        </row>
        <row r="23126">
          <cell r="O23126" t="str">
            <v/>
          </cell>
        </row>
        <row r="23127">
          <cell r="O23127" t="str">
            <v/>
          </cell>
        </row>
        <row r="23128">
          <cell r="O23128" t="str">
            <v/>
          </cell>
        </row>
        <row r="23129">
          <cell r="O23129" t="str">
            <v/>
          </cell>
        </row>
        <row r="23130">
          <cell r="O23130" t="str">
            <v/>
          </cell>
        </row>
        <row r="23131">
          <cell r="O23131" t="str">
            <v/>
          </cell>
        </row>
        <row r="23132">
          <cell r="O23132" t="str">
            <v/>
          </cell>
        </row>
        <row r="23133">
          <cell r="O23133" t="str">
            <v/>
          </cell>
        </row>
        <row r="23134">
          <cell r="O23134" t="str">
            <v/>
          </cell>
        </row>
        <row r="23135">
          <cell r="O23135" t="str">
            <v/>
          </cell>
        </row>
        <row r="23136">
          <cell r="O23136" t="str">
            <v/>
          </cell>
        </row>
        <row r="23137">
          <cell r="O23137" t="str">
            <v/>
          </cell>
        </row>
        <row r="23138">
          <cell r="O23138" t="str">
            <v/>
          </cell>
        </row>
        <row r="23139">
          <cell r="O23139" t="str">
            <v/>
          </cell>
        </row>
        <row r="23140">
          <cell r="O23140" t="str">
            <v/>
          </cell>
        </row>
        <row r="23141">
          <cell r="O23141" t="str">
            <v/>
          </cell>
        </row>
        <row r="23142">
          <cell r="O23142" t="str">
            <v/>
          </cell>
        </row>
        <row r="23143">
          <cell r="O23143" t="str">
            <v/>
          </cell>
        </row>
        <row r="23144">
          <cell r="O23144" t="str">
            <v/>
          </cell>
        </row>
        <row r="23145">
          <cell r="O23145" t="str">
            <v/>
          </cell>
        </row>
        <row r="23146">
          <cell r="O23146" t="str">
            <v/>
          </cell>
        </row>
        <row r="23147">
          <cell r="O23147" t="str">
            <v/>
          </cell>
        </row>
        <row r="23148">
          <cell r="O23148" t="str">
            <v/>
          </cell>
        </row>
        <row r="23149">
          <cell r="O23149" t="str">
            <v/>
          </cell>
        </row>
        <row r="23150">
          <cell r="O23150" t="str">
            <v/>
          </cell>
        </row>
        <row r="23151">
          <cell r="O23151" t="str">
            <v/>
          </cell>
        </row>
        <row r="23152">
          <cell r="O23152" t="str">
            <v/>
          </cell>
        </row>
        <row r="23153">
          <cell r="O23153" t="str">
            <v/>
          </cell>
        </row>
        <row r="23154">
          <cell r="O23154" t="str">
            <v/>
          </cell>
        </row>
        <row r="23155">
          <cell r="O23155" t="str">
            <v/>
          </cell>
        </row>
        <row r="23156">
          <cell r="O23156" t="str">
            <v/>
          </cell>
        </row>
        <row r="23157">
          <cell r="O23157" t="str">
            <v/>
          </cell>
        </row>
        <row r="23158">
          <cell r="O23158" t="str">
            <v/>
          </cell>
        </row>
        <row r="23159">
          <cell r="O23159" t="str">
            <v/>
          </cell>
        </row>
        <row r="23160">
          <cell r="O23160" t="str">
            <v/>
          </cell>
        </row>
        <row r="23161">
          <cell r="O23161" t="str">
            <v/>
          </cell>
        </row>
        <row r="23162">
          <cell r="O23162" t="str">
            <v/>
          </cell>
        </row>
        <row r="23163">
          <cell r="O23163" t="str">
            <v/>
          </cell>
        </row>
        <row r="23164">
          <cell r="O23164" t="str">
            <v/>
          </cell>
        </row>
        <row r="23165">
          <cell r="O23165" t="str">
            <v/>
          </cell>
        </row>
        <row r="23166">
          <cell r="O23166" t="str">
            <v/>
          </cell>
        </row>
        <row r="23167">
          <cell r="O23167" t="str">
            <v/>
          </cell>
        </row>
        <row r="23168">
          <cell r="O23168" t="str">
            <v/>
          </cell>
        </row>
        <row r="23169">
          <cell r="O23169" t="str">
            <v/>
          </cell>
        </row>
        <row r="23170">
          <cell r="O23170" t="str">
            <v/>
          </cell>
        </row>
        <row r="23171">
          <cell r="O23171" t="str">
            <v/>
          </cell>
        </row>
        <row r="23172">
          <cell r="O23172" t="str">
            <v/>
          </cell>
        </row>
        <row r="23173">
          <cell r="O23173" t="str">
            <v/>
          </cell>
        </row>
        <row r="23174">
          <cell r="O23174" t="str">
            <v/>
          </cell>
        </row>
        <row r="23175">
          <cell r="O23175" t="str">
            <v/>
          </cell>
        </row>
        <row r="23176">
          <cell r="O23176" t="str">
            <v/>
          </cell>
        </row>
        <row r="23177">
          <cell r="O23177" t="str">
            <v/>
          </cell>
        </row>
        <row r="23178">
          <cell r="O23178" t="str">
            <v/>
          </cell>
        </row>
        <row r="23179">
          <cell r="O23179" t="str">
            <v/>
          </cell>
        </row>
        <row r="23180">
          <cell r="O23180" t="str">
            <v/>
          </cell>
        </row>
        <row r="23181">
          <cell r="O23181" t="str">
            <v/>
          </cell>
        </row>
        <row r="23182">
          <cell r="O23182" t="str">
            <v/>
          </cell>
        </row>
        <row r="23183">
          <cell r="O23183" t="str">
            <v/>
          </cell>
        </row>
        <row r="23184">
          <cell r="O23184" t="str">
            <v/>
          </cell>
        </row>
        <row r="23185">
          <cell r="O23185" t="str">
            <v/>
          </cell>
        </row>
        <row r="23186">
          <cell r="O23186" t="str">
            <v/>
          </cell>
        </row>
        <row r="23187">
          <cell r="O23187" t="str">
            <v/>
          </cell>
        </row>
        <row r="23188">
          <cell r="O23188" t="str">
            <v/>
          </cell>
        </row>
        <row r="23189">
          <cell r="O23189" t="str">
            <v/>
          </cell>
        </row>
        <row r="23190">
          <cell r="O23190" t="str">
            <v/>
          </cell>
        </row>
        <row r="23191">
          <cell r="O23191" t="str">
            <v/>
          </cell>
        </row>
        <row r="23192">
          <cell r="O23192" t="str">
            <v/>
          </cell>
        </row>
        <row r="23193">
          <cell r="O23193" t="str">
            <v/>
          </cell>
        </row>
        <row r="23194">
          <cell r="O23194" t="str">
            <v/>
          </cell>
        </row>
        <row r="23195">
          <cell r="O23195" t="str">
            <v/>
          </cell>
        </row>
        <row r="23196">
          <cell r="O23196" t="str">
            <v/>
          </cell>
        </row>
        <row r="23197">
          <cell r="O23197" t="str">
            <v/>
          </cell>
        </row>
        <row r="23198">
          <cell r="O23198" t="str">
            <v/>
          </cell>
        </row>
        <row r="23199">
          <cell r="O23199" t="str">
            <v/>
          </cell>
        </row>
        <row r="23200">
          <cell r="O23200" t="str">
            <v/>
          </cell>
        </row>
        <row r="23201">
          <cell r="O23201" t="str">
            <v/>
          </cell>
        </row>
        <row r="23202">
          <cell r="O23202" t="str">
            <v/>
          </cell>
        </row>
        <row r="23203">
          <cell r="O23203" t="str">
            <v/>
          </cell>
        </row>
        <row r="23204">
          <cell r="O23204" t="str">
            <v/>
          </cell>
        </row>
        <row r="23205">
          <cell r="O23205" t="str">
            <v/>
          </cell>
        </row>
        <row r="23206">
          <cell r="O23206" t="str">
            <v/>
          </cell>
        </row>
        <row r="23207">
          <cell r="O23207" t="str">
            <v/>
          </cell>
        </row>
        <row r="23208">
          <cell r="O23208" t="str">
            <v/>
          </cell>
        </row>
        <row r="23209">
          <cell r="O23209" t="str">
            <v/>
          </cell>
        </row>
        <row r="23210">
          <cell r="O23210" t="str">
            <v/>
          </cell>
        </row>
        <row r="23211">
          <cell r="O23211" t="str">
            <v/>
          </cell>
        </row>
        <row r="23212">
          <cell r="O23212" t="str">
            <v/>
          </cell>
        </row>
        <row r="23213">
          <cell r="O23213" t="str">
            <v/>
          </cell>
        </row>
        <row r="23214">
          <cell r="O23214" t="str">
            <v/>
          </cell>
        </row>
        <row r="23215">
          <cell r="O23215" t="str">
            <v/>
          </cell>
        </row>
        <row r="23216">
          <cell r="O23216" t="str">
            <v/>
          </cell>
        </row>
        <row r="23217">
          <cell r="O23217" t="str">
            <v/>
          </cell>
        </row>
        <row r="23218">
          <cell r="O23218" t="str">
            <v/>
          </cell>
        </row>
        <row r="23219">
          <cell r="O23219" t="str">
            <v/>
          </cell>
        </row>
        <row r="23220">
          <cell r="O23220" t="str">
            <v/>
          </cell>
        </row>
        <row r="23221">
          <cell r="O23221" t="str">
            <v/>
          </cell>
        </row>
        <row r="23222">
          <cell r="O23222" t="str">
            <v/>
          </cell>
        </row>
        <row r="23223">
          <cell r="O23223" t="str">
            <v/>
          </cell>
        </row>
        <row r="23224">
          <cell r="O23224" t="str">
            <v/>
          </cell>
        </row>
        <row r="23225">
          <cell r="O23225" t="str">
            <v/>
          </cell>
        </row>
        <row r="23226">
          <cell r="O23226" t="str">
            <v/>
          </cell>
        </row>
        <row r="23227">
          <cell r="O23227" t="str">
            <v/>
          </cell>
        </row>
        <row r="23228">
          <cell r="O23228" t="str">
            <v/>
          </cell>
        </row>
        <row r="23229">
          <cell r="O23229" t="str">
            <v/>
          </cell>
        </row>
        <row r="23230">
          <cell r="O23230" t="str">
            <v/>
          </cell>
        </row>
        <row r="23231">
          <cell r="O23231" t="str">
            <v/>
          </cell>
        </row>
        <row r="23232">
          <cell r="O23232" t="str">
            <v/>
          </cell>
        </row>
        <row r="23233">
          <cell r="O23233" t="str">
            <v/>
          </cell>
        </row>
        <row r="23234">
          <cell r="O23234" t="str">
            <v/>
          </cell>
        </row>
        <row r="23235">
          <cell r="O23235" t="str">
            <v/>
          </cell>
        </row>
        <row r="23236">
          <cell r="O23236" t="str">
            <v/>
          </cell>
        </row>
        <row r="23237">
          <cell r="O23237" t="str">
            <v/>
          </cell>
        </row>
        <row r="23238">
          <cell r="O23238" t="str">
            <v/>
          </cell>
        </row>
        <row r="23239">
          <cell r="O23239" t="str">
            <v/>
          </cell>
        </row>
        <row r="23240">
          <cell r="O23240" t="str">
            <v/>
          </cell>
        </row>
        <row r="23241">
          <cell r="O23241" t="str">
            <v/>
          </cell>
        </row>
        <row r="23242">
          <cell r="O23242" t="str">
            <v/>
          </cell>
        </row>
        <row r="23243">
          <cell r="O23243" t="str">
            <v/>
          </cell>
        </row>
        <row r="23244">
          <cell r="O23244" t="str">
            <v/>
          </cell>
        </row>
        <row r="23245">
          <cell r="O23245" t="str">
            <v/>
          </cell>
        </row>
        <row r="23246">
          <cell r="O23246" t="str">
            <v/>
          </cell>
        </row>
        <row r="23247">
          <cell r="O23247" t="str">
            <v/>
          </cell>
        </row>
        <row r="23248">
          <cell r="O23248" t="str">
            <v/>
          </cell>
        </row>
        <row r="23249">
          <cell r="O23249" t="str">
            <v/>
          </cell>
        </row>
        <row r="23250">
          <cell r="O23250" t="str">
            <v/>
          </cell>
        </row>
        <row r="23251">
          <cell r="O23251" t="str">
            <v/>
          </cell>
        </row>
        <row r="23252">
          <cell r="O23252" t="str">
            <v/>
          </cell>
        </row>
        <row r="23253">
          <cell r="O23253" t="str">
            <v/>
          </cell>
        </row>
        <row r="23254">
          <cell r="O23254" t="str">
            <v/>
          </cell>
        </row>
        <row r="23255">
          <cell r="O23255" t="str">
            <v/>
          </cell>
        </row>
        <row r="23256">
          <cell r="O23256" t="str">
            <v/>
          </cell>
        </row>
        <row r="23257">
          <cell r="O23257" t="str">
            <v/>
          </cell>
        </row>
        <row r="23258">
          <cell r="O23258" t="str">
            <v/>
          </cell>
        </row>
        <row r="23259">
          <cell r="O23259" t="str">
            <v/>
          </cell>
        </row>
        <row r="23260">
          <cell r="O23260" t="str">
            <v/>
          </cell>
        </row>
        <row r="23261">
          <cell r="O23261" t="str">
            <v/>
          </cell>
        </row>
        <row r="23262">
          <cell r="O23262" t="str">
            <v/>
          </cell>
        </row>
        <row r="23263">
          <cell r="O23263" t="str">
            <v/>
          </cell>
        </row>
        <row r="23264">
          <cell r="O23264" t="str">
            <v/>
          </cell>
        </row>
        <row r="23265">
          <cell r="O23265" t="str">
            <v/>
          </cell>
        </row>
        <row r="23266">
          <cell r="O23266" t="str">
            <v/>
          </cell>
        </row>
        <row r="23267">
          <cell r="O23267" t="str">
            <v/>
          </cell>
        </row>
        <row r="23268">
          <cell r="O23268" t="str">
            <v/>
          </cell>
        </row>
        <row r="23269">
          <cell r="O23269" t="str">
            <v/>
          </cell>
        </row>
        <row r="23270">
          <cell r="O23270" t="str">
            <v/>
          </cell>
        </row>
        <row r="23271">
          <cell r="O23271" t="str">
            <v/>
          </cell>
        </row>
        <row r="23272">
          <cell r="O23272" t="str">
            <v/>
          </cell>
        </row>
        <row r="23273">
          <cell r="O23273" t="str">
            <v/>
          </cell>
        </row>
        <row r="23274">
          <cell r="O23274" t="str">
            <v/>
          </cell>
        </row>
        <row r="23275">
          <cell r="O23275" t="str">
            <v/>
          </cell>
        </row>
        <row r="23276">
          <cell r="O23276" t="str">
            <v/>
          </cell>
        </row>
        <row r="23277">
          <cell r="O23277" t="str">
            <v/>
          </cell>
        </row>
        <row r="23278">
          <cell r="O23278" t="str">
            <v/>
          </cell>
        </row>
        <row r="23279">
          <cell r="O23279" t="str">
            <v/>
          </cell>
        </row>
        <row r="23280">
          <cell r="O23280" t="str">
            <v/>
          </cell>
        </row>
        <row r="23281">
          <cell r="O23281" t="str">
            <v/>
          </cell>
        </row>
        <row r="23282">
          <cell r="O23282" t="str">
            <v/>
          </cell>
        </row>
        <row r="23283">
          <cell r="O23283" t="str">
            <v/>
          </cell>
        </row>
        <row r="23284">
          <cell r="O23284" t="str">
            <v/>
          </cell>
        </row>
        <row r="23285">
          <cell r="O23285" t="str">
            <v/>
          </cell>
        </row>
        <row r="23286">
          <cell r="O23286" t="str">
            <v/>
          </cell>
        </row>
        <row r="23287">
          <cell r="O23287" t="str">
            <v/>
          </cell>
        </row>
        <row r="23288">
          <cell r="O23288" t="str">
            <v/>
          </cell>
        </row>
        <row r="23289">
          <cell r="O23289" t="str">
            <v/>
          </cell>
        </row>
        <row r="23290">
          <cell r="O23290" t="str">
            <v/>
          </cell>
        </row>
        <row r="23291">
          <cell r="O23291" t="str">
            <v/>
          </cell>
        </row>
        <row r="23292">
          <cell r="O23292" t="str">
            <v/>
          </cell>
        </row>
        <row r="23293">
          <cell r="O23293" t="str">
            <v/>
          </cell>
        </row>
        <row r="23294">
          <cell r="O23294" t="str">
            <v/>
          </cell>
        </row>
        <row r="23295">
          <cell r="O23295" t="str">
            <v/>
          </cell>
        </row>
        <row r="23296">
          <cell r="O23296" t="str">
            <v/>
          </cell>
        </row>
        <row r="23297">
          <cell r="O23297" t="str">
            <v/>
          </cell>
        </row>
        <row r="23298">
          <cell r="O23298" t="str">
            <v/>
          </cell>
        </row>
        <row r="23299">
          <cell r="O23299" t="str">
            <v/>
          </cell>
        </row>
        <row r="23300">
          <cell r="O23300" t="str">
            <v/>
          </cell>
        </row>
        <row r="23301">
          <cell r="O23301" t="str">
            <v/>
          </cell>
        </row>
        <row r="23302">
          <cell r="O23302" t="str">
            <v/>
          </cell>
        </row>
        <row r="23303">
          <cell r="O23303" t="str">
            <v/>
          </cell>
        </row>
        <row r="23304">
          <cell r="O23304" t="str">
            <v/>
          </cell>
        </row>
        <row r="23305">
          <cell r="O23305" t="str">
            <v/>
          </cell>
        </row>
        <row r="23306">
          <cell r="O23306" t="str">
            <v/>
          </cell>
        </row>
        <row r="23307">
          <cell r="O23307" t="str">
            <v/>
          </cell>
        </row>
        <row r="23308">
          <cell r="O23308" t="str">
            <v/>
          </cell>
        </row>
        <row r="23309">
          <cell r="O23309" t="str">
            <v/>
          </cell>
        </row>
        <row r="23310">
          <cell r="O23310" t="str">
            <v/>
          </cell>
        </row>
        <row r="23311">
          <cell r="O23311" t="str">
            <v/>
          </cell>
        </row>
        <row r="23312">
          <cell r="O23312" t="str">
            <v/>
          </cell>
        </row>
        <row r="23313">
          <cell r="O23313" t="str">
            <v/>
          </cell>
        </row>
        <row r="23314">
          <cell r="O23314" t="str">
            <v/>
          </cell>
        </row>
        <row r="23315">
          <cell r="O23315" t="str">
            <v/>
          </cell>
        </row>
        <row r="23316">
          <cell r="O23316" t="str">
            <v/>
          </cell>
        </row>
        <row r="23317">
          <cell r="O23317" t="str">
            <v/>
          </cell>
        </row>
        <row r="23318">
          <cell r="O23318" t="str">
            <v/>
          </cell>
        </row>
        <row r="23319">
          <cell r="O23319" t="str">
            <v/>
          </cell>
        </row>
        <row r="23320">
          <cell r="O23320" t="str">
            <v/>
          </cell>
        </row>
        <row r="23321">
          <cell r="O23321" t="str">
            <v/>
          </cell>
        </row>
        <row r="23322">
          <cell r="O23322" t="str">
            <v/>
          </cell>
        </row>
        <row r="23323">
          <cell r="O23323" t="str">
            <v/>
          </cell>
        </row>
        <row r="23324">
          <cell r="O23324" t="str">
            <v/>
          </cell>
        </row>
        <row r="23325">
          <cell r="O23325" t="str">
            <v/>
          </cell>
        </row>
        <row r="23326">
          <cell r="O23326" t="str">
            <v/>
          </cell>
        </row>
        <row r="23327">
          <cell r="O23327" t="str">
            <v/>
          </cell>
        </row>
        <row r="23328">
          <cell r="O23328" t="str">
            <v/>
          </cell>
        </row>
        <row r="23329">
          <cell r="O23329" t="str">
            <v/>
          </cell>
        </row>
        <row r="23330">
          <cell r="O23330" t="str">
            <v/>
          </cell>
        </row>
        <row r="23331">
          <cell r="O23331" t="str">
            <v/>
          </cell>
        </row>
        <row r="23332">
          <cell r="O23332" t="str">
            <v/>
          </cell>
        </row>
        <row r="23333">
          <cell r="O23333" t="str">
            <v/>
          </cell>
        </row>
        <row r="23334">
          <cell r="O23334" t="str">
            <v/>
          </cell>
        </row>
        <row r="23335">
          <cell r="O23335" t="str">
            <v/>
          </cell>
        </row>
        <row r="23336">
          <cell r="O23336" t="str">
            <v/>
          </cell>
        </row>
        <row r="23337">
          <cell r="O23337" t="str">
            <v/>
          </cell>
        </row>
        <row r="23338">
          <cell r="O23338" t="str">
            <v/>
          </cell>
        </row>
        <row r="23339">
          <cell r="O23339" t="str">
            <v/>
          </cell>
        </row>
        <row r="23340">
          <cell r="O23340" t="str">
            <v/>
          </cell>
        </row>
        <row r="23341">
          <cell r="O23341" t="str">
            <v/>
          </cell>
        </row>
        <row r="23342">
          <cell r="O23342" t="str">
            <v/>
          </cell>
        </row>
        <row r="23343">
          <cell r="O23343" t="str">
            <v/>
          </cell>
        </row>
        <row r="23344">
          <cell r="O23344" t="str">
            <v/>
          </cell>
        </row>
        <row r="23345">
          <cell r="O23345" t="str">
            <v/>
          </cell>
        </row>
        <row r="23346">
          <cell r="O23346" t="str">
            <v/>
          </cell>
        </row>
        <row r="23347">
          <cell r="O23347" t="str">
            <v/>
          </cell>
        </row>
        <row r="23348">
          <cell r="O23348" t="str">
            <v/>
          </cell>
        </row>
        <row r="23349">
          <cell r="O23349" t="str">
            <v/>
          </cell>
        </row>
        <row r="23350">
          <cell r="O23350" t="str">
            <v/>
          </cell>
        </row>
        <row r="23351">
          <cell r="O23351" t="str">
            <v/>
          </cell>
        </row>
        <row r="23352">
          <cell r="O23352" t="str">
            <v/>
          </cell>
        </row>
        <row r="23353">
          <cell r="O23353" t="str">
            <v/>
          </cell>
        </row>
        <row r="23354">
          <cell r="O23354" t="str">
            <v/>
          </cell>
        </row>
        <row r="23355">
          <cell r="O23355" t="str">
            <v/>
          </cell>
        </row>
        <row r="23356">
          <cell r="O23356" t="str">
            <v/>
          </cell>
        </row>
        <row r="23357">
          <cell r="O23357" t="str">
            <v/>
          </cell>
        </row>
        <row r="23358">
          <cell r="O23358" t="str">
            <v/>
          </cell>
        </row>
        <row r="23359">
          <cell r="O23359" t="str">
            <v/>
          </cell>
        </row>
        <row r="23360">
          <cell r="O23360" t="str">
            <v/>
          </cell>
        </row>
        <row r="23361">
          <cell r="O23361" t="str">
            <v/>
          </cell>
        </row>
        <row r="23362">
          <cell r="O23362" t="str">
            <v/>
          </cell>
        </row>
        <row r="23363">
          <cell r="O23363" t="str">
            <v/>
          </cell>
        </row>
        <row r="23364">
          <cell r="O23364" t="str">
            <v/>
          </cell>
        </row>
        <row r="23365">
          <cell r="O23365" t="str">
            <v/>
          </cell>
        </row>
        <row r="23366">
          <cell r="O23366" t="str">
            <v/>
          </cell>
        </row>
        <row r="23367">
          <cell r="O23367" t="str">
            <v/>
          </cell>
        </row>
        <row r="23368">
          <cell r="O23368" t="str">
            <v/>
          </cell>
        </row>
        <row r="23369">
          <cell r="O23369" t="str">
            <v/>
          </cell>
        </row>
        <row r="23370">
          <cell r="O23370" t="str">
            <v/>
          </cell>
        </row>
        <row r="23371">
          <cell r="O23371" t="str">
            <v/>
          </cell>
        </row>
        <row r="23372">
          <cell r="O23372" t="str">
            <v/>
          </cell>
        </row>
        <row r="23373">
          <cell r="O23373" t="str">
            <v/>
          </cell>
        </row>
        <row r="23374">
          <cell r="O23374" t="str">
            <v/>
          </cell>
        </row>
        <row r="23375">
          <cell r="O23375" t="str">
            <v/>
          </cell>
        </row>
        <row r="23376">
          <cell r="O23376" t="str">
            <v/>
          </cell>
        </row>
        <row r="23377">
          <cell r="O23377" t="str">
            <v/>
          </cell>
        </row>
        <row r="23378">
          <cell r="O23378" t="str">
            <v/>
          </cell>
        </row>
        <row r="23379">
          <cell r="O23379" t="str">
            <v/>
          </cell>
        </row>
        <row r="23380">
          <cell r="O23380" t="str">
            <v/>
          </cell>
        </row>
        <row r="23381">
          <cell r="O23381" t="str">
            <v/>
          </cell>
        </row>
        <row r="23382">
          <cell r="O23382" t="str">
            <v/>
          </cell>
        </row>
        <row r="23383">
          <cell r="O23383" t="str">
            <v/>
          </cell>
        </row>
        <row r="23384">
          <cell r="O23384" t="str">
            <v/>
          </cell>
        </row>
        <row r="23385">
          <cell r="O23385" t="str">
            <v/>
          </cell>
        </row>
        <row r="23386">
          <cell r="O23386" t="str">
            <v/>
          </cell>
        </row>
        <row r="23387">
          <cell r="O23387" t="str">
            <v/>
          </cell>
        </row>
        <row r="23388">
          <cell r="O23388" t="str">
            <v/>
          </cell>
        </row>
        <row r="23389">
          <cell r="O23389" t="str">
            <v/>
          </cell>
        </row>
        <row r="23390">
          <cell r="O23390" t="str">
            <v/>
          </cell>
        </row>
        <row r="23391">
          <cell r="O23391" t="str">
            <v/>
          </cell>
        </row>
        <row r="23392">
          <cell r="O23392" t="str">
            <v/>
          </cell>
        </row>
        <row r="23393">
          <cell r="O23393" t="str">
            <v/>
          </cell>
        </row>
        <row r="23394">
          <cell r="O23394" t="str">
            <v/>
          </cell>
        </row>
        <row r="23395">
          <cell r="O23395" t="str">
            <v/>
          </cell>
        </row>
        <row r="23396">
          <cell r="O23396" t="str">
            <v/>
          </cell>
        </row>
        <row r="23397">
          <cell r="O23397" t="str">
            <v/>
          </cell>
        </row>
        <row r="23398">
          <cell r="O23398" t="str">
            <v/>
          </cell>
        </row>
        <row r="23399">
          <cell r="O23399" t="str">
            <v/>
          </cell>
        </row>
        <row r="23400">
          <cell r="O23400" t="str">
            <v/>
          </cell>
        </row>
        <row r="23401">
          <cell r="O23401" t="str">
            <v/>
          </cell>
        </row>
        <row r="23402">
          <cell r="O23402" t="str">
            <v/>
          </cell>
        </row>
        <row r="23403">
          <cell r="O23403" t="str">
            <v/>
          </cell>
        </row>
        <row r="23404">
          <cell r="O23404" t="str">
            <v/>
          </cell>
        </row>
        <row r="23405">
          <cell r="O23405" t="str">
            <v/>
          </cell>
        </row>
        <row r="23406">
          <cell r="O23406" t="str">
            <v/>
          </cell>
        </row>
        <row r="23407">
          <cell r="O23407" t="str">
            <v/>
          </cell>
        </row>
        <row r="23408">
          <cell r="O23408" t="str">
            <v/>
          </cell>
        </row>
        <row r="23409">
          <cell r="O23409" t="str">
            <v/>
          </cell>
        </row>
        <row r="23410">
          <cell r="O23410" t="str">
            <v/>
          </cell>
        </row>
        <row r="23411">
          <cell r="O23411" t="str">
            <v/>
          </cell>
        </row>
        <row r="23412">
          <cell r="O23412" t="str">
            <v/>
          </cell>
        </row>
        <row r="23413">
          <cell r="O23413" t="str">
            <v/>
          </cell>
        </row>
        <row r="23414">
          <cell r="O23414" t="str">
            <v/>
          </cell>
        </row>
        <row r="23415">
          <cell r="O23415" t="str">
            <v/>
          </cell>
        </row>
        <row r="23416">
          <cell r="O23416" t="str">
            <v/>
          </cell>
        </row>
        <row r="23417">
          <cell r="O23417" t="str">
            <v/>
          </cell>
        </row>
        <row r="23418">
          <cell r="O23418" t="str">
            <v/>
          </cell>
        </row>
        <row r="23419">
          <cell r="O23419" t="str">
            <v/>
          </cell>
        </row>
        <row r="23420">
          <cell r="O23420" t="str">
            <v/>
          </cell>
        </row>
        <row r="23421">
          <cell r="O23421" t="str">
            <v/>
          </cell>
        </row>
        <row r="23422">
          <cell r="O23422" t="str">
            <v/>
          </cell>
        </row>
        <row r="23423">
          <cell r="O23423" t="str">
            <v/>
          </cell>
        </row>
        <row r="23424">
          <cell r="O23424" t="str">
            <v/>
          </cell>
        </row>
        <row r="23425">
          <cell r="O23425" t="str">
            <v/>
          </cell>
        </row>
        <row r="23426">
          <cell r="O23426" t="str">
            <v/>
          </cell>
        </row>
        <row r="23427">
          <cell r="O23427" t="str">
            <v/>
          </cell>
        </row>
        <row r="23428">
          <cell r="O23428" t="str">
            <v/>
          </cell>
        </row>
        <row r="23429">
          <cell r="O23429" t="str">
            <v/>
          </cell>
        </row>
        <row r="23430">
          <cell r="O23430" t="str">
            <v/>
          </cell>
        </row>
        <row r="23431">
          <cell r="O23431" t="str">
            <v/>
          </cell>
        </row>
        <row r="23432">
          <cell r="O23432" t="str">
            <v/>
          </cell>
        </row>
        <row r="23433">
          <cell r="O23433" t="str">
            <v/>
          </cell>
        </row>
        <row r="23434">
          <cell r="O23434" t="str">
            <v/>
          </cell>
        </row>
        <row r="23435">
          <cell r="O23435" t="str">
            <v/>
          </cell>
        </row>
        <row r="23436">
          <cell r="O23436" t="str">
            <v/>
          </cell>
        </row>
        <row r="23437">
          <cell r="O23437" t="str">
            <v/>
          </cell>
        </row>
        <row r="23438">
          <cell r="O23438" t="str">
            <v/>
          </cell>
        </row>
        <row r="23439">
          <cell r="O23439" t="str">
            <v/>
          </cell>
        </row>
        <row r="23440">
          <cell r="O23440" t="str">
            <v/>
          </cell>
        </row>
        <row r="23441">
          <cell r="O23441" t="str">
            <v/>
          </cell>
        </row>
        <row r="23442">
          <cell r="O23442" t="str">
            <v/>
          </cell>
        </row>
        <row r="23443">
          <cell r="O23443" t="str">
            <v/>
          </cell>
        </row>
        <row r="23444">
          <cell r="O23444" t="str">
            <v/>
          </cell>
        </row>
        <row r="23445">
          <cell r="O23445" t="str">
            <v/>
          </cell>
        </row>
        <row r="23446">
          <cell r="O23446" t="str">
            <v/>
          </cell>
        </row>
        <row r="23447">
          <cell r="O23447" t="str">
            <v/>
          </cell>
        </row>
        <row r="23448">
          <cell r="O23448" t="str">
            <v/>
          </cell>
        </row>
        <row r="23449">
          <cell r="O23449" t="str">
            <v/>
          </cell>
        </row>
        <row r="23450">
          <cell r="O23450" t="str">
            <v/>
          </cell>
        </row>
        <row r="23451">
          <cell r="O23451" t="str">
            <v/>
          </cell>
        </row>
        <row r="23452">
          <cell r="O23452" t="str">
            <v/>
          </cell>
        </row>
        <row r="23453">
          <cell r="O23453" t="str">
            <v/>
          </cell>
        </row>
        <row r="23454">
          <cell r="O23454" t="str">
            <v/>
          </cell>
        </row>
        <row r="23455">
          <cell r="O23455" t="str">
            <v/>
          </cell>
        </row>
        <row r="23456">
          <cell r="O23456" t="str">
            <v/>
          </cell>
        </row>
        <row r="23457">
          <cell r="O23457" t="str">
            <v/>
          </cell>
        </row>
        <row r="23458">
          <cell r="O23458" t="str">
            <v/>
          </cell>
        </row>
        <row r="23459">
          <cell r="O23459" t="str">
            <v/>
          </cell>
        </row>
        <row r="23460">
          <cell r="O23460" t="str">
            <v/>
          </cell>
        </row>
        <row r="23461">
          <cell r="O23461" t="str">
            <v/>
          </cell>
        </row>
        <row r="23462">
          <cell r="O23462" t="str">
            <v/>
          </cell>
        </row>
        <row r="23463">
          <cell r="O23463" t="str">
            <v/>
          </cell>
        </row>
        <row r="23464">
          <cell r="O23464" t="str">
            <v/>
          </cell>
        </row>
        <row r="23465">
          <cell r="O23465" t="str">
            <v/>
          </cell>
        </row>
        <row r="23466">
          <cell r="O23466" t="str">
            <v/>
          </cell>
        </row>
        <row r="23467">
          <cell r="O23467" t="str">
            <v/>
          </cell>
        </row>
        <row r="23468">
          <cell r="O23468" t="str">
            <v/>
          </cell>
        </row>
        <row r="23469">
          <cell r="O23469" t="str">
            <v/>
          </cell>
        </row>
        <row r="23470">
          <cell r="O23470" t="str">
            <v/>
          </cell>
        </row>
        <row r="23471">
          <cell r="O23471" t="str">
            <v/>
          </cell>
        </row>
        <row r="23472">
          <cell r="O23472" t="str">
            <v/>
          </cell>
        </row>
        <row r="23473">
          <cell r="O23473" t="str">
            <v/>
          </cell>
        </row>
        <row r="23474">
          <cell r="O23474" t="str">
            <v/>
          </cell>
        </row>
        <row r="23475">
          <cell r="O23475" t="str">
            <v/>
          </cell>
        </row>
        <row r="23476">
          <cell r="O23476" t="str">
            <v/>
          </cell>
        </row>
        <row r="23477">
          <cell r="O23477" t="str">
            <v/>
          </cell>
        </row>
        <row r="23478">
          <cell r="O23478" t="str">
            <v/>
          </cell>
        </row>
        <row r="23479">
          <cell r="O23479" t="str">
            <v/>
          </cell>
        </row>
        <row r="23480">
          <cell r="O23480" t="str">
            <v/>
          </cell>
        </row>
        <row r="23481">
          <cell r="O23481" t="str">
            <v/>
          </cell>
        </row>
        <row r="23482">
          <cell r="O23482" t="str">
            <v/>
          </cell>
        </row>
        <row r="23483">
          <cell r="O23483" t="str">
            <v/>
          </cell>
        </row>
        <row r="23484">
          <cell r="O23484" t="str">
            <v/>
          </cell>
        </row>
        <row r="23485">
          <cell r="O23485" t="str">
            <v/>
          </cell>
        </row>
        <row r="23486">
          <cell r="O23486" t="str">
            <v/>
          </cell>
        </row>
        <row r="23487">
          <cell r="O23487" t="str">
            <v/>
          </cell>
        </row>
        <row r="23488">
          <cell r="O23488" t="str">
            <v/>
          </cell>
        </row>
        <row r="23489">
          <cell r="O23489" t="str">
            <v/>
          </cell>
        </row>
        <row r="23490">
          <cell r="O23490" t="str">
            <v/>
          </cell>
        </row>
        <row r="23491">
          <cell r="O23491" t="str">
            <v/>
          </cell>
        </row>
        <row r="23492">
          <cell r="O23492" t="str">
            <v/>
          </cell>
        </row>
        <row r="23493">
          <cell r="O23493" t="str">
            <v/>
          </cell>
        </row>
        <row r="23494">
          <cell r="O23494" t="str">
            <v/>
          </cell>
        </row>
        <row r="23495">
          <cell r="O23495" t="str">
            <v/>
          </cell>
        </row>
        <row r="23496">
          <cell r="O23496" t="str">
            <v/>
          </cell>
        </row>
        <row r="23497">
          <cell r="O23497" t="str">
            <v/>
          </cell>
        </row>
        <row r="23498">
          <cell r="O23498" t="str">
            <v/>
          </cell>
        </row>
        <row r="23499">
          <cell r="O23499" t="str">
            <v/>
          </cell>
        </row>
        <row r="23500">
          <cell r="O23500" t="str">
            <v/>
          </cell>
        </row>
        <row r="23501">
          <cell r="O23501" t="str">
            <v/>
          </cell>
        </row>
        <row r="23502">
          <cell r="O23502" t="str">
            <v/>
          </cell>
        </row>
        <row r="23503">
          <cell r="O23503" t="str">
            <v/>
          </cell>
        </row>
        <row r="23504">
          <cell r="O23504" t="str">
            <v/>
          </cell>
        </row>
        <row r="23505">
          <cell r="O23505" t="str">
            <v/>
          </cell>
        </row>
        <row r="23506">
          <cell r="O23506" t="str">
            <v/>
          </cell>
        </row>
        <row r="23507">
          <cell r="O23507" t="str">
            <v/>
          </cell>
        </row>
        <row r="23508">
          <cell r="O23508" t="str">
            <v/>
          </cell>
        </row>
        <row r="23509">
          <cell r="O23509" t="str">
            <v/>
          </cell>
        </row>
        <row r="23510">
          <cell r="O23510" t="str">
            <v/>
          </cell>
        </row>
        <row r="23511">
          <cell r="O23511" t="str">
            <v/>
          </cell>
        </row>
        <row r="23512">
          <cell r="O23512" t="str">
            <v/>
          </cell>
        </row>
        <row r="23513">
          <cell r="O23513" t="str">
            <v/>
          </cell>
        </row>
        <row r="23514">
          <cell r="O23514" t="str">
            <v/>
          </cell>
        </row>
        <row r="23515">
          <cell r="O23515" t="str">
            <v/>
          </cell>
        </row>
        <row r="23516">
          <cell r="O23516" t="str">
            <v/>
          </cell>
        </row>
        <row r="23517">
          <cell r="O23517" t="str">
            <v/>
          </cell>
        </row>
        <row r="23518">
          <cell r="O23518" t="str">
            <v/>
          </cell>
        </row>
        <row r="23519">
          <cell r="O23519" t="str">
            <v/>
          </cell>
        </row>
        <row r="23520">
          <cell r="O23520" t="str">
            <v/>
          </cell>
        </row>
        <row r="23521">
          <cell r="O23521" t="str">
            <v/>
          </cell>
        </row>
        <row r="23522">
          <cell r="O23522" t="str">
            <v/>
          </cell>
        </row>
        <row r="23523">
          <cell r="O23523" t="str">
            <v/>
          </cell>
        </row>
        <row r="23524">
          <cell r="O23524" t="str">
            <v/>
          </cell>
        </row>
        <row r="23525">
          <cell r="O23525" t="str">
            <v/>
          </cell>
        </row>
        <row r="23526">
          <cell r="O23526" t="str">
            <v/>
          </cell>
        </row>
        <row r="23527">
          <cell r="O23527" t="str">
            <v/>
          </cell>
        </row>
        <row r="23528">
          <cell r="O23528" t="str">
            <v/>
          </cell>
        </row>
        <row r="23529">
          <cell r="O23529" t="str">
            <v/>
          </cell>
        </row>
        <row r="23530">
          <cell r="O23530" t="str">
            <v/>
          </cell>
        </row>
        <row r="23531">
          <cell r="O23531" t="str">
            <v/>
          </cell>
        </row>
        <row r="23532">
          <cell r="O23532" t="str">
            <v/>
          </cell>
        </row>
        <row r="23533">
          <cell r="O23533" t="str">
            <v/>
          </cell>
        </row>
        <row r="23534">
          <cell r="O23534" t="str">
            <v/>
          </cell>
        </row>
        <row r="23535">
          <cell r="O23535" t="str">
            <v/>
          </cell>
        </row>
        <row r="23536">
          <cell r="O23536" t="str">
            <v/>
          </cell>
        </row>
        <row r="23537">
          <cell r="O23537" t="str">
            <v/>
          </cell>
        </row>
        <row r="23538">
          <cell r="O23538" t="str">
            <v/>
          </cell>
        </row>
        <row r="23539">
          <cell r="O23539" t="str">
            <v/>
          </cell>
        </row>
        <row r="23540">
          <cell r="O23540" t="str">
            <v/>
          </cell>
        </row>
        <row r="23541">
          <cell r="O23541" t="str">
            <v/>
          </cell>
        </row>
        <row r="23542">
          <cell r="O23542" t="str">
            <v/>
          </cell>
        </row>
        <row r="23543">
          <cell r="O23543" t="str">
            <v/>
          </cell>
        </row>
        <row r="23544">
          <cell r="O23544" t="str">
            <v/>
          </cell>
        </row>
        <row r="23545">
          <cell r="O23545" t="str">
            <v/>
          </cell>
        </row>
        <row r="23546">
          <cell r="O23546" t="str">
            <v/>
          </cell>
        </row>
        <row r="23547">
          <cell r="O23547" t="str">
            <v/>
          </cell>
        </row>
        <row r="23548">
          <cell r="O23548" t="str">
            <v/>
          </cell>
        </row>
        <row r="23549">
          <cell r="O23549" t="str">
            <v/>
          </cell>
        </row>
        <row r="23550">
          <cell r="O23550" t="str">
            <v/>
          </cell>
        </row>
        <row r="23551">
          <cell r="O23551" t="str">
            <v/>
          </cell>
        </row>
        <row r="23552">
          <cell r="O23552" t="str">
            <v/>
          </cell>
        </row>
        <row r="23553">
          <cell r="O23553" t="str">
            <v/>
          </cell>
        </row>
        <row r="23554">
          <cell r="O23554" t="str">
            <v/>
          </cell>
        </row>
        <row r="23555">
          <cell r="O23555" t="str">
            <v/>
          </cell>
        </row>
        <row r="23556">
          <cell r="O23556" t="str">
            <v/>
          </cell>
        </row>
        <row r="23557">
          <cell r="O23557" t="str">
            <v/>
          </cell>
        </row>
        <row r="23558">
          <cell r="O23558" t="str">
            <v/>
          </cell>
        </row>
        <row r="23559">
          <cell r="O23559" t="str">
            <v/>
          </cell>
        </row>
        <row r="23560">
          <cell r="O23560" t="str">
            <v/>
          </cell>
        </row>
        <row r="23561">
          <cell r="O23561" t="str">
            <v/>
          </cell>
        </row>
        <row r="23562">
          <cell r="O23562" t="str">
            <v/>
          </cell>
        </row>
        <row r="23563">
          <cell r="O23563" t="str">
            <v/>
          </cell>
        </row>
        <row r="23564">
          <cell r="O23564" t="str">
            <v/>
          </cell>
        </row>
        <row r="23565">
          <cell r="O23565" t="str">
            <v/>
          </cell>
        </row>
        <row r="23566">
          <cell r="O23566" t="str">
            <v/>
          </cell>
        </row>
        <row r="23567">
          <cell r="O23567" t="str">
            <v/>
          </cell>
        </row>
        <row r="23568">
          <cell r="O23568" t="str">
            <v/>
          </cell>
        </row>
        <row r="23569">
          <cell r="O23569" t="str">
            <v/>
          </cell>
        </row>
        <row r="23570">
          <cell r="O23570" t="str">
            <v/>
          </cell>
        </row>
        <row r="23571">
          <cell r="O23571" t="str">
            <v/>
          </cell>
        </row>
        <row r="23572">
          <cell r="O23572" t="str">
            <v/>
          </cell>
        </row>
        <row r="23573">
          <cell r="O23573" t="str">
            <v/>
          </cell>
        </row>
        <row r="23574">
          <cell r="O23574" t="str">
            <v/>
          </cell>
        </row>
        <row r="23575">
          <cell r="O23575" t="str">
            <v/>
          </cell>
        </row>
        <row r="23576">
          <cell r="O23576" t="str">
            <v/>
          </cell>
        </row>
        <row r="23577">
          <cell r="O23577" t="str">
            <v/>
          </cell>
        </row>
        <row r="23578">
          <cell r="O23578" t="str">
            <v/>
          </cell>
        </row>
        <row r="23579">
          <cell r="O23579" t="str">
            <v/>
          </cell>
        </row>
        <row r="23580">
          <cell r="O23580" t="str">
            <v/>
          </cell>
        </row>
        <row r="23581">
          <cell r="O23581" t="str">
            <v/>
          </cell>
        </row>
        <row r="23582">
          <cell r="O23582" t="str">
            <v/>
          </cell>
        </row>
        <row r="23583">
          <cell r="O23583" t="str">
            <v/>
          </cell>
        </row>
        <row r="23584">
          <cell r="O23584" t="str">
            <v/>
          </cell>
        </row>
        <row r="23585">
          <cell r="O23585" t="str">
            <v/>
          </cell>
        </row>
        <row r="23586">
          <cell r="O23586" t="str">
            <v/>
          </cell>
        </row>
        <row r="23587">
          <cell r="O23587" t="str">
            <v/>
          </cell>
        </row>
        <row r="23588">
          <cell r="O23588" t="str">
            <v/>
          </cell>
        </row>
        <row r="23589">
          <cell r="O23589" t="str">
            <v/>
          </cell>
        </row>
        <row r="23590">
          <cell r="O23590" t="str">
            <v/>
          </cell>
        </row>
        <row r="23591">
          <cell r="O23591" t="str">
            <v/>
          </cell>
        </row>
        <row r="23592">
          <cell r="O23592" t="str">
            <v/>
          </cell>
        </row>
        <row r="23593">
          <cell r="O23593" t="str">
            <v/>
          </cell>
        </row>
        <row r="23594">
          <cell r="O23594" t="str">
            <v/>
          </cell>
        </row>
        <row r="23595">
          <cell r="O23595" t="str">
            <v/>
          </cell>
        </row>
        <row r="23596">
          <cell r="O23596" t="str">
            <v/>
          </cell>
        </row>
        <row r="23597">
          <cell r="O23597" t="str">
            <v/>
          </cell>
        </row>
        <row r="23598">
          <cell r="O23598" t="str">
            <v/>
          </cell>
        </row>
        <row r="23599">
          <cell r="O23599" t="str">
            <v/>
          </cell>
        </row>
        <row r="23600">
          <cell r="O23600" t="str">
            <v/>
          </cell>
        </row>
        <row r="23601">
          <cell r="O23601" t="str">
            <v/>
          </cell>
        </row>
        <row r="23602">
          <cell r="O23602" t="str">
            <v/>
          </cell>
        </row>
        <row r="23603">
          <cell r="O23603" t="str">
            <v/>
          </cell>
        </row>
        <row r="23604">
          <cell r="O23604" t="str">
            <v/>
          </cell>
        </row>
        <row r="23605">
          <cell r="O23605" t="str">
            <v/>
          </cell>
        </row>
        <row r="23606">
          <cell r="O23606" t="str">
            <v/>
          </cell>
        </row>
        <row r="23607">
          <cell r="O23607" t="str">
            <v/>
          </cell>
        </row>
        <row r="23608">
          <cell r="O23608" t="str">
            <v/>
          </cell>
        </row>
        <row r="23609">
          <cell r="O23609" t="str">
            <v/>
          </cell>
        </row>
        <row r="23610">
          <cell r="O23610" t="str">
            <v/>
          </cell>
        </row>
        <row r="23611">
          <cell r="O23611" t="str">
            <v/>
          </cell>
        </row>
        <row r="23612">
          <cell r="O23612" t="str">
            <v/>
          </cell>
        </row>
        <row r="23613">
          <cell r="O23613" t="str">
            <v/>
          </cell>
        </row>
        <row r="23614">
          <cell r="O23614" t="str">
            <v/>
          </cell>
        </row>
        <row r="23615">
          <cell r="O23615" t="str">
            <v/>
          </cell>
        </row>
        <row r="23616">
          <cell r="O23616" t="str">
            <v/>
          </cell>
        </row>
        <row r="23617">
          <cell r="O23617" t="str">
            <v/>
          </cell>
        </row>
        <row r="23618">
          <cell r="O23618" t="str">
            <v/>
          </cell>
        </row>
        <row r="23619">
          <cell r="O23619" t="str">
            <v/>
          </cell>
        </row>
        <row r="23620">
          <cell r="O23620" t="str">
            <v/>
          </cell>
        </row>
        <row r="23621">
          <cell r="O23621" t="str">
            <v/>
          </cell>
        </row>
        <row r="23622">
          <cell r="O23622" t="str">
            <v/>
          </cell>
        </row>
        <row r="23623">
          <cell r="O23623" t="str">
            <v/>
          </cell>
        </row>
        <row r="23624">
          <cell r="O23624" t="str">
            <v/>
          </cell>
        </row>
        <row r="23625">
          <cell r="O23625" t="str">
            <v/>
          </cell>
        </row>
        <row r="23626">
          <cell r="O23626" t="str">
            <v/>
          </cell>
        </row>
        <row r="23627">
          <cell r="O23627" t="str">
            <v/>
          </cell>
        </row>
        <row r="23628">
          <cell r="O23628" t="str">
            <v/>
          </cell>
        </row>
        <row r="23629">
          <cell r="O23629" t="str">
            <v/>
          </cell>
        </row>
        <row r="23630">
          <cell r="O23630" t="str">
            <v/>
          </cell>
        </row>
        <row r="23631">
          <cell r="O23631" t="str">
            <v/>
          </cell>
        </row>
        <row r="23632">
          <cell r="O23632" t="str">
            <v/>
          </cell>
        </row>
        <row r="23633">
          <cell r="O23633" t="str">
            <v/>
          </cell>
        </row>
        <row r="23634">
          <cell r="O23634" t="str">
            <v/>
          </cell>
        </row>
        <row r="23635">
          <cell r="O23635" t="str">
            <v/>
          </cell>
        </row>
        <row r="23636">
          <cell r="O23636" t="str">
            <v/>
          </cell>
        </row>
        <row r="23637">
          <cell r="O23637" t="str">
            <v/>
          </cell>
        </row>
        <row r="23638">
          <cell r="O23638" t="str">
            <v/>
          </cell>
        </row>
        <row r="23639">
          <cell r="O23639" t="str">
            <v/>
          </cell>
        </row>
        <row r="23640">
          <cell r="O23640" t="str">
            <v/>
          </cell>
        </row>
        <row r="23641">
          <cell r="O23641" t="str">
            <v/>
          </cell>
        </row>
        <row r="23642">
          <cell r="O23642" t="str">
            <v/>
          </cell>
        </row>
        <row r="23643">
          <cell r="O23643" t="str">
            <v/>
          </cell>
        </row>
        <row r="23644">
          <cell r="O23644" t="str">
            <v/>
          </cell>
        </row>
        <row r="23645">
          <cell r="O23645" t="str">
            <v/>
          </cell>
        </row>
        <row r="23646">
          <cell r="O23646" t="str">
            <v/>
          </cell>
        </row>
        <row r="23647">
          <cell r="O23647" t="str">
            <v/>
          </cell>
        </row>
        <row r="23648">
          <cell r="O23648" t="str">
            <v/>
          </cell>
        </row>
        <row r="23649">
          <cell r="O23649" t="str">
            <v/>
          </cell>
        </row>
        <row r="23650">
          <cell r="O23650" t="str">
            <v/>
          </cell>
        </row>
        <row r="23651">
          <cell r="O23651" t="str">
            <v/>
          </cell>
        </row>
        <row r="23652">
          <cell r="O23652" t="str">
            <v/>
          </cell>
        </row>
        <row r="23653">
          <cell r="O23653" t="str">
            <v/>
          </cell>
        </row>
        <row r="23654">
          <cell r="O23654" t="str">
            <v/>
          </cell>
        </row>
        <row r="23655">
          <cell r="O23655" t="str">
            <v/>
          </cell>
        </row>
        <row r="23656">
          <cell r="O23656" t="str">
            <v/>
          </cell>
        </row>
        <row r="23657">
          <cell r="O23657" t="str">
            <v/>
          </cell>
        </row>
        <row r="23658">
          <cell r="O23658" t="str">
            <v/>
          </cell>
        </row>
        <row r="23659">
          <cell r="O23659" t="str">
            <v/>
          </cell>
        </row>
        <row r="23660">
          <cell r="O23660" t="str">
            <v/>
          </cell>
        </row>
        <row r="23661">
          <cell r="O23661" t="str">
            <v/>
          </cell>
        </row>
        <row r="23662">
          <cell r="O23662" t="str">
            <v/>
          </cell>
        </row>
        <row r="23663">
          <cell r="O23663" t="str">
            <v/>
          </cell>
        </row>
        <row r="23664">
          <cell r="O23664" t="str">
            <v/>
          </cell>
        </row>
        <row r="23665">
          <cell r="O23665" t="str">
            <v/>
          </cell>
        </row>
        <row r="23666">
          <cell r="O23666" t="str">
            <v/>
          </cell>
        </row>
        <row r="23667">
          <cell r="O23667" t="str">
            <v/>
          </cell>
        </row>
        <row r="23668">
          <cell r="O23668" t="str">
            <v/>
          </cell>
        </row>
        <row r="23669">
          <cell r="O23669" t="str">
            <v/>
          </cell>
        </row>
        <row r="23670">
          <cell r="O23670" t="str">
            <v/>
          </cell>
        </row>
        <row r="23671">
          <cell r="O23671" t="str">
            <v/>
          </cell>
        </row>
        <row r="23672">
          <cell r="O23672" t="str">
            <v/>
          </cell>
        </row>
        <row r="23673">
          <cell r="O23673" t="str">
            <v/>
          </cell>
        </row>
        <row r="23674">
          <cell r="O23674" t="str">
            <v/>
          </cell>
        </row>
        <row r="23675">
          <cell r="O23675" t="str">
            <v/>
          </cell>
        </row>
        <row r="23676">
          <cell r="O23676" t="str">
            <v/>
          </cell>
        </row>
        <row r="23677">
          <cell r="O23677" t="str">
            <v/>
          </cell>
        </row>
        <row r="23678">
          <cell r="O23678" t="str">
            <v/>
          </cell>
        </row>
        <row r="23679">
          <cell r="O23679" t="str">
            <v/>
          </cell>
        </row>
        <row r="23680">
          <cell r="O23680" t="str">
            <v/>
          </cell>
        </row>
        <row r="23681">
          <cell r="O23681" t="str">
            <v/>
          </cell>
        </row>
        <row r="23682">
          <cell r="O23682" t="str">
            <v/>
          </cell>
        </row>
        <row r="23683">
          <cell r="O23683" t="str">
            <v/>
          </cell>
        </row>
        <row r="23684">
          <cell r="O23684" t="str">
            <v/>
          </cell>
        </row>
        <row r="23685">
          <cell r="O23685" t="str">
            <v/>
          </cell>
        </row>
        <row r="23686">
          <cell r="O23686" t="str">
            <v/>
          </cell>
        </row>
        <row r="23687">
          <cell r="O23687" t="str">
            <v/>
          </cell>
        </row>
        <row r="23688">
          <cell r="O23688" t="str">
            <v/>
          </cell>
        </row>
        <row r="23689">
          <cell r="O23689" t="str">
            <v/>
          </cell>
        </row>
        <row r="23690">
          <cell r="O23690" t="str">
            <v/>
          </cell>
        </row>
        <row r="23691">
          <cell r="O23691" t="str">
            <v/>
          </cell>
        </row>
        <row r="23692">
          <cell r="O23692" t="str">
            <v/>
          </cell>
        </row>
        <row r="23693">
          <cell r="O23693" t="str">
            <v/>
          </cell>
        </row>
        <row r="23694">
          <cell r="O23694" t="str">
            <v/>
          </cell>
        </row>
        <row r="23695">
          <cell r="O23695" t="str">
            <v/>
          </cell>
        </row>
        <row r="23696">
          <cell r="O23696" t="str">
            <v/>
          </cell>
        </row>
        <row r="23697">
          <cell r="O23697" t="str">
            <v/>
          </cell>
        </row>
        <row r="23698">
          <cell r="O23698" t="str">
            <v/>
          </cell>
        </row>
        <row r="23699">
          <cell r="O23699" t="str">
            <v/>
          </cell>
        </row>
        <row r="23700">
          <cell r="O23700" t="str">
            <v/>
          </cell>
        </row>
        <row r="23701">
          <cell r="O23701" t="str">
            <v/>
          </cell>
        </row>
        <row r="23702">
          <cell r="O23702" t="str">
            <v/>
          </cell>
        </row>
        <row r="23703">
          <cell r="O23703" t="str">
            <v/>
          </cell>
        </row>
        <row r="23704">
          <cell r="O23704" t="str">
            <v/>
          </cell>
        </row>
        <row r="23705">
          <cell r="O23705" t="str">
            <v/>
          </cell>
        </row>
        <row r="23706">
          <cell r="O23706" t="str">
            <v/>
          </cell>
        </row>
        <row r="23707">
          <cell r="O23707" t="str">
            <v/>
          </cell>
        </row>
        <row r="23708">
          <cell r="O23708" t="str">
            <v/>
          </cell>
        </row>
        <row r="23709">
          <cell r="O23709" t="str">
            <v/>
          </cell>
        </row>
        <row r="23710">
          <cell r="O23710" t="str">
            <v/>
          </cell>
        </row>
        <row r="23711">
          <cell r="O23711" t="str">
            <v/>
          </cell>
        </row>
        <row r="23712">
          <cell r="O23712" t="str">
            <v/>
          </cell>
        </row>
        <row r="23713">
          <cell r="O23713" t="str">
            <v/>
          </cell>
        </row>
        <row r="23714">
          <cell r="O23714" t="str">
            <v/>
          </cell>
        </row>
        <row r="23715">
          <cell r="O23715" t="str">
            <v/>
          </cell>
        </row>
        <row r="23716">
          <cell r="O23716" t="str">
            <v/>
          </cell>
        </row>
        <row r="23717">
          <cell r="O23717" t="str">
            <v/>
          </cell>
        </row>
        <row r="23718">
          <cell r="O23718" t="str">
            <v/>
          </cell>
        </row>
        <row r="23719">
          <cell r="O23719" t="str">
            <v/>
          </cell>
        </row>
        <row r="23720">
          <cell r="O23720" t="str">
            <v/>
          </cell>
        </row>
        <row r="23721">
          <cell r="O23721" t="str">
            <v/>
          </cell>
        </row>
        <row r="23722">
          <cell r="O23722" t="str">
            <v/>
          </cell>
        </row>
        <row r="23723">
          <cell r="O23723" t="str">
            <v/>
          </cell>
        </row>
        <row r="23724">
          <cell r="O23724" t="str">
            <v/>
          </cell>
        </row>
        <row r="23725">
          <cell r="O23725" t="str">
            <v/>
          </cell>
        </row>
        <row r="23726">
          <cell r="O23726" t="str">
            <v/>
          </cell>
        </row>
        <row r="23727">
          <cell r="O23727" t="str">
            <v/>
          </cell>
        </row>
        <row r="23728">
          <cell r="O23728" t="str">
            <v/>
          </cell>
        </row>
        <row r="23729">
          <cell r="O23729" t="str">
            <v/>
          </cell>
        </row>
        <row r="23730">
          <cell r="O23730" t="str">
            <v/>
          </cell>
        </row>
        <row r="23731">
          <cell r="O23731" t="str">
            <v/>
          </cell>
        </row>
        <row r="23732">
          <cell r="O23732" t="str">
            <v/>
          </cell>
        </row>
        <row r="23733">
          <cell r="O23733" t="str">
            <v/>
          </cell>
        </row>
        <row r="23734">
          <cell r="O23734" t="str">
            <v/>
          </cell>
        </row>
        <row r="23735">
          <cell r="O23735" t="str">
            <v/>
          </cell>
        </row>
        <row r="23736">
          <cell r="O23736" t="str">
            <v/>
          </cell>
        </row>
        <row r="23737">
          <cell r="O23737" t="str">
            <v/>
          </cell>
        </row>
        <row r="23738">
          <cell r="O23738" t="str">
            <v/>
          </cell>
        </row>
        <row r="23739">
          <cell r="O23739" t="str">
            <v/>
          </cell>
        </row>
        <row r="23740">
          <cell r="O23740" t="str">
            <v/>
          </cell>
        </row>
        <row r="23741">
          <cell r="O23741" t="str">
            <v/>
          </cell>
        </row>
        <row r="23742">
          <cell r="O23742" t="str">
            <v/>
          </cell>
        </row>
        <row r="23743">
          <cell r="O23743" t="str">
            <v/>
          </cell>
        </row>
        <row r="23744">
          <cell r="O23744" t="str">
            <v/>
          </cell>
        </row>
        <row r="23745">
          <cell r="O23745" t="str">
            <v/>
          </cell>
        </row>
        <row r="23746">
          <cell r="O23746" t="str">
            <v/>
          </cell>
        </row>
        <row r="23747">
          <cell r="O23747" t="str">
            <v/>
          </cell>
        </row>
        <row r="23748">
          <cell r="O23748" t="str">
            <v/>
          </cell>
        </row>
        <row r="23749">
          <cell r="O23749" t="str">
            <v/>
          </cell>
        </row>
        <row r="23750">
          <cell r="O23750" t="str">
            <v/>
          </cell>
        </row>
        <row r="23751">
          <cell r="O23751" t="str">
            <v/>
          </cell>
        </row>
        <row r="23752">
          <cell r="O23752" t="str">
            <v/>
          </cell>
        </row>
        <row r="23753">
          <cell r="O23753" t="str">
            <v/>
          </cell>
        </row>
        <row r="23754">
          <cell r="O23754" t="str">
            <v/>
          </cell>
        </row>
        <row r="23755">
          <cell r="O23755" t="str">
            <v/>
          </cell>
        </row>
        <row r="23756">
          <cell r="O23756" t="str">
            <v/>
          </cell>
        </row>
        <row r="23757">
          <cell r="O23757" t="str">
            <v/>
          </cell>
        </row>
        <row r="23758">
          <cell r="O23758" t="str">
            <v/>
          </cell>
        </row>
        <row r="23759">
          <cell r="O23759" t="str">
            <v/>
          </cell>
        </row>
        <row r="23760">
          <cell r="O23760" t="str">
            <v/>
          </cell>
        </row>
        <row r="23761">
          <cell r="O23761" t="str">
            <v/>
          </cell>
        </row>
        <row r="23762">
          <cell r="O23762" t="str">
            <v/>
          </cell>
        </row>
        <row r="23763">
          <cell r="O23763" t="str">
            <v/>
          </cell>
        </row>
        <row r="23764">
          <cell r="O23764" t="str">
            <v/>
          </cell>
        </row>
        <row r="23765">
          <cell r="O23765" t="str">
            <v/>
          </cell>
        </row>
        <row r="23766">
          <cell r="O23766" t="str">
            <v/>
          </cell>
        </row>
        <row r="23767">
          <cell r="O23767" t="str">
            <v/>
          </cell>
        </row>
        <row r="23768">
          <cell r="O23768" t="str">
            <v/>
          </cell>
        </row>
        <row r="23769">
          <cell r="O23769" t="str">
            <v/>
          </cell>
        </row>
        <row r="23770">
          <cell r="O23770" t="str">
            <v/>
          </cell>
        </row>
        <row r="23771">
          <cell r="O23771" t="str">
            <v/>
          </cell>
        </row>
        <row r="23772">
          <cell r="O23772" t="str">
            <v/>
          </cell>
        </row>
        <row r="23773">
          <cell r="O23773" t="str">
            <v/>
          </cell>
        </row>
        <row r="23774">
          <cell r="O23774" t="str">
            <v/>
          </cell>
        </row>
        <row r="23775">
          <cell r="O23775" t="str">
            <v/>
          </cell>
        </row>
        <row r="23776">
          <cell r="O23776" t="str">
            <v/>
          </cell>
        </row>
        <row r="23777">
          <cell r="O23777" t="str">
            <v/>
          </cell>
        </row>
        <row r="23778">
          <cell r="O23778" t="str">
            <v/>
          </cell>
        </row>
        <row r="23779">
          <cell r="O23779" t="str">
            <v/>
          </cell>
        </row>
        <row r="23780">
          <cell r="O23780" t="str">
            <v/>
          </cell>
        </row>
        <row r="23781">
          <cell r="O23781" t="str">
            <v/>
          </cell>
        </row>
        <row r="23782">
          <cell r="O23782" t="str">
            <v/>
          </cell>
        </row>
        <row r="23783">
          <cell r="O23783" t="str">
            <v/>
          </cell>
        </row>
        <row r="23784">
          <cell r="O23784" t="str">
            <v/>
          </cell>
        </row>
        <row r="23785">
          <cell r="O23785" t="str">
            <v/>
          </cell>
        </row>
        <row r="23786">
          <cell r="O23786" t="str">
            <v/>
          </cell>
        </row>
        <row r="23787">
          <cell r="O23787" t="str">
            <v/>
          </cell>
        </row>
        <row r="23788">
          <cell r="O23788" t="str">
            <v/>
          </cell>
        </row>
        <row r="23789">
          <cell r="O23789" t="str">
            <v/>
          </cell>
        </row>
        <row r="23790">
          <cell r="O23790" t="str">
            <v/>
          </cell>
        </row>
        <row r="23791">
          <cell r="O23791" t="str">
            <v/>
          </cell>
        </row>
        <row r="23792">
          <cell r="O23792" t="str">
            <v/>
          </cell>
        </row>
        <row r="23793">
          <cell r="O23793" t="str">
            <v/>
          </cell>
        </row>
        <row r="23794">
          <cell r="O23794" t="str">
            <v/>
          </cell>
        </row>
        <row r="23795">
          <cell r="O23795" t="str">
            <v/>
          </cell>
        </row>
        <row r="23796">
          <cell r="O23796" t="str">
            <v/>
          </cell>
        </row>
        <row r="23797">
          <cell r="O23797" t="str">
            <v/>
          </cell>
        </row>
        <row r="23798">
          <cell r="O23798" t="str">
            <v/>
          </cell>
        </row>
        <row r="23799">
          <cell r="O23799" t="str">
            <v/>
          </cell>
        </row>
        <row r="23800">
          <cell r="O23800" t="str">
            <v/>
          </cell>
        </row>
        <row r="23801">
          <cell r="O23801" t="str">
            <v/>
          </cell>
        </row>
        <row r="23802">
          <cell r="O23802" t="str">
            <v/>
          </cell>
        </row>
        <row r="23803">
          <cell r="O23803" t="str">
            <v/>
          </cell>
        </row>
        <row r="23804">
          <cell r="O23804" t="str">
            <v/>
          </cell>
        </row>
        <row r="23805">
          <cell r="O23805" t="str">
            <v/>
          </cell>
        </row>
        <row r="23806">
          <cell r="O23806" t="str">
            <v/>
          </cell>
        </row>
        <row r="23807">
          <cell r="O23807" t="str">
            <v/>
          </cell>
        </row>
        <row r="23808">
          <cell r="O23808" t="str">
            <v/>
          </cell>
        </row>
        <row r="23809">
          <cell r="O23809" t="str">
            <v/>
          </cell>
        </row>
        <row r="23810">
          <cell r="O23810" t="str">
            <v/>
          </cell>
        </row>
        <row r="23811">
          <cell r="O23811" t="str">
            <v/>
          </cell>
        </row>
        <row r="23812">
          <cell r="O23812" t="str">
            <v/>
          </cell>
        </row>
        <row r="23813">
          <cell r="O23813" t="str">
            <v/>
          </cell>
        </row>
        <row r="23814">
          <cell r="O23814" t="str">
            <v/>
          </cell>
        </row>
        <row r="23815">
          <cell r="O23815" t="str">
            <v/>
          </cell>
        </row>
        <row r="23816">
          <cell r="O23816" t="str">
            <v/>
          </cell>
        </row>
        <row r="23817">
          <cell r="O23817" t="str">
            <v/>
          </cell>
        </row>
        <row r="23818">
          <cell r="O23818" t="str">
            <v/>
          </cell>
        </row>
        <row r="23819">
          <cell r="O23819" t="str">
            <v/>
          </cell>
        </row>
        <row r="23820">
          <cell r="O23820" t="str">
            <v/>
          </cell>
        </row>
        <row r="23821">
          <cell r="O23821" t="str">
            <v/>
          </cell>
        </row>
        <row r="23822">
          <cell r="O23822" t="str">
            <v/>
          </cell>
        </row>
        <row r="23823">
          <cell r="O23823" t="str">
            <v/>
          </cell>
        </row>
        <row r="23824">
          <cell r="O23824" t="str">
            <v/>
          </cell>
        </row>
        <row r="23825">
          <cell r="O23825" t="str">
            <v/>
          </cell>
        </row>
        <row r="23826">
          <cell r="O23826" t="str">
            <v/>
          </cell>
        </row>
        <row r="23827">
          <cell r="O23827" t="str">
            <v/>
          </cell>
        </row>
        <row r="23828">
          <cell r="O23828" t="str">
            <v/>
          </cell>
        </row>
        <row r="23829">
          <cell r="O23829" t="str">
            <v/>
          </cell>
        </row>
        <row r="23830">
          <cell r="O23830" t="str">
            <v/>
          </cell>
        </row>
        <row r="23831">
          <cell r="O23831" t="str">
            <v/>
          </cell>
        </row>
        <row r="23832">
          <cell r="O23832" t="str">
            <v/>
          </cell>
        </row>
        <row r="23833">
          <cell r="O23833" t="str">
            <v/>
          </cell>
        </row>
        <row r="23834">
          <cell r="O23834" t="str">
            <v/>
          </cell>
        </row>
        <row r="23835">
          <cell r="O23835" t="str">
            <v/>
          </cell>
        </row>
        <row r="23836">
          <cell r="O23836" t="str">
            <v/>
          </cell>
        </row>
        <row r="23837">
          <cell r="O23837" t="str">
            <v/>
          </cell>
        </row>
        <row r="23838">
          <cell r="O23838" t="str">
            <v/>
          </cell>
        </row>
        <row r="23839">
          <cell r="O23839" t="str">
            <v/>
          </cell>
        </row>
        <row r="23840">
          <cell r="O23840" t="str">
            <v/>
          </cell>
        </row>
        <row r="23841">
          <cell r="O23841" t="str">
            <v/>
          </cell>
        </row>
        <row r="23842">
          <cell r="O23842" t="str">
            <v/>
          </cell>
        </row>
        <row r="23843">
          <cell r="O23843" t="str">
            <v/>
          </cell>
        </row>
        <row r="23844">
          <cell r="O23844" t="str">
            <v/>
          </cell>
        </row>
        <row r="23845">
          <cell r="O23845" t="str">
            <v/>
          </cell>
        </row>
        <row r="23846">
          <cell r="O23846" t="str">
            <v/>
          </cell>
        </row>
        <row r="23847">
          <cell r="O23847" t="str">
            <v/>
          </cell>
        </row>
        <row r="23848">
          <cell r="O23848" t="str">
            <v/>
          </cell>
        </row>
        <row r="23849">
          <cell r="O23849" t="str">
            <v/>
          </cell>
        </row>
        <row r="23850">
          <cell r="O23850" t="str">
            <v/>
          </cell>
        </row>
        <row r="23851">
          <cell r="O23851" t="str">
            <v/>
          </cell>
        </row>
        <row r="23852">
          <cell r="O23852" t="str">
            <v/>
          </cell>
        </row>
        <row r="23853">
          <cell r="O23853" t="str">
            <v/>
          </cell>
        </row>
        <row r="23854">
          <cell r="O23854" t="str">
            <v/>
          </cell>
        </row>
        <row r="23855">
          <cell r="O23855" t="str">
            <v/>
          </cell>
        </row>
        <row r="23856">
          <cell r="O23856" t="str">
            <v/>
          </cell>
        </row>
        <row r="23857">
          <cell r="O23857" t="str">
            <v/>
          </cell>
        </row>
        <row r="23858">
          <cell r="O23858" t="str">
            <v/>
          </cell>
        </row>
        <row r="23859">
          <cell r="O23859" t="str">
            <v/>
          </cell>
        </row>
        <row r="23860">
          <cell r="O23860" t="str">
            <v/>
          </cell>
        </row>
        <row r="23861">
          <cell r="O23861" t="str">
            <v/>
          </cell>
        </row>
        <row r="23862">
          <cell r="O23862" t="str">
            <v/>
          </cell>
        </row>
        <row r="23863">
          <cell r="O23863" t="str">
            <v/>
          </cell>
        </row>
        <row r="23864">
          <cell r="O23864" t="str">
            <v/>
          </cell>
        </row>
        <row r="23865">
          <cell r="O23865" t="str">
            <v/>
          </cell>
        </row>
        <row r="23866">
          <cell r="O23866" t="str">
            <v/>
          </cell>
        </row>
        <row r="23867">
          <cell r="O23867" t="str">
            <v/>
          </cell>
        </row>
        <row r="23868">
          <cell r="O23868" t="str">
            <v/>
          </cell>
        </row>
        <row r="23869">
          <cell r="O23869" t="str">
            <v/>
          </cell>
        </row>
        <row r="23870">
          <cell r="O23870" t="str">
            <v/>
          </cell>
        </row>
        <row r="23871">
          <cell r="O23871" t="str">
            <v/>
          </cell>
        </row>
        <row r="23872">
          <cell r="O23872" t="str">
            <v/>
          </cell>
        </row>
        <row r="23873">
          <cell r="O23873" t="str">
            <v/>
          </cell>
        </row>
        <row r="23874">
          <cell r="O23874" t="str">
            <v/>
          </cell>
        </row>
        <row r="23875">
          <cell r="O23875" t="str">
            <v/>
          </cell>
        </row>
        <row r="23876">
          <cell r="O23876" t="str">
            <v/>
          </cell>
        </row>
        <row r="23877">
          <cell r="O23877" t="str">
            <v/>
          </cell>
        </row>
        <row r="23878">
          <cell r="O23878" t="str">
            <v/>
          </cell>
        </row>
        <row r="23879">
          <cell r="O23879" t="str">
            <v/>
          </cell>
        </row>
        <row r="23880">
          <cell r="O23880" t="str">
            <v/>
          </cell>
        </row>
        <row r="23881">
          <cell r="O23881" t="str">
            <v/>
          </cell>
        </row>
        <row r="23882">
          <cell r="O23882" t="str">
            <v/>
          </cell>
        </row>
        <row r="23883">
          <cell r="O23883" t="str">
            <v/>
          </cell>
        </row>
        <row r="23884">
          <cell r="O23884" t="str">
            <v/>
          </cell>
        </row>
        <row r="23885">
          <cell r="O23885" t="str">
            <v/>
          </cell>
        </row>
        <row r="23886">
          <cell r="O23886" t="str">
            <v/>
          </cell>
        </row>
        <row r="23887">
          <cell r="O23887" t="str">
            <v/>
          </cell>
        </row>
        <row r="23888">
          <cell r="O23888" t="str">
            <v/>
          </cell>
        </row>
        <row r="23889">
          <cell r="O23889" t="str">
            <v/>
          </cell>
        </row>
        <row r="23890">
          <cell r="O23890" t="str">
            <v/>
          </cell>
        </row>
        <row r="23891">
          <cell r="O23891" t="str">
            <v/>
          </cell>
        </row>
        <row r="23892">
          <cell r="O23892" t="str">
            <v/>
          </cell>
        </row>
        <row r="23893">
          <cell r="O23893" t="str">
            <v/>
          </cell>
        </row>
        <row r="23894">
          <cell r="O23894" t="str">
            <v/>
          </cell>
        </row>
        <row r="23895">
          <cell r="O23895" t="str">
            <v/>
          </cell>
        </row>
        <row r="23896">
          <cell r="O23896" t="str">
            <v/>
          </cell>
        </row>
        <row r="23897">
          <cell r="O23897" t="str">
            <v/>
          </cell>
        </row>
        <row r="23898">
          <cell r="O23898" t="str">
            <v/>
          </cell>
        </row>
        <row r="23899">
          <cell r="O23899" t="str">
            <v/>
          </cell>
        </row>
        <row r="23900">
          <cell r="O23900" t="str">
            <v/>
          </cell>
        </row>
        <row r="23901">
          <cell r="O23901" t="str">
            <v/>
          </cell>
        </row>
        <row r="23902">
          <cell r="O23902" t="str">
            <v/>
          </cell>
        </row>
        <row r="23903">
          <cell r="O23903" t="str">
            <v/>
          </cell>
        </row>
        <row r="23904">
          <cell r="O23904" t="str">
            <v/>
          </cell>
        </row>
        <row r="23905">
          <cell r="O23905" t="str">
            <v/>
          </cell>
        </row>
        <row r="23906">
          <cell r="O23906" t="str">
            <v/>
          </cell>
        </row>
        <row r="23907">
          <cell r="O23907" t="str">
            <v/>
          </cell>
        </row>
        <row r="23908">
          <cell r="O23908" t="str">
            <v/>
          </cell>
        </row>
        <row r="23909">
          <cell r="O23909" t="str">
            <v/>
          </cell>
        </row>
        <row r="23910">
          <cell r="O23910" t="str">
            <v/>
          </cell>
        </row>
        <row r="23911">
          <cell r="O23911" t="str">
            <v/>
          </cell>
        </row>
        <row r="23912">
          <cell r="O23912" t="str">
            <v/>
          </cell>
        </row>
        <row r="23913">
          <cell r="O23913" t="str">
            <v/>
          </cell>
        </row>
        <row r="23914">
          <cell r="O23914" t="str">
            <v/>
          </cell>
        </row>
        <row r="23915">
          <cell r="O23915" t="str">
            <v/>
          </cell>
        </row>
        <row r="23916">
          <cell r="O23916" t="str">
            <v/>
          </cell>
        </row>
        <row r="23917">
          <cell r="O23917" t="str">
            <v/>
          </cell>
        </row>
        <row r="23918">
          <cell r="O23918" t="str">
            <v/>
          </cell>
        </row>
        <row r="23919">
          <cell r="O23919" t="str">
            <v/>
          </cell>
        </row>
        <row r="23920">
          <cell r="O23920" t="str">
            <v/>
          </cell>
        </row>
        <row r="23921">
          <cell r="O23921" t="str">
            <v/>
          </cell>
        </row>
        <row r="23922">
          <cell r="O23922" t="str">
            <v/>
          </cell>
        </row>
        <row r="23923">
          <cell r="O23923" t="str">
            <v/>
          </cell>
        </row>
        <row r="23924">
          <cell r="O23924" t="str">
            <v/>
          </cell>
        </row>
        <row r="23925">
          <cell r="O23925" t="str">
            <v/>
          </cell>
        </row>
        <row r="23926">
          <cell r="O23926" t="str">
            <v/>
          </cell>
        </row>
        <row r="23927">
          <cell r="O23927" t="str">
            <v/>
          </cell>
        </row>
        <row r="23928">
          <cell r="O23928" t="str">
            <v/>
          </cell>
        </row>
        <row r="23929">
          <cell r="O23929" t="str">
            <v/>
          </cell>
        </row>
        <row r="23930">
          <cell r="O23930" t="str">
            <v/>
          </cell>
        </row>
        <row r="23931">
          <cell r="O23931" t="str">
            <v/>
          </cell>
        </row>
        <row r="23932">
          <cell r="O23932" t="str">
            <v/>
          </cell>
        </row>
        <row r="23933">
          <cell r="O23933" t="str">
            <v/>
          </cell>
        </row>
        <row r="23934">
          <cell r="O23934" t="str">
            <v/>
          </cell>
        </row>
        <row r="23935">
          <cell r="O23935" t="str">
            <v/>
          </cell>
        </row>
        <row r="23936">
          <cell r="O23936" t="str">
            <v/>
          </cell>
        </row>
        <row r="23937">
          <cell r="O23937" t="str">
            <v/>
          </cell>
        </row>
        <row r="23938">
          <cell r="O23938" t="str">
            <v/>
          </cell>
        </row>
        <row r="23939">
          <cell r="O23939" t="str">
            <v/>
          </cell>
        </row>
        <row r="23940">
          <cell r="O23940" t="str">
            <v/>
          </cell>
        </row>
        <row r="23941">
          <cell r="O23941" t="str">
            <v/>
          </cell>
        </row>
        <row r="23942">
          <cell r="O23942" t="str">
            <v/>
          </cell>
        </row>
        <row r="23943">
          <cell r="O23943" t="str">
            <v/>
          </cell>
        </row>
        <row r="23944">
          <cell r="O23944" t="str">
            <v/>
          </cell>
        </row>
        <row r="23945">
          <cell r="O23945" t="str">
            <v/>
          </cell>
        </row>
        <row r="23946">
          <cell r="O23946" t="str">
            <v/>
          </cell>
        </row>
        <row r="23947">
          <cell r="O23947" t="str">
            <v/>
          </cell>
        </row>
        <row r="23948">
          <cell r="O23948" t="str">
            <v/>
          </cell>
        </row>
        <row r="23949">
          <cell r="O23949" t="str">
            <v/>
          </cell>
        </row>
        <row r="23950">
          <cell r="O23950" t="str">
            <v/>
          </cell>
        </row>
        <row r="23951">
          <cell r="O23951" t="str">
            <v/>
          </cell>
        </row>
        <row r="23952">
          <cell r="O23952" t="str">
            <v/>
          </cell>
        </row>
        <row r="23953">
          <cell r="O23953" t="str">
            <v/>
          </cell>
        </row>
        <row r="23954">
          <cell r="O23954" t="str">
            <v/>
          </cell>
        </row>
        <row r="23955">
          <cell r="O23955" t="str">
            <v/>
          </cell>
        </row>
        <row r="23956">
          <cell r="O23956" t="str">
            <v/>
          </cell>
        </row>
        <row r="23957">
          <cell r="O23957" t="str">
            <v/>
          </cell>
        </row>
        <row r="23958">
          <cell r="O23958" t="str">
            <v/>
          </cell>
        </row>
        <row r="23959">
          <cell r="O23959" t="str">
            <v/>
          </cell>
        </row>
        <row r="23960">
          <cell r="O23960" t="str">
            <v/>
          </cell>
        </row>
        <row r="23961">
          <cell r="O23961" t="str">
            <v/>
          </cell>
        </row>
        <row r="23962">
          <cell r="O23962" t="str">
            <v/>
          </cell>
        </row>
        <row r="23963">
          <cell r="O23963" t="str">
            <v/>
          </cell>
        </row>
        <row r="23964">
          <cell r="O23964" t="str">
            <v/>
          </cell>
        </row>
        <row r="23965">
          <cell r="O23965" t="str">
            <v/>
          </cell>
        </row>
        <row r="23966">
          <cell r="O23966" t="str">
            <v/>
          </cell>
        </row>
        <row r="23967">
          <cell r="O23967" t="str">
            <v/>
          </cell>
        </row>
        <row r="23968">
          <cell r="O23968" t="str">
            <v/>
          </cell>
        </row>
        <row r="23969">
          <cell r="O23969" t="str">
            <v/>
          </cell>
        </row>
        <row r="23970">
          <cell r="O23970" t="str">
            <v/>
          </cell>
        </row>
        <row r="23971">
          <cell r="O23971" t="str">
            <v/>
          </cell>
        </row>
        <row r="23972">
          <cell r="O23972" t="str">
            <v/>
          </cell>
        </row>
        <row r="23973">
          <cell r="O23973" t="str">
            <v/>
          </cell>
        </row>
        <row r="23974">
          <cell r="O23974" t="str">
            <v/>
          </cell>
        </row>
        <row r="23975">
          <cell r="O23975" t="str">
            <v/>
          </cell>
        </row>
        <row r="23976">
          <cell r="O23976" t="str">
            <v/>
          </cell>
        </row>
        <row r="23977">
          <cell r="O23977" t="str">
            <v/>
          </cell>
        </row>
        <row r="23978">
          <cell r="O23978" t="str">
            <v/>
          </cell>
        </row>
        <row r="23979">
          <cell r="O23979" t="str">
            <v/>
          </cell>
        </row>
        <row r="23980">
          <cell r="O23980" t="str">
            <v/>
          </cell>
        </row>
        <row r="23981">
          <cell r="O23981" t="str">
            <v/>
          </cell>
        </row>
        <row r="23982">
          <cell r="O23982" t="str">
            <v/>
          </cell>
        </row>
        <row r="23983">
          <cell r="O23983" t="str">
            <v/>
          </cell>
        </row>
        <row r="23984">
          <cell r="O23984" t="str">
            <v/>
          </cell>
        </row>
        <row r="23985">
          <cell r="O23985" t="str">
            <v/>
          </cell>
        </row>
        <row r="23986">
          <cell r="O23986" t="str">
            <v/>
          </cell>
        </row>
        <row r="23987">
          <cell r="O23987" t="str">
            <v/>
          </cell>
        </row>
        <row r="23988">
          <cell r="O23988" t="str">
            <v/>
          </cell>
        </row>
        <row r="23989">
          <cell r="O23989" t="str">
            <v/>
          </cell>
        </row>
        <row r="23990">
          <cell r="O23990" t="str">
            <v/>
          </cell>
        </row>
        <row r="23991">
          <cell r="O23991" t="str">
            <v/>
          </cell>
        </row>
        <row r="23992">
          <cell r="O23992" t="str">
            <v/>
          </cell>
        </row>
        <row r="23993">
          <cell r="O23993" t="str">
            <v/>
          </cell>
        </row>
        <row r="23994">
          <cell r="O23994" t="str">
            <v/>
          </cell>
        </row>
        <row r="23995">
          <cell r="O23995" t="str">
            <v/>
          </cell>
        </row>
        <row r="23996">
          <cell r="O23996" t="str">
            <v/>
          </cell>
        </row>
        <row r="23997">
          <cell r="O23997" t="str">
            <v/>
          </cell>
        </row>
        <row r="23998">
          <cell r="O23998" t="str">
            <v/>
          </cell>
        </row>
        <row r="23999">
          <cell r="O23999" t="str">
            <v/>
          </cell>
        </row>
        <row r="24000">
          <cell r="O24000" t="str">
            <v/>
          </cell>
        </row>
        <row r="24001">
          <cell r="O24001" t="str">
            <v/>
          </cell>
        </row>
        <row r="24002">
          <cell r="O24002" t="str">
            <v/>
          </cell>
        </row>
        <row r="24003">
          <cell r="O24003" t="str">
            <v/>
          </cell>
        </row>
        <row r="24004">
          <cell r="O24004" t="str">
            <v/>
          </cell>
        </row>
        <row r="24005">
          <cell r="O24005" t="str">
            <v/>
          </cell>
        </row>
        <row r="24006">
          <cell r="O24006" t="str">
            <v/>
          </cell>
        </row>
        <row r="24007">
          <cell r="O24007" t="str">
            <v/>
          </cell>
        </row>
        <row r="24008">
          <cell r="O24008" t="str">
            <v/>
          </cell>
        </row>
        <row r="24009">
          <cell r="O24009" t="str">
            <v/>
          </cell>
        </row>
        <row r="24010">
          <cell r="O24010" t="str">
            <v/>
          </cell>
        </row>
        <row r="24011">
          <cell r="O24011" t="str">
            <v/>
          </cell>
        </row>
        <row r="24012">
          <cell r="O24012" t="str">
            <v/>
          </cell>
        </row>
        <row r="24013">
          <cell r="O24013" t="str">
            <v/>
          </cell>
        </row>
        <row r="24014">
          <cell r="O24014" t="str">
            <v/>
          </cell>
        </row>
        <row r="24015">
          <cell r="O24015" t="str">
            <v/>
          </cell>
        </row>
        <row r="24016">
          <cell r="O24016" t="str">
            <v/>
          </cell>
        </row>
        <row r="24017">
          <cell r="O24017" t="str">
            <v/>
          </cell>
        </row>
        <row r="24018">
          <cell r="O24018" t="str">
            <v/>
          </cell>
        </row>
        <row r="24019">
          <cell r="O24019" t="str">
            <v/>
          </cell>
        </row>
        <row r="24020">
          <cell r="O24020" t="str">
            <v/>
          </cell>
        </row>
        <row r="24021">
          <cell r="O24021" t="str">
            <v/>
          </cell>
        </row>
        <row r="24022">
          <cell r="O24022" t="str">
            <v/>
          </cell>
        </row>
        <row r="24023">
          <cell r="O24023" t="str">
            <v/>
          </cell>
        </row>
        <row r="24024">
          <cell r="O24024" t="str">
            <v/>
          </cell>
        </row>
        <row r="24025">
          <cell r="O24025" t="str">
            <v/>
          </cell>
        </row>
        <row r="24026">
          <cell r="O24026" t="str">
            <v/>
          </cell>
        </row>
        <row r="24027">
          <cell r="O24027" t="str">
            <v/>
          </cell>
        </row>
        <row r="24028">
          <cell r="O24028" t="str">
            <v/>
          </cell>
        </row>
        <row r="24029">
          <cell r="O24029" t="str">
            <v/>
          </cell>
        </row>
        <row r="24030">
          <cell r="O24030" t="str">
            <v/>
          </cell>
        </row>
        <row r="24031">
          <cell r="O24031" t="str">
            <v/>
          </cell>
        </row>
        <row r="24032">
          <cell r="O24032" t="str">
            <v/>
          </cell>
        </row>
        <row r="24033">
          <cell r="O24033" t="str">
            <v/>
          </cell>
        </row>
        <row r="24034">
          <cell r="O24034" t="str">
            <v/>
          </cell>
        </row>
        <row r="24035">
          <cell r="O24035" t="str">
            <v/>
          </cell>
        </row>
        <row r="24036">
          <cell r="O24036" t="str">
            <v/>
          </cell>
        </row>
        <row r="24037">
          <cell r="O24037" t="str">
            <v/>
          </cell>
        </row>
        <row r="24038">
          <cell r="O24038" t="str">
            <v/>
          </cell>
        </row>
        <row r="24039">
          <cell r="O24039" t="str">
            <v/>
          </cell>
        </row>
        <row r="24040">
          <cell r="O24040" t="str">
            <v/>
          </cell>
        </row>
        <row r="24041">
          <cell r="O24041" t="str">
            <v/>
          </cell>
        </row>
        <row r="24042">
          <cell r="O24042" t="str">
            <v/>
          </cell>
        </row>
        <row r="24043">
          <cell r="O24043" t="str">
            <v/>
          </cell>
        </row>
        <row r="24044">
          <cell r="O24044" t="str">
            <v/>
          </cell>
        </row>
        <row r="24045">
          <cell r="O24045" t="str">
            <v/>
          </cell>
        </row>
        <row r="24046">
          <cell r="O24046" t="str">
            <v/>
          </cell>
        </row>
        <row r="24047">
          <cell r="O24047" t="str">
            <v/>
          </cell>
        </row>
        <row r="24048">
          <cell r="O24048" t="str">
            <v/>
          </cell>
        </row>
        <row r="24049">
          <cell r="O24049" t="str">
            <v/>
          </cell>
        </row>
        <row r="24050">
          <cell r="O24050" t="str">
            <v/>
          </cell>
        </row>
        <row r="24051">
          <cell r="O24051" t="str">
            <v/>
          </cell>
        </row>
        <row r="24052">
          <cell r="O24052" t="str">
            <v/>
          </cell>
        </row>
        <row r="24053">
          <cell r="O24053" t="str">
            <v/>
          </cell>
        </row>
        <row r="24054">
          <cell r="O24054" t="str">
            <v/>
          </cell>
        </row>
        <row r="24055">
          <cell r="O24055" t="str">
            <v/>
          </cell>
        </row>
        <row r="24056">
          <cell r="O24056" t="str">
            <v/>
          </cell>
        </row>
        <row r="24057">
          <cell r="O24057" t="str">
            <v/>
          </cell>
        </row>
        <row r="24058">
          <cell r="O24058" t="str">
            <v/>
          </cell>
        </row>
        <row r="24059">
          <cell r="O24059" t="str">
            <v/>
          </cell>
        </row>
        <row r="24060">
          <cell r="O24060" t="str">
            <v/>
          </cell>
        </row>
        <row r="24061">
          <cell r="O24061" t="str">
            <v/>
          </cell>
        </row>
        <row r="24062">
          <cell r="O24062" t="str">
            <v/>
          </cell>
        </row>
        <row r="24063">
          <cell r="O24063" t="str">
            <v/>
          </cell>
        </row>
        <row r="24064">
          <cell r="O24064" t="str">
            <v/>
          </cell>
        </row>
        <row r="24065">
          <cell r="O24065" t="str">
            <v/>
          </cell>
        </row>
        <row r="24066">
          <cell r="O24066" t="str">
            <v/>
          </cell>
        </row>
        <row r="24067">
          <cell r="O24067" t="str">
            <v/>
          </cell>
        </row>
        <row r="24068">
          <cell r="O24068" t="str">
            <v/>
          </cell>
        </row>
        <row r="24069">
          <cell r="O24069" t="str">
            <v/>
          </cell>
        </row>
        <row r="24070">
          <cell r="O24070" t="str">
            <v/>
          </cell>
        </row>
        <row r="24071">
          <cell r="O24071" t="str">
            <v/>
          </cell>
        </row>
        <row r="24072">
          <cell r="O24072" t="str">
            <v/>
          </cell>
        </row>
        <row r="24073">
          <cell r="O24073" t="str">
            <v/>
          </cell>
        </row>
        <row r="24074">
          <cell r="O24074" t="str">
            <v/>
          </cell>
        </row>
        <row r="24075">
          <cell r="O24075" t="str">
            <v/>
          </cell>
        </row>
        <row r="24076">
          <cell r="O24076" t="str">
            <v/>
          </cell>
        </row>
        <row r="24077">
          <cell r="O24077" t="str">
            <v/>
          </cell>
        </row>
        <row r="24078">
          <cell r="O24078" t="str">
            <v/>
          </cell>
        </row>
        <row r="24079">
          <cell r="O24079" t="str">
            <v/>
          </cell>
        </row>
        <row r="24080">
          <cell r="O24080" t="str">
            <v/>
          </cell>
        </row>
        <row r="24081">
          <cell r="O24081" t="str">
            <v/>
          </cell>
        </row>
        <row r="24082">
          <cell r="O24082" t="str">
            <v/>
          </cell>
        </row>
        <row r="24083">
          <cell r="O24083" t="str">
            <v/>
          </cell>
        </row>
        <row r="24084">
          <cell r="O24084" t="str">
            <v/>
          </cell>
        </row>
        <row r="24085">
          <cell r="O24085" t="str">
            <v/>
          </cell>
        </row>
        <row r="24086">
          <cell r="O24086" t="str">
            <v/>
          </cell>
        </row>
        <row r="24087">
          <cell r="O24087" t="str">
            <v/>
          </cell>
        </row>
        <row r="24088">
          <cell r="O24088" t="str">
            <v/>
          </cell>
        </row>
        <row r="24089">
          <cell r="O24089" t="str">
            <v/>
          </cell>
        </row>
        <row r="24090">
          <cell r="O24090" t="str">
            <v/>
          </cell>
        </row>
        <row r="24091">
          <cell r="O24091" t="str">
            <v/>
          </cell>
        </row>
        <row r="24092">
          <cell r="O24092" t="str">
            <v/>
          </cell>
        </row>
        <row r="24093">
          <cell r="O24093" t="str">
            <v/>
          </cell>
        </row>
        <row r="24094">
          <cell r="O24094" t="str">
            <v/>
          </cell>
        </row>
        <row r="24095">
          <cell r="O24095" t="str">
            <v/>
          </cell>
        </row>
        <row r="24096">
          <cell r="O24096" t="str">
            <v/>
          </cell>
        </row>
        <row r="24097">
          <cell r="O24097" t="str">
            <v/>
          </cell>
        </row>
        <row r="24098">
          <cell r="O24098" t="str">
            <v/>
          </cell>
        </row>
        <row r="24099">
          <cell r="O24099" t="str">
            <v/>
          </cell>
        </row>
        <row r="24100">
          <cell r="O24100" t="str">
            <v/>
          </cell>
        </row>
        <row r="24101">
          <cell r="O24101" t="str">
            <v/>
          </cell>
        </row>
        <row r="24102">
          <cell r="O24102" t="str">
            <v/>
          </cell>
        </row>
        <row r="24103">
          <cell r="O24103" t="str">
            <v/>
          </cell>
        </row>
        <row r="24104">
          <cell r="O24104" t="str">
            <v/>
          </cell>
        </row>
        <row r="24105">
          <cell r="O24105" t="str">
            <v/>
          </cell>
        </row>
        <row r="24106">
          <cell r="O24106" t="str">
            <v/>
          </cell>
        </row>
        <row r="24107">
          <cell r="O24107" t="str">
            <v/>
          </cell>
        </row>
        <row r="24108">
          <cell r="O24108" t="str">
            <v/>
          </cell>
        </row>
        <row r="24109">
          <cell r="O24109" t="str">
            <v/>
          </cell>
        </row>
        <row r="24110">
          <cell r="O24110" t="str">
            <v/>
          </cell>
        </row>
        <row r="24111">
          <cell r="O24111" t="str">
            <v/>
          </cell>
        </row>
        <row r="24112">
          <cell r="O24112" t="str">
            <v/>
          </cell>
        </row>
        <row r="24113">
          <cell r="O24113" t="str">
            <v/>
          </cell>
        </row>
        <row r="24114">
          <cell r="O24114" t="str">
            <v/>
          </cell>
        </row>
        <row r="24115">
          <cell r="O24115" t="str">
            <v/>
          </cell>
        </row>
        <row r="24116">
          <cell r="O24116" t="str">
            <v/>
          </cell>
        </row>
        <row r="24117">
          <cell r="O24117" t="str">
            <v/>
          </cell>
        </row>
        <row r="24118">
          <cell r="O24118" t="str">
            <v/>
          </cell>
        </row>
        <row r="24119">
          <cell r="O24119" t="str">
            <v/>
          </cell>
        </row>
        <row r="24120">
          <cell r="O24120" t="str">
            <v/>
          </cell>
        </row>
        <row r="24121">
          <cell r="O24121" t="str">
            <v/>
          </cell>
        </row>
        <row r="24122">
          <cell r="O24122" t="str">
            <v/>
          </cell>
        </row>
        <row r="24123">
          <cell r="O24123" t="str">
            <v/>
          </cell>
        </row>
        <row r="24124">
          <cell r="O24124" t="str">
            <v/>
          </cell>
        </row>
        <row r="24125">
          <cell r="O24125" t="str">
            <v/>
          </cell>
        </row>
        <row r="24126">
          <cell r="O24126" t="str">
            <v/>
          </cell>
        </row>
        <row r="24127">
          <cell r="O24127" t="str">
            <v/>
          </cell>
        </row>
        <row r="24128">
          <cell r="O24128" t="str">
            <v/>
          </cell>
        </row>
        <row r="24129">
          <cell r="O24129" t="str">
            <v/>
          </cell>
        </row>
        <row r="24130">
          <cell r="O24130" t="str">
            <v/>
          </cell>
        </row>
        <row r="24131">
          <cell r="O24131" t="str">
            <v/>
          </cell>
        </row>
        <row r="24132">
          <cell r="O24132" t="str">
            <v/>
          </cell>
        </row>
        <row r="24133">
          <cell r="O24133" t="str">
            <v/>
          </cell>
        </row>
        <row r="24134">
          <cell r="O24134" t="str">
            <v/>
          </cell>
        </row>
        <row r="24135">
          <cell r="O24135" t="str">
            <v/>
          </cell>
        </row>
        <row r="24136">
          <cell r="O24136" t="str">
            <v/>
          </cell>
        </row>
        <row r="24137">
          <cell r="O24137" t="str">
            <v/>
          </cell>
        </row>
        <row r="24138">
          <cell r="O24138" t="str">
            <v/>
          </cell>
        </row>
        <row r="24139">
          <cell r="O24139" t="str">
            <v/>
          </cell>
        </row>
        <row r="24140">
          <cell r="O24140" t="str">
            <v/>
          </cell>
        </row>
        <row r="24141">
          <cell r="O24141" t="str">
            <v/>
          </cell>
        </row>
        <row r="24142">
          <cell r="O24142" t="str">
            <v/>
          </cell>
        </row>
        <row r="24143">
          <cell r="O24143" t="str">
            <v/>
          </cell>
        </row>
        <row r="24144">
          <cell r="O24144" t="str">
            <v/>
          </cell>
        </row>
        <row r="24145">
          <cell r="O24145" t="str">
            <v/>
          </cell>
        </row>
        <row r="24146">
          <cell r="O24146" t="str">
            <v/>
          </cell>
        </row>
        <row r="24147">
          <cell r="O24147" t="str">
            <v/>
          </cell>
        </row>
        <row r="24148">
          <cell r="O24148" t="str">
            <v/>
          </cell>
        </row>
        <row r="24149">
          <cell r="O24149" t="str">
            <v/>
          </cell>
        </row>
        <row r="24150">
          <cell r="O24150" t="str">
            <v/>
          </cell>
        </row>
        <row r="24151">
          <cell r="O24151" t="str">
            <v/>
          </cell>
        </row>
        <row r="24152">
          <cell r="O24152" t="str">
            <v/>
          </cell>
        </row>
        <row r="24153">
          <cell r="O24153" t="str">
            <v/>
          </cell>
        </row>
        <row r="24154">
          <cell r="O24154" t="str">
            <v/>
          </cell>
        </row>
        <row r="24155">
          <cell r="O24155" t="str">
            <v/>
          </cell>
        </row>
        <row r="24156">
          <cell r="O24156" t="str">
            <v/>
          </cell>
        </row>
        <row r="24157">
          <cell r="O24157" t="str">
            <v/>
          </cell>
        </row>
        <row r="24158">
          <cell r="O24158" t="str">
            <v/>
          </cell>
        </row>
        <row r="24159">
          <cell r="O24159" t="str">
            <v/>
          </cell>
        </row>
        <row r="24160">
          <cell r="O24160" t="str">
            <v/>
          </cell>
        </row>
        <row r="24161">
          <cell r="O24161" t="str">
            <v/>
          </cell>
        </row>
        <row r="24162">
          <cell r="O24162" t="str">
            <v/>
          </cell>
        </row>
        <row r="24163">
          <cell r="O24163" t="str">
            <v/>
          </cell>
        </row>
        <row r="24164">
          <cell r="O24164" t="str">
            <v/>
          </cell>
        </row>
        <row r="24165">
          <cell r="O24165" t="str">
            <v/>
          </cell>
        </row>
        <row r="24166">
          <cell r="O24166" t="str">
            <v/>
          </cell>
        </row>
        <row r="24167">
          <cell r="O24167" t="str">
            <v/>
          </cell>
        </row>
        <row r="24168">
          <cell r="O24168" t="str">
            <v/>
          </cell>
        </row>
        <row r="24169">
          <cell r="O24169" t="str">
            <v/>
          </cell>
        </row>
        <row r="24170">
          <cell r="O24170" t="str">
            <v/>
          </cell>
        </row>
        <row r="24171">
          <cell r="O24171" t="str">
            <v/>
          </cell>
        </row>
        <row r="24172">
          <cell r="O24172" t="str">
            <v/>
          </cell>
        </row>
        <row r="24173">
          <cell r="O24173" t="str">
            <v/>
          </cell>
        </row>
        <row r="24174">
          <cell r="O24174" t="str">
            <v/>
          </cell>
        </row>
        <row r="24175">
          <cell r="O24175" t="str">
            <v/>
          </cell>
        </row>
        <row r="24176">
          <cell r="O24176" t="str">
            <v/>
          </cell>
        </row>
        <row r="24177">
          <cell r="O24177" t="str">
            <v/>
          </cell>
        </row>
        <row r="24178">
          <cell r="O24178" t="str">
            <v/>
          </cell>
        </row>
        <row r="24179">
          <cell r="O24179" t="str">
            <v/>
          </cell>
        </row>
        <row r="24180">
          <cell r="O24180" t="str">
            <v/>
          </cell>
        </row>
        <row r="24181">
          <cell r="O24181" t="str">
            <v/>
          </cell>
        </row>
        <row r="24182">
          <cell r="O24182" t="str">
            <v/>
          </cell>
        </row>
        <row r="24183">
          <cell r="O24183" t="str">
            <v/>
          </cell>
        </row>
        <row r="24184">
          <cell r="O24184" t="str">
            <v/>
          </cell>
        </row>
        <row r="24185">
          <cell r="O24185" t="str">
            <v/>
          </cell>
        </row>
        <row r="24186">
          <cell r="O24186" t="str">
            <v/>
          </cell>
        </row>
        <row r="24187">
          <cell r="O24187" t="str">
            <v/>
          </cell>
        </row>
        <row r="24188">
          <cell r="O24188" t="str">
            <v/>
          </cell>
        </row>
        <row r="24189">
          <cell r="O24189" t="str">
            <v/>
          </cell>
        </row>
        <row r="24190">
          <cell r="O24190" t="str">
            <v/>
          </cell>
        </row>
        <row r="24191">
          <cell r="O24191" t="str">
            <v/>
          </cell>
        </row>
        <row r="24192">
          <cell r="O24192" t="str">
            <v/>
          </cell>
        </row>
        <row r="24193">
          <cell r="O24193" t="str">
            <v/>
          </cell>
        </row>
        <row r="24194">
          <cell r="O24194" t="str">
            <v/>
          </cell>
        </row>
        <row r="24195">
          <cell r="O24195" t="str">
            <v/>
          </cell>
        </row>
        <row r="24196">
          <cell r="O24196" t="str">
            <v/>
          </cell>
        </row>
        <row r="24197">
          <cell r="O24197" t="str">
            <v/>
          </cell>
        </row>
        <row r="24198">
          <cell r="O24198" t="str">
            <v/>
          </cell>
        </row>
        <row r="24199">
          <cell r="O24199" t="str">
            <v/>
          </cell>
        </row>
        <row r="24200">
          <cell r="O24200" t="str">
            <v/>
          </cell>
        </row>
        <row r="24201">
          <cell r="O24201" t="str">
            <v/>
          </cell>
        </row>
        <row r="24202">
          <cell r="O24202" t="str">
            <v/>
          </cell>
        </row>
        <row r="24203">
          <cell r="O24203" t="str">
            <v/>
          </cell>
        </row>
        <row r="24204">
          <cell r="O24204" t="str">
            <v/>
          </cell>
        </row>
        <row r="24205">
          <cell r="O24205" t="str">
            <v/>
          </cell>
        </row>
        <row r="24206">
          <cell r="O24206" t="str">
            <v/>
          </cell>
        </row>
        <row r="24207">
          <cell r="O24207" t="str">
            <v/>
          </cell>
        </row>
        <row r="24208">
          <cell r="O24208" t="str">
            <v/>
          </cell>
        </row>
        <row r="24209">
          <cell r="O24209" t="str">
            <v/>
          </cell>
        </row>
        <row r="24210">
          <cell r="O24210" t="str">
            <v/>
          </cell>
        </row>
        <row r="24211">
          <cell r="O24211" t="str">
            <v/>
          </cell>
        </row>
        <row r="24212">
          <cell r="O24212" t="str">
            <v/>
          </cell>
        </row>
        <row r="24213">
          <cell r="O24213" t="str">
            <v/>
          </cell>
        </row>
        <row r="24214">
          <cell r="O24214" t="str">
            <v/>
          </cell>
        </row>
        <row r="24215">
          <cell r="O24215" t="str">
            <v/>
          </cell>
        </row>
        <row r="24216">
          <cell r="O24216" t="str">
            <v/>
          </cell>
        </row>
        <row r="24217">
          <cell r="O24217" t="str">
            <v/>
          </cell>
        </row>
        <row r="24218">
          <cell r="O24218" t="str">
            <v/>
          </cell>
        </row>
        <row r="24219">
          <cell r="O24219" t="str">
            <v/>
          </cell>
        </row>
        <row r="24220">
          <cell r="O24220" t="str">
            <v/>
          </cell>
        </row>
        <row r="24221">
          <cell r="O24221" t="str">
            <v/>
          </cell>
        </row>
        <row r="24222">
          <cell r="O24222" t="str">
            <v/>
          </cell>
        </row>
        <row r="24223">
          <cell r="O24223" t="str">
            <v/>
          </cell>
        </row>
        <row r="24224">
          <cell r="O24224" t="str">
            <v/>
          </cell>
        </row>
        <row r="24225">
          <cell r="O24225" t="str">
            <v/>
          </cell>
        </row>
        <row r="24226">
          <cell r="O24226" t="str">
            <v/>
          </cell>
        </row>
        <row r="24227">
          <cell r="O24227" t="str">
            <v/>
          </cell>
        </row>
        <row r="24228">
          <cell r="O24228" t="str">
            <v/>
          </cell>
        </row>
        <row r="24229">
          <cell r="O24229" t="str">
            <v/>
          </cell>
        </row>
        <row r="24230">
          <cell r="O24230" t="str">
            <v/>
          </cell>
        </row>
        <row r="24231">
          <cell r="O24231" t="str">
            <v/>
          </cell>
        </row>
        <row r="24232">
          <cell r="O24232" t="str">
            <v/>
          </cell>
        </row>
        <row r="24233">
          <cell r="O24233" t="str">
            <v/>
          </cell>
        </row>
        <row r="24234">
          <cell r="O24234" t="str">
            <v/>
          </cell>
        </row>
        <row r="24235">
          <cell r="O24235" t="str">
            <v/>
          </cell>
        </row>
        <row r="24236">
          <cell r="O24236" t="str">
            <v/>
          </cell>
        </row>
        <row r="24237">
          <cell r="O24237" t="str">
            <v/>
          </cell>
        </row>
        <row r="24238">
          <cell r="O24238" t="str">
            <v/>
          </cell>
        </row>
        <row r="24239">
          <cell r="O24239" t="str">
            <v/>
          </cell>
        </row>
        <row r="24240">
          <cell r="O24240" t="str">
            <v/>
          </cell>
        </row>
        <row r="24241">
          <cell r="O24241" t="str">
            <v/>
          </cell>
        </row>
        <row r="24242">
          <cell r="O24242" t="str">
            <v/>
          </cell>
        </row>
        <row r="24243">
          <cell r="O24243" t="str">
            <v/>
          </cell>
        </row>
        <row r="24244">
          <cell r="O24244" t="str">
            <v/>
          </cell>
        </row>
        <row r="24245">
          <cell r="O24245" t="str">
            <v/>
          </cell>
        </row>
        <row r="24246">
          <cell r="O24246" t="str">
            <v/>
          </cell>
        </row>
        <row r="24247">
          <cell r="O24247" t="str">
            <v/>
          </cell>
        </row>
        <row r="24248">
          <cell r="O24248" t="str">
            <v/>
          </cell>
        </row>
        <row r="24249">
          <cell r="O24249" t="str">
            <v/>
          </cell>
        </row>
        <row r="24250">
          <cell r="O24250" t="str">
            <v/>
          </cell>
        </row>
        <row r="24251">
          <cell r="O24251" t="str">
            <v/>
          </cell>
        </row>
        <row r="24252">
          <cell r="O24252" t="str">
            <v/>
          </cell>
        </row>
        <row r="24253">
          <cell r="O24253" t="str">
            <v/>
          </cell>
        </row>
        <row r="24254">
          <cell r="O24254" t="str">
            <v/>
          </cell>
        </row>
        <row r="24255">
          <cell r="O24255" t="str">
            <v/>
          </cell>
        </row>
        <row r="24256">
          <cell r="O24256" t="str">
            <v/>
          </cell>
        </row>
        <row r="24257">
          <cell r="O24257" t="str">
            <v/>
          </cell>
        </row>
        <row r="24258">
          <cell r="O24258" t="str">
            <v/>
          </cell>
        </row>
        <row r="24259">
          <cell r="O24259" t="str">
            <v/>
          </cell>
        </row>
        <row r="24260">
          <cell r="O24260" t="str">
            <v/>
          </cell>
        </row>
        <row r="24261">
          <cell r="O24261" t="str">
            <v/>
          </cell>
        </row>
        <row r="24262">
          <cell r="O24262" t="str">
            <v/>
          </cell>
        </row>
        <row r="24263">
          <cell r="O24263" t="str">
            <v/>
          </cell>
        </row>
        <row r="24264">
          <cell r="O24264" t="str">
            <v/>
          </cell>
        </row>
        <row r="24265">
          <cell r="O24265" t="str">
            <v/>
          </cell>
        </row>
        <row r="24266">
          <cell r="O24266" t="str">
            <v/>
          </cell>
        </row>
        <row r="24267">
          <cell r="O24267" t="str">
            <v/>
          </cell>
        </row>
        <row r="24268">
          <cell r="O24268" t="str">
            <v/>
          </cell>
        </row>
        <row r="24269">
          <cell r="O24269" t="str">
            <v/>
          </cell>
        </row>
        <row r="24270">
          <cell r="O24270" t="str">
            <v/>
          </cell>
        </row>
        <row r="24271">
          <cell r="O24271" t="str">
            <v/>
          </cell>
        </row>
        <row r="24272">
          <cell r="O24272" t="str">
            <v/>
          </cell>
        </row>
        <row r="24273">
          <cell r="O24273" t="str">
            <v/>
          </cell>
        </row>
        <row r="24274">
          <cell r="O24274" t="str">
            <v/>
          </cell>
        </row>
        <row r="24275">
          <cell r="O24275" t="str">
            <v/>
          </cell>
        </row>
        <row r="24276">
          <cell r="O24276" t="str">
            <v/>
          </cell>
        </row>
        <row r="24277">
          <cell r="O24277" t="str">
            <v/>
          </cell>
        </row>
        <row r="24278">
          <cell r="O24278" t="str">
            <v/>
          </cell>
        </row>
        <row r="24279">
          <cell r="O24279" t="str">
            <v/>
          </cell>
        </row>
        <row r="24280">
          <cell r="O24280" t="str">
            <v/>
          </cell>
        </row>
        <row r="24281">
          <cell r="O24281" t="str">
            <v/>
          </cell>
        </row>
        <row r="24282">
          <cell r="O24282" t="str">
            <v/>
          </cell>
        </row>
        <row r="24283">
          <cell r="O24283" t="str">
            <v/>
          </cell>
        </row>
        <row r="24284">
          <cell r="O24284" t="str">
            <v/>
          </cell>
        </row>
        <row r="24285">
          <cell r="O24285" t="str">
            <v/>
          </cell>
        </row>
        <row r="24286">
          <cell r="O24286" t="str">
            <v/>
          </cell>
        </row>
        <row r="24287">
          <cell r="O24287" t="str">
            <v/>
          </cell>
        </row>
        <row r="24288">
          <cell r="O24288" t="str">
            <v/>
          </cell>
        </row>
        <row r="24289">
          <cell r="O24289" t="str">
            <v/>
          </cell>
        </row>
        <row r="24290">
          <cell r="O24290" t="str">
            <v/>
          </cell>
        </row>
        <row r="24291">
          <cell r="O24291" t="str">
            <v/>
          </cell>
        </row>
        <row r="24292">
          <cell r="O24292" t="str">
            <v/>
          </cell>
        </row>
        <row r="24293">
          <cell r="O24293" t="str">
            <v/>
          </cell>
        </row>
        <row r="24294">
          <cell r="O24294" t="str">
            <v/>
          </cell>
        </row>
        <row r="24295">
          <cell r="O24295" t="str">
            <v/>
          </cell>
        </row>
        <row r="24296">
          <cell r="O24296" t="str">
            <v/>
          </cell>
        </row>
        <row r="24297">
          <cell r="O24297" t="str">
            <v/>
          </cell>
        </row>
        <row r="24298">
          <cell r="O24298" t="str">
            <v/>
          </cell>
        </row>
        <row r="24299">
          <cell r="O24299" t="str">
            <v/>
          </cell>
        </row>
        <row r="24300">
          <cell r="O24300" t="str">
            <v/>
          </cell>
        </row>
        <row r="24301">
          <cell r="O24301" t="str">
            <v/>
          </cell>
        </row>
        <row r="24302">
          <cell r="O24302" t="str">
            <v/>
          </cell>
        </row>
        <row r="24303">
          <cell r="O24303" t="str">
            <v/>
          </cell>
        </row>
        <row r="24304">
          <cell r="O24304" t="str">
            <v/>
          </cell>
        </row>
        <row r="24305">
          <cell r="O24305" t="str">
            <v/>
          </cell>
        </row>
        <row r="24306">
          <cell r="O24306" t="str">
            <v/>
          </cell>
        </row>
        <row r="24307">
          <cell r="O24307" t="str">
            <v/>
          </cell>
        </row>
        <row r="24308">
          <cell r="O24308" t="str">
            <v/>
          </cell>
        </row>
        <row r="24309">
          <cell r="O24309" t="str">
            <v/>
          </cell>
        </row>
        <row r="24310">
          <cell r="O24310" t="str">
            <v/>
          </cell>
        </row>
        <row r="24311">
          <cell r="O24311" t="str">
            <v/>
          </cell>
        </row>
        <row r="24312">
          <cell r="O24312" t="str">
            <v/>
          </cell>
        </row>
        <row r="24313">
          <cell r="O24313" t="str">
            <v/>
          </cell>
        </row>
        <row r="24314">
          <cell r="O24314" t="str">
            <v/>
          </cell>
        </row>
        <row r="24315">
          <cell r="O24315" t="str">
            <v/>
          </cell>
        </row>
        <row r="24316">
          <cell r="O24316" t="str">
            <v/>
          </cell>
        </row>
        <row r="24317">
          <cell r="O24317" t="str">
            <v/>
          </cell>
        </row>
        <row r="24318">
          <cell r="O24318" t="str">
            <v/>
          </cell>
        </row>
        <row r="24319">
          <cell r="O24319" t="str">
            <v/>
          </cell>
        </row>
        <row r="24320">
          <cell r="O24320" t="str">
            <v/>
          </cell>
        </row>
        <row r="24321">
          <cell r="O24321" t="str">
            <v/>
          </cell>
        </row>
        <row r="24322">
          <cell r="O24322" t="str">
            <v/>
          </cell>
        </row>
        <row r="24323">
          <cell r="O24323" t="str">
            <v/>
          </cell>
        </row>
        <row r="24324">
          <cell r="O24324" t="str">
            <v/>
          </cell>
        </row>
        <row r="24325">
          <cell r="O24325" t="str">
            <v/>
          </cell>
        </row>
        <row r="24326">
          <cell r="O24326" t="str">
            <v/>
          </cell>
        </row>
        <row r="24327">
          <cell r="O24327" t="str">
            <v/>
          </cell>
        </row>
        <row r="24328">
          <cell r="O24328" t="str">
            <v/>
          </cell>
        </row>
        <row r="24329">
          <cell r="O24329" t="str">
            <v/>
          </cell>
        </row>
        <row r="24330">
          <cell r="O24330" t="str">
            <v/>
          </cell>
        </row>
        <row r="24331">
          <cell r="O24331" t="str">
            <v/>
          </cell>
        </row>
        <row r="24332">
          <cell r="O24332" t="str">
            <v/>
          </cell>
        </row>
        <row r="24333">
          <cell r="O24333" t="str">
            <v/>
          </cell>
        </row>
        <row r="24334">
          <cell r="O24334" t="str">
            <v/>
          </cell>
        </row>
        <row r="24335">
          <cell r="O24335" t="str">
            <v/>
          </cell>
        </row>
        <row r="24336">
          <cell r="O24336" t="str">
            <v/>
          </cell>
        </row>
        <row r="24337">
          <cell r="O24337" t="str">
            <v/>
          </cell>
        </row>
        <row r="24338">
          <cell r="O24338" t="str">
            <v/>
          </cell>
        </row>
        <row r="24339">
          <cell r="O24339" t="str">
            <v/>
          </cell>
        </row>
        <row r="24340">
          <cell r="O24340" t="str">
            <v/>
          </cell>
        </row>
        <row r="24341">
          <cell r="O24341" t="str">
            <v/>
          </cell>
        </row>
        <row r="24342">
          <cell r="O24342" t="str">
            <v/>
          </cell>
        </row>
        <row r="24343">
          <cell r="O24343" t="str">
            <v/>
          </cell>
        </row>
        <row r="24344">
          <cell r="O24344" t="str">
            <v/>
          </cell>
        </row>
        <row r="24345">
          <cell r="O24345" t="str">
            <v/>
          </cell>
        </row>
        <row r="24346">
          <cell r="O24346" t="str">
            <v/>
          </cell>
        </row>
        <row r="24347">
          <cell r="O24347" t="str">
            <v/>
          </cell>
        </row>
        <row r="24348">
          <cell r="O24348" t="str">
            <v/>
          </cell>
        </row>
        <row r="24349">
          <cell r="O24349" t="str">
            <v/>
          </cell>
        </row>
        <row r="24350">
          <cell r="O24350" t="str">
            <v/>
          </cell>
        </row>
        <row r="24351">
          <cell r="O24351" t="str">
            <v/>
          </cell>
        </row>
        <row r="24352">
          <cell r="O24352" t="str">
            <v/>
          </cell>
        </row>
        <row r="24353">
          <cell r="O24353" t="str">
            <v/>
          </cell>
        </row>
        <row r="24354">
          <cell r="O24354" t="str">
            <v/>
          </cell>
        </row>
        <row r="24355">
          <cell r="O24355" t="str">
            <v/>
          </cell>
        </row>
        <row r="24356">
          <cell r="O24356" t="str">
            <v/>
          </cell>
        </row>
        <row r="24357">
          <cell r="O24357" t="str">
            <v/>
          </cell>
        </row>
        <row r="24358">
          <cell r="O24358" t="str">
            <v/>
          </cell>
        </row>
        <row r="24359">
          <cell r="O24359" t="str">
            <v/>
          </cell>
        </row>
        <row r="24360">
          <cell r="O24360" t="str">
            <v/>
          </cell>
        </row>
        <row r="24361">
          <cell r="O24361" t="str">
            <v/>
          </cell>
        </row>
        <row r="24362">
          <cell r="O24362" t="str">
            <v/>
          </cell>
        </row>
        <row r="24363">
          <cell r="O24363" t="str">
            <v/>
          </cell>
        </row>
        <row r="24364">
          <cell r="O24364" t="str">
            <v/>
          </cell>
        </row>
        <row r="24365">
          <cell r="O24365" t="str">
            <v/>
          </cell>
        </row>
        <row r="24366">
          <cell r="O24366" t="str">
            <v/>
          </cell>
        </row>
        <row r="24367">
          <cell r="O24367" t="str">
            <v/>
          </cell>
        </row>
        <row r="24368">
          <cell r="O24368" t="str">
            <v/>
          </cell>
        </row>
        <row r="24369">
          <cell r="O24369" t="str">
            <v/>
          </cell>
        </row>
        <row r="24370">
          <cell r="O24370" t="str">
            <v/>
          </cell>
        </row>
        <row r="24371">
          <cell r="O24371" t="str">
            <v/>
          </cell>
        </row>
        <row r="24372">
          <cell r="O24372" t="str">
            <v/>
          </cell>
        </row>
        <row r="24373">
          <cell r="O24373" t="str">
            <v/>
          </cell>
        </row>
        <row r="24374">
          <cell r="O24374" t="str">
            <v/>
          </cell>
        </row>
        <row r="24375">
          <cell r="O24375" t="str">
            <v/>
          </cell>
        </row>
        <row r="24376">
          <cell r="O24376" t="str">
            <v/>
          </cell>
        </row>
        <row r="24377">
          <cell r="O24377" t="str">
            <v/>
          </cell>
        </row>
        <row r="24378">
          <cell r="O24378" t="str">
            <v/>
          </cell>
        </row>
        <row r="24379">
          <cell r="O24379" t="str">
            <v/>
          </cell>
        </row>
        <row r="24380">
          <cell r="O24380" t="str">
            <v/>
          </cell>
        </row>
        <row r="24381">
          <cell r="O24381" t="str">
            <v/>
          </cell>
        </row>
        <row r="24382">
          <cell r="O24382" t="str">
            <v/>
          </cell>
        </row>
        <row r="24383">
          <cell r="O24383" t="str">
            <v/>
          </cell>
        </row>
        <row r="24384">
          <cell r="O24384" t="str">
            <v/>
          </cell>
        </row>
        <row r="24385">
          <cell r="O24385" t="str">
            <v/>
          </cell>
        </row>
        <row r="24386">
          <cell r="O24386" t="str">
            <v/>
          </cell>
        </row>
        <row r="24387">
          <cell r="O24387" t="str">
            <v/>
          </cell>
        </row>
        <row r="24388">
          <cell r="O24388" t="str">
            <v/>
          </cell>
        </row>
        <row r="24389">
          <cell r="O24389" t="str">
            <v/>
          </cell>
        </row>
        <row r="24390">
          <cell r="O24390" t="str">
            <v/>
          </cell>
        </row>
        <row r="24391">
          <cell r="O24391" t="str">
            <v/>
          </cell>
        </row>
        <row r="24392">
          <cell r="O24392" t="str">
            <v/>
          </cell>
        </row>
        <row r="24393">
          <cell r="O24393" t="str">
            <v/>
          </cell>
        </row>
        <row r="24394">
          <cell r="O24394" t="str">
            <v/>
          </cell>
        </row>
        <row r="24395">
          <cell r="O24395" t="str">
            <v/>
          </cell>
        </row>
        <row r="24396">
          <cell r="O24396" t="str">
            <v/>
          </cell>
        </row>
        <row r="24397">
          <cell r="O24397" t="str">
            <v/>
          </cell>
        </row>
        <row r="24398">
          <cell r="O24398" t="str">
            <v/>
          </cell>
        </row>
        <row r="24399">
          <cell r="O24399" t="str">
            <v/>
          </cell>
        </row>
        <row r="24400">
          <cell r="O24400" t="str">
            <v/>
          </cell>
        </row>
        <row r="24401">
          <cell r="O24401" t="str">
            <v/>
          </cell>
        </row>
        <row r="24402">
          <cell r="O24402" t="str">
            <v/>
          </cell>
        </row>
        <row r="24403">
          <cell r="O24403" t="str">
            <v/>
          </cell>
        </row>
        <row r="24404">
          <cell r="O24404" t="str">
            <v/>
          </cell>
        </row>
        <row r="24405">
          <cell r="O24405" t="str">
            <v/>
          </cell>
        </row>
        <row r="24406">
          <cell r="O24406" t="str">
            <v/>
          </cell>
        </row>
        <row r="24407">
          <cell r="O24407" t="str">
            <v/>
          </cell>
        </row>
        <row r="24408">
          <cell r="O24408" t="str">
            <v/>
          </cell>
        </row>
        <row r="24409">
          <cell r="O24409" t="str">
            <v/>
          </cell>
        </row>
        <row r="24410">
          <cell r="O24410" t="str">
            <v/>
          </cell>
        </row>
        <row r="24411">
          <cell r="O24411" t="str">
            <v/>
          </cell>
        </row>
        <row r="24412">
          <cell r="O24412" t="str">
            <v/>
          </cell>
        </row>
        <row r="24413">
          <cell r="O24413" t="str">
            <v/>
          </cell>
        </row>
        <row r="24414">
          <cell r="O24414" t="str">
            <v/>
          </cell>
        </row>
        <row r="24415">
          <cell r="O24415" t="str">
            <v/>
          </cell>
        </row>
        <row r="24416">
          <cell r="O24416" t="str">
            <v/>
          </cell>
        </row>
        <row r="24417">
          <cell r="O24417" t="str">
            <v/>
          </cell>
        </row>
        <row r="24418">
          <cell r="O24418" t="str">
            <v/>
          </cell>
        </row>
        <row r="24419">
          <cell r="O24419" t="str">
            <v/>
          </cell>
        </row>
        <row r="24420">
          <cell r="O24420" t="str">
            <v/>
          </cell>
        </row>
        <row r="24421">
          <cell r="O24421" t="str">
            <v/>
          </cell>
        </row>
        <row r="24422">
          <cell r="O24422" t="str">
            <v/>
          </cell>
        </row>
        <row r="24423">
          <cell r="O24423" t="str">
            <v/>
          </cell>
        </row>
        <row r="24424">
          <cell r="O24424" t="str">
            <v/>
          </cell>
        </row>
        <row r="24425">
          <cell r="O24425" t="str">
            <v/>
          </cell>
        </row>
        <row r="24426">
          <cell r="O24426" t="str">
            <v/>
          </cell>
        </row>
        <row r="24427">
          <cell r="O24427" t="str">
            <v/>
          </cell>
        </row>
        <row r="24428">
          <cell r="O24428" t="str">
            <v/>
          </cell>
        </row>
        <row r="24429">
          <cell r="O24429" t="str">
            <v/>
          </cell>
        </row>
        <row r="24430">
          <cell r="O24430" t="str">
            <v/>
          </cell>
        </row>
        <row r="24431">
          <cell r="O24431" t="str">
            <v/>
          </cell>
        </row>
        <row r="24432">
          <cell r="O24432" t="str">
            <v/>
          </cell>
        </row>
        <row r="24433">
          <cell r="O24433" t="str">
            <v/>
          </cell>
        </row>
        <row r="24434">
          <cell r="O24434" t="str">
            <v/>
          </cell>
        </row>
        <row r="24435">
          <cell r="O24435" t="str">
            <v/>
          </cell>
        </row>
        <row r="24436">
          <cell r="O24436" t="str">
            <v/>
          </cell>
        </row>
        <row r="24437">
          <cell r="O24437" t="str">
            <v/>
          </cell>
        </row>
        <row r="24438">
          <cell r="O24438" t="str">
            <v/>
          </cell>
        </row>
        <row r="24439">
          <cell r="O24439" t="str">
            <v/>
          </cell>
        </row>
        <row r="24440">
          <cell r="O24440" t="str">
            <v/>
          </cell>
        </row>
        <row r="24441">
          <cell r="O24441" t="str">
            <v/>
          </cell>
        </row>
        <row r="24442">
          <cell r="O24442" t="str">
            <v/>
          </cell>
        </row>
        <row r="24443">
          <cell r="O24443" t="str">
            <v/>
          </cell>
        </row>
        <row r="24444">
          <cell r="O24444" t="str">
            <v/>
          </cell>
        </row>
        <row r="24445">
          <cell r="O24445" t="str">
            <v/>
          </cell>
        </row>
        <row r="24446">
          <cell r="O24446" t="str">
            <v/>
          </cell>
        </row>
        <row r="24447">
          <cell r="O24447" t="str">
            <v/>
          </cell>
        </row>
        <row r="24448">
          <cell r="O24448" t="str">
            <v/>
          </cell>
        </row>
        <row r="24449">
          <cell r="O24449" t="str">
            <v/>
          </cell>
        </row>
        <row r="24450">
          <cell r="O24450" t="str">
            <v/>
          </cell>
        </row>
        <row r="24451">
          <cell r="O24451" t="str">
            <v/>
          </cell>
        </row>
        <row r="24452">
          <cell r="O24452" t="str">
            <v/>
          </cell>
        </row>
        <row r="24453">
          <cell r="O24453" t="str">
            <v/>
          </cell>
        </row>
        <row r="24454">
          <cell r="O24454" t="str">
            <v/>
          </cell>
        </row>
        <row r="24455">
          <cell r="O24455" t="str">
            <v/>
          </cell>
        </row>
        <row r="24456">
          <cell r="O24456" t="str">
            <v/>
          </cell>
        </row>
        <row r="24457">
          <cell r="O24457" t="str">
            <v/>
          </cell>
        </row>
        <row r="24458">
          <cell r="O24458" t="str">
            <v/>
          </cell>
        </row>
        <row r="24459">
          <cell r="O24459" t="str">
            <v/>
          </cell>
        </row>
        <row r="24460">
          <cell r="O24460" t="str">
            <v/>
          </cell>
        </row>
        <row r="24461">
          <cell r="O24461" t="str">
            <v/>
          </cell>
        </row>
        <row r="24462">
          <cell r="O24462" t="str">
            <v/>
          </cell>
        </row>
        <row r="24463">
          <cell r="O24463" t="str">
            <v/>
          </cell>
        </row>
        <row r="24464">
          <cell r="O24464" t="str">
            <v/>
          </cell>
        </row>
        <row r="24465">
          <cell r="O24465" t="str">
            <v/>
          </cell>
        </row>
        <row r="24466">
          <cell r="O24466" t="str">
            <v/>
          </cell>
        </row>
        <row r="24467">
          <cell r="O24467" t="str">
            <v/>
          </cell>
        </row>
        <row r="24468">
          <cell r="O24468" t="str">
            <v/>
          </cell>
        </row>
        <row r="24469">
          <cell r="O24469" t="str">
            <v/>
          </cell>
        </row>
        <row r="24470">
          <cell r="O24470" t="str">
            <v/>
          </cell>
        </row>
        <row r="24471">
          <cell r="O24471" t="str">
            <v/>
          </cell>
        </row>
        <row r="24472">
          <cell r="O24472" t="str">
            <v/>
          </cell>
        </row>
        <row r="24473">
          <cell r="O24473" t="str">
            <v/>
          </cell>
        </row>
        <row r="24474">
          <cell r="O24474" t="str">
            <v/>
          </cell>
        </row>
        <row r="24475">
          <cell r="O24475" t="str">
            <v/>
          </cell>
        </row>
        <row r="24476">
          <cell r="O24476" t="str">
            <v/>
          </cell>
        </row>
        <row r="24477">
          <cell r="O24477" t="str">
            <v/>
          </cell>
        </row>
        <row r="24478">
          <cell r="O24478" t="str">
            <v/>
          </cell>
        </row>
        <row r="24479">
          <cell r="O24479" t="str">
            <v/>
          </cell>
        </row>
        <row r="24480">
          <cell r="O24480" t="str">
            <v/>
          </cell>
        </row>
        <row r="24481">
          <cell r="O24481" t="str">
            <v/>
          </cell>
        </row>
        <row r="24482">
          <cell r="O24482" t="str">
            <v/>
          </cell>
        </row>
        <row r="24483">
          <cell r="O24483" t="str">
            <v/>
          </cell>
        </row>
        <row r="24484">
          <cell r="O24484" t="str">
            <v/>
          </cell>
        </row>
        <row r="24485">
          <cell r="O24485" t="str">
            <v/>
          </cell>
        </row>
        <row r="24486">
          <cell r="O24486" t="str">
            <v/>
          </cell>
        </row>
        <row r="24487">
          <cell r="O24487" t="str">
            <v/>
          </cell>
        </row>
        <row r="24488">
          <cell r="O24488" t="str">
            <v/>
          </cell>
        </row>
        <row r="24489">
          <cell r="O24489" t="str">
            <v/>
          </cell>
        </row>
        <row r="24490">
          <cell r="O24490" t="str">
            <v/>
          </cell>
        </row>
        <row r="24491">
          <cell r="O24491" t="str">
            <v/>
          </cell>
        </row>
        <row r="24492">
          <cell r="O24492" t="str">
            <v/>
          </cell>
        </row>
        <row r="24493">
          <cell r="O24493" t="str">
            <v/>
          </cell>
        </row>
        <row r="24494">
          <cell r="O24494" t="str">
            <v/>
          </cell>
        </row>
        <row r="24495">
          <cell r="O24495" t="str">
            <v/>
          </cell>
        </row>
        <row r="24496">
          <cell r="O24496" t="str">
            <v/>
          </cell>
        </row>
        <row r="24497">
          <cell r="O24497" t="str">
            <v/>
          </cell>
        </row>
        <row r="24498">
          <cell r="O24498" t="str">
            <v/>
          </cell>
        </row>
        <row r="24499">
          <cell r="O24499" t="str">
            <v/>
          </cell>
        </row>
        <row r="24500">
          <cell r="O24500" t="str">
            <v/>
          </cell>
        </row>
        <row r="24501">
          <cell r="O24501" t="str">
            <v/>
          </cell>
        </row>
        <row r="24502">
          <cell r="O24502" t="str">
            <v/>
          </cell>
        </row>
        <row r="24503">
          <cell r="O24503" t="str">
            <v/>
          </cell>
        </row>
        <row r="24504">
          <cell r="O24504" t="str">
            <v/>
          </cell>
        </row>
        <row r="24505">
          <cell r="O24505" t="str">
            <v/>
          </cell>
        </row>
        <row r="24506">
          <cell r="O24506" t="str">
            <v/>
          </cell>
        </row>
        <row r="24507">
          <cell r="O24507" t="str">
            <v/>
          </cell>
        </row>
        <row r="24508">
          <cell r="O24508" t="str">
            <v/>
          </cell>
        </row>
        <row r="24509">
          <cell r="O24509" t="str">
            <v/>
          </cell>
        </row>
        <row r="24510">
          <cell r="O24510" t="str">
            <v/>
          </cell>
        </row>
        <row r="24511">
          <cell r="O24511" t="str">
            <v/>
          </cell>
        </row>
        <row r="24512">
          <cell r="O24512" t="str">
            <v/>
          </cell>
        </row>
        <row r="24513">
          <cell r="O24513" t="str">
            <v/>
          </cell>
        </row>
        <row r="24514">
          <cell r="O24514" t="str">
            <v/>
          </cell>
        </row>
        <row r="24515">
          <cell r="O24515" t="str">
            <v/>
          </cell>
        </row>
        <row r="24516">
          <cell r="O24516" t="str">
            <v/>
          </cell>
        </row>
        <row r="24517">
          <cell r="O24517" t="str">
            <v/>
          </cell>
        </row>
        <row r="24518">
          <cell r="O24518" t="str">
            <v/>
          </cell>
        </row>
        <row r="24519">
          <cell r="O24519" t="str">
            <v/>
          </cell>
        </row>
        <row r="24520">
          <cell r="O24520" t="str">
            <v/>
          </cell>
        </row>
        <row r="24521">
          <cell r="O24521" t="str">
            <v/>
          </cell>
        </row>
        <row r="24522">
          <cell r="O24522" t="str">
            <v/>
          </cell>
        </row>
        <row r="24523">
          <cell r="O24523" t="str">
            <v/>
          </cell>
        </row>
        <row r="24524">
          <cell r="O24524" t="str">
            <v/>
          </cell>
        </row>
        <row r="24525">
          <cell r="O24525" t="str">
            <v/>
          </cell>
        </row>
        <row r="24526">
          <cell r="O24526" t="str">
            <v/>
          </cell>
        </row>
        <row r="24527">
          <cell r="O24527" t="str">
            <v/>
          </cell>
        </row>
        <row r="24528">
          <cell r="O24528" t="str">
            <v/>
          </cell>
        </row>
        <row r="24529">
          <cell r="O24529" t="str">
            <v/>
          </cell>
        </row>
        <row r="24530">
          <cell r="O24530" t="str">
            <v/>
          </cell>
        </row>
        <row r="24531">
          <cell r="O24531" t="str">
            <v/>
          </cell>
        </row>
        <row r="24532">
          <cell r="O24532" t="str">
            <v/>
          </cell>
        </row>
        <row r="24533">
          <cell r="O24533" t="str">
            <v/>
          </cell>
        </row>
        <row r="24534">
          <cell r="O24534" t="str">
            <v/>
          </cell>
        </row>
        <row r="24535">
          <cell r="O24535" t="str">
            <v/>
          </cell>
        </row>
        <row r="24536">
          <cell r="O24536" t="str">
            <v/>
          </cell>
        </row>
        <row r="24537">
          <cell r="O24537" t="str">
            <v/>
          </cell>
        </row>
        <row r="24538">
          <cell r="O24538" t="str">
            <v/>
          </cell>
        </row>
        <row r="24539">
          <cell r="O24539" t="str">
            <v/>
          </cell>
        </row>
        <row r="24540">
          <cell r="O24540" t="str">
            <v/>
          </cell>
        </row>
        <row r="24541">
          <cell r="O24541" t="str">
            <v/>
          </cell>
        </row>
        <row r="24542">
          <cell r="O24542" t="str">
            <v/>
          </cell>
        </row>
        <row r="24543">
          <cell r="O24543" t="str">
            <v/>
          </cell>
        </row>
        <row r="24544">
          <cell r="O24544" t="str">
            <v/>
          </cell>
        </row>
        <row r="24545">
          <cell r="O24545" t="str">
            <v/>
          </cell>
        </row>
        <row r="24546">
          <cell r="O24546" t="str">
            <v/>
          </cell>
        </row>
        <row r="24547">
          <cell r="O24547" t="str">
            <v/>
          </cell>
        </row>
        <row r="24548">
          <cell r="O24548" t="str">
            <v/>
          </cell>
        </row>
        <row r="24549">
          <cell r="O24549" t="str">
            <v/>
          </cell>
        </row>
        <row r="24550">
          <cell r="O24550" t="str">
            <v/>
          </cell>
        </row>
        <row r="24551">
          <cell r="O24551" t="str">
            <v/>
          </cell>
        </row>
        <row r="24552">
          <cell r="O24552" t="str">
            <v/>
          </cell>
        </row>
        <row r="24553">
          <cell r="O24553" t="str">
            <v/>
          </cell>
        </row>
        <row r="24554">
          <cell r="O24554" t="str">
            <v/>
          </cell>
        </row>
        <row r="24555">
          <cell r="O24555" t="str">
            <v/>
          </cell>
        </row>
        <row r="24556">
          <cell r="O24556" t="str">
            <v/>
          </cell>
        </row>
        <row r="24557">
          <cell r="O24557" t="str">
            <v/>
          </cell>
        </row>
        <row r="24558">
          <cell r="O24558" t="str">
            <v/>
          </cell>
        </row>
        <row r="24559">
          <cell r="O24559" t="str">
            <v/>
          </cell>
        </row>
        <row r="24560">
          <cell r="O24560" t="str">
            <v/>
          </cell>
        </row>
        <row r="24561">
          <cell r="O24561" t="str">
            <v/>
          </cell>
        </row>
        <row r="24562">
          <cell r="O24562" t="str">
            <v/>
          </cell>
        </row>
        <row r="24563">
          <cell r="O24563" t="str">
            <v/>
          </cell>
        </row>
        <row r="24564">
          <cell r="O24564" t="str">
            <v/>
          </cell>
        </row>
        <row r="24565">
          <cell r="O24565" t="str">
            <v/>
          </cell>
        </row>
        <row r="24566">
          <cell r="O24566" t="str">
            <v/>
          </cell>
        </row>
        <row r="24567">
          <cell r="O24567" t="str">
            <v/>
          </cell>
        </row>
        <row r="24568">
          <cell r="O24568" t="str">
            <v/>
          </cell>
        </row>
        <row r="24569">
          <cell r="O24569" t="str">
            <v/>
          </cell>
        </row>
        <row r="24570">
          <cell r="O24570" t="str">
            <v/>
          </cell>
        </row>
        <row r="24571">
          <cell r="O24571" t="str">
            <v/>
          </cell>
        </row>
        <row r="24572">
          <cell r="O24572" t="str">
            <v/>
          </cell>
        </row>
        <row r="24573">
          <cell r="O24573" t="str">
            <v/>
          </cell>
        </row>
        <row r="24574">
          <cell r="O24574" t="str">
            <v/>
          </cell>
        </row>
        <row r="24575">
          <cell r="O24575" t="str">
            <v/>
          </cell>
        </row>
        <row r="24576">
          <cell r="O24576" t="str">
            <v/>
          </cell>
        </row>
        <row r="24577">
          <cell r="O24577" t="str">
            <v/>
          </cell>
        </row>
        <row r="24578">
          <cell r="O24578" t="str">
            <v/>
          </cell>
        </row>
        <row r="24579">
          <cell r="O24579" t="str">
            <v/>
          </cell>
        </row>
        <row r="24580">
          <cell r="O24580" t="str">
            <v/>
          </cell>
        </row>
        <row r="24581">
          <cell r="O24581" t="str">
            <v/>
          </cell>
        </row>
        <row r="24582">
          <cell r="O24582" t="str">
            <v/>
          </cell>
        </row>
        <row r="24583">
          <cell r="O24583" t="str">
            <v/>
          </cell>
        </row>
        <row r="24584">
          <cell r="O24584" t="str">
            <v/>
          </cell>
        </row>
        <row r="24585">
          <cell r="O24585" t="str">
            <v/>
          </cell>
        </row>
        <row r="24586">
          <cell r="O24586" t="str">
            <v/>
          </cell>
        </row>
        <row r="24587">
          <cell r="O24587" t="str">
            <v/>
          </cell>
        </row>
        <row r="24588">
          <cell r="O24588" t="str">
            <v/>
          </cell>
        </row>
        <row r="24589">
          <cell r="O24589" t="str">
            <v/>
          </cell>
        </row>
        <row r="24590">
          <cell r="O24590" t="str">
            <v/>
          </cell>
        </row>
        <row r="24591">
          <cell r="O24591" t="str">
            <v/>
          </cell>
        </row>
        <row r="24592">
          <cell r="O24592" t="str">
            <v/>
          </cell>
        </row>
        <row r="24593">
          <cell r="O24593" t="str">
            <v/>
          </cell>
        </row>
        <row r="24594">
          <cell r="O24594" t="str">
            <v/>
          </cell>
        </row>
        <row r="24595">
          <cell r="O24595" t="str">
            <v/>
          </cell>
        </row>
        <row r="24596">
          <cell r="O24596" t="str">
            <v/>
          </cell>
        </row>
        <row r="24597">
          <cell r="O24597" t="str">
            <v/>
          </cell>
        </row>
        <row r="24598">
          <cell r="O24598" t="str">
            <v/>
          </cell>
        </row>
        <row r="24599">
          <cell r="O24599" t="str">
            <v/>
          </cell>
        </row>
        <row r="24600">
          <cell r="O24600" t="str">
            <v/>
          </cell>
        </row>
        <row r="24601">
          <cell r="O24601" t="str">
            <v/>
          </cell>
        </row>
        <row r="24602">
          <cell r="O24602" t="str">
            <v/>
          </cell>
        </row>
        <row r="24603">
          <cell r="O24603" t="str">
            <v/>
          </cell>
        </row>
        <row r="24604">
          <cell r="O24604" t="str">
            <v/>
          </cell>
        </row>
        <row r="24605">
          <cell r="O24605" t="str">
            <v/>
          </cell>
        </row>
        <row r="24606">
          <cell r="O24606" t="str">
            <v/>
          </cell>
        </row>
        <row r="24607">
          <cell r="O24607" t="str">
            <v/>
          </cell>
        </row>
        <row r="24608">
          <cell r="O24608" t="str">
            <v/>
          </cell>
        </row>
        <row r="24609">
          <cell r="O24609" t="str">
            <v/>
          </cell>
        </row>
        <row r="24610">
          <cell r="O24610" t="str">
            <v/>
          </cell>
        </row>
        <row r="24611">
          <cell r="O24611" t="str">
            <v/>
          </cell>
        </row>
        <row r="24612">
          <cell r="O24612" t="str">
            <v/>
          </cell>
        </row>
        <row r="24613">
          <cell r="O24613" t="str">
            <v/>
          </cell>
        </row>
        <row r="24614">
          <cell r="O24614" t="str">
            <v/>
          </cell>
        </row>
        <row r="24615">
          <cell r="O24615" t="str">
            <v/>
          </cell>
        </row>
        <row r="24616">
          <cell r="O24616" t="str">
            <v/>
          </cell>
        </row>
        <row r="24617">
          <cell r="O24617" t="str">
            <v/>
          </cell>
        </row>
        <row r="24618">
          <cell r="O24618" t="str">
            <v/>
          </cell>
        </row>
        <row r="24619">
          <cell r="O24619" t="str">
            <v/>
          </cell>
        </row>
        <row r="24620">
          <cell r="O24620" t="str">
            <v/>
          </cell>
        </row>
        <row r="24621">
          <cell r="O24621" t="str">
            <v/>
          </cell>
        </row>
        <row r="24622">
          <cell r="O24622" t="str">
            <v/>
          </cell>
        </row>
        <row r="24623">
          <cell r="O24623" t="str">
            <v/>
          </cell>
        </row>
        <row r="24624">
          <cell r="O24624" t="str">
            <v/>
          </cell>
        </row>
        <row r="24625">
          <cell r="O24625" t="str">
            <v/>
          </cell>
        </row>
        <row r="24626">
          <cell r="O24626" t="str">
            <v/>
          </cell>
        </row>
        <row r="24627">
          <cell r="O24627" t="str">
            <v/>
          </cell>
        </row>
        <row r="24628">
          <cell r="O24628" t="str">
            <v/>
          </cell>
        </row>
        <row r="24629">
          <cell r="O24629" t="str">
            <v/>
          </cell>
        </row>
        <row r="24630">
          <cell r="O24630" t="str">
            <v/>
          </cell>
        </row>
        <row r="24631">
          <cell r="O24631" t="str">
            <v/>
          </cell>
        </row>
        <row r="24632">
          <cell r="O24632" t="str">
            <v/>
          </cell>
        </row>
        <row r="24633">
          <cell r="O24633" t="str">
            <v/>
          </cell>
        </row>
        <row r="24634">
          <cell r="O24634" t="str">
            <v/>
          </cell>
        </row>
        <row r="24635">
          <cell r="O24635" t="str">
            <v/>
          </cell>
        </row>
        <row r="24636">
          <cell r="O24636" t="str">
            <v/>
          </cell>
        </row>
        <row r="24637">
          <cell r="O24637" t="str">
            <v/>
          </cell>
        </row>
        <row r="24638">
          <cell r="O24638" t="str">
            <v/>
          </cell>
        </row>
        <row r="24639">
          <cell r="O24639" t="str">
            <v/>
          </cell>
        </row>
        <row r="24640">
          <cell r="O24640" t="str">
            <v/>
          </cell>
        </row>
        <row r="24641">
          <cell r="O24641" t="str">
            <v/>
          </cell>
        </row>
        <row r="24642">
          <cell r="O24642" t="str">
            <v/>
          </cell>
        </row>
        <row r="24643">
          <cell r="O24643" t="str">
            <v/>
          </cell>
        </row>
        <row r="24644">
          <cell r="O24644" t="str">
            <v/>
          </cell>
        </row>
        <row r="24645">
          <cell r="O24645" t="str">
            <v/>
          </cell>
        </row>
        <row r="24646">
          <cell r="O24646" t="str">
            <v/>
          </cell>
        </row>
        <row r="24647">
          <cell r="O24647" t="str">
            <v/>
          </cell>
        </row>
        <row r="24648">
          <cell r="O24648" t="str">
            <v/>
          </cell>
        </row>
        <row r="24649">
          <cell r="O24649" t="str">
            <v/>
          </cell>
        </row>
        <row r="24650">
          <cell r="O24650" t="str">
            <v/>
          </cell>
        </row>
        <row r="24651">
          <cell r="O24651" t="str">
            <v/>
          </cell>
        </row>
        <row r="24652">
          <cell r="O24652" t="str">
            <v/>
          </cell>
        </row>
        <row r="24653">
          <cell r="O24653" t="str">
            <v/>
          </cell>
        </row>
        <row r="24654">
          <cell r="O24654" t="str">
            <v/>
          </cell>
        </row>
        <row r="24655">
          <cell r="O24655" t="str">
            <v/>
          </cell>
        </row>
        <row r="24656">
          <cell r="O24656" t="str">
            <v/>
          </cell>
        </row>
        <row r="24657">
          <cell r="O24657" t="str">
            <v/>
          </cell>
        </row>
        <row r="24658">
          <cell r="O24658" t="str">
            <v/>
          </cell>
        </row>
        <row r="24659">
          <cell r="O24659" t="str">
            <v/>
          </cell>
        </row>
        <row r="24660">
          <cell r="O24660" t="str">
            <v/>
          </cell>
        </row>
        <row r="24661">
          <cell r="O24661" t="str">
            <v/>
          </cell>
        </row>
        <row r="24662">
          <cell r="O24662" t="str">
            <v/>
          </cell>
        </row>
        <row r="24663">
          <cell r="O24663" t="str">
            <v/>
          </cell>
        </row>
        <row r="24664">
          <cell r="O24664" t="str">
            <v/>
          </cell>
        </row>
        <row r="24665">
          <cell r="O24665" t="str">
            <v/>
          </cell>
        </row>
        <row r="24666">
          <cell r="O24666" t="str">
            <v/>
          </cell>
        </row>
        <row r="24667">
          <cell r="O24667" t="str">
            <v/>
          </cell>
        </row>
        <row r="24668">
          <cell r="O24668" t="str">
            <v/>
          </cell>
        </row>
        <row r="24669">
          <cell r="O24669" t="str">
            <v/>
          </cell>
        </row>
        <row r="24670">
          <cell r="O24670" t="str">
            <v/>
          </cell>
        </row>
        <row r="24671">
          <cell r="O24671" t="str">
            <v/>
          </cell>
        </row>
        <row r="24672">
          <cell r="O24672" t="str">
            <v/>
          </cell>
        </row>
        <row r="24673">
          <cell r="O24673" t="str">
            <v/>
          </cell>
        </row>
        <row r="24674">
          <cell r="O24674" t="str">
            <v/>
          </cell>
        </row>
        <row r="24675">
          <cell r="O24675" t="str">
            <v/>
          </cell>
        </row>
        <row r="24676">
          <cell r="O24676" t="str">
            <v/>
          </cell>
        </row>
        <row r="24677">
          <cell r="O24677" t="str">
            <v/>
          </cell>
        </row>
        <row r="24678">
          <cell r="O24678" t="str">
            <v/>
          </cell>
        </row>
        <row r="24679">
          <cell r="O24679" t="str">
            <v/>
          </cell>
        </row>
        <row r="24680">
          <cell r="O24680" t="str">
            <v/>
          </cell>
        </row>
        <row r="24681">
          <cell r="O24681" t="str">
            <v/>
          </cell>
        </row>
        <row r="24682">
          <cell r="O24682" t="str">
            <v/>
          </cell>
        </row>
        <row r="24683">
          <cell r="O24683" t="str">
            <v/>
          </cell>
        </row>
        <row r="24684">
          <cell r="O24684" t="str">
            <v/>
          </cell>
        </row>
        <row r="24685">
          <cell r="O24685" t="str">
            <v/>
          </cell>
        </row>
        <row r="24686">
          <cell r="O24686" t="str">
            <v/>
          </cell>
        </row>
        <row r="24687">
          <cell r="O24687" t="str">
            <v/>
          </cell>
        </row>
        <row r="24688">
          <cell r="O24688" t="str">
            <v/>
          </cell>
        </row>
        <row r="24689">
          <cell r="O24689" t="str">
            <v/>
          </cell>
        </row>
        <row r="24690">
          <cell r="O24690" t="str">
            <v/>
          </cell>
        </row>
        <row r="24691">
          <cell r="O24691" t="str">
            <v/>
          </cell>
        </row>
        <row r="24692">
          <cell r="O24692" t="str">
            <v/>
          </cell>
        </row>
        <row r="24693">
          <cell r="O24693" t="str">
            <v/>
          </cell>
        </row>
        <row r="24694">
          <cell r="O24694" t="str">
            <v/>
          </cell>
        </row>
        <row r="24695">
          <cell r="O24695" t="str">
            <v/>
          </cell>
        </row>
        <row r="24696">
          <cell r="O24696" t="str">
            <v/>
          </cell>
        </row>
        <row r="24697">
          <cell r="O24697" t="str">
            <v/>
          </cell>
        </row>
        <row r="24698">
          <cell r="O24698" t="str">
            <v/>
          </cell>
        </row>
        <row r="24699">
          <cell r="O24699" t="str">
            <v/>
          </cell>
        </row>
        <row r="24700">
          <cell r="O24700" t="str">
            <v/>
          </cell>
        </row>
        <row r="24701">
          <cell r="O24701" t="str">
            <v/>
          </cell>
        </row>
        <row r="24702">
          <cell r="O24702" t="str">
            <v/>
          </cell>
        </row>
        <row r="24703">
          <cell r="O24703" t="str">
            <v/>
          </cell>
        </row>
        <row r="24704">
          <cell r="O24704" t="str">
            <v/>
          </cell>
        </row>
        <row r="24705">
          <cell r="O24705" t="str">
            <v/>
          </cell>
        </row>
        <row r="24706">
          <cell r="O24706" t="str">
            <v/>
          </cell>
        </row>
        <row r="24707">
          <cell r="O24707" t="str">
            <v/>
          </cell>
        </row>
        <row r="24708">
          <cell r="O24708" t="str">
            <v/>
          </cell>
        </row>
        <row r="24709">
          <cell r="O24709" t="str">
            <v/>
          </cell>
        </row>
        <row r="24710">
          <cell r="O24710" t="str">
            <v/>
          </cell>
        </row>
        <row r="24711">
          <cell r="O24711" t="str">
            <v/>
          </cell>
        </row>
        <row r="24712">
          <cell r="O24712" t="str">
            <v/>
          </cell>
        </row>
        <row r="24713">
          <cell r="O24713" t="str">
            <v/>
          </cell>
        </row>
        <row r="24714">
          <cell r="O24714" t="str">
            <v/>
          </cell>
        </row>
        <row r="24715">
          <cell r="O24715" t="str">
            <v/>
          </cell>
        </row>
        <row r="24716">
          <cell r="O24716" t="str">
            <v/>
          </cell>
        </row>
        <row r="24717">
          <cell r="O24717" t="str">
            <v/>
          </cell>
        </row>
        <row r="24718">
          <cell r="O24718" t="str">
            <v/>
          </cell>
        </row>
        <row r="24719">
          <cell r="O24719" t="str">
            <v/>
          </cell>
        </row>
        <row r="24720">
          <cell r="O24720" t="str">
            <v/>
          </cell>
        </row>
        <row r="24721">
          <cell r="O24721" t="str">
            <v/>
          </cell>
        </row>
        <row r="24722">
          <cell r="O24722" t="str">
            <v/>
          </cell>
        </row>
        <row r="24723">
          <cell r="O24723" t="str">
            <v/>
          </cell>
        </row>
        <row r="24724">
          <cell r="O24724" t="str">
            <v/>
          </cell>
        </row>
        <row r="24725">
          <cell r="O24725" t="str">
            <v/>
          </cell>
        </row>
        <row r="24726">
          <cell r="O24726" t="str">
            <v/>
          </cell>
        </row>
        <row r="24727">
          <cell r="O24727" t="str">
            <v/>
          </cell>
        </row>
        <row r="24728">
          <cell r="O24728" t="str">
            <v/>
          </cell>
        </row>
        <row r="24729">
          <cell r="O24729" t="str">
            <v/>
          </cell>
        </row>
        <row r="24730">
          <cell r="O24730" t="str">
            <v/>
          </cell>
        </row>
        <row r="24731">
          <cell r="O24731" t="str">
            <v/>
          </cell>
        </row>
        <row r="24732">
          <cell r="O24732" t="str">
            <v/>
          </cell>
        </row>
        <row r="24733">
          <cell r="O24733" t="str">
            <v/>
          </cell>
        </row>
        <row r="24734">
          <cell r="O24734" t="str">
            <v/>
          </cell>
        </row>
        <row r="24735">
          <cell r="O24735" t="str">
            <v/>
          </cell>
        </row>
        <row r="24736">
          <cell r="O24736" t="str">
            <v/>
          </cell>
        </row>
        <row r="24737">
          <cell r="O24737" t="str">
            <v/>
          </cell>
        </row>
        <row r="24738">
          <cell r="O24738" t="str">
            <v/>
          </cell>
        </row>
        <row r="24739">
          <cell r="O24739" t="str">
            <v/>
          </cell>
        </row>
        <row r="24740">
          <cell r="O24740" t="str">
            <v/>
          </cell>
        </row>
        <row r="24741">
          <cell r="O24741" t="str">
            <v/>
          </cell>
        </row>
        <row r="24742">
          <cell r="O24742" t="str">
            <v/>
          </cell>
        </row>
        <row r="24743">
          <cell r="O24743" t="str">
            <v/>
          </cell>
        </row>
        <row r="24744">
          <cell r="O24744" t="str">
            <v/>
          </cell>
        </row>
        <row r="24745">
          <cell r="O24745" t="str">
            <v/>
          </cell>
        </row>
        <row r="24746">
          <cell r="O24746" t="str">
            <v/>
          </cell>
        </row>
        <row r="24747">
          <cell r="O24747" t="str">
            <v/>
          </cell>
        </row>
        <row r="24748">
          <cell r="O24748" t="str">
            <v/>
          </cell>
        </row>
        <row r="24749">
          <cell r="O24749" t="str">
            <v/>
          </cell>
        </row>
        <row r="24750">
          <cell r="O24750" t="str">
            <v/>
          </cell>
        </row>
        <row r="24751">
          <cell r="O24751" t="str">
            <v/>
          </cell>
        </row>
        <row r="24752">
          <cell r="O24752" t="str">
            <v/>
          </cell>
        </row>
        <row r="24753">
          <cell r="O24753" t="str">
            <v/>
          </cell>
        </row>
        <row r="24754">
          <cell r="O24754" t="str">
            <v/>
          </cell>
        </row>
        <row r="24755">
          <cell r="O24755" t="str">
            <v/>
          </cell>
        </row>
        <row r="24756">
          <cell r="O24756" t="str">
            <v/>
          </cell>
        </row>
        <row r="24757">
          <cell r="O24757" t="str">
            <v/>
          </cell>
        </row>
        <row r="24758">
          <cell r="O24758" t="str">
            <v/>
          </cell>
        </row>
        <row r="24759">
          <cell r="O24759" t="str">
            <v/>
          </cell>
        </row>
        <row r="24760">
          <cell r="O24760" t="str">
            <v/>
          </cell>
        </row>
        <row r="24761">
          <cell r="O24761" t="str">
            <v/>
          </cell>
        </row>
        <row r="24762">
          <cell r="O24762" t="str">
            <v/>
          </cell>
        </row>
        <row r="24763">
          <cell r="O24763" t="str">
            <v/>
          </cell>
        </row>
        <row r="24764">
          <cell r="O24764" t="str">
            <v/>
          </cell>
        </row>
        <row r="24765">
          <cell r="O24765" t="str">
            <v/>
          </cell>
        </row>
        <row r="24766">
          <cell r="O24766" t="str">
            <v/>
          </cell>
        </row>
        <row r="24767">
          <cell r="O24767" t="str">
            <v/>
          </cell>
        </row>
        <row r="24768">
          <cell r="O24768" t="str">
            <v/>
          </cell>
        </row>
        <row r="24769">
          <cell r="O24769" t="str">
            <v/>
          </cell>
        </row>
        <row r="24770">
          <cell r="O24770" t="str">
            <v/>
          </cell>
        </row>
        <row r="24771">
          <cell r="O24771" t="str">
            <v/>
          </cell>
        </row>
        <row r="24772">
          <cell r="O24772" t="str">
            <v/>
          </cell>
        </row>
        <row r="24773">
          <cell r="O24773" t="str">
            <v/>
          </cell>
        </row>
        <row r="24774">
          <cell r="O24774" t="str">
            <v/>
          </cell>
        </row>
        <row r="24775">
          <cell r="O24775" t="str">
            <v/>
          </cell>
        </row>
        <row r="24776">
          <cell r="O24776" t="str">
            <v/>
          </cell>
        </row>
        <row r="24777">
          <cell r="O24777" t="str">
            <v/>
          </cell>
        </row>
        <row r="24778">
          <cell r="O24778" t="str">
            <v/>
          </cell>
        </row>
        <row r="24779">
          <cell r="O24779" t="str">
            <v/>
          </cell>
        </row>
        <row r="24780">
          <cell r="O24780" t="str">
            <v/>
          </cell>
        </row>
        <row r="24781">
          <cell r="O24781" t="str">
            <v/>
          </cell>
        </row>
        <row r="24782">
          <cell r="O24782" t="str">
            <v/>
          </cell>
        </row>
        <row r="24783">
          <cell r="O24783" t="str">
            <v/>
          </cell>
        </row>
        <row r="24784">
          <cell r="O24784" t="str">
            <v/>
          </cell>
        </row>
        <row r="24785">
          <cell r="O24785" t="str">
            <v/>
          </cell>
        </row>
        <row r="24786">
          <cell r="O24786" t="str">
            <v/>
          </cell>
        </row>
        <row r="24787">
          <cell r="O24787" t="str">
            <v/>
          </cell>
        </row>
        <row r="24788">
          <cell r="O24788" t="str">
            <v/>
          </cell>
        </row>
        <row r="24789">
          <cell r="O24789" t="str">
            <v/>
          </cell>
        </row>
        <row r="24790">
          <cell r="O24790" t="str">
            <v/>
          </cell>
        </row>
        <row r="24791">
          <cell r="O24791" t="str">
            <v/>
          </cell>
        </row>
        <row r="24792">
          <cell r="O24792" t="str">
            <v/>
          </cell>
        </row>
        <row r="24793">
          <cell r="O24793" t="str">
            <v/>
          </cell>
        </row>
        <row r="24794">
          <cell r="O24794" t="str">
            <v/>
          </cell>
        </row>
        <row r="24795">
          <cell r="O24795" t="str">
            <v/>
          </cell>
        </row>
        <row r="24796">
          <cell r="O24796" t="str">
            <v/>
          </cell>
        </row>
        <row r="24797">
          <cell r="O24797" t="str">
            <v/>
          </cell>
        </row>
        <row r="24798">
          <cell r="O24798" t="str">
            <v/>
          </cell>
        </row>
        <row r="24799">
          <cell r="O24799" t="str">
            <v/>
          </cell>
        </row>
        <row r="24800">
          <cell r="O24800" t="str">
            <v/>
          </cell>
        </row>
        <row r="24801">
          <cell r="O24801" t="str">
            <v/>
          </cell>
        </row>
        <row r="24802">
          <cell r="O24802" t="str">
            <v/>
          </cell>
        </row>
        <row r="24803">
          <cell r="O24803" t="str">
            <v/>
          </cell>
        </row>
        <row r="24804">
          <cell r="O24804" t="str">
            <v/>
          </cell>
        </row>
        <row r="24805">
          <cell r="O24805" t="str">
            <v/>
          </cell>
        </row>
        <row r="24806">
          <cell r="O24806" t="str">
            <v/>
          </cell>
        </row>
        <row r="24807">
          <cell r="O24807" t="str">
            <v/>
          </cell>
        </row>
        <row r="24808">
          <cell r="O24808" t="str">
            <v/>
          </cell>
        </row>
        <row r="24809">
          <cell r="O24809" t="str">
            <v/>
          </cell>
        </row>
        <row r="24810">
          <cell r="O24810" t="str">
            <v/>
          </cell>
        </row>
        <row r="24811">
          <cell r="O24811" t="str">
            <v/>
          </cell>
        </row>
        <row r="24812">
          <cell r="O24812" t="str">
            <v/>
          </cell>
        </row>
        <row r="24813">
          <cell r="O24813" t="str">
            <v/>
          </cell>
        </row>
        <row r="24814">
          <cell r="O24814" t="str">
            <v/>
          </cell>
        </row>
        <row r="24815">
          <cell r="O24815" t="str">
            <v/>
          </cell>
        </row>
        <row r="24816">
          <cell r="O24816" t="str">
            <v/>
          </cell>
        </row>
        <row r="24817">
          <cell r="O24817" t="str">
            <v/>
          </cell>
        </row>
        <row r="24818">
          <cell r="O24818" t="str">
            <v/>
          </cell>
        </row>
        <row r="24819">
          <cell r="O24819" t="str">
            <v/>
          </cell>
        </row>
        <row r="24820">
          <cell r="O24820" t="str">
            <v/>
          </cell>
        </row>
        <row r="24821">
          <cell r="O24821" t="str">
            <v/>
          </cell>
        </row>
        <row r="24822">
          <cell r="O24822" t="str">
            <v/>
          </cell>
        </row>
        <row r="24823">
          <cell r="O24823" t="str">
            <v/>
          </cell>
        </row>
        <row r="24824">
          <cell r="O24824" t="str">
            <v/>
          </cell>
        </row>
        <row r="24825">
          <cell r="O24825" t="str">
            <v/>
          </cell>
        </row>
        <row r="24826">
          <cell r="O24826" t="str">
            <v/>
          </cell>
        </row>
        <row r="24827">
          <cell r="O24827" t="str">
            <v/>
          </cell>
        </row>
        <row r="24828">
          <cell r="O24828" t="str">
            <v/>
          </cell>
        </row>
        <row r="24829">
          <cell r="O24829" t="str">
            <v/>
          </cell>
        </row>
        <row r="24830">
          <cell r="O24830" t="str">
            <v/>
          </cell>
        </row>
        <row r="24831">
          <cell r="O24831" t="str">
            <v/>
          </cell>
        </row>
        <row r="24832">
          <cell r="O24832" t="str">
            <v/>
          </cell>
        </row>
        <row r="24833">
          <cell r="O24833" t="str">
            <v/>
          </cell>
        </row>
        <row r="24834">
          <cell r="O24834" t="str">
            <v/>
          </cell>
        </row>
        <row r="24835">
          <cell r="O24835" t="str">
            <v/>
          </cell>
        </row>
        <row r="24836">
          <cell r="O24836" t="str">
            <v/>
          </cell>
        </row>
        <row r="24837">
          <cell r="O24837" t="str">
            <v/>
          </cell>
        </row>
        <row r="24838">
          <cell r="O24838" t="str">
            <v/>
          </cell>
        </row>
        <row r="24839">
          <cell r="O24839" t="str">
            <v/>
          </cell>
        </row>
        <row r="24840">
          <cell r="O24840" t="str">
            <v/>
          </cell>
        </row>
        <row r="24841">
          <cell r="O24841" t="str">
            <v/>
          </cell>
        </row>
        <row r="24842">
          <cell r="O24842" t="str">
            <v/>
          </cell>
        </row>
        <row r="24843">
          <cell r="O24843" t="str">
            <v/>
          </cell>
        </row>
        <row r="24844">
          <cell r="O24844" t="str">
            <v/>
          </cell>
        </row>
        <row r="24845">
          <cell r="O24845" t="str">
            <v/>
          </cell>
        </row>
        <row r="24846">
          <cell r="O24846" t="str">
            <v/>
          </cell>
        </row>
        <row r="24847">
          <cell r="O24847" t="str">
            <v/>
          </cell>
        </row>
        <row r="24848">
          <cell r="O24848" t="str">
            <v/>
          </cell>
        </row>
        <row r="24849">
          <cell r="O24849" t="str">
            <v/>
          </cell>
        </row>
        <row r="24850">
          <cell r="O24850" t="str">
            <v/>
          </cell>
        </row>
        <row r="24851">
          <cell r="O24851" t="str">
            <v/>
          </cell>
        </row>
        <row r="24852">
          <cell r="O24852" t="str">
            <v/>
          </cell>
        </row>
        <row r="24853">
          <cell r="O24853" t="str">
            <v/>
          </cell>
        </row>
        <row r="24854">
          <cell r="O24854" t="str">
            <v/>
          </cell>
        </row>
        <row r="24855">
          <cell r="O24855" t="str">
            <v/>
          </cell>
        </row>
        <row r="24856">
          <cell r="O24856" t="str">
            <v/>
          </cell>
        </row>
        <row r="24857">
          <cell r="O24857" t="str">
            <v/>
          </cell>
        </row>
        <row r="24858">
          <cell r="O24858" t="str">
            <v/>
          </cell>
        </row>
        <row r="24859">
          <cell r="O24859" t="str">
            <v/>
          </cell>
        </row>
        <row r="24860">
          <cell r="O24860" t="str">
            <v/>
          </cell>
        </row>
        <row r="24861">
          <cell r="O24861" t="str">
            <v/>
          </cell>
        </row>
        <row r="24862">
          <cell r="O24862" t="str">
            <v/>
          </cell>
        </row>
        <row r="24863">
          <cell r="O24863" t="str">
            <v/>
          </cell>
        </row>
        <row r="24864">
          <cell r="O24864" t="str">
            <v/>
          </cell>
        </row>
        <row r="24865">
          <cell r="O24865" t="str">
            <v/>
          </cell>
        </row>
        <row r="24866">
          <cell r="O24866" t="str">
            <v/>
          </cell>
        </row>
        <row r="24867">
          <cell r="O24867" t="str">
            <v/>
          </cell>
        </row>
        <row r="24868">
          <cell r="O24868" t="str">
            <v/>
          </cell>
        </row>
        <row r="24869">
          <cell r="O24869" t="str">
            <v/>
          </cell>
        </row>
        <row r="24870">
          <cell r="O24870" t="str">
            <v/>
          </cell>
        </row>
        <row r="24871">
          <cell r="O24871" t="str">
            <v/>
          </cell>
        </row>
        <row r="24872">
          <cell r="O24872" t="str">
            <v/>
          </cell>
        </row>
        <row r="24873">
          <cell r="O24873" t="str">
            <v/>
          </cell>
        </row>
        <row r="24874">
          <cell r="O24874" t="str">
            <v/>
          </cell>
        </row>
        <row r="24875">
          <cell r="O24875" t="str">
            <v/>
          </cell>
        </row>
        <row r="24876">
          <cell r="O24876" t="str">
            <v/>
          </cell>
        </row>
        <row r="24877">
          <cell r="O24877" t="str">
            <v/>
          </cell>
        </row>
        <row r="24878">
          <cell r="O24878" t="str">
            <v/>
          </cell>
        </row>
        <row r="24879">
          <cell r="O24879" t="str">
            <v/>
          </cell>
        </row>
        <row r="24880">
          <cell r="O24880" t="str">
            <v/>
          </cell>
        </row>
        <row r="24881">
          <cell r="O24881" t="str">
            <v/>
          </cell>
        </row>
        <row r="24882">
          <cell r="O24882" t="str">
            <v/>
          </cell>
        </row>
        <row r="24883">
          <cell r="O24883" t="str">
            <v/>
          </cell>
        </row>
        <row r="24884">
          <cell r="O24884" t="str">
            <v/>
          </cell>
        </row>
        <row r="24885">
          <cell r="O24885" t="str">
            <v/>
          </cell>
        </row>
        <row r="24886">
          <cell r="O24886" t="str">
            <v/>
          </cell>
        </row>
        <row r="24887">
          <cell r="O24887" t="str">
            <v/>
          </cell>
        </row>
        <row r="24888">
          <cell r="O24888" t="str">
            <v/>
          </cell>
        </row>
        <row r="24889">
          <cell r="O24889" t="str">
            <v/>
          </cell>
        </row>
        <row r="24890">
          <cell r="O24890" t="str">
            <v/>
          </cell>
        </row>
        <row r="24891">
          <cell r="O24891" t="str">
            <v/>
          </cell>
        </row>
        <row r="24892">
          <cell r="O24892" t="str">
            <v/>
          </cell>
        </row>
        <row r="24893">
          <cell r="O24893" t="str">
            <v/>
          </cell>
        </row>
        <row r="24894">
          <cell r="O24894" t="str">
            <v/>
          </cell>
        </row>
        <row r="24895">
          <cell r="O24895" t="str">
            <v/>
          </cell>
        </row>
        <row r="24896">
          <cell r="O24896" t="str">
            <v/>
          </cell>
        </row>
        <row r="24897">
          <cell r="O24897" t="str">
            <v/>
          </cell>
        </row>
        <row r="24898">
          <cell r="O24898" t="str">
            <v/>
          </cell>
        </row>
        <row r="24899">
          <cell r="O24899" t="str">
            <v/>
          </cell>
        </row>
        <row r="24900">
          <cell r="O24900" t="str">
            <v/>
          </cell>
        </row>
        <row r="24901">
          <cell r="O24901" t="str">
            <v/>
          </cell>
        </row>
        <row r="24902">
          <cell r="O24902" t="str">
            <v/>
          </cell>
        </row>
        <row r="24903">
          <cell r="O24903" t="str">
            <v/>
          </cell>
        </row>
        <row r="24904">
          <cell r="O24904" t="str">
            <v/>
          </cell>
        </row>
        <row r="24905">
          <cell r="O24905" t="str">
            <v/>
          </cell>
        </row>
        <row r="24906">
          <cell r="O24906" t="str">
            <v/>
          </cell>
        </row>
        <row r="24907">
          <cell r="O24907" t="str">
            <v/>
          </cell>
        </row>
        <row r="24908">
          <cell r="O24908" t="str">
            <v/>
          </cell>
        </row>
        <row r="24909">
          <cell r="O24909" t="str">
            <v/>
          </cell>
        </row>
        <row r="24910">
          <cell r="O24910" t="str">
            <v/>
          </cell>
        </row>
        <row r="24911">
          <cell r="O24911" t="str">
            <v/>
          </cell>
        </row>
        <row r="24912">
          <cell r="O24912" t="str">
            <v/>
          </cell>
        </row>
        <row r="24913">
          <cell r="O24913" t="str">
            <v/>
          </cell>
        </row>
        <row r="24914">
          <cell r="O24914" t="str">
            <v/>
          </cell>
        </row>
        <row r="24915">
          <cell r="O24915" t="str">
            <v/>
          </cell>
        </row>
        <row r="24916">
          <cell r="O24916" t="str">
            <v/>
          </cell>
        </row>
        <row r="24917">
          <cell r="O24917" t="str">
            <v/>
          </cell>
        </row>
        <row r="24918">
          <cell r="O24918" t="str">
            <v/>
          </cell>
        </row>
        <row r="24919">
          <cell r="O24919" t="str">
            <v/>
          </cell>
        </row>
        <row r="24920">
          <cell r="O24920" t="str">
            <v/>
          </cell>
        </row>
        <row r="24921">
          <cell r="O24921" t="str">
            <v/>
          </cell>
        </row>
        <row r="24922">
          <cell r="O24922" t="str">
            <v/>
          </cell>
        </row>
        <row r="24923">
          <cell r="O24923" t="str">
            <v/>
          </cell>
        </row>
        <row r="24924">
          <cell r="O24924" t="str">
            <v/>
          </cell>
        </row>
        <row r="24925">
          <cell r="O24925" t="str">
            <v/>
          </cell>
        </row>
        <row r="24926">
          <cell r="O24926" t="str">
            <v/>
          </cell>
        </row>
        <row r="24927">
          <cell r="O24927" t="str">
            <v/>
          </cell>
        </row>
        <row r="24928">
          <cell r="O24928" t="str">
            <v/>
          </cell>
        </row>
        <row r="24929">
          <cell r="O24929" t="str">
            <v/>
          </cell>
        </row>
        <row r="24930">
          <cell r="O24930" t="str">
            <v/>
          </cell>
        </row>
        <row r="24931">
          <cell r="O24931" t="str">
            <v/>
          </cell>
        </row>
        <row r="24932">
          <cell r="O24932" t="str">
            <v/>
          </cell>
        </row>
        <row r="24933">
          <cell r="O24933" t="str">
            <v/>
          </cell>
        </row>
        <row r="24934">
          <cell r="O24934" t="str">
            <v/>
          </cell>
        </row>
        <row r="24935">
          <cell r="O24935" t="str">
            <v/>
          </cell>
        </row>
        <row r="24936">
          <cell r="O24936" t="str">
            <v/>
          </cell>
        </row>
        <row r="24937">
          <cell r="O24937" t="str">
            <v/>
          </cell>
        </row>
        <row r="24938">
          <cell r="O24938" t="str">
            <v/>
          </cell>
        </row>
        <row r="24939">
          <cell r="O24939" t="str">
            <v/>
          </cell>
        </row>
        <row r="24940">
          <cell r="O24940" t="str">
            <v/>
          </cell>
        </row>
        <row r="24941">
          <cell r="O24941" t="str">
            <v/>
          </cell>
        </row>
        <row r="24942">
          <cell r="O24942" t="str">
            <v/>
          </cell>
        </row>
        <row r="24943">
          <cell r="O24943" t="str">
            <v/>
          </cell>
        </row>
        <row r="24944">
          <cell r="O24944" t="str">
            <v/>
          </cell>
        </row>
        <row r="24945">
          <cell r="O24945" t="str">
            <v/>
          </cell>
        </row>
        <row r="24946">
          <cell r="O24946" t="str">
            <v/>
          </cell>
        </row>
        <row r="24947">
          <cell r="O24947" t="str">
            <v/>
          </cell>
        </row>
        <row r="24948">
          <cell r="O24948" t="str">
            <v/>
          </cell>
        </row>
        <row r="24949">
          <cell r="O24949" t="str">
            <v/>
          </cell>
        </row>
        <row r="24950">
          <cell r="O24950" t="str">
            <v/>
          </cell>
        </row>
        <row r="24951">
          <cell r="O24951" t="str">
            <v/>
          </cell>
        </row>
        <row r="24952">
          <cell r="O24952" t="str">
            <v/>
          </cell>
        </row>
        <row r="24953">
          <cell r="O24953" t="str">
            <v/>
          </cell>
        </row>
        <row r="24954">
          <cell r="O24954" t="str">
            <v/>
          </cell>
        </row>
        <row r="24955">
          <cell r="O24955" t="str">
            <v/>
          </cell>
        </row>
        <row r="24956">
          <cell r="O24956" t="str">
            <v/>
          </cell>
        </row>
        <row r="24957">
          <cell r="O24957" t="str">
            <v/>
          </cell>
        </row>
        <row r="24958">
          <cell r="O24958" t="str">
            <v/>
          </cell>
        </row>
        <row r="24959">
          <cell r="O24959" t="str">
            <v/>
          </cell>
        </row>
        <row r="24960">
          <cell r="O24960" t="str">
            <v/>
          </cell>
        </row>
        <row r="24961">
          <cell r="O24961" t="str">
            <v/>
          </cell>
        </row>
        <row r="24962">
          <cell r="O24962" t="str">
            <v/>
          </cell>
        </row>
        <row r="24963">
          <cell r="O24963" t="str">
            <v/>
          </cell>
        </row>
        <row r="24964">
          <cell r="O24964" t="str">
            <v/>
          </cell>
        </row>
        <row r="24965">
          <cell r="O24965" t="str">
            <v/>
          </cell>
        </row>
        <row r="24966">
          <cell r="O24966" t="str">
            <v/>
          </cell>
        </row>
        <row r="24967">
          <cell r="O24967" t="str">
            <v/>
          </cell>
        </row>
        <row r="24968">
          <cell r="O24968" t="str">
            <v/>
          </cell>
        </row>
        <row r="24969">
          <cell r="O24969" t="str">
            <v/>
          </cell>
        </row>
        <row r="24970">
          <cell r="O24970" t="str">
            <v/>
          </cell>
        </row>
        <row r="24971">
          <cell r="O24971" t="str">
            <v/>
          </cell>
        </row>
        <row r="24972">
          <cell r="O24972" t="str">
            <v/>
          </cell>
        </row>
        <row r="24973">
          <cell r="O24973" t="str">
            <v/>
          </cell>
        </row>
        <row r="24974">
          <cell r="O24974" t="str">
            <v/>
          </cell>
        </row>
        <row r="24975">
          <cell r="O24975" t="str">
            <v/>
          </cell>
        </row>
        <row r="24976">
          <cell r="O24976" t="str">
            <v/>
          </cell>
        </row>
        <row r="24977">
          <cell r="O24977" t="str">
            <v/>
          </cell>
        </row>
        <row r="24978">
          <cell r="O24978" t="str">
            <v/>
          </cell>
        </row>
        <row r="24979">
          <cell r="O24979" t="str">
            <v/>
          </cell>
        </row>
        <row r="24980">
          <cell r="O24980" t="str">
            <v/>
          </cell>
        </row>
        <row r="24981">
          <cell r="O24981" t="str">
            <v/>
          </cell>
        </row>
        <row r="24982">
          <cell r="O24982" t="str">
            <v/>
          </cell>
        </row>
        <row r="24983">
          <cell r="O24983" t="str">
            <v/>
          </cell>
        </row>
        <row r="24984">
          <cell r="O24984" t="str">
            <v/>
          </cell>
        </row>
        <row r="24985">
          <cell r="O24985" t="str">
            <v/>
          </cell>
        </row>
        <row r="24986">
          <cell r="O24986" t="str">
            <v/>
          </cell>
        </row>
        <row r="24987">
          <cell r="O24987" t="str">
            <v/>
          </cell>
        </row>
        <row r="24988">
          <cell r="O24988" t="str">
            <v/>
          </cell>
        </row>
        <row r="24989">
          <cell r="O24989" t="str">
            <v/>
          </cell>
        </row>
        <row r="24990">
          <cell r="O24990" t="str">
            <v/>
          </cell>
        </row>
        <row r="24991">
          <cell r="O24991" t="str">
            <v/>
          </cell>
        </row>
        <row r="24992">
          <cell r="O24992" t="str">
            <v/>
          </cell>
        </row>
        <row r="24993">
          <cell r="O24993" t="str">
            <v/>
          </cell>
        </row>
        <row r="24994">
          <cell r="O24994" t="str">
            <v/>
          </cell>
        </row>
        <row r="24995">
          <cell r="O24995" t="str">
            <v/>
          </cell>
        </row>
        <row r="24996">
          <cell r="O24996" t="str">
            <v/>
          </cell>
        </row>
        <row r="24997">
          <cell r="O24997" t="str">
            <v/>
          </cell>
        </row>
        <row r="24998">
          <cell r="O24998" t="str">
            <v/>
          </cell>
        </row>
        <row r="24999">
          <cell r="O24999" t="str">
            <v/>
          </cell>
        </row>
        <row r="25000">
          <cell r="O25000" t="str">
            <v/>
          </cell>
        </row>
        <row r="25001">
          <cell r="O25001" t="str">
            <v/>
          </cell>
        </row>
        <row r="25002">
          <cell r="O25002" t="str">
            <v/>
          </cell>
        </row>
        <row r="25003">
          <cell r="O25003" t="str">
            <v/>
          </cell>
        </row>
        <row r="25004">
          <cell r="O25004" t="str">
            <v/>
          </cell>
        </row>
        <row r="25005">
          <cell r="O25005" t="str">
            <v/>
          </cell>
        </row>
        <row r="25006">
          <cell r="O25006" t="str">
            <v/>
          </cell>
        </row>
        <row r="25007">
          <cell r="O25007" t="str">
            <v/>
          </cell>
        </row>
        <row r="25008">
          <cell r="O25008" t="str">
            <v/>
          </cell>
        </row>
        <row r="25009">
          <cell r="O25009" t="str">
            <v/>
          </cell>
        </row>
        <row r="25010">
          <cell r="O25010" t="str">
            <v/>
          </cell>
        </row>
        <row r="25011">
          <cell r="O25011" t="str">
            <v/>
          </cell>
        </row>
        <row r="25012">
          <cell r="O25012" t="str">
            <v/>
          </cell>
        </row>
        <row r="25013">
          <cell r="O25013" t="str">
            <v/>
          </cell>
        </row>
        <row r="25014">
          <cell r="O25014" t="str">
            <v/>
          </cell>
        </row>
        <row r="25015">
          <cell r="O25015" t="str">
            <v/>
          </cell>
        </row>
        <row r="25016">
          <cell r="O25016" t="str">
            <v/>
          </cell>
        </row>
        <row r="25017">
          <cell r="O25017" t="str">
            <v/>
          </cell>
        </row>
        <row r="25018">
          <cell r="O25018" t="str">
            <v/>
          </cell>
        </row>
        <row r="25019">
          <cell r="O25019" t="str">
            <v/>
          </cell>
        </row>
        <row r="25020">
          <cell r="O25020" t="str">
            <v/>
          </cell>
        </row>
        <row r="25021">
          <cell r="O25021" t="str">
            <v/>
          </cell>
        </row>
        <row r="25022">
          <cell r="O25022" t="str">
            <v/>
          </cell>
        </row>
        <row r="25023">
          <cell r="O25023" t="str">
            <v/>
          </cell>
        </row>
        <row r="25024">
          <cell r="O25024" t="str">
            <v/>
          </cell>
        </row>
        <row r="25025">
          <cell r="O25025" t="str">
            <v/>
          </cell>
        </row>
        <row r="25026">
          <cell r="O25026" t="str">
            <v/>
          </cell>
        </row>
        <row r="25027">
          <cell r="O25027" t="str">
            <v/>
          </cell>
        </row>
        <row r="25028">
          <cell r="O25028" t="str">
            <v/>
          </cell>
        </row>
        <row r="25029">
          <cell r="O25029" t="str">
            <v/>
          </cell>
        </row>
        <row r="25030">
          <cell r="O25030" t="str">
            <v/>
          </cell>
        </row>
        <row r="25031">
          <cell r="O25031" t="str">
            <v/>
          </cell>
        </row>
        <row r="25032">
          <cell r="O25032" t="str">
            <v/>
          </cell>
        </row>
        <row r="25033">
          <cell r="O25033" t="str">
            <v/>
          </cell>
        </row>
        <row r="25034">
          <cell r="O25034" t="str">
            <v/>
          </cell>
        </row>
        <row r="25035">
          <cell r="O25035" t="str">
            <v/>
          </cell>
        </row>
        <row r="25036">
          <cell r="O25036" t="str">
            <v/>
          </cell>
        </row>
        <row r="25037">
          <cell r="O25037" t="str">
            <v/>
          </cell>
        </row>
        <row r="25038">
          <cell r="O25038" t="str">
            <v/>
          </cell>
        </row>
        <row r="25039">
          <cell r="O25039" t="str">
            <v/>
          </cell>
        </row>
        <row r="25040">
          <cell r="O25040" t="str">
            <v/>
          </cell>
        </row>
        <row r="25041">
          <cell r="O25041" t="str">
            <v/>
          </cell>
        </row>
        <row r="25042">
          <cell r="O25042" t="str">
            <v/>
          </cell>
        </row>
        <row r="25043">
          <cell r="O25043" t="str">
            <v/>
          </cell>
        </row>
        <row r="25044">
          <cell r="O25044" t="str">
            <v/>
          </cell>
        </row>
        <row r="25045">
          <cell r="O25045" t="str">
            <v/>
          </cell>
        </row>
        <row r="25046">
          <cell r="O25046" t="str">
            <v/>
          </cell>
        </row>
        <row r="25047">
          <cell r="O25047" t="str">
            <v/>
          </cell>
        </row>
        <row r="25048">
          <cell r="O25048" t="str">
            <v/>
          </cell>
        </row>
        <row r="25049">
          <cell r="O25049" t="str">
            <v/>
          </cell>
        </row>
        <row r="25050">
          <cell r="O25050" t="str">
            <v/>
          </cell>
        </row>
        <row r="25051">
          <cell r="O25051" t="str">
            <v/>
          </cell>
        </row>
        <row r="25052">
          <cell r="O25052" t="str">
            <v/>
          </cell>
        </row>
        <row r="25053">
          <cell r="O25053" t="str">
            <v/>
          </cell>
        </row>
        <row r="25054">
          <cell r="O25054" t="str">
            <v/>
          </cell>
        </row>
        <row r="25055">
          <cell r="O25055" t="str">
            <v/>
          </cell>
        </row>
        <row r="25056">
          <cell r="O25056" t="str">
            <v/>
          </cell>
        </row>
        <row r="25057">
          <cell r="O25057" t="str">
            <v/>
          </cell>
        </row>
        <row r="25058">
          <cell r="O25058" t="str">
            <v/>
          </cell>
        </row>
        <row r="25059">
          <cell r="O25059" t="str">
            <v/>
          </cell>
        </row>
        <row r="25060">
          <cell r="O25060" t="str">
            <v/>
          </cell>
        </row>
        <row r="25061">
          <cell r="O25061" t="str">
            <v/>
          </cell>
        </row>
        <row r="25062">
          <cell r="O25062" t="str">
            <v/>
          </cell>
        </row>
        <row r="25063">
          <cell r="O25063" t="str">
            <v/>
          </cell>
        </row>
        <row r="25064">
          <cell r="O25064" t="str">
            <v/>
          </cell>
        </row>
        <row r="25065">
          <cell r="O25065" t="str">
            <v/>
          </cell>
        </row>
        <row r="25066">
          <cell r="O25066" t="str">
            <v/>
          </cell>
        </row>
        <row r="25067">
          <cell r="O25067" t="str">
            <v/>
          </cell>
        </row>
        <row r="25068">
          <cell r="O25068" t="str">
            <v/>
          </cell>
        </row>
        <row r="25069">
          <cell r="O25069" t="str">
            <v/>
          </cell>
        </row>
        <row r="25070">
          <cell r="O25070" t="str">
            <v/>
          </cell>
        </row>
        <row r="25071">
          <cell r="O25071" t="str">
            <v/>
          </cell>
        </row>
        <row r="25072">
          <cell r="O25072" t="str">
            <v/>
          </cell>
        </row>
        <row r="25073">
          <cell r="O25073" t="str">
            <v/>
          </cell>
        </row>
        <row r="25074">
          <cell r="O25074" t="str">
            <v/>
          </cell>
        </row>
        <row r="25075">
          <cell r="O25075" t="str">
            <v/>
          </cell>
        </row>
        <row r="25076">
          <cell r="O25076" t="str">
            <v/>
          </cell>
        </row>
        <row r="25077">
          <cell r="O25077" t="str">
            <v/>
          </cell>
        </row>
        <row r="25078">
          <cell r="O25078" t="str">
            <v/>
          </cell>
        </row>
        <row r="25079">
          <cell r="O25079" t="str">
            <v/>
          </cell>
        </row>
        <row r="25080">
          <cell r="O25080" t="str">
            <v/>
          </cell>
        </row>
        <row r="25081">
          <cell r="O25081" t="str">
            <v/>
          </cell>
        </row>
        <row r="25082">
          <cell r="O25082" t="str">
            <v/>
          </cell>
        </row>
        <row r="25083">
          <cell r="O25083" t="str">
            <v/>
          </cell>
        </row>
        <row r="25084">
          <cell r="O25084" t="str">
            <v/>
          </cell>
        </row>
        <row r="25085">
          <cell r="O25085" t="str">
            <v/>
          </cell>
        </row>
        <row r="25086">
          <cell r="O25086" t="str">
            <v/>
          </cell>
        </row>
        <row r="25087">
          <cell r="O25087" t="str">
            <v/>
          </cell>
        </row>
        <row r="25088">
          <cell r="O25088" t="str">
            <v/>
          </cell>
        </row>
        <row r="25089">
          <cell r="O25089" t="str">
            <v/>
          </cell>
        </row>
        <row r="25090">
          <cell r="O25090" t="str">
            <v/>
          </cell>
        </row>
        <row r="25091">
          <cell r="O25091" t="str">
            <v/>
          </cell>
        </row>
        <row r="25092">
          <cell r="O25092" t="str">
            <v/>
          </cell>
        </row>
        <row r="25093">
          <cell r="O25093" t="str">
            <v/>
          </cell>
        </row>
        <row r="25094">
          <cell r="O25094" t="str">
            <v/>
          </cell>
        </row>
        <row r="25095">
          <cell r="O25095" t="str">
            <v/>
          </cell>
        </row>
        <row r="25096">
          <cell r="O25096" t="str">
            <v/>
          </cell>
        </row>
        <row r="25097">
          <cell r="O25097" t="str">
            <v/>
          </cell>
        </row>
        <row r="25098">
          <cell r="O25098" t="str">
            <v/>
          </cell>
        </row>
        <row r="25099">
          <cell r="O25099" t="str">
            <v/>
          </cell>
        </row>
        <row r="25100">
          <cell r="O25100" t="str">
            <v/>
          </cell>
        </row>
        <row r="25101">
          <cell r="O25101" t="str">
            <v/>
          </cell>
        </row>
        <row r="25102">
          <cell r="O25102" t="str">
            <v/>
          </cell>
        </row>
        <row r="25103">
          <cell r="O25103" t="str">
            <v/>
          </cell>
        </row>
        <row r="25104">
          <cell r="O25104" t="str">
            <v/>
          </cell>
        </row>
        <row r="25105">
          <cell r="O25105" t="str">
            <v/>
          </cell>
        </row>
        <row r="25106">
          <cell r="O25106" t="str">
            <v/>
          </cell>
        </row>
        <row r="25107">
          <cell r="O25107" t="str">
            <v/>
          </cell>
        </row>
        <row r="25108">
          <cell r="O25108" t="str">
            <v/>
          </cell>
        </row>
        <row r="25109">
          <cell r="O25109" t="str">
            <v/>
          </cell>
        </row>
        <row r="25110">
          <cell r="O25110" t="str">
            <v/>
          </cell>
        </row>
        <row r="25111">
          <cell r="O25111" t="str">
            <v/>
          </cell>
        </row>
        <row r="25112">
          <cell r="O25112" t="str">
            <v/>
          </cell>
        </row>
        <row r="25113">
          <cell r="O25113" t="str">
            <v/>
          </cell>
        </row>
        <row r="25114">
          <cell r="O25114" t="str">
            <v/>
          </cell>
        </row>
        <row r="25115">
          <cell r="O25115" t="str">
            <v/>
          </cell>
        </row>
        <row r="25116">
          <cell r="O25116" t="str">
            <v/>
          </cell>
        </row>
        <row r="25117">
          <cell r="O25117" t="str">
            <v/>
          </cell>
        </row>
        <row r="25118">
          <cell r="O25118" t="str">
            <v/>
          </cell>
        </row>
        <row r="25119">
          <cell r="O25119" t="str">
            <v/>
          </cell>
        </row>
        <row r="25120">
          <cell r="O25120" t="str">
            <v/>
          </cell>
        </row>
        <row r="25121">
          <cell r="O25121" t="str">
            <v/>
          </cell>
        </row>
        <row r="25122">
          <cell r="O25122" t="str">
            <v/>
          </cell>
        </row>
        <row r="25123">
          <cell r="O25123" t="str">
            <v/>
          </cell>
        </row>
        <row r="25124">
          <cell r="O25124" t="str">
            <v/>
          </cell>
        </row>
        <row r="25125">
          <cell r="O25125" t="str">
            <v/>
          </cell>
        </row>
        <row r="25126">
          <cell r="O25126" t="str">
            <v/>
          </cell>
        </row>
        <row r="25127">
          <cell r="O25127" t="str">
            <v/>
          </cell>
        </row>
        <row r="25128">
          <cell r="O25128" t="str">
            <v/>
          </cell>
        </row>
        <row r="25129">
          <cell r="O25129" t="str">
            <v/>
          </cell>
        </row>
        <row r="25130">
          <cell r="O25130" t="str">
            <v/>
          </cell>
        </row>
        <row r="25131">
          <cell r="O25131" t="str">
            <v/>
          </cell>
        </row>
        <row r="25132">
          <cell r="O25132" t="str">
            <v/>
          </cell>
        </row>
        <row r="25133">
          <cell r="O25133" t="str">
            <v/>
          </cell>
        </row>
        <row r="25134">
          <cell r="O25134" t="str">
            <v/>
          </cell>
        </row>
        <row r="25135">
          <cell r="O25135" t="str">
            <v/>
          </cell>
        </row>
        <row r="25136">
          <cell r="O25136" t="str">
            <v/>
          </cell>
        </row>
        <row r="25137">
          <cell r="O25137" t="str">
            <v/>
          </cell>
        </row>
        <row r="25138">
          <cell r="O25138" t="str">
            <v/>
          </cell>
        </row>
        <row r="25139">
          <cell r="O25139" t="str">
            <v/>
          </cell>
        </row>
        <row r="25140">
          <cell r="O25140" t="str">
            <v/>
          </cell>
        </row>
        <row r="25141">
          <cell r="O25141" t="str">
            <v/>
          </cell>
        </row>
        <row r="25142">
          <cell r="O25142" t="str">
            <v/>
          </cell>
        </row>
        <row r="25143">
          <cell r="O25143" t="str">
            <v/>
          </cell>
        </row>
        <row r="25144">
          <cell r="O25144" t="str">
            <v/>
          </cell>
        </row>
        <row r="25145">
          <cell r="O25145" t="str">
            <v/>
          </cell>
        </row>
        <row r="25146">
          <cell r="O25146" t="str">
            <v/>
          </cell>
        </row>
        <row r="25147">
          <cell r="O25147" t="str">
            <v/>
          </cell>
        </row>
        <row r="25148">
          <cell r="O25148" t="str">
            <v/>
          </cell>
        </row>
        <row r="25149">
          <cell r="O25149" t="str">
            <v/>
          </cell>
        </row>
        <row r="25150">
          <cell r="O25150" t="str">
            <v/>
          </cell>
        </row>
        <row r="25151">
          <cell r="O25151" t="str">
            <v/>
          </cell>
        </row>
        <row r="25152">
          <cell r="O25152" t="str">
            <v/>
          </cell>
        </row>
        <row r="25153">
          <cell r="O25153" t="str">
            <v/>
          </cell>
        </row>
        <row r="25154">
          <cell r="O25154" t="str">
            <v/>
          </cell>
        </row>
        <row r="25155">
          <cell r="O25155" t="str">
            <v/>
          </cell>
        </row>
        <row r="25156">
          <cell r="O25156" t="str">
            <v/>
          </cell>
        </row>
        <row r="25157">
          <cell r="O25157" t="str">
            <v/>
          </cell>
        </row>
        <row r="25158">
          <cell r="O25158" t="str">
            <v/>
          </cell>
        </row>
        <row r="25159">
          <cell r="O25159" t="str">
            <v/>
          </cell>
        </row>
        <row r="25160">
          <cell r="O25160" t="str">
            <v/>
          </cell>
        </row>
        <row r="25161">
          <cell r="O25161" t="str">
            <v/>
          </cell>
        </row>
        <row r="25162">
          <cell r="O25162" t="str">
            <v/>
          </cell>
        </row>
        <row r="25163">
          <cell r="O25163" t="str">
            <v/>
          </cell>
        </row>
        <row r="25164">
          <cell r="O25164" t="str">
            <v/>
          </cell>
        </row>
        <row r="25165">
          <cell r="O25165" t="str">
            <v/>
          </cell>
        </row>
        <row r="25166">
          <cell r="O25166" t="str">
            <v/>
          </cell>
        </row>
        <row r="25167">
          <cell r="O25167" t="str">
            <v/>
          </cell>
        </row>
        <row r="25168">
          <cell r="O25168" t="str">
            <v/>
          </cell>
        </row>
        <row r="25169">
          <cell r="O25169" t="str">
            <v/>
          </cell>
        </row>
        <row r="25170">
          <cell r="O25170" t="str">
            <v/>
          </cell>
        </row>
        <row r="25171">
          <cell r="O25171" t="str">
            <v/>
          </cell>
        </row>
        <row r="25172">
          <cell r="O25172" t="str">
            <v/>
          </cell>
        </row>
        <row r="25173">
          <cell r="O25173" t="str">
            <v/>
          </cell>
        </row>
        <row r="25174">
          <cell r="O25174" t="str">
            <v/>
          </cell>
        </row>
        <row r="25175">
          <cell r="O25175" t="str">
            <v/>
          </cell>
        </row>
        <row r="25176">
          <cell r="O25176" t="str">
            <v/>
          </cell>
        </row>
        <row r="25177">
          <cell r="O25177" t="str">
            <v/>
          </cell>
        </row>
        <row r="25178">
          <cell r="O25178" t="str">
            <v/>
          </cell>
        </row>
        <row r="25179">
          <cell r="O25179" t="str">
            <v/>
          </cell>
        </row>
        <row r="25180">
          <cell r="O25180" t="str">
            <v/>
          </cell>
        </row>
        <row r="25181">
          <cell r="O25181" t="str">
            <v/>
          </cell>
        </row>
        <row r="25182">
          <cell r="O25182" t="str">
            <v/>
          </cell>
        </row>
        <row r="25183">
          <cell r="O25183" t="str">
            <v/>
          </cell>
        </row>
        <row r="25184">
          <cell r="O25184" t="str">
            <v/>
          </cell>
        </row>
        <row r="25185">
          <cell r="O25185" t="str">
            <v/>
          </cell>
        </row>
        <row r="25186">
          <cell r="O25186" t="str">
            <v/>
          </cell>
        </row>
        <row r="25187">
          <cell r="O25187" t="str">
            <v/>
          </cell>
        </row>
        <row r="25188">
          <cell r="O25188" t="str">
            <v/>
          </cell>
        </row>
        <row r="25189">
          <cell r="O25189" t="str">
            <v/>
          </cell>
        </row>
        <row r="25190">
          <cell r="O25190" t="str">
            <v/>
          </cell>
        </row>
        <row r="25191">
          <cell r="O25191" t="str">
            <v/>
          </cell>
        </row>
        <row r="25192">
          <cell r="O25192" t="str">
            <v/>
          </cell>
        </row>
        <row r="25193">
          <cell r="O25193" t="str">
            <v/>
          </cell>
        </row>
        <row r="25194">
          <cell r="O25194" t="str">
            <v/>
          </cell>
        </row>
        <row r="25195">
          <cell r="O25195" t="str">
            <v/>
          </cell>
        </row>
        <row r="25196">
          <cell r="O25196" t="str">
            <v/>
          </cell>
        </row>
        <row r="25197">
          <cell r="O25197" t="str">
            <v/>
          </cell>
        </row>
        <row r="25198">
          <cell r="O25198" t="str">
            <v/>
          </cell>
        </row>
        <row r="25199">
          <cell r="O25199" t="str">
            <v/>
          </cell>
        </row>
        <row r="25200">
          <cell r="O25200" t="str">
            <v/>
          </cell>
        </row>
        <row r="25201">
          <cell r="O25201" t="str">
            <v/>
          </cell>
        </row>
        <row r="25202">
          <cell r="O25202" t="str">
            <v/>
          </cell>
        </row>
        <row r="25203">
          <cell r="O25203" t="str">
            <v/>
          </cell>
        </row>
        <row r="25204">
          <cell r="O25204" t="str">
            <v/>
          </cell>
        </row>
        <row r="25205">
          <cell r="O25205" t="str">
            <v/>
          </cell>
        </row>
        <row r="25206">
          <cell r="O25206" t="str">
            <v/>
          </cell>
        </row>
        <row r="25207">
          <cell r="O25207" t="str">
            <v/>
          </cell>
        </row>
        <row r="25208">
          <cell r="O25208" t="str">
            <v/>
          </cell>
        </row>
        <row r="25209">
          <cell r="O25209" t="str">
            <v/>
          </cell>
        </row>
        <row r="25210">
          <cell r="O25210" t="str">
            <v/>
          </cell>
        </row>
        <row r="25211">
          <cell r="O25211" t="str">
            <v/>
          </cell>
        </row>
        <row r="25212">
          <cell r="O25212" t="str">
            <v/>
          </cell>
        </row>
        <row r="25213">
          <cell r="O25213" t="str">
            <v/>
          </cell>
        </row>
        <row r="25214">
          <cell r="O25214" t="str">
            <v/>
          </cell>
        </row>
        <row r="25215">
          <cell r="O25215" t="str">
            <v/>
          </cell>
        </row>
        <row r="25216">
          <cell r="O25216" t="str">
            <v/>
          </cell>
        </row>
        <row r="25217">
          <cell r="O25217" t="str">
            <v/>
          </cell>
        </row>
        <row r="25218">
          <cell r="O25218" t="str">
            <v/>
          </cell>
        </row>
        <row r="25219">
          <cell r="O25219" t="str">
            <v/>
          </cell>
        </row>
        <row r="25220">
          <cell r="O25220" t="str">
            <v/>
          </cell>
        </row>
        <row r="25221">
          <cell r="O25221" t="str">
            <v/>
          </cell>
        </row>
        <row r="25222">
          <cell r="O25222" t="str">
            <v/>
          </cell>
        </row>
        <row r="25223">
          <cell r="O25223" t="str">
            <v/>
          </cell>
        </row>
        <row r="25224">
          <cell r="O25224" t="str">
            <v/>
          </cell>
        </row>
        <row r="25225">
          <cell r="O25225" t="str">
            <v/>
          </cell>
        </row>
        <row r="25226">
          <cell r="O25226" t="str">
            <v/>
          </cell>
        </row>
        <row r="25227">
          <cell r="O25227" t="str">
            <v/>
          </cell>
        </row>
        <row r="25228">
          <cell r="O25228" t="str">
            <v/>
          </cell>
        </row>
        <row r="25229">
          <cell r="O25229" t="str">
            <v/>
          </cell>
        </row>
        <row r="25230">
          <cell r="O25230" t="str">
            <v/>
          </cell>
        </row>
        <row r="25231">
          <cell r="O25231" t="str">
            <v/>
          </cell>
        </row>
        <row r="25232">
          <cell r="O25232" t="str">
            <v/>
          </cell>
        </row>
        <row r="25233">
          <cell r="O25233" t="str">
            <v/>
          </cell>
        </row>
        <row r="25234">
          <cell r="O25234" t="str">
            <v/>
          </cell>
        </row>
        <row r="25235">
          <cell r="O25235" t="str">
            <v/>
          </cell>
        </row>
        <row r="25236">
          <cell r="O25236" t="str">
            <v/>
          </cell>
        </row>
        <row r="25237">
          <cell r="O25237" t="str">
            <v/>
          </cell>
        </row>
        <row r="25238">
          <cell r="O25238" t="str">
            <v/>
          </cell>
        </row>
        <row r="25239">
          <cell r="O25239" t="str">
            <v/>
          </cell>
        </row>
        <row r="25240">
          <cell r="O25240" t="str">
            <v/>
          </cell>
        </row>
        <row r="25241">
          <cell r="O25241" t="str">
            <v/>
          </cell>
        </row>
        <row r="25242">
          <cell r="O25242" t="str">
            <v/>
          </cell>
        </row>
        <row r="25243">
          <cell r="O25243" t="str">
            <v/>
          </cell>
        </row>
        <row r="25244">
          <cell r="O25244" t="str">
            <v/>
          </cell>
        </row>
        <row r="25245">
          <cell r="O25245" t="str">
            <v/>
          </cell>
        </row>
        <row r="25246">
          <cell r="O25246" t="str">
            <v/>
          </cell>
        </row>
        <row r="25247">
          <cell r="O25247" t="str">
            <v/>
          </cell>
        </row>
        <row r="25248">
          <cell r="O25248" t="str">
            <v/>
          </cell>
        </row>
        <row r="25249">
          <cell r="O25249" t="str">
            <v/>
          </cell>
        </row>
        <row r="25250">
          <cell r="O25250" t="str">
            <v/>
          </cell>
        </row>
        <row r="25251">
          <cell r="O25251" t="str">
            <v/>
          </cell>
        </row>
        <row r="25252">
          <cell r="O25252" t="str">
            <v/>
          </cell>
        </row>
        <row r="25253">
          <cell r="O25253" t="str">
            <v/>
          </cell>
        </row>
        <row r="25254">
          <cell r="O25254" t="str">
            <v/>
          </cell>
        </row>
        <row r="25255">
          <cell r="O25255" t="str">
            <v/>
          </cell>
        </row>
        <row r="25256">
          <cell r="O25256" t="str">
            <v/>
          </cell>
        </row>
        <row r="25257">
          <cell r="O25257" t="str">
            <v/>
          </cell>
        </row>
        <row r="25258">
          <cell r="O25258" t="str">
            <v/>
          </cell>
        </row>
        <row r="25259">
          <cell r="O25259" t="str">
            <v/>
          </cell>
        </row>
        <row r="25260">
          <cell r="O25260" t="str">
            <v/>
          </cell>
        </row>
        <row r="25261">
          <cell r="O25261" t="str">
            <v/>
          </cell>
        </row>
        <row r="25262">
          <cell r="O25262" t="str">
            <v/>
          </cell>
        </row>
        <row r="25263">
          <cell r="O25263" t="str">
            <v/>
          </cell>
        </row>
        <row r="25264">
          <cell r="O25264" t="str">
            <v/>
          </cell>
        </row>
        <row r="25265">
          <cell r="O25265" t="str">
            <v/>
          </cell>
        </row>
        <row r="25266">
          <cell r="O25266" t="str">
            <v/>
          </cell>
        </row>
        <row r="25267">
          <cell r="O25267" t="str">
            <v/>
          </cell>
        </row>
        <row r="25268">
          <cell r="O25268" t="str">
            <v/>
          </cell>
        </row>
        <row r="25269">
          <cell r="O25269" t="str">
            <v/>
          </cell>
        </row>
        <row r="25270">
          <cell r="O25270" t="str">
            <v/>
          </cell>
        </row>
        <row r="25271">
          <cell r="O25271" t="str">
            <v/>
          </cell>
        </row>
        <row r="25272">
          <cell r="O25272" t="str">
            <v/>
          </cell>
        </row>
        <row r="25273">
          <cell r="O25273" t="str">
            <v/>
          </cell>
        </row>
        <row r="25274">
          <cell r="O25274" t="str">
            <v/>
          </cell>
        </row>
        <row r="25275">
          <cell r="O25275" t="str">
            <v/>
          </cell>
        </row>
        <row r="25276">
          <cell r="O25276" t="str">
            <v/>
          </cell>
        </row>
        <row r="25277">
          <cell r="O25277" t="str">
            <v/>
          </cell>
        </row>
        <row r="25278">
          <cell r="O25278" t="str">
            <v/>
          </cell>
        </row>
        <row r="25279">
          <cell r="O25279" t="str">
            <v/>
          </cell>
        </row>
        <row r="25280">
          <cell r="O25280" t="str">
            <v/>
          </cell>
        </row>
        <row r="25281">
          <cell r="O25281" t="str">
            <v/>
          </cell>
        </row>
        <row r="25282">
          <cell r="O25282" t="str">
            <v/>
          </cell>
        </row>
        <row r="25283">
          <cell r="O25283" t="str">
            <v/>
          </cell>
        </row>
        <row r="25284">
          <cell r="O25284" t="str">
            <v/>
          </cell>
        </row>
        <row r="25285">
          <cell r="O25285" t="str">
            <v/>
          </cell>
        </row>
        <row r="25286">
          <cell r="O25286" t="str">
            <v/>
          </cell>
        </row>
        <row r="25287">
          <cell r="O25287" t="str">
            <v/>
          </cell>
        </row>
        <row r="25288">
          <cell r="O25288" t="str">
            <v/>
          </cell>
        </row>
        <row r="25289">
          <cell r="O25289" t="str">
            <v/>
          </cell>
        </row>
        <row r="25290">
          <cell r="O25290" t="str">
            <v/>
          </cell>
        </row>
        <row r="25291">
          <cell r="O25291" t="str">
            <v/>
          </cell>
        </row>
        <row r="25292">
          <cell r="O25292" t="str">
            <v/>
          </cell>
        </row>
        <row r="25293">
          <cell r="O25293" t="str">
            <v/>
          </cell>
        </row>
        <row r="25294">
          <cell r="O25294" t="str">
            <v/>
          </cell>
        </row>
        <row r="25295">
          <cell r="O25295" t="str">
            <v/>
          </cell>
        </row>
        <row r="25296">
          <cell r="O25296" t="str">
            <v/>
          </cell>
        </row>
        <row r="25297">
          <cell r="O25297" t="str">
            <v/>
          </cell>
        </row>
        <row r="25298">
          <cell r="O25298" t="str">
            <v/>
          </cell>
        </row>
        <row r="25299">
          <cell r="O25299" t="str">
            <v/>
          </cell>
        </row>
        <row r="25300">
          <cell r="O25300" t="str">
            <v/>
          </cell>
        </row>
        <row r="25301">
          <cell r="O25301" t="str">
            <v/>
          </cell>
        </row>
        <row r="25302">
          <cell r="O25302" t="str">
            <v/>
          </cell>
        </row>
        <row r="25303">
          <cell r="O25303" t="str">
            <v/>
          </cell>
        </row>
        <row r="25304">
          <cell r="O25304" t="str">
            <v/>
          </cell>
        </row>
        <row r="25305">
          <cell r="O25305" t="str">
            <v/>
          </cell>
        </row>
        <row r="25306">
          <cell r="O25306" t="str">
            <v/>
          </cell>
        </row>
        <row r="25307">
          <cell r="O25307" t="str">
            <v/>
          </cell>
        </row>
        <row r="25308">
          <cell r="O25308" t="str">
            <v/>
          </cell>
        </row>
        <row r="25309">
          <cell r="O25309" t="str">
            <v/>
          </cell>
        </row>
        <row r="25310">
          <cell r="O25310" t="str">
            <v/>
          </cell>
        </row>
        <row r="25311">
          <cell r="O25311" t="str">
            <v/>
          </cell>
        </row>
        <row r="25312">
          <cell r="O25312" t="str">
            <v/>
          </cell>
        </row>
        <row r="25313">
          <cell r="O25313" t="str">
            <v/>
          </cell>
        </row>
        <row r="25314">
          <cell r="O25314" t="str">
            <v/>
          </cell>
        </row>
        <row r="25315">
          <cell r="O25315" t="str">
            <v/>
          </cell>
        </row>
        <row r="25316">
          <cell r="O25316" t="str">
            <v/>
          </cell>
        </row>
        <row r="25317">
          <cell r="O25317" t="str">
            <v/>
          </cell>
        </row>
        <row r="25318">
          <cell r="O25318" t="str">
            <v/>
          </cell>
        </row>
        <row r="25319">
          <cell r="O25319" t="str">
            <v/>
          </cell>
        </row>
        <row r="25320">
          <cell r="O25320" t="str">
            <v/>
          </cell>
        </row>
        <row r="25321">
          <cell r="O25321" t="str">
            <v/>
          </cell>
        </row>
        <row r="25322">
          <cell r="O25322" t="str">
            <v/>
          </cell>
        </row>
        <row r="25323">
          <cell r="O25323" t="str">
            <v/>
          </cell>
        </row>
        <row r="25324">
          <cell r="O25324" t="str">
            <v/>
          </cell>
        </row>
        <row r="25325">
          <cell r="O25325" t="str">
            <v/>
          </cell>
        </row>
        <row r="25326">
          <cell r="O25326" t="str">
            <v/>
          </cell>
        </row>
        <row r="25327">
          <cell r="O25327" t="str">
            <v/>
          </cell>
        </row>
        <row r="25328">
          <cell r="O25328" t="str">
            <v/>
          </cell>
        </row>
        <row r="25329">
          <cell r="O25329" t="str">
            <v/>
          </cell>
        </row>
        <row r="25330">
          <cell r="O25330" t="str">
            <v/>
          </cell>
        </row>
        <row r="25331">
          <cell r="O25331" t="str">
            <v/>
          </cell>
        </row>
        <row r="25332">
          <cell r="O25332" t="str">
            <v/>
          </cell>
        </row>
        <row r="25333">
          <cell r="O25333" t="str">
            <v/>
          </cell>
        </row>
        <row r="25334">
          <cell r="O25334" t="str">
            <v/>
          </cell>
        </row>
        <row r="25335">
          <cell r="O25335" t="str">
            <v/>
          </cell>
        </row>
        <row r="25336">
          <cell r="O25336" t="str">
            <v/>
          </cell>
        </row>
        <row r="25337">
          <cell r="O25337" t="str">
            <v/>
          </cell>
        </row>
        <row r="25338">
          <cell r="O25338" t="str">
            <v/>
          </cell>
        </row>
        <row r="25339">
          <cell r="O25339" t="str">
            <v/>
          </cell>
        </row>
        <row r="25340">
          <cell r="O25340" t="str">
            <v/>
          </cell>
        </row>
        <row r="25341">
          <cell r="O25341" t="str">
            <v/>
          </cell>
        </row>
        <row r="25342">
          <cell r="O25342" t="str">
            <v/>
          </cell>
        </row>
        <row r="25343">
          <cell r="O25343" t="str">
            <v/>
          </cell>
        </row>
        <row r="25344">
          <cell r="O25344" t="str">
            <v/>
          </cell>
        </row>
        <row r="25345">
          <cell r="O25345" t="str">
            <v/>
          </cell>
        </row>
        <row r="25346">
          <cell r="O25346" t="str">
            <v/>
          </cell>
        </row>
        <row r="25347">
          <cell r="O25347" t="str">
            <v/>
          </cell>
        </row>
        <row r="25348">
          <cell r="O25348" t="str">
            <v/>
          </cell>
        </row>
        <row r="25349">
          <cell r="O25349" t="str">
            <v/>
          </cell>
        </row>
        <row r="25350">
          <cell r="O25350" t="str">
            <v/>
          </cell>
        </row>
        <row r="25351">
          <cell r="O25351" t="str">
            <v/>
          </cell>
        </row>
        <row r="25352">
          <cell r="O25352" t="str">
            <v/>
          </cell>
        </row>
        <row r="25353">
          <cell r="O25353" t="str">
            <v/>
          </cell>
        </row>
        <row r="25354">
          <cell r="O25354" t="str">
            <v/>
          </cell>
        </row>
        <row r="25355">
          <cell r="O25355" t="str">
            <v/>
          </cell>
        </row>
        <row r="25356">
          <cell r="O25356" t="str">
            <v/>
          </cell>
        </row>
        <row r="25357">
          <cell r="O25357" t="str">
            <v/>
          </cell>
        </row>
        <row r="25358">
          <cell r="O25358" t="str">
            <v/>
          </cell>
        </row>
        <row r="25359">
          <cell r="O25359" t="str">
            <v/>
          </cell>
        </row>
        <row r="25360">
          <cell r="O25360" t="str">
            <v/>
          </cell>
        </row>
        <row r="25361">
          <cell r="O25361" t="str">
            <v/>
          </cell>
        </row>
        <row r="25362">
          <cell r="O25362" t="str">
            <v/>
          </cell>
        </row>
        <row r="25363">
          <cell r="O25363" t="str">
            <v/>
          </cell>
        </row>
        <row r="25364">
          <cell r="O25364" t="str">
            <v/>
          </cell>
        </row>
        <row r="25365">
          <cell r="O25365" t="str">
            <v/>
          </cell>
        </row>
        <row r="25366">
          <cell r="O25366" t="str">
            <v/>
          </cell>
        </row>
        <row r="25367">
          <cell r="O25367" t="str">
            <v/>
          </cell>
        </row>
        <row r="25368">
          <cell r="O25368" t="str">
            <v/>
          </cell>
        </row>
        <row r="25369">
          <cell r="O25369" t="str">
            <v/>
          </cell>
        </row>
        <row r="25370">
          <cell r="O25370" t="str">
            <v/>
          </cell>
        </row>
        <row r="25371">
          <cell r="O25371" t="str">
            <v/>
          </cell>
        </row>
        <row r="25372">
          <cell r="O25372" t="str">
            <v/>
          </cell>
        </row>
        <row r="25373">
          <cell r="O25373" t="str">
            <v/>
          </cell>
        </row>
        <row r="25374">
          <cell r="O25374" t="str">
            <v/>
          </cell>
        </row>
        <row r="25375">
          <cell r="O25375" t="str">
            <v/>
          </cell>
        </row>
        <row r="25376">
          <cell r="O25376" t="str">
            <v/>
          </cell>
        </row>
        <row r="25377">
          <cell r="O25377" t="str">
            <v/>
          </cell>
        </row>
        <row r="25378">
          <cell r="O25378" t="str">
            <v/>
          </cell>
        </row>
        <row r="25379">
          <cell r="O25379" t="str">
            <v/>
          </cell>
        </row>
        <row r="25380">
          <cell r="O25380" t="str">
            <v/>
          </cell>
        </row>
        <row r="25381">
          <cell r="O25381" t="str">
            <v/>
          </cell>
        </row>
        <row r="25382">
          <cell r="O25382" t="str">
            <v/>
          </cell>
        </row>
        <row r="25383">
          <cell r="O25383" t="str">
            <v/>
          </cell>
        </row>
        <row r="25384">
          <cell r="O25384" t="str">
            <v/>
          </cell>
        </row>
        <row r="25385">
          <cell r="O25385" t="str">
            <v/>
          </cell>
        </row>
        <row r="25386">
          <cell r="O25386" t="str">
            <v/>
          </cell>
        </row>
        <row r="25387">
          <cell r="O25387" t="str">
            <v/>
          </cell>
        </row>
        <row r="25388">
          <cell r="O25388" t="str">
            <v/>
          </cell>
        </row>
        <row r="25389">
          <cell r="O25389" t="str">
            <v/>
          </cell>
        </row>
        <row r="25390">
          <cell r="O25390" t="str">
            <v/>
          </cell>
        </row>
        <row r="25391">
          <cell r="O25391" t="str">
            <v/>
          </cell>
        </row>
        <row r="25392">
          <cell r="O25392" t="str">
            <v/>
          </cell>
        </row>
        <row r="25393">
          <cell r="O25393" t="str">
            <v/>
          </cell>
        </row>
        <row r="25394">
          <cell r="O25394" t="str">
            <v/>
          </cell>
        </row>
        <row r="25395">
          <cell r="O25395" t="str">
            <v/>
          </cell>
        </row>
        <row r="25396">
          <cell r="O25396" t="str">
            <v/>
          </cell>
        </row>
        <row r="25397">
          <cell r="O25397" t="str">
            <v/>
          </cell>
        </row>
        <row r="25398">
          <cell r="O25398" t="str">
            <v/>
          </cell>
        </row>
        <row r="25399">
          <cell r="O25399" t="str">
            <v/>
          </cell>
        </row>
        <row r="25400">
          <cell r="O25400" t="str">
            <v/>
          </cell>
        </row>
        <row r="25401">
          <cell r="O25401" t="str">
            <v/>
          </cell>
        </row>
        <row r="25402">
          <cell r="O25402" t="str">
            <v/>
          </cell>
        </row>
        <row r="25403">
          <cell r="O25403" t="str">
            <v/>
          </cell>
        </row>
        <row r="25404">
          <cell r="O25404" t="str">
            <v/>
          </cell>
        </row>
        <row r="25405">
          <cell r="O25405" t="str">
            <v/>
          </cell>
        </row>
        <row r="25406">
          <cell r="O25406" t="str">
            <v/>
          </cell>
        </row>
        <row r="25407">
          <cell r="O25407" t="str">
            <v/>
          </cell>
        </row>
        <row r="25408">
          <cell r="O25408" t="str">
            <v/>
          </cell>
        </row>
        <row r="25409">
          <cell r="O25409" t="str">
            <v/>
          </cell>
        </row>
        <row r="25410">
          <cell r="O25410" t="str">
            <v/>
          </cell>
        </row>
        <row r="25411">
          <cell r="O25411" t="str">
            <v/>
          </cell>
        </row>
        <row r="25412">
          <cell r="O25412" t="str">
            <v/>
          </cell>
        </row>
        <row r="25413">
          <cell r="O25413" t="str">
            <v/>
          </cell>
        </row>
        <row r="25414">
          <cell r="O25414" t="str">
            <v/>
          </cell>
        </row>
        <row r="25415">
          <cell r="O25415" t="str">
            <v/>
          </cell>
        </row>
        <row r="25416">
          <cell r="O25416" t="str">
            <v/>
          </cell>
        </row>
        <row r="25417">
          <cell r="O25417" t="str">
            <v/>
          </cell>
        </row>
        <row r="25418">
          <cell r="O25418" t="str">
            <v/>
          </cell>
        </row>
        <row r="25419">
          <cell r="O25419" t="str">
            <v/>
          </cell>
        </row>
        <row r="25420">
          <cell r="O25420" t="str">
            <v/>
          </cell>
        </row>
        <row r="25421">
          <cell r="O25421" t="str">
            <v/>
          </cell>
        </row>
        <row r="25422">
          <cell r="O25422" t="str">
            <v/>
          </cell>
        </row>
        <row r="25423">
          <cell r="O25423" t="str">
            <v/>
          </cell>
        </row>
        <row r="25424">
          <cell r="O25424" t="str">
            <v/>
          </cell>
        </row>
        <row r="25425">
          <cell r="O25425" t="str">
            <v/>
          </cell>
        </row>
        <row r="25426">
          <cell r="O25426" t="str">
            <v/>
          </cell>
        </row>
        <row r="25427">
          <cell r="O25427" t="str">
            <v/>
          </cell>
        </row>
        <row r="25428">
          <cell r="O25428" t="str">
            <v/>
          </cell>
        </row>
        <row r="25429">
          <cell r="O25429" t="str">
            <v/>
          </cell>
        </row>
        <row r="25430">
          <cell r="O25430" t="str">
            <v/>
          </cell>
        </row>
        <row r="25431">
          <cell r="O25431" t="str">
            <v/>
          </cell>
        </row>
        <row r="25432">
          <cell r="O25432" t="str">
            <v/>
          </cell>
        </row>
        <row r="25433">
          <cell r="O25433" t="str">
            <v/>
          </cell>
        </row>
        <row r="25434">
          <cell r="O25434" t="str">
            <v/>
          </cell>
        </row>
        <row r="25435">
          <cell r="O25435" t="str">
            <v/>
          </cell>
        </row>
        <row r="25436">
          <cell r="O25436" t="str">
            <v/>
          </cell>
        </row>
        <row r="25437">
          <cell r="O25437" t="str">
            <v/>
          </cell>
        </row>
        <row r="25438">
          <cell r="O25438" t="str">
            <v/>
          </cell>
        </row>
        <row r="25439">
          <cell r="O25439" t="str">
            <v/>
          </cell>
        </row>
        <row r="25440">
          <cell r="O25440" t="str">
            <v/>
          </cell>
        </row>
        <row r="25441">
          <cell r="O25441" t="str">
            <v/>
          </cell>
        </row>
        <row r="25442">
          <cell r="O25442" t="str">
            <v/>
          </cell>
        </row>
        <row r="25443">
          <cell r="O25443" t="str">
            <v/>
          </cell>
        </row>
        <row r="25444">
          <cell r="O25444" t="str">
            <v/>
          </cell>
        </row>
        <row r="25445">
          <cell r="O25445" t="str">
            <v/>
          </cell>
        </row>
        <row r="25446">
          <cell r="O25446" t="str">
            <v/>
          </cell>
        </row>
        <row r="25447">
          <cell r="O25447" t="str">
            <v/>
          </cell>
        </row>
        <row r="25448">
          <cell r="O25448" t="str">
            <v/>
          </cell>
        </row>
        <row r="25449">
          <cell r="O25449" t="str">
            <v/>
          </cell>
        </row>
        <row r="25450">
          <cell r="O25450" t="str">
            <v/>
          </cell>
        </row>
        <row r="25451">
          <cell r="O25451" t="str">
            <v/>
          </cell>
        </row>
        <row r="25452">
          <cell r="O25452" t="str">
            <v/>
          </cell>
        </row>
        <row r="25453">
          <cell r="O25453" t="str">
            <v/>
          </cell>
        </row>
        <row r="25454">
          <cell r="O25454" t="str">
            <v/>
          </cell>
        </row>
        <row r="25455">
          <cell r="O25455" t="str">
            <v/>
          </cell>
        </row>
        <row r="25456">
          <cell r="O25456" t="str">
            <v/>
          </cell>
        </row>
        <row r="25457">
          <cell r="O25457" t="str">
            <v/>
          </cell>
        </row>
        <row r="25458">
          <cell r="O25458" t="str">
            <v/>
          </cell>
        </row>
        <row r="25459">
          <cell r="O25459" t="str">
            <v/>
          </cell>
        </row>
        <row r="25460">
          <cell r="O25460" t="str">
            <v/>
          </cell>
        </row>
        <row r="25461">
          <cell r="O25461" t="str">
            <v/>
          </cell>
        </row>
        <row r="25462">
          <cell r="O25462" t="str">
            <v/>
          </cell>
        </row>
        <row r="25463">
          <cell r="O25463" t="str">
            <v/>
          </cell>
        </row>
        <row r="25464">
          <cell r="O25464" t="str">
            <v/>
          </cell>
        </row>
        <row r="25465">
          <cell r="O25465" t="str">
            <v/>
          </cell>
        </row>
        <row r="25466">
          <cell r="O25466" t="str">
            <v/>
          </cell>
        </row>
        <row r="25467">
          <cell r="O25467" t="str">
            <v/>
          </cell>
        </row>
        <row r="25468">
          <cell r="O25468" t="str">
            <v/>
          </cell>
        </row>
        <row r="25469">
          <cell r="O25469" t="str">
            <v/>
          </cell>
        </row>
        <row r="25470">
          <cell r="O25470" t="str">
            <v/>
          </cell>
        </row>
        <row r="25471">
          <cell r="O25471" t="str">
            <v/>
          </cell>
        </row>
        <row r="25472">
          <cell r="O25472" t="str">
            <v/>
          </cell>
        </row>
        <row r="25473">
          <cell r="O25473" t="str">
            <v/>
          </cell>
        </row>
        <row r="25474">
          <cell r="O25474" t="str">
            <v/>
          </cell>
        </row>
        <row r="25475">
          <cell r="O25475" t="str">
            <v/>
          </cell>
        </row>
        <row r="25476">
          <cell r="O25476" t="str">
            <v/>
          </cell>
        </row>
        <row r="25477">
          <cell r="O25477" t="str">
            <v/>
          </cell>
        </row>
        <row r="25478">
          <cell r="O25478" t="str">
            <v/>
          </cell>
        </row>
        <row r="25479">
          <cell r="O25479" t="str">
            <v/>
          </cell>
        </row>
        <row r="25480">
          <cell r="O25480" t="str">
            <v/>
          </cell>
        </row>
        <row r="25481">
          <cell r="O25481" t="str">
            <v/>
          </cell>
        </row>
        <row r="25482">
          <cell r="O25482" t="str">
            <v/>
          </cell>
        </row>
        <row r="25483">
          <cell r="O25483" t="str">
            <v/>
          </cell>
        </row>
        <row r="25484">
          <cell r="O25484" t="str">
            <v/>
          </cell>
        </row>
        <row r="25485">
          <cell r="O25485" t="str">
            <v/>
          </cell>
        </row>
        <row r="25486">
          <cell r="O25486" t="str">
            <v/>
          </cell>
        </row>
        <row r="25487">
          <cell r="O25487" t="str">
            <v/>
          </cell>
        </row>
        <row r="25488">
          <cell r="O25488" t="str">
            <v/>
          </cell>
        </row>
        <row r="25489">
          <cell r="O25489" t="str">
            <v/>
          </cell>
        </row>
        <row r="25490">
          <cell r="O25490" t="str">
            <v/>
          </cell>
        </row>
        <row r="25491">
          <cell r="O25491" t="str">
            <v/>
          </cell>
        </row>
        <row r="25492">
          <cell r="O25492" t="str">
            <v/>
          </cell>
        </row>
        <row r="25493">
          <cell r="O25493" t="str">
            <v/>
          </cell>
        </row>
        <row r="25494">
          <cell r="O25494" t="str">
            <v/>
          </cell>
        </row>
        <row r="25495">
          <cell r="O25495" t="str">
            <v/>
          </cell>
        </row>
        <row r="25496">
          <cell r="O25496" t="str">
            <v/>
          </cell>
        </row>
        <row r="25497">
          <cell r="O25497" t="str">
            <v/>
          </cell>
        </row>
        <row r="25498">
          <cell r="O25498" t="str">
            <v/>
          </cell>
        </row>
        <row r="25499">
          <cell r="O25499" t="str">
            <v/>
          </cell>
        </row>
        <row r="25500">
          <cell r="O25500" t="str">
            <v/>
          </cell>
        </row>
        <row r="25501">
          <cell r="O25501" t="str">
            <v/>
          </cell>
        </row>
        <row r="25502">
          <cell r="O25502" t="str">
            <v/>
          </cell>
        </row>
        <row r="25503">
          <cell r="O25503" t="str">
            <v/>
          </cell>
        </row>
        <row r="25504">
          <cell r="O25504" t="str">
            <v/>
          </cell>
        </row>
        <row r="25505">
          <cell r="O25505" t="str">
            <v/>
          </cell>
        </row>
        <row r="25506">
          <cell r="O25506" t="str">
            <v/>
          </cell>
        </row>
        <row r="25507">
          <cell r="O25507" t="str">
            <v/>
          </cell>
        </row>
        <row r="25508">
          <cell r="O25508" t="str">
            <v/>
          </cell>
        </row>
        <row r="25509">
          <cell r="O25509" t="str">
            <v/>
          </cell>
        </row>
        <row r="25510">
          <cell r="O25510" t="str">
            <v/>
          </cell>
        </row>
        <row r="25511">
          <cell r="O25511" t="str">
            <v/>
          </cell>
        </row>
        <row r="25512">
          <cell r="O25512" t="str">
            <v/>
          </cell>
        </row>
        <row r="25513">
          <cell r="O25513" t="str">
            <v/>
          </cell>
        </row>
        <row r="25514">
          <cell r="O25514" t="str">
            <v/>
          </cell>
        </row>
        <row r="25515">
          <cell r="O25515" t="str">
            <v/>
          </cell>
        </row>
        <row r="25516">
          <cell r="O25516" t="str">
            <v/>
          </cell>
        </row>
        <row r="25517">
          <cell r="O25517" t="str">
            <v/>
          </cell>
        </row>
        <row r="25518">
          <cell r="O25518" t="str">
            <v/>
          </cell>
        </row>
        <row r="25519">
          <cell r="O25519" t="str">
            <v/>
          </cell>
        </row>
        <row r="25520">
          <cell r="O25520" t="str">
            <v/>
          </cell>
        </row>
        <row r="25521">
          <cell r="O25521" t="str">
            <v/>
          </cell>
        </row>
        <row r="25522">
          <cell r="O25522" t="str">
            <v/>
          </cell>
        </row>
        <row r="25523">
          <cell r="O25523" t="str">
            <v/>
          </cell>
        </row>
        <row r="25524">
          <cell r="O25524" t="str">
            <v/>
          </cell>
        </row>
        <row r="25525">
          <cell r="O25525" t="str">
            <v/>
          </cell>
        </row>
        <row r="25526">
          <cell r="O25526" t="str">
            <v/>
          </cell>
        </row>
        <row r="25527">
          <cell r="O25527" t="str">
            <v/>
          </cell>
        </row>
        <row r="25528">
          <cell r="O25528" t="str">
            <v/>
          </cell>
        </row>
        <row r="25529">
          <cell r="O25529" t="str">
            <v/>
          </cell>
        </row>
        <row r="25530">
          <cell r="O25530" t="str">
            <v/>
          </cell>
        </row>
        <row r="25531">
          <cell r="O25531" t="str">
            <v/>
          </cell>
        </row>
        <row r="25532">
          <cell r="O25532" t="str">
            <v/>
          </cell>
        </row>
        <row r="25533">
          <cell r="O25533" t="str">
            <v/>
          </cell>
        </row>
        <row r="25534">
          <cell r="O25534" t="str">
            <v/>
          </cell>
        </row>
        <row r="25535">
          <cell r="O25535" t="str">
            <v/>
          </cell>
        </row>
        <row r="25536">
          <cell r="O25536" t="str">
            <v/>
          </cell>
        </row>
        <row r="25537">
          <cell r="O25537" t="str">
            <v/>
          </cell>
        </row>
        <row r="25538">
          <cell r="O25538" t="str">
            <v/>
          </cell>
        </row>
        <row r="25539">
          <cell r="O25539" t="str">
            <v/>
          </cell>
        </row>
        <row r="25540">
          <cell r="O25540" t="str">
            <v/>
          </cell>
        </row>
        <row r="25541">
          <cell r="O25541" t="str">
            <v/>
          </cell>
        </row>
        <row r="25542">
          <cell r="O25542" t="str">
            <v/>
          </cell>
        </row>
        <row r="25543">
          <cell r="O25543" t="str">
            <v/>
          </cell>
        </row>
        <row r="25544">
          <cell r="O25544" t="str">
            <v/>
          </cell>
        </row>
        <row r="25545">
          <cell r="O25545" t="str">
            <v/>
          </cell>
        </row>
        <row r="25546">
          <cell r="O25546" t="str">
            <v/>
          </cell>
        </row>
        <row r="25547">
          <cell r="O25547" t="str">
            <v/>
          </cell>
        </row>
        <row r="25548">
          <cell r="O25548" t="str">
            <v/>
          </cell>
        </row>
        <row r="25549">
          <cell r="O25549" t="str">
            <v/>
          </cell>
        </row>
        <row r="25550">
          <cell r="O25550" t="str">
            <v/>
          </cell>
        </row>
        <row r="25551">
          <cell r="O25551" t="str">
            <v/>
          </cell>
        </row>
        <row r="25552">
          <cell r="O25552" t="str">
            <v/>
          </cell>
        </row>
        <row r="25553">
          <cell r="O25553" t="str">
            <v/>
          </cell>
        </row>
        <row r="25554">
          <cell r="O25554" t="str">
            <v/>
          </cell>
        </row>
        <row r="25555">
          <cell r="O25555" t="str">
            <v/>
          </cell>
        </row>
        <row r="25556">
          <cell r="O25556" t="str">
            <v/>
          </cell>
        </row>
        <row r="25557">
          <cell r="O25557" t="str">
            <v/>
          </cell>
        </row>
        <row r="25558">
          <cell r="O25558" t="str">
            <v/>
          </cell>
        </row>
        <row r="25559">
          <cell r="O25559" t="str">
            <v/>
          </cell>
        </row>
        <row r="25560">
          <cell r="O25560" t="str">
            <v/>
          </cell>
        </row>
        <row r="25561">
          <cell r="O25561" t="str">
            <v/>
          </cell>
        </row>
        <row r="25562">
          <cell r="O25562" t="str">
            <v/>
          </cell>
        </row>
        <row r="25563">
          <cell r="O25563" t="str">
            <v/>
          </cell>
        </row>
        <row r="25564">
          <cell r="O25564" t="str">
            <v/>
          </cell>
        </row>
        <row r="25565">
          <cell r="O25565" t="str">
            <v/>
          </cell>
        </row>
        <row r="25566">
          <cell r="O25566" t="str">
            <v/>
          </cell>
        </row>
        <row r="25567">
          <cell r="O25567" t="str">
            <v/>
          </cell>
        </row>
        <row r="25568">
          <cell r="O25568" t="str">
            <v/>
          </cell>
        </row>
        <row r="25569">
          <cell r="O25569" t="str">
            <v/>
          </cell>
        </row>
        <row r="25570">
          <cell r="O25570" t="str">
            <v/>
          </cell>
        </row>
        <row r="25571">
          <cell r="O25571" t="str">
            <v/>
          </cell>
        </row>
        <row r="25572">
          <cell r="O25572" t="str">
            <v/>
          </cell>
        </row>
        <row r="25573">
          <cell r="O25573" t="str">
            <v/>
          </cell>
        </row>
        <row r="25574">
          <cell r="O25574" t="str">
            <v/>
          </cell>
        </row>
        <row r="25575">
          <cell r="O25575" t="str">
            <v/>
          </cell>
        </row>
        <row r="25576">
          <cell r="O25576" t="str">
            <v/>
          </cell>
        </row>
        <row r="25577">
          <cell r="O25577" t="str">
            <v/>
          </cell>
        </row>
        <row r="25578">
          <cell r="O25578" t="str">
            <v/>
          </cell>
        </row>
        <row r="25579">
          <cell r="O25579" t="str">
            <v/>
          </cell>
        </row>
        <row r="25580">
          <cell r="O25580" t="str">
            <v/>
          </cell>
        </row>
        <row r="25581">
          <cell r="O25581" t="str">
            <v/>
          </cell>
        </row>
        <row r="25582">
          <cell r="O25582" t="str">
            <v/>
          </cell>
        </row>
        <row r="25583">
          <cell r="O25583" t="str">
            <v/>
          </cell>
        </row>
        <row r="25584">
          <cell r="O25584" t="str">
            <v/>
          </cell>
        </row>
        <row r="25585">
          <cell r="O25585" t="str">
            <v/>
          </cell>
        </row>
        <row r="25586">
          <cell r="O25586" t="str">
            <v/>
          </cell>
        </row>
        <row r="25587">
          <cell r="O25587" t="str">
            <v/>
          </cell>
        </row>
        <row r="25588">
          <cell r="O25588" t="str">
            <v/>
          </cell>
        </row>
        <row r="25589">
          <cell r="O25589" t="str">
            <v/>
          </cell>
        </row>
        <row r="25590">
          <cell r="O25590" t="str">
            <v/>
          </cell>
        </row>
        <row r="25591">
          <cell r="O25591" t="str">
            <v/>
          </cell>
        </row>
        <row r="25592">
          <cell r="O25592" t="str">
            <v/>
          </cell>
        </row>
        <row r="25593">
          <cell r="O25593" t="str">
            <v/>
          </cell>
        </row>
        <row r="25594">
          <cell r="O25594" t="str">
            <v/>
          </cell>
        </row>
        <row r="25595">
          <cell r="O25595" t="str">
            <v/>
          </cell>
        </row>
        <row r="25596">
          <cell r="O25596" t="str">
            <v/>
          </cell>
        </row>
        <row r="25597">
          <cell r="O25597" t="str">
            <v/>
          </cell>
        </row>
        <row r="25598">
          <cell r="O25598" t="str">
            <v/>
          </cell>
        </row>
        <row r="25599">
          <cell r="O25599" t="str">
            <v/>
          </cell>
        </row>
        <row r="25600">
          <cell r="O25600" t="str">
            <v/>
          </cell>
        </row>
        <row r="25601">
          <cell r="O25601" t="str">
            <v/>
          </cell>
        </row>
        <row r="25602">
          <cell r="O25602" t="str">
            <v/>
          </cell>
        </row>
        <row r="25603">
          <cell r="O25603" t="str">
            <v/>
          </cell>
        </row>
        <row r="25604">
          <cell r="O25604" t="str">
            <v/>
          </cell>
        </row>
        <row r="25605">
          <cell r="O25605" t="str">
            <v/>
          </cell>
        </row>
        <row r="25606">
          <cell r="O25606" t="str">
            <v/>
          </cell>
        </row>
        <row r="25607">
          <cell r="O25607" t="str">
            <v/>
          </cell>
        </row>
        <row r="25608">
          <cell r="O25608" t="str">
            <v/>
          </cell>
        </row>
        <row r="25609">
          <cell r="O25609" t="str">
            <v/>
          </cell>
        </row>
        <row r="25610">
          <cell r="O25610" t="str">
            <v/>
          </cell>
        </row>
        <row r="25611">
          <cell r="O25611" t="str">
            <v/>
          </cell>
        </row>
        <row r="25612">
          <cell r="O25612" t="str">
            <v/>
          </cell>
        </row>
        <row r="25613">
          <cell r="O25613" t="str">
            <v/>
          </cell>
        </row>
        <row r="25614">
          <cell r="O25614" t="str">
            <v/>
          </cell>
        </row>
        <row r="25615">
          <cell r="O25615" t="str">
            <v/>
          </cell>
        </row>
        <row r="25616">
          <cell r="O25616" t="str">
            <v/>
          </cell>
        </row>
        <row r="25617">
          <cell r="O25617" t="str">
            <v/>
          </cell>
        </row>
        <row r="25618">
          <cell r="O25618" t="str">
            <v/>
          </cell>
        </row>
        <row r="25619">
          <cell r="O25619" t="str">
            <v/>
          </cell>
        </row>
        <row r="25620">
          <cell r="O25620" t="str">
            <v/>
          </cell>
        </row>
        <row r="25621">
          <cell r="O25621" t="str">
            <v/>
          </cell>
        </row>
        <row r="25622">
          <cell r="O25622" t="str">
            <v/>
          </cell>
        </row>
        <row r="25623">
          <cell r="O25623" t="str">
            <v/>
          </cell>
        </row>
        <row r="25624">
          <cell r="O25624" t="str">
            <v/>
          </cell>
        </row>
        <row r="25625">
          <cell r="O25625" t="str">
            <v/>
          </cell>
        </row>
        <row r="25626">
          <cell r="O25626" t="str">
            <v/>
          </cell>
        </row>
        <row r="25627">
          <cell r="O25627" t="str">
            <v/>
          </cell>
        </row>
        <row r="25628">
          <cell r="O25628" t="str">
            <v/>
          </cell>
        </row>
        <row r="25629">
          <cell r="O25629" t="str">
            <v/>
          </cell>
        </row>
        <row r="25630">
          <cell r="O25630" t="str">
            <v/>
          </cell>
        </row>
        <row r="25631">
          <cell r="O25631" t="str">
            <v/>
          </cell>
        </row>
        <row r="25632">
          <cell r="O25632" t="str">
            <v/>
          </cell>
        </row>
        <row r="25633">
          <cell r="O25633" t="str">
            <v/>
          </cell>
        </row>
        <row r="25634">
          <cell r="O25634" t="str">
            <v/>
          </cell>
        </row>
        <row r="25635">
          <cell r="O25635" t="str">
            <v/>
          </cell>
        </row>
        <row r="25636">
          <cell r="O25636" t="str">
            <v/>
          </cell>
        </row>
        <row r="25637">
          <cell r="O25637" t="str">
            <v/>
          </cell>
        </row>
        <row r="25638">
          <cell r="O25638" t="str">
            <v/>
          </cell>
        </row>
        <row r="25639">
          <cell r="O25639" t="str">
            <v/>
          </cell>
        </row>
        <row r="25640">
          <cell r="O25640" t="str">
            <v/>
          </cell>
        </row>
        <row r="25641">
          <cell r="O25641" t="str">
            <v/>
          </cell>
        </row>
        <row r="25642">
          <cell r="O25642" t="str">
            <v/>
          </cell>
        </row>
        <row r="25643">
          <cell r="O25643" t="str">
            <v/>
          </cell>
        </row>
        <row r="25644">
          <cell r="O25644" t="str">
            <v/>
          </cell>
        </row>
        <row r="25645">
          <cell r="O25645" t="str">
            <v/>
          </cell>
        </row>
        <row r="25646">
          <cell r="O25646" t="str">
            <v/>
          </cell>
        </row>
        <row r="25647">
          <cell r="O25647" t="str">
            <v/>
          </cell>
        </row>
        <row r="25648">
          <cell r="O25648" t="str">
            <v/>
          </cell>
        </row>
        <row r="25649">
          <cell r="O25649" t="str">
            <v/>
          </cell>
        </row>
        <row r="25650">
          <cell r="O25650" t="str">
            <v/>
          </cell>
        </row>
        <row r="25651">
          <cell r="O25651" t="str">
            <v/>
          </cell>
        </row>
        <row r="25652">
          <cell r="O25652" t="str">
            <v/>
          </cell>
        </row>
        <row r="25653">
          <cell r="O25653" t="str">
            <v/>
          </cell>
        </row>
        <row r="25654">
          <cell r="O25654" t="str">
            <v/>
          </cell>
        </row>
        <row r="25655">
          <cell r="O25655" t="str">
            <v/>
          </cell>
        </row>
        <row r="25656">
          <cell r="O25656" t="str">
            <v/>
          </cell>
        </row>
        <row r="25657">
          <cell r="O25657" t="str">
            <v/>
          </cell>
        </row>
        <row r="25658">
          <cell r="O25658" t="str">
            <v/>
          </cell>
        </row>
        <row r="25659">
          <cell r="O25659" t="str">
            <v/>
          </cell>
        </row>
        <row r="25660">
          <cell r="O25660" t="str">
            <v/>
          </cell>
        </row>
        <row r="25661">
          <cell r="O25661" t="str">
            <v/>
          </cell>
        </row>
        <row r="25662">
          <cell r="O25662" t="str">
            <v/>
          </cell>
        </row>
        <row r="25663">
          <cell r="O25663" t="str">
            <v/>
          </cell>
        </row>
        <row r="25664">
          <cell r="O25664" t="str">
            <v/>
          </cell>
        </row>
        <row r="25665">
          <cell r="O25665" t="str">
            <v/>
          </cell>
        </row>
        <row r="25666">
          <cell r="O25666" t="str">
            <v/>
          </cell>
        </row>
        <row r="25667">
          <cell r="O25667" t="str">
            <v/>
          </cell>
        </row>
        <row r="25668">
          <cell r="O25668" t="str">
            <v/>
          </cell>
        </row>
        <row r="25669">
          <cell r="O25669" t="str">
            <v/>
          </cell>
        </row>
        <row r="25670">
          <cell r="O25670" t="str">
            <v/>
          </cell>
        </row>
        <row r="25671">
          <cell r="O25671" t="str">
            <v/>
          </cell>
        </row>
        <row r="25672">
          <cell r="O25672" t="str">
            <v/>
          </cell>
        </row>
        <row r="25673">
          <cell r="O25673" t="str">
            <v/>
          </cell>
        </row>
        <row r="25674">
          <cell r="O25674" t="str">
            <v/>
          </cell>
        </row>
        <row r="25675">
          <cell r="O25675" t="str">
            <v/>
          </cell>
        </row>
        <row r="25676">
          <cell r="O25676" t="str">
            <v/>
          </cell>
        </row>
        <row r="25677">
          <cell r="O25677" t="str">
            <v/>
          </cell>
        </row>
        <row r="25678">
          <cell r="O25678" t="str">
            <v/>
          </cell>
        </row>
        <row r="25679">
          <cell r="O25679" t="str">
            <v/>
          </cell>
        </row>
        <row r="25680">
          <cell r="O25680" t="str">
            <v/>
          </cell>
        </row>
        <row r="25681">
          <cell r="O25681" t="str">
            <v/>
          </cell>
        </row>
        <row r="25682">
          <cell r="O25682" t="str">
            <v/>
          </cell>
        </row>
        <row r="25683">
          <cell r="O25683" t="str">
            <v/>
          </cell>
        </row>
        <row r="25684">
          <cell r="O25684" t="str">
            <v/>
          </cell>
        </row>
        <row r="25685">
          <cell r="O25685" t="str">
            <v/>
          </cell>
        </row>
        <row r="25686">
          <cell r="O25686" t="str">
            <v/>
          </cell>
        </row>
        <row r="25687">
          <cell r="O25687" t="str">
            <v/>
          </cell>
        </row>
        <row r="25688">
          <cell r="O25688" t="str">
            <v/>
          </cell>
        </row>
        <row r="25689">
          <cell r="O25689" t="str">
            <v/>
          </cell>
        </row>
        <row r="25690">
          <cell r="O25690" t="str">
            <v/>
          </cell>
        </row>
        <row r="25691">
          <cell r="O25691" t="str">
            <v/>
          </cell>
        </row>
        <row r="25692">
          <cell r="O25692" t="str">
            <v/>
          </cell>
        </row>
        <row r="25693">
          <cell r="O25693" t="str">
            <v/>
          </cell>
        </row>
        <row r="25694">
          <cell r="O25694" t="str">
            <v/>
          </cell>
        </row>
        <row r="25695">
          <cell r="O25695" t="str">
            <v/>
          </cell>
        </row>
        <row r="25696">
          <cell r="O25696" t="str">
            <v/>
          </cell>
        </row>
        <row r="25697">
          <cell r="O25697" t="str">
            <v/>
          </cell>
        </row>
        <row r="25698">
          <cell r="O25698" t="str">
            <v/>
          </cell>
        </row>
        <row r="25699">
          <cell r="O25699" t="str">
            <v/>
          </cell>
        </row>
        <row r="25700">
          <cell r="O25700" t="str">
            <v/>
          </cell>
        </row>
        <row r="25701">
          <cell r="O25701" t="str">
            <v/>
          </cell>
        </row>
        <row r="25702">
          <cell r="O25702" t="str">
            <v/>
          </cell>
        </row>
        <row r="25703">
          <cell r="O25703" t="str">
            <v/>
          </cell>
        </row>
        <row r="25704">
          <cell r="O25704" t="str">
            <v/>
          </cell>
        </row>
        <row r="25705">
          <cell r="O25705" t="str">
            <v/>
          </cell>
        </row>
        <row r="25706">
          <cell r="O25706" t="str">
            <v/>
          </cell>
        </row>
        <row r="25707">
          <cell r="O25707" t="str">
            <v/>
          </cell>
        </row>
        <row r="25708">
          <cell r="O25708" t="str">
            <v/>
          </cell>
        </row>
        <row r="25709">
          <cell r="O25709" t="str">
            <v/>
          </cell>
        </row>
        <row r="25710">
          <cell r="O25710" t="str">
            <v/>
          </cell>
        </row>
        <row r="25711">
          <cell r="O25711" t="str">
            <v/>
          </cell>
        </row>
        <row r="25712">
          <cell r="O25712" t="str">
            <v/>
          </cell>
        </row>
        <row r="25713">
          <cell r="O25713" t="str">
            <v/>
          </cell>
        </row>
        <row r="25714">
          <cell r="O25714" t="str">
            <v/>
          </cell>
        </row>
        <row r="25715">
          <cell r="O25715" t="str">
            <v/>
          </cell>
        </row>
        <row r="25716">
          <cell r="O25716" t="str">
            <v/>
          </cell>
        </row>
        <row r="25717">
          <cell r="O25717" t="str">
            <v/>
          </cell>
        </row>
        <row r="25718">
          <cell r="O25718" t="str">
            <v/>
          </cell>
        </row>
        <row r="25719">
          <cell r="O25719" t="str">
            <v/>
          </cell>
        </row>
        <row r="25720">
          <cell r="O25720" t="str">
            <v/>
          </cell>
        </row>
        <row r="25721">
          <cell r="O25721" t="str">
            <v/>
          </cell>
        </row>
        <row r="25722">
          <cell r="O25722" t="str">
            <v/>
          </cell>
        </row>
        <row r="25723">
          <cell r="O25723" t="str">
            <v/>
          </cell>
        </row>
        <row r="25724">
          <cell r="O25724" t="str">
            <v/>
          </cell>
        </row>
        <row r="25725">
          <cell r="O25725" t="str">
            <v/>
          </cell>
        </row>
        <row r="25726">
          <cell r="O25726" t="str">
            <v/>
          </cell>
        </row>
        <row r="25727">
          <cell r="O25727" t="str">
            <v/>
          </cell>
        </row>
        <row r="25728">
          <cell r="O25728" t="str">
            <v/>
          </cell>
        </row>
        <row r="25729">
          <cell r="O25729" t="str">
            <v/>
          </cell>
        </row>
        <row r="25730">
          <cell r="O25730" t="str">
            <v/>
          </cell>
        </row>
        <row r="25731">
          <cell r="O25731" t="str">
            <v/>
          </cell>
        </row>
        <row r="25732">
          <cell r="O25732" t="str">
            <v/>
          </cell>
        </row>
        <row r="25733">
          <cell r="O25733" t="str">
            <v/>
          </cell>
        </row>
        <row r="25734">
          <cell r="O25734" t="str">
            <v/>
          </cell>
        </row>
        <row r="25735">
          <cell r="O25735" t="str">
            <v/>
          </cell>
        </row>
        <row r="25736">
          <cell r="O25736" t="str">
            <v/>
          </cell>
        </row>
        <row r="25737">
          <cell r="O25737" t="str">
            <v/>
          </cell>
        </row>
        <row r="25738">
          <cell r="O25738" t="str">
            <v/>
          </cell>
        </row>
        <row r="25739">
          <cell r="O25739" t="str">
            <v/>
          </cell>
        </row>
        <row r="25740">
          <cell r="O25740" t="str">
            <v/>
          </cell>
        </row>
        <row r="25741">
          <cell r="O25741" t="str">
            <v/>
          </cell>
        </row>
        <row r="25742">
          <cell r="O25742" t="str">
            <v/>
          </cell>
        </row>
        <row r="25743">
          <cell r="O25743" t="str">
            <v/>
          </cell>
        </row>
        <row r="25744">
          <cell r="O25744" t="str">
            <v/>
          </cell>
        </row>
        <row r="25745">
          <cell r="O25745" t="str">
            <v/>
          </cell>
        </row>
        <row r="25746">
          <cell r="O25746" t="str">
            <v/>
          </cell>
        </row>
        <row r="25747">
          <cell r="O25747" t="str">
            <v/>
          </cell>
        </row>
        <row r="25748">
          <cell r="O25748" t="str">
            <v/>
          </cell>
        </row>
        <row r="25749">
          <cell r="O25749" t="str">
            <v/>
          </cell>
        </row>
        <row r="25750">
          <cell r="O25750" t="str">
            <v/>
          </cell>
        </row>
        <row r="25751">
          <cell r="O25751" t="str">
            <v/>
          </cell>
        </row>
        <row r="25752">
          <cell r="O25752" t="str">
            <v/>
          </cell>
        </row>
        <row r="25753">
          <cell r="O25753" t="str">
            <v/>
          </cell>
        </row>
        <row r="25754">
          <cell r="O25754" t="str">
            <v/>
          </cell>
        </row>
        <row r="25755">
          <cell r="O25755" t="str">
            <v/>
          </cell>
        </row>
        <row r="25756">
          <cell r="O25756" t="str">
            <v/>
          </cell>
        </row>
        <row r="25757">
          <cell r="O25757" t="str">
            <v/>
          </cell>
        </row>
        <row r="25758">
          <cell r="O25758" t="str">
            <v/>
          </cell>
        </row>
        <row r="25759">
          <cell r="O25759" t="str">
            <v/>
          </cell>
        </row>
        <row r="25760">
          <cell r="O25760" t="str">
            <v/>
          </cell>
        </row>
        <row r="25761">
          <cell r="O25761" t="str">
            <v/>
          </cell>
        </row>
        <row r="25762">
          <cell r="O25762" t="str">
            <v/>
          </cell>
        </row>
        <row r="25763">
          <cell r="O25763" t="str">
            <v/>
          </cell>
        </row>
        <row r="25764">
          <cell r="O25764" t="str">
            <v/>
          </cell>
        </row>
        <row r="25765">
          <cell r="O25765" t="str">
            <v/>
          </cell>
        </row>
        <row r="25766">
          <cell r="O25766" t="str">
            <v/>
          </cell>
        </row>
        <row r="25767">
          <cell r="O25767" t="str">
            <v/>
          </cell>
        </row>
        <row r="25768">
          <cell r="O25768" t="str">
            <v/>
          </cell>
        </row>
        <row r="25769">
          <cell r="O25769" t="str">
            <v/>
          </cell>
        </row>
        <row r="25770">
          <cell r="O25770" t="str">
            <v/>
          </cell>
        </row>
        <row r="25771">
          <cell r="O25771" t="str">
            <v/>
          </cell>
        </row>
        <row r="25772">
          <cell r="O25772" t="str">
            <v/>
          </cell>
        </row>
        <row r="25773">
          <cell r="O25773" t="str">
            <v/>
          </cell>
        </row>
        <row r="25774">
          <cell r="O25774" t="str">
            <v/>
          </cell>
        </row>
        <row r="25775">
          <cell r="O25775" t="str">
            <v/>
          </cell>
        </row>
        <row r="25776">
          <cell r="O25776" t="str">
            <v/>
          </cell>
        </row>
        <row r="25777">
          <cell r="O25777" t="str">
            <v/>
          </cell>
        </row>
        <row r="25778">
          <cell r="O25778" t="str">
            <v/>
          </cell>
        </row>
        <row r="25779">
          <cell r="O25779" t="str">
            <v/>
          </cell>
        </row>
        <row r="25780">
          <cell r="O25780" t="str">
            <v/>
          </cell>
        </row>
        <row r="25781">
          <cell r="O25781" t="str">
            <v/>
          </cell>
        </row>
        <row r="25782">
          <cell r="O25782" t="str">
            <v/>
          </cell>
        </row>
        <row r="25783">
          <cell r="O25783" t="str">
            <v/>
          </cell>
        </row>
        <row r="25784">
          <cell r="O25784" t="str">
            <v/>
          </cell>
        </row>
        <row r="25785">
          <cell r="O25785" t="str">
            <v/>
          </cell>
        </row>
        <row r="25786">
          <cell r="O25786" t="str">
            <v/>
          </cell>
        </row>
        <row r="25787">
          <cell r="O25787" t="str">
            <v/>
          </cell>
        </row>
        <row r="25788">
          <cell r="O25788" t="str">
            <v/>
          </cell>
        </row>
        <row r="25789">
          <cell r="O25789" t="str">
            <v/>
          </cell>
        </row>
        <row r="25790">
          <cell r="O25790" t="str">
            <v/>
          </cell>
        </row>
        <row r="25791">
          <cell r="O25791" t="str">
            <v/>
          </cell>
        </row>
        <row r="25792">
          <cell r="O25792" t="str">
            <v/>
          </cell>
        </row>
        <row r="25793">
          <cell r="O25793" t="str">
            <v/>
          </cell>
        </row>
        <row r="25794">
          <cell r="O25794" t="str">
            <v/>
          </cell>
        </row>
        <row r="25795">
          <cell r="O25795" t="str">
            <v/>
          </cell>
        </row>
        <row r="25796">
          <cell r="O25796" t="str">
            <v/>
          </cell>
        </row>
        <row r="25797">
          <cell r="O25797" t="str">
            <v/>
          </cell>
        </row>
        <row r="25798">
          <cell r="O25798" t="str">
            <v/>
          </cell>
        </row>
        <row r="25799">
          <cell r="O25799" t="str">
            <v/>
          </cell>
        </row>
        <row r="25800">
          <cell r="O25800" t="str">
            <v/>
          </cell>
        </row>
        <row r="25801">
          <cell r="O25801" t="str">
            <v/>
          </cell>
        </row>
        <row r="25802">
          <cell r="O25802" t="str">
            <v/>
          </cell>
        </row>
        <row r="25803">
          <cell r="O25803" t="str">
            <v/>
          </cell>
        </row>
        <row r="25804">
          <cell r="O25804" t="str">
            <v/>
          </cell>
        </row>
        <row r="25805">
          <cell r="O25805" t="str">
            <v/>
          </cell>
        </row>
        <row r="25806">
          <cell r="O25806" t="str">
            <v/>
          </cell>
        </row>
        <row r="25807">
          <cell r="O25807" t="str">
            <v/>
          </cell>
        </row>
        <row r="25808">
          <cell r="O25808" t="str">
            <v/>
          </cell>
        </row>
        <row r="25809">
          <cell r="O25809" t="str">
            <v/>
          </cell>
        </row>
        <row r="25810">
          <cell r="O25810" t="str">
            <v/>
          </cell>
        </row>
        <row r="25811">
          <cell r="O25811" t="str">
            <v/>
          </cell>
        </row>
        <row r="25812">
          <cell r="O25812" t="str">
            <v/>
          </cell>
        </row>
        <row r="25813">
          <cell r="O25813" t="str">
            <v/>
          </cell>
        </row>
        <row r="25814">
          <cell r="O25814" t="str">
            <v/>
          </cell>
        </row>
        <row r="25815">
          <cell r="O25815" t="str">
            <v/>
          </cell>
        </row>
        <row r="25816">
          <cell r="O25816" t="str">
            <v/>
          </cell>
        </row>
        <row r="25817">
          <cell r="O25817" t="str">
            <v/>
          </cell>
        </row>
        <row r="25818">
          <cell r="O25818" t="str">
            <v/>
          </cell>
        </row>
        <row r="25819">
          <cell r="O25819" t="str">
            <v/>
          </cell>
        </row>
        <row r="25820">
          <cell r="O25820" t="str">
            <v/>
          </cell>
        </row>
        <row r="25821">
          <cell r="O25821" t="str">
            <v/>
          </cell>
        </row>
        <row r="25822">
          <cell r="O25822" t="str">
            <v/>
          </cell>
        </row>
        <row r="25823">
          <cell r="O25823" t="str">
            <v/>
          </cell>
        </row>
        <row r="25824">
          <cell r="O25824" t="str">
            <v/>
          </cell>
        </row>
        <row r="25825">
          <cell r="O25825" t="str">
            <v/>
          </cell>
        </row>
        <row r="25826">
          <cell r="O25826" t="str">
            <v/>
          </cell>
        </row>
        <row r="25827">
          <cell r="O25827" t="str">
            <v/>
          </cell>
        </row>
        <row r="25828">
          <cell r="O25828" t="str">
            <v/>
          </cell>
        </row>
        <row r="25829">
          <cell r="O25829" t="str">
            <v/>
          </cell>
        </row>
        <row r="25830">
          <cell r="O25830" t="str">
            <v/>
          </cell>
        </row>
        <row r="25831">
          <cell r="O25831" t="str">
            <v/>
          </cell>
        </row>
        <row r="25832">
          <cell r="O25832" t="str">
            <v/>
          </cell>
        </row>
        <row r="25833">
          <cell r="O25833" t="str">
            <v/>
          </cell>
        </row>
        <row r="25834">
          <cell r="O25834" t="str">
            <v/>
          </cell>
        </row>
        <row r="25835">
          <cell r="O25835" t="str">
            <v/>
          </cell>
        </row>
        <row r="25836">
          <cell r="O25836" t="str">
            <v/>
          </cell>
        </row>
        <row r="25837">
          <cell r="O25837" t="str">
            <v/>
          </cell>
        </row>
        <row r="25838">
          <cell r="O25838" t="str">
            <v/>
          </cell>
        </row>
        <row r="25839">
          <cell r="O25839" t="str">
            <v/>
          </cell>
        </row>
        <row r="25840">
          <cell r="O25840" t="str">
            <v/>
          </cell>
        </row>
        <row r="25841">
          <cell r="O25841" t="str">
            <v/>
          </cell>
        </row>
        <row r="25842">
          <cell r="O25842" t="str">
            <v/>
          </cell>
        </row>
        <row r="25843">
          <cell r="O25843" t="str">
            <v/>
          </cell>
        </row>
        <row r="25844">
          <cell r="O25844" t="str">
            <v/>
          </cell>
        </row>
        <row r="25845">
          <cell r="O25845" t="str">
            <v/>
          </cell>
        </row>
        <row r="25846">
          <cell r="O25846" t="str">
            <v/>
          </cell>
        </row>
        <row r="25847">
          <cell r="O25847" t="str">
            <v/>
          </cell>
        </row>
        <row r="25848">
          <cell r="O25848" t="str">
            <v/>
          </cell>
        </row>
        <row r="25849">
          <cell r="O25849" t="str">
            <v/>
          </cell>
        </row>
        <row r="25850">
          <cell r="O25850" t="str">
            <v/>
          </cell>
        </row>
        <row r="25851">
          <cell r="O25851" t="str">
            <v/>
          </cell>
        </row>
        <row r="25852">
          <cell r="O25852" t="str">
            <v/>
          </cell>
        </row>
        <row r="25853">
          <cell r="O25853" t="str">
            <v/>
          </cell>
        </row>
        <row r="25854">
          <cell r="O25854" t="str">
            <v/>
          </cell>
        </row>
        <row r="25855">
          <cell r="O25855" t="str">
            <v/>
          </cell>
        </row>
        <row r="25856">
          <cell r="O25856" t="str">
            <v/>
          </cell>
        </row>
        <row r="25857">
          <cell r="O25857" t="str">
            <v/>
          </cell>
        </row>
        <row r="25858">
          <cell r="O25858" t="str">
            <v/>
          </cell>
        </row>
        <row r="25859">
          <cell r="O25859" t="str">
            <v/>
          </cell>
        </row>
        <row r="25860">
          <cell r="O25860" t="str">
            <v/>
          </cell>
        </row>
        <row r="25861">
          <cell r="O25861" t="str">
            <v/>
          </cell>
        </row>
        <row r="25862">
          <cell r="O25862" t="str">
            <v/>
          </cell>
        </row>
        <row r="25863">
          <cell r="O25863" t="str">
            <v/>
          </cell>
        </row>
        <row r="25864">
          <cell r="O25864" t="str">
            <v/>
          </cell>
        </row>
        <row r="25865">
          <cell r="O25865" t="str">
            <v/>
          </cell>
        </row>
        <row r="25866">
          <cell r="O25866" t="str">
            <v/>
          </cell>
        </row>
        <row r="25867">
          <cell r="O25867" t="str">
            <v/>
          </cell>
        </row>
        <row r="25868">
          <cell r="O25868" t="str">
            <v/>
          </cell>
        </row>
        <row r="25869">
          <cell r="O25869" t="str">
            <v/>
          </cell>
        </row>
        <row r="25870">
          <cell r="O25870" t="str">
            <v/>
          </cell>
        </row>
        <row r="25871">
          <cell r="O25871" t="str">
            <v/>
          </cell>
        </row>
        <row r="25872">
          <cell r="O25872" t="str">
            <v/>
          </cell>
        </row>
        <row r="25873">
          <cell r="O25873" t="str">
            <v/>
          </cell>
        </row>
        <row r="25874">
          <cell r="O25874" t="str">
            <v/>
          </cell>
        </row>
        <row r="25875">
          <cell r="O25875" t="str">
            <v/>
          </cell>
        </row>
        <row r="25876">
          <cell r="O25876" t="str">
            <v/>
          </cell>
        </row>
        <row r="25877">
          <cell r="O25877" t="str">
            <v/>
          </cell>
        </row>
        <row r="25878">
          <cell r="O25878" t="str">
            <v/>
          </cell>
        </row>
        <row r="25879">
          <cell r="O25879" t="str">
            <v/>
          </cell>
        </row>
        <row r="25880">
          <cell r="O25880" t="str">
            <v/>
          </cell>
        </row>
        <row r="25881">
          <cell r="O25881" t="str">
            <v/>
          </cell>
        </row>
        <row r="25882">
          <cell r="O25882" t="str">
            <v/>
          </cell>
        </row>
        <row r="25883">
          <cell r="O25883" t="str">
            <v/>
          </cell>
        </row>
        <row r="25884">
          <cell r="O25884" t="str">
            <v/>
          </cell>
        </row>
        <row r="25885">
          <cell r="O25885" t="str">
            <v/>
          </cell>
        </row>
        <row r="25886">
          <cell r="O25886" t="str">
            <v/>
          </cell>
        </row>
        <row r="25887">
          <cell r="O25887" t="str">
            <v/>
          </cell>
        </row>
        <row r="25888">
          <cell r="O25888" t="str">
            <v/>
          </cell>
        </row>
        <row r="25889">
          <cell r="O25889" t="str">
            <v/>
          </cell>
        </row>
        <row r="25890">
          <cell r="O25890" t="str">
            <v/>
          </cell>
        </row>
        <row r="25891">
          <cell r="O25891" t="str">
            <v/>
          </cell>
        </row>
        <row r="25892">
          <cell r="O25892" t="str">
            <v/>
          </cell>
        </row>
        <row r="25893">
          <cell r="O25893" t="str">
            <v/>
          </cell>
        </row>
        <row r="25894">
          <cell r="O25894" t="str">
            <v/>
          </cell>
        </row>
        <row r="25895">
          <cell r="O25895" t="str">
            <v/>
          </cell>
        </row>
        <row r="25896">
          <cell r="O25896" t="str">
            <v/>
          </cell>
        </row>
        <row r="25897">
          <cell r="O25897" t="str">
            <v/>
          </cell>
        </row>
        <row r="25898">
          <cell r="O25898" t="str">
            <v/>
          </cell>
        </row>
        <row r="25899">
          <cell r="O25899" t="str">
            <v/>
          </cell>
        </row>
        <row r="25900">
          <cell r="O25900" t="str">
            <v/>
          </cell>
        </row>
        <row r="25901">
          <cell r="O25901" t="str">
            <v/>
          </cell>
        </row>
        <row r="25902">
          <cell r="O25902" t="str">
            <v/>
          </cell>
        </row>
        <row r="25903">
          <cell r="O25903" t="str">
            <v/>
          </cell>
        </row>
        <row r="25904">
          <cell r="O25904" t="str">
            <v/>
          </cell>
        </row>
        <row r="25905">
          <cell r="O25905" t="str">
            <v/>
          </cell>
        </row>
        <row r="25906">
          <cell r="O25906" t="str">
            <v/>
          </cell>
        </row>
        <row r="25907">
          <cell r="O25907" t="str">
            <v/>
          </cell>
        </row>
        <row r="25908">
          <cell r="O25908" t="str">
            <v/>
          </cell>
        </row>
        <row r="25909">
          <cell r="O25909" t="str">
            <v/>
          </cell>
        </row>
        <row r="25910">
          <cell r="O25910" t="str">
            <v/>
          </cell>
        </row>
        <row r="25911">
          <cell r="O25911" t="str">
            <v/>
          </cell>
        </row>
        <row r="25912">
          <cell r="O25912" t="str">
            <v/>
          </cell>
        </row>
        <row r="25913">
          <cell r="O25913" t="str">
            <v/>
          </cell>
        </row>
        <row r="25914">
          <cell r="O25914" t="str">
            <v/>
          </cell>
        </row>
        <row r="25915">
          <cell r="O25915" t="str">
            <v/>
          </cell>
        </row>
        <row r="25916">
          <cell r="O25916" t="str">
            <v/>
          </cell>
        </row>
        <row r="25917">
          <cell r="O25917" t="str">
            <v/>
          </cell>
        </row>
        <row r="25918">
          <cell r="O25918" t="str">
            <v/>
          </cell>
        </row>
        <row r="25919">
          <cell r="O25919" t="str">
            <v/>
          </cell>
        </row>
        <row r="25920">
          <cell r="O25920" t="str">
            <v/>
          </cell>
        </row>
        <row r="25921">
          <cell r="O25921" t="str">
            <v/>
          </cell>
        </row>
        <row r="25922">
          <cell r="O25922" t="str">
            <v/>
          </cell>
        </row>
        <row r="25923">
          <cell r="O25923" t="str">
            <v/>
          </cell>
        </row>
        <row r="25924">
          <cell r="O25924" t="str">
            <v/>
          </cell>
        </row>
        <row r="25925">
          <cell r="O25925" t="str">
            <v/>
          </cell>
        </row>
        <row r="25926">
          <cell r="O25926" t="str">
            <v/>
          </cell>
        </row>
        <row r="25927">
          <cell r="O25927" t="str">
            <v/>
          </cell>
        </row>
        <row r="25928">
          <cell r="O25928" t="str">
            <v/>
          </cell>
        </row>
        <row r="25929">
          <cell r="O25929" t="str">
            <v/>
          </cell>
        </row>
        <row r="25930">
          <cell r="O25930" t="str">
            <v/>
          </cell>
        </row>
        <row r="25931">
          <cell r="O25931" t="str">
            <v/>
          </cell>
        </row>
        <row r="25932">
          <cell r="O25932" t="str">
            <v/>
          </cell>
        </row>
        <row r="25933">
          <cell r="O25933" t="str">
            <v/>
          </cell>
        </row>
        <row r="25934">
          <cell r="O25934" t="str">
            <v/>
          </cell>
        </row>
        <row r="25935">
          <cell r="O25935" t="str">
            <v/>
          </cell>
        </row>
        <row r="25936">
          <cell r="O25936" t="str">
            <v/>
          </cell>
        </row>
        <row r="25937">
          <cell r="O25937" t="str">
            <v/>
          </cell>
        </row>
        <row r="25938">
          <cell r="O25938" t="str">
            <v/>
          </cell>
        </row>
        <row r="25939">
          <cell r="O25939" t="str">
            <v/>
          </cell>
        </row>
        <row r="25940">
          <cell r="O25940" t="str">
            <v/>
          </cell>
        </row>
        <row r="25941">
          <cell r="O25941" t="str">
            <v/>
          </cell>
        </row>
        <row r="25942">
          <cell r="O25942" t="str">
            <v/>
          </cell>
        </row>
        <row r="25943">
          <cell r="O25943" t="str">
            <v/>
          </cell>
        </row>
        <row r="25944">
          <cell r="O25944" t="str">
            <v/>
          </cell>
        </row>
        <row r="25945">
          <cell r="O25945" t="str">
            <v/>
          </cell>
        </row>
        <row r="25946">
          <cell r="O25946" t="str">
            <v/>
          </cell>
        </row>
        <row r="25947">
          <cell r="O25947" t="str">
            <v/>
          </cell>
        </row>
        <row r="25948">
          <cell r="O25948" t="str">
            <v/>
          </cell>
        </row>
        <row r="25949">
          <cell r="O25949" t="str">
            <v/>
          </cell>
        </row>
        <row r="25950">
          <cell r="O25950" t="str">
            <v/>
          </cell>
        </row>
        <row r="25951">
          <cell r="O25951" t="str">
            <v/>
          </cell>
        </row>
        <row r="25952">
          <cell r="O25952" t="str">
            <v/>
          </cell>
        </row>
        <row r="25953">
          <cell r="O25953" t="str">
            <v/>
          </cell>
        </row>
        <row r="25954">
          <cell r="O25954" t="str">
            <v/>
          </cell>
        </row>
        <row r="25955">
          <cell r="O25955" t="str">
            <v/>
          </cell>
        </row>
        <row r="25956">
          <cell r="O25956" t="str">
            <v/>
          </cell>
        </row>
        <row r="25957">
          <cell r="O25957" t="str">
            <v/>
          </cell>
        </row>
        <row r="25958">
          <cell r="O25958" t="str">
            <v/>
          </cell>
        </row>
        <row r="25959">
          <cell r="O25959" t="str">
            <v/>
          </cell>
        </row>
        <row r="25960">
          <cell r="O25960" t="str">
            <v/>
          </cell>
        </row>
        <row r="25961">
          <cell r="O25961" t="str">
            <v/>
          </cell>
        </row>
        <row r="25962">
          <cell r="O25962" t="str">
            <v/>
          </cell>
        </row>
        <row r="25963">
          <cell r="O25963" t="str">
            <v/>
          </cell>
        </row>
        <row r="25964">
          <cell r="O25964" t="str">
            <v/>
          </cell>
        </row>
        <row r="25965">
          <cell r="O25965" t="str">
            <v/>
          </cell>
        </row>
        <row r="25966">
          <cell r="O25966" t="str">
            <v/>
          </cell>
        </row>
        <row r="25967">
          <cell r="O25967" t="str">
            <v/>
          </cell>
        </row>
        <row r="25968">
          <cell r="O25968" t="str">
            <v/>
          </cell>
        </row>
        <row r="25969">
          <cell r="O25969" t="str">
            <v/>
          </cell>
        </row>
        <row r="25970">
          <cell r="O25970" t="str">
            <v/>
          </cell>
        </row>
        <row r="25971">
          <cell r="O25971" t="str">
            <v/>
          </cell>
        </row>
        <row r="25972">
          <cell r="O25972" t="str">
            <v/>
          </cell>
        </row>
        <row r="25973">
          <cell r="O25973" t="str">
            <v/>
          </cell>
        </row>
        <row r="25974">
          <cell r="O25974" t="str">
            <v/>
          </cell>
        </row>
        <row r="25975">
          <cell r="O25975" t="str">
            <v/>
          </cell>
        </row>
        <row r="25976">
          <cell r="O25976" t="str">
            <v/>
          </cell>
        </row>
        <row r="25977">
          <cell r="O25977" t="str">
            <v/>
          </cell>
        </row>
        <row r="25978">
          <cell r="O25978" t="str">
            <v/>
          </cell>
        </row>
        <row r="25979">
          <cell r="O25979" t="str">
            <v/>
          </cell>
        </row>
        <row r="25980">
          <cell r="O25980" t="str">
            <v/>
          </cell>
        </row>
        <row r="25981">
          <cell r="O25981" t="str">
            <v/>
          </cell>
        </row>
        <row r="25982">
          <cell r="O25982" t="str">
            <v/>
          </cell>
        </row>
        <row r="25983">
          <cell r="O25983" t="str">
            <v/>
          </cell>
        </row>
        <row r="25984">
          <cell r="O25984" t="str">
            <v/>
          </cell>
        </row>
        <row r="25985">
          <cell r="O25985" t="str">
            <v/>
          </cell>
        </row>
        <row r="25986">
          <cell r="O25986" t="str">
            <v/>
          </cell>
        </row>
        <row r="25987">
          <cell r="O25987" t="str">
            <v/>
          </cell>
        </row>
        <row r="25988">
          <cell r="O25988" t="str">
            <v/>
          </cell>
        </row>
        <row r="25989">
          <cell r="O25989" t="str">
            <v/>
          </cell>
        </row>
        <row r="25990">
          <cell r="O25990" t="str">
            <v/>
          </cell>
        </row>
        <row r="25991">
          <cell r="O25991" t="str">
            <v/>
          </cell>
        </row>
        <row r="25992">
          <cell r="O25992" t="str">
            <v/>
          </cell>
        </row>
        <row r="25993">
          <cell r="O25993" t="str">
            <v/>
          </cell>
        </row>
        <row r="25994">
          <cell r="O25994" t="str">
            <v/>
          </cell>
        </row>
        <row r="25995">
          <cell r="O25995" t="str">
            <v/>
          </cell>
        </row>
        <row r="25996">
          <cell r="O25996" t="str">
            <v/>
          </cell>
        </row>
        <row r="25997">
          <cell r="O25997" t="str">
            <v/>
          </cell>
        </row>
        <row r="25998">
          <cell r="O25998" t="str">
            <v/>
          </cell>
        </row>
        <row r="25999">
          <cell r="O25999" t="str">
            <v/>
          </cell>
        </row>
        <row r="26000">
          <cell r="O26000" t="str">
            <v/>
          </cell>
        </row>
        <row r="26001">
          <cell r="O26001" t="str">
            <v/>
          </cell>
        </row>
        <row r="26002">
          <cell r="O26002" t="str">
            <v/>
          </cell>
        </row>
        <row r="26003">
          <cell r="O26003" t="str">
            <v/>
          </cell>
        </row>
        <row r="26004">
          <cell r="O26004" t="str">
            <v/>
          </cell>
        </row>
        <row r="26005">
          <cell r="O26005" t="str">
            <v/>
          </cell>
        </row>
        <row r="26006">
          <cell r="O26006" t="str">
            <v/>
          </cell>
        </row>
        <row r="26007">
          <cell r="O26007" t="str">
            <v/>
          </cell>
        </row>
        <row r="26008">
          <cell r="O26008" t="str">
            <v/>
          </cell>
        </row>
        <row r="26009">
          <cell r="O26009" t="str">
            <v/>
          </cell>
        </row>
        <row r="26010">
          <cell r="O26010" t="str">
            <v/>
          </cell>
        </row>
        <row r="26011">
          <cell r="O26011" t="str">
            <v/>
          </cell>
        </row>
        <row r="26012">
          <cell r="O26012" t="str">
            <v/>
          </cell>
        </row>
        <row r="26013">
          <cell r="O26013" t="str">
            <v/>
          </cell>
        </row>
        <row r="26014">
          <cell r="O26014" t="str">
            <v/>
          </cell>
        </row>
        <row r="26015">
          <cell r="O26015" t="str">
            <v/>
          </cell>
        </row>
        <row r="26016">
          <cell r="O26016" t="str">
            <v/>
          </cell>
        </row>
        <row r="26017">
          <cell r="O26017" t="str">
            <v/>
          </cell>
        </row>
        <row r="26018">
          <cell r="O26018" t="str">
            <v/>
          </cell>
        </row>
        <row r="26019">
          <cell r="O26019" t="str">
            <v/>
          </cell>
        </row>
        <row r="26020">
          <cell r="O26020" t="str">
            <v/>
          </cell>
        </row>
        <row r="26021">
          <cell r="O26021" t="str">
            <v/>
          </cell>
        </row>
        <row r="26022">
          <cell r="O26022" t="str">
            <v/>
          </cell>
        </row>
        <row r="26023">
          <cell r="O26023" t="str">
            <v/>
          </cell>
        </row>
        <row r="26024">
          <cell r="O26024" t="str">
            <v/>
          </cell>
        </row>
        <row r="26025">
          <cell r="O26025" t="str">
            <v/>
          </cell>
        </row>
        <row r="26026">
          <cell r="O26026" t="str">
            <v/>
          </cell>
        </row>
        <row r="26027">
          <cell r="O26027" t="str">
            <v/>
          </cell>
        </row>
        <row r="26028">
          <cell r="O26028" t="str">
            <v/>
          </cell>
        </row>
        <row r="26029">
          <cell r="O26029" t="str">
            <v/>
          </cell>
        </row>
        <row r="26030">
          <cell r="O26030" t="str">
            <v/>
          </cell>
        </row>
        <row r="26031">
          <cell r="O26031" t="str">
            <v/>
          </cell>
        </row>
        <row r="26032">
          <cell r="O26032" t="str">
            <v/>
          </cell>
        </row>
        <row r="26033">
          <cell r="O26033" t="str">
            <v/>
          </cell>
        </row>
        <row r="26034">
          <cell r="O26034" t="str">
            <v/>
          </cell>
        </row>
        <row r="26035">
          <cell r="O26035" t="str">
            <v/>
          </cell>
        </row>
        <row r="26036">
          <cell r="O26036" t="str">
            <v/>
          </cell>
        </row>
        <row r="26037">
          <cell r="O26037" t="str">
            <v/>
          </cell>
        </row>
        <row r="26038">
          <cell r="O26038" t="str">
            <v/>
          </cell>
        </row>
        <row r="26039">
          <cell r="O26039" t="str">
            <v/>
          </cell>
        </row>
        <row r="26040">
          <cell r="O26040" t="str">
            <v/>
          </cell>
        </row>
        <row r="26041">
          <cell r="O26041" t="str">
            <v/>
          </cell>
        </row>
        <row r="26042">
          <cell r="O26042" t="str">
            <v/>
          </cell>
        </row>
        <row r="26043">
          <cell r="O26043" t="str">
            <v/>
          </cell>
        </row>
        <row r="26044">
          <cell r="O26044" t="str">
            <v/>
          </cell>
        </row>
        <row r="26045">
          <cell r="O26045" t="str">
            <v/>
          </cell>
        </row>
        <row r="26046">
          <cell r="O26046" t="str">
            <v/>
          </cell>
        </row>
        <row r="26047">
          <cell r="O26047" t="str">
            <v/>
          </cell>
        </row>
        <row r="26048">
          <cell r="O26048" t="str">
            <v/>
          </cell>
        </row>
        <row r="26049">
          <cell r="O26049" t="str">
            <v/>
          </cell>
        </row>
        <row r="26050">
          <cell r="O26050" t="str">
            <v/>
          </cell>
        </row>
        <row r="26051">
          <cell r="O26051" t="str">
            <v/>
          </cell>
        </row>
        <row r="26052">
          <cell r="O26052" t="str">
            <v/>
          </cell>
        </row>
        <row r="26053">
          <cell r="O26053" t="str">
            <v/>
          </cell>
        </row>
        <row r="26054">
          <cell r="O26054" t="str">
            <v/>
          </cell>
        </row>
        <row r="26055">
          <cell r="O26055" t="str">
            <v/>
          </cell>
        </row>
        <row r="26056">
          <cell r="O26056" t="str">
            <v/>
          </cell>
        </row>
        <row r="26057">
          <cell r="O26057" t="str">
            <v/>
          </cell>
        </row>
        <row r="26058">
          <cell r="O26058" t="str">
            <v/>
          </cell>
        </row>
        <row r="26059">
          <cell r="O26059" t="str">
            <v/>
          </cell>
        </row>
        <row r="26060">
          <cell r="O26060" t="str">
            <v/>
          </cell>
        </row>
        <row r="26061">
          <cell r="O26061" t="str">
            <v/>
          </cell>
        </row>
        <row r="26062">
          <cell r="O26062" t="str">
            <v/>
          </cell>
        </row>
        <row r="26063">
          <cell r="O26063" t="str">
            <v/>
          </cell>
        </row>
        <row r="26064">
          <cell r="O26064" t="str">
            <v/>
          </cell>
        </row>
        <row r="26065">
          <cell r="O26065" t="str">
            <v/>
          </cell>
        </row>
        <row r="26066">
          <cell r="O26066" t="str">
            <v/>
          </cell>
        </row>
        <row r="26067">
          <cell r="O26067" t="str">
            <v/>
          </cell>
        </row>
        <row r="26068">
          <cell r="O26068" t="str">
            <v/>
          </cell>
        </row>
        <row r="26069">
          <cell r="O26069" t="str">
            <v/>
          </cell>
        </row>
        <row r="26070">
          <cell r="O26070" t="str">
            <v/>
          </cell>
        </row>
        <row r="26071">
          <cell r="O26071" t="str">
            <v/>
          </cell>
        </row>
        <row r="26072">
          <cell r="O26072" t="str">
            <v/>
          </cell>
        </row>
        <row r="26073">
          <cell r="O26073" t="str">
            <v/>
          </cell>
        </row>
        <row r="26074">
          <cell r="O26074" t="str">
            <v/>
          </cell>
        </row>
        <row r="26075">
          <cell r="O26075" t="str">
            <v/>
          </cell>
        </row>
        <row r="26076">
          <cell r="O26076" t="str">
            <v/>
          </cell>
        </row>
        <row r="26077">
          <cell r="O26077" t="str">
            <v/>
          </cell>
        </row>
        <row r="26078">
          <cell r="O26078" t="str">
            <v/>
          </cell>
        </row>
        <row r="26079">
          <cell r="O26079" t="str">
            <v/>
          </cell>
        </row>
        <row r="26080">
          <cell r="O26080" t="str">
            <v/>
          </cell>
        </row>
        <row r="26081">
          <cell r="O26081" t="str">
            <v/>
          </cell>
        </row>
        <row r="26082">
          <cell r="O26082" t="str">
            <v/>
          </cell>
        </row>
        <row r="26083">
          <cell r="O26083" t="str">
            <v/>
          </cell>
        </row>
        <row r="26084">
          <cell r="O26084" t="str">
            <v/>
          </cell>
        </row>
        <row r="26085">
          <cell r="O26085" t="str">
            <v/>
          </cell>
        </row>
        <row r="26086">
          <cell r="O26086" t="str">
            <v/>
          </cell>
        </row>
        <row r="26087">
          <cell r="O26087" t="str">
            <v/>
          </cell>
        </row>
        <row r="26088">
          <cell r="O26088" t="str">
            <v/>
          </cell>
        </row>
        <row r="26089">
          <cell r="O26089" t="str">
            <v/>
          </cell>
        </row>
        <row r="26090">
          <cell r="O26090" t="str">
            <v/>
          </cell>
        </row>
        <row r="26091">
          <cell r="O26091" t="str">
            <v/>
          </cell>
        </row>
        <row r="26092">
          <cell r="O26092" t="str">
            <v/>
          </cell>
        </row>
        <row r="26093">
          <cell r="O26093" t="str">
            <v/>
          </cell>
        </row>
        <row r="26094">
          <cell r="O26094" t="str">
            <v/>
          </cell>
        </row>
        <row r="26095">
          <cell r="O26095" t="str">
            <v/>
          </cell>
        </row>
        <row r="26096">
          <cell r="O26096" t="str">
            <v/>
          </cell>
        </row>
        <row r="26097">
          <cell r="O26097" t="str">
            <v/>
          </cell>
        </row>
        <row r="26098">
          <cell r="O26098" t="str">
            <v/>
          </cell>
        </row>
        <row r="26099">
          <cell r="O26099" t="str">
            <v/>
          </cell>
        </row>
        <row r="26100">
          <cell r="O26100" t="str">
            <v/>
          </cell>
        </row>
        <row r="26101">
          <cell r="O26101" t="str">
            <v/>
          </cell>
        </row>
        <row r="26102">
          <cell r="O26102" t="str">
            <v/>
          </cell>
        </row>
        <row r="26103">
          <cell r="O26103" t="str">
            <v/>
          </cell>
        </row>
        <row r="26104">
          <cell r="O26104" t="str">
            <v/>
          </cell>
        </row>
        <row r="26105">
          <cell r="O26105" t="str">
            <v/>
          </cell>
        </row>
        <row r="26106">
          <cell r="O26106" t="str">
            <v/>
          </cell>
        </row>
        <row r="26107">
          <cell r="O26107" t="str">
            <v/>
          </cell>
        </row>
        <row r="26108">
          <cell r="O26108" t="str">
            <v/>
          </cell>
        </row>
        <row r="26109">
          <cell r="O26109" t="str">
            <v/>
          </cell>
        </row>
        <row r="26110">
          <cell r="O26110" t="str">
            <v/>
          </cell>
        </row>
        <row r="26111">
          <cell r="O26111" t="str">
            <v/>
          </cell>
        </row>
        <row r="26112">
          <cell r="O26112" t="str">
            <v/>
          </cell>
        </row>
        <row r="26113">
          <cell r="O26113" t="str">
            <v/>
          </cell>
        </row>
        <row r="26114">
          <cell r="O26114" t="str">
            <v/>
          </cell>
        </row>
        <row r="26115">
          <cell r="O26115" t="str">
            <v/>
          </cell>
        </row>
        <row r="26116">
          <cell r="O26116" t="str">
            <v/>
          </cell>
        </row>
        <row r="26117">
          <cell r="O26117" t="str">
            <v/>
          </cell>
        </row>
        <row r="26118">
          <cell r="O26118" t="str">
            <v/>
          </cell>
        </row>
        <row r="26119">
          <cell r="O26119" t="str">
            <v/>
          </cell>
        </row>
        <row r="26120">
          <cell r="O26120" t="str">
            <v/>
          </cell>
        </row>
        <row r="26121">
          <cell r="O26121" t="str">
            <v/>
          </cell>
        </row>
        <row r="26122">
          <cell r="O26122" t="str">
            <v/>
          </cell>
        </row>
        <row r="26123">
          <cell r="O26123" t="str">
            <v/>
          </cell>
        </row>
        <row r="26124">
          <cell r="O26124" t="str">
            <v/>
          </cell>
        </row>
        <row r="26125">
          <cell r="O26125" t="str">
            <v/>
          </cell>
        </row>
        <row r="26126">
          <cell r="O26126" t="str">
            <v/>
          </cell>
        </row>
        <row r="26127">
          <cell r="O26127" t="str">
            <v/>
          </cell>
        </row>
        <row r="26128">
          <cell r="O26128" t="str">
            <v/>
          </cell>
        </row>
        <row r="26129">
          <cell r="O26129" t="str">
            <v/>
          </cell>
        </row>
        <row r="26130">
          <cell r="O26130" t="str">
            <v/>
          </cell>
        </row>
        <row r="26131">
          <cell r="O26131" t="str">
            <v/>
          </cell>
        </row>
        <row r="26132">
          <cell r="O26132" t="str">
            <v/>
          </cell>
        </row>
        <row r="26133">
          <cell r="O26133" t="str">
            <v/>
          </cell>
        </row>
        <row r="26134">
          <cell r="O26134" t="str">
            <v/>
          </cell>
        </row>
        <row r="26135">
          <cell r="O26135" t="str">
            <v/>
          </cell>
        </row>
        <row r="26136">
          <cell r="O26136" t="str">
            <v/>
          </cell>
        </row>
        <row r="26137">
          <cell r="O26137" t="str">
            <v/>
          </cell>
        </row>
        <row r="26138">
          <cell r="O26138" t="str">
            <v/>
          </cell>
        </row>
        <row r="26139">
          <cell r="O26139" t="str">
            <v/>
          </cell>
        </row>
        <row r="26140">
          <cell r="O26140" t="str">
            <v/>
          </cell>
        </row>
        <row r="26141">
          <cell r="O26141" t="str">
            <v/>
          </cell>
        </row>
        <row r="26142">
          <cell r="O26142" t="str">
            <v/>
          </cell>
        </row>
        <row r="26143">
          <cell r="O26143" t="str">
            <v/>
          </cell>
        </row>
        <row r="26144">
          <cell r="O26144" t="str">
            <v/>
          </cell>
        </row>
        <row r="26145">
          <cell r="O26145" t="str">
            <v/>
          </cell>
        </row>
        <row r="26146">
          <cell r="O26146" t="str">
            <v/>
          </cell>
        </row>
        <row r="26147">
          <cell r="O26147" t="str">
            <v/>
          </cell>
        </row>
        <row r="26148">
          <cell r="O26148" t="str">
            <v/>
          </cell>
        </row>
        <row r="26149">
          <cell r="O26149" t="str">
            <v/>
          </cell>
        </row>
        <row r="26150">
          <cell r="O26150" t="str">
            <v/>
          </cell>
        </row>
        <row r="26151">
          <cell r="O26151" t="str">
            <v/>
          </cell>
        </row>
        <row r="26152">
          <cell r="O26152" t="str">
            <v/>
          </cell>
        </row>
        <row r="26153">
          <cell r="O26153" t="str">
            <v/>
          </cell>
        </row>
        <row r="26154">
          <cell r="O26154" t="str">
            <v/>
          </cell>
        </row>
        <row r="26155">
          <cell r="O26155" t="str">
            <v/>
          </cell>
        </row>
        <row r="26156">
          <cell r="O26156" t="str">
            <v/>
          </cell>
        </row>
        <row r="26157">
          <cell r="O26157" t="str">
            <v/>
          </cell>
        </row>
        <row r="26158">
          <cell r="O26158" t="str">
            <v/>
          </cell>
        </row>
        <row r="26159">
          <cell r="O26159" t="str">
            <v/>
          </cell>
        </row>
        <row r="26160">
          <cell r="O26160" t="str">
            <v/>
          </cell>
        </row>
        <row r="26161">
          <cell r="O26161" t="str">
            <v/>
          </cell>
        </row>
        <row r="26162">
          <cell r="O26162" t="str">
            <v/>
          </cell>
        </row>
        <row r="26163">
          <cell r="O26163" t="str">
            <v/>
          </cell>
        </row>
        <row r="26164">
          <cell r="O26164" t="str">
            <v/>
          </cell>
        </row>
        <row r="26165">
          <cell r="O26165" t="str">
            <v/>
          </cell>
        </row>
        <row r="26166">
          <cell r="O26166" t="str">
            <v/>
          </cell>
        </row>
        <row r="26167">
          <cell r="O26167" t="str">
            <v/>
          </cell>
        </row>
        <row r="26168">
          <cell r="O26168" t="str">
            <v/>
          </cell>
        </row>
        <row r="26169">
          <cell r="O26169" t="str">
            <v/>
          </cell>
        </row>
        <row r="26170">
          <cell r="O26170" t="str">
            <v/>
          </cell>
        </row>
        <row r="26171">
          <cell r="O26171" t="str">
            <v/>
          </cell>
        </row>
        <row r="26172">
          <cell r="O26172" t="str">
            <v/>
          </cell>
        </row>
        <row r="26173">
          <cell r="O26173" t="str">
            <v/>
          </cell>
        </row>
        <row r="26174">
          <cell r="O26174" t="str">
            <v/>
          </cell>
        </row>
        <row r="26175">
          <cell r="O26175" t="str">
            <v/>
          </cell>
        </row>
        <row r="26176">
          <cell r="O26176" t="str">
            <v/>
          </cell>
        </row>
        <row r="26177">
          <cell r="O26177" t="str">
            <v/>
          </cell>
        </row>
        <row r="26178">
          <cell r="O26178" t="str">
            <v/>
          </cell>
        </row>
        <row r="26179">
          <cell r="O26179" t="str">
            <v/>
          </cell>
        </row>
        <row r="26180">
          <cell r="O26180" t="str">
            <v/>
          </cell>
        </row>
        <row r="26181">
          <cell r="O26181" t="str">
            <v/>
          </cell>
        </row>
        <row r="26182">
          <cell r="O26182" t="str">
            <v/>
          </cell>
        </row>
        <row r="26183">
          <cell r="O26183" t="str">
            <v/>
          </cell>
        </row>
        <row r="26184">
          <cell r="O26184" t="str">
            <v/>
          </cell>
        </row>
        <row r="26185">
          <cell r="O26185" t="str">
            <v/>
          </cell>
        </row>
        <row r="26186">
          <cell r="O26186" t="str">
            <v/>
          </cell>
        </row>
        <row r="26187">
          <cell r="O26187" t="str">
            <v/>
          </cell>
        </row>
        <row r="26188">
          <cell r="O26188" t="str">
            <v/>
          </cell>
        </row>
        <row r="26189">
          <cell r="O26189" t="str">
            <v/>
          </cell>
        </row>
        <row r="26190">
          <cell r="O26190" t="str">
            <v/>
          </cell>
        </row>
        <row r="26191">
          <cell r="O26191" t="str">
            <v/>
          </cell>
        </row>
        <row r="26192">
          <cell r="O26192" t="str">
            <v/>
          </cell>
        </row>
        <row r="26193">
          <cell r="O26193" t="str">
            <v/>
          </cell>
        </row>
        <row r="26194">
          <cell r="O26194" t="str">
            <v/>
          </cell>
        </row>
        <row r="26195">
          <cell r="O26195" t="str">
            <v/>
          </cell>
        </row>
        <row r="26196">
          <cell r="O26196" t="str">
            <v/>
          </cell>
        </row>
        <row r="26197">
          <cell r="O26197" t="str">
            <v/>
          </cell>
        </row>
        <row r="26198">
          <cell r="O26198" t="str">
            <v/>
          </cell>
        </row>
        <row r="26199">
          <cell r="O26199" t="str">
            <v/>
          </cell>
        </row>
        <row r="26200">
          <cell r="O26200" t="str">
            <v/>
          </cell>
        </row>
        <row r="26201">
          <cell r="O26201" t="str">
            <v/>
          </cell>
        </row>
        <row r="26202">
          <cell r="O26202" t="str">
            <v/>
          </cell>
        </row>
        <row r="26203">
          <cell r="O26203" t="str">
            <v/>
          </cell>
        </row>
        <row r="26204">
          <cell r="O26204" t="str">
            <v/>
          </cell>
        </row>
        <row r="26205">
          <cell r="O26205" t="str">
            <v/>
          </cell>
        </row>
        <row r="26206">
          <cell r="O26206" t="str">
            <v/>
          </cell>
        </row>
        <row r="26207">
          <cell r="O26207" t="str">
            <v/>
          </cell>
        </row>
        <row r="26208">
          <cell r="O26208" t="str">
            <v/>
          </cell>
        </row>
        <row r="26209">
          <cell r="O26209" t="str">
            <v/>
          </cell>
        </row>
        <row r="26210">
          <cell r="O26210" t="str">
            <v/>
          </cell>
        </row>
        <row r="26211">
          <cell r="O26211" t="str">
            <v/>
          </cell>
        </row>
        <row r="26212">
          <cell r="O26212" t="str">
            <v/>
          </cell>
        </row>
        <row r="26213">
          <cell r="O26213" t="str">
            <v/>
          </cell>
        </row>
        <row r="26214">
          <cell r="O26214" t="str">
            <v/>
          </cell>
        </row>
        <row r="26215">
          <cell r="O26215" t="str">
            <v/>
          </cell>
        </row>
        <row r="26216">
          <cell r="O26216" t="str">
            <v/>
          </cell>
        </row>
        <row r="26217">
          <cell r="O26217" t="str">
            <v/>
          </cell>
        </row>
        <row r="26218">
          <cell r="O26218" t="str">
            <v/>
          </cell>
        </row>
        <row r="26219">
          <cell r="O26219" t="str">
            <v/>
          </cell>
        </row>
        <row r="26220">
          <cell r="O26220" t="str">
            <v/>
          </cell>
        </row>
        <row r="26221">
          <cell r="O26221" t="str">
            <v/>
          </cell>
        </row>
        <row r="26222">
          <cell r="O26222" t="str">
            <v/>
          </cell>
        </row>
        <row r="26223">
          <cell r="O26223" t="str">
            <v/>
          </cell>
        </row>
        <row r="26224">
          <cell r="O26224" t="str">
            <v/>
          </cell>
        </row>
        <row r="26225">
          <cell r="O26225" t="str">
            <v/>
          </cell>
        </row>
        <row r="26226">
          <cell r="O26226" t="str">
            <v/>
          </cell>
        </row>
        <row r="26227">
          <cell r="O26227" t="str">
            <v/>
          </cell>
        </row>
        <row r="26228">
          <cell r="O26228" t="str">
            <v/>
          </cell>
        </row>
        <row r="26229">
          <cell r="O26229" t="str">
            <v/>
          </cell>
        </row>
        <row r="26230">
          <cell r="O26230" t="str">
            <v/>
          </cell>
        </row>
        <row r="26231">
          <cell r="O26231" t="str">
            <v/>
          </cell>
        </row>
        <row r="26232">
          <cell r="O26232" t="str">
            <v/>
          </cell>
        </row>
        <row r="26233">
          <cell r="O26233" t="str">
            <v/>
          </cell>
        </row>
        <row r="26234">
          <cell r="O26234" t="str">
            <v/>
          </cell>
        </row>
        <row r="26235">
          <cell r="O26235" t="str">
            <v/>
          </cell>
        </row>
        <row r="26236">
          <cell r="O26236" t="str">
            <v/>
          </cell>
        </row>
        <row r="26237">
          <cell r="O26237" t="str">
            <v/>
          </cell>
        </row>
        <row r="26238">
          <cell r="O26238" t="str">
            <v/>
          </cell>
        </row>
        <row r="26239">
          <cell r="O26239" t="str">
            <v/>
          </cell>
        </row>
        <row r="26240">
          <cell r="O26240" t="str">
            <v/>
          </cell>
        </row>
        <row r="26241">
          <cell r="O26241" t="str">
            <v/>
          </cell>
        </row>
        <row r="26242">
          <cell r="O26242" t="str">
            <v/>
          </cell>
        </row>
        <row r="26243">
          <cell r="O26243" t="str">
            <v/>
          </cell>
        </row>
        <row r="26244">
          <cell r="O26244" t="str">
            <v/>
          </cell>
        </row>
        <row r="26245">
          <cell r="O26245" t="str">
            <v/>
          </cell>
        </row>
        <row r="26246">
          <cell r="O26246" t="str">
            <v/>
          </cell>
        </row>
        <row r="26247">
          <cell r="O26247" t="str">
            <v/>
          </cell>
        </row>
        <row r="26248">
          <cell r="O26248" t="str">
            <v/>
          </cell>
        </row>
        <row r="26249">
          <cell r="O26249" t="str">
            <v/>
          </cell>
        </row>
        <row r="26250">
          <cell r="O26250" t="str">
            <v/>
          </cell>
        </row>
        <row r="26251">
          <cell r="O26251" t="str">
            <v/>
          </cell>
        </row>
        <row r="26252">
          <cell r="O26252" t="str">
            <v/>
          </cell>
        </row>
        <row r="26253">
          <cell r="O26253" t="str">
            <v/>
          </cell>
        </row>
        <row r="26254">
          <cell r="O26254" t="str">
            <v/>
          </cell>
        </row>
        <row r="26255">
          <cell r="O26255" t="str">
            <v/>
          </cell>
        </row>
        <row r="26256">
          <cell r="O26256" t="str">
            <v/>
          </cell>
        </row>
        <row r="26257">
          <cell r="O26257" t="str">
            <v/>
          </cell>
        </row>
        <row r="26258">
          <cell r="O26258" t="str">
            <v/>
          </cell>
        </row>
        <row r="26259">
          <cell r="O26259" t="str">
            <v/>
          </cell>
        </row>
        <row r="26260">
          <cell r="O26260" t="str">
            <v/>
          </cell>
        </row>
        <row r="26261">
          <cell r="O26261" t="str">
            <v/>
          </cell>
        </row>
        <row r="26262">
          <cell r="O26262" t="str">
            <v/>
          </cell>
        </row>
        <row r="26263">
          <cell r="O26263" t="str">
            <v/>
          </cell>
        </row>
        <row r="26264">
          <cell r="O26264" t="str">
            <v/>
          </cell>
        </row>
        <row r="26265">
          <cell r="O26265" t="str">
            <v/>
          </cell>
        </row>
        <row r="26266">
          <cell r="O26266" t="str">
            <v/>
          </cell>
        </row>
        <row r="26267">
          <cell r="O26267" t="str">
            <v/>
          </cell>
        </row>
        <row r="26268">
          <cell r="O26268" t="str">
            <v/>
          </cell>
        </row>
        <row r="26269">
          <cell r="O26269" t="str">
            <v/>
          </cell>
        </row>
        <row r="26270">
          <cell r="O26270" t="str">
            <v/>
          </cell>
        </row>
        <row r="26271">
          <cell r="O26271" t="str">
            <v/>
          </cell>
        </row>
        <row r="26272">
          <cell r="O26272" t="str">
            <v/>
          </cell>
        </row>
        <row r="26273">
          <cell r="O26273" t="str">
            <v/>
          </cell>
        </row>
        <row r="26274">
          <cell r="O26274" t="str">
            <v/>
          </cell>
        </row>
        <row r="26275">
          <cell r="O26275" t="str">
            <v/>
          </cell>
        </row>
        <row r="26276">
          <cell r="O26276" t="str">
            <v/>
          </cell>
        </row>
        <row r="26277">
          <cell r="O26277" t="str">
            <v/>
          </cell>
        </row>
        <row r="26278">
          <cell r="O26278" t="str">
            <v/>
          </cell>
        </row>
        <row r="26279">
          <cell r="O26279" t="str">
            <v/>
          </cell>
        </row>
        <row r="26280">
          <cell r="O26280" t="str">
            <v/>
          </cell>
        </row>
        <row r="26281">
          <cell r="O26281" t="str">
            <v/>
          </cell>
        </row>
        <row r="26282">
          <cell r="O26282" t="str">
            <v/>
          </cell>
        </row>
        <row r="26283">
          <cell r="O26283" t="str">
            <v/>
          </cell>
        </row>
        <row r="26284">
          <cell r="O26284" t="str">
            <v/>
          </cell>
        </row>
        <row r="26285">
          <cell r="O26285" t="str">
            <v/>
          </cell>
        </row>
        <row r="26286">
          <cell r="O26286" t="str">
            <v/>
          </cell>
        </row>
        <row r="26287">
          <cell r="O26287" t="str">
            <v/>
          </cell>
        </row>
        <row r="26288">
          <cell r="O26288" t="str">
            <v/>
          </cell>
        </row>
        <row r="26289">
          <cell r="O26289" t="str">
            <v/>
          </cell>
        </row>
        <row r="26290">
          <cell r="O26290" t="str">
            <v/>
          </cell>
        </row>
        <row r="26291">
          <cell r="O26291" t="str">
            <v/>
          </cell>
        </row>
        <row r="26292">
          <cell r="O26292" t="str">
            <v/>
          </cell>
        </row>
        <row r="26293">
          <cell r="O26293" t="str">
            <v/>
          </cell>
        </row>
        <row r="26294">
          <cell r="O26294" t="str">
            <v/>
          </cell>
        </row>
        <row r="26295">
          <cell r="O26295" t="str">
            <v/>
          </cell>
        </row>
        <row r="26296">
          <cell r="O26296" t="str">
            <v/>
          </cell>
        </row>
        <row r="26297">
          <cell r="O26297" t="str">
            <v/>
          </cell>
        </row>
        <row r="26298">
          <cell r="O26298" t="str">
            <v/>
          </cell>
        </row>
        <row r="26299">
          <cell r="O26299" t="str">
            <v/>
          </cell>
        </row>
        <row r="26300">
          <cell r="O26300" t="str">
            <v/>
          </cell>
        </row>
        <row r="26301">
          <cell r="O26301" t="str">
            <v/>
          </cell>
        </row>
        <row r="26302">
          <cell r="O26302" t="str">
            <v/>
          </cell>
        </row>
        <row r="26303">
          <cell r="O26303" t="str">
            <v/>
          </cell>
        </row>
        <row r="26304">
          <cell r="O26304" t="str">
            <v/>
          </cell>
        </row>
        <row r="26305">
          <cell r="O26305" t="str">
            <v/>
          </cell>
        </row>
        <row r="26306">
          <cell r="O26306" t="str">
            <v/>
          </cell>
        </row>
        <row r="26307">
          <cell r="O26307" t="str">
            <v/>
          </cell>
        </row>
        <row r="26308">
          <cell r="O26308" t="str">
            <v/>
          </cell>
        </row>
        <row r="26309">
          <cell r="O26309" t="str">
            <v/>
          </cell>
        </row>
        <row r="26310">
          <cell r="O26310" t="str">
            <v/>
          </cell>
        </row>
        <row r="26311">
          <cell r="O26311" t="str">
            <v/>
          </cell>
        </row>
        <row r="26312">
          <cell r="O26312" t="str">
            <v/>
          </cell>
        </row>
        <row r="26313">
          <cell r="O26313" t="str">
            <v/>
          </cell>
        </row>
        <row r="26314">
          <cell r="O26314" t="str">
            <v/>
          </cell>
        </row>
        <row r="26315">
          <cell r="O26315" t="str">
            <v/>
          </cell>
        </row>
        <row r="26316">
          <cell r="O26316" t="str">
            <v/>
          </cell>
        </row>
        <row r="26317">
          <cell r="O26317" t="str">
            <v/>
          </cell>
        </row>
        <row r="26318">
          <cell r="O26318" t="str">
            <v/>
          </cell>
        </row>
        <row r="26319">
          <cell r="O26319" t="str">
            <v/>
          </cell>
        </row>
        <row r="26320">
          <cell r="O26320" t="str">
            <v/>
          </cell>
        </row>
        <row r="26321">
          <cell r="O26321" t="str">
            <v/>
          </cell>
        </row>
        <row r="26322">
          <cell r="O26322" t="str">
            <v/>
          </cell>
        </row>
        <row r="26323">
          <cell r="O26323" t="str">
            <v/>
          </cell>
        </row>
        <row r="26324">
          <cell r="O26324" t="str">
            <v/>
          </cell>
        </row>
        <row r="26325">
          <cell r="O26325" t="str">
            <v/>
          </cell>
        </row>
        <row r="26326">
          <cell r="O26326" t="str">
            <v/>
          </cell>
        </row>
        <row r="26327">
          <cell r="O26327" t="str">
            <v/>
          </cell>
        </row>
        <row r="26328">
          <cell r="O26328" t="str">
            <v/>
          </cell>
        </row>
        <row r="26329">
          <cell r="O26329" t="str">
            <v/>
          </cell>
        </row>
        <row r="26330">
          <cell r="O26330" t="str">
            <v/>
          </cell>
        </row>
        <row r="26331">
          <cell r="O26331" t="str">
            <v/>
          </cell>
        </row>
        <row r="26332">
          <cell r="O26332" t="str">
            <v/>
          </cell>
        </row>
        <row r="26333">
          <cell r="O26333" t="str">
            <v/>
          </cell>
        </row>
        <row r="26334">
          <cell r="O26334" t="str">
            <v/>
          </cell>
        </row>
        <row r="26335">
          <cell r="O26335" t="str">
            <v/>
          </cell>
        </row>
        <row r="26336">
          <cell r="O26336" t="str">
            <v/>
          </cell>
        </row>
        <row r="26337">
          <cell r="O26337" t="str">
            <v/>
          </cell>
        </row>
        <row r="26338">
          <cell r="O26338" t="str">
            <v/>
          </cell>
        </row>
        <row r="26339">
          <cell r="O26339" t="str">
            <v/>
          </cell>
        </row>
        <row r="26340">
          <cell r="O26340" t="str">
            <v/>
          </cell>
        </row>
        <row r="26341">
          <cell r="O26341" t="str">
            <v/>
          </cell>
        </row>
        <row r="26342">
          <cell r="O26342" t="str">
            <v/>
          </cell>
        </row>
        <row r="26343">
          <cell r="O26343" t="str">
            <v/>
          </cell>
        </row>
        <row r="26344">
          <cell r="O26344" t="str">
            <v/>
          </cell>
        </row>
        <row r="26345">
          <cell r="O26345" t="str">
            <v/>
          </cell>
        </row>
        <row r="26346">
          <cell r="O26346" t="str">
            <v/>
          </cell>
        </row>
        <row r="26347">
          <cell r="O26347" t="str">
            <v/>
          </cell>
        </row>
        <row r="26348">
          <cell r="O26348" t="str">
            <v/>
          </cell>
        </row>
        <row r="26349">
          <cell r="O26349" t="str">
            <v/>
          </cell>
        </row>
        <row r="26350">
          <cell r="O26350" t="str">
            <v/>
          </cell>
        </row>
        <row r="26351">
          <cell r="O26351" t="str">
            <v/>
          </cell>
        </row>
        <row r="26352">
          <cell r="O26352" t="str">
            <v/>
          </cell>
        </row>
        <row r="26353">
          <cell r="O26353" t="str">
            <v/>
          </cell>
        </row>
        <row r="26354">
          <cell r="O26354" t="str">
            <v/>
          </cell>
        </row>
        <row r="26355">
          <cell r="O26355" t="str">
            <v/>
          </cell>
        </row>
        <row r="26356">
          <cell r="O26356" t="str">
            <v/>
          </cell>
        </row>
        <row r="26357">
          <cell r="O26357" t="str">
            <v/>
          </cell>
        </row>
        <row r="26358">
          <cell r="O26358" t="str">
            <v/>
          </cell>
        </row>
        <row r="26359">
          <cell r="O26359" t="str">
            <v/>
          </cell>
        </row>
        <row r="26360">
          <cell r="O26360" t="str">
            <v/>
          </cell>
        </row>
        <row r="26361">
          <cell r="O26361" t="str">
            <v/>
          </cell>
        </row>
        <row r="26362">
          <cell r="O26362" t="str">
            <v/>
          </cell>
        </row>
        <row r="26363">
          <cell r="O26363" t="str">
            <v/>
          </cell>
        </row>
        <row r="26364">
          <cell r="O26364" t="str">
            <v/>
          </cell>
        </row>
        <row r="26365">
          <cell r="O26365" t="str">
            <v/>
          </cell>
        </row>
        <row r="26366">
          <cell r="O26366" t="str">
            <v/>
          </cell>
        </row>
        <row r="26367">
          <cell r="O26367" t="str">
            <v/>
          </cell>
        </row>
        <row r="26368">
          <cell r="O26368" t="str">
            <v/>
          </cell>
        </row>
        <row r="26369">
          <cell r="O26369" t="str">
            <v/>
          </cell>
        </row>
        <row r="26370">
          <cell r="O26370" t="str">
            <v/>
          </cell>
        </row>
        <row r="26371">
          <cell r="O26371" t="str">
            <v/>
          </cell>
        </row>
        <row r="26372">
          <cell r="O26372" t="str">
            <v/>
          </cell>
        </row>
        <row r="26373">
          <cell r="O26373" t="str">
            <v/>
          </cell>
        </row>
        <row r="26374">
          <cell r="O26374" t="str">
            <v/>
          </cell>
        </row>
        <row r="26375">
          <cell r="O26375" t="str">
            <v/>
          </cell>
        </row>
        <row r="26376">
          <cell r="O26376" t="str">
            <v/>
          </cell>
        </row>
        <row r="26377">
          <cell r="O26377" t="str">
            <v/>
          </cell>
        </row>
        <row r="26378">
          <cell r="O26378" t="str">
            <v/>
          </cell>
        </row>
        <row r="26379">
          <cell r="O26379" t="str">
            <v/>
          </cell>
        </row>
        <row r="26380">
          <cell r="O26380" t="str">
            <v/>
          </cell>
        </row>
        <row r="26381">
          <cell r="O26381" t="str">
            <v/>
          </cell>
        </row>
        <row r="26382">
          <cell r="O26382" t="str">
            <v/>
          </cell>
        </row>
        <row r="26383">
          <cell r="O26383" t="str">
            <v/>
          </cell>
        </row>
        <row r="26384">
          <cell r="O26384" t="str">
            <v/>
          </cell>
        </row>
        <row r="26385">
          <cell r="O26385" t="str">
            <v/>
          </cell>
        </row>
        <row r="26386">
          <cell r="O26386" t="str">
            <v/>
          </cell>
        </row>
        <row r="26387">
          <cell r="O26387" t="str">
            <v/>
          </cell>
        </row>
        <row r="26388">
          <cell r="O26388" t="str">
            <v/>
          </cell>
        </row>
        <row r="26389">
          <cell r="O26389" t="str">
            <v/>
          </cell>
        </row>
        <row r="26390">
          <cell r="O26390" t="str">
            <v/>
          </cell>
        </row>
        <row r="26391">
          <cell r="O26391" t="str">
            <v/>
          </cell>
        </row>
        <row r="26392">
          <cell r="O26392" t="str">
            <v/>
          </cell>
        </row>
        <row r="26393">
          <cell r="O26393" t="str">
            <v/>
          </cell>
        </row>
        <row r="26394">
          <cell r="O26394" t="str">
            <v/>
          </cell>
        </row>
        <row r="26395">
          <cell r="O26395" t="str">
            <v/>
          </cell>
        </row>
        <row r="26396">
          <cell r="O26396" t="str">
            <v/>
          </cell>
        </row>
        <row r="26397">
          <cell r="O26397" t="str">
            <v/>
          </cell>
        </row>
        <row r="26398">
          <cell r="O26398" t="str">
            <v/>
          </cell>
        </row>
        <row r="26399">
          <cell r="O26399" t="str">
            <v/>
          </cell>
        </row>
        <row r="26400">
          <cell r="O26400" t="str">
            <v/>
          </cell>
        </row>
        <row r="26401">
          <cell r="O26401" t="str">
            <v/>
          </cell>
        </row>
        <row r="26402">
          <cell r="O26402" t="str">
            <v/>
          </cell>
        </row>
        <row r="26403">
          <cell r="O26403" t="str">
            <v/>
          </cell>
        </row>
        <row r="26404">
          <cell r="O26404" t="str">
            <v/>
          </cell>
        </row>
        <row r="26405">
          <cell r="O26405" t="str">
            <v/>
          </cell>
        </row>
        <row r="26406">
          <cell r="O26406" t="str">
            <v/>
          </cell>
        </row>
        <row r="26407">
          <cell r="O26407" t="str">
            <v/>
          </cell>
        </row>
        <row r="26408">
          <cell r="O26408" t="str">
            <v/>
          </cell>
        </row>
        <row r="26409">
          <cell r="O26409" t="str">
            <v/>
          </cell>
        </row>
        <row r="26410">
          <cell r="O26410" t="str">
            <v/>
          </cell>
        </row>
        <row r="26411">
          <cell r="O26411" t="str">
            <v/>
          </cell>
        </row>
        <row r="26412">
          <cell r="O26412" t="str">
            <v/>
          </cell>
        </row>
        <row r="26413">
          <cell r="O26413" t="str">
            <v/>
          </cell>
        </row>
        <row r="26414">
          <cell r="O26414" t="str">
            <v/>
          </cell>
        </row>
        <row r="26415">
          <cell r="O26415" t="str">
            <v/>
          </cell>
        </row>
        <row r="26416">
          <cell r="O26416" t="str">
            <v/>
          </cell>
        </row>
        <row r="26417">
          <cell r="O26417" t="str">
            <v/>
          </cell>
        </row>
        <row r="26418">
          <cell r="O26418" t="str">
            <v/>
          </cell>
        </row>
        <row r="26419">
          <cell r="O26419" t="str">
            <v/>
          </cell>
        </row>
        <row r="26420">
          <cell r="O26420" t="str">
            <v/>
          </cell>
        </row>
        <row r="26421">
          <cell r="O26421" t="str">
            <v/>
          </cell>
        </row>
        <row r="26422">
          <cell r="O26422" t="str">
            <v/>
          </cell>
        </row>
        <row r="26423">
          <cell r="O26423" t="str">
            <v/>
          </cell>
        </row>
        <row r="26424">
          <cell r="O26424" t="str">
            <v/>
          </cell>
        </row>
        <row r="26425">
          <cell r="O26425" t="str">
            <v/>
          </cell>
        </row>
        <row r="26426">
          <cell r="O26426" t="str">
            <v/>
          </cell>
        </row>
        <row r="26427">
          <cell r="O26427" t="str">
            <v/>
          </cell>
        </row>
        <row r="26428">
          <cell r="O26428" t="str">
            <v/>
          </cell>
        </row>
        <row r="26429">
          <cell r="O26429" t="str">
            <v/>
          </cell>
        </row>
        <row r="26430">
          <cell r="O26430" t="str">
            <v/>
          </cell>
        </row>
        <row r="26431">
          <cell r="O26431" t="str">
            <v/>
          </cell>
        </row>
        <row r="26432">
          <cell r="O26432" t="str">
            <v/>
          </cell>
        </row>
        <row r="26433">
          <cell r="O26433" t="str">
            <v/>
          </cell>
        </row>
        <row r="26434">
          <cell r="O26434" t="str">
            <v/>
          </cell>
        </row>
        <row r="26435">
          <cell r="O26435" t="str">
            <v/>
          </cell>
        </row>
        <row r="26436">
          <cell r="O26436" t="str">
            <v/>
          </cell>
        </row>
        <row r="26437">
          <cell r="O26437" t="str">
            <v/>
          </cell>
        </row>
        <row r="26438">
          <cell r="O26438" t="str">
            <v/>
          </cell>
        </row>
        <row r="26439">
          <cell r="O26439" t="str">
            <v/>
          </cell>
        </row>
        <row r="26440">
          <cell r="O26440" t="str">
            <v/>
          </cell>
        </row>
        <row r="26441">
          <cell r="O26441" t="str">
            <v/>
          </cell>
        </row>
        <row r="26442">
          <cell r="O26442" t="str">
            <v/>
          </cell>
        </row>
        <row r="26443">
          <cell r="O26443" t="str">
            <v/>
          </cell>
        </row>
        <row r="26444">
          <cell r="O26444" t="str">
            <v/>
          </cell>
        </row>
        <row r="26445">
          <cell r="O26445" t="str">
            <v/>
          </cell>
        </row>
        <row r="26446">
          <cell r="O26446" t="str">
            <v/>
          </cell>
        </row>
        <row r="26447">
          <cell r="O26447" t="str">
            <v/>
          </cell>
        </row>
        <row r="26448">
          <cell r="O26448" t="str">
            <v/>
          </cell>
        </row>
        <row r="26449">
          <cell r="O26449" t="str">
            <v/>
          </cell>
        </row>
        <row r="26450">
          <cell r="O26450" t="str">
            <v/>
          </cell>
        </row>
        <row r="26451">
          <cell r="O26451" t="str">
            <v/>
          </cell>
        </row>
        <row r="26452">
          <cell r="O26452" t="str">
            <v/>
          </cell>
        </row>
        <row r="26453">
          <cell r="O26453" t="str">
            <v/>
          </cell>
        </row>
        <row r="26454">
          <cell r="O26454" t="str">
            <v/>
          </cell>
        </row>
        <row r="26455">
          <cell r="O26455" t="str">
            <v/>
          </cell>
        </row>
        <row r="26456">
          <cell r="O26456" t="str">
            <v/>
          </cell>
        </row>
        <row r="26457">
          <cell r="O26457" t="str">
            <v/>
          </cell>
        </row>
        <row r="26458">
          <cell r="O26458" t="str">
            <v/>
          </cell>
        </row>
        <row r="26459">
          <cell r="O26459" t="str">
            <v/>
          </cell>
        </row>
        <row r="26460">
          <cell r="O26460" t="str">
            <v/>
          </cell>
        </row>
        <row r="26461">
          <cell r="O26461" t="str">
            <v/>
          </cell>
        </row>
        <row r="26462">
          <cell r="O26462" t="str">
            <v/>
          </cell>
        </row>
        <row r="26463">
          <cell r="O26463" t="str">
            <v/>
          </cell>
        </row>
        <row r="26464">
          <cell r="O26464" t="str">
            <v/>
          </cell>
        </row>
        <row r="26465">
          <cell r="O26465" t="str">
            <v/>
          </cell>
        </row>
        <row r="26466">
          <cell r="O26466" t="str">
            <v/>
          </cell>
        </row>
        <row r="26467">
          <cell r="O26467" t="str">
            <v/>
          </cell>
        </row>
        <row r="26468">
          <cell r="O26468" t="str">
            <v/>
          </cell>
        </row>
        <row r="26469">
          <cell r="O26469" t="str">
            <v/>
          </cell>
        </row>
        <row r="26470">
          <cell r="O26470" t="str">
            <v/>
          </cell>
        </row>
        <row r="26471">
          <cell r="O26471" t="str">
            <v/>
          </cell>
        </row>
        <row r="26472">
          <cell r="O26472" t="str">
            <v/>
          </cell>
        </row>
        <row r="26473">
          <cell r="O26473" t="str">
            <v/>
          </cell>
        </row>
        <row r="26474">
          <cell r="O26474" t="str">
            <v/>
          </cell>
        </row>
        <row r="26475">
          <cell r="O26475" t="str">
            <v/>
          </cell>
        </row>
        <row r="26476">
          <cell r="O26476" t="str">
            <v/>
          </cell>
        </row>
        <row r="26477">
          <cell r="O26477" t="str">
            <v/>
          </cell>
        </row>
        <row r="26478">
          <cell r="O26478" t="str">
            <v/>
          </cell>
        </row>
        <row r="26479">
          <cell r="O26479" t="str">
            <v/>
          </cell>
        </row>
        <row r="26480">
          <cell r="O26480" t="str">
            <v/>
          </cell>
        </row>
        <row r="26481">
          <cell r="O26481" t="str">
            <v/>
          </cell>
        </row>
        <row r="26482">
          <cell r="O26482" t="str">
            <v/>
          </cell>
        </row>
        <row r="26483">
          <cell r="O26483" t="str">
            <v/>
          </cell>
        </row>
        <row r="26484">
          <cell r="O26484" t="str">
            <v/>
          </cell>
        </row>
        <row r="26485">
          <cell r="O26485" t="str">
            <v/>
          </cell>
        </row>
        <row r="26486">
          <cell r="O26486" t="str">
            <v/>
          </cell>
        </row>
        <row r="26487">
          <cell r="O26487" t="str">
            <v/>
          </cell>
        </row>
        <row r="26488">
          <cell r="O26488" t="str">
            <v/>
          </cell>
        </row>
        <row r="26489">
          <cell r="O26489" t="str">
            <v/>
          </cell>
        </row>
        <row r="26490">
          <cell r="O26490" t="str">
            <v/>
          </cell>
        </row>
        <row r="26491">
          <cell r="O26491" t="str">
            <v/>
          </cell>
        </row>
        <row r="26492">
          <cell r="O26492" t="str">
            <v/>
          </cell>
        </row>
        <row r="26493">
          <cell r="O26493" t="str">
            <v/>
          </cell>
        </row>
        <row r="26494">
          <cell r="O26494" t="str">
            <v/>
          </cell>
        </row>
        <row r="26495">
          <cell r="O26495" t="str">
            <v/>
          </cell>
        </row>
        <row r="26496">
          <cell r="O26496" t="str">
            <v/>
          </cell>
        </row>
        <row r="26497">
          <cell r="O26497" t="str">
            <v/>
          </cell>
        </row>
        <row r="26498">
          <cell r="O26498" t="str">
            <v/>
          </cell>
        </row>
        <row r="26499">
          <cell r="O26499" t="str">
            <v/>
          </cell>
        </row>
        <row r="26500">
          <cell r="O26500" t="str">
            <v/>
          </cell>
        </row>
        <row r="26501">
          <cell r="O26501" t="str">
            <v/>
          </cell>
        </row>
        <row r="26502">
          <cell r="O26502" t="str">
            <v/>
          </cell>
        </row>
        <row r="26503">
          <cell r="O26503" t="str">
            <v/>
          </cell>
        </row>
        <row r="26504">
          <cell r="O26504" t="str">
            <v/>
          </cell>
        </row>
        <row r="26505">
          <cell r="O26505" t="str">
            <v/>
          </cell>
        </row>
        <row r="26506">
          <cell r="O26506" t="str">
            <v/>
          </cell>
        </row>
        <row r="26507">
          <cell r="O26507" t="str">
            <v/>
          </cell>
        </row>
        <row r="26508">
          <cell r="O26508" t="str">
            <v/>
          </cell>
        </row>
        <row r="26509">
          <cell r="O26509" t="str">
            <v/>
          </cell>
        </row>
        <row r="26510">
          <cell r="O26510" t="str">
            <v/>
          </cell>
        </row>
        <row r="26511">
          <cell r="O26511" t="str">
            <v/>
          </cell>
        </row>
        <row r="26512">
          <cell r="O26512" t="str">
            <v/>
          </cell>
        </row>
        <row r="26513">
          <cell r="O26513" t="str">
            <v/>
          </cell>
        </row>
        <row r="26514">
          <cell r="O26514" t="str">
            <v/>
          </cell>
        </row>
        <row r="26515">
          <cell r="O26515" t="str">
            <v/>
          </cell>
        </row>
        <row r="26516">
          <cell r="O26516" t="str">
            <v/>
          </cell>
        </row>
        <row r="26517">
          <cell r="O26517" t="str">
            <v/>
          </cell>
        </row>
        <row r="26518">
          <cell r="O26518" t="str">
            <v/>
          </cell>
        </row>
        <row r="26519">
          <cell r="O26519" t="str">
            <v/>
          </cell>
        </row>
        <row r="26520">
          <cell r="O26520" t="str">
            <v/>
          </cell>
        </row>
        <row r="26521">
          <cell r="O26521" t="str">
            <v/>
          </cell>
        </row>
        <row r="26522">
          <cell r="O26522" t="str">
            <v/>
          </cell>
        </row>
        <row r="26523">
          <cell r="O26523" t="str">
            <v/>
          </cell>
        </row>
        <row r="26524">
          <cell r="O26524" t="str">
            <v/>
          </cell>
        </row>
        <row r="26525">
          <cell r="O26525" t="str">
            <v/>
          </cell>
        </row>
        <row r="26526">
          <cell r="O26526" t="str">
            <v/>
          </cell>
        </row>
        <row r="26527">
          <cell r="O26527" t="str">
            <v/>
          </cell>
        </row>
        <row r="26528">
          <cell r="O26528" t="str">
            <v/>
          </cell>
        </row>
        <row r="26529">
          <cell r="O26529" t="str">
            <v/>
          </cell>
        </row>
        <row r="26530">
          <cell r="O26530" t="str">
            <v/>
          </cell>
        </row>
        <row r="26531">
          <cell r="O26531" t="str">
            <v/>
          </cell>
        </row>
        <row r="26532">
          <cell r="O26532" t="str">
            <v/>
          </cell>
        </row>
        <row r="26533">
          <cell r="O26533" t="str">
            <v/>
          </cell>
        </row>
        <row r="26534">
          <cell r="O26534" t="str">
            <v/>
          </cell>
        </row>
        <row r="26535">
          <cell r="O26535" t="str">
            <v/>
          </cell>
        </row>
        <row r="26536">
          <cell r="O26536" t="str">
            <v/>
          </cell>
        </row>
        <row r="26537">
          <cell r="O26537" t="str">
            <v/>
          </cell>
        </row>
        <row r="26538">
          <cell r="O26538" t="str">
            <v/>
          </cell>
        </row>
        <row r="26539">
          <cell r="O26539" t="str">
            <v/>
          </cell>
        </row>
        <row r="26540">
          <cell r="O26540" t="str">
            <v/>
          </cell>
        </row>
        <row r="26541">
          <cell r="O26541" t="str">
            <v/>
          </cell>
        </row>
        <row r="26542">
          <cell r="O26542" t="str">
            <v/>
          </cell>
        </row>
        <row r="26543">
          <cell r="O26543" t="str">
            <v/>
          </cell>
        </row>
        <row r="26544">
          <cell r="O26544" t="str">
            <v/>
          </cell>
        </row>
        <row r="26545">
          <cell r="O26545" t="str">
            <v/>
          </cell>
        </row>
        <row r="26546">
          <cell r="O26546" t="str">
            <v/>
          </cell>
        </row>
        <row r="26547">
          <cell r="O26547" t="str">
            <v/>
          </cell>
        </row>
        <row r="26548">
          <cell r="O26548" t="str">
            <v/>
          </cell>
        </row>
        <row r="26549">
          <cell r="O26549" t="str">
            <v/>
          </cell>
        </row>
        <row r="26550">
          <cell r="O26550" t="str">
            <v/>
          </cell>
        </row>
        <row r="26551">
          <cell r="O26551" t="str">
            <v/>
          </cell>
        </row>
        <row r="26552">
          <cell r="O26552" t="str">
            <v/>
          </cell>
        </row>
        <row r="26553">
          <cell r="O26553" t="str">
            <v/>
          </cell>
        </row>
        <row r="26554">
          <cell r="O26554" t="str">
            <v/>
          </cell>
        </row>
        <row r="26555">
          <cell r="O26555" t="str">
            <v/>
          </cell>
        </row>
        <row r="26556">
          <cell r="O26556" t="str">
            <v/>
          </cell>
        </row>
        <row r="26557">
          <cell r="O26557" t="str">
            <v/>
          </cell>
        </row>
        <row r="26558">
          <cell r="O26558" t="str">
            <v/>
          </cell>
        </row>
        <row r="26559">
          <cell r="O26559" t="str">
            <v/>
          </cell>
        </row>
        <row r="26560">
          <cell r="O26560" t="str">
            <v/>
          </cell>
        </row>
        <row r="26561">
          <cell r="O26561" t="str">
            <v/>
          </cell>
        </row>
        <row r="26562">
          <cell r="O26562" t="str">
            <v/>
          </cell>
        </row>
        <row r="26563">
          <cell r="O26563" t="str">
            <v/>
          </cell>
        </row>
        <row r="26564">
          <cell r="O26564" t="str">
            <v/>
          </cell>
        </row>
        <row r="26565">
          <cell r="O26565" t="str">
            <v/>
          </cell>
        </row>
        <row r="26566">
          <cell r="O26566" t="str">
            <v/>
          </cell>
        </row>
        <row r="26567">
          <cell r="O26567" t="str">
            <v/>
          </cell>
        </row>
        <row r="26568">
          <cell r="O26568" t="str">
            <v/>
          </cell>
        </row>
        <row r="26569">
          <cell r="O26569" t="str">
            <v/>
          </cell>
        </row>
        <row r="26570">
          <cell r="O26570" t="str">
            <v/>
          </cell>
        </row>
        <row r="26571">
          <cell r="O26571" t="str">
            <v/>
          </cell>
        </row>
        <row r="26572">
          <cell r="O26572" t="str">
            <v/>
          </cell>
        </row>
        <row r="26573">
          <cell r="O26573" t="str">
            <v/>
          </cell>
        </row>
        <row r="26574">
          <cell r="O26574" t="str">
            <v/>
          </cell>
        </row>
        <row r="26575">
          <cell r="O26575" t="str">
            <v/>
          </cell>
        </row>
        <row r="26576">
          <cell r="O26576" t="str">
            <v/>
          </cell>
        </row>
        <row r="26577">
          <cell r="O26577" t="str">
            <v/>
          </cell>
        </row>
        <row r="26578">
          <cell r="O26578" t="str">
            <v/>
          </cell>
        </row>
        <row r="26579">
          <cell r="O26579" t="str">
            <v/>
          </cell>
        </row>
        <row r="26580">
          <cell r="O26580" t="str">
            <v/>
          </cell>
        </row>
        <row r="26581">
          <cell r="O26581" t="str">
            <v/>
          </cell>
        </row>
        <row r="26582">
          <cell r="O26582" t="str">
            <v/>
          </cell>
        </row>
        <row r="26583">
          <cell r="O26583" t="str">
            <v/>
          </cell>
        </row>
        <row r="26584">
          <cell r="O26584" t="str">
            <v/>
          </cell>
        </row>
        <row r="26585">
          <cell r="O26585" t="str">
            <v/>
          </cell>
        </row>
        <row r="26586">
          <cell r="O26586" t="str">
            <v/>
          </cell>
        </row>
        <row r="26587">
          <cell r="O26587" t="str">
            <v/>
          </cell>
        </row>
        <row r="26588">
          <cell r="O26588" t="str">
            <v/>
          </cell>
        </row>
        <row r="26589">
          <cell r="O26589" t="str">
            <v/>
          </cell>
        </row>
        <row r="26590">
          <cell r="O26590" t="str">
            <v/>
          </cell>
        </row>
        <row r="26591">
          <cell r="O26591" t="str">
            <v/>
          </cell>
        </row>
        <row r="26592">
          <cell r="O26592" t="str">
            <v/>
          </cell>
        </row>
        <row r="26593">
          <cell r="O26593" t="str">
            <v/>
          </cell>
        </row>
        <row r="26594">
          <cell r="O26594" t="str">
            <v/>
          </cell>
        </row>
        <row r="26595">
          <cell r="O26595" t="str">
            <v/>
          </cell>
        </row>
        <row r="26596">
          <cell r="O26596" t="str">
            <v/>
          </cell>
        </row>
        <row r="26597">
          <cell r="O26597" t="str">
            <v/>
          </cell>
        </row>
        <row r="26598">
          <cell r="O26598" t="str">
            <v/>
          </cell>
        </row>
        <row r="26599">
          <cell r="O26599" t="str">
            <v/>
          </cell>
        </row>
        <row r="26600">
          <cell r="O26600" t="str">
            <v/>
          </cell>
        </row>
        <row r="26601">
          <cell r="O26601" t="str">
            <v/>
          </cell>
        </row>
        <row r="26602">
          <cell r="O26602" t="str">
            <v/>
          </cell>
        </row>
        <row r="26603">
          <cell r="O26603" t="str">
            <v/>
          </cell>
        </row>
        <row r="26604">
          <cell r="O26604" t="str">
            <v/>
          </cell>
        </row>
        <row r="26605">
          <cell r="O26605" t="str">
            <v/>
          </cell>
        </row>
        <row r="26606">
          <cell r="O26606" t="str">
            <v/>
          </cell>
        </row>
        <row r="26607">
          <cell r="O26607" t="str">
            <v/>
          </cell>
        </row>
        <row r="26608">
          <cell r="O26608" t="str">
            <v/>
          </cell>
        </row>
        <row r="26609">
          <cell r="O26609" t="str">
            <v/>
          </cell>
        </row>
        <row r="26610">
          <cell r="O26610" t="str">
            <v/>
          </cell>
        </row>
        <row r="26611">
          <cell r="O26611" t="str">
            <v/>
          </cell>
        </row>
        <row r="26612">
          <cell r="O26612" t="str">
            <v/>
          </cell>
        </row>
        <row r="26613">
          <cell r="O26613" t="str">
            <v/>
          </cell>
        </row>
        <row r="26614">
          <cell r="O26614" t="str">
            <v/>
          </cell>
        </row>
        <row r="26615">
          <cell r="O26615" t="str">
            <v/>
          </cell>
        </row>
        <row r="26616">
          <cell r="O26616" t="str">
            <v/>
          </cell>
        </row>
        <row r="26617">
          <cell r="O26617" t="str">
            <v/>
          </cell>
        </row>
        <row r="26618">
          <cell r="O26618" t="str">
            <v/>
          </cell>
        </row>
        <row r="26619">
          <cell r="O26619" t="str">
            <v/>
          </cell>
        </row>
        <row r="26620">
          <cell r="O26620" t="str">
            <v/>
          </cell>
        </row>
        <row r="26621">
          <cell r="O26621" t="str">
            <v/>
          </cell>
        </row>
        <row r="26622">
          <cell r="O26622" t="str">
            <v/>
          </cell>
        </row>
        <row r="26623">
          <cell r="O26623" t="str">
            <v/>
          </cell>
        </row>
        <row r="26624">
          <cell r="O26624" t="str">
            <v/>
          </cell>
        </row>
        <row r="26625">
          <cell r="O26625" t="str">
            <v/>
          </cell>
        </row>
        <row r="26626">
          <cell r="O26626" t="str">
            <v/>
          </cell>
        </row>
        <row r="26627">
          <cell r="O26627" t="str">
            <v/>
          </cell>
        </row>
        <row r="26628">
          <cell r="O26628" t="str">
            <v/>
          </cell>
        </row>
        <row r="26629">
          <cell r="O26629" t="str">
            <v/>
          </cell>
        </row>
        <row r="26630">
          <cell r="O26630" t="str">
            <v/>
          </cell>
        </row>
        <row r="26631">
          <cell r="O26631" t="str">
            <v/>
          </cell>
        </row>
        <row r="26632">
          <cell r="O26632" t="str">
            <v/>
          </cell>
        </row>
        <row r="26633">
          <cell r="O26633" t="str">
            <v/>
          </cell>
        </row>
        <row r="26634">
          <cell r="O26634" t="str">
            <v/>
          </cell>
        </row>
        <row r="26635">
          <cell r="O26635" t="str">
            <v/>
          </cell>
        </row>
        <row r="26636">
          <cell r="O26636" t="str">
            <v/>
          </cell>
        </row>
        <row r="26637">
          <cell r="O26637" t="str">
            <v/>
          </cell>
        </row>
        <row r="26638">
          <cell r="O26638" t="str">
            <v/>
          </cell>
        </row>
        <row r="26639">
          <cell r="O26639" t="str">
            <v/>
          </cell>
        </row>
        <row r="26640">
          <cell r="O26640" t="str">
            <v/>
          </cell>
        </row>
        <row r="26641">
          <cell r="O26641" t="str">
            <v/>
          </cell>
        </row>
        <row r="26642">
          <cell r="O26642" t="str">
            <v/>
          </cell>
        </row>
        <row r="26643">
          <cell r="O26643" t="str">
            <v/>
          </cell>
        </row>
        <row r="26644">
          <cell r="O26644" t="str">
            <v/>
          </cell>
        </row>
        <row r="26645">
          <cell r="O26645" t="str">
            <v/>
          </cell>
        </row>
        <row r="26646">
          <cell r="O26646" t="str">
            <v/>
          </cell>
        </row>
        <row r="26647">
          <cell r="O26647" t="str">
            <v/>
          </cell>
        </row>
        <row r="26648">
          <cell r="O26648" t="str">
            <v/>
          </cell>
        </row>
        <row r="26649">
          <cell r="O26649" t="str">
            <v/>
          </cell>
        </row>
        <row r="26650">
          <cell r="O26650" t="str">
            <v/>
          </cell>
        </row>
        <row r="26651">
          <cell r="O26651" t="str">
            <v/>
          </cell>
        </row>
        <row r="26652">
          <cell r="O26652" t="str">
            <v/>
          </cell>
        </row>
        <row r="26653">
          <cell r="O26653" t="str">
            <v/>
          </cell>
        </row>
        <row r="26654">
          <cell r="O26654" t="str">
            <v/>
          </cell>
        </row>
        <row r="26655">
          <cell r="O26655" t="str">
            <v/>
          </cell>
        </row>
        <row r="26656">
          <cell r="O26656" t="str">
            <v/>
          </cell>
        </row>
        <row r="26657">
          <cell r="O26657" t="str">
            <v/>
          </cell>
        </row>
        <row r="26658">
          <cell r="O26658" t="str">
            <v/>
          </cell>
        </row>
        <row r="26659">
          <cell r="O26659" t="str">
            <v/>
          </cell>
        </row>
        <row r="26660">
          <cell r="O26660" t="str">
            <v/>
          </cell>
        </row>
        <row r="26661">
          <cell r="O26661" t="str">
            <v/>
          </cell>
        </row>
        <row r="26662">
          <cell r="O26662" t="str">
            <v/>
          </cell>
        </row>
        <row r="26663">
          <cell r="O26663" t="str">
            <v/>
          </cell>
        </row>
        <row r="26664">
          <cell r="O26664" t="str">
            <v/>
          </cell>
        </row>
        <row r="26665">
          <cell r="O26665" t="str">
            <v/>
          </cell>
        </row>
        <row r="26666">
          <cell r="O26666" t="str">
            <v/>
          </cell>
        </row>
        <row r="26667">
          <cell r="O26667" t="str">
            <v/>
          </cell>
        </row>
        <row r="26668">
          <cell r="O26668" t="str">
            <v/>
          </cell>
        </row>
        <row r="26669">
          <cell r="O26669" t="str">
            <v/>
          </cell>
        </row>
        <row r="26670">
          <cell r="O26670" t="str">
            <v/>
          </cell>
        </row>
        <row r="26671">
          <cell r="O26671" t="str">
            <v/>
          </cell>
        </row>
        <row r="26672">
          <cell r="O26672" t="str">
            <v/>
          </cell>
        </row>
        <row r="26673">
          <cell r="O26673" t="str">
            <v/>
          </cell>
        </row>
        <row r="26674">
          <cell r="O26674" t="str">
            <v/>
          </cell>
        </row>
        <row r="26675">
          <cell r="O26675" t="str">
            <v/>
          </cell>
        </row>
        <row r="26676">
          <cell r="O26676" t="str">
            <v/>
          </cell>
        </row>
        <row r="26677">
          <cell r="O26677" t="str">
            <v/>
          </cell>
        </row>
        <row r="26678">
          <cell r="O26678" t="str">
            <v/>
          </cell>
        </row>
        <row r="26679">
          <cell r="O26679" t="str">
            <v/>
          </cell>
        </row>
        <row r="26680">
          <cell r="O26680" t="str">
            <v/>
          </cell>
        </row>
        <row r="26681">
          <cell r="O26681" t="str">
            <v/>
          </cell>
        </row>
        <row r="26682">
          <cell r="O26682" t="str">
            <v/>
          </cell>
        </row>
        <row r="26683">
          <cell r="O26683" t="str">
            <v/>
          </cell>
        </row>
        <row r="26684">
          <cell r="O26684" t="str">
            <v/>
          </cell>
        </row>
        <row r="26685">
          <cell r="O26685" t="str">
            <v/>
          </cell>
        </row>
        <row r="26686">
          <cell r="O26686" t="str">
            <v/>
          </cell>
        </row>
        <row r="26687">
          <cell r="O26687" t="str">
            <v/>
          </cell>
        </row>
        <row r="26688">
          <cell r="O26688" t="str">
            <v/>
          </cell>
        </row>
        <row r="26689">
          <cell r="O26689" t="str">
            <v/>
          </cell>
        </row>
        <row r="26690">
          <cell r="O26690" t="str">
            <v/>
          </cell>
        </row>
        <row r="26691">
          <cell r="O26691" t="str">
            <v/>
          </cell>
        </row>
        <row r="26692">
          <cell r="O26692" t="str">
            <v/>
          </cell>
        </row>
        <row r="26693">
          <cell r="O26693" t="str">
            <v/>
          </cell>
        </row>
        <row r="26694">
          <cell r="O26694" t="str">
            <v/>
          </cell>
        </row>
        <row r="26695">
          <cell r="O26695" t="str">
            <v/>
          </cell>
        </row>
        <row r="26696">
          <cell r="O26696" t="str">
            <v/>
          </cell>
        </row>
        <row r="26697">
          <cell r="O26697" t="str">
            <v/>
          </cell>
        </row>
        <row r="26698">
          <cell r="O26698" t="str">
            <v/>
          </cell>
        </row>
        <row r="26699">
          <cell r="O26699" t="str">
            <v/>
          </cell>
        </row>
        <row r="26700">
          <cell r="O26700" t="str">
            <v/>
          </cell>
        </row>
        <row r="26701">
          <cell r="O26701" t="str">
            <v/>
          </cell>
        </row>
        <row r="26702">
          <cell r="O26702" t="str">
            <v/>
          </cell>
        </row>
        <row r="26703">
          <cell r="O26703" t="str">
            <v/>
          </cell>
        </row>
        <row r="26704">
          <cell r="O26704" t="str">
            <v/>
          </cell>
        </row>
        <row r="26705">
          <cell r="O26705" t="str">
            <v/>
          </cell>
        </row>
        <row r="26706">
          <cell r="O26706" t="str">
            <v/>
          </cell>
        </row>
        <row r="26707">
          <cell r="O26707" t="str">
            <v/>
          </cell>
        </row>
        <row r="26708">
          <cell r="O26708" t="str">
            <v/>
          </cell>
        </row>
        <row r="26709">
          <cell r="O26709" t="str">
            <v/>
          </cell>
        </row>
        <row r="26710">
          <cell r="O26710" t="str">
            <v/>
          </cell>
        </row>
        <row r="26711">
          <cell r="O26711" t="str">
            <v/>
          </cell>
        </row>
        <row r="26712">
          <cell r="O26712" t="str">
            <v/>
          </cell>
        </row>
        <row r="26713">
          <cell r="O26713" t="str">
            <v/>
          </cell>
        </row>
        <row r="26714">
          <cell r="O26714" t="str">
            <v/>
          </cell>
        </row>
        <row r="26715">
          <cell r="O26715" t="str">
            <v/>
          </cell>
        </row>
        <row r="26716">
          <cell r="O26716" t="str">
            <v/>
          </cell>
        </row>
        <row r="26717">
          <cell r="O26717" t="str">
            <v/>
          </cell>
        </row>
        <row r="26718">
          <cell r="O26718" t="str">
            <v/>
          </cell>
        </row>
        <row r="26719">
          <cell r="O26719" t="str">
            <v/>
          </cell>
        </row>
        <row r="26720">
          <cell r="O26720" t="str">
            <v/>
          </cell>
        </row>
        <row r="26721">
          <cell r="O26721" t="str">
            <v/>
          </cell>
        </row>
        <row r="26722">
          <cell r="O26722" t="str">
            <v/>
          </cell>
        </row>
        <row r="26723">
          <cell r="O26723" t="str">
            <v/>
          </cell>
        </row>
        <row r="26724">
          <cell r="O26724" t="str">
            <v/>
          </cell>
        </row>
        <row r="26725">
          <cell r="O26725" t="str">
            <v/>
          </cell>
        </row>
        <row r="26726">
          <cell r="O26726" t="str">
            <v/>
          </cell>
        </row>
        <row r="26727">
          <cell r="O26727" t="str">
            <v/>
          </cell>
        </row>
        <row r="26728">
          <cell r="O26728" t="str">
            <v/>
          </cell>
        </row>
        <row r="26729">
          <cell r="O26729" t="str">
            <v/>
          </cell>
        </row>
        <row r="26730">
          <cell r="O26730" t="str">
            <v/>
          </cell>
        </row>
        <row r="26731">
          <cell r="O26731" t="str">
            <v/>
          </cell>
        </row>
        <row r="26732">
          <cell r="O26732" t="str">
            <v/>
          </cell>
        </row>
        <row r="26733">
          <cell r="O26733" t="str">
            <v/>
          </cell>
        </row>
        <row r="26734">
          <cell r="O26734" t="str">
            <v/>
          </cell>
        </row>
        <row r="26735">
          <cell r="O26735" t="str">
            <v/>
          </cell>
        </row>
        <row r="26736">
          <cell r="O26736" t="str">
            <v/>
          </cell>
        </row>
        <row r="26737">
          <cell r="O26737" t="str">
            <v/>
          </cell>
        </row>
        <row r="26738">
          <cell r="O26738" t="str">
            <v/>
          </cell>
        </row>
        <row r="26739">
          <cell r="O26739" t="str">
            <v/>
          </cell>
        </row>
        <row r="26740">
          <cell r="O26740" t="str">
            <v/>
          </cell>
        </row>
        <row r="26741">
          <cell r="O26741" t="str">
            <v/>
          </cell>
        </row>
        <row r="26742">
          <cell r="O26742" t="str">
            <v/>
          </cell>
        </row>
        <row r="26743">
          <cell r="O26743" t="str">
            <v/>
          </cell>
        </row>
        <row r="26744">
          <cell r="O26744" t="str">
            <v/>
          </cell>
        </row>
        <row r="26745">
          <cell r="O26745" t="str">
            <v/>
          </cell>
        </row>
        <row r="26746">
          <cell r="O26746" t="str">
            <v/>
          </cell>
        </row>
        <row r="26747">
          <cell r="O26747" t="str">
            <v/>
          </cell>
        </row>
        <row r="26748">
          <cell r="O26748" t="str">
            <v/>
          </cell>
        </row>
        <row r="26749">
          <cell r="O26749" t="str">
            <v/>
          </cell>
        </row>
        <row r="26750">
          <cell r="O26750" t="str">
            <v/>
          </cell>
        </row>
        <row r="26751">
          <cell r="O26751" t="str">
            <v/>
          </cell>
        </row>
        <row r="26752">
          <cell r="O26752" t="str">
            <v/>
          </cell>
        </row>
        <row r="26753">
          <cell r="O26753" t="str">
            <v/>
          </cell>
        </row>
        <row r="26754">
          <cell r="O26754" t="str">
            <v/>
          </cell>
        </row>
        <row r="26755">
          <cell r="O26755" t="str">
            <v/>
          </cell>
        </row>
        <row r="26756">
          <cell r="O26756" t="str">
            <v/>
          </cell>
        </row>
        <row r="26757">
          <cell r="O26757" t="str">
            <v/>
          </cell>
        </row>
        <row r="26758">
          <cell r="O26758" t="str">
            <v/>
          </cell>
        </row>
        <row r="26759">
          <cell r="O26759" t="str">
            <v/>
          </cell>
        </row>
        <row r="26760">
          <cell r="O26760" t="str">
            <v/>
          </cell>
        </row>
        <row r="26761">
          <cell r="O26761" t="str">
            <v/>
          </cell>
        </row>
        <row r="26762">
          <cell r="O26762" t="str">
            <v/>
          </cell>
        </row>
        <row r="26763">
          <cell r="O26763" t="str">
            <v/>
          </cell>
        </row>
        <row r="26764">
          <cell r="O26764" t="str">
            <v/>
          </cell>
        </row>
        <row r="26765">
          <cell r="O26765" t="str">
            <v/>
          </cell>
        </row>
        <row r="26766">
          <cell r="O26766" t="str">
            <v/>
          </cell>
        </row>
        <row r="26767">
          <cell r="O26767" t="str">
            <v/>
          </cell>
        </row>
        <row r="26768">
          <cell r="O26768" t="str">
            <v/>
          </cell>
        </row>
        <row r="26769">
          <cell r="O26769" t="str">
            <v/>
          </cell>
        </row>
        <row r="26770">
          <cell r="O26770" t="str">
            <v/>
          </cell>
        </row>
        <row r="26771">
          <cell r="O26771" t="str">
            <v/>
          </cell>
        </row>
        <row r="26772">
          <cell r="O26772" t="str">
            <v/>
          </cell>
        </row>
        <row r="26773">
          <cell r="O26773" t="str">
            <v/>
          </cell>
        </row>
        <row r="26774">
          <cell r="O26774" t="str">
            <v/>
          </cell>
        </row>
        <row r="26775">
          <cell r="O26775" t="str">
            <v/>
          </cell>
        </row>
        <row r="26776">
          <cell r="O26776" t="str">
            <v/>
          </cell>
        </row>
        <row r="26777">
          <cell r="O26777" t="str">
            <v/>
          </cell>
        </row>
        <row r="26778">
          <cell r="O26778" t="str">
            <v/>
          </cell>
        </row>
        <row r="26779">
          <cell r="O26779" t="str">
            <v/>
          </cell>
        </row>
        <row r="26780">
          <cell r="O26780" t="str">
            <v/>
          </cell>
        </row>
        <row r="26781">
          <cell r="O26781" t="str">
            <v/>
          </cell>
        </row>
        <row r="26782">
          <cell r="O26782" t="str">
            <v/>
          </cell>
        </row>
        <row r="26783">
          <cell r="O26783" t="str">
            <v/>
          </cell>
        </row>
        <row r="26784">
          <cell r="O26784" t="str">
            <v/>
          </cell>
        </row>
        <row r="26785">
          <cell r="O26785" t="str">
            <v/>
          </cell>
        </row>
        <row r="26786">
          <cell r="O26786" t="str">
            <v/>
          </cell>
        </row>
        <row r="26787">
          <cell r="O26787" t="str">
            <v/>
          </cell>
        </row>
        <row r="26788">
          <cell r="O26788" t="str">
            <v/>
          </cell>
        </row>
        <row r="26789">
          <cell r="O26789" t="str">
            <v/>
          </cell>
        </row>
        <row r="26790">
          <cell r="O26790" t="str">
            <v/>
          </cell>
        </row>
        <row r="26791">
          <cell r="O26791" t="str">
            <v/>
          </cell>
        </row>
        <row r="26792">
          <cell r="O26792" t="str">
            <v/>
          </cell>
        </row>
        <row r="26793">
          <cell r="O26793" t="str">
            <v/>
          </cell>
        </row>
        <row r="26794">
          <cell r="O26794" t="str">
            <v/>
          </cell>
        </row>
        <row r="26795">
          <cell r="O26795" t="str">
            <v/>
          </cell>
        </row>
        <row r="26796">
          <cell r="O26796" t="str">
            <v/>
          </cell>
        </row>
        <row r="26797">
          <cell r="O26797" t="str">
            <v/>
          </cell>
        </row>
        <row r="26798">
          <cell r="O26798" t="str">
            <v/>
          </cell>
        </row>
        <row r="26799">
          <cell r="O26799" t="str">
            <v/>
          </cell>
        </row>
        <row r="26800">
          <cell r="O26800" t="str">
            <v/>
          </cell>
        </row>
        <row r="26801">
          <cell r="O26801" t="str">
            <v/>
          </cell>
        </row>
        <row r="26802">
          <cell r="O26802" t="str">
            <v/>
          </cell>
        </row>
        <row r="26803">
          <cell r="O26803" t="str">
            <v/>
          </cell>
        </row>
        <row r="26804">
          <cell r="O26804" t="str">
            <v/>
          </cell>
        </row>
        <row r="26805">
          <cell r="O26805" t="str">
            <v/>
          </cell>
        </row>
        <row r="26806">
          <cell r="O26806" t="str">
            <v/>
          </cell>
        </row>
        <row r="26807">
          <cell r="O26807" t="str">
            <v/>
          </cell>
        </row>
        <row r="26808">
          <cell r="O26808" t="str">
            <v/>
          </cell>
        </row>
        <row r="26809">
          <cell r="O26809" t="str">
            <v/>
          </cell>
        </row>
        <row r="26810">
          <cell r="O26810" t="str">
            <v/>
          </cell>
        </row>
        <row r="26811">
          <cell r="O26811" t="str">
            <v/>
          </cell>
        </row>
        <row r="26812">
          <cell r="O26812" t="str">
            <v/>
          </cell>
        </row>
        <row r="26813">
          <cell r="O26813" t="str">
            <v/>
          </cell>
        </row>
        <row r="26814">
          <cell r="O26814" t="str">
            <v/>
          </cell>
        </row>
        <row r="26815">
          <cell r="O26815" t="str">
            <v/>
          </cell>
        </row>
        <row r="26816">
          <cell r="O26816" t="str">
            <v/>
          </cell>
        </row>
        <row r="26817">
          <cell r="O26817" t="str">
            <v/>
          </cell>
        </row>
        <row r="26818">
          <cell r="O26818" t="str">
            <v/>
          </cell>
        </row>
        <row r="26819">
          <cell r="O26819" t="str">
            <v/>
          </cell>
        </row>
        <row r="26820">
          <cell r="O26820" t="str">
            <v/>
          </cell>
        </row>
        <row r="26821">
          <cell r="O26821" t="str">
            <v/>
          </cell>
        </row>
        <row r="26822">
          <cell r="O26822" t="str">
            <v/>
          </cell>
        </row>
        <row r="26823">
          <cell r="O26823" t="str">
            <v/>
          </cell>
        </row>
        <row r="26824">
          <cell r="O26824" t="str">
            <v/>
          </cell>
        </row>
        <row r="26825">
          <cell r="O26825" t="str">
            <v/>
          </cell>
        </row>
        <row r="26826">
          <cell r="O26826" t="str">
            <v/>
          </cell>
        </row>
        <row r="26827">
          <cell r="O26827" t="str">
            <v/>
          </cell>
        </row>
        <row r="26828">
          <cell r="O26828" t="str">
            <v/>
          </cell>
        </row>
        <row r="26829">
          <cell r="O26829" t="str">
            <v/>
          </cell>
        </row>
        <row r="26830">
          <cell r="O26830" t="str">
            <v/>
          </cell>
        </row>
        <row r="26831">
          <cell r="O26831" t="str">
            <v/>
          </cell>
        </row>
        <row r="26832">
          <cell r="O26832" t="str">
            <v/>
          </cell>
        </row>
        <row r="26833">
          <cell r="O26833" t="str">
            <v/>
          </cell>
        </row>
        <row r="26834">
          <cell r="O26834" t="str">
            <v/>
          </cell>
        </row>
        <row r="26835">
          <cell r="O26835" t="str">
            <v/>
          </cell>
        </row>
        <row r="26836">
          <cell r="O26836" t="str">
            <v/>
          </cell>
        </row>
        <row r="26837">
          <cell r="O26837" t="str">
            <v/>
          </cell>
        </row>
        <row r="26838">
          <cell r="O26838" t="str">
            <v/>
          </cell>
        </row>
        <row r="26839">
          <cell r="O26839" t="str">
            <v/>
          </cell>
        </row>
        <row r="26840">
          <cell r="O26840" t="str">
            <v/>
          </cell>
        </row>
        <row r="26841">
          <cell r="O26841" t="str">
            <v/>
          </cell>
        </row>
        <row r="26842">
          <cell r="O26842" t="str">
            <v/>
          </cell>
        </row>
        <row r="26843">
          <cell r="O26843" t="str">
            <v/>
          </cell>
        </row>
        <row r="26844">
          <cell r="O26844" t="str">
            <v/>
          </cell>
        </row>
        <row r="26845">
          <cell r="O26845" t="str">
            <v/>
          </cell>
        </row>
        <row r="26846">
          <cell r="O26846" t="str">
            <v/>
          </cell>
        </row>
        <row r="26847">
          <cell r="O26847" t="str">
            <v/>
          </cell>
        </row>
        <row r="26848">
          <cell r="O26848" t="str">
            <v/>
          </cell>
        </row>
        <row r="26849">
          <cell r="O26849" t="str">
            <v/>
          </cell>
        </row>
        <row r="26850">
          <cell r="O26850" t="str">
            <v/>
          </cell>
        </row>
        <row r="26851">
          <cell r="O26851" t="str">
            <v/>
          </cell>
        </row>
        <row r="26852">
          <cell r="O26852" t="str">
            <v/>
          </cell>
        </row>
        <row r="26853">
          <cell r="O26853" t="str">
            <v/>
          </cell>
        </row>
        <row r="26854">
          <cell r="O26854" t="str">
            <v/>
          </cell>
        </row>
        <row r="26855">
          <cell r="O26855" t="str">
            <v/>
          </cell>
        </row>
        <row r="26856">
          <cell r="O26856" t="str">
            <v/>
          </cell>
        </row>
        <row r="26857">
          <cell r="O26857" t="str">
            <v/>
          </cell>
        </row>
        <row r="26858">
          <cell r="O26858" t="str">
            <v/>
          </cell>
        </row>
        <row r="26859">
          <cell r="O26859" t="str">
            <v/>
          </cell>
        </row>
        <row r="26860">
          <cell r="O26860" t="str">
            <v/>
          </cell>
        </row>
        <row r="26861">
          <cell r="O26861" t="str">
            <v/>
          </cell>
        </row>
        <row r="26862">
          <cell r="O26862" t="str">
            <v/>
          </cell>
        </row>
        <row r="26863">
          <cell r="O26863" t="str">
            <v/>
          </cell>
        </row>
        <row r="26864">
          <cell r="O26864" t="str">
            <v/>
          </cell>
        </row>
        <row r="26865">
          <cell r="O26865" t="str">
            <v/>
          </cell>
        </row>
        <row r="26866">
          <cell r="O26866" t="str">
            <v/>
          </cell>
        </row>
        <row r="26867">
          <cell r="O26867" t="str">
            <v/>
          </cell>
        </row>
        <row r="26868">
          <cell r="O26868" t="str">
            <v/>
          </cell>
        </row>
        <row r="26869">
          <cell r="O26869" t="str">
            <v/>
          </cell>
        </row>
        <row r="26870">
          <cell r="O26870" t="str">
            <v/>
          </cell>
        </row>
        <row r="26871">
          <cell r="O26871" t="str">
            <v/>
          </cell>
        </row>
        <row r="26872">
          <cell r="O26872" t="str">
            <v/>
          </cell>
        </row>
        <row r="26873">
          <cell r="O26873" t="str">
            <v/>
          </cell>
        </row>
        <row r="26874">
          <cell r="O26874" t="str">
            <v/>
          </cell>
        </row>
        <row r="26875">
          <cell r="O26875" t="str">
            <v/>
          </cell>
        </row>
        <row r="26876">
          <cell r="O26876" t="str">
            <v/>
          </cell>
        </row>
        <row r="26877">
          <cell r="O26877" t="str">
            <v/>
          </cell>
        </row>
        <row r="26878">
          <cell r="O26878" t="str">
            <v/>
          </cell>
        </row>
        <row r="26879">
          <cell r="O26879" t="str">
            <v/>
          </cell>
        </row>
        <row r="26880">
          <cell r="O26880" t="str">
            <v/>
          </cell>
        </row>
        <row r="26881">
          <cell r="O26881" t="str">
            <v/>
          </cell>
        </row>
        <row r="26882">
          <cell r="O26882" t="str">
            <v/>
          </cell>
        </row>
        <row r="26883">
          <cell r="O26883" t="str">
            <v/>
          </cell>
        </row>
        <row r="26884">
          <cell r="O26884" t="str">
            <v/>
          </cell>
        </row>
        <row r="26885">
          <cell r="O26885" t="str">
            <v/>
          </cell>
        </row>
        <row r="26886">
          <cell r="O26886" t="str">
            <v/>
          </cell>
        </row>
        <row r="26887">
          <cell r="O26887" t="str">
            <v/>
          </cell>
        </row>
        <row r="26888">
          <cell r="O26888" t="str">
            <v/>
          </cell>
        </row>
        <row r="26889">
          <cell r="O26889" t="str">
            <v/>
          </cell>
        </row>
        <row r="26890">
          <cell r="O26890" t="str">
            <v/>
          </cell>
        </row>
        <row r="26891">
          <cell r="O26891" t="str">
            <v/>
          </cell>
        </row>
        <row r="26892">
          <cell r="O26892" t="str">
            <v/>
          </cell>
        </row>
        <row r="26893">
          <cell r="O26893" t="str">
            <v/>
          </cell>
        </row>
        <row r="26894">
          <cell r="O26894" t="str">
            <v/>
          </cell>
        </row>
        <row r="26895">
          <cell r="O26895" t="str">
            <v/>
          </cell>
        </row>
        <row r="26896">
          <cell r="O26896" t="str">
            <v/>
          </cell>
        </row>
        <row r="26897">
          <cell r="O26897" t="str">
            <v/>
          </cell>
        </row>
        <row r="26898">
          <cell r="O26898" t="str">
            <v/>
          </cell>
        </row>
        <row r="26899">
          <cell r="O26899" t="str">
            <v/>
          </cell>
        </row>
        <row r="26900">
          <cell r="O26900" t="str">
            <v/>
          </cell>
        </row>
        <row r="26901">
          <cell r="O26901" t="str">
            <v/>
          </cell>
        </row>
        <row r="26902">
          <cell r="O26902" t="str">
            <v/>
          </cell>
        </row>
        <row r="26903">
          <cell r="O26903" t="str">
            <v/>
          </cell>
        </row>
        <row r="26904">
          <cell r="O26904" t="str">
            <v/>
          </cell>
        </row>
        <row r="26905">
          <cell r="O26905" t="str">
            <v/>
          </cell>
        </row>
        <row r="26906">
          <cell r="O26906" t="str">
            <v/>
          </cell>
        </row>
        <row r="26907">
          <cell r="O26907" t="str">
            <v/>
          </cell>
        </row>
        <row r="26908">
          <cell r="O26908" t="str">
            <v/>
          </cell>
        </row>
        <row r="26909">
          <cell r="O26909" t="str">
            <v/>
          </cell>
        </row>
        <row r="26910">
          <cell r="O26910" t="str">
            <v/>
          </cell>
        </row>
        <row r="26911">
          <cell r="O26911" t="str">
            <v/>
          </cell>
        </row>
        <row r="26912">
          <cell r="O26912" t="str">
            <v/>
          </cell>
        </row>
        <row r="26913">
          <cell r="O26913" t="str">
            <v/>
          </cell>
        </row>
        <row r="26914">
          <cell r="O26914" t="str">
            <v/>
          </cell>
        </row>
        <row r="26915">
          <cell r="O26915" t="str">
            <v/>
          </cell>
        </row>
        <row r="26916">
          <cell r="O26916" t="str">
            <v/>
          </cell>
        </row>
        <row r="26917">
          <cell r="O26917" t="str">
            <v/>
          </cell>
        </row>
        <row r="26918">
          <cell r="O26918" t="str">
            <v/>
          </cell>
        </row>
        <row r="26919">
          <cell r="O26919" t="str">
            <v/>
          </cell>
        </row>
        <row r="26920">
          <cell r="O26920" t="str">
            <v/>
          </cell>
        </row>
        <row r="26921">
          <cell r="O26921" t="str">
            <v/>
          </cell>
        </row>
        <row r="26922">
          <cell r="O26922" t="str">
            <v/>
          </cell>
        </row>
        <row r="26923">
          <cell r="O26923" t="str">
            <v/>
          </cell>
        </row>
        <row r="26924">
          <cell r="O26924" t="str">
            <v/>
          </cell>
        </row>
        <row r="26925">
          <cell r="O26925" t="str">
            <v/>
          </cell>
        </row>
        <row r="26926">
          <cell r="O26926" t="str">
            <v/>
          </cell>
        </row>
        <row r="26927">
          <cell r="O26927" t="str">
            <v/>
          </cell>
        </row>
        <row r="26928">
          <cell r="O26928" t="str">
            <v/>
          </cell>
        </row>
        <row r="26929">
          <cell r="O26929" t="str">
            <v/>
          </cell>
        </row>
        <row r="26930">
          <cell r="O26930" t="str">
            <v/>
          </cell>
        </row>
        <row r="26931">
          <cell r="O26931" t="str">
            <v/>
          </cell>
        </row>
        <row r="26932">
          <cell r="O26932" t="str">
            <v/>
          </cell>
        </row>
        <row r="26933">
          <cell r="O26933" t="str">
            <v/>
          </cell>
        </row>
        <row r="26934">
          <cell r="O26934" t="str">
            <v/>
          </cell>
        </row>
        <row r="26935">
          <cell r="O26935" t="str">
            <v/>
          </cell>
        </row>
        <row r="26936">
          <cell r="O26936" t="str">
            <v/>
          </cell>
        </row>
        <row r="26937">
          <cell r="O26937" t="str">
            <v/>
          </cell>
        </row>
        <row r="26938">
          <cell r="O26938" t="str">
            <v/>
          </cell>
        </row>
        <row r="26939">
          <cell r="O26939" t="str">
            <v/>
          </cell>
        </row>
        <row r="26940">
          <cell r="O26940" t="str">
            <v/>
          </cell>
        </row>
        <row r="26941">
          <cell r="O26941" t="str">
            <v/>
          </cell>
        </row>
        <row r="26942">
          <cell r="O26942" t="str">
            <v/>
          </cell>
        </row>
        <row r="26943">
          <cell r="O26943" t="str">
            <v/>
          </cell>
        </row>
        <row r="26944">
          <cell r="O26944" t="str">
            <v/>
          </cell>
        </row>
        <row r="26945">
          <cell r="O26945" t="str">
            <v/>
          </cell>
        </row>
        <row r="26946">
          <cell r="O26946" t="str">
            <v/>
          </cell>
        </row>
        <row r="26947">
          <cell r="O26947" t="str">
            <v/>
          </cell>
        </row>
        <row r="26948">
          <cell r="O26948" t="str">
            <v/>
          </cell>
        </row>
        <row r="26949">
          <cell r="O26949" t="str">
            <v/>
          </cell>
        </row>
        <row r="26950">
          <cell r="O26950" t="str">
            <v/>
          </cell>
        </row>
        <row r="26951">
          <cell r="O26951" t="str">
            <v/>
          </cell>
        </row>
        <row r="26952">
          <cell r="O26952" t="str">
            <v/>
          </cell>
        </row>
        <row r="26953">
          <cell r="O26953" t="str">
            <v/>
          </cell>
        </row>
        <row r="26954">
          <cell r="O26954" t="str">
            <v/>
          </cell>
        </row>
        <row r="26955">
          <cell r="O26955" t="str">
            <v/>
          </cell>
        </row>
        <row r="26956">
          <cell r="O26956" t="str">
            <v/>
          </cell>
        </row>
        <row r="26957">
          <cell r="O26957" t="str">
            <v/>
          </cell>
        </row>
        <row r="26958">
          <cell r="O26958" t="str">
            <v/>
          </cell>
        </row>
        <row r="26959">
          <cell r="O26959" t="str">
            <v/>
          </cell>
        </row>
        <row r="26960">
          <cell r="O26960" t="str">
            <v/>
          </cell>
        </row>
        <row r="26961">
          <cell r="O26961" t="str">
            <v/>
          </cell>
        </row>
        <row r="26962">
          <cell r="O26962" t="str">
            <v/>
          </cell>
        </row>
        <row r="26963">
          <cell r="O26963" t="str">
            <v/>
          </cell>
        </row>
        <row r="26964">
          <cell r="O26964" t="str">
            <v/>
          </cell>
        </row>
        <row r="26965">
          <cell r="O26965" t="str">
            <v/>
          </cell>
        </row>
        <row r="26966">
          <cell r="O26966" t="str">
            <v/>
          </cell>
        </row>
        <row r="26967">
          <cell r="O26967" t="str">
            <v/>
          </cell>
        </row>
        <row r="26968">
          <cell r="O26968" t="str">
            <v/>
          </cell>
        </row>
        <row r="26969">
          <cell r="O26969" t="str">
            <v/>
          </cell>
        </row>
        <row r="26970">
          <cell r="O26970" t="str">
            <v/>
          </cell>
        </row>
        <row r="26971">
          <cell r="O26971" t="str">
            <v/>
          </cell>
        </row>
        <row r="26972">
          <cell r="O26972" t="str">
            <v/>
          </cell>
        </row>
        <row r="26973">
          <cell r="O26973" t="str">
            <v/>
          </cell>
        </row>
        <row r="26974">
          <cell r="O26974" t="str">
            <v/>
          </cell>
        </row>
        <row r="26975">
          <cell r="O26975" t="str">
            <v/>
          </cell>
        </row>
        <row r="26976">
          <cell r="O26976" t="str">
            <v/>
          </cell>
        </row>
        <row r="26977">
          <cell r="O26977" t="str">
            <v/>
          </cell>
        </row>
        <row r="26978">
          <cell r="O26978" t="str">
            <v/>
          </cell>
        </row>
        <row r="26979">
          <cell r="O26979" t="str">
            <v/>
          </cell>
        </row>
        <row r="26980">
          <cell r="O26980" t="str">
            <v/>
          </cell>
        </row>
        <row r="26981">
          <cell r="O26981" t="str">
            <v/>
          </cell>
        </row>
        <row r="26982">
          <cell r="O26982" t="str">
            <v/>
          </cell>
        </row>
        <row r="26983">
          <cell r="O26983" t="str">
            <v/>
          </cell>
        </row>
        <row r="26984">
          <cell r="O26984" t="str">
            <v/>
          </cell>
        </row>
        <row r="26985">
          <cell r="O26985" t="str">
            <v/>
          </cell>
        </row>
        <row r="26986">
          <cell r="O26986" t="str">
            <v/>
          </cell>
        </row>
        <row r="26987">
          <cell r="O26987" t="str">
            <v/>
          </cell>
        </row>
        <row r="26988">
          <cell r="O26988" t="str">
            <v/>
          </cell>
        </row>
        <row r="26989">
          <cell r="O26989" t="str">
            <v/>
          </cell>
        </row>
        <row r="26990">
          <cell r="O26990" t="str">
            <v/>
          </cell>
        </row>
        <row r="26991">
          <cell r="O26991" t="str">
            <v/>
          </cell>
        </row>
        <row r="26992">
          <cell r="O26992" t="str">
            <v/>
          </cell>
        </row>
        <row r="26993">
          <cell r="O26993" t="str">
            <v/>
          </cell>
        </row>
        <row r="26994">
          <cell r="O26994" t="str">
            <v/>
          </cell>
        </row>
        <row r="26995">
          <cell r="O26995" t="str">
            <v/>
          </cell>
        </row>
        <row r="26996">
          <cell r="O26996" t="str">
            <v/>
          </cell>
        </row>
        <row r="26997">
          <cell r="O26997" t="str">
            <v/>
          </cell>
        </row>
        <row r="26998">
          <cell r="O26998" t="str">
            <v/>
          </cell>
        </row>
        <row r="26999">
          <cell r="O26999" t="str">
            <v/>
          </cell>
        </row>
        <row r="27000">
          <cell r="O27000" t="str">
            <v/>
          </cell>
        </row>
        <row r="27001">
          <cell r="O27001" t="str">
            <v/>
          </cell>
        </row>
        <row r="27002">
          <cell r="O27002" t="str">
            <v/>
          </cell>
        </row>
        <row r="27003">
          <cell r="O27003" t="str">
            <v/>
          </cell>
        </row>
        <row r="27004">
          <cell r="O27004" t="str">
            <v/>
          </cell>
        </row>
        <row r="27005">
          <cell r="O27005" t="str">
            <v/>
          </cell>
        </row>
        <row r="27006">
          <cell r="O27006" t="str">
            <v/>
          </cell>
        </row>
        <row r="27007">
          <cell r="O27007" t="str">
            <v/>
          </cell>
        </row>
        <row r="27008">
          <cell r="O27008" t="str">
            <v/>
          </cell>
        </row>
        <row r="27009">
          <cell r="O27009" t="str">
            <v/>
          </cell>
        </row>
        <row r="27010">
          <cell r="O27010" t="str">
            <v/>
          </cell>
        </row>
        <row r="27011">
          <cell r="O27011" t="str">
            <v/>
          </cell>
        </row>
        <row r="27012">
          <cell r="O27012" t="str">
            <v/>
          </cell>
        </row>
        <row r="27013">
          <cell r="O27013" t="str">
            <v/>
          </cell>
        </row>
        <row r="27014">
          <cell r="O27014" t="str">
            <v/>
          </cell>
        </row>
        <row r="27015">
          <cell r="O27015" t="str">
            <v/>
          </cell>
        </row>
        <row r="27016">
          <cell r="O27016" t="str">
            <v/>
          </cell>
        </row>
        <row r="27017">
          <cell r="O27017" t="str">
            <v/>
          </cell>
        </row>
        <row r="27018">
          <cell r="O27018" t="str">
            <v/>
          </cell>
        </row>
        <row r="27019">
          <cell r="O27019" t="str">
            <v/>
          </cell>
        </row>
        <row r="27020">
          <cell r="O27020" t="str">
            <v/>
          </cell>
        </row>
        <row r="27021">
          <cell r="O27021" t="str">
            <v/>
          </cell>
        </row>
        <row r="27022">
          <cell r="O27022" t="str">
            <v/>
          </cell>
        </row>
        <row r="27023">
          <cell r="O27023" t="str">
            <v/>
          </cell>
        </row>
        <row r="27024">
          <cell r="O27024" t="str">
            <v/>
          </cell>
        </row>
        <row r="27025">
          <cell r="O27025" t="str">
            <v/>
          </cell>
        </row>
        <row r="27026">
          <cell r="O27026" t="str">
            <v/>
          </cell>
        </row>
        <row r="27027">
          <cell r="O27027" t="str">
            <v/>
          </cell>
        </row>
        <row r="27028">
          <cell r="O27028" t="str">
            <v/>
          </cell>
        </row>
        <row r="27029">
          <cell r="O27029" t="str">
            <v/>
          </cell>
        </row>
        <row r="27030">
          <cell r="O27030" t="str">
            <v/>
          </cell>
        </row>
        <row r="27031">
          <cell r="O27031" t="str">
            <v/>
          </cell>
        </row>
        <row r="27032">
          <cell r="O27032" t="str">
            <v/>
          </cell>
        </row>
        <row r="27033">
          <cell r="O27033" t="str">
            <v/>
          </cell>
        </row>
        <row r="27034">
          <cell r="O27034" t="str">
            <v/>
          </cell>
        </row>
        <row r="27035">
          <cell r="O27035" t="str">
            <v/>
          </cell>
        </row>
        <row r="27036">
          <cell r="O27036" t="str">
            <v/>
          </cell>
        </row>
        <row r="27037">
          <cell r="O27037" t="str">
            <v/>
          </cell>
        </row>
        <row r="27038">
          <cell r="O27038" t="str">
            <v/>
          </cell>
        </row>
        <row r="27039">
          <cell r="O27039" t="str">
            <v/>
          </cell>
        </row>
        <row r="27040">
          <cell r="O27040" t="str">
            <v/>
          </cell>
        </row>
        <row r="27041">
          <cell r="O27041" t="str">
            <v/>
          </cell>
        </row>
        <row r="27042">
          <cell r="O27042" t="str">
            <v/>
          </cell>
        </row>
        <row r="27043">
          <cell r="O27043" t="str">
            <v/>
          </cell>
        </row>
        <row r="27044">
          <cell r="O27044" t="str">
            <v/>
          </cell>
        </row>
        <row r="27045">
          <cell r="O27045" t="str">
            <v/>
          </cell>
        </row>
        <row r="27046">
          <cell r="O27046" t="str">
            <v/>
          </cell>
        </row>
        <row r="27047">
          <cell r="O27047" t="str">
            <v/>
          </cell>
        </row>
        <row r="27048">
          <cell r="O27048" t="str">
            <v/>
          </cell>
        </row>
        <row r="27049">
          <cell r="O27049" t="str">
            <v/>
          </cell>
        </row>
        <row r="27050">
          <cell r="O27050" t="str">
            <v/>
          </cell>
        </row>
        <row r="27051">
          <cell r="O27051" t="str">
            <v/>
          </cell>
        </row>
        <row r="27052">
          <cell r="O27052" t="str">
            <v/>
          </cell>
        </row>
        <row r="27053">
          <cell r="O27053" t="str">
            <v/>
          </cell>
        </row>
        <row r="27054">
          <cell r="O27054" t="str">
            <v/>
          </cell>
        </row>
        <row r="27055">
          <cell r="O27055" t="str">
            <v/>
          </cell>
        </row>
        <row r="27056">
          <cell r="O27056" t="str">
            <v/>
          </cell>
        </row>
        <row r="27057">
          <cell r="O27057" t="str">
            <v/>
          </cell>
        </row>
        <row r="27058">
          <cell r="O27058" t="str">
            <v/>
          </cell>
        </row>
        <row r="27059">
          <cell r="O27059" t="str">
            <v/>
          </cell>
        </row>
        <row r="27060">
          <cell r="O27060" t="str">
            <v/>
          </cell>
        </row>
        <row r="27061">
          <cell r="O27061" t="str">
            <v/>
          </cell>
        </row>
        <row r="27062">
          <cell r="O27062" t="str">
            <v/>
          </cell>
        </row>
        <row r="27063">
          <cell r="O27063" t="str">
            <v/>
          </cell>
        </row>
        <row r="27064">
          <cell r="O27064" t="str">
            <v/>
          </cell>
        </row>
        <row r="27065">
          <cell r="O27065" t="str">
            <v/>
          </cell>
        </row>
        <row r="27066">
          <cell r="O27066" t="str">
            <v/>
          </cell>
        </row>
        <row r="27067">
          <cell r="O27067" t="str">
            <v/>
          </cell>
        </row>
        <row r="27068">
          <cell r="O27068" t="str">
            <v/>
          </cell>
        </row>
        <row r="27069">
          <cell r="O27069" t="str">
            <v/>
          </cell>
        </row>
        <row r="27070">
          <cell r="O27070" t="str">
            <v/>
          </cell>
        </row>
        <row r="27071">
          <cell r="O27071" t="str">
            <v/>
          </cell>
        </row>
        <row r="27072">
          <cell r="O27072" t="str">
            <v/>
          </cell>
        </row>
        <row r="27073">
          <cell r="O27073" t="str">
            <v/>
          </cell>
        </row>
        <row r="27074">
          <cell r="O27074" t="str">
            <v/>
          </cell>
        </row>
        <row r="27075">
          <cell r="O27075" t="str">
            <v/>
          </cell>
        </row>
        <row r="27076">
          <cell r="O27076" t="str">
            <v/>
          </cell>
        </row>
        <row r="27077">
          <cell r="O27077" t="str">
            <v/>
          </cell>
        </row>
        <row r="27078">
          <cell r="O27078" t="str">
            <v/>
          </cell>
        </row>
        <row r="27079">
          <cell r="O27079" t="str">
            <v/>
          </cell>
        </row>
        <row r="27080">
          <cell r="O27080" t="str">
            <v/>
          </cell>
        </row>
        <row r="27081">
          <cell r="O27081" t="str">
            <v/>
          </cell>
        </row>
        <row r="27082">
          <cell r="O27082" t="str">
            <v/>
          </cell>
        </row>
        <row r="27083">
          <cell r="O27083" t="str">
            <v/>
          </cell>
        </row>
        <row r="27084">
          <cell r="O27084" t="str">
            <v/>
          </cell>
        </row>
        <row r="27085">
          <cell r="O27085" t="str">
            <v/>
          </cell>
        </row>
        <row r="27086">
          <cell r="O27086" t="str">
            <v/>
          </cell>
        </row>
        <row r="27087">
          <cell r="O27087" t="str">
            <v/>
          </cell>
        </row>
        <row r="27088">
          <cell r="O27088" t="str">
            <v/>
          </cell>
        </row>
        <row r="27089">
          <cell r="O27089" t="str">
            <v/>
          </cell>
        </row>
        <row r="27090">
          <cell r="O27090" t="str">
            <v/>
          </cell>
        </row>
        <row r="27091">
          <cell r="O27091" t="str">
            <v/>
          </cell>
        </row>
        <row r="27092">
          <cell r="O27092" t="str">
            <v/>
          </cell>
        </row>
        <row r="27093">
          <cell r="O27093" t="str">
            <v/>
          </cell>
        </row>
        <row r="27094">
          <cell r="O27094" t="str">
            <v/>
          </cell>
        </row>
        <row r="27095">
          <cell r="O27095" t="str">
            <v/>
          </cell>
        </row>
        <row r="27096">
          <cell r="O27096" t="str">
            <v/>
          </cell>
        </row>
        <row r="27097">
          <cell r="O27097" t="str">
            <v/>
          </cell>
        </row>
        <row r="27098">
          <cell r="O27098" t="str">
            <v/>
          </cell>
        </row>
        <row r="27099">
          <cell r="O27099" t="str">
            <v/>
          </cell>
        </row>
        <row r="27100">
          <cell r="O27100" t="str">
            <v/>
          </cell>
        </row>
        <row r="27101">
          <cell r="O27101" t="str">
            <v/>
          </cell>
        </row>
        <row r="27102">
          <cell r="O27102" t="str">
            <v/>
          </cell>
        </row>
        <row r="27103">
          <cell r="O27103" t="str">
            <v/>
          </cell>
        </row>
        <row r="27104">
          <cell r="O27104" t="str">
            <v/>
          </cell>
        </row>
        <row r="27105">
          <cell r="O27105" t="str">
            <v/>
          </cell>
        </row>
        <row r="27106">
          <cell r="O27106" t="str">
            <v/>
          </cell>
        </row>
        <row r="27107">
          <cell r="O27107" t="str">
            <v/>
          </cell>
        </row>
        <row r="27108">
          <cell r="O27108" t="str">
            <v/>
          </cell>
        </row>
        <row r="27109">
          <cell r="O27109" t="str">
            <v/>
          </cell>
        </row>
        <row r="27110">
          <cell r="O27110" t="str">
            <v/>
          </cell>
        </row>
        <row r="27111">
          <cell r="O27111" t="str">
            <v/>
          </cell>
        </row>
        <row r="27112">
          <cell r="O27112" t="str">
            <v/>
          </cell>
        </row>
        <row r="27113">
          <cell r="O27113" t="str">
            <v/>
          </cell>
        </row>
        <row r="27114">
          <cell r="O27114" t="str">
            <v/>
          </cell>
        </row>
        <row r="27115">
          <cell r="O27115" t="str">
            <v/>
          </cell>
        </row>
        <row r="27116">
          <cell r="O27116" t="str">
            <v/>
          </cell>
        </row>
        <row r="27117">
          <cell r="O27117" t="str">
            <v/>
          </cell>
        </row>
        <row r="27118">
          <cell r="O27118" t="str">
            <v/>
          </cell>
        </row>
        <row r="27119">
          <cell r="O27119" t="str">
            <v/>
          </cell>
        </row>
        <row r="27120">
          <cell r="O27120" t="str">
            <v/>
          </cell>
        </row>
        <row r="27121">
          <cell r="O27121" t="str">
            <v/>
          </cell>
        </row>
        <row r="27122">
          <cell r="O27122" t="str">
            <v/>
          </cell>
        </row>
        <row r="27123">
          <cell r="O27123" t="str">
            <v/>
          </cell>
        </row>
        <row r="27124">
          <cell r="O27124" t="str">
            <v/>
          </cell>
        </row>
        <row r="27125">
          <cell r="O27125" t="str">
            <v/>
          </cell>
        </row>
        <row r="27126">
          <cell r="O27126" t="str">
            <v/>
          </cell>
        </row>
        <row r="27127">
          <cell r="O27127" t="str">
            <v/>
          </cell>
        </row>
        <row r="27128">
          <cell r="O27128" t="str">
            <v/>
          </cell>
        </row>
        <row r="27129">
          <cell r="O27129" t="str">
            <v/>
          </cell>
        </row>
        <row r="27130">
          <cell r="O27130" t="str">
            <v/>
          </cell>
        </row>
        <row r="27131">
          <cell r="O27131" t="str">
            <v/>
          </cell>
        </row>
        <row r="27132">
          <cell r="O27132" t="str">
            <v/>
          </cell>
        </row>
        <row r="27133">
          <cell r="O27133" t="str">
            <v/>
          </cell>
        </row>
        <row r="27134">
          <cell r="O27134" t="str">
            <v/>
          </cell>
        </row>
        <row r="27135">
          <cell r="O27135" t="str">
            <v/>
          </cell>
        </row>
        <row r="27136">
          <cell r="O27136" t="str">
            <v/>
          </cell>
        </row>
        <row r="27137">
          <cell r="O27137" t="str">
            <v/>
          </cell>
        </row>
        <row r="27138">
          <cell r="O27138" t="str">
            <v/>
          </cell>
        </row>
        <row r="27139">
          <cell r="O27139" t="str">
            <v/>
          </cell>
        </row>
        <row r="27140">
          <cell r="O27140" t="str">
            <v/>
          </cell>
        </row>
        <row r="27141">
          <cell r="O27141" t="str">
            <v/>
          </cell>
        </row>
        <row r="27142">
          <cell r="O27142" t="str">
            <v/>
          </cell>
        </row>
        <row r="27143">
          <cell r="O27143" t="str">
            <v/>
          </cell>
        </row>
        <row r="27144">
          <cell r="O27144" t="str">
            <v/>
          </cell>
        </row>
        <row r="27145">
          <cell r="O27145" t="str">
            <v/>
          </cell>
        </row>
        <row r="27146">
          <cell r="O27146" t="str">
            <v/>
          </cell>
        </row>
        <row r="27147">
          <cell r="O27147" t="str">
            <v/>
          </cell>
        </row>
        <row r="27148">
          <cell r="O27148" t="str">
            <v/>
          </cell>
        </row>
        <row r="27149">
          <cell r="O27149" t="str">
            <v/>
          </cell>
        </row>
        <row r="27150">
          <cell r="O27150" t="str">
            <v/>
          </cell>
        </row>
        <row r="27151">
          <cell r="O27151" t="str">
            <v/>
          </cell>
        </row>
        <row r="27152">
          <cell r="O27152" t="str">
            <v/>
          </cell>
        </row>
        <row r="27153">
          <cell r="O27153" t="str">
            <v/>
          </cell>
        </row>
        <row r="27154">
          <cell r="O27154" t="str">
            <v/>
          </cell>
        </row>
        <row r="27155">
          <cell r="O27155" t="str">
            <v/>
          </cell>
        </row>
        <row r="27156">
          <cell r="O27156" t="str">
            <v/>
          </cell>
        </row>
        <row r="27157">
          <cell r="O27157" t="str">
            <v/>
          </cell>
        </row>
        <row r="27158">
          <cell r="O27158" t="str">
            <v/>
          </cell>
        </row>
        <row r="27159">
          <cell r="O27159" t="str">
            <v/>
          </cell>
        </row>
        <row r="27160">
          <cell r="O27160" t="str">
            <v/>
          </cell>
        </row>
        <row r="27161">
          <cell r="O27161" t="str">
            <v/>
          </cell>
        </row>
        <row r="27162">
          <cell r="O27162" t="str">
            <v/>
          </cell>
        </row>
        <row r="27163">
          <cell r="O27163" t="str">
            <v/>
          </cell>
        </row>
        <row r="27164">
          <cell r="O27164" t="str">
            <v/>
          </cell>
        </row>
        <row r="27165">
          <cell r="O27165" t="str">
            <v/>
          </cell>
        </row>
        <row r="27166">
          <cell r="O27166" t="str">
            <v/>
          </cell>
        </row>
        <row r="27167">
          <cell r="O27167" t="str">
            <v/>
          </cell>
        </row>
        <row r="27168">
          <cell r="O27168" t="str">
            <v/>
          </cell>
        </row>
        <row r="27169">
          <cell r="O27169" t="str">
            <v/>
          </cell>
        </row>
        <row r="27170">
          <cell r="O27170" t="str">
            <v/>
          </cell>
        </row>
        <row r="27171">
          <cell r="O27171" t="str">
            <v/>
          </cell>
        </row>
        <row r="27172">
          <cell r="O27172" t="str">
            <v/>
          </cell>
        </row>
        <row r="27173">
          <cell r="O27173" t="str">
            <v/>
          </cell>
        </row>
        <row r="27174">
          <cell r="O27174" t="str">
            <v/>
          </cell>
        </row>
        <row r="27175">
          <cell r="O27175" t="str">
            <v/>
          </cell>
        </row>
        <row r="27176">
          <cell r="O27176" t="str">
            <v/>
          </cell>
        </row>
        <row r="27177">
          <cell r="O27177" t="str">
            <v/>
          </cell>
        </row>
        <row r="27178">
          <cell r="O27178" t="str">
            <v/>
          </cell>
        </row>
        <row r="27179">
          <cell r="O27179" t="str">
            <v/>
          </cell>
        </row>
        <row r="27180">
          <cell r="O27180" t="str">
            <v/>
          </cell>
        </row>
        <row r="27181">
          <cell r="O27181" t="str">
            <v/>
          </cell>
        </row>
        <row r="27182">
          <cell r="O27182" t="str">
            <v/>
          </cell>
        </row>
        <row r="27183">
          <cell r="O27183" t="str">
            <v/>
          </cell>
        </row>
        <row r="27184">
          <cell r="O27184" t="str">
            <v/>
          </cell>
        </row>
        <row r="27185">
          <cell r="O27185" t="str">
            <v/>
          </cell>
        </row>
        <row r="27186">
          <cell r="O27186" t="str">
            <v/>
          </cell>
        </row>
        <row r="27187">
          <cell r="O27187" t="str">
            <v/>
          </cell>
        </row>
        <row r="27188">
          <cell r="O27188" t="str">
            <v/>
          </cell>
        </row>
        <row r="27189">
          <cell r="O27189" t="str">
            <v/>
          </cell>
        </row>
        <row r="27190">
          <cell r="O27190" t="str">
            <v/>
          </cell>
        </row>
        <row r="27191">
          <cell r="O27191" t="str">
            <v/>
          </cell>
        </row>
        <row r="27192">
          <cell r="O27192" t="str">
            <v/>
          </cell>
        </row>
        <row r="27193">
          <cell r="O27193" t="str">
            <v/>
          </cell>
        </row>
        <row r="27194">
          <cell r="O27194" t="str">
            <v/>
          </cell>
        </row>
        <row r="27195">
          <cell r="O27195" t="str">
            <v/>
          </cell>
        </row>
        <row r="27196">
          <cell r="O27196" t="str">
            <v/>
          </cell>
        </row>
        <row r="27197">
          <cell r="O27197" t="str">
            <v/>
          </cell>
        </row>
        <row r="27198">
          <cell r="O27198" t="str">
            <v/>
          </cell>
        </row>
        <row r="27199">
          <cell r="O27199" t="str">
            <v/>
          </cell>
        </row>
        <row r="27200">
          <cell r="O27200" t="str">
            <v/>
          </cell>
        </row>
        <row r="27201">
          <cell r="O27201" t="str">
            <v/>
          </cell>
        </row>
        <row r="27202">
          <cell r="O27202" t="str">
            <v/>
          </cell>
        </row>
        <row r="27203">
          <cell r="O27203" t="str">
            <v/>
          </cell>
        </row>
        <row r="27204">
          <cell r="O27204" t="str">
            <v/>
          </cell>
        </row>
        <row r="27205">
          <cell r="O27205" t="str">
            <v/>
          </cell>
        </row>
        <row r="27206">
          <cell r="O27206" t="str">
            <v/>
          </cell>
        </row>
        <row r="27207">
          <cell r="O27207" t="str">
            <v/>
          </cell>
        </row>
        <row r="27208">
          <cell r="O27208" t="str">
            <v/>
          </cell>
        </row>
        <row r="27209">
          <cell r="O27209" t="str">
            <v/>
          </cell>
        </row>
        <row r="27210">
          <cell r="O27210" t="str">
            <v/>
          </cell>
        </row>
        <row r="27211">
          <cell r="O27211" t="str">
            <v/>
          </cell>
        </row>
        <row r="27212">
          <cell r="O27212" t="str">
            <v/>
          </cell>
        </row>
        <row r="27213">
          <cell r="O27213" t="str">
            <v/>
          </cell>
        </row>
        <row r="27214">
          <cell r="O27214" t="str">
            <v/>
          </cell>
        </row>
        <row r="27215">
          <cell r="O27215" t="str">
            <v/>
          </cell>
        </row>
        <row r="27216">
          <cell r="O27216" t="str">
            <v/>
          </cell>
        </row>
        <row r="27217">
          <cell r="O27217" t="str">
            <v/>
          </cell>
        </row>
        <row r="27218">
          <cell r="O27218" t="str">
            <v/>
          </cell>
        </row>
        <row r="27219">
          <cell r="O27219" t="str">
            <v/>
          </cell>
        </row>
        <row r="27220">
          <cell r="O27220" t="str">
            <v/>
          </cell>
        </row>
        <row r="27221">
          <cell r="O27221" t="str">
            <v/>
          </cell>
        </row>
        <row r="27222">
          <cell r="O27222" t="str">
            <v/>
          </cell>
        </row>
        <row r="27223">
          <cell r="O27223" t="str">
            <v/>
          </cell>
        </row>
        <row r="27224">
          <cell r="O27224" t="str">
            <v/>
          </cell>
        </row>
        <row r="27225">
          <cell r="O27225" t="str">
            <v/>
          </cell>
        </row>
        <row r="27226">
          <cell r="O27226" t="str">
            <v/>
          </cell>
        </row>
        <row r="27227">
          <cell r="O27227" t="str">
            <v/>
          </cell>
        </row>
        <row r="27228">
          <cell r="O27228" t="str">
            <v/>
          </cell>
        </row>
        <row r="27229">
          <cell r="O27229" t="str">
            <v/>
          </cell>
        </row>
        <row r="27230">
          <cell r="O27230" t="str">
            <v/>
          </cell>
        </row>
        <row r="27231">
          <cell r="O27231" t="str">
            <v/>
          </cell>
        </row>
        <row r="27232">
          <cell r="O27232" t="str">
            <v/>
          </cell>
        </row>
        <row r="27233">
          <cell r="O27233" t="str">
            <v/>
          </cell>
        </row>
        <row r="27234">
          <cell r="O27234" t="str">
            <v/>
          </cell>
        </row>
        <row r="27235">
          <cell r="O27235" t="str">
            <v/>
          </cell>
        </row>
        <row r="27236">
          <cell r="O27236" t="str">
            <v/>
          </cell>
        </row>
        <row r="27237">
          <cell r="O27237" t="str">
            <v/>
          </cell>
        </row>
        <row r="27238">
          <cell r="O27238" t="str">
            <v/>
          </cell>
        </row>
        <row r="27239">
          <cell r="O27239" t="str">
            <v/>
          </cell>
        </row>
        <row r="27240">
          <cell r="O27240" t="str">
            <v/>
          </cell>
        </row>
        <row r="27241">
          <cell r="O27241" t="str">
            <v/>
          </cell>
        </row>
        <row r="27242">
          <cell r="O27242" t="str">
            <v/>
          </cell>
        </row>
        <row r="27243">
          <cell r="O27243" t="str">
            <v/>
          </cell>
        </row>
        <row r="27244">
          <cell r="O27244" t="str">
            <v/>
          </cell>
        </row>
        <row r="27245">
          <cell r="O27245" t="str">
            <v/>
          </cell>
        </row>
        <row r="27246">
          <cell r="O27246" t="str">
            <v/>
          </cell>
        </row>
        <row r="27247">
          <cell r="O27247" t="str">
            <v/>
          </cell>
        </row>
        <row r="27248">
          <cell r="O27248" t="str">
            <v/>
          </cell>
        </row>
        <row r="27249">
          <cell r="O27249" t="str">
            <v/>
          </cell>
        </row>
        <row r="27250">
          <cell r="O27250" t="str">
            <v/>
          </cell>
        </row>
        <row r="27251">
          <cell r="O27251" t="str">
            <v/>
          </cell>
        </row>
        <row r="27252">
          <cell r="O27252" t="str">
            <v/>
          </cell>
        </row>
        <row r="27253">
          <cell r="O27253" t="str">
            <v/>
          </cell>
        </row>
        <row r="27254">
          <cell r="O27254" t="str">
            <v/>
          </cell>
        </row>
        <row r="27255">
          <cell r="O27255" t="str">
            <v/>
          </cell>
        </row>
        <row r="27256">
          <cell r="O27256" t="str">
            <v/>
          </cell>
        </row>
        <row r="27257">
          <cell r="O27257" t="str">
            <v/>
          </cell>
        </row>
        <row r="27258">
          <cell r="O27258" t="str">
            <v/>
          </cell>
        </row>
        <row r="27259">
          <cell r="O27259" t="str">
            <v/>
          </cell>
        </row>
        <row r="27260">
          <cell r="O27260" t="str">
            <v/>
          </cell>
        </row>
        <row r="27261">
          <cell r="O27261" t="str">
            <v/>
          </cell>
        </row>
        <row r="27262">
          <cell r="O27262" t="str">
            <v/>
          </cell>
        </row>
        <row r="27263">
          <cell r="O27263" t="str">
            <v/>
          </cell>
        </row>
        <row r="27264">
          <cell r="O27264" t="str">
            <v/>
          </cell>
        </row>
        <row r="27265">
          <cell r="O27265" t="str">
            <v/>
          </cell>
        </row>
        <row r="27266">
          <cell r="O27266" t="str">
            <v/>
          </cell>
        </row>
        <row r="27267">
          <cell r="O27267" t="str">
            <v/>
          </cell>
        </row>
        <row r="27268">
          <cell r="O27268" t="str">
            <v/>
          </cell>
        </row>
        <row r="27269">
          <cell r="O27269" t="str">
            <v/>
          </cell>
        </row>
        <row r="27270">
          <cell r="O27270" t="str">
            <v/>
          </cell>
        </row>
        <row r="27271">
          <cell r="O27271" t="str">
            <v/>
          </cell>
        </row>
        <row r="27272">
          <cell r="O27272" t="str">
            <v/>
          </cell>
        </row>
        <row r="27273">
          <cell r="O27273" t="str">
            <v/>
          </cell>
        </row>
        <row r="27274">
          <cell r="O27274" t="str">
            <v/>
          </cell>
        </row>
        <row r="27275">
          <cell r="O27275" t="str">
            <v/>
          </cell>
        </row>
        <row r="27276">
          <cell r="O27276" t="str">
            <v/>
          </cell>
        </row>
        <row r="27277">
          <cell r="O27277" t="str">
            <v/>
          </cell>
        </row>
        <row r="27278">
          <cell r="O27278" t="str">
            <v/>
          </cell>
        </row>
        <row r="27279">
          <cell r="O27279" t="str">
            <v/>
          </cell>
        </row>
        <row r="27280">
          <cell r="O27280" t="str">
            <v/>
          </cell>
        </row>
        <row r="27281">
          <cell r="O27281" t="str">
            <v/>
          </cell>
        </row>
        <row r="27282">
          <cell r="O27282" t="str">
            <v/>
          </cell>
        </row>
        <row r="27283">
          <cell r="O27283" t="str">
            <v/>
          </cell>
        </row>
        <row r="27284">
          <cell r="O27284" t="str">
            <v/>
          </cell>
        </row>
        <row r="27285">
          <cell r="O27285" t="str">
            <v/>
          </cell>
        </row>
        <row r="27286">
          <cell r="O27286" t="str">
            <v/>
          </cell>
        </row>
        <row r="27287">
          <cell r="O27287" t="str">
            <v/>
          </cell>
        </row>
        <row r="27288">
          <cell r="O27288" t="str">
            <v/>
          </cell>
        </row>
        <row r="27289">
          <cell r="O27289" t="str">
            <v/>
          </cell>
        </row>
        <row r="27290">
          <cell r="O27290" t="str">
            <v/>
          </cell>
        </row>
        <row r="27291">
          <cell r="O27291" t="str">
            <v/>
          </cell>
        </row>
        <row r="27292">
          <cell r="O27292" t="str">
            <v/>
          </cell>
        </row>
        <row r="27293">
          <cell r="O27293" t="str">
            <v/>
          </cell>
        </row>
        <row r="27294">
          <cell r="O27294" t="str">
            <v/>
          </cell>
        </row>
        <row r="27295">
          <cell r="O27295" t="str">
            <v/>
          </cell>
        </row>
        <row r="27296">
          <cell r="O27296" t="str">
            <v/>
          </cell>
        </row>
        <row r="27297">
          <cell r="O27297" t="str">
            <v/>
          </cell>
        </row>
        <row r="27298">
          <cell r="O27298" t="str">
            <v/>
          </cell>
        </row>
        <row r="27299">
          <cell r="O27299" t="str">
            <v/>
          </cell>
        </row>
        <row r="27300">
          <cell r="O27300" t="str">
            <v/>
          </cell>
        </row>
        <row r="27301">
          <cell r="O27301" t="str">
            <v/>
          </cell>
        </row>
        <row r="27302">
          <cell r="O27302" t="str">
            <v/>
          </cell>
        </row>
        <row r="27303">
          <cell r="O27303" t="str">
            <v/>
          </cell>
        </row>
        <row r="27304">
          <cell r="O27304" t="str">
            <v/>
          </cell>
        </row>
        <row r="27305">
          <cell r="O27305" t="str">
            <v/>
          </cell>
        </row>
        <row r="27306">
          <cell r="O27306" t="str">
            <v/>
          </cell>
        </row>
        <row r="27307">
          <cell r="O27307" t="str">
            <v/>
          </cell>
        </row>
        <row r="27308">
          <cell r="O27308" t="str">
            <v/>
          </cell>
        </row>
        <row r="27309">
          <cell r="O27309" t="str">
            <v/>
          </cell>
        </row>
        <row r="27310">
          <cell r="O27310" t="str">
            <v/>
          </cell>
        </row>
        <row r="27311">
          <cell r="O27311" t="str">
            <v/>
          </cell>
        </row>
        <row r="27312">
          <cell r="O27312" t="str">
            <v/>
          </cell>
        </row>
        <row r="27313">
          <cell r="O27313" t="str">
            <v/>
          </cell>
        </row>
        <row r="27314">
          <cell r="O27314" t="str">
            <v/>
          </cell>
        </row>
        <row r="27315">
          <cell r="O27315" t="str">
            <v/>
          </cell>
        </row>
        <row r="27316">
          <cell r="O27316" t="str">
            <v/>
          </cell>
        </row>
        <row r="27317">
          <cell r="O27317" t="str">
            <v/>
          </cell>
        </row>
        <row r="27318">
          <cell r="O27318" t="str">
            <v/>
          </cell>
        </row>
        <row r="27319">
          <cell r="O27319" t="str">
            <v/>
          </cell>
        </row>
        <row r="27320">
          <cell r="O27320" t="str">
            <v/>
          </cell>
        </row>
        <row r="27321">
          <cell r="O27321" t="str">
            <v/>
          </cell>
        </row>
        <row r="27322">
          <cell r="O27322" t="str">
            <v/>
          </cell>
        </row>
        <row r="27323">
          <cell r="O27323" t="str">
            <v/>
          </cell>
        </row>
        <row r="27324">
          <cell r="O27324" t="str">
            <v/>
          </cell>
        </row>
        <row r="27325">
          <cell r="O27325" t="str">
            <v/>
          </cell>
        </row>
        <row r="27326">
          <cell r="O27326" t="str">
            <v/>
          </cell>
        </row>
        <row r="27327">
          <cell r="O27327" t="str">
            <v/>
          </cell>
        </row>
        <row r="27328">
          <cell r="O27328" t="str">
            <v/>
          </cell>
        </row>
        <row r="27329">
          <cell r="O27329" t="str">
            <v/>
          </cell>
        </row>
        <row r="27330">
          <cell r="O27330" t="str">
            <v/>
          </cell>
        </row>
        <row r="27331">
          <cell r="O27331" t="str">
            <v/>
          </cell>
        </row>
        <row r="27332">
          <cell r="O27332" t="str">
            <v/>
          </cell>
        </row>
        <row r="27333">
          <cell r="O27333" t="str">
            <v/>
          </cell>
        </row>
        <row r="27334">
          <cell r="O27334" t="str">
            <v/>
          </cell>
        </row>
        <row r="27335">
          <cell r="O27335" t="str">
            <v/>
          </cell>
        </row>
        <row r="27336">
          <cell r="O27336" t="str">
            <v/>
          </cell>
        </row>
        <row r="27337">
          <cell r="O27337" t="str">
            <v/>
          </cell>
        </row>
        <row r="27338">
          <cell r="O27338" t="str">
            <v/>
          </cell>
        </row>
        <row r="27339">
          <cell r="O27339" t="str">
            <v/>
          </cell>
        </row>
        <row r="27340">
          <cell r="O27340" t="str">
            <v/>
          </cell>
        </row>
        <row r="27341">
          <cell r="O27341" t="str">
            <v/>
          </cell>
        </row>
        <row r="27342">
          <cell r="O27342" t="str">
            <v/>
          </cell>
        </row>
        <row r="27343">
          <cell r="O27343" t="str">
            <v/>
          </cell>
        </row>
        <row r="27344">
          <cell r="O27344" t="str">
            <v/>
          </cell>
        </row>
        <row r="27345">
          <cell r="O27345" t="str">
            <v/>
          </cell>
        </row>
        <row r="27346">
          <cell r="O27346" t="str">
            <v/>
          </cell>
        </row>
        <row r="27347">
          <cell r="O27347" t="str">
            <v/>
          </cell>
        </row>
        <row r="27348">
          <cell r="O27348" t="str">
            <v/>
          </cell>
        </row>
        <row r="27349">
          <cell r="O27349" t="str">
            <v/>
          </cell>
        </row>
        <row r="27350">
          <cell r="O27350" t="str">
            <v/>
          </cell>
        </row>
        <row r="27351">
          <cell r="O27351" t="str">
            <v/>
          </cell>
        </row>
        <row r="27352">
          <cell r="O27352" t="str">
            <v/>
          </cell>
        </row>
        <row r="27353">
          <cell r="O27353" t="str">
            <v/>
          </cell>
        </row>
        <row r="27354">
          <cell r="O27354" t="str">
            <v/>
          </cell>
        </row>
        <row r="27355">
          <cell r="O27355" t="str">
            <v/>
          </cell>
        </row>
        <row r="27356">
          <cell r="O27356" t="str">
            <v/>
          </cell>
        </row>
        <row r="27357">
          <cell r="O27357" t="str">
            <v/>
          </cell>
        </row>
        <row r="27358">
          <cell r="O27358" t="str">
            <v/>
          </cell>
        </row>
        <row r="27359">
          <cell r="O27359" t="str">
            <v/>
          </cell>
        </row>
        <row r="27360">
          <cell r="O27360" t="str">
            <v/>
          </cell>
        </row>
        <row r="27361">
          <cell r="O27361" t="str">
            <v/>
          </cell>
        </row>
        <row r="27362">
          <cell r="O27362" t="str">
            <v/>
          </cell>
        </row>
        <row r="27363">
          <cell r="O27363" t="str">
            <v/>
          </cell>
        </row>
        <row r="27364">
          <cell r="O27364" t="str">
            <v/>
          </cell>
        </row>
        <row r="27365">
          <cell r="O27365" t="str">
            <v/>
          </cell>
        </row>
        <row r="27366">
          <cell r="O27366" t="str">
            <v/>
          </cell>
        </row>
        <row r="27367">
          <cell r="O27367" t="str">
            <v/>
          </cell>
        </row>
        <row r="27368">
          <cell r="O27368" t="str">
            <v/>
          </cell>
        </row>
        <row r="27369">
          <cell r="O27369" t="str">
            <v/>
          </cell>
        </row>
        <row r="27370">
          <cell r="O27370" t="str">
            <v/>
          </cell>
        </row>
        <row r="27371">
          <cell r="O27371" t="str">
            <v/>
          </cell>
        </row>
        <row r="27372">
          <cell r="O27372" t="str">
            <v/>
          </cell>
        </row>
        <row r="27373">
          <cell r="O27373" t="str">
            <v/>
          </cell>
        </row>
        <row r="27374">
          <cell r="O27374" t="str">
            <v/>
          </cell>
        </row>
        <row r="27375">
          <cell r="O27375" t="str">
            <v/>
          </cell>
        </row>
        <row r="27376">
          <cell r="O27376" t="str">
            <v/>
          </cell>
        </row>
        <row r="27377">
          <cell r="O27377" t="str">
            <v/>
          </cell>
        </row>
        <row r="27378">
          <cell r="O27378" t="str">
            <v/>
          </cell>
        </row>
        <row r="27379">
          <cell r="O27379" t="str">
            <v/>
          </cell>
        </row>
        <row r="27380">
          <cell r="O27380" t="str">
            <v/>
          </cell>
        </row>
        <row r="27381">
          <cell r="O27381" t="str">
            <v/>
          </cell>
        </row>
        <row r="27382">
          <cell r="O27382" t="str">
            <v/>
          </cell>
        </row>
        <row r="27383">
          <cell r="O27383" t="str">
            <v/>
          </cell>
        </row>
        <row r="27384">
          <cell r="O27384" t="str">
            <v/>
          </cell>
        </row>
        <row r="27385">
          <cell r="O27385" t="str">
            <v/>
          </cell>
        </row>
        <row r="27386">
          <cell r="O27386" t="str">
            <v/>
          </cell>
        </row>
        <row r="27387">
          <cell r="O27387" t="str">
            <v/>
          </cell>
        </row>
        <row r="27388">
          <cell r="O27388" t="str">
            <v/>
          </cell>
        </row>
        <row r="27389">
          <cell r="O27389" t="str">
            <v/>
          </cell>
        </row>
        <row r="27390">
          <cell r="O27390" t="str">
            <v/>
          </cell>
        </row>
        <row r="27391">
          <cell r="O27391" t="str">
            <v/>
          </cell>
        </row>
        <row r="27392">
          <cell r="O27392" t="str">
            <v/>
          </cell>
        </row>
        <row r="27393">
          <cell r="O27393" t="str">
            <v/>
          </cell>
        </row>
        <row r="27394">
          <cell r="O27394" t="str">
            <v/>
          </cell>
        </row>
        <row r="27395">
          <cell r="O27395" t="str">
            <v/>
          </cell>
        </row>
        <row r="27396">
          <cell r="O27396" t="str">
            <v/>
          </cell>
        </row>
        <row r="27397">
          <cell r="O27397" t="str">
            <v/>
          </cell>
        </row>
        <row r="27398">
          <cell r="O27398" t="str">
            <v/>
          </cell>
        </row>
        <row r="27399">
          <cell r="O27399" t="str">
            <v/>
          </cell>
        </row>
        <row r="27400">
          <cell r="O27400" t="str">
            <v/>
          </cell>
        </row>
        <row r="27401">
          <cell r="O27401" t="str">
            <v/>
          </cell>
        </row>
        <row r="27402">
          <cell r="O27402" t="str">
            <v/>
          </cell>
        </row>
        <row r="27403">
          <cell r="O27403" t="str">
            <v/>
          </cell>
        </row>
        <row r="27404">
          <cell r="O27404" t="str">
            <v/>
          </cell>
        </row>
        <row r="27405">
          <cell r="O27405" t="str">
            <v/>
          </cell>
        </row>
        <row r="27406">
          <cell r="O27406" t="str">
            <v/>
          </cell>
        </row>
        <row r="27407">
          <cell r="O27407" t="str">
            <v/>
          </cell>
        </row>
        <row r="27408">
          <cell r="O27408" t="str">
            <v/>
          </cell>
        </row>
        <row r="27409">
          <cell r="O27409" t="str">
            <v/>
          </cell>
        </row>
        <row r="27410">
          <cell r="O27410" t="str">
            <v/>
          </cell>
        </row>
        <row r="27411">
          <cell r="O27411" t="str">
            <v/>
          </cell>
        </row>
        <row r="27412">
          <cell r="O27412" t="str">
            <v/>
          </cell>
        </row>
        <row r="27413">
          <cell r="O27413" t="str">
            <v/>
          </cell>
        </row>
        <row r="27414">
          <cell r="O27414" t="str">
            <v/>
          </cell>
        </row>
        <row r="27415">
          <cell r="O27415" t="str">
            <v/>
          </cell>
        </row>
        <row r="27416">
          <cell r="O27416" t="str">
            <v/>
          </cell>
        </row>
        <row r="27417">
          <cell r="O27417" t="str">
            <v/>
          </cell>
        </row>
        <row r="27418">
          <cell r="O27418" t="str">
            <v/>
          </cell>
        </row>
        <row r="27419">
          <cell r="O27419" t="str">
            <v/>
          </cell>
        </row>
        <row r="27420">
          <cell r="O27420" t="str">
            <v/>
          </cell>
        </row>
        <row r="27421">
          <cell r="O27421" t="str">
            <v/>
          </cell>
        </row>
        <row r="27422">
          <cell r="O27422" t="str">
            <v/>
          </cell>
        </row>
        <row r="27423">
          <cell r="O27423" t="str">
            <v/>
          </cell>
        </row>
        <row r="27424">
          <cell r="O27424" t="str">
            <v/>
          </cell>
        </row>
        <row r="27425">
          <cell r="O27425" t="str">
            <v/>
          </cell>
        </row>
        <row r="27426">
          <cell r="O27426" t="str">
            <v/>
          </cell>
        </row>
        <row r="27427">
          <cell r="O27427" t="str">
            <v/>
          </cell>
        </row>
        <row r="27428">
          <cell r="O27428" t="str">
            <v/>
          </cell>
        </row>
        <row r="27429">
          <cell r="O27429" t="str">
            <v/>
          </cell>
        </row>
        <row r="27430">
          <cell r="O27430" t="str">
            <v/>
          </cell>
        </row>
        <row r="27431">
          <cell r="O27431" t="str">
            <v/>
          </cell>
        </row>
        <row r="27432">
          <cell r="O27432" t="str">
            <v/>
          </cell>
        </row>
        <row r="27433">
          <cell r="O27433" t="str">
            <v/>
          </cell>
        </row>
        <row r="27434">
          <cell r="O27434" t="str">
            <v/>
          </cell>
        </row>
        <row r="27435">
          <cell r="O27435" t="str">
            <v/>
          </cell>
        </row>
        <row r="27436">
          <cell r="O27436" t="str">
            <v/>
          </cell>
        </row>
        <row r="27437">
          <cell r="O27437" t="str">
            <v/>
          </cell>
        </row>
        <row r="27438">
          <cell r="O27438" t="str">
            <v/>
          </cell>
        </row>
        <row r="27439">
          <cell r="O27439" t="str">
            <v/>
          </cell>
        </row>
        <row r="27440">
          <cell r="O27440" t="str">
            <v/>
          </cell>
        </row>
        <row r="27441">
          <cell r="O27441" t="str">
            <v/>
          </cell>
        </row>
        <row r="27442">
          <cell r="O27442" t="str">
            <v/>
          </cell>
        </row>
        <row r="27443">
          <cell r="O27443" t="str">
            <v/>
          </cell>
        </row>
        <row r="27444">
          <cell r="O27444" t="str">
            <v/>
          </cell>
        </row>
        <row r="27445">
          <cell r="O27445" t="str">
            <v/>
          </cell>
        </row>
        <row r="27446">
          <cell r="O27446" t="str">
            <v/>
          </cell>
        </row>
        <row r="27447">
          <cell r="O27447" t="str">
            <v/>
          </cell>
        </row>
        <row r="27448">
          <cell r="O27448" t="str">
            <v/>
          </cell>
        </row>
        <row r="27449">
          <cell r="O27449" t="str">
            <v/>
          </cell>
        </row>
        <row r="27450">
          <cell r="O27450" t="str">
            <v/>
          </cell>
        </row>
        <row r="27451">
          <cell r="O27451" t="str">
            <v/>
          </cell>
        </row>
        <row r="27452">
          <cell r="O27452" t="str">
            <v/>
          </cell>
        </row>
        <row r="27453">
          <cell r="O27453" t="str">
            <v/>
          </cell>
        </row>
        <row r="27454">
          <cell r="O27454" t="str">
            <v/>
          </cell>
        </row>
        <row r="27455">
          <cell r="O27455" t="str">
            <v/>
          </cell>
        </row>
        <row r="27456">
          <cell r="O27456" t="str">
            <v/>
          </cell>
        </row>
        <row r="27457">
          <cell r="O27457" t="str">
            <v/>
          </cell>
        </row>
        <row r="27458">
          <cell r="O27458" t="str">
            <v/>
          </cell>
        </row>
        <row r="27459">
          <cell r="O27459" t="str">
            <v/>
          </cell>
        </row>
        <row r="27460">
          <cell r="O27460" t="str">
            <v/>
          </cell>
        </row>
        <row r="27461">
          <cell r="O27461" t="str">
            <v/>
          </cell>
        </row>
        <row r="27462">
          <cell r="O27462" t="str">
            <v/>
          </cell>
        </row>
        <row r="27463">
          <cell r="O27463" t="str">
            <v/>
          </cell>
        </row>
        <row r="27464">
          <cell r="O27464" t="str">
            <v/>
          </cell>
        </row>
        <row r="27465">
          <cell r="O27465" t="str">
            <v/>
          </cell>
        </row>
        <row r="27466">
          <cell r="O27466" t="str">
            <v/>
          </cell>
        </row>
        <row r="27467">
          <cell r="O27467" t="str">
            <v/>
          </cell>
        </row>
        <row r="27468">
          <cell r="O27468" t="str">
            <v/>
          </cell>
        </row>
        <row r="27469">
          <cell r="O27469" t="str">
            <v/>
          </cell>
        </row>
        <row r="27470">
          <cell r="O27470" t="str">
            <v/>
          </cell>
        </row>
        <row r="27471">
          <cell r="O27471" t="str">
            <v/>
          </cell>
        </row>
        <row r="27472">
          <cell r="O27472" t="str">
            <v/>
          </cell>
        </row>
        <row r="27473">
          <cell r="O27473" t="str">
            <v/>
          </cell>
        </row>
        <row r="27474">
          <cell r="O27474" t="str">
            <v/>
          </cell>
        </row>
        <row r="27475">
          <cell r="O27475" t="str">
            <v/>
          </cell>
        </row>
        <row r="27476">
          <cell r="O27476" t="str">
            <v/>
          </cell>
        </row>
        <row r="27477">
          <cell r="O27477" t="str">
            <v/>
          </cell>
        </row>
        <row r="27478">
          <cell r="O27478" t="str">
            <v/>
          </cell>
        </row>
        <row r="27479">
          <cell r="O27479" t="str">
            <v/>
          </cell>
        </row>
        <row r="27480">
          <cell r="O27480" t="str">
            <v/>
          </cell>
        </row>
        <row r="27481">
          <cell r="O27481" t="str">
            <v/>
          </cell>
        </row>
        <row r="27482">
          <cell r="O27482" t="str">
            <v/>
          </cell>
        </row>
        <row r="27483">
          <cell r="O27483" t="str">
            <v/>
          </cell>
        </row>
        <row r="27484">
          <cell r="O27484" t="str">
            <v/>
          </cell>
        </row>
        <row r="27485">
          <cell r="O27485" t="str">
            <v/>
          </cell>
        </row>
        <row r="27486">
          <cell r="O27486" t="str">
            <v/>
          </cell>
        </row>
        <row r="27487">
          <cell r="O27487" t="str">
            <v/>
          </cell>
        </row>
        <row r="27488">
          <cell r="O27488" t="str">
            <v/>
          </cell>
        </row>
        <row r="27489">
          <cell r="O27489" t="str">
            <v/>
          </cell>
        </row>
        <row r="27490">
          <cell r="O27490" t="str">
            <v/>
          </cell>
        </row>
        <row r="27491">
          <cell r="O27491" t="str">
            <v/>
          </cell>
        </row>
        <row r="27492">
          <cell r="O27492" t="str">
            <v/>
          </cell>
        </row>
        <row r="27493">
          <cell r="O27493" t="str">
            <v/>
          </cell>
        </row>
        <row r="27494">
          <cell r="O27494" t="str">
            <v/>
          </cell>
        </row>
        <row r="27495">
          <cell r="O27495" t="str">
            <v/>
          </cell>
        </row>
        <row r="27496">
          <cell r="O27496" t="str">
            <v/>
          </cell>
        </row>
        <row r="27497">
          <cell r="O27497" t="str">
            <v/>
          </cell>
        </row>
        <row r="27498">
          <cell r="O27498" t="str">
            <v/>
          </cell>
        </row>
        <row r="27499">
          <cell r="O27499" t="str">
            <v/>
          </cell>
        </row>
        <row r="27500">
          <cell r="O27500" t="str">
            <v/>
          </cell>
        </row>
        <row r="27501">
          <cell r="O27501" t="str">
            <v/>
          </cell>
        </row>
        <row r="27502">
          <cell r="O27502" t="str">
            <v/>
          </cell>
        </row>
        <row r="27503">
          <cell r="O27503" t="str">
            <v/>
          </cell>
        </row>
        <row r="27504">
          <cell r="O27504" t="str">
            <v/>
          </cell>
        </row>
        <row r="27505">
          <cell r="O27505" t="str">
            <v/>
          </cell>
        </row>
        <row r="27506">
          <cell r="O27506" t="str">
            <v/>
          </cell>
        </row>
        <row r="27507">
          <cell r="O27507" t="str">
            <v/>
          </cell>
        </row>
        <row r="27508">
          <cell r="O27508" t="str">
            <v/>
          </cell>
        </row>
        <row r="27509">
          <cell r="O27509" t="str">
            <v/>
          </cell>
        </row>
        <row r="27510">
          <cell r="O27510" t="str">
            <v/>
          </cell>
        </row>
        <row r="27511">
          <cell r="O27511" t="str">
            <v/>
          </cell>
        </row>
        <row r="27512">
          <cell r="O27512" t="str">
            <v/>
          </cell>
        </row>
        <row r="27513">
          <cell r="O27513" t="str">
            <v/>
          </cell>
        </row>
        <row r="27514">
          <cell r="O27514" t="str">
            <v/>
          </cell>
        </row>
        <row r="27515">
          <cell r="O27515" t="str">
            <v/>
          </cell>
        </row>
        <row r="27516">
          <cell r="O27516" t="str">
            <v/>
          </cell>
        </row>
        <row r="27517">
          <cell r="O27517" t="str">
            <v/>
          </cell>
        </row>
        <row r="27518">
          <cell r="O27518" t="str">
            <v/>
          </cell>
        </row>
        <row r="27519">
          <cell r="O27519" t="str">
            <v/>
          </cell>
        </row>
        <row r="27520">
          <cell r="O27520" t="str">
            <v/>
          </cell>
        </row>
        <row r="27521">
          <cell r="O27521" t="str">
            <v/>
          </cell>
        </row>
        <row r="27522">
          <cell r="O27522" t="str">
            <v/>
          </cell>
        </row>
        <row r="27523">
          <cell r="O27523" t="str">
            <v/>
          </cell>
        </row>
        <row r="27524">
          <cell r="O27524" t="str">
            <v/>
          </cell>
        </row>
        <row r="27525">
          <cell r="O27525" t="str">
            <v/>
          </cell>
        </row>
        <row r="27526">
          <cell r="O27526" t="str">
            <v/>
          </cell>
        </row>
        <row r="27527">
          <cell r="O27527" t="str">
            <v/>
          </cell>
        </row>
        <row r="27528">
          <cell r="O27528" t="str">
            <v/>
          </cell>
        </row>
        <row r="27529">
          <cell r="O27529" t="str">
            <v/>
          </cell>
        </row>
        <row r="27530">
          <cell r="O27530" t="str">
            <v/>
          </cell>
        </row>
        <row r="27531">
          <cell r="O27531" t="str">
            <v/>
          </cell>
        </row>
        <row r="27532">
          <cell r="O27532" t="str">
            <v/>
          </cell>
        </row>
        <row r="27533">
          <cell r="O27533" t="str">
            <v/>
          </cell>
        </row>
        <row r="27534">
          <cell r="O27534" t="str">
            <v/>
          </cell>
        </row>
        <row r="27535">
          <cell r="O27535" t="str">
            <v/>
          </cell>
        </row>
        <row r="27536">
          <cell r="O27536" t="str">
            <v/>
          </cell>
        </row>
        <row r="27537">
          <cell r="O27537" t="str">
            <v/>
          </cell>
        </row>
        <row r="27538">
          <cell r="O27538" t="str">
            <v/>
          </cell>
        </row>
        <row r="27539">
          <cell r="O27539" t="str">
            <v/>
          </cell>
        </row>
        <row r="27540">
          <cell r="O27540" t="str">
            <v/>
          </cell>
        </row>
        <row r="27541">
          <cell r="O27541" t="str">
            <v/>
          </cell>
        </row>
        <row r="27542">
          <cell r="O27542" t="str">
            <v/>
          </cell>
        </row>
        <row r="27543">
          <cell r="O27543" t="str">
            <v/>
          </cell>
        </row>
        <row r="27544">
          <cell r="O27544" t="str">
            <v/>
          </cell>
        </row>
        <row r="27545">
          <cell r="O27545" t="str">
            <v/>
          </cell>
        </row>
        <row r="27546">
          <cell r="O27546" t="str">
            <v/>
          </cell>
        </row>
        <row r="27547">
          <cell r="O27547" t="str">
            <v/>
          </cell>
        </row>
        <row r="27548">
          <cell r="O27548" t="str">
            <v/>
          </cell>
        </row>
        <row r="27549">
          <cell r="O27549" t="str">
            <v/>
          </cell>
        </row>
        <row r="27550">
          <cell r="O27550" t="str">
            <v/>
          </cell>
        </row>
        <row r="27551">
          <cell r="O27551" t="str">
            <v/>
          </cell>
        </row>
        <row r="27552">
          <cell r="O27552" t="str">
            <v/>
          </cell>
        </row>
        <row r="27553">
          <cell r="O27553" t="str">
            <v/>
          </cell>
        </row>
        <row r="27554">
          <cell r="O27554" t="str">
            <v/>
          </cell>
        </row>
        <row r="27555">
          <cell r="O27555" t="str">
            <v/>
          </cell>
        </row>
        <row r="27556">
          <cell r="O27556" t="str">
            <v/>
          </cell>
        </row>
        <row r="27557">
          <cell r="O27557" t="str">
            <v/>
          </cell>
        </row>
        <row r="27558">
          <cell r="O27558" t="str">
            <v/>
          </cell>
        </row>
        <row r="27559">
          <cell r="O27559" t="str">
            <v/>
          </cell>
        </row>
        <row r="27560">
          <cell r="O27560" t="str">
            <v/>
          </cell>
        </row>
        <row r="27561">
          <cell r="O27561" t="str">
            <v/>
          </cell>
        </row>
        <row r="27562">
          <cell r="O27562" t="str">
            <v/>
          </cell>
        </row>
        <row r="27563">
          <cell r="O27563" t="str">
            <v/>
          </cell>
        </row>
        <row r="27564">
          <cell r="O27564" t="str">
            <v/>
          </cell>
        </row>
        <row r="27565">
          <cell r="O27565" t="str">
            <v/>
          </cell>
        </row>
        <row r="27566">
          <cell r="O27566" t="str">
            <v/>
          </cell>
        </row>
        <row r="27567">
          <cell r="O27567" t="str">
            <v/>
          </cell>
        </row>
        <row r="27568">
          <cell r="O27568" t="str">
            <v/>
          </cell>
        </row>
        <row r="27569">
          <cell r="O27569" t="str">
            <v/>
          </cell>
        </row>
        <row r="27570">
          <cell r="O27570" t="str">
            <v/>
          </cell>
        </row>
        <row r="27571">
          <cell r="O27571" t="str">
            <v/>
          </cell>
        </row>
        <row r="27572">
          <cell r="O27572" t="str">
            <v/>
          </cell>
        </row>
        <row r="27573">
          <cell r="O27573" t="str">
            <v/>
          </cell>
        </row>
        <row r="27574">
          <cell r="O27574" t="str">
            <v/>
          </cell>
        </row>
        <row r="27575">
          <cell r="O27575" t="str">
            <v/>
          </cell>
        </row>
        <row r="27576">
          <cell r="O27576" t="str">
            <v/>
          </cell>
        </row>
        <row r="27577">
          <cell r="O27577" t="str">
            <v/>
          </cell>
        </row>
        <row r="27578">
          <cell r="O27578" t="str">
            <v/>
          </cell>
        </row>
        <row r="27579">
          <cell r="O27579" t="str">
            <v/>
          </cell>
        </row>
        <row r="27580">
          <cell r="O27580" t="str">
            <v/>
          </cell>
        </row>
        <row r="27581">
          <cell r="O27581" t="str">
            <v/>
          </cell>
        </row>
        <row r="27582">
          <cell r="O27582" t="str">
            <v/>
          </cell>
        </row>
        <row r="27583">
          <cell r="O27583" t="str">
            <v/>
          </cell>
        </row>
        <row r="27584">
          <cell r="O27584" t="str">
            <v/>
          </cell>
        </row>
        <row r="27585">
          <cell r="O27585" t="str">
            <v/>
          </cell>
        </row>
        <row r="27586">
          <cell r="O27586" t="str">
            <v/>
          </cell>
        </row>
        <row r="27587">
          <cell r="O27587" t="str">
            <v/>
          </cell>
        </row>
        <row r="27588">
          <cell r="O27588" t="str">
            <v/>
          </cell>
        </row>
        <row r="27589">
          <cell r="O27589" t="str">
            <v/>
          </cell>
        </row>
        <row r="27590">
          <cell r="O27590" t="str">
            <v/>
          </cell>
        </row>
        <row r="27591">
          <cell r="O27591" t="str">
            <v/>
          </cell>
        </row>
        <row r="27592">
          <cell r="O27592" t="str">
            <v/>
          </cell>
        </row>
        <row r="27593">
          <cell r="O27593" t="str">
            <v/>
          </cell>
        </row>
        <row r="27594">
          <cell r="O27594" t="str">
            <v/>
          </cell>
        </row>
        <row r="27595">
          <cell r="O27595" t="str">
            <v/>
          </cell>
        </row>
        <row r="27596">
          <cell r="O27596" t="str">
            <v/>
          </cell>
        </row>
        <row r="27597">
          <cell r="O27597" t="str">
            <v/>
          </cell>
        </row>
        <row r="27598">
          <cell r="O27598" t="str">
            <v/>
          </cell>
        </row>
        <row r="27599">
          <cell r="O27599" t="str">
            <v/>
          </cell>
        </row>
        <row r="27600">
          <cell r="O27600" t="str">
            <v/>
          </cell>
        </row>
        <row r="27601">
          <cell r="O27601" t="str">
            <v/>
          </cell>
        </row>
        <row r="27602">
          <cell r="O27602" t="str">
            <v/>
          </cell>
        </row>
        <row r="27603">
          <cell r="O27603" t="str">
            <v/>
          </cell>
        </row>
        <row r="27604">
          <cell r="O27604" t="str">
            <v/>
          </cell>
        </row>
        <row r="27605">
          <cell r="O27605" t="str">
            <v/>
          </cell>
        </row>
        <row r="27606">
          <cell r="O27606" t="str">
            <v/>
          </cell>
        </row>
        <row r="27607">
          <cell r="O27607" t="str">
            <v/>
          </cell>
        </row>
        <row r="27608">
          <cell r="O27608" t="str">
            <v/>
          </cell>
        </row>
        <row r="27609">
          <cell r="O27609" t="str">
            <v/>
          </cell>
        </row>
        <row r="27610">
          <cell r="O27610" t="str">
            <v/>
          </cell>
        </row>
        <row r="27611">
          <cell r="O27611" t="str">
            <v/>
          </cell>
        </row>
        <row r="27612">
          <cell r="O27612" t="str">
            <v/>
          </cell>
        </row>
        <row r="27613">
          <cell r="O27613" t="str">
            <v/>
          </cell>
        </row>
        <row r="27614">
          <cell r="O27614" t="str">
            <v/>
          </cell>
        </row>
        <row r="27615">
          <cell r="O27615" t="str">
            <v/>
          </cell>
        </row>
        <row r="27616">
          <cell r="O27616" t="str">
            <v/>
          </cell>
        </row>
        <row r="27617">
          <cell r="O27617" t="str">
            <v/>
          </cell>
        </row>
        <row r="27618">
          <cell r="O27618" t="str">
            <v/>
          </cell>
        </row>
        <row r="27619">
          <cell r="O27619" t="str">
            <v/>
          </cell>
        </row>
        <row r="27620">
          <cell r="O27620" t="str">
            <v/>
          </cell>
        </row>
        <row r="27621">
          <cell r="O27621" t="str">
            <v/>
          </cell>
        </row>
        <row r="27622">
          <cell r="O27622" t="str">
            <v/>
          </cell>
        </row>
        <row r="27623">
          <cell r="O27623" t="str">
            <v/>
          </cell>
        </row>
        <row r="27624">
          <cell r="O27624" t="str">
            <v/>
          </cell>
        </row>
        <row r="27625">
          <cell r="O27625" t="str">
            <v/>
          </cell>
        </row>
        <row r="27626">
          <cell r="O27626" t="str">
            <v/>
          </cell>
        </row>
        <row r="27627">
          <cell r="O27627" t="str">
            <v/>
          </cell>
        </row>
        <row r="27628">
          <cell r="O27628" t="str">
            <v/>
          </cell>
        </row>
        <row r="27629">
          <cell r="O27629" t="str">
            <v/>
          </cell>
        </row>
        <row r="27630">
          <cell r="O27630" t="str">
            <v/>
          </cell>
        </row>
        <row r="27631">
          <cell r="O27631" t="str">
            <v/>
          </cell>
        </row>
        <row r="27632">
          <cell r="O27632" t="str">
            <v/>
          </cell>
        </row>
        <row r="27633">
          <cell r="O27633" t="str">
            <v/>
          </cell>
        </row>
        <row r="27634">
          <cell r="O27634" t="str">
            <v/>
          </cell>
        </row>
        <row r="27635">
          <cell r="O27635" t="str">
            <v/>
          </cell>
        </row>
        <row r="27636">
          <cell r="O27636" t="str">
            <v/>
          </cell>
        </row>
        <row r="27637">
          <cell r="O27637" t="str">
            <v/>
          </cell>
        </row>
        <row r="27638">
          <cell r="O27638" t="str">
            <v/>
          </cell>
        </row>
        <row r="27639">
          <cell r="O27639" t="str">
            <v/>
          </cell>
        </row>
        <row r="27640">
          <cell r="O27640" t="str">
            <v/>
          </cell>
        </row>
        <row r="27641">
          <cell r="O27641" t="str">
            <v/>
          </cell>
        </row>
        <row r="27642">
          <cell r="O27642" t="str">
            <v/>
          </cell>
        </row>
        <row r="27643">
          <cell r="O27643" t="str">
            <v/>
          </cell>
        </row>
        <row r="27644">
          <cell r="O27644" t="str">
            <v/>
          </cell>
        </row>
        <row r="27645">
          <cell r="O27645" t="str">
            <v/>
          </cell>
        </row>
        <row r="27646">
          <cell r="O27646" t="str">
            <v/>
          </cell>
        </row>
        <row r="27647">
          <cell r="O27647" t="str">
            <v/>
          </cell>
        </row>
        <row r="27648">
          <cell r="O27648" t="str">
            <v/>
          </cell>
        </row>
        <row r="27649">
          <cell r="O27649" t="str">
            <v/>
          </cell>
        </row>
        <row r="27650">
          <cell r="O27650" t="str">
            <v/>
          </cell>
        </row>
        <row r="27651">
          <cell r="O27651" t="str">
            <v/>
          </cell>
        </row>
        <row r="27652">
          <cell r="O27652" t="str">
            <v/>
          </cell>
        </row>
        <row r="27653">
          <cell r="O27653" t="str">
            <v/>
          </cell>
        </row>
        <row r="27654">
          <cell r="O27654" t="str">
            <v/>
          </cell>
        </row>
        <row r="27655">
          <cell r="O27655" t="str">
            <v/>
          </cell>
        </row>
        <row r="27656">
          <cell r="O27656" t="str">
            <v/>
          </cell>
        </row>
        <row r="27657">
          <cell r="O27657" t="str">
            <v/>
          </cell>
        </row>
        <row r="27658">
          <cell r="O27658" t="str">
            <v/>
          </cell>
        </row>
        <row r="27659">
          <cell r="O27659" t="str">
            <v/>
          </cell>
        </row>
        <row r="27660">
          <cell r="O27660" t="str">
            <v/>
          </cell>
        </row>
        <row r="27661">
          <cell r="O27661" t="str">
            <v/>
          </cell>
        </row>
        <row r="27662">
          <cell r="O27662" t="str">
            <v/>
          </cell>
        </row>
        <row r="27663">
          <cell r="O27663" t="str">
            <v/>
          </cell>
        </row>
        <row r="27664">
          <cell r="O27664" t="str">
            <v/>
          </cell>
        </row>
        <row r="27665">
          <cell r="O27665" t="str">
            <v/>
          </cell>
        </row>
        <row r="27666">
          <cell r="O27666" t="str">
            <v/>
          </cell>
        </row>
        <row r="27667">
          <cell r="O27667" t="str">
            <v/>
          </cell>
        </row>
        <row r="27668">
          <cell r="O27668" t="str">
            <v/>
          </cell>
        </row>
        <row r="27669">
          <cell r="O27669" t="str">
            <v/>
          </cell>
        </row>
        <row r="27670">
          <cell r="O27670" t="str">
            <v/>
          </cell>
        </row>
        <row r="27671">
          <cell r="O27671" t="str">
            <v/>
          </cell>
        </row>
        <row r="27672">
          <cell r="O27672" t="str">
            <v/>
          </cell>
        </row>
        <row r="27673">
          <cell r="O27673" t="str">
            <v/>
          </cell>
        </row>
        <row r="27674">
          <cell r="O27674" t="str">
            <v/>
          </cell>
        </row>
        <row r="27675">
          <cell r="O27675" t="str">
            <v/>
          </cell>
        </row>
        <row r="27676">
          <cell r="O27676" t="str">
            <v/>
          </cell>
        </row>
        <row r="27677">
          <cell r="O27677" t="str">
            <v/>
          </cell>
        </row>
        <row r="27678">
          <cell r="O27678" t="str">
            <v/>
          </cell>
        </row>
        <row r="27679">
          <cell r="O27679" t="str">
            <v/>
          </cell>
        </row>
        <row r="27680">
          <cell r="O27680" t="str">
            <v/>
          </cell>
        </row>
        <row r="27681">
          <cell r="O27681" t="str">
            <v/>
          </cell>
        </row>
        <row r="27682">
          <cell r="O27682" t="str">
            <v/>
          </cell>
        </row>
        <row r="27683">
          <cell r="O27683" t="str">
            <v/>
          </cell>
        </row>
        <row r="27684">
          <cell r="O27684" t="str">
            <v/>
          </cell>
        </row>
        <row r="27685">
          <cell r="O27685" t="str">
            <v/>
          </cell>
        </row>
        <row r="27686">
          <cell r="O27686" t="str">
            <v/>
          </cell>
        </row>
        <row r="27687">
          <cell r="O27687" t="str">
            <v/>
          </cell>
        </row>
        <row r="27688">
          <cell r="O27688" t="str">
            <v/>
          </cell>
        </row>
        <row r="27689">
          <cell r="O27689" t="str">
            <v/>
          </cell>
        </row>
        <row r="27690">
          <cell r="O27690" t="str">
            <v/>
          </cell>
        </row>
        <row r="27691">
          <cell r="O27691" t="str">
            <v/>
          </cell>
        </row>
        <row r="27692">
          <cell r="O27692" t="str">
            <v/>
          </cell>
        </row>
        <row r="27693">
          <cell r="O27693" t="str">
            <v/>
          </cell>
        </row>
        <row r="27694">
          <cell r="O27694" t="str">
            <v/>
          </cell>
        </row>
        <row r="27695">
          <cell r="O27695" t="str">
            <v/>
          </cell>
        </row>
        <row r="27696">
          <cell r="O27696" t="str">
            <v/>
          </cell>
        </row>
        <row r="27697">
          <cell r="O27697" t="str">
            <v/>
          </cell>
        </row>
        <row r="27698">
          <cell r="O27698" t="str">
            <v/>
          </cell>
        </row>
        <row r="27699">
          <cell r="O27699" t="str">
            <v/>
          </cell>
        </row>
        <row r="27700">
          <cell r="O27700" t="str">
            <v/>
          </cell>
        </row>
        <row r="27701">
          <cell r="O27701" t="str">
            <v/>
          </cell>
        </row>
        <row r="27702">
          <cell r="O27702" t="str">
            <v/>
          </cell>
        </row>
        <row r="27703">
          <cell r="O27703" t="str">
            <v/>
          </cell>
        </row>
        <row r="27704">
          <cell r="O27704" t="str">
            <v/>
          </cell>
        </row>
        <row r="27705">
          <cell r="O27705" t="str">
            <v/>
          </cell>
        </row>
        <row r="27706">
          <cell r="O27706" t="str">
            <v/>
          </cell>
        </row>
        <row r="27707">
          <cell r="O27707" t="str">
            <v/>
          </cell>
        </row>
        <row r="27708">
          <cell r="O27708" t="str">
            <v/>
          </cell>
        </row>
        <row r="27709">
          <cell r="O27709" t="str">
            <v/>
          </cell>
        </row>
        <row r="27710">
          <cell r="O27710" t="str">
            <v/>
          </cell>
        </row>
        <row r="27711">
          <cell r="O27711" t="str">
            <v/>
          </cell>
        </row>
        <row r="27712">
          <cell r="O27712" t="str">
            <v/>
          </cell>
        </row>
        <row r="27713">
          <cell r="O27713" t="str">
            <v/>
          </cell>
        </row>
        <row r="27714">
          <cell r="O27714" t="str">
            <v/>
          </cell>
        </row>
        <row r="27715">
          <cell r="O27715" t="str">
            <v/>
          </cell>
        </row>
        <row r="27716">
          <cell r="O27716" t="str">
            <v/>
          </cell>
        </row>
        <row r="27717">
          <cell r="O27717" t="str">
            <v/>
          </cell>
        </row>
        <row r="27718">
          <cell r="O27718" t="str">
            <v/>
          </cell>
        </row>
        <row r="27719">
          <cell r="O27719" t="str">
            <v/>
          </cell>
        </row>
        <row r="27720">
          <cell r="O27720" t="str">
            <v/>
          </cell>
        </row>
        <row r="27721">
          <cell r="O27721" t="str">
            <v/>
          </cell>
        </row>
        <row r="27722">
          <cell r="O27722" t="str">
            <v/>
          </cell>
        </row>
        <row r="27723">
          <cell r="O27723" t="str">
            <v/>
          </cell>
        </row>
        <row r="27724">
          <cell r="O27724" t="str">
            <v/>
          </cell>
        </row>
        <row r="27725">
          <cell r="O27725" t="str">
            <v/>
          </cell>
        </row>
        <row r="27726">
          <cell r="O27726" t="str">
            <v/>
          </cell>
        </row>
        <row r="27727">
          <cell r="O27727" t="str">
            <v/>
          </cell>
        </row>
        <row r="27728">
          <cell r="O27728" t="str">
            <v/>
          </cell>
        </row>
        <row r="27729">
          <cell r="O27729" t="str">
            <v/>
          </cell>
        </row>
        <row r="27730">
          <cell r="O27730" t="str">
            <v/>
          </cell>
        </row>
        <row r="27731">
          <cell r="O27731" t="str">
            <v/>
          </cell>
        </row>
        <row r="27732">
          <cell r="O27732" t="str">
            <v/>
          </cell>
        </row>
        <row r="27733">
          <cell r="O27733" t="str">
            <v/>
          </cell>
        </row>
        <row r="27734">
          <cell r="O27734" t="str">
            <v/>
          </cell>
        </row>
        <row r="27735">
          <cell r="O27735" t="str">
            <v/>
          </cell>
        </row>
        <row r="27736">
          <cell r="O27736" t="str">
            <v/>
          </cell>
        </row>
        <row r="27737">
          <cell r="O27737" t="str">
            <v/>
          </cell>
        </row>
        <row r="27738">
          <cell r="O27738" t="str">
            <v/>
          </cell>
        </row>
        <row r="27739">
          <cell r="O27739" t="str">
            <v/>
          </cell>
        </row>
        <row r="27740">
          <cell r="O27740" t="str">
            <v/>
          </cell>
        </row>
        <row r="27741">
          <cell r="O27741" t="str">
            <v/>
          </cell>
        </row>
        <row r="27742">
          <cell r="O27742" t="str">
            <v/>
          </cell>
        </row>
        <row r="27743">
          <cell r="O27743" t="str">
            <v/>
          </cell>
        </row>
        <row r="27744">
          <cell r="O27744" t="str">
            <v/>
          </cell>
        </row>
        <row r="27745">
          <cell r="O27745" t="str">
            <v/>
          </cell>
        </row>
        <row r="27746">
          <cell r="O27746" t="str">
            <v/>
          </cell>
        </row>
        <row r="27747">
          <cell r="O27747" t="str">
            <v/>
          </cell>
        </row>
        <row r="27748">
          <cell r="O27748" t="str">
            <v/>
          </cell>
        </row>
        <row r="27749">
          <cell r="O27749" t="str">
            <v/>
          </cell>
        </row>
        <row r="27750">
          <cell r="O27750" t="str">
            <v/>
          </cell>
        </row>
        <row r="27751">
          <cell r="O27751" t="str">
            <v/>
          </cell>
        </row>
        <row r="27752">
          <cell r="O27752" t="str">
            <v/>
          </cell>
        </row>
        <row r="27753">
          <cell r="O27753" t="str">
            <v/>
          </cell>
        </row>
        <row r="27754">
          <cell r="O27754" t="str">
            <v/>
          </cell>
        </row>
        <row r="27755">
          <cell r="O27755" t="str">
            <v/>
          </cell>
        </row>
        <row r="27756">
          <cell r="O27756" t="str">
            <v/>
          </cell>
        </row>
        <row r="27757">
          <cell r="O27757" t="str">
            <v/>
          </cell>
        </row>
        <row r="27758">
          <cell r="O27758" t="str">
            <v/>
          </cell>
        </row>
        <row r="27759">
          <cell r="O27759" t="str">
            <v/>
          </cell>
        </row>
        <row r="27760">
          <cell r="O27760" t="str">
            <v/>
          </cell>
        </row>
        <row r="27761">
          <cell r="O27761" t="str">
            <v/>
          </cell>
        </row>
        <row r="27762">
          <cell r="O27762" t="str">
            <v/>
          </cell>
        </row>
        <row r="27763">
          <cell r="O27763" t="str">
            <v/>
          </cell>
        </row>
        <row r="27764">
          <cell r="O27764" t="str">
            <v/>
          </cell>
        </row>
        <row r="27765">
          <cell r="O27765" t="str">
            <v/>
          </cell>
        </row>
        <row r="27766">
          <cell r="O27766" t="str">
            <v/>
          </cell>
        </row>
        <row r="27767">
          <cell r="O27767" t="str">
            <v/>
          </cell>
        </row>
        <row r="27768">
          <cell r="O27768" t="str">
            <v/>
          </cell>
        </row>
        <row r="27769">
          <cell r="O27769" t="str">
            <v/>
          </cell>
        </row>
        <row r="27770">
          <cell r="O27770" t="str">
            <v/>
          </cell>
        </row>
        <row r="27771">
          <cell r="O27771" t="str">
            <v/>
          </cell>
        </row>
        <row r="27772">
          <cell r="O27772" t="str">
            <v/>
          </cell>
        </row>
        <row r="27773">
          <cell r="O27773" t="str">
            <v/>
          </cell>
        </row>
        <row r="27774">
          <cell r="O27774" t="str">
            <v/>
          </cell>
        </row>
        <row r="27775">
          <cell r="O27775" t="str">
            <v/>
          </cell>
        </row>
        <row r="27776">
          <cell r="O27776" t="str">
            <v/>
          </cell>
        </row>
        <row r="27777">
          <cell r="O27777" t="str">
            <v/>
          </cell>
        </row>
        <row r="27778">
          <cell r="O27778" t="str">
            <v/>
          </cell>
        </row>
        <row r="27779">
          <cell r="O27779" t="str">
            <v/>
          </cell>
        </row>
        <row r="27780">
          <cell r="O27780" t="str">
            <v/>
          </cell>
        </row>
        <row r="27781">
          <cell r="O27781" t="str">
            <v/>
          </cell>
        </row>
        <row r="27782">
          <cell r="O27782" t="str">
            <v/>
          </cell>
        </row>
        <row r="27783">
          <cell r="O27783" t="str">
            <v/>
          </cell>
        </row>
        <row r="27784">
          <cell r="O27784" t="str">
            <v/>
          </cell>
        </row>
        <row r="27785">
          <cell r="O27785" t="str">
            <v/>
          </cell>
        </row>
        <row r="27786">
          <cell r="O27786" t="str">
            <v/>
          </cell>
        </row>
        <row r="27787">
          <cell r="O27787" t="str">
            <v/>
          </cell>
        </row>
        <row r="27788">
          <cell r="O27788" t="str">
            <v/>
          </cell>
        </row>
        <row r="27789">
          <cell r="O27789" t="str">
            <v/>
          </cell>
        </row>
        <row r="27790">
          <cell r="O27790" t="str">
            <v/>
          </cell>
        </row>
        <row r="27791">
          <cell r="O27791" t="str">
            <v/>
          </cell>
        </row>
        <row r="27792">
          <cell r="O27792" t="str">
            <v/>
          </cell>
        </row>
        <row r="27793">
          <cell r="O27793" t="str">
            <v/>
          </cell>
        </row>
        <row r="27794">
          <cell r="O27794" t="str">
            <v/>
          </cell>
        </row>
        <row r="27795">
          <cell r="O27795" t="str">
            <v/>
          </cell>
        </row>
        <row r="27796">
          <cell r="O27796" t="str">
            <v/>
          </cell>
        </row>
        <row r="27797">
          <cell r="O27797" t="str">
            <v/>
          </cell>
        </row>
        <row r="27798">
          <cell r="O27798" t="str">
            <v/>
          </cell>
        </row>
        <row r="27799">
          <cell r="O27799" t="str">
            <v/>
          </cell>
        </row>
        <row r="27800">
          <cell r="O27800" t="str">
            <v/>
          </cell>
        </row>
        <row r="27801">
          <cell r="O27801" t="str">
            <v/>
          </cell>
        </row>
        <row r="27802">
          <cell r="O27802" t="str">
            <v/>
          </cell>
        </row>
        <row r="27803">
          <cell r="O27803" t="str">
            <v/>
          </cell>
        </row>
        <row r="27804">
          <cell r="O27804" t="str">
            <v/>
          </cell>
        </row>
        <row r="27805">
          <cell r="O27805" t="str">
            <v/>
          </cell>
        </row>
        <row r="27806">
          <cell r="O27806" t="str">
            <v/>
          </cell>
        </row>
        <row r="27807">
          <cell r="O27807" t="str">
            <v/>
          </cell>
        </row>
        <row r="27808">
          <cell r="O27808" t="str">
            <v/>
          </cell>
        </row>
        <row r="27809">
          <cell r="O27809" t="str">
            <v/>
          </cell>
        </row>
        <row r="27810">
          <cell r="O27810" t="str">
            <v/>
          </cell>
        </row>
        <row r="27811">
          <cell r="O27811" t="str">
            <v/>
          </cell>
        </row>
        <row r="27812">
          <cell r="O27812" t="str">
            <v/>
          </cell>
        </row>
        <row r="27813">
          <cell r="O27813" t="str">
            <v/>
          </cell>
        </row>
        <row r="27814">
          <cell r="O27814" t="str">
            <v/>
          </cell>
        </row>
        <row r="27815">
          <cell r="O27815" t="str">
            <v/>
          </cell>
        </row>
        <row r="27816">
          <cell r="O27816" t="str">
            <v/>
          </cell>
        </row>
        <row r="27817">
          <cell r="O27817" t="str">
            <v/>
          </cell>
        </row>
        <row r="27818">
          <cell r="O27818" t="str">
            <v/>
          </cell>
        </row>
        <row r="27819">
          <cell r="O27819" t="str">
            <v/>
          </cell>
        </row>
        <row r="27820">
          <cell r="O27820" t="str">
            <v/>
          </cell>
        </row>
        <row r="27821">
          <cell r="O27821" t="str">
            <v/>
          </cell>
        </row>
        <row r="27822">
          <cell r="O27822" t="str">
            <v/>
          </cell>
        </row>
        <row r="27823">
          <cell r="O27823" t="str">
            <v/>
          </cell>
        </row>
        <row r="27824">
          <cell r="O27824" t="str">
            <v/>
          </cell>
        </row>
        <row r="27825">
          <cell r="O27825" t="str">
            <v/>
          </cell>
        </row>
        <row r="27826">
          <cell r="O27826" t="str">
            <v/>
          </cell>
        </row>
        <row r="27827">
          <cell r="O27827" t="str">
            <v/>
          </cell>
        </row>
        <row r="27828">
          <cell r="O27828" t="str">
            <v/>
          </cell>
        </row>
        <row r="27829">
          <cell r="O27829" t="str">
            <v/>
          </cell>
        </row>
        <row r="27830">
          <cell r="O27830" t="str">
            <v/>
          </cell>
        </row>
        <row r="27831">
          <cell r="O27831" t="str">
            <v/>
          </cell>
        </row>
        <row r="27832">
          <cell r="O27832" t="str">
            <v/>
          </cell>
        </row>
        <row r="27833">
          <cell r="O27833" t="str">
            <v/>
          </cell>
        </row>
        <row r="27834">
          <cell r="O27834" t="str">
            <v/>
          </cell>
        </row>
        <row r="27835">
          <cell r="O27835" t="str">
            <v/>
          </cell>
        </row>
        <row r="27836">
          <cell r="O27836" t="str">
            <v/>
          </cell>
        </row>
        <row r="27837">
          <cell r="O27837" t="str">
            <v/>
          </cell>
        </row>
        <row r="27838">
          <cell r="O27838" t="str">
            <v/>
          </cell>
        </row>
        <row r="27839">
          <cell r="O27839" t="str">
            <v/>
          </cell>
        </row>
        <row r="27840">
          <cell r="O27840" t="str">
            <v/>
          </cell>
        </row>
        <row r="27841">
          <cell r="O27841" t="str">
            <v/>
          </cell>
        </row>
        <row r="27842">
          <cell r="O27842" t="str">
            <v/>
          </cell>
        </row>
        <row r="27843">
          <cell r="O27843" t="str">
            <v/>
          </cell>
        </row>
        <row r="27844">
          <cell r="O27844" t="str">
            <v/>
          </cell>
        </row>
        <row r="27845">
          <cell r="O27845" t="str">
            <v/>
          </cell>
        </row>
        <row r="27846">
          <cell r="O27846" t="str">
            <v/>
          </cell>
        </row>
        <row r="27847">
          <cell r="O27847" t="str">
            <v/>
          </cell>
        </row>
        <row r="27848">
          <cell r="O27848" t="str">
            <v/>
          </cell>
        </row>
        <row r="27849">
          <cell r="O27849" t="str">
            <v/>
          </cell>
        </row>
        <row r="27850">
          <cell r="O27850" t="str">
            <v/>
          </cell>
        </row>
        <row r="27851">
          <cell r="O27851" t="str">
            <v/>
          </cell>
        </row>
        <row r="27852">
          <cell r="O27852" t="str">
            <v/>
          </cell>
        </row>
        <row r="27853">
          <cell r="O27853" t="str">
            <v/>
          </cell>
        </row>
        <row r="27854">
          <cell r="O27854" t="str">
            <v/>
          </cell>
        </row>
        <row r="27855">
          <cell r="O27855" t="str">
            <v/>
          </cell>
        </row>
        <row r="27856">
          <cell r="O27856" t="str">
            <v/>
          </cell>
        </row>
        <row r="27857">
          <cell r="O27857" t="str">
            <v/>
          </cell>
        </row>
        <row r="27858">
          <cell r="O27858" t="str">
            <v/>
          </cell>
        </row>
        <row r="27859">
          <cell r="O27859" t="str">
            <v/>
          </cell>
        </row>
        <row r="27860">
          <cell r="O27860" t="str">
            <v/>
          </cell>
        </row>
        <row r="27861">
          <cell r="O27861" t="str">
            <v/>
          </cell>
        </row>
        <row r="27862">
          <cell r="O27862" t="str">
            <v/>
          </cell>
        </row>
        <row r="27863">
          <cell r="O27863" t="str">
            <v/>
          </cell>
        </row>
        <row r="27864">
          <cell r="O27864" t="str">
            <v/>
          </cell>
        </row>
        <row r="27865">
          <cell r="O27865" t="str">
            <v/>
          </cell>
        </row>
        <row r="27866">
          <cell r="O27866" t="str">
            <v/>
          </cell>
        </row>
        <row r="27867">
          <cell r="O27867" t="str">
            <v/>
          </cell>
        </row>
        <row r="27868">
          <cell r="O27868" t="str">
            <v/>
          </cell>
        </row>
        <row r="27869">
          <cell r="O27869" t="str">
            <v/>
          </cell>
        </row>
        <row r="27870">
          <cell r="O27870" t="str">
            <v/>
          </cell>
        </row>
        <row r="27871">
          <cell r="O27871" t="str">
            <v/>
          </cell>
        </row>
        <row r="27872">
          <cell r="O27872" t="str">
            <v/>
          </cell>
        </row>
        <row r="27873">
          <cell r="O27873" t="str">
            <v/>
          </cell>
        </row>
        <row r="27874">
          <cell r="O27874" t="str">
            <v/>
          </cell>
        </row>
        <row r="27875">
          <cell r="O27875" t="str">
            <v/>
          </cell>
        </row>
        <row r="27876">
          <cell r="O27876" t="str">
            <v/>
          </cell>
        </row>
        <row r="27877">
          <cell r="O27877" t="str">
            <v/>
          </cell>
        </row>
        <row r="27878">
          <cell r="O27878" t="str">
            <v/>
          </cell>
        </row>
        <row r="27879">
          <cell r="O27879" t="str">
            <v/>
          </cell>
        </row>
        <row r="27880">
          <cell r="O27880" t="str">
            <v/>
          </cell>
        </row>
        <row r="27881">
          <cell r="O27881" t="str">
            <v/>
          </cell>
        </row>
        <row r="27882">
          <cell r="O27882" t="str">
            <v/>
          </cell>
        </row>
        <row r="27883">
          <cell r="O27883" t="str">
            <v/>
          </cell>
        </row>
        <row r="27884">
          <cell r="O27884" t="str">
            <v/>
          </cell>
        </row>
        <row r="27885">
          <cell r="O27885" t="str">
            <v/>
          </cell>
        </row>
        <row r="27886">
          <cell r="O27886" t="str">
            <v/>
          </cell>
        </row>
        <row r="27887">
          <cell r="O27887" t="str">
            <v/>
          </cell>
        </row>
        <row r="27888">
          <cell r="O27888" t="str">
            <v/>
          </cell>
        </row>
        <row r="27889">
          <cell r="O27889" t="str">
            <v/>
          </cell>
        </row>
        <row r="27890">
          <cell r="O27890" t="str">
            <v/>
          </cell>
        </row>
        <row r="27891">
          <cell r="O27891" t="str">
            <v/>
          </cell>
        </row>
        <row r="27892">
          <cell r="O27892" t="str">
            <v/>
          </cell>
        </row>
        <row r="27893">
          <cell r="O27893" t="str">
            <v/>
          </cell>
        </row>
        <row r="27894">
          <cell r="O27894" t="str">
            <v/>
          </cell>
        </row>
        <row r="27895">
          <cell r="O27895" t="str">
            <v/>
          </cell>
        </row>
        <row r="27896">
          <cell r="O27896" t="str">
            <v/>
          </cell>
        </row>
        <row r="27897">
          <cell r="O27897" t="str">
            <v/>
          </cell>
        </row>
        <row r="27898">
          <cell r="O27898" t="str">
            <v/>
          </cell>
        </row>
        <row r="27899">
          <cell r="O27899" t="str">
            <v/>
          </cell>
        </row>
        <row r="27900">
          <cell r="O27900" t="str">
            <v/>
          </cell>
        </row>
        <row r="27901">
          <cell r="O27901" t="str">
            <v/>
          </cell>
        </row>
        <row r="27902">
          <cell r="O27902" t="str">
            <v/>
          </cell>
        </row>
        <row r="27903">
          <cell r="O27903" t="str">
            <v/>
          </cell>
        </row>
        <row r="27904">
          <cell r="O27904" t="str">
            <v/>
          </cell>
        </row>
        <row r="27905">
          <cell r="O27905" t="str">
            <v/>
          </cell>
        </row>
        <row r="27906">
          <cell r="O27906" t="str">
            <v/>
          </cell>
        </row>
        <row r="27907">
          <cell r="O27907" t="str">
            <v/>
          </cell>
        </row>
        <row r="27908">
          <cell r="O27908" t="str">
            <v/>
          </cell>
        </row>
        <row r="27909">
          <cell r="O27909" t="str">
            <v/>
          </cell>
        </row>
        <row r="27910">
          <cell r="O27910" t="str">
            <v/>
          </cell>
        </row>
        <row r="27911">
          <cell r="O27911" t="str">
            <v/>
          </cell>
        </row>
        <row r="27912">
          <cell r="O27912" t="str">
            <v/>
          </cell>
        </row>
        <row r="27913">
          <cell r="O27913" t="str">
            <v/>
          </cell>
        </row>
        <row r="27914">
          <cell r="O27914" t="str">
            <v/>
          </cell>
        </row>
        <row r="27915">
          <cell r="O27915" t="str">
            <v/>
          </cell>
        </row>
        <row r="27916">
          <cell r="O27916" t="str">
            <v/>
          </cell>
        </row>
        <row r="27917">
          <cell r="O27917" t="str">
            <v/>
          </cell>
        </row>
        <row r="27918">
          <cell r="O27918" t="str">
            <v/>
          </cell>
        </row>
        <row r="27919">
          <cell r="O27919" t="str">
            <v/>
          </cell>
        </row>
        <row r="27920">
          <cell r="O27920" t="str">
            <v/>
          </cell>
        </row>
        <row r="27921">
          <cell r="O27921" t="str">
            <v/>
          </cell>
        </row>
        <row r="27922">
          <cell r="O27922" t="str">
            <v/>
          </cell>
        </row>
        <row r="27923">
          <cell r="O27923" t="str">
            <v/>
          </cell>
        </row>
        <row r="27924">
          <cell r="O27924" t="str">
            <v/>
          </cell>
        </row>
        <row r="27925">
          <cell r="O27925" t="str">
            <v/>
          </cell>
        </row>
        <row r="27926">
          <cell r="O27926" t="str">
            <v/>
          </cell>
        </row>
        <row r="27927">
          <cell r="O27927" t="str">
            <v/>
          </cell>
        </row>
        <row r="27928">
          <cell r="O27928" t="str">
            <v/>
          </cell>
        </row>
        <row r="27929">
          <cell r="O27929" t="str">
            <v/>
          </cell>
        </row>
        <row r="27930">
          <cell r="O27930" t="str">
            <v/>
          </cell>
        </row>
        <row r="27931">
          <cell r="O27931" t="str">
            <v/>
          </cell>
        </row>
        <row r="27932">
          <cell r="O27932" t="str">
            <v/>
          </cell>
        </row>
        <row r="27933">
          <cell r="O27933" t="str">
            <v/>
          </cell>
        </row>
        <row r="27934">
          <cell r="O27934" t="str">
            <v/>
          </cell>
        </row>
        <row r="27935">
          <cell r="O27935" t="str">
            <v/>
          </cell>
        </row>
        <row r="27936">
          <cell r="O27936" t="str">
            <v/>
          </cell>
        </row>
        <row r="27937">
          <cell r="O27937" t="str">
            <v/>
          </cell>
        </row>
        <row r="27938">
          <cell r="O27938" t="str">
            <v/>
          </cell>
        </row>
        <row r="27939">
          <cell r="O27939" t="str">
            <v/>
          </cell>
        </row>
        <row r="27940">
          <cell r="O27940" t="str">
            <v/>
          </cell>
        </row>
        <row r="27941">
          <cell r="O27941" t="str">
            <v/>
          </cell>
        </row>
        <row r="27942">
          <cell r="O27942" t="str">
            <v/>
          </cell>
        </row>
        <row r="27943">
          <cell r="O27943" t="str">
            <v/>
          </cell>
        </row>
        <row r="27944">
          <cell r="O27944" t="str">
            <v/>
          </cell>
        </row>
        <row r="27945">
          <cell r="O27945" t="str">
            <v/>
          </cell>
        </row>
        <row r="27946">
          <cell r="O27946" t="str">
            <v/>
          </cell>
        </row>
        <row r="27947">
          <cell r="O27947" t="str">
            <v/>
          </cell>
        </row>
        <row r="27948">
          <cell r="O27948" t="str">
            <v/>
          </cell>
        </row>
        <row r="27949">
          <cell r="O27949" t="str">
            <v/>
          </cell>
        </row>
        <row r="27950">
          <cell r="O27950" t="str">
            <v/>
          </cell>
        </row>
        <row r="27951">
          <cell r="O27951" t="str">
            <v/>
          </cell>
        </row>
        <row r="27952">
          <cell r="O27952" t="str">
            <v/>
          </cell>
        </row>
        <row r="27953">
          <cell r="O27953" t="str">
            <v/>
          </cell>
        </row>
        <row r="27954">
          <cell r="O27954" t="str">
            <v/>
          </cell>
        </row>
        <row r="27955">
          <cell r="O27955" t="str">
            <v/>
          </cell>
        </row>
        <row r="27956">
          <cell r="O27956" t="str">
            <v/>
          </cell>
        </row>
        <row r="27957">
          <cell r="O27957" t="str">
            <v/>
          </cell>
        </row>
        <row r="27958">
          <cell r="O27958" t="str">
            <v/>
          </cell>
        </row>
        <row r="27959">
          <cell r="O27959" t="str">
            <v/>
          </cell>
        </row>
        <row r="27960">
          <cell r="O27960" t="str">
            <v/>
          </cell>
        </row>
        <row r="27961">
          <cell r="O27961" t="str">
            <v/>
          </cell>
        </row>
        <row r="27962">
          <cell r="O27962" t="str">
            <v/>
          </cell>
        </row>
        <row r="27963">
          <cell r="O27963" t="str">
            <v/>
          </cell>
        </row>
        <row r="27964">
          <cell r="O27964" t="str">
            <v/>
          </cell>
        </row>
        <row r="27965">
          <cell r="O27965" t="str">
            <v/>
          </cell>
        </row>
        <row r="27966">
          <cell r="O27966" t="str">
            <v/>
          </cell>
        </row>
        <row r="27967">
          <cell r="O27967" t="str">
            <v/>
          </cell>
        </row>
        <row r="27968">
          <cell r="O27968" t="str">
            <v/>
          </cell>
        </row>
        <row r="27969">
          <cell r="O27969" t="str">
            <v/>
          </cell>
        </row>
        <row r="27970">
          <cell r="O27970" t="str">
            <v/>
          </cell>
        </row>
        <row r="27971">
          <cell r="O27971" t="str">
            <v/>
          </cell>
        </row>
        <row r="27972">
          <cell r="O27972" t="str">
            <v/>
          </cell>
        </row>
        <row r="27973">
          <cell r="O27973" t="str">
            <v/>
          </cell>
        </row>
        <row r="27974">
          <cell r="O27974" t="str">
            <v/>
          </cell>
        </row>
        <row r="27975">
          <cell r="O27975" t="str">
            <v/>
          </cell>
        </row>
        <row r="27976">
          <cell r="O27976" t="str">
            <v/>
          </cell>
        </row>
        <row r="27977">
          <cell r="O27977" t="str">
            <v/>
          </cell>
        </row>
        <row r="27978">
          <cell r="O27978" t="str">
            <v/>
          </cell>
        </row>
        <row r="27979">
          <cell r="O27979" t="str">
            <v/>
          </cell>
        </row>
        <row r="27980">
          <cell r="O27980" t="str">
            <v/>
          </cell>
        </row>
        <row r="27981">
          <cell r="O27981" t="str">
            <v/>
          </cell>
        </row>
        <row r="27982">
          <cell r="O27982" t="str">
            <v/>
          </cell>
        </row>
        <row r="27983">
          <cell r="O27983" t="str">
            <v/>
          </cell>
        </row>
        <row r="27984">
          <cell r="O27984" t="str">
            <v/>
          </cell>
        </row>
        <row r="27985">
          <cell r="O27985" t="str">
            <v/>
          </cell>
        </row>
        <row r="27986">
          <cell r="O27986" t="str">
            <v/>
          </cell>
        </row>
        <row r="27987">
          <cell r="O27987" t="str">
            <v/>
          </cell>
        </row>
        <row r="27988">
          <cell r="O27988" t="str">
            <v/>
          </cell>
        </row>
        <row r="27989">
          <cell r="O27989" t="str">
            <v/>
          </cell>
        </row>
        <row r="27990">
          <cell r="O27990" t="str">
            <v/>
          </cell>
        </row>
        <row r="27991">
          <cell r="O27991" t="str">
            <v/>
          </cell>
        </row>
        <row r="27992">
          <cell r="O27992" t="str">
            <v/>
          </cell>
        </row>
        <row r="27993">
          <cell r="O27993" t="str">
            <v/>
          </cell>
        </row>
        <row r="27994">
          <cell r="O27994" t="str">
            <v/>
          </cell>
        </row>
        <row r="27995">
          <cell r="O27995" t="str">
            <v/>
          </cell>
        </row>
        <row r="27996">
          <cell r="O27996" t="str">
            <v/>
          </cell>
        </row>
        <row r="27997">
          <cell r="O27997" t="str">
            <v/>
          </cell>
        </row>
        <row r="27998">
          <cell r="O27998" t="str">
            <v/>
          </cell>
        </row>
        <row r="27999">
          <cell r="O27999" t="str">
            <v/>
          </cell>
        </row>
        <row r="28000">
          <cell r="O28000" t="str">
            <v/>
          </cell>
        </row>
        <row r="28001">
          <cell r="O28001" t="str">
            <v/>
          </cell>
        </row>
        <row r="28002">
          <cell r="O28002" t="str">
            <v/>
          </cell>
        </row>
        <row r="28003">
          <cell r="O28003" t="str">
            <v/>
          </cell>
        </row>
        <row r="28004">
          <cell r="O28004" t="str">
            <v/>
          </cell>
        </row>
        <row r="28005">
          <cell r="O28005" t="str">
            <v/>
          </cell>
        </row>
        <row r="28006">
          <cell r="O28006" t="str">
            <v/>
          </cell>
        </row>
        <row r="28007">
          <cell r="O28007" t="str">
            <v/>
          </cell>
        </row>
        <row r="28008">
          <cell r="O28008" t="str">
            <v/>
          </cell>
        </row>
        <row r="28009">
          <cell r="O28009" t="str">
            <v/>
          </cell>
        </row>
        <row r="28010">
          <cell r="O28010" t="str">
            <v/>
          </cell>
        </row>
        <row r="28011">
          <cell r="O28011" t="str">
            <v/>
          </cell>
        </row>
        <row r="28012">
          <cell r="O28012" t="str">
            <v/>
          </cell>
        </row>
        <row r="28013">
          <cell r="O28013" t="str">
            <v/>
          </cell>
        </row>
        <row r="28014">
          <cell r="O28014" t="str">
            <v/>
          </cell>
        </row>
        <row r="28015">
          <cell r="O28015" t="str">
            <v/>
          </cell>
        </row>
        <row r="28016">
          <cell r="O28016" t="str">
            <v/>
          </cell>
        </row>
        <row r="28017">
          <cell r="O28017" t="str">
            <v/>
          </cell>
        </row>
        <row r="28018">
          <cell r="O28018" t="str">
            <v/>
          </cell>
        </row>
        <row r="28019">
          <cell r="O28019" t="str">
            <v/>
          </cell>
        </row>
        <row r="28020">
          <cell r="O28020" t="str">
            <v/>
          </cell>
        </row>
        <row r="28021">
          <cell r="O28021" t="str">
            <v/>
          </cell>
        </row>
        <row r="28022">
          <cell r="O28022" t="str">
            <v/>
          </cell>
        </row>
        <row r="28023">
          <cell r="O28023" t="str">
            <v/>
          </cell>
        </row>
        <row r="28024">
          <cell r="O28024" t="str">
            <v/>
          </cell>
        </row>
        <row r="28025">
          <cell r="O28025" t="str">
            <v/>
          </cell>
        </row>
        <row r="28026">
          <cell r="O28026" t="str">
            <v/>
          </cell>
        </row>
        <row r="28027">
          <cell r="O28027" t="str">
            <v/>
          </cell>
        </row>
        <row r="28028">
          <cell r="O28028" t="str">
            <v/>
          </cell>
        </row>
        <row r="28029">
          <cell r="O28029" t="str">
            <v/>
          </cell>
        </row>
        <row r="28030">
          <cell r="O28030" t="str">
            <v/>
          </cell>
        </row>
        <row r="28031">
          <cell r="O28031" t="str">
            <v/>
          </cell>
        </row>
        <row r="28032">
          <cell r="O28032" t="str">
            <v/>
          </cell>
        </row>
        <row r="28033">
          <cell r="O28033" t="str">
            <v/>
          </cell>
        </row>
        <row r="28034">
          <cell r="O28034" t="str">
            <v/>
          </cell>
        </row>
        <row r="28035">
          <cell r="O28035" t="str">
            <v/>
          </cell>
        </row>
        <row r="28036">
          <cell r="O28036" t="str">
            <v/>
          </cell>
        </row>
        <row r="28037">
          <cell r="O28037" t="str">
            <v/>
          </cell>
        </row>
        <row r="28038">
          <cell r="O28038" t="str">
            <v/>
          </cell>
        </row>
        <row r="28039">
          <cell r="O28039" t="str">
            <v/>
          </cell>
        </row>
        <row r="28040">
          <cell r="O28040" t="str">
            <v/>
          </cell>
        </row>
        <row r="28041">
          <cell r="O28041" t="str">
            <v/>
          </cell>
        </row>
        <row r="28042">
          <cell r="O28042" t="str">
            <v/>
          </cell>
        </row>
        <row r="28043">
          <cell r="O28043" t="str">
            <v/>
          </cell>
        </row>
        <row r="28044">
          <cell r="O28044" t="str">
            <v/>
          </cell>
        </row>
        <row r="28045">
          <cell r="O28045" t="str">
            <v/>
          </cell>
        </row>
        <row r="28046">
          <cell r="O28046" t="str">
            <v/>
          </cell>
        </row>
        <row r="28047">
          <cell r="O28047" t="str">
            <v/>
          </cell>
        </row>
        <row r="28048">
          <cell r="O28048" t="str">
            <v/>
          </cell>
        </row>
        <row r="28049">
          <cell r="O28049" t="str">
            <v/>
          </cell>
        </row>
        <row r="28050">
          <cell r="O28050" t="str">
            <v/>
          </cell>
        </row>
        <row r="28051">
          <cell r="O28051" t="str">
            <v/>
          </cell>
        </row>
        <row r="28052">
          <cell r="O28052" t="str">
            <v/>
          </cell>
        </row>
        <row r="28053">
          <cell r="O28053" t="str">
            <v/>
          </cell>
        </row>
        <row r="28054">
          <cell r="O28054" t="str">
            <v/>
          </cell>
        </row>
        <row r="28055">
          <cell r="O28055" t="str">
            <v/>
          </cell>
        </row>
        <row r="28056">
          <cell r="O28056" t="str">
            <v/>
          </cell>
        </row>
        <row r="28057">
          <cell r="O28057" t="str">
            <v/>
          </cell>
        </row>
        <row r="28058">
          <cell r="O28058" t="str">
            <v/>
          </cell>
        </row>
        <row r="28059">
          <cell r="O28059" t="str">
            <v/>
          </cell>
        </row>
        <row r="28060">
          <cell r="O28060" t="str">
            <v/>
          </cell>
        </row>
        <row r="28061">
          <cell r="O28061" t="str">
            <v/>
          </cell>
        </row>
        <row r="28062">
          <cell r="O28062" t="str">
            <v/>
          </cell>
        </row>
        <row r="28063">
          <cell r="O28063" t="str">
            <v/>
          </cell>
        </row>
        <row r="28064">
          <cell r="O28064" t="str">
            <v/>
          </cell>
        </row>
        <row r="28065">
          <cell r="O28065" t="str">
            <v/>
          </cell>
        </row>
        <row r="28066">
          <cell r="O28066" t="str">
            <v/>
          </cell>
        </row>
        <row r="28067">
          <cell r="O28067" t="str">
            <v/>
          </cell>
        </row>
        <row r="28068">
          <cell r="O28068" t="str">
            <v/>
          </cell>
        </row>
        <row r="28069">
          <cell r="O28069" t="str">
            <v/>
          </cell>
        </row>
        <row r="28070">
          <cell r="O28070" t="str">
            <v/>
          </cell>
        </row>
        <row r="28071">
          <cell r="O28071" t="str">
            <v/>
          </cell>
        </row>
        <row r="28072">
          <cell r="O28072" t="str">
            <v/>
          </cell>
        </row>
        <row r="28073">
          <cell r="O28073" t="str">
            <v/>
          </cell>
        </row>
        <row r="28074">
          <cell r="O28074" t="str">
            <v/>
          </cell>
        </row>
        <row r="28075">
          <cell r="O28075" t="str">
            <v/>
          </cell>
        </row>
        <row r="28076">
          <cell r="O28076" t="str">
            <v/>
          </cell>
        </row>
        <row r="28077">
          <cell r="O28077" t="str">
            <v/>
          </cell>
        </row>
        <row r="28078">
          <cell r="O28078" t="str">
            <v/>
          </cell>
        </row>
        <row r="28079">
          <cell r="O28079" t="str">
            <v/>
          </cell>
        </row>
        <row r="28080">
          <cell r="O28080" t="str">
            <v/>
          </cell>
        </row>
        <row r="28081">
          <cell r="O28081" t="str">
            <v/>
          </cell>
        </row>
        <row r="28082">
          <cell r="O28082" t="str">
            <v/>
          </cell>
        </row>
        <row r="28083">
          <cell r="O28083" t="str">
            <v/>
          </cell>
        </row>
        <row r="28084">
          <cell r="O28084" t="str">
            <v/>
          </cell>
        </row>
        <row r="28085">
          <cell r="O28085" t="str">
            <v/>
          </cell>
        </row>
        <row r="28086">
          <cell r="O28086" t="str">
            <v/>
          </cell>
        </row>
        <row r="28087">
          <cell r="O28087" t="str">
            <v/>
          </cell>
        </row>
        <row r="28088">
          <cell r="O28088" t="str">
            <v/>
          </cell>
        </row>
        <row r="28089">
          <cell r="O28089" t="str">
            <v/>
          </cell>
        </row>
        <row r="28090">
          <cell r="O28090" t="str">
            <v/>
          </cell>
        </row>
        <row r="28091">
          <cell r="O28091" t="str">
            <v/>
          </cell>
        </row>
        <row r="28092">
          <cell r="O28092" t="str">
            <v/>
          </cell>
        </row>
        <row r="28093">
          <cell r="O28093" t="str">
            <v/>
          </cell>
        </row>
        <row r="28094">
          <cell r="O28094" t="str">
            <v/>
          </cell>
        </row>
        <row r="28095">
          <cell r="O28095" t="str">
            <v/>
          </cell>
        </row>
        <row r="28096">
          <cell r="O28096" t="str">
            <v/>
          </cell>
        </row>
        <row r="28097">
          <cell r="O28097" t="str">
            <v/>
          </cell>
        </row>
        <row r="28098">
          <cell r="O28098" t="str">
            <v/>
          </cell>
        </row>
        <row r="28099">
          <cell r="O28099" t="str">
            <v/>
          </cell>
        </row>
        <row r="28100">
          <cell r="O28100" t="str">
            <v/>
          </cell>
        </row>
        <row r="28101">
          <cell r="O28101" t="str">
            <v/>
          </cell>
        </row>
        <row r="28102">
          <cell r="O28102" t="str">
            <v/>
          </cell>
        </row>
        <row r="28103">
          <cell r="O28103" t="str">
            <v/>
          </cell>
        </row>
        <row r="28104">
          <cell r="O28104" t="str">
            <v/>
          </cell>
        </row>
        <row r="28105">
          <cell r="O28105" t="str">
            <v/>
          </cell>
        </row>
        <row r="28106">
          <cell r="O28106" t="str">
            <v/>
          </cell>
        </row>
        <row r="28107">
          <cell r="O28107" t="str">
            <v/>
          </cell>
        </row>
        <row r="28108">
          <cell r="O28108" t="str">
            <v/>
          </cell>
        </row>
        <row r="28109">
          <cell r="O28109" t="str">
            <v/>
          </cell>
        </row>
        <row r="28110">
          <cell r="O28110" t="str">
            <v/>
          </cell>
        </row>
        <row r="28111">
          <cell r="O28111" t="str">
            <v/>
          </cell>
        </row>
        <row r="28112">
          <cell r="O28112" t="str">
            <v/>
          </cell>
        </row>
        <row r="28113">
          <cell r="O28113" t="str">
            <v/>
          </cell>
        </row>
        <row r="28114">
          <cell r="O28114" t="str">
            <v/>
          </cell>
        </row>
        <row r="28115">
          <cell r="O28115" t="str">
            <v/>
          </cell>
        </row>
        <row r="28116">
          <cell r="O28116" t="str">
            <v/>
          </cell>
        </row>
        <row r="28117">
          <cell r="O28117" t="str">
            <v/>
          </cell>
        </row>
        <row r="28118">
          <cell r="O28118" t="str">
            <v/>
          </cell>
        </row>
        <row r="28119">
          <cell r="O28119" t="str">
            <v/>
          </cell>
        </row>
        <row r="28120">
          <cell r="O28120" t="str">
            <v/>
          </cell>
        </row>
        <row r="28121">
          <cell r="O28121" t="str">
            <v/>
          </cell>
        </row>
        <row r="28122">
          <cell r="O28122" t="str">
            <v/>
          </cell>
        </row>
        <row r="28123">
          <cell r="O28123" t="str">
            <v/>
          </cell>
        </row>
        <row r="28124">
          <cell r="O28124" t="str">
            <v/>
          </cell>
        </row>
        <row r="28125">
          <cell r="O28125" t="str">
            <v/>
          </cell>
        </row>
        <row r="28126">
          <cell r="O28126" t="str">
            <v/>
          </cell>
        </row>
        <row r="28127">
          <cell r="O28127" t="str">
            <v/>
          </cell>
        </row>
        <row r="28128">
          <cell r="O28128" t="str">
            <v/>
          </cell>
        </row>
        <row r="28129">
          <cell r="O28129" t="str">
            <v/>
          </cell>
        </row>
        <row r="28130">
          <cell r="O28130" t="str">
            <v/>
          </cell>
        </row>
        <row r="28131">
          <cell r="O28131" t="str">
            <v/>
          </cell>
        </row>
        <row r="28132">
          <cell r="O28132" t="str">
            <v/>
          </cell>
        </row>
        <row r="28133">
          <cell r="O28133" t="str">
            <v/>
          </cell>
        </row>
        <row r="28134">
          <cell r="O28134" t="str">
            <v/>
          </cell>
        </row>
        <row r="28135">
          <cell r="O28135" t="str">
            <v/>
          </cell>
        </row>
        <row r="28136">
          <cell r="O28136" t="str">
            <v/>
          </cell>
        </row>
        <row r="28137">
          <cell r="O28137" t="str">
            <v/>
          </cell>
        </row>
        <row r="28138">
          <cell r="O28138" t="str">
            <v/>
          </cell>
        </row>
        <row r="28139">
          <cell r="O28139" t="str">
            <v/>
          </cell>
        </row>
        <row r="28140">
          <cell r="O28140" t="str">
            <v/>
          </cell>
        </row>
        <row r="28141">
          <cell r="O28141" t="str">
            <v/>
          </cell>
        </row>
        <row r="28142">
          <cell r="O28142" t="str">
            <v/>
          </cell>
        </row>
        <row r="28143">
          <cell r="O28143" t="str">
            <v/>
          </cell>
        </row>
        <row r="28144">
          <cell r="O28144" t="str">
            <v/>
          </cell>
        </row>
        <row r="28145">
          <cell r="O28145" t="str">
            <v/>
          </cell>
        </row>
        <row r="28146">
          <cell r="O28146" t="str">
            <v/>
          </cell>
        </row>
        <row r="28147">
          <cell r="O28147" t="str">
            <v/>
          </cell>
        </row>
        <row r="28148">
          <cell r="O28148" t="str">
            <v/>
          </cell>
        </row>
        <row r="28149">
          <cell r="O28149" t="str">
            <v/>
          </cell>
        </row>
        <row r="28150">
          <cell r="O28150" t="str">
            <v/>
          </cell>
        </row>
        <row r="28151">
          <cell r="O28151" t="str">
            <v/>
          </cell>
        </row>
        <row r="28152">
          <cell r="O28152" t="str">
            <v/>
          </cell>
        </row>
        <row r="28153">
          <cell r="O28153" t="str">
            <v/>
          </cell>
        </row>
        <row r="28154">
          <cell r="O28154" t="str">
            <v/>
          </cell>
        </row>
        <row r="28155">
          <cell r="O28155" t="str">
            <v/>
          </cell>
        </row>
        <row r="28156">
          <cell r="O28156" t="str">
            <v/>
          </cell>
        </row>
        <row r="28157">
          <cell r="O28157" t="str">
            <v/>
          </cell>
        </row>
        <row r="28158">
          <cell r="O28158" t="str">
            <v/>
          </cell>
        </row>
        <row r="28159">
          <cell r="O28159" t="str">
            <v/>
          </cell>
        </row>
        <row r="28160">
          <cell r="O28160" t="str">
            <v/>
          </cell>
        </row>
        <row r="28161">
          <cell r="O28161" t="str">
            <v/>
          </cell>
        </row>
        <row r="28162">
          <cell r="O28162" t="str">
            <v/>
          </cell>
        </row>
        <row r="28163">
          <cell r="O28163" t="str">
            <v/>
          </cell>
        </row>
        <row r="28164">
          <cell r="O28164" t="str">
            <v/>
          </cell>
        </row>
        <row r="28165">
          <cell r="O28165" t="str">
            <v/>
          </cell>
        </row>
        <row r="28166">
          <cell r="O28166" t="str">
            <v/>
          </cell>
        </row>
        <row r="28167">
          <cell r="O28167" t="str">
            <v/>
          </cell>
        </row>
        <row r="28168">
          <cell r="O28168" t="str">
            <v/>
          </cell>
        </row>
        <row r="28169">
          <cell r="O28169" t="str">
            <v/>
          </cell>
        </row>
        <row r="28170">
          <cell r="O28170" t="str">
            <v/>
          </cell>
        </row>
        <row r="28171">
          <cell r="O28171" t="str">
            <v/>
          </cell>
        </row>
        <row r="28172">
          <cell r="O28172" t="str">
            <v/>
          </cell>
        </row>
        <row r="28173">
          <cell r="O28173" t="str">
            <v/>
          </cell>
        </row>
        <row r="28174">
          <cell r="O28174" t="str">
            <v/>
          </cell>
        </row>
        <row r="28175">
          <cell r="O28175" t="str">
            <v/>
          </cell>
        </row>
        <row r="28176">
          <cell r="O28176" t="str">
            <v/>
          </cell>
        </row>
        <row r="28177">
          <cell r="O28177" t="str">
            <v/>
          </cell>
        </row>
        <row r="28178">
          <cell r="O28178" t="str">
            <v/>
          </cell>
        </row>
        <row r="28179">
          <cell r="O28179" t="str">
            <v/>
          </cell>
        </row>
        <row r="28180">
          <cell r="O28180" t="str">
            <v/>
          </cell>
        </row>
        <row r="28181">
          <cell r="O28181" t="str">
            <v/>
          </cell>
        </row>
        <row r="28182">
          <cell r="O28182" t="str">
            <v/>
          </cell>
        </row>
        <row r="28183">
          <cell r="O28183" t="str">
            <v/>
          </cell>
        </row>
        <row r="28184">
          <cell r="O28184" t="str">
            <v/>
          </cell>
        </row>
        <row r="28185">
          <cell r="O28185" t="str">
            <v/>
          </cell>
        </row>
        <row r="28186">
          <cell r="O28186" t="str">
            <v/>
          </cell>
        </row>
        <row r="28187">
          <cell r="O28187" t="str">
            <v/>
          </cell>
        </row>
        <row r="28188">
          <cell r="O28188" t="str">
            <v/>
          </cell>
        </row>
        <row r="28189">
          <cell r="O28189" t="str">
            <v/>
          </cell>
        </row>
        <row r="28190">
          <cell r="O28190" t="str">
            <v/>
          </cell>
        </row>
        <row r="28191">
          <cell r="O28191" t="str">
            <v/>
          </cell>
        </row>
        <row r="28192">
          <cell r="O28192" t="str">
            <v/>
          </cell>
        </row>
        <row r="28193">
          <cell r="O28193" t="str">
            <v/>
          </cell>
        </row>
        <row r="28194">
          <cell r="O28194" t="str">
            <v/>
          </cell>
        </row>
        <row r="28195">
          <cell r="O28195" t="str">
            <v/>
          </cell>
        </row>
        <row r="28196">
          <cell r="O28196" t="str">
            <v/>
          </cell>
        </row>
        <row r="28197">
          <cell r="O28197" t="str">
            <v/>
          </cell>
        </row>
        <row r="28198">
          <cell r="O28198" t="str">
            <v/>
          </cell>
        </row>
        <row r="28199">
          <cell r="O28199" t="str">
            <v/>
          </cell>
        </row>
        <row r="28200">
          <cell r="O28200" t="str">
            <v/>
          </cell>
        </row>
        <row r="28201">
          <cell r="O28201" t="str">
            <v/>
          </cell>
        </row>
        <row r="28202">
          <cell r="O28202" t="str">
            <v/>
          </cell>
        </row>
        <row r="28203">
          <cell r="O28203" t="str">
            <v/>
          </cell>
        </row>
        <row r="28204">
          <cell r="O28204" t="str">
            <v/>
          </cell>
        </row>
        <row r="28205">
          <cell r="O28205" t="str">
            <v/>
          </cell>
        </row>
        <row r="28206">
          <cell r="O28206" t="str">
            <v/>
          </cell>
        </row>
        <row r="28207">
          <cell r="O28207" t="str">
            <v/>
          </cell>
        </row>
        <row r="28208">
          <cell r="O28208" t="str">
            <v/>
          </cell>
        </row>
        <row r="28209">
          <cell r="O28209" t="str">
            <v/>
          </cell>
        </row>
        <row r="28210">
          <cell r="O28210" t="str">
            <v/>
          </cell>
        </row>
        <row r="28211">
          <cell r="O28211" t="str">
            <v/>
          </cell>
        </row>
        <row r="28212">
          <cell r="O28212" t="str">
            <v/>
          </cell>
        </row>
        <row r="28213">
          <cell r="O28213" t="str">
            <v/>
          </cell>
        </row>
        <row r="28214">
          <cell r="O28214" t="str">
            <v/>
          </cell>
        </row>
        <row r="28215">
          <cell r="O28215" t="str">
            <v/>
          </cell>
        </row>
        <row r="28216">
          <cell r="O28216" t="str">
            <v/>
          </cell>
        </row>
        <row r="28217">
          <cell r="O28217" t="str">
            <v/>
          </cell>
        </row>
        <row r="28218">
          <cell r="O28218" t="str">
            <v/>
          </cell>
        </row>
        <row r="28219">
          <cell r="O28219" t="str">
            <v/>
          </cell>
        </row>
        <row r="28220">
          <cell r="O28220" t="str">
            <v/>
          </cell>
        </row>
        <row r="28221">
          <cell r="O28221" t="str">
            <v/>
          </cell>
        </row>
        <row r="28222">
          <cell r="O28222" t="str">
            <v/>
          </cell>
        </row>
        <row r="28223">
          <cell r="O28223" t="str">
            <v/>
          </cell>
        </row>
        <row r="28224">
          <cell r="O28224" t="str">
            <v/>
          </cell>
        </row>
        <row r="28225">
          <cell r="O28225" t="str">
            <v/>
          </cell>
        </row>
        <row r="28226">
          <cell r="O28226" t="str">
            <v/>
          </cell>
        </row>
        <row r="28227">
          <cell r="O28227" t="str">
            <v/>
          </cell>
        </row>
        <row r="28228">
          <cell r="O28228" t="str">
            <v/>
          </cell>
        </row>
        <row r="28229">
          <cell r="O28229" t="str">
            <v/>
          </cell>
        </row>
        <row r="28230">
          <cell r="O28230" t="str">
            <v/>
          </cell>
        </row>
        <row r="28231">
          <cell r="O28231" t="str">
            <v/>
          </cell>
        </row>
        <row r="28232">
          <cell r="O28232" t="str">
            <v/>
          </cell>
        </row>
        <row r="28233">
          <cell r="O28233" t="str">
            <v/>
          </cell>
        </row>
        <row r="28234">
          <cell r="O28234" t="str">
            <v/>
          </cell>
        </row>
        <row r="28235">
          <cell r="O28235" t="str">
            <v/>
          </cell>
        </row>
        <row r="28236">
          <cell r="O28236" t="str">
            <v/>
          </cell>
        </row>
        <row r="28237">
          <cell r="O28237" t="str">
            <v/>
          </cell>
        </row>
        <row r="28238">
          <cell r="O28238" t="str">
            <v/>
          </cell>
        </row>
        <row r="28239">
          <cell r="O28239" t="str">
            <v/>
          </cell>
        </row>
        <row r="28240">
          <cell r="O28240" t="str">
            <v/>
          </cell>
        </row>
        <row r="28241">
          <cell r="O28241" t="str">
            <v/>
          </cell>
        </row>
        <row r="28242">
          <cell r="O28242" t="str">
            <v/>
          </cell>
        </row>
        <row r="28243">
          <cell r="O28243" t="str">
            <v/>
          </cell>
        </row>
        <row r="28244">
          <cell r="O28244" t="str">
            <v/>
          </cell>
        </row>
        <row r="28245">
          <cell r="O28245" t="str">
            <v/>
          </cell>
        </row>
        <row r="28246">
          <cell r="O28246" t="str">
            <v/>
          </cell>
        </row>
        <row r="28247">
          <cell r="O28247" t="str">
            <v/>
          </cell>
        </row>
        <row r="28248">
          <cell r="O28248" t="str">
            <v/>
          </cell>
        </row>
        <row r="28249">
          <cell r="O28249" t="str">
            <v/>
          </cell>
        </row>
        <row r="28250">
          <cell r="O28250" t="str">
            <v/>
          </cell>
        </row>
        <row r="28251">
          <cell r="O28251" t="str">
            <v/>
          </cell>
        </row>
        <row r="28252">
          <cell r="O28252" t="str">
            <v/>
          </cell>
        </row>
        <row r="28253">
          <cell r="O28253" t="str">
            <v/>
          </cell>
        </row>
        <row r="28254">
          <cell r="O28254" t="str">
            <v/>
          </cell>
        </row>
        <row r="28255">
          <cell r="O28255" t="str">
            <v/>
          </cell>
        </row>
        <row r="28256">
          <cell r="O28256" t="str">
            <v/>
          </cell>
        </row>
        <row r="28257">
          <cell r="O28257" t="str">
            <v/>
          </cell>
        </row>
        <row r="28258">
          <cell r="O28258" t="str">
            <v/>
          </cell>
        </row>
        <row r="28259">
          <cell r="O28259" t="str">
            <v/>
          </cell>
        </row>
        <row r="28260">
          <cell r="O28260" t="str">
            <v/>
          </cell>
        </row>
        <row r="28261">
          <cell r="O28261" t="str">
            <v/>
          </cell>
        </row>
        <row r="28262">
          <cell r="O28262" t="str">
            <v/>
          </cell>
        </row>
        <row r="28263">
          <cell r="O28263" t="str">
            <v/>
          </cell>
        </row>
        <row r="28264">
          <cell r="O28264" t="str">
            <v/>
          </cell>
        </row>
        <row r="28265">
          <cell r="O28265" t="str">
            <v/>
          </cell>
        </row>
        <row r="28266">
          <cell r="O28266" t="str">
            <v/>
          </cell>
        </row>
        <row r="28267">
          <cell r="O28267" t="str">
            <v/>
          </cell>
        </row>
        <row r="28268">
          <cell r="O28268" t="str">
            <v/>
          </cell>
        </row>
        <row r="28269">
          <cell r="O28269" t="str">
            <v/>
          </cell>
        </row>
        <row r="28270">
          <cell r="O28270" t="str">
            <v/>
          </cell>
        </row>
        <row r="28271">
          <cell r="O28271" t="str">
            <v/>
          </cell>
        </row>
        <row r="28272">
          <cell r="O28272" t="str">
            <v/>
          </cell>
        </row>
        <row r="28273">
          <cell r="O28273" t="str">
            <v/>
          </cell>
        </row>
        <row r="28274">
          <cell r="O28274" t="str">
            <v/>
          </cell>
        </row>
        <row r="28275">
          <cell r="O28275" t="str">
            <v/>
          </cell>
        </row>
        <row r="28276">
          <cell r="O28276" t="str">
            <v/>
          </cell>
        </row>
        <row r="28277">
          <cell r="O28277" t="str">
            <v/>
          </cell>
        </row>
        <row r="28278">
          <cell r="O28278" t="str">
            <v/>
          </cell>
        </row>
        <row r="28279">
          <cell r="O28279" t="str">
            <v/>
          </cell>
        </row>
        <row r="28280">
          <cell r="O28280" t="str">
            <v/>
          </cell>
        </row>
        <row r="28281">
          <cell r="O28281" t="str">
            <v/>
          </cell>
        </row>
        <row r="28282">
          <cell r="O28282" t="str">
            <v/>
          </cell>
        </row>
        <row r="28283">
          <cell r="O28283" t="str">
            <v/>
          </cell>
        </row>
        <row r="28284">
          <cell r="O28284" t="str">
            <v/>
          </cell>
        </row>
        <row r="28285">
          <cell r="O28285" t="str">
            <v/>
          </cell>
        </row>
        <row r="28286">
          <cell r="O28286" t="str">
            <v/>
          </cell>
        </row>
        <row r="28287">
          <cell r="O28287" t="str">
            <v/>
          </cell>
        </row>
        <row r="28288">
          <cell r="O28288" t="str">
            <v/>
          </cell>
        </row>
        <row r="28289">
          <cell r="O28289" t="str">
            <v/>
          </cell>
        </row>
        <row r="28290">
          <cell r="O28290" t="str">
            <v/>
          </cell>
        </row>
        <row r="28291">
          <cell r="O28291" t="str">
            <v/>
          </cell>
        </row>
        <row r="28292">
          <cell r="O28292" t="str">
            <v/>
          </cell>
        </row>
        <row r="28293">
          <cell r="O28293" t="str">
            <v/>
          </cell>
        </row>
        <row r="28294">
          <cell r="O28294" t="str">
            <v/>
          </cell>
        </row>
        <row r="28295">
          <cell r="O28295" t="str">
            <v/>
          </cell>
        </row>
        <row r="28296">
          <cell r="O28296" t="str">
            <v/>
          </cell>
        </row>
        <row r="28297">
          <cell r="O28297" t="str">
            <v/>
          </cell>
        </row>
        <row r="28298">
          <cell r="O28298" t="str">
            <v/>
          </cell>
        </row>
        <row r="28299">
          <cell r="O28299" t="str">
            <v/>
          </cell>
        </row>
        <row r="28300">
          <cell r="O28300" t="str">
            <v/>
          </cell>
        </row>
        <row r="28301">
          <cell r="O28301" t="str">
            <v/>
          </cell>
        </row>
        <row r="28302">
          <cell r="O28302" t="str">
            <v/>
          </cell>
        </row>
        <row r="28303">
          <cell r="O28303" t="str">
            <v/>
          </cell>
        </row>
        <row r="28304">
          <cell r="O28304" t="str">
            <v/>
          </cell>
        </row>
        <row r="28305">
          <cell r="O28305" t="str">
            <v/>
          </cell>
        </row>
        <row r="28306">
          <cell r="O28306" t="str">
            <v/>
          </cell>
        </row>
        <row r="28307">
          <cell r="O28307" t="str">
            <v/>
          </cell>
        </row>
        <row r="28308">
          <cell r="O28308" t="str">
            <v/>
          </cell>
        </row>
        <row r="28309">
          <cell r="O28309" t="str">
            <v/>
          </cell>
        </row>
        <row r="28310">
          <cell r="O28310" t="str">
            <v/>
          </cell>
        </row>
        <row r="28311">
          <cell r="O28311" t="str">
            <v/>
          </cell>
        </row>
        <row r="28312">
          <cell r="O28312" t="str">
            <v/>
          </cell>
        </row>
        <row r="28313">
          <cell r="O28313" t="str">
            <v/>
          </cell>
        </row>
        <row r="28314">
          <cell r="O28314" t="str">
            <v/>
          </cell>
        </row>
        <row r="28315">
          <cell r="O28315" t="str">
            <v/>
          </cell>
        </row>
        <row r="28316">
          <cell r="O28316" t="str">
            <v/>
          </cell>
        </row>
        <row r="28317">
          <cell r="O28317" t="str">
            <v/>
          </cell>
        </row>
        <row r="28318">
          <cell r="O28318" t="str">
            <v/>
          </cell>
        </row>
        <row r="28319">
          <cell r="O28319" t="str">
            <v/>
          </cell>
        </row>
        <row r="28320">
          <cell r="O28320" t="str">
            <v/>
          </cell>
        </row>
        <row r="28321">
          <cell r="O28321" t="str">
            <v/>
          </cell>
        </row>
        <row r="28322">
          <cell r="O28322" t="str">
            <v/>
          </cell>
        </row>
        <row r="28323">
          <cell r="O28323" t="str">
            <v/>
          </cell>
        </row>
        <row r="28324">
          <cell r="O28324" t="str">
            <v/>
          </cell>
        </row>
        <row r="28325">
          <cell r="O28325" t="str">
            <v/>
          </cell>
        </row>
        <row r="28326">
          <cell r="O28326" t="str">
            <v/>
          </cell>
        </row>
        <row r="28327">
          <cell r="O28327" t="str">
            <v/>
          </cell>
        </row>
        <row r="28328">
          <cell r="O28328" t="str">
            <v/>
          </cell>
        </row>
        <row r="28329">
          <cell r="O28329" t="str">
            <v/>
          </cell>
        </row>
        <row r="28330">
          <cell r="O28330" t="str">
            <v/>
          </cell>
        </row>
        <row r="28331">
          <cell r="O28331" t="str">
            <v/>
          </cell>
        </row>
        <row r="28332">
          <cell r="O28332" t="str">
            <v/>
          </cell>
        </row>
        <row r="28333">
          <cell r="O28333" t="str">
            <v/>
          </cell>
        </row>
        <row r="28334">
          <cell r="O28334" t="str">
            <v/>
          </cell>
        </row>
        <row r="28335">
          <cell r="O28335" t="str">
            <v/>
          </cell>
        </row>
        <row r="28336">
          <cell r="O28336" t="str">
            <v/>
          </cell>
        </row>
        <row r="28337">
          <cell r="O28337" t="str">
            <v/>
          </cell>
        </row>
        <row r="28338">
          <cell r="O28338" t="str">
            <v/>
          </cell>
        </row>
        <row r="28339">
          <cell r="O28339" t="str">
            <v/>
          </cell>
        </row>
        <row r="28340">
          <cell r="O28340" t="str">
            <v/>
          </cell>
        </row>
        <row r="28341">
          <cell r="O28341" t="str">
            <v/>
          </cell>
        </row>
        <row r="28342">
          <cell r="O28342" t="str">
            <v/>
          </cell>
        </row>
        <row r="28343">
          <cell r="O28343" t="str">
            <v/>
          </cell>
        </row>
        <row r="28344">
          <cell r="O28344" t="str">
            <v/>
          </cell>
        </row>
        <row r="28345">
          <cell r="O28345" t="str">
            <v/>
          </cell>
        </row>
        <row r="28346">
          <cell r="O28346" t="str">
            <v/>
          </cell>
        </row>
        <row r="28347">
          <cell r="O28347" t="str">
            <v/>
          </cell>
        </row>
        <row r="28348">
          <cell r="O28348" t="str">
            <v/>
          </cell>
        </row>
        <row r="28349">
          <cell r="O28349" t="str">
            <v/>
          </cell>
        </row>
        <row r="28350">
          <cell r="O28350" t="str">
            <v/>
          </cell>
        </row>
        <row r="28351">
          <cell r="O28351" t="str">
            <v/>
          </cell>
        </row>
        <row r="28352">
          <cell r="O28352" t="str">
            <v/>
          </cell>
        </row>
        <row r="28353">
          <cell r="O28353" t="str">
            <v/>
          </cell>
        </row>
        <row r="28354">
          <cell r="O28354" t="str">
            <v/>
          </cell>
        </row>
        <row r="28355">
          <cell r="O28355" t="str">
            <v/>
          </cell>
        </row>
        <row r="28356">
          <cell r="O28356" t="str">
            <v/>
          </cell>
        </row>
        <row r="28357">
          <cell r="O28357" t="str">
            <v/>
          </cell>
        </row>
        <row r="28358">
          <cell r="O28358" t="str">
            <v/>
          </cell>
        </row>
        <row r="28359">
          <cell r="O28359" t="str">
            <v/>
          </cell>
        </row>
        <row r="28360">
          <cell r="O28360" t="str">
            <v/>
          </cell>
        </row>
        <row r="28361">
          <cell r="O28361" t="str">
            <v/>
          </cell>
        </row>
        <row r="28362">
          <cell r="O28362" t="str">
            <v/>
          </cell>
        </row>
        <row r="28363">
          <cell r="O28363" t="str">
            <v/>
          </cell>
        </row>
        <row r="28364">
          <cell r="O28364" t="str">
            <v/>
          </cell>
        </row>
        <row r="28365">
          <cell r="O28365" t="str">
            <v/>
          </cell>
        </row>
        <row r="28366">
          <cell r="O28366" t="str">
            <v/>
          </cell>
        </row>
        <row r="28367">
          <cell r="O28367" t="str">
            <v/>
          </cell>
        </row>
        <row r="28368">
          <cell r="O28368" t="str">
            <v/>
          </cell>
        </row>
        <row r="28369">
          <cell r="O28369" t="str">
            <v/>
          </cell>
        </row>
        <row r="28370">
          <cell r="O28370" t="str">
            <v/>
          </cell>
        </row>
        <row r="28371">
          <cell r="O28371" t="str">
            <v/>
          </cell>
        </row>
        <row r="28372">
          <cell r="O28372" t="str">
            <v/>
          </cell>
        </row>
        <row r="28373">
          <cell r="O28373" t="str">
            <v/>
          </cell>
        </row>
        <row r="28374">
          <cell r="O28374" t="str">
            <v/>
          </cell>
        </row>
        <row r="28375">
          <cell r="O28375" t="str">
            <v/>
          </cell>
        </row>
        <row r="28376">
          <cell r="O28376" t="str">
            <v/>
          </cell>
        </row>
        <row r="28377">
          <cell r="O28377" t="str">
            <v/>
          </cell>
        </row>
        <row r="28378">
          <cell r="O28378" t="str">
            <v/>
          </cell>
        </row>
        <row r="28379">
          <cell r="O28379" t="str">
            <v/>
          </cell>
        </row>
        <row r="28380">
          <cell r="O28380" t="str">
            <v/>
          </cell>
        </row>
        <row r="28381">
          <cell r="O28381" t="str">
            <v/>
          </cell>
        </row>
        <row r="28382">
          <cell r="O28382" t="str">
            <v/>
          </cell>
        </row>
        <row r="28383">
          <cell r="O28383" t="str">
            <v/>
          </cell>
        </row>
        <row r="28384">
          <cell r="O28384" t="str">
            <v/>
          </cell>
        </row>
        <row r="28385">
          <cell r="O28385" t="str">
            <v/>
          </cell>
        </row>
        <row r="28386">
          <cell r="O28386" t="str">
            <v/>
          </cell>
        </row>
        <row r="28387">
          <cell r="O28387" t="str">
            <v/>
          </cell>
        </row>
        <row r="28388">
          <cell r="O28388" t="str">
            <v/>
          </cell>
        </row>
        <row r="28389">
          <cell r="O28389" t="str">
            <v/>
          </cell>
        </row>
        <row r="28390">
          <cell r="O28390" t="str">
            <v/>
          </cell>
        </row>
        <row r="28391">
          <cell r="O28391" t="str">
            <v/>
          </cell>
        </row>
        <row r="28392">
          <cell r="O28392" t="str">
            <v/>
          </cell>
        </row>
        <row r="28393">
          <cell r="O28393" t="str">
            <v/>
          </cell>
        </row>
        <row r="28394">
          <cell r="O28394" t="str">
            <v/>
          </cell>
        </row>
        <row r="28395">
          <cell r="O28395" t="str">
            <v/>
          </cell>
        </row>
        <row r="28396">
          <cell r="O28396" t="str">
            <v/>
          </cell>
        </row>
        <row r="28397">
          <cell r="O28397" t="str">
            <v/>
          </cell>
        </row>
        <row r="28398">
          <cell r="O28398" t="str">
            <v/>
          </cell>
        </row>
        <row r="28399">
          <cell r="O28399" t="str">
            <v/>
          </cell>
        </row>
        <row r="28400">
          <cell r="O28400" t="str">
            <v/>
          </cell>
        </row>
        <row r="28401">
          <cell r="O28401" t="str">
            <v/>
          </cell>
        </row>
        <row r="28402">
          <cell r="O28402" t="str">
            <v/>
          </cell>
        </row>
        <row r="28403">
          <cell r="O28403" t="str">
            <v/>
          </cell>
        </row>
        <row r="28404">
          <cell r="O28404" t="str">
            <v/>
          </cell>
        </row>
        <row r="28405">
          <cell r="O28405" t="str">
            <v/>
          </cell>
        </row>
        <row r="28406">
          <cell r="O28406" t="str">
            <v/>
          </cell>
        </row>
        <row r="28407">
          <cell r="O28407" t="str">
            <v/>
          </cell>
        </row>
        <row r="28408">
          <cell r="O28408" t="str">
            <v/>
          </cell>
        </row>
        <row r="28409">
          <cell r="O28409" t="str">
            <v/>
          </cell>
        </row>
        <row r="28410">
          <cell r="O28410" t="str">
            <v/>
          </cell>
        </row>
        <row r="28411">
          <cell r="O28411" t="str">
            <v/>
          </cell>
        </row>
        <row r="28412">
          <cell r="O28412" t="str">
            <v/>
          </cell>
        </row>
        <row r="28413">
          <cell r="O28413" t="str">
            <v/>
          </cell>
        </row>
        <row r="28414">
          <cell r="O28414" t="str">
            <v/>
          </cell>
        </row>
        <row r="28415">
          <cell r="O28415" t="str">
            <v/>
          </cell>
        </row>
        <row r="28416">
          <cell r="O28416" t="str">
            <v/>
          </cell>
        </row>
        <row r="28417">
          <cell r="O28417" t="str">
            <v/>
          </cell>
        </row>
        <row r="28418">
          <cell r="O28418" t="str">
            <v/>
          </cell>
        </row>
        <row r="28419">
          <cell r="O28419" t="str">
            <v/>
          </cell>
        </row>
        <row r="28420">
          <cell r="O28420" t="str">
            <v/>
          </cell>
        </row>
        <row r="28421">
          <cell r="O28421" t="str">
            <v/>
          </cell>
        </row>
        <row r="28422">
          <cell r="O28422" t="str">
            <v/>
          </cell>
        </row>
        <row r="28423">
          <cell r="O28423" t="str">
            <v/>
          </cell>
        </row>
        <row r="28424">
          <cell r="O28424" t="str">
            <v/>
          </cell>
        </row>
        <row r="28425">
          <cell r="O28425" t="str">
            <v/>
          </cell>
        </row>
        <row r="28426">
          <cell r="O28426" t="str">
            <v/>
          </cell>
        </row>
        <row r="28427">
          <cell r="O28427" t="str">
            <v/>
          </cell>
        </row>
        <row r="28428">
          <cell r="O28428" t="str">
            <v/>
          </cell>
        </row>
        <row r="28429">
          <cell r="O28429" t="str">
            <v/>
          </cell>
        </row>
        <row r="28430">
          <cell r="O28430" t="str">
            <v/>
          </cell>
        </row>
        <row r="28431">
          <cell r="O28431" t="str">
            <v/>
          </cell>
        </row>
        <row r="28432">
          <cell r="O28432" t="str">
            <v/>
          </cell>
        </row>
        <row r="28433">
          <cell r="O28433" t="str">
            <v/>
          </cell>
        </row>
        <row r="28434">
          <cell r="O28434" t="str">
            <v/>
          </cell>
        </row>
        <row r="28435">
          <cell r="O28435" t="str">
            <v/>
          </cell>
        </row>
        <row r="28436">
          <cell r="O28436" t="str">
            <v/>
          </cell>
        </row>
        <row r="28437">
          <cell r="O28437" t="str">
            <v/>
          </cell>
        </row>
        <row r="28438">
          <cell r="O28438" t="str">
            <v/>
          </cell>
        </row>
        <row r="28439">
          <cell r="O28439" t="str">
            <v/>
          </cell>
        </row>
        <row r="28440">
          <cell r="O28440" t="str">
            <v/>
          </cell>
        </row>
        <row r="28441">
          <cell r="O28441" t="str">
            <v/>
          </cell>
        </row>
        <row r="28442">
          <cell r="O28442" t="str">
            <v/>
          </cell>
        </row>
        <row r="28443">
          <cell r="O28443" t="str">
            <v/>
          </cell>
        </row>
        <row r="28444">
          <cell r="O28444" t="str">
            <v/>
          </cell>
        </row>
        <row r="28445">
          <cell r="O28445" t="str">
            <v/>
          </cell>
        </row>
        <row r="28446">
          <cell r="O28446" t="str">
            <v/>
          </cell>
        </row>
        <row r="28447">
          <cell r="O28447" t="str">
            <v/>
          </cell>
        </row>
        <row r="28448">
          <cell r="O28448" t="str">
            <v/>
          </cell>
        </row>
        <row r="28449">
          <cell r="O28449" t="str">
            <v/>
          </cell>
        </row>
        <row r="28450">
          <cell r="O28450" t="str">
            <v/>
          </cell>
        </row>
        <row r="28451">
          <cell r="O28451" t="str">
            <v/>
          </cell>
        </row>
        <row r="28452">
          <cell r="O28452" t="str">
            <v/>
          </cell>
        </row>
        <row r="28453">
          <cell r="O28453" t="str">
            <v/>
          </cell>
        </row>
        <row r="28454">
          <cell r="O28454" t="str">
            <v/>
          </cell>
        </row>
        <row r="28455">
          <cell r="O28455" t="str">
            <v/>
          </cell>
        </row>
        <row r="28456">
          <cell r="O28456" t="str">
            <v/>
          </cell>
        </row>
        <row r="28457">
          <cell r="O28457" t="str">
            <v/>
          </cell>
        </row>
        <row r="28458">
          <cell r="O28458" t="str">
            <v/>
          </cell>
        </row>
        <row r="28459">
          <cell r="O28459" t="str">
            <v/>
          </cell>
        </row>
        <row r="28460">
          <cell r="O28460" t="str">
            <v/>
          </cell>
        </row>
        <row r="28461">
          <cell r="O28461" t="str">
            <v/>
          </cell>
        </row>
        <row r="28462">
          <cell r="O28462" t="str">
            <v/>
          </cell>
        </row>
        <row r="28463">
          <cell r="O28463" t="str">
            <v/>
          </cell>
        </row>
        <row r="28464">
          <cell r="O28464" t="str">
            <v/>
          </cell>
        </row>
        <row r="28465">
          <cell r="O28465" t="str">
            <v/>
          </cell>
        </row>
        <row r="28466">
          <cell r="O28466" t="str">
            <v/>
          </cell>
        </row>
        <row r="28467">
          <cell r="O28467" t="str">
            <v/>
          </cell>
        </row>
        <row r="28468">
          <cell r="O28468" t="str">
            <v/>
          </cell>
        </row>
        <row r="28469">
          <cell r="O28469" t="str">
            <v/>
          </cell>
        </row>
        <row r="28470">
          <cell r="O28470" t="str">
            <v/>
          </cell>
        </row>
        <row r="28471">
          <cell r="O28471" t="str">
            <v/>
          </cell>
        </row>
        <row r="28472">
          <cell r="O28472" t="str">
            <v/>
          </cell>
        </row>
        <row r="28473">
          <cell r="O28473" t="str">
            <v/>
          </cell>
        </row>
        <row r="28474">
          <cell r="O28474" t="str">
            <v/>
          </cell>
        </row>
        <row r="28475">
          <cell r="O28475" t="str">
            <v/>
          </cell>
        </row>
        <row r="28476">
          <cell r="O28476" t="str">
            <v/>
          </cell>
        </row>
        <row r="28477">
          <cell r="O28477" t="str">
            <v/>
          </cell>
        </row>
        <row r="28478">
          <cell r="O28478" t="str">
            <v/>
          </cell>
        </row>
        <row r="28479">
          <cell r="O28479" t="str">
            <v/>
          </cell>
        </row>
        <row r="28480">
          <cell r="O28480" t="str">
            <v/>
          </cell>
        </row>
        <row r="28481">
          <cell r="O28481" t="str">
            <v/>
          </cell>
        </row>
        <row r="28482">
          <cell r="O28482" t="str">
            <v/>
          </cell>
        </row>
        <row r="28483">
          <cell r="O28483" t="str">
            <v/>
          </cell>
        </row>
        <row r="28484">
          <cell r="O28484" t="str">
            <v/>
          </cell>
        </row>
        <row r="28485">
          <cell r="O28485" t="str">
            <v/>
          </cell>
        </row>
        <row r="28486">
          <cell r="O28486" t="str">
            <v/>
          </cell>
        </row>
        <row r="28487">
          <cell r="O28487" t="str">
            <v/>
          </cell>
        </row>
        <row r="28488">
          <cell r="O28488" t="str">
            <v/>
          </cell>
        </row>
        <row r="28489">
          <cell r="O28489" t="str">
            <v/>
          </cell>
        </row>
        <row r="28490">
          <cell r="O28490" t="str">
            <v/>
          </cell>
        </row>
        <row r="28491">
          <cell r="O28491" t="str">
            <v/>
          </cell>
        </row>
        <row r="28492">
          <cell r="O28492" t="str">
            <v/>
          </cell>
        </row>
        <row r="28493">
          <cell r="O28493" t="str">
            <v/>
          </cell>
        </row>
        <row r="28494">
          <cell r="O28494" t="str">
            <v/>
          </cell>
        </row>
        <row r="28495">
          <cell r="O28495" t="str">
            <v/>
          </cell>
        </row>
        <row r="28496">
          <cell r="O28496" t="str">
            <v/>
          </cell>
        </row>
        <row r="28497">
          <cell r="O28497" t="str">
            <v/>
          </cell>
        </row>
        <row r="28498">
          <cell r="O28498" t="str">
            <v/>
          </cell>
        </row>
        <row r="28499">
          <cell r="O28499" t="str">
            <v/>
          </cell>
        </row>
        <row r="28500">
          <cell r="O28500" t="str">
            <v/>
          </cell>
        </row>
        <row r="28501">
          <cell r="O28501" t="str">
            <v/>
          </cell>
        </row>
        <row r="28502">
          <cell r="O28502" t="str">
            <v/>
          </cell>
        </row>
        <row r="28503">
          <cell r="O28503" t="str">
            <v/>
          </cell>
        </row>
        <row r="28504">
          <cell r="O28504" t="str">
            <v/>
          </cell>
        </row>
        <row r="28505">
          <cell r="O28505" t="str">
            <v/>
          </cell>
        </row>
        <row r="28506">
          <cell r="O28506" t="str">
            <v/>
          </cell>
        </row>
        <row r="28507">
          <cell r="O28507" t="str">
            <v/>
          </cell>
        </row>
        <row r="28508">
          <cell r="O28508" t="str">
            <v/>
          </cell>
        </row>
        <row r="28509">
          <cell r="O28509" t="str">
            <v/>
          </cell>
        </row>
        <row r="28510">
          <cell r="O28510" t="str">
            <v/>
          </cell>
        </row>
        <row r="28511">
          <cell r="O28511" t="str">
            <v/>
          </cell>
        </row>
        <row r="28512">
          <cell r="O28512" t="str">
            <v/>
          </cell>
        </row>
        <row r="28513">
          <cell r="O28513" t="str">
            <v/>
          </cell>
        </row>
        <row r="28514">
          <cell r="O28514" t="str">
            <v/>
          </cell>
        </row>
        <row r="28515">
          <cell r="O28515" t="str">
            <v/>
          </cell>
        </row>
        <row r="28516">
          <cell r="O28516" t="str">
            <v/>
          </cell>
        </row>
        <row r="28517">
          <cell r="O28517" t="str">
            <v/>
          </cell>
        </row>
        <row r="28518">
          <cell r="O28518" t="str">
            <v/>
          </cell>
        </row>
        <row r="28519">
          <cell r="O28519" t="str">
            <v/>
          </cell>
        </row>
        <row r="28520">
          <cell r="O28520" t="str">
            <v/>
          </cell>
        </row>
        <row r="28521">
          <cell r="O28521" t="str">
            <v/>
          </cell>
        </row>
        <row r="28522">
          <cell r="O28522" t="str">
            <v/>
          </cell>
        </row>
        <row r="28523">
          <cell r="O28523" t="str">
            <v/>
          </cell>
        </row>
        <row r="28524">
          <cell r="O28524" t="str">
            <v/>
          </cell>
        </row>
        <row r="28525">
          <cell r="O28525" t="str">
            <v/>
          </cell>
        </row>
        <row r="28526">
          <cell r="O28526" t="str">
            <v/>
          </cell>
        </row>
        <row r="28527">
          <cell r="O28527" t="str">
            <v/>
          </cell>
        </row>
        <row r="28528">
          <cell r="O28528" t="str">
            <v/>
          </cell>
        </row>
        <row r="28529">
          <cell r="O28529" t="str">
            <v/>
          </cell>
        </row>
        <row r="28530">
          <cell r="O28530" t="str">
            <v/>
          </cell>
        </row>
        <row r="28531">
          <cell r="O28531" t="str">
            <v/>
          </cell>
        </row>
        <row r="28532">
          <cell r="O28532" t="str">
            <v/>
          </cell>
        </row>
        <row r="28533">
          <cell r="O28533" t="str">
            <v/>
          </cell>
        </row>
        <row r="28534">
          <cell r="O28534" t="str">
            <v/>
          </cell>
        </row>
        <row r="28535">
          <cell r="O28535" t="str">
            <v/>
          </cell>
        </row>
        <row r="28536">
          <cell r="O28536" t="str">
            <v/>
          </cell>
        </row>
        <row r="28537">
          <cell r="O28537" t="str">
            <v/>
          </cell>
        </row>
        <row r="28538">
          <cell r="O28538" t="str">
            <v/>
          </cell>
        </row>
        <row r="28539">
          <cell r="O28539" t="str">
            <v/>
          </cell>
        </row>
        <row r="28540">
          <cell r="O28540" t="str">
            <v/>
          </cell>
        </row>
        <row r="28541">
          <cell r="O28541" t="str">
            <v/>
          </cell>
        </row>
        <row r="28542">
          <cell r="O28542" t="str">
            <v/>
          </cell>
        </row>
        <row r="28543">
          <cell r="O28543" t="str">
            <v/>
          </cell>
        </row>
        <row r="28544">
          <cell r="O28544" t="str">
            <v/>
          </cell>
        </row>
        <row r="28545">
          <cell r="O28545" t="str">
            <v/>
          </cell>
        </row>
        <row r="28546">
          <cell r="O28546" t="str">
            <v/>
          </cell>
        </row>
        <row r="28547">
          <cell r="O28547" t="str">
            <v/>
          </cell>
        </row>
        <row r="28548">
          <cell r="O28548" t="str">
            <v/>
          </cell>
        </row>
        <row r="28549">
          <cell r="O28549" t="str">
            <v/>
          </cell>
        </row>
        <row r="28550">
          <cell r="O28550" t="str">
            <v/>
          </cell>
        </row>
        <row r="28551">
          <cell r="O28551" t="str">
            <v/>
          </cell>
        </row>
        <row r="28552">
          <cell r="O28552" t="str">
            <v/>
          </cell>
        </row>
        <row r="28553">
          <cell r="O28553" t="str">
            <v/>
          </cell>
        </row>
        <row r="28554">
          <cell r="O28554" t="str">
            <v/>
          </cell>
        </row>
        <row r="28555">
          <cell r="O28555" t="str">
            <v/>
          </cell>
        </row>
        <row r="28556">
          <cell r="O28556" t="str">
            <v/>
          </cell>
        </row>
        <row r="28557">
          <cell r="O28557" t="str">
            <v/>
          </cell>
        </row>
        <row r="28558">
          <cell r="O28558" t="str">
            <v/>
          </cell>
        </row>
        <row r="28559">
          <cell r="O28559" t="str">
            <v/>
          </cell>
        </row>
        <row r="28560">
          <cell r="O28560" t="str">
            <v/>
          </cell>
        </row>
        <row r="28561">
          <cell r="O28561" t="str">
            <v/>
          </cell>
        </row>
        <row r="28562">
          <cell r="O28562" t="str">
            <v/>
          </cell>
        </row>
        <row r="28563">
          <cell r="O28563" t="str">
            <v/>
          </cell>
        </row>
        <row r="28564">
          <cell r="O28564" t="str">
            <v/>
          </cell>
        </row>
        <row r="28565">
          <cell r="O28565" t="str">
            <v/>
          </cell>
        </row>
        <row r="28566">
          <cell r="O28566" t="str">
            <v/>
          </cell>
        </row>
        <row r="28567">
          <cell r="O28567" t="str">
            <v/>
          </cell>
        </row>
        <row r="28568">
          <cell r="O28568" t="str">
            <v/>
          </cell>
        </row>
        <row r="28569">
          <cell r="O28569" t="str">
            <v/>
          </cell>
        </row>
        <row r="28570">
          <cell r="O28570" t="str">
            <v/>
          </cell>
        </row>
        <row r="28571">
          <cell r="O28571" t="str">
            <v/>
          </cell>
        </row>
        <row r="28572">
          <cell r="O28572" t="str">
            <v/>
          </cell>
        </row>
        <row r="28573">
          <cell r="O28573" t="str">
            <v/>
          </cell>
        </row>
        <row r="28574">
          <cell r="O28574" t="str">
            <v/>
          </cell>
        </row>
        <row r="28575">
          <cell r="O28575" t="str">
            <v/>
          </cell>
        </row>
        <row r="28576">
          <cell r="O28576" t="str">
            <v/>
          </cell>
        </row>
        <row r="28577">
          <cell r="O28577" t="str">
            <v/>
          </cell>
        </row>
        <row r="28578">
          <cell r="O28578" t="str">
            <v/>
          </cell>
        </row>
        <row r="28579">
          <cell r="O28579" t="str">
            <v/>
          </cell>
        </row>
        <row r="28580">
          <cell r="O28580" t="str">
            <v/>
          </cell>
        </row>
        <row r="28581">
          <cell r="O28581" t="str">
            <v/>
          </cell>
        </row>
        <row r="28582">
          <cell r="O28582" t="str">
            <v/>
          </cell>
        </row>
        <row r="28583">
          <cell r="O28583" t="str">
            <v/>
          </cell>
        </row>
        <row r="28584">
          <cell r="O28584" t="str">
            <v/>
          </cell>
        </row>
        <row r="28585">
          <cell r="O28585" t="str">
            <v/>
          </cell>
        </row>
        <row r="28586">
          <cell r="O28586" t="str">
            <v/>
          </cell>
        </row>
        <row r="28587">
          <cell r="O28587" t="str">
            <v/>
          </cell>
        </row>
        <row r="28588">
          <cell r="O28588" t="str">
            <v/>
          </cell>
        </row>
        <row r="28589">
          <cell r="O28589" t="str">
            <v/>
          </cell>
        </row>
        <row r="28590">
          <cell r="O28590" t="str">
            <v/>
          </cell>
        </row>
        <row r="28591">
          <cell r="O28591" t="str">
            <v/>
          </cell>
        </row>
        <row r="28592">
          <cell r="O28592" t="str">
            <v/>
          </cell>
        </row>
        <row r="28593">
          <cell r="O28593" t="str">
            <v/>
          </cell>
        </row>
        <row r="28594">
          <cell r="O28594" t="str">
            <v/>
          </cell>
        </row>
        <row r="28595">
          <cell r="O28595" t="str">
            <v/>
          </cell>
        </row>
        <row r="28596">
          <cell r="O28596" t="str">
            <v/>
          </cell>
        </row>
        <row r="28597">
          <cell r="O28597" t="str">
            <v/>
          </cell>
        </row>
        <row r="28598">
          <cell r="O28598" t="str">
            <v/>
          </cell>
        </row>
        <row r="28599">
          <cell r="O28599" t="str">
            <v/>
          </cell>
        </row>
        <row r="28600">
          <cell r="O28600" t="str">
            <v/>
          </cell>
        </row>
        <row r="28601">
          <cell r="O28601" t="str">
            <v/>
          </cell>
        </row>
        <row r="28602">
          <cell r="O28602" t="str">
            <v/>
          </cell>
        </row>
        <row r="28603">
          <cell r="O28603" t="str">
            <v/>
          </cell>
        </row>
        <row r="28604">
          <cell r="O28604" t="str">
            <v/>
          </cell>
        </row>
        <row r="28605">
          <cell r="O28605" t="str">
            <v/>
          </cell>
        </row>
        <row r="28606">
          <cell r="O28606" t="str">
            <v/>
          </cell>
        </row>
        <row r="28607">
          <cell r="O28607" t="str">
            <v/>
          </cell>
        </row>
        <row r="28608">
          <cell r="O28608" t="str">
            <v/>
          </cell>
        </row>
        <row r="28609">
          <cell r="O28609" t="str">
            <v/>
          </cell>
        </row>
        <row r="28610">
          <cell r="O28610" t="str">
            <v/>
          </cell>
        </row>
        <row r="28611">
          <cell r="O28611" t="str">
            <v/>
          </cell>
        </row>
        <row r="28612">
          <cell r="O28612" t="str">
            <v/>
          </cell>
        </row>
        <row r="28613">
          <cell r="O28613" t="str">
            <v/>
          </cell>
        </row>
        <row r="28614">
          <cell r="O28614" t="str">
            <v/>
          </cell>
        </row>
        <row r="28615">
          <cell r="O28615" t="str">
            <v/>
          </cell>
        </row>
        <row r="28616">
          <cell r="O28616" t="str">
            <v/>
          </cell>
        </row>
        <row r="28617">
          <cell r="O28617" t="str">
            <v/>
          </cell>
        </row>
        <row r="28618">
          <cell r="O28618" t="str">
            <v/>
          </cell>
        </row>
        <row r="28619">
          <cell r="O28619" t="str">
            <v/>
          </cell>
        </row>
        <row r="28620">
          <cell r="O28620" t="str">
            <v/>
          </cell>
        </row>
        <row r="28621">
          <cell r="O28621" t="str">
            <v/>
          </cell>
        </row>
        <row r="28622">
          <cell r="O28622" t="str">
            <v/>
          </cell>
        </row>
        <row r="28623">
          <cell r="O28623" t="str">
            <v/>
          </cell>
        </row>
        <row r="28624">
          <cell r="O28624" t="str">
            <v/>
          </cell>
        </row>
        <row r="28625">
          <cell r="O28625" t="str">
            <v/>
          </cell>
        </row>
        <row r="28626">
          <cell r="O28626" t="str">
            <v/>
          </cell>
        </row>
        <row r="28627">
          <cell r="O28627" t="str">
            <v/>
          </cell>
        </row>
        <row r="28628">
          <cell r="O28628" t="str">
            <v/>
          </cell>
        </row>
        <row r="28629">
          <cell r="O28629" t="str">
            <v/>
          </cell>
        </row>
        <row r="28630">
          <cell r="O28630" t="str">
            <v/>
          </cell>
        </row>
        <row r="28631">
          <cell r="O28631" t="str">
            <v/>
          </cell>
        </row>
        <row r="28632">
          <cell r="O28632" t="str">
            <v/>
          </cell>
        </row>
        <row r="28633">
          <cell r="O28633" t="str">
            <v/>
          </cell>
        </row>
        <row r="28634">
          <cell r="O28634" t="str">
            <v/>
          </cell>
        </row>
        <row r="28635">
          <cell r="O28635" t="str">
            <v/>
          </cell>
        </row>
        <row r="28636">
          <cell r="O28636" t="str">
            <v/>
          </cell>
        </row>
        <row r="28637">
          <cell r="O28637" t="str">
            <v/>
          </cell>
        </row>
        <row r="28638">
          <cell r="O28638" t="str">
            <v/>
          </cell>
        </row>
        <row r="28639">
          <cell r="O28639" t="str">
            <v/>
          </cell>
        </row>
        <row r="28640">
          <cell r="O28640" t="str">
            <v/>
          </cell>
        </row>
        <row r="28641">
          <cell r="O28641" t="str">
            <v/>
          </cell>
        </row>
        <row r="28642">
          <cell r="O28642" t="str">
            <v/>
          </cell>
        </row>
        <row r="28643">
          <cell r="O28643" t="str">
            <v/>
          </cell>
        </row>
        <row r="28644">
          <cell r="O28644" t="str">
            <v/>
          </cell>
        </row>
        <row r="28645">
          <cell r="O28645" t="str">
            <v/>
          </cell>
        </row>
        <row r="28646">
          <cell r="O28646" t="str">
            <v/>
          </cell>
        </row>
        <row r="28647">
          <cell r="O28647" t="str">
            <v/>
          </cell>
        </row>
        <row r="28648">
          <cell r="O28648" t="str">
            <v/>
          </cell>
        </row>
        <row r="28649">
          <cell r="O28649" t="str">
            <v/>
          </cell>
        </row>
        <row r="28650">
          <cell r="O28650" t="str">
            <v/>
          </cell>
        </row>
        <row r="28651">
          <cell r="O28651" t="str">
            <v/>
          </cell>
        </row>
        <row r="28652">
          <cell r="O28652" t="str">
            <v/>
          </cell>
        </row>
        <row r="28653">
          <cell r="O28653" t="str">
            <v/>
          </cell>
        </row>
        <row r="28654">
          <cell r="O28654" t="str">
            <v/>
          </cell>
        </row>
        <row r="28655">
          <cell r="O28655" t="str">
            <v/>
          </cell>
        </row>
        <row r="28656">
          <cell r="O28656" t="str">
            <v/>
          </cell>
        </row>
        <row r="28657">
          <cell r="O28657" t="str">
            <v/>
          </cell>
        </row>
        <row r="28658">
          <cell r="O28658" t="str">
            <v/>
          </cell>
        </row>
        <row r="28659">
          <cell r="O28659" t="str">
            <v/>
          </cell>
        </row>
        <row r="28660">
          <cell r="O28660" t="str">
            <v/>
          </cell>
        </row>
        <row r="28661">
          <cell r="O28661" t="str">
            <v/>
          </cell>
        </row>
        <row r="28662">
          <cell r="O28662" t="str">
            <v/>
          </cell>
        </row>
        <row r="28663">
          <cell r="O28663" t="str">
            <v/>
          </cell>
        </row>
        <row r="28664">
          <cell r="O28664" t="str">
            <v/>
          </cell>
        </row>
        <row r="28665">
          <cell r="O28665" t="str">
            <v/>
          </cell>
        </row>
        <row r="28666">
          <cell r="O28666" t="str">
            <v/>
          </cell>
        </row>
        <row r="28667">
          <cell r="O28667" t="str">
            <v/>
          </cell>
        </row>
        <row r="28668">
          <cell r="O28668" t="str">
            <v/>
          </cell>
        </row>
        <row r="28669">
          <cell r="O28669" t="str">
            <v/>
          </cell>
        </row>
        <row r="28670">
          <cell r="O28670" t="str">
            <v/>
          </cell>
        </row>
        <row r="28671">
          <cell r="O28671" t="str">
            <v/>
          </cell>
        </row>
        <row r="28672">
          <cell r="O28672" t="str">
            <v/>
          </cell>
        </row>
        <row r="28673">
          <cell r="O28673" t="str">
            <v/>
          </cell>
        </row>
        <row r="28674">
          <cell r="O28674" t="str">
            <v/>
          </cell>
        </row>
        <row r="28675">
          <cell r="O28675" t="str">
            <v/>
          </cell>
        </row>
        <row r="28676">
          <cell r="O28676" t="str">
            <v/>
          </cell>
        </row>
        <row r="28677">
          <cell r="O28677" t="str">
            <v/>
          </cell>
        </row>
        <row r="28678">
          <cell r="O28678" t="str">
            <v/>
          </cell>
        </row>
        <row r="28679">
          <cell r="O28679" t="str">
            <v/>
          </cell>
        </row>
        <row r="28680">
          <cell r="O28680" t="str">
            <v/>
          </cell>
        </row>
        <row r="28681">
          <cell r="O28681" t="str">
            <v/>
          </cell>
        </row>
        <row r="28682">
          <cell r="O28682" t="str">
            <v/>
          </cell>
        </row>
        <row r="28683">
          <cell r="O28683" t="str">
            <v/>
          </cell>
        </row>
        <row r="28684">
          <cell r="O28684" t="str">
            <v/>
          </cell>
        </row>
        <row r="28685">
          <cell r="O28685" t="str">
            <v/>
          </cell>
        </row>
        <row r="28686">
          <cell r="O28686" t="str">
            <v/>
          </cell>
        </row>
        <row r="28687">
          <cell r="O28687" t="str">
            <v/>
          </cell>
        </row>
        <row r="28688">
          <cell r="O28688" t="str">
            <v/>
          </cell>
        </row>
        <row r="28689">
          <cell r="O28689" t="str">
            <v/>
          </cell>
        </row>
        <row r="28690">
          <cell r="O28690" t="str">
            <v/>
          </cell>
        </row>
        <row r="28691">
          <cell r="O28691" t="str">
            <v/>
          </cell>
        </row>
        <row r="28692">
          <cell r="O28692" t="str">
            <v/>
          </cell>
        </row>
        <row r="28693">
          <cell r="O28693" t="str">
            <v/>
          </cell>
        </row>
        <row r="28694">
          <cell r="O28694" t="str">
            <v/>
          </cell>
        </row>
        <row r="28695">
          <cell r="O28695" t="str">
            <v/>
          </cell>
        </row>
        <row r="28696">
          <cell r="O28696" t="str">
            <v/>
          </cell>
        </row>
        <row r="28697">
          <cell r="O28697" t="str">
            <v/>
          </cell>
        </row>
        <row r="28698">
          <cell r="O28698" t="str">
            <v/>
          </cell>
        </row>
        <row r="28699">
          <cell r="O28699" t="str">
            <v/>
          </cell>
        </row>
        <row r="28700">
          <cell r="O28700" t="str">
            <v/>
          </cell>
        </row>
        <row r="28701">
          <cell r="O28701" t="str">
            <v/>
          </cell>
        </row>
        <row r="28702">
          <cell r="O28702" t="str">
            <v/>
          </cell>
        </row>
        <row r="28703">
          <cell r="O28703" t="str">
            <v/>
          </cell>
        </row>
        <row r="28704">
          <cell r="O28704" t="str">
            <v/>
          </cell>
        </row>
        <row r="28705">
          <cell r="O28705" t="str">
            <v/>
          </cell>
        </row>
        <row r="28706">
          <cell r="O28706" t="str">
            <v/>
          </cell>
        </row>
        <row r="28707">
          <cell r="O28707" t="str">
            <v/>
          </cell>
        </row>
        <row r="28708">
          <cell r="O28708" t="str">
            <v/>
          </cell>
        </row>
        <row r="28709">
          <cell r="O28709" t="str">
            <v/>
          </cell>
        </row>
        <row r="28710">
          <cell r="O28710" t="str">
            <v/>
          </cell>
        </row>
        <row r="28711">
          <cell r="O28711" t="str">
            <v/>
          </cell>
        </row>
        <row r="28712">
          <cell r="O28712" t="str">
            <v/>
          </cell>
        </row>
        <row r="28713">
          <cell r="O28713" t="str">
            <v/>
          </cell>
        </row>
        <row r="28714">
          <cell r="O28714" t="str">
            <v/>
          </cell>
        </row>
        <row r="28715">
          <cell r="O28715" t="str">
            <v/>
          </cell>
        </row>
        <row r="28716">
          <cell r="O28716" t="str">
            <v/>
          </cell>
        </row>
        <row r="28717">
          <cell r="O28717" t="str">
            <v/>
          </cell>
        </row>
        <row r="28718">
          <cell r="O28718" t="str">
            <v/>
          </cell>
        </row>
        <row r="28719">
          <cell r="O28719" t="str">
            <v/>
          </cell>
        </row>
        <row r="28720">
          <cell r="O28720" t="str">
            <v/>
          </cell>
        </row>
        <row r="28721">
          <cell r="O28721" t="str">
            <v/>
          </cell>
        </row>
        <row r="28722">
          <cell r="O28722" t="str">
            <v/>
          </cell>
        </row>
        <row r="28723">
          <cell r="O28723" t="str">
            <v/>
          </cell>
        </row>
        <row r="28724">
          <cell r="O28724" t="str">
            <v/>
          </cell>
        </row>
        <row r="28725">
          <cell r="O28725" t="str">
            <v/>
          </cell>
        </row>
        <row r="28726">
          <cell r="O28726" t="str">
            <v/>
          </cell>
        </row>
        <row r="28727">
          <cell r="O28727" t="str">
            <v/>
          </cell>
        </row>
        <row r="28728">
          <cell r="O28728" t="str">
            <v/>
          </cell>
        </row>
        <row r="28729">
          <cell r="O28729" t="str">
            <v/>
          </cell>
        </row>
        <row r="28730">
          <cell r="O28730" t="str">
            <v/>
          </cell>
        </row>
        <row r="28731">
          <cell r="O28731" t="str">
            <v/>
          </cell>
        </row>
        <row r="28732">
          <cell r="O28732" t="str">
            <v/>
          </cell>
        </row>
        <row r="28733">
          <cell r="O28733" t="str">
            <v/>
          </cell>
        </row>
        <row r="28734">
          <cell r="O28734" t="str">
            <v/>
          </cell>
        </row>
        <row r="28735">
          <cell r="O28735" t="str">
            <v/>
          </cell>
        </row>
        <row r="28736">
          <cell r="O28736" t="str">
            <v/>
          </cell>
        </row>
        <row r="28737">
          <cell r="O28737" t="str">
            <v/>
          </cell>
        </row>
        <row r="28738">
          <cell r="O28738" t="str">
            <v/>
          </cell>
        </row>
        <row r="28739">
          <cell r="O28739" t="str">
            <v/>
          </cell>
        </row>
        <row r="28740">
          <cell r="O28740" t="str">
            <v/>
          </cell>
        </row>
        <row r="28741">
          <cell r="O28741" t="str">
            <v/>
          </cell>
        </row>
        <row r="28742">
          <cell r="O28742" t="str">
            <v/>
          </cell>
        </row>
        <row r="28743">
          <cell r="O28743" t="str">
            <v/>
          </cell>
        </row>
        <row r="28744">
          <cell r="O28744" t="str">
            <v/>
          </cell>
        </row>
        <row r="28745">
          <cell r="O28745" t="str">
            <v/>
          </cell>
        </row>
        <row r="28746">
          <cell r="O28746" t="str">
            <v/>
          </cell>
        </row>
        <row r="28747">
          <cell r="O28747" t="str">
            <v/>
          </cell>
        </row>
        <row r="28748">
          <cell r="O28748" t="str">
            <v/>
          </cell>
        </row>
        <row r="28749">
          <cell r="O28749" t="str">
            <v/>
          </cell>
        </row>
        <row r="28750">
          <cell r="O28750" t="str">
            <v/>
          </cell>
        </row>
        <row r="28751">
          <cell r="O28751" t="str">
            <v/>
          </cell>
        </row>
        <row r="28752">
          <cell r="O28752" t="str">
            <v/>
          </cell>
        </row>
        <row r="28753">
          <cell r="O28753" t="str">
            <v/>
          </cell>
        </row>
        <row r="28754">
          <cell r="O28754" t="str">
            <v/>
          </cell>
        </row>
        <row r="28755">
          <cell r="O28755" t="str">
            <v/>
          </cell>
        </row>
        <row r="28756">
          <cell r="O28756" t="str">
            <v/>
          </cell>
        </row>
        <row r="28757">
          <cell r="O28757" t="str">
            <v/>
          </cell>
        </row>
        <row r="28758">
          <cell r="O28758" t="str">
            <v/>
          </cell>
        </row>
        <row r="28759">
          <cell r="O28759" t="str">
            <v/>
          </cell>
        </row>
        <row r="28760">
          <cell r="O28760" t="str">
            <v/>
          </cell>
        </row>
        <row r="28761">
          <cell r="O28761" t="str">
            <v/>
          </cell>
        </row>
        <row r="28762">
          <cell r="O28762" t="str">
            <v/>
          </cell>
        </row>
        <row r="28763">
          <cell r="O28763" t="str">
            <v/>
          </cell>
        </row>
        <row r="28764">
          <cell r="O28764" t="str">
            <v/>
          </cell>
        </row>
        <row r="28765">
          <cell r="O28765" t="str">
            <v/>
          </cell>
        </row>
        <row r="28766">
          <cell r="O28766" t="str">
            <v/>
          </cell>
        </row>
        <row r="28767">
          <cell r="O28767" t="str">
            <v/>
          </cell>
        </row>
        <row r="28768">
          <cell r="O28768" t="str">
            <v/>
          </cell>
        </row>
        <row r="28769">
          <cell r="O28769" t="str">
            <v/>
          </cell>
        </row>
        <row r="28770">
          <cell r="O28770" t="str">
            <v/>
          </cell>
        </row>
        <row r="28771">
          <cell r="O28771" t="str">
            <v/>
          </cell>
        </row>
        <row r="28772">
          <cell r="O28772" t="str">
            <v/>
          </cell>
        </row>
        <row r="28773">
          <cell r="O28773" t="str">
            <v/>
          </cell>
        </row>
        <row r="28774">
          <cell r="O28774" t="str">
            <v/>
          </cell>
        </row>
        <row r="28775">
          <cell r="O28775" t="str">
            <v/>
          </cell>
        </row>
        <row r="28776">
          <cell r="O28776" t="str">
            <v/>
          </cell>
        </row>
        <row r="28777">
          <cell r="O28777" t="str">
            <v/>
          </cell>
        </row>
        <row r="28778">
          <cell r="O28778" t="str">
            <v/>
          </cell>
        </row>
        <row r="28779">
          <cell r="O28779" t="str">
            <v/>
          </cell>
        </row>
        <row r="28780">
          <cell r="O28780" t="str">
            <v/>
          </cell>
        </row>
        <row r="28781">
          <cell r="O28781" t="str">
            <v/>
          </cell>
        </row>
        <row r="28782">
          <cell r="O28782" t="str">
            <v/>
          </cell>
        </row>
        <row r="28783">
          <cell r="O28783" t="str">
            <v/>
          </cell>
        </row>
        <row r="28784">
          <cell r="O28784" t="str">
            <v/>
          </cell>
        </row>
        <row r="28785">
          <cell r="O28785" t="str">
            <v/>
          </cell>
        </row>
        <row r="28786">
          <cell r="O28786" t="str">
            <v/>
          </cell>
        </row>
        <row r="28787">
          <cell r="O28787" t="str">
            <v/>
          </cell>
        </row>
        <row r="28788">
          <cell r="O28788" t="str">
            <v/>
          </cell>
        </row>
        <row r="28789">
          <cell r="O28789" t="str">
            <v/>
          </cell>
        </row>
        <row r="28790">
          <cell r="O28790" t="str">
            <v/>
          </cell>
        </row>
        <row r="28791">
          <cell r="O28791" t="str">
            <v/>
          </cell>
        </row>
        <row r="28792">
          <cell r="O28792" t="str">
            <v/>
          </cell>
        </row>
        <row r="28793">
          <cell r="O28793" t="str">
            <v/>
          </cell>
        </row>
        <row r="28794">
          <cell r="O28794" t="str">
            <v/>
          </cell>
        </row>
        <row r="28795">
          <cell r="O28795" t="str">
            <v/>
          </cell>
        </row>
        <row r="28796">
          <cell r="O28796" t="str">
            <v/>
          </cell>
        </row>
        <row r="28797">
          <cell r="O28797" t="str">
            <v/>
          </cell>
        </row>
        <row r="28798">
          <cell r="O28798" t="str">
            <v/>
          </cell>
        </row>
        <row r="28799">
          <cell r="O28799" t="str">
            <v/>
          </cell>
        </row>
        <row r="28800">
          <cell r="O28800" t="str">
            <v/>
          </cell>
        </row>
        <row r="28801">
          <cell r="O28801" t="str">
            <v/>
          </cell>
        </row>
        <row r="28802">
          <cell r="O28802" t="str">
            <v/>
          </cell>
        </row>
        <row r="28803">
          <cell r="O28803" t="str">
            <v/>
          </cell>
        </row>
        <row r="28804">
          <cell r="O28804" t="str">
            <v/>
          </cell>
        </row>
        <row r="28805">
          <cell r="O28805" t="str">
            <v/>
          </cell>
        </row>
        <row r="28806">
          <cell r="O28806" t="str">
            <v/>
          </cell>
        </row>
        <row r="28807">
          <cell r="O28807" t="str">
            <v/>
          </cell>
        </row>
        <row r="28808">
          <cell r="O28808" t="str">
            <v/>
          </cell>
        </row>
        <row r="28809">
          <cell r="O28809" t="str">
            <v/>
          </cell>
        </row>
        <row r="28810">
          <cell r="O28810" t="str">
            <v/>
          </cell>
        </row>
        <row r="28811">
          <cell r="O28811" t="str">
            <v/>
          </cell>
        </row>
        <row r="28812">
          <cell r="O28812" t="str">
            <v/>
          </cell>
        </row>
        <row r="28813">
          <cell r="O28813" t="str">
            <v/>
          </cell>
        </row>
        <row r="28814">
          <cell r="O28814" t="str">
            <v/>
          </cell>
        </row>
        <row r="28815">
          <cell r="O28815" t="str">
            <v/>
          </cell>
        </row>
        <row r="28816">
          <cell r="O28816" t="str">
            <v/>
          </cell>
        </row>
        <row r="28817">
          <cell r="O28817" t="str">
            <v/>
          </cell>
        </row>
        <row r="28818">
          <cell r="O28818" t="str">
            <v/>
          </cell>
        </row>
        <row r="28819">
          <cell r="O28819" t="str">
            <v/>
          </cell>
        </row>
        <row r="28820">
          <cell r="O28820" t="str">
            <v/>
          </cell>
        </row>
        <row r="28821">
          <cell r="O28821" t="str">
            <v/>
          </cell>
        </row>
        <row r="28822">
          <cell r="O28822" t="str">
            <v/>
          </cell>
        </row>
        <row r="28823">
          <cell r="O28823" t="str">
            <v/>
          </cell>
        </row>
        <row r="28824">
          <cell r="O28824" t="str">
            <v/>
          </cell>
        </row>
        <row r="28825">
          <cell r="O28825" t="str">
            <v/>
          </cell>
        </row>
        <row r="28826">
          <cell r="O28826" t="str">
            <v/>
          </cell>
        </row>
        <row r="28827">
          <cell r="O28827" t="str">
            <v/>
          </cell>
        </row>
        <row r="28828">
          <cell r="O28828" t="str">
            <v/>
          </cell>
        </row>
        <row r="28829">
          <cell r="O28829" t="str">
            <v/>
          </cell>
        </row>
        <row r="28830">
          <cell r="O28830" t="str">
            <v/>
          </cell>
        </row>
        <row r="28831">
          <cell r="O28831" t="str">
            <v/>
          </cell>
        </row>
        <row r="28832">
          <cell r="O28832" t="str">
            <v/>
          </cell>
        </row>
        <row r="28833">
          <cell r="O28833" t="str">
            <v/>
          </cell>
        </row>
        <row r="28834">
          <cell r="O28834" t="str">
            <v/>
          </cell>
        </row>
        <row r="28835">
          <cell r="O28835" t="str">
            <v/>
          </cell>
        </row>
        <row r="28836">
          <cell r="O28836" t="str">
            <v/>
          </cell>
        </row>
        <row r="28837">
          <cell r="O28837" t="str">
            <v/>
          </cell>
        </row>
        <row r="28838">
          <cell r="O28838" t="str">
            <v/>
          </cell>
        </row>
        <row r="28839">
          <cell r="O28839" t="str">
            <v/>
          </cell>
        </row>
        <row r="28840">
          <cell r="O28840" t="str">
            <v/>
          </cell>
        </row>
        <row r="28841">
          <cell r="O28841" t="str">
            <v/>
          </cell>
        </row>
        <row r="28842">
          <cell r="O28842" t="str">
            <v/>
          </cell>
        </row>
        <row r="28843">
          <cell r="O28843" t="str">
            <v/>
          </cell>
        </row>
        <row r="28844">
          <cell r="O28844" t="str">
            <v/>
          </cell>
        </row>
        <row r="28845">
          <cell r="O28845" t="str">
            <v/>
          </cell>
        </row>
        <row r="28846">
          <cell r="O28846" t="str">
            <v/>
          </cell>
        </row>
        <row r="28847">
          <cell r="O28847" t="str">
            <v/>
          </cell>
        </row>
        <row r="28848">
          <cell r="O28848" t="str">
            <v/>
          </cell>
        </row>
        <row r="28849">
          <cell r="O28849" t="str">
            <v/>
          </cell>
        </row>
        <row r="28850">
          <cell r="O28850" t="str">
            <v/>
          </cell>
        </row>
        <row r="28851">
          <cell r="O28851" t="str">
            <v/>
          </cell>
        </row>
        <row r="28852">
          <cell r="O28852" t="str">
            <v/>
          </cell>
        </row>
        <row r="28853">
          <cell r="O28853" t="str">
            <v/>
          </cell>
        </row>
        <row r="28854">
          <cell r="O28854" t="str">
            <v/>
          </cell>
        </row>
        <row r="28855">
          <cell r="O28855" t="str">
            <v/>
          </cell>
        </row>
        <row r="28856">
          <cell r="O28856" t="str">
            <v/>
          </cell>
        </row>
        <row r="28857">
          <cell r="O28857" t="str">
            <v/>
          </cell>
        </row>
        <row r="28858">
          <cell r="O28858" t="str">
            <v/>
          </cell>
        </row>
        <row r="28859">
          <cell r="O28859" t="str">
            <v/>
          </cell>
        </row>
        <row r="28860">
          <cell r="O28860" t="str">
            <v/>
          </cell>
        </row>
        <row r="28861">
          <cell r="O28861" t="str">
            <v/>
          </cell>
        </row>
        <row r="28862">
          <cell r="O28862" t="str">
            <v/>
          </cell>
        </row>
        <row r="28863">
          <cell r="O28863" t="str">
            <v/>
          </cell>
        </row>
        <row r="28864">
          <cell r="O28864" t="str">
            <v/>
          </cell>
        </row>
        <row r="28865">
          <cell r="O28865" t="str">
            <v/>
          </cell>
        </row>
        <row r="28866">
          <cell r="O28866" t="str">
            <v/>
          </cell>
        </row>
        <row r="28867">
          <cell r="O28867" t="str">
            <v/>
          </cell>
        </row>
        <row r="28868">
          <cell r="O28868" t="str">
            <v/>
          </cell>
        </row>
        <row r="28869">
          <cell r="O28869" t="str">
            <v/>
          </cell>
        </row>
        <row r="28870">
          <cell r="O28870" t="str">
            <v/>
          </cell>
        </row>
        <row r="28871">
          <cell r="O28871" t="str">
            <v/>
          </cell>
        </row>
        <row r="28872">
          <cell r="O28872" t="str">
            <v/>
          </cell>
        </row>
        <row r="28873">
          <cell r="O28873" t="str">
            <v/>
          </cell>
        </row>
        <row r="28874">
          <cell r="O28874" t="str">
            <v/>
          </cell>
        </row>
        <row r="28875">
          <cell r="O28875" t="str">
            <v/>
          </cell>
        </row>
        <row r="28876">
          <cell r="O28876" t="str">
            <v/>
          </cell>
        </row>
        <row r="28877">
          <cell r="O28877" t="str">
            <v/>
          </cell>
        </row>
        <row r="28878">
          <cell r="O28878" t="str">
            <v/>
          </cell>
        </row>
        <row r="28879">
          <cell r="O28879" t="str">
            <v/>
          </cell>
        </row>
        <row r="28880">
          <cell r="O28880" t="str">
            <v/>
          </cell>
        </row>
        <row r="28881">
          <cell r="O28881" t="str">
            <v/>
          </cell>
        </row>
        <row r="28882">
          <cell r="O28882" t="str">
            <v/>
          </cell>
        </row>
        <row r="28883">
          <cell r="O28883" t="str">
            <v/>
          </cell>
        </row>
        <row r="28884">
          <cell r="O28884" t="str">
            <v/>
          </cell>
        </row>
        <row r="28885">
          <cell r="O28885" t="str">
            <v/>
          </cell>
        </row>
        <row r="28886">
          <cell r="O28886" t="str">
            <v/>
          </cell>
        </row>
        <row r="28887">
          <cell r="O28887" t="str">
            <v/>
          </cell>
        </row>
        <row r="28888">
          <cell r="O28888" t="str">
            <v/>
          </cell>
        </row>
        <row r="28889">
          <cell r="O28889" t="str">
            <v/>
          </cell>
        </row>
        <row r="28890">
          <cell r="O28890" t="str">
            <v/>
          </cell>
        </row>
        <row r="28891">
          <cell r="O28891" t="str">
            <v/>
          </cell>
        </row>
        <row r="28892">
          <cell r="O28892" t="str">
            <v/>
          </cell>
        </row>
        <row r="28893">
          <cell r="O28893" t="str">
            <v/>
          </cell>
        </row>
        <row r="28894">
          <cell r="O28894" t="str">
            <v/>
          </cell>
        </row>
        <row r="28895">
          <cell r="O28895" t="str">
            <v/>
          </cell>
        </row>
        <row r="28896">
          <cell r="O28896" t="str">
            <v/>
          </cell>
        </row>
        <row r="28897">
          <cell r="O28897" t="str">
            <v/>
          </cell>
        </row>
        <row r="28898">
          <cell r="O28898" t="str">
            <v/>
          </cell>
        </row>
        <row r="28899">
          <cell r="O28899" t="str">
            <v/>
          </cell>
        </row>
        <row r="28900">
          <cell r="O28900" t="str">
            <v/>
          </cell>
        </row>
        <row r="28901">
          <cell r="O28901" t="str">
            <v/>
          </cell>
        </row>
        <row r="28902">
          <cell r="O28902" t="str">
            <v/>
          </cell>
        </row>
        <row r="28903">
          <cell r="O28903" t="str">
            <v/>
          </cell>
        </row>
        <row r="28904">
          <cell r="O28904" t="str">
            <v/>
          </cell>
        </row>
        <row r="28905">
          <cell r="O28905" t="str">
            <v/>
          </cell>
        </row>
        <row r="28906">
          <cell r="O28906" t="str">
            <v/>
          </cell>
        </row>
        <row r="28907">
          <cell r="O28907" t="str">
            <v/>
          </cell>
        </row>
        <row r="28908">
          <cell r="O28908" t="str">
            <v/>
          </cell>
        </row>
        <row r="28909">
          <cell r="O28909" t="str">
            <v/>
          </cell>
        </row>
        <row r="28910">
          <cell r="O28910" t="str">
            <v/>
          </cell>
        </row>
        <row r="28911">
          <cell r="O28911" t="str">
            <v/>
          </cell>
        </row>
        <row r="28912">
          <cell r="O28912" t="str">
            <v/>
          </cell>
        </row>
        <row r="28913">
          <cell r="O28913" t="str">
            <v/>
          </cell>
        </row>
        <row r="28914">
          <cell r="O28914" t="str">
            <v/>
          </cell>
        </row>
        <row r="28915">
          <cell r="O28915" t="str">
            <v/>
          </cell>
        </row>
        <row r="28916">
          <cell r="O28916" t="str">
            <v/>
          </cell>
        </row>
        <row r="28917">
          <cell r="O28917" t="str">
            <v/>
          </cell>
        </row>
        <row r="28918">
          <cell r="O28918" t="str">
            <v/>
          </cell>
        </row>
        <row r="28919">
          <cell r="O28919" t="str">
            <v/>
          </cell>
        </row>
        <row r="28920">
          <cell r="O28920" t="str">
            <v/>
          </cell>
        </row>
        <row r="28921">
          <cell r="O28921" t="str">
            <v/>
          </cell>
        </row>
        <row r="28922">
          <cell r="O28922" t="str">
            <v/>
          </cell>
        </row>
        <row r="28923">
          <cell r="O28923" t="str">
            <v/>
          </cell>
        </row>
        <row r="28924">
          <cell r="O28924" t="str">
            <v/>
          </cell>
        </row>
        <row r="28925">
          <cell r="O28925" t="str">
            <v/>
          </cell>
        </row>
        <row r="28926">
          <cell r="O28926" t="str">
            <v/>
          </cell>
        </row>
        <row r="28927">
          <cell r="O28927" t="str">
            <v/>
          </cell>
        </row>
        <row r="28928">
          <cell r="O28928" t="str">
            <v/>
          </cell>
        </row>
        <row r="28929">
          <cell r="O28929" t="str">
            <v/>
          </cell>
        </row>
        <row r="28930">
          <cell r="O28930" t="str">
            <v/>
          </cell>
        </row>
        <row r="28931">
          <cell r="O28931" t="str">
            <v/>
          </cell>
        </row>
        <row r="28932">
          <cell r="O28932" t="str">
            <v/>
          </cell>
        </row>
        <row r="28933">
          <cell r="O28933" t="str">
            <v/>
          </cell>
        </row>
        <row r="28934">
          <cell r="O28934" t="str">
            <v/>
          </cell>
        </row>
        <row r="28935">
          <cell r="O28935" t="str">
            <v/>
          </cell>
        </row>
        <row r="28936">
          <cell r="O28936" t="str">
            <v/>
          </cell>
        </row>
        <row r="28937">
          <cell r="O28937" t="str">
            <v/>
          </cell>
        </row>
        <row r="28938">
          <cell r="O28938" t="str">
            <v/>
          </cell>
        </row>
        <row r="28939">
          <cell r="O28939" t="str">
            <v/>
          </cell>
        </row>
        <row r="28940">
          <cell r="O28940" t="str">
            <v/>
          </cell>
        </row>
        <row r="28941">
          <cell r="O28941" t="str">
            <v/>
          </cell>
        </row>
        <row r="28942">
          <cell r="O28942" t="str">
            <v/>
          </cell>
        </row>
        <row r="28943">
          <cell r="O28943" t="str">
            <v/>
          </cell>
        </row>
        <row r="28944">
          <cell r="O28944" t="str">
            <v/>
          </cell>
        </row>
        <row r="28945">
          <cell r="O28945" t="str">
            <v/>
          </cell>
        </row>
        <row r="28946">
          <cell r="O28946" t="str">
            <v/>
          </cell>
        </row>
        <row r="28947">
          <cell r="O28947" t="str">
            <v/>
          </cell>
        </row>
        <row r="28948">
          <cell r="O28948" t="str">
            <v/>
          </cell>
        </row>
        <row r="28949">
          <cell r="O28949" t="str">
            <v/>
          </cell>
        </row>
        <row r="28950">
          <cell r="O28950" t="str">
            <v/>
          </cell>
        </row>
        <row r="28951">
          <cell r="O28951" t="str">
            <v/>
          </cell>
        </row>
        <row r="28952">
          <cell r="O28952" t="str">
            <v/>
          </cell>
        </row>
        <row r="28953">
          <cell r="O28953" t="str">
            <v/>
          </cell>
        </row>
        <row r="28954">
          <cell r="O28954" t="str">
            <v/>
          </cell>
        </row>
        <row r="28955">
          <cell r="O28955" t="str">
            <v/>
          </cell>
        </row>
        <row r="28956">
          <cell r="O28956" t="str">
            <v/>
          </cell>
        </row>
        <row r="28957">
          <cell r="O28957" t="str">
            <v/>
          </cell>
        </row>
        <row r="28958">
          <cell r="O28958" t="str">
            <v/>
          </cell>
        </row>
        <row r="28959">
          <cell r="O28959" t="str">
            <v/>
          </cell>
        </row>
        <row r="28960">
          <cell r="O28960" t="str">
            <v/>
          </cell>
        </row>
        <row r="28961">
          <cell r="O28961" t="str">
            <v/>
          </cell>
        </row>
        <row r="28962">
          <cell r="O28962" t="str">
            <v/>
          </cell>
        </row>
        <row r="28963">
          <cell r="O28963" t="str">
            <v/>
          </cell>
        </row>
        <row r="28964">
          <cell r="O28964" t="str">
            <v/>
          </cell>
        </row>
        <row r="28965">
          <cell r="O28965" t="str">
            <v/>
          </cell>
        </row>
        <row r="28966">
          <cell r="O28966" t="str">
            <v/>
          </cell>
        </row>
        <row r="28967">
          <cell r="O28967" t="str">
            <v/>
          </cell>
        </row>
        <row r="28968">
          <cell r="O28968" t="str">
            <v/>
          </cell>
        </row>
        <row r="28969">
          <cell r="O28969" t="str">
            <v/>
          </cell>
        </row>
        <row r="28970">
          <cell r="O28970" t="str">
            <v/>
          </cell>
        </row>
        <row r="28971">
          <cell r="O28971" t="str">
            <v/>
          </cell>
        </row>
        <row r="28972">
          <cell r="O28972" t="str">
            <v/>
          </cell>
        </row>
        <row r="28973">
          <cell r="O28973" t="str">
            <v/>
          </cell>
        </row>
        <row r="28974">
          <cell r="O28974" t="str">
            <v/>
          </cell>
        </row>
        <row r="28975">
          <cell r="O28975" t="str">
            <v/>
          </cell>
        </row>
        <row r="28976">
          <cell r="O28976" t="str">
            <v/>
          </cell>
        </row>
        <row r="28977">
          <cell r="O28977" t="str">
            <v/>
          </cell>
        </row>
        <row r="28978">
          <cell r="O28978" t="str">
            <v/>
          </cell>
        </row>
        <row r="28979">
          <cell r="O28979" t="str">
            <v/>
          </cell>
        </row>
        <row r="28980">
          <cell r="O28980" t="str">
            <v/>
          </cell>
        </row>
        <row r="28981">
          <cell r="O28981" t="str">
            <v/>
          </cell>
        </row>
        <row r="28982">
          <cell r="O28982" t="str">
            <v/>
          </cell>
        </row>
        <row r="28983">
          <cell r="O28983" t="str">
            <v/>
          </cell>
        </row>
        <row r="28984">
          <cell r="O28984" t="str">
            <v/>
          </cell>
        </row>
        <row r="28985">
          <cell r="O28985" t="str">
            <v/>
          </cell>
        </row>
        <row r="28986">
          <cell r="O28986" t="str">
            <v/>
          </cell>
        </row>
        <row r="28987">
          <cell r="O28987" t="str">
            <v/>
          </cell>
        </row>
        <row r="28988">
          <cell r="O28988" t="str">
            <v/>
          </cell>
        </row>
        <row r="28989">
          <cell r="O28989" t="str">
            <v/>
          </cell>
        </row>
        <row r="28990">
          <cell r="O28990" t="str">
            <v/>
          </cell>
        </row>
        <row r="28991">
          <cell r="O28991" t="str">
            <v/>
          </cell>
        </row>
        <row r="28992">
          <cell r="O28992" t="str">
            <v/>
          </cell>
        </row>
        <row r="28993">
          <cell r="O28993" t="str">
            <v/>
          </cell>
        </row>
        <row r="28994">
          <cell r="O28994" t="str">
            <v/>
          </cell>
        </row>
        <row r="28995">
          <cell r="O28995" t="str">
            <v/>
          </cell>
        </row>
        <row r="28996">
          <cell r="O28996" t="str">
            <v/>
          </cell>
        </row>
        <row r="28997">
          <cell r="O28997" t="str">
            <v/>
          </cell>
        </row>
        <row r="28998">
          <cell r="O28998" t="str">
            <v/>
          </cell>
        </row>
        <row r="28999">
          <cell r="O28999" t="str">
            <v/>
          </cell>
        </row>
        <row r="29000">
          <cell r="O29000" t="str">
            <v/>
          </cell>
        </row>
        <row r="29001">
          <cell r="O29001" t="str">
            <v/>
          </cell>
        </row>
        <row r="29002">
          <cell r="O29002" t="str">
            <v/>
          </cell>
        </row>
        <row r="29003">
          <cell r="O29003" t="str">
            <v/>
          </cell>
        </row>
        <row r="29004">
          <cell r="O29004" t="str">
            <v/>
          </cell>
        </row>
        <row r="29005">
          <cell r="O29005" t="str">
            <v/>
          </cell>
        </row>
        <row r="29006">
          <cell r="O29006" t="str">
            <v/>
          </cell>
        </row>
        <row r="29007">
          <cell r="O29007" t="str">
            <v/>
          </cell>
        </row>
        <row r="29008">
          <cell r="O29008" t="str">
            <v/>
          </cell>
        </row>
        <row r="29009">
          <cell r="O29009" t="str">
            <v/>
          </cell>
        </row>
        <row r="29010">
          <cell r="O29010" t="str">
            <v/>
          </cell>
        </row>
        <row r="29011">
          <cell r="O29011" t="str">
            <v/>
          </cell>
        </row>
        <row r="29012">
          <cell r="O29012" t="str">
            <v/>
          </cell>
        </row>
        <row r="29013">
          <cell r="O29013" t="str">
            <v/>
          </cell>
        </row>
        <row r="29014">
          <cell r="O29014" t="str">
            <v/>
          </cell>
        </row>
        <row r="29015">
          <cell r="O29015" t="str">
            <v/>
          </cell>
        </row>
        <row r="29016">
          <cell r="O29016" t="str">
            <v/>
          </cell>
        </row>
        <row r="29017">
          <cell r="O29017" t="str">
            <v/>
          </cell>
        </row>
        <row r="29018">
          <cell r="O29018" t="str">
            <v/>
          </cell>
        </row>
        <row r="29019">
          <cell r="O29019" t="str">
            <v/>
          </cell>
        </row>
        <row r="29020">
          <cell r="O29020" t="str">
            <v/>
          </cell>
        </row>
        <row r="29021">
          <cell r="O29021" t="str">
            <v/>
          </cell>
        </row>
        <row r="29022">
          <cell r="O29022" t="str">
            <v/>
          </cell>
        </row>
        <row r="29023">
          <cell r="O29023" t="str">
            <v/>
          </cell>
        </row>
        <row r="29024">
          <cell r="O29024" t="str">
            <v/>
          </cell>
        </row>
        <row r="29025">
          <cell r="O29025" t="str">
            <v/>
          </cell>
        </row>
        <row r="29026">
          <cell r="O29026" t="str">
            <v/>
          </cell>
        </row>
        <row r="29027">
          <cell r="O29027" t="str">
            <v/>
          </cell>
        </row>
        <row r="29028">
          <cell r="O29028" t="str">
            <v/>
          </cell>
        </row>
        <row r="29029">
          <cell r="O29029" t="str">
            <v/>
          </cell>
        </row>
        <row r="29030">
          <cell r="O29030" t="str">
            <v/>
          </cell>
        </row>
        <row r="29031">
          <cell r="O29031" t="str">
            <v/>
          </cell>
        </row>
        <row r="29032">
          <cell r="O29032" t="str">
            <v/>
          </cell>
        </row>
        <row r="29033">
          <cell r="O29033" t="str">
            <v/>
          </cell>
        </row>
        <row r="29034">
          <cell r="O29034" t="str">
            <v/>
          </cell>
        </row>
        <row r="29035">
          <cell r="O29035" t="str">
            <v/>
          </cell>
        </row>
        <row r="29036">
          <cell r="O29036" t="str">
            <v/>
          </cell>
        </row>
        <row r="29037">
          <cell r="O29037" t="str">
            <v/>
          </cell>
        </row>
        <row r="29038">
          <cell r="O29038" t="str">
            <v/>
          </cell>
        </row>
        <row r="29039">
          <cell r="O29039" t="str">
            <v/>
          </cell>
        </row>
        <row r="29040">
          <cell r="O29040" t="str">
            <v/>
          </cell>
        </row>
        <row r="29041">
          <cell r="O29041" t="str">
            <v/>
          </cell>
        </row>
        <row r="29042">
          <cell r="O29042" t="str">
            <v/>
          </cell>
        </row>
        <row r="29043">
          <cell r="O29043" t="str">
            <v/>
          </cell>
        </row>
        <row r="29044">
          <cell r="O29044" t="str">
            <v/>
          </cell>
        </row>
        <row r="29045">
          <cell r="O29045" t="str">
            <v/>
          </cell>
        </row>
        <row r="29046">
          <cell r="O29046" t="str">
            <v/>
          </cell>
        </row>
        <row r="29047">
          <cell r="O29047" t="str">
            <v/>
          </cell>
        </row>
        <row r="29048">
          <cell r="O29048" t="str">
            <v/>
          </cell>
        </row>
        <row r="29049">
          <cell r="O29049" t="str">
            <v/>
          </cell>
        </row>
        <row r="29050">
          <cell r="O29050" t="str">
            <v/>
          </cell>
        </row>
        <row r="29051">
          <cell r="O29051" t="str">
            <v/>
          </cell>
        </row>
        <row r="29052">
          <cell r="O29052" t="str">
            <v/>
          </cell>
        </row>
        <row r="29053">
          <cell r="O29053" t="str">
            <v/>
          </cell>
        </row>
        <row r="29054">
          <cell r="O29054" t="str">
            <v/>
          </cell>
        </row>
        <row r="29055">
          <cell r="O29055" t="str">
            <v/>
          </cell>
        </row>
        <row r="29056">
          <cell r="O29056" t="str">
            <v/>
          </cell>
        </row>
        <row r="29057">
          <cell r="O29057" t="str">
            <v/>
          </cell>
        </row>
        <row r="29058">
          <cell r="O29058" t="str">
            <v/>
          </cell>
        </row>
        <row r="29059">
          <cell r="O29059" t="str">
            <v/>
          </cell>
        </row>
        <row r="29060">
          <cell r="O29060" t="str">
            <v/>
          </cell>
        </row>
        <row r="29061">
          <cell r="O29061" t="str">
            <v/>
          </cell>
        </row>
        <row r="29062">
          <cell r="O29062" t="str">
            <v/>
          </cell>
        </row>
        <row r="29063">
          <cell r="O29063" t="str">
            <v/>
          </cell>
        </row>
        <row r="29064">
          <cell r="O29064" t="str">
            <v/>
          </cell>
        </row>
        <row r="29065">
          <cell r="O29065" t="str">
            <v/>
          </cell>
        </row>
        <row r="29066">
          <cell r="O29066" t="str">
            <v/>
          </cell>
        </row>
        <row r="29067">
          <cell r="O29067" t="str">
            <v/>
          </cell>
        </row>
        <row r="29068">
          <cell r="O29068" t="str">
            <v/>
          </cell>
        </row>
        <row r="29069">
          <cell r="O29069" t="str">
            <v/>
          </cell>
        </row>
        <row r="29070">
          <cell r="O29070" t="str">
            <v/>
          </cell>
        </row>
        <row r="29071">
          <cell r="O29071" t="str">
            <v/>
          </cell>
        </row>
        <row r="29072">
          <cell r="O29072" t="str">
            <v/>
          </cell>
        </row>
        <row r="29073">
          <cell r="O29073" t="str">
            <v/>
          </cell>
        </row>
        <row r="29074">
          <cell r="O29074" t="str">
            <v/>
          </cell>
        </row>
        <row r="29075">
          <cell r="O29075" t="str">
            <v/>
          </cell>
        </row>
        <row r="29076">
          <cell r="O29076" t="str">
            <v/>
          </cell>
        </row>
        <row r="29077">
          <cell r="O29077" t="str">
            <v/>
          </cell>
        </row>
        <row r="29078">
          <cell r="O29078" t="str">
            <v/>
          </cell>
        </row>
        <row r="29079">
          <cell r="O29079" t="str">
            <v/>
          </cell>
        </row>
        <row r="29080">
          <cell r="O29080" t="str">
            <v/>
          </cell>
        </row>
        <row r="29081">
          <cell r="O29081" t="str">
            <v/>
          </cell>
        </row>
        <row r="29082">
          <cell r="O29082" t="str">
            <v/>
          </cell>
        </row>
        <row r="29083">
          <cell r="O29083" t="str">
            <v/>
          </cell>
        </row>
        <row r="29084">
          <cell r="O29084" t="str">
            <v/>
          </cell>
        </row>
        <row r="29085">
          <cell r="O29085" t="str">
            <v/>
          </cell>
        </row>
        <row r="29086">
          <cell r="O29086" t="str">
            <v/>
          </cell>
        </row>
        <row r="29087">
          <cell r="O29087" t="str">
            <v/>
          </cell>
        </row>
        <row r="29088">
          <cell r="O29088" t="str">
            <v/>
          </cell>
        </row>
        <row r="29089">
          <cell r="O29089" t="str">
            <v/>
          </cell>
        </row>
        <row r="29090">
          <cell r="O29090" t="str">
            <v/>
          </cell>
        </row>
        <row r="29091">
          <cell r="O29091" t="str">
            <v/>
          </cell>
        </row>
        <row r="29092">
          <cell r="O29092" t="str">
            <v/>
          </cell>
        </row>
        <row r="29093">
          <cell r="O29093" t="str">
            <v/>
          </cell>
        </row>
        <row r="29094">
          <cell r="O29094" t="str">
            <v/>
          </cell>
        </row>
        <row r="29095">
          <cell r="O29095" t="str">
            <v/>
          </cell>
        </row>
        <row r="29096">
          <cell r="O29096" t="str">
            <v/>
          </cell>
        </row>
        <row r="29097">
          <cell r="O29097" t="str">
            <v/>
          </cell>
        </row>
        <row r="29098">
          <cell r="O29098" t="str">
            <v/>
          </cell>
        </row>
        <row r="29099">
          <cell r="O29099" t="str">
            <v/>
          </cell>
        </row>
        <row r="29100">
          <cell r="O29100" t="str">
            <v/>
          </cell>
        </row>
        <row r="29101">
          <cell r="O29101" t="str">
            <v/>
          </cell>
        </row>
        <row r="29102">
          <cell r="O29102" t="str">
            <v/>
          </cell>
        </row>
        <row r="29103">
          <cell r="O29103" t="str">
            <v/>
          </cell>
        </row>
        <row r="29104">
          <cell r="O29104" t="str">
            <v/>
          </cell>
        </row>
        <row r="29105">
          <cell r="O29105" t="str">
            <v/>
          </cell>
        </row>
        <row r="29106">
          <cell r="O29106" t="str">
            <v/>
          </cell>
        </row>
        <row r="29107">
          <cell r="O29107" t="str">
            <v/>
          </cell>
        </row>
        <row r="29108">
          <cell r="O29108" t="str">
            <v/>
          </cell>
        </row>
        <row r="29109">
          <cell r="O29109" t="str">
            <v/>
          </cell>
        </row>
        <row r="29110">
          <cell r="O29110" t="str">
            <v/>
          </cell>
        </row>
        <row r="29111">
          <cell r="O29111" t="str">
            <v/>
          </cell>
        </row>
        <row r="29112">
          <cell r="O29112" t="str">
            <v/>
          </cell>
        </row>
        <row r="29113">
          <cell r="O29113" t="str">
            <v/>
          </cell>
        </row>
        <row r="29114">
          <cell r="O29114" t="str">
            <v/>
          </cell>
        </row>
        <row r="29115">
          <cell r="O29115" t="str">
            <v/>
          </cell>
        </row>
        <row r="29116">
          <cell r="O29116" t="str">
            <v/>
          </cell>
        </row>
        <row r="29117">
          <cell r="O29117" t="str">
            <v/>
          </cell>
        </row>
        <row r="29118">
          <cell r="O29118" t="str">
            <v/>
          </cell>
        </row>
        <row r="29119">
          <cell r="O29119" t="str">
            <v/>
          </cell>
        </row>
        <row r="29120">
          <cell r="O29120" t="str">
            <v/>
          </cell>
        </row>
        <row r="29121">
          <cell r="O29121" t="str">
            <v/>
          </cell>
        </row>
        <row r="29122">
          <cell r="O29122" t="str">
            <v/>
          </cell>
        </row>
        <row r="29123">
          <cell r="O29123" t="str">
            <v/>
          </cell>
        </row>
        <row r="29124">
          <cell r="O29124" t="str">
            <v/>
          </cell>
        </row>
        <row r="29125">
          <cell r="O29125" t="str">
            <v/>
          </cell>
        </row>
        <row r="29126">
          <cell r="O29126" t="str">
            <v/>
          </cell>
        </row>
        <row r="29127">
          <cell r="O29127" t="str">
            <v/>
          </cell>
        </row>
        <row r="29128">
          <cell r="O29128" t="str">
            <v/>
          </cell>
        </row>
        <row r="29129">
          <cell r="O29129" t="str">
            <v/>
          </cell>
        </row>
        <row r="29130">
          <cell r="O29130" t="str">
            <v/>
          </cell>
        </row>
        <row r="29131">
          <cell r="O29131" t="str">
            <v/>
          </cell>
        </row>
        <row r="29132">
          <cell r="O29132" t="str">
            <v/>
          </cell>
        </row>
        <row r="29133">
          <cell r="O29133" t="str">
            <v/>
          </cell>
        </row>
        <row r="29134">
          <cell r="O29134" t="str">
            <v/>
          </cell>
        </row>
        <row r="29135">
          <cell r="O29135" t="str">
            <v/>
          </cell>
        </row>
        <row r="29136">
          <cell r="O29136" t="str">
            <v/>
          </cell>
        </row>
        <row r="29137">
          <cell r="O29137" t="str">
            <v/>
          </cell>
        </row>
        <row r="29138">
          <cell r="O29138" t="str">
            <v/>
          </cell>
        </row>
        <row r="29139">
          <cell r="O29139" t="str">
            <v/>
          </cell>
        </row>
        <row r="29140">
          <cell r="O29140" t="str">
            <v/>
          </cell>
        </row>
        <row r="29141">
          <cell r="O29141" t="str">
            <v/>
          </cell>
        </row>
        <row r="29142">
          <cell r="O29142" t="str">
            <v/>
          </cell>
        </row>
        <row r="29143">
          <cell r="O29143" t="str">
            <v/>
          </cell>
        </row>
        <row r="29144">
          <cell r="O29144" t="str">
            <v/>
          </cell>
        </row>
        <row r="29145">
          <cell r="O29145" t="str">
            <v/>
          </cell>
        </row>
        <row r="29146">
          <cell r="O29146" t="str">
            <v/>
          </cell>
        </row>
        <row r="29147">
          <cell r="O29147" t="str">
            <v/>
          </cell>
        </row>
        <row r="29148">
          <cell r="O29148" t="str">
            <v/>
          </cell>
        </row>
        <row r="29149">
          <cell r="O29149" t="str">
            <v/>
          </cell>
        </row>
        <row r="29150">
          <cell r="O29150" t="str">
            <v/>
          </cell>
        </row>
        <row r="29151">
          <cell r="O29151" t="str">
            <v/>
          </cell>
        </row>
        <row r="29152">
          <cell r="O29152" t="str">
            <v/>
          </cell>
        </row>
        <row r="29153">
          <cell r="O29153" t="str">
            <v/>
          </cell>
        </row>
        <row r="29154">
          <cell r="O29154" t="str">
            <v/>
          </cell>
        </row>
        <row r="29155">
          <cell r="O29155" t="str">
            <v/>
          </cell>
        </row>
        <row r="29156">
          <cell r="O29156" t="str">
            <v/>
          </cell>
        </row>
        <row r="29157">
          <cell r="O29157" t="str">
            <v/>
          </cell>
        </row>
        <row r="29158">
          <cell r="O29158" t="str">
            <v/>
          </cell>
        </row>
        <row r="29159">
          <cell r="O29159" t="str">
            <v/>
          </cell>
        </row>
        <row r="29160">
          <cell r="O29160" t="str">
            <v/>
          </cell>
        </row>
        <row r="29161">
          <cell r="O29161" t="str">
            <v/>
          </cell>
        </row>
        <row r="29162">
          <cell r="O29162" t="str">
            <v/>
          </cell>
        </row>
        <row r="29163">
          <cell r="O29163" t="str">
            <v/>
          </cell>
        </row>
        <row r="29164">
          <cell r="O29164" t="str">
            <v/>
          </cell>
        </row>
        <row r="29165">
          <cell r="O29165" t="str">
            <v/>
          </cell>
        </row>
        <row r="29166">
          <cell r="O29166" t="str">
            <v/>
          </cell>
        </row>
        <row r="29167">
          <cell r="O29167" t="str">
            <v/>
          </cell>
        </row>
        <row r="29168">
          <cell r="O29168" t="str">
            <v/>
          </cell>
        </row>
        <row r="29169">
          <cell r="O29169" t="str">
            <v/>
          </cell>
        </row>
        <row r="29170">
          <cell r="O29170" t="str">
            <v/>
          </cell>
        </row>
        <row r="29171">
          <cell r="O29171" t="str">
            <v/>
          </cell>
        </row>
        <row r="29172">
          <cell r="O29172" t="str">
            <v/>
          </cell>
        </row>
        <row r="29173">
          <cell r="O29173" t="str">
            <v/>
          </cell>
        </row>
        <row r="29174">
          <cell r="O29174" t="str">
            <v/>
          </cell>
        </row>
        <row r="29175">
          <cell r="O29175" t="str">
            <v/>
          </cell>
        </row>
        <row r="29176">
          <cell r="O29176" t="str">
            <v/>
          </cell>
        </row>
        <row r="29177">
          <cell r="O29177" t="str">
            <v/>
          </cell>
        </row>
        <row r="29178">
          <cell r="O29178" t="str">
            <v/>
          </cell>
        </row>
        <row r="29179">
          <cell r="O29179" t="str">
            <v/>
          </cell>
        </row>
        <row r="29180">
          <cell r="O29180" t="str">
            <v/>
          </cell>
        </row>
        <row r="29181">
          <cell r="O29181" t="str">
            <v/>
          </cell>
        </row>
        <row r="29182">
          <cell r="O29182" t="str">
            <v/>
          </cell>
        </row>
        <row r="29183">
          <cell r="O29183" t="str">
            <v/>
          </cell>
        </row>
        <row r="29184">
          <cell r="O29184" t="str">
            <v/>
          </cell>
        </row>
        <row r="29185">
          <cell r="O29185" t="str">
            <v/>
          </cell>
        </row>
        <row r="29186">
          <cell r="O29186" t="str">
            <v/>
          </cell>
        </row>
        <row r="29187">
          <cell r="O29187" t="str">
            <v/>
          </cell>
        </row>
        <row r="29188">
          <cell r="O29188" t="str">
            <v/>
          </cell>
        </row>
        <row r="29189">
          <cell r="O29189" t="str">
            <v/>
          </cell>
        </row>
        <row r="29190">
          <cell r="O29190" t="str">
            <v/>
          </cell>
        </row>
        <row r="29191">
          <cell r="O29191" t="str">
            <v/>
          </cell>
        </row>
        <row r="29192">
          <cell r="O29192" t="str">
            <v/>
          </cell>
        </row>
        <row r="29193">
          <cell r="O29193" t="str">
            <v/>
          </cell>
        </row>
        <row r="29194">
          <cell r="O29194" t="str">
            <v/>
          </cell>
        </row>
        <row r="29195">
          <cell r="O29195" t="str">
            <v/>
          </cell>
        </row>
        <row r="29196">
          <cell r="O29196" t="str">
            <v/>
          </cell>
        </row>
        <row r="29197">
          <cell r="O29197" t="str">
            <v/>
          </cell>
        </row>
        <row r="29198">
          <cell r="O29198" t="str">
            <v/>
          </cell>
        </row>
        <row r="29199">
          <cell r="O29199" t="str">
            <v/>
          </cell>
        </row>
        <row r="29200">
          <cell r="O29200" t="str">
            <v/>
          </cell>
        </row>
        <row r="29201">
          <cell r="O29201" t="str">
            <v/>
          </cell>
        </row>
        <row r="29202">
          <cell r="O29202" t="str">
            <v/>
          </cell>
        </row>
        <row r="29203">
          <cell r="O29203" t="str">
            <v/>
          </cell>
        </row>
        <row r="29204">
          <cell r="O29204" t="str">
            <v/>
          </cell>
        </row>
        <row r="29205">
          <cell r="O29205" t="str">
            <v/>
          </cell>
        </row>
        <row r="29206">
          <cell r="O29206" t="str">
            <v/>
          </cell>
        </row>
        <row r="29207">
          <cell r="O29207" t="str">
            <v/>
          </cell>
        </row>
        <row r="29208">
          <cell r="O29208" t="str">
            <v/>
          </cell>
        </row>
        <row r="29209">
          <cell r="O29209" t="str">
            <v/>
          </cell>
        </row>
        <row r="29210">
          <cell r="O29210" t="str">
            <v/>
          </cell>
        </row>
        <row r="29211">
          <cell r="O29211" t="str">
            <v/>
          </cell>
        </row>
        <row r="29212">
          <cell r="O29212" t="str">
            <v/>
          </cell>
        </row>
        <row r="29213">
          <cell r="O29213" t="str">
            <v/>
          </cell>
        </row>
        <row r="29214">
          <cell r="O29214" t="str">
            <v/>
          </cell>
        </row>
        <row r="29215">
          <cell r="O29215" t="str">
            <v/>
          </cell>
        </row>
        <row r="29216">
          <cell r="O29216" t="str">
            <v/>
          </cell>
        </row>
        <row r="29217">
          <cell r="O29217" t="str">
            <v/>
          </cell>
        </row>
        <row r="29218">
          <cell r="O29218" t="str">
            <v/>
          </cell>
        </row>
        <row r="29219">
          <cell r="O29219" t="str">
            <v/>
          </cell>
        </row>
        <row r="29220">
          <cell r="O29220" t="str">
            <v/>
          </cell>
        </row>
        <row r="29221">
          <cell r="O29221" t="str">
            <v/>
          </cell>
        </row>
        <row r="29222">
          <cell r="O29222" t="str">
            <v/>
          </cell>
        </row>
        <row r="29223">
          <cell r="O29223" t="str">
            <v/>
          </cell>
        </row>
        <row r="29224">
          <cell r="O29224" t="str">
            <v/>
          </cell>
        </row>
        <row r="29225">
          <cell r="O29225" t="str">
            <v/>
          </cell>
        </row>
        <row r="29226">
          <cell r="O29226" t="str">
            <v/>
          </cell>
        </row>
        <row r="29227">
          <cell r="O29227" t="str">
            <v/>
          </cell>
        </row>
        <row r="29228">
          <cell r="O29228" t="str">
            <v/>
          </cell>
        </row>
        <row r="29229">
          <cell r="O29229" t="str">
            <v/>
          </cell>
        </row>
        <row r="29230">
          <cell r="O29230" t="str">
            <v/>
          </cell>
        </row>
        <row r="29231">
          <cell r="O29231" t="str">
            <v/>
          </cell>
        </row>
        <row r="29232">
          <cell r="O29232" t="str">
            <v/>
          </cell>
        </row>
        <row r="29233">
          <cell r="O29233" t="str">
            <v/>
          </cell>
        </row>
        <row r="29234">
          <cell r="O29234" t="str">
            <v/>
          </cell>
        </row>
        <row r="29235">
          <cell r="O29235" t="str">
            <v/>
          </cell>
        </row>
        <row r="29236">
          <cell r="O29236" t="str">
            <v/>
          </cell>
        </row>
        <row r="29237">
          <cell r="O29237" t="str">
            <v/>
          </cell>
        </row>
        <row r="29238">
          <cell r="O29238" t="str">
            <v/>
          </cell>
        </row>
        <row r="29239">
          <cell r="O29239" t="str">
            <v/>
          </cell>
        </row>
        <row r="29240">
          <cell r="O29240" t="str">
            <v/>
          </cell>
        </row>
        <row r="29241">
          <cell r="O29241" t="str">
            <v/>
          </cell>
        </row>
        <row r="29242">
          <cell r="O29242" t="str">
            <v/>
          </cell>
        </row>
        <row r="29243">
          <cell r="O29243" t="str">
            <v/>
          </cell>
        </row>
        <row r="29244">
          <cell r="O29244" t="str">
            <v/>
          </cell>
        </row>
        <row r="29245">
          <cell r="O29245" t="str">
            <v/>
          </cell>
        </row>
        <row r="29246">
          <cell r="O29246" t="str">
            <v/>
          </cell>
        </row>
        <row r="29247">
          <cell r="O29247" t="str">
            <v/>
          </cell>
        </row>
        <row r="29248">
          <cell r="O29248" t="str">
            <v/>
          </cell>
        </row>
        <row r="29249">
          <cell r="O29249" t="str">
            <v/>
          </cell>
        </row>
        <row r="29250">
          <cell r="O29250" t="str">
            <v/>
          </cell>
        </row>
        <row r="29251">
          <cell r="O29251" t="str">
            <v/>
          </cell>
        </row>
        <row r="29252">
          <cell r="O29252" t="str">
            <v/>
          </cell>
        </row>
        <row r="29253">
          <cell r="O29253" t="str">
            <v/>
          </cell>
        </row>
        <row r="29254">
          <cell r="O29254" t="str">
            <v/>
          </cell>
        </row>
        <row r="29255">
          <cell r="O29255" t="str">
            <v/>
          </cell>
        </row>
        <row r="29256">
          <cell r="O29256" t="str">
            <v/>
          </cell>
        </row>
        <row r="29257">
          <cell r="O29257" t="str">
            <v/>
          </cell>
        </row>
        <row r="29258">
          <cell r="O29258" t="str">
            <v/>
          </cell>
        </row>
        <row r="29259">
          <cell r="O29259" t="str">
            <v/>
          </cell>
        </row>
        <row r="29260">
          <cell r="O29260" t="str">
            <v/>
          </cell>
        </row>
        <row r="29261">
          <cell r="O29261" t="str">
            <v/>
          </cell>
        </row>
        <row r="29262">
          <cell r="O29262" t="str">
            <v/>
          </cell>
        </row>
        <row r="29263">
          <cell r="O29263" t="str">
            <v/>
          </cell>
        </row>
        <row r="29264">
          <cell r="O29264" t="str">
            <v/>
          </cell>
        </row>
        <row r="29265">
          <cell r="O29265" t="str">
            <v/>
          </cell>
        </row>
        <row r="29266">
          <cell r="O29266" t="str">
            <v/>
          </cell>
        </row>
        <row r="29267">
          <cell r="O29267" t="str">
            <v/>
          </cell>
        </row>
        <row r="29268">
          <cell r="O29268" t="str">
            <v/>
          </cell>
        </row>
        <row r="29269">
          <cell r="O29269" t="str">
            <v/>
          </cell>
        </row>
        <row r="29270">
          <cell r="O29270" t="str">
            <v/>
          </cell>
        </row>
        <row r="29271">
          <cell r="O29271" t="str">
            <v/>
          </cell>
        </row>
        <row r="29272">
          <cell r="O29272" t="str">
            <v/>
          </cell>
        </row>
        <row r="29273">
          <cell r="O29273" t="str">
            <v/>
          </cell>
        </row>
        <row r="29274">
          <cell r="O29274" t="str">
            <v/>
          </cell>
        </row>
        <row r="29275">
          <cell r="O29275" t="str">
            <v/>
          </cell>
        </row>
        <row r="29276">
          <cell r="O29276" t="str">
            <v/>
          </cell>
        </row>
        <row r="29277">
          <cell r="O29277" t="str">
            <v/>
          </cell>
        </row>
        <row r="29278">
          <cell r="O29278" t="str">
            <v/>
          </cell>
        </row>
        <row r="29279">
          <cell r="O29279" t="str">
            <v/>
          </cell>
        </row>
        <row r="29280">
          <cell r="O29280" t="str">
            <v/>
          </cell>
        </row>
        <row r="29281">
          <cell r="O29281" t="str">
            <v/>
          </cell>
        </row>
        <row r="29282">
          <cell r="O29282" t="str">
            <v/>
          </cell>
        </row>
        <row r="29283">
          <cell r="O29283" t="str">
            <v/>
          </cell>
        </row>
        <row r="29284">
          <cell r="O29284" t="str">
            <v/>
          </cell>
        </row>
        <row r="29285">
          <cell r="O29285" t="str">
            <v/>
          </cell>
        </row>
        <row r="29286">
          <cell r="O29286" t="str">
            <v/>
          </cell>
        </row>
        <row r="29287">
          <cell r="O29287" t="str">
            <v/>
          </cell>
        </row>
        <row r="29288">
          <cell r="O29288" t="str">
            <v/>
          </cell>
        </row>
        <row r="29289">
          <cell r="O29289" t="str">
            <v/>
          </cell>
        </row>
        <row r="29290">
          <cell r="O29290" t="str">
            <v/>
          </cell>
        </row>
        <row r="29291">
          <cell r="O29291" t="str">
            <v/>
          </cell>
        </row>
        <row r="29292">
          <cell r="O29292" t="str">
            <v/>
          </cell>
        </row>
        <row r="29293">
          <cell r="O29293" t="str">
            <v/>
          </cell>
        </row>
        <row r="29294">
          <cell r="O29294" t="str">
            <v/>
          </cell>
        </row>
        <row r="29295">
          <cell r="O29295" t="str">
            <v/>
          </cell>
        </row>
        <row r="29296">
          <cell r="O29296" t="str">
            <v/>
          </cell>
        </row>
        <row r="29297">
          <cell r="O29297" t="str">
            <v/>
          </cell>
        </row>
        <row r="29298">
          <cell r="O29298" t="str">
            <v/>
          </cell>
        </row>
        <row r="29299">
          <cell r="O29299" t="str">
            <v/>
          </cell>
        </row>
        <row r="29300">
          <cell r="O29300" t="str">
            <v/>
          </cell>
        </row>
        <row r="29301">
          <cell r="O29301" t="str">
            <v/>
          </cell>
        </row>
        <row r="29302">
          <cell r="O29302" t="str">
            <v/>
          </cell>
        </row>
        <row r="29303">
          <cell r="O29303" t="str">
            <v/>
          </cell>
        </row>
        <row r="29304">
          <cell r="O29304" t="str">
            <v/>
          </cell>
        </row>
        <row r="29305">
          <cell r="O29305" t="str">
            <v/>
          </cell>
        </row>
        <row r="29306">
          <cell r="O29306" t="str">
            <v/>
          </cell>
        </row>
        <row r="29307">
          <cell r="O29307" t="str">
            <v/>
          </cell>
        </row>
        <row r="29308">
          <cell r="O29308" t="str">
            <v/>
          </cell>
        </row>
        <row r="29309">
          <cell r="O29309" t="str">
            <v/>
          </cell>
        </row>
        <row r="29310">
          <cell r="O29310" t="str">
            <v/>
          </cell>
        </row>
        <row r="29311">
          <cell r="O29311" t="str">
            <v/>
          </cell>
        </row>
        <row r="29312">
          <cell r="O29312" t="str">
            <v/>
          </cell>
        </row>
        <row r="29313">
          <cell r="O29313" t="str">
            <v/>
          </cell>
        </row>
        <row r="29314">
          <cell r="O29314" t="str">
            <v/>
          </cell>
        </row>
        <row r="29315">
          <cell r="O29315" t="str">
            <v/>
          </cell>
        </row>
        <row r="29316">
          <cell r="O29316" t="str">
            <v/>
          </cell>
        </row>
        <row r="29317">
          <cell r="O29317" t="str">
            <v/>
          </cell>
        </row>
        <row r="29318">
          <cell r="O29318" t="str">
            <v/>
          </cell>
        </row>
        <row r="29319">
          <cell r="O29319" t="str">
            <v/>
          </cell>
        </row>
        <row r="29320">
          <cell r="O29320" t="str">
            <v/>
          </cell>
        </row>
        <row r="29321">
          <cell r="O29321" t="str">
            <v/>
          </cell>
        </row>
        <row r="29322">
          <cell r="O29322" t="str">
            <v/>
          </cell>
        </row>
        <row r="29323">
          <cell r="O29323" t="str">
            <v/>
          </cell>
        </row>
        <row r="29324">
          <cell r="O29324" t="str">
            <v/>
          </cell>
        </row>
        <row r="29325">
          <cell r="O29325" t="str">
            <v/>
          </cell>
        </row>
        <row r="29326">
          <cell r="O29326" t="str">
            <v/>
          </cell>
        </row>
        <row r="29327">
          <cell r="O29327" t="str">
            <v/>
          </cell>
        </row>
        <row r="29328">
          <cell r="O29328" t="str">
            <v/>
          </cell>
        </row>
        <row r="29329">
          <cell r="O29329" t="str">
            <v/>
          </cell>
        </row>
        <row r="29330">
          <cell r="O29330" t="str">
            <v/>
          </cell>
        </row>
        <row r="29331">
          <cell r="O29331" t="str">
            <v/>
          </cell>
        </row>
        <row r="29332">
          <cell r="O29332" t="str">
            <v/>
          </cell>
        </row>
        <row r="29333">
          <cell r="O29333" t="str">
            <v/>
          </cell>
        </row>
        <row r="29334">
          <cell r="O29334" t="str">
            <v/>
          </cell>
        </row>
        <row r="29335">
          <cell r="O29335" t="str">
            <v/>
          </cell>
        </row>
        <row r="29336">
          <cell r="O29336" t="str">
            <v/>
          </cell>
        </row>
        <row r="29337">
          <cell r="O29337" t="str">
            <v/>
          </cell>
        </row>
        <row r="29338">
          <cell r="O29338" t="str">
            <v/>
          </cell>
        </row>
        <row r="29339">
          <cell r="O29339" t="str">
            <v/>
          </cell>
        </row>
        <row r="29340">
          <cell r="O29340" t="str">
            <v/>
          </cell>
        </row>
        <row r="29341">
          <cell r="O29341" t="str">
            <v/>
          </cell>
        </row>
        <row r="29342">
          <cell r="O29342" t="str">
            <v/>
          </cell>
        </row>
        <row r="29343">
          <cell r="O29343" t="str">
            <v/>
          </cell>
        </row>
        <row r="29344">
          <cell r="O29344" t="str">
            <v/>
          </cell>
        </row>
        <row r="29345">
          <cell r="O29345" t="str">
            <v/>
          </cell>
        </row>
        <row r="29346">
          <cell r="O29346" t="str">
            <v/>
          </cell>
        </row>
        <row r="29347">
          <cell r="O29347" t="str">
            <v/>
          </cell>
        </row>
        <row r="29348">
          <cell r="O29348" t="str">
            <v/>
          </cell>
        </row>
        <row r="29349">
          <cell r="O29349" t="str">
            <v/>
          </cell>
        </row>
        <row r="29350">
          <cell r="O29350" t="str">
            <v/>
          </cell>
        </row>
        <row r="29351">
          <cell r="O29351" t="str">
            <v/>
          </cell>
        </row>
        <row r="29352">
          <cell r="O29352" t="str">
            <v/>
          </cell>
        </row>
        <row r="29353">
          <cell r="O29353" t="str">
            <v/>
          </cell>
        </row>
        <row r="29354">
          <cell r="O29354" t="str">
            <v/>
          </cell>
        </row>
        <row r="29355">
          <cell r="O29355" t="str">
            <v/>
          </cell>
        </row>
        <row r="29356">
          <cell r="O29356" t="str">
            <v/>
          </cell>
        </row>
        <row r="29357">
          <cell r="O29357" t="str">
            <v/>
          </cell>
        </row>
        <row r="29358">
          <cell r="O29358" t="str">
            <v/>
          </cell>
        </row>
        <row r="29359">
          <cell r="O29359" t="str">
            <v/>
          </cell>
        </row>
        <row r="29360">
          <cell r="O29360" t="str">
            <v/>
          </cell>
        </row>
        <row r="29361">
          <cell r="O29361" t="str">
            <v/>
          </cell>
        </row>
        <row r="29362">
          <cell r="O29362" t="str">
            <v/>
          </cell>
        </row>
        <row r="29363">
          <cell r="O29363" t="str">
            <v/>
          </cell>
        </row>
        <row r="29364">
          <cell r="O29364" t="str">
            <v/>
          </cell>
        </row>
        <row r="29365">
          <cell r="O29365" t="str">
            <v/>
          </cell>
        </row>
        <row r="29366">
          <cell r="O29366" t="str">
            <v/>
          </cell>
        </row>
        <row r="29367">
          <cell r="O29367" t="str">
            <v/>
          </cell>
        </row>
        <row r="29368">
          <cell r="O29368" t="str">
            <v/>
          </cell>
        </row>
        <row r="29369">
          <cell r="O29369" t="str">
            <v/>
          </cell>
        </row>
        <row r="29370">
          <cell r="O29370" t="str">
            <v/>
          </cell>
        </row>
        <row r="29371">
          <cell r="O29371" t="str">
            <v/>
          </cell>
        </row>
        <row r="29372">
          <cell r="O29372" t="str">
            <v/>
          </cell>
        </row>
        <row r="29373">
          <cell r="O29373" t="str">
            <v/>
          </cell>
        </row>
        <row r="29374">
          <cell r="O29374" t="str">
            <v/>
          </cell>
        </row>
        <row r="29375">
          <cell r="O29375" t="str">
            <v/>
          </cell>
        </row>
        <row r="29376">
          <cell r="O29376" t="str">
            <v/>
          </cell>
        </row>
        <row r="29377">
          <cell r="O29377" t="str">
            <v/>
          </cell>
        </row>
        <row r="29378">
          <cell r="O29378" t="str">
            <v/>
          </cell>
        </row>
        <row r="29379">
          <cell r="O29379" t="str">
            <v/>
          </cell>
        </row>
        <row r="29380">
          <cell r="O29380" t="str">
            <v/>
          </cell>
        </row>
        <row r="29381">
          <cell r="O29381" t="str">
            <v/>
          </cell>
        </row>
        <row r="29382">
          <cell r="O29382" t="str">
            <v/>
          </cell>
        </row>
        <row r="29383">
          <cell r="O29383" t="str">
            <v/>
          </cell>
        </row>
        <row r="29384">
          <cell r="O29384" t="str">
            <v/>
          </cell>
        </row>
        <row r="29385">
          <cell r="O29385" t="str">
            <v/>
          </cell>
        </row>
        <row r="29386">
          <cell r="O29386" t="str">
            <v/>
          </cell>
        </row>
        <row r="29387">
          <cell r="O29387" t="str">
            <v/>
          </cell>
        </row>
        <row r="29388">
          <cell r="O29388" t="str">
            <v/>
          </cell>
        </row>
        <row r="29389">
          <cell r="O29389" t="str">
            <v/>
          </cell>
        </row>
        <row r="29390">
          <cell r="O29390" t="str">
            <v/>
          </cell>
        </row>
        <row r="29391">
          <cell r="O29391" t="str">
            <v/>
          </cell>
        </row>
        <row r="29392">
          <cell r="O29392" t="str">
            <v/>
          </cell>
        </row>
        <row r="29393">
          <cell r="O29393" t="str">
            <v/>
          </cell>
        </row>
        <row r="29394">
          <cell r="O29394" t="str">
            <v/>
          </cell>
        </row>
        <row r="29395">
          <cell r="O29395" t="str">
            <v/>
          </cell>
        </row>
        <row r="29396">
          <cell r="O29396" t="str">
            <v/>
          </cell>
        </row>
        <row r="29397">
          <cell r="O29397" t="str">
            <v/>
          </cell>
        </row>
        <row r="29398">
          <cell r="O29398" t="str">
            <v/>
          </cell>
        </row>
        <row r="29399">
          <cell r="O29399" t="str">
            <v/>
          </cell>
        </row>
        <row r="29400">
          <cell r="O29400" t="str">
            <v/>
          </cell>
        </row>
        <row r="29401">
          <cell r="O29401" t="str">
            <v/>
          </cell>
        </row>
        <row r="29402">
          <cell r="O29402" t="str">
            <v/>
          </cell>
        </row>
        <row r="29403">
          <cell r="O29403" t="str">
            <v/>
          </cell>
        </row>
        <row r="29404">
          <cell r="O29404" t="str">
            <v/>
          </cell>
        </row>
        <row r="29405">
          <cell r="O29405" t="str">
            <v/>
          </cell>
        </row>
        <row r="29406">
          <cell r="O29406" t="str">
            <v/>
          </cell>
        </row>
        <row r="29407">
          <cell r="O29407" t="str">
            <v/>
          </cell>
        </row>
        <row r="29408">
          <cell r="O29408" t="str">
            <v/>
          </cell>
        </row>
        <row r="29409">
          <cell r="O29409" t="str">
            <v/>
          </cell>
        </row>
        <row r="29410">
          <cell r="O29410" t="str">
            <v/>
          </cell>
        </row>
        <row r="29411">
          <cell r="O29411" t="str">
            <v/>
          </cell>
        </row>
        <row r="29412">
          <cell r="O29412" t="str">
            <v/>
          </cell>
        </row>
        <row r="29413">
          <cell r="O29413" t="str">
            <v/>
          </cell>
        </row>
        <row r="29414">
          <cell r="O29414" t="str">
            <v/>
          </cell>
        </row>
        <row r="29415">
          <cell r="O29415" t="str">
            <v/>
          </cell>
        </row>
        <row r="29416">
          <cell r="O29416" t="str">
            <v/>
          </cell>
        </row>
        <row r="29417">
          <cell r="O29417" t="str">
            <v/>
          </cell>
        </row>
        <row r="29418">
          <cell r="O29418" t="str">
            <v/>
          </cell>
        </row>
        <row r="29419">
          <cell r="O29419" t="str">
            <v/>
          </cell>
        </row>
        <row r="29420">
          <cell r="O29420" t="str">
            <v/>
          </cell>
        </row>
        <row r="29421">
          <cell r="O29421" t="str">
            <v/>
          </cell>
        </row>
        <row r="29422">
          <cell r="O29422" t="str">
            <v/>
          </cell>
        </row>
        <row r="29423">
          <cell r="O29423" t="str">
            <v/>
          </cell>
        </row>
        <row r="29424">
          <cell r="O29424" t="str">
            <v/>
          </cell>
        </row>
        <row r="29425">
          <cell r="O29425" t="str">
            <v/>
          </cell>
        </row>
        <row r="29426">
          <cell r="O29426" t="str">
            <v/>
          </cell>
        </row>
        <row r="29427">
          <cell r="O29427" t="str">
            <v/>
          </cell>
        </row>
        <row r="29428">
          <cell r="O29428" t="str">
            <v/>
          </cell>
        </row>
        <row r="29429">
          <cell r="O29429" t="str">
            <v/>
          </cell>
        </row>
        <row r="29430">
          <cell r="O29430" t="str">
            <v/>
          </cell>
        </row>
        <row r="29431">
          <cell r="O29431" t="str">
            <v/>
          </cell>
        </row>
        <row r="29432">
          <cell r="O29432" t="str">
            <v/>
          </cell>
        </row>
        <row r="29433">
          <cell r="O29433" t="str">
            <v/>
          </cell>
        </row>
        <row r="29434">
          <cell r="O29434" t="str">
            <v/>
          </cell>
        </row>
        <row r="29435">
          <cell r="O29435" t="str">
            <v/>
          </cell>
        </row>
        <row r="29436">
          <cell r="O29436" t="str">
            <v/>
          </cell>
        </row>
        <row r="29437">
          <cell r="O29437" t="str">
            <v/>
          </cell>
        </row>
        <row r="29438">
          <cell r="O29438" t="str">
            <v/>
          </cell>
        </row>
        <row r="29439">
          <cell r="O29439" t="str">
            <v/>
          </cell>
        </row>
        <row r="29440">
          <cell r="O29440" t="str">
            <v/>
          </cell>
        </row>
        <row r="29441">
          <cell r="O29441" t="str">
            <v/>
          </cell>
        </row>
        <row r="29442">
          <cell r="O29442" t="str">
            <v/>
          </cell>
        </row>
        <row r="29443">
          <cell r="O29443" t="str">
            <v/>
          </cell>
        </row>
        <row r="29444">
          <cell r="O29444" t="str">
            <v/>
          </cell>
        </row>
        <row r="29445">
          <cell r="O29445" t="str">
            <v/>
          </cell>
        </row>
        <row r="29446">
          <cell r="O29446" t="str">
            <v/>
          </cell>
        </row>
        <row r="29447">
          <cell r="O29447" t="str">
            <v/>
          </cell>
        </row>
        <row r="29448">
          <cell r="O29448" t="str">
            <v/>
          </cell>
        </row>
        <row r="29449">
          <cell r="O29449" t="str">
            <v/>
          </cell>
        </row>
        <row r="29450">
          <cell r="O29450" t="str">
            <v/>
          </cell>
        </row>
        <row r="29451">
          <cell r="O29451" t="str">
            <v/>
          </cell>
        </row>
        <row r="29452">
          <cell r="O29452" t="str">
            <v/>
          </cell>
        </row>
        <row r="29453">
          <cell r="O29453" t="str">
            <v/>
          </cell>
        </row>
        <row r="29454">
          <cell r="O29454" t="str">
            <v/>
          </cell>
        </row>
        <row r="29455">
          <cell r="O29455" t="str">
            <v/>
          </cell>
        </row>
        <row r="29456">
          <cell r="O29456" t="str">
            <v/>
          </cell>
        </row>
        <row r="29457">
          <cell r="O29457" t="str">
            <v/>
          </cell>
        </row>
        <row r="29458">
          <cell r="O29458" t="str">
            <v/>
          </cell>
        </row>
        <row r="29459">
          <cell r="O29459" t="str">
            <v/>
          </cell>
        </row>
        <row r="29460">
          <cell r="O29460" t="str">
            <v/>
          </cell>
        </row>
        <row r="29461">
          <cell r="O29461" t="str">
            <v/>
          </cell>
        </row>
        <row r="29462">
          <cell r="O29462" t="str">
            <v/>
          </cell>
        </row>
        <row r="29463">
          <cell r="O29463" t="str">
            <v/>
          </cell>
        </row>
        <row r="29464">
          <cell r="O29464" t="str">
            <v/>
          </cell>
        </row>
        <row r="29465">
          <cell r="O29465" t="str">
            <v/>
          </cell>
        </row>
        <row r="29466">
          <cell r="O29466" t="str">
            <v/>
          </cell>
        </row>
        <row r="29467">
          <cell r="O29467" t="str">
            <v/>
          </cell>
        </row>
        <row r="29468">
          <cell r="O29468" t="str">
            <v/>
          </cell>
        </row>
        <row r="29469">
          <cell r="O29469" t="str">
            <v/>
          </cell>
        </row>
        <row r="29470">
          <cell r="O29470" t="str">
            <v/>
          </cell>
        </row>
        <row r="29471">
          <cell r="O29471" t="str">
            <v/>
          </cell>
        </row>
        <row r="29472">
          <cell r="O29472" t="str">
            <v/>
          </cell>
        </row>
        <row r="29473">
          <cell r="O29473" t="str">
            <v/>
          </cell>
        </row>
        <row r="29474">
          <cell r="O29474" t="str">
            <v/>
          </cell>
        </row>
        <row r="29475">
          <cell r="O29475" t="str">
            <v/>
          </cell>
        </row>
        <row r="29476">
          <cell r="O29476" t="str">
            <v/>
          </cell>
        </row>
        <row r="29477">
          <cell r="O29477" t="str">
            <v/>
          </cell>
        </row>
        <row r="29478">
          <cell r="O29478" t="str">
            <v/>
          </cell>
        </row>
        <row r="29479">
          <cell r="O29479" t="str">
            <v/>
          </cell>
        </row>
        <row r="29480">
          <cell r="O29480" t="str">
            <v/>
          </cell>
        </row>
        <row r="29481">
          <cell r="O29481" t="str">
            <v/>
          </cell>
        </row>
        <row r="29482">
          <cell r="O29482" t="str">
            <v/>
          </cell>
        </row>
        <row r="29483">
          <cell r="O29483" t="str">
            <v/>
          </cell>
        </row>
        <row r="29484">
          <cell r="O29484" t="str">
            <v/>
          </cell>
        </row>
        <row r="29485">
          <cell r="O29485" t="str">
            <v/>
          </cell>
        </row>
        <row r="29486">
          <cell r="O29486" t="str">
            <v/>
          </cell>
        </row>
        <row r="29487">
          <cell r="O29487" t="str">
            <v/>
          </cell>
        </row>
        <row r="29488">
          <cell r="O29488" t="str">
            <v/>
          </cell>
        </row>
        <row r="29489">
          <cell r="O29489" t="str">
            <v/>
          </cell>
        </row>
        <row r="29490">
          <cell r="O29490" t="str">
            <v/>
          </cell>
        </row>
        <row r="29491">
          <cell r="O29491" t="str">
            <v/>
          </cell>
        </row>
        <row r="29492">
          <cell r="O29492" t="str">
            <v/>
          </cell>
        </row>
        <row r="29493">
          <cell r="O29493" t="str">
            <v/>
          </cell>
        </row>
        <row r="29494">
          <cell r="O29494" t="str">
            <v/>
          </cell>
        </row>
        <row r="29495">
          <cell r="O29495" t="str">
            <v/>
          </cell>
        </row>
        <row r="29496">
          <cell r="O29496" t="str">
            <v/>
          </cell>
        </row>
        <row r="29497">
          <cell r="O29497" t="str">
            <v/>
          </cell>
        </row>
        <row r="29498">
          <cell r="O29498" t="str">
            <v/>
          </cell>
        </row>
        <row r="29499">
          <cell r="O29499" t="str">
            <v/>
          </cell>
        </row>
        <row r="29500">
          <cell r="O29500" t="str">
            <v/>
          </cell>
        </row>
        <row r="29501">
          <cell r="O29501" t="str">
            <v/>
          </cell>
        </row>
        <row r="29502">
          <cell r="O29502" t="str">
            <v/>
          </cell>
        </row>
        <row r="29503">
          <cell r="O29503" t="str">
            <v/>
          </cell>
        </row>
        <row r="29504">
          <cell r="O29504" t="str">
            <v/>
          </cell>
        </row>
        <row r="29505">
          <cell r="O29505" t="str">
            <v/>
          </cell>
        </row>
        <row r="29506">
          <cell r="O29506" t="str">
            <v/>
          </cell>
        </row>
        <row r="29507">
          <cell r="O29507" t="str">
            <v/>
          </cell>
        </row>
        <row r="29508">
          <cell r="O29508" t="str">
            <v/>
          </cell>
        </row>
        <row r="29509">
          <cell r="O29509" t="str">
            <v/>
          </cell>
        </row>
        <row r="29510">
          <cell r="O29510" t="str">
            <v/>
          </cell>
        </row>
        <row r="29511">
          <cell r="O29511" t="str">
            <v/>
          </cell>
        </row>
        <row r="29512">
          <cell r="O29512" t="str">
            <v/>
          </cell>
        </row>
        <row r="29513">
          <cell r="O29513" t="str">
            <v/>
          </cell>
        </row>
        <row r="29514">
          <cell r="O29514" t="str">
            <v/>
          </cell>
        </row>
        <row r="29515">
          <cell r="O29515" t="str">
            <v/>
          </cell>
        </row>
        <row r="29516">
          <cell r="O29516" t="str">
            <v/>
          </cell>
        </row>
        <row r="29517">
          <cell r="O29517" t="str">
            <v/>
          </cell>
        </row>
        <row r="29518">
          <cell r="O29518" t="str">
            <v/>
          </cell>
        </row>
        <row r="29519">
          <cell r="O29519" t="str">
            <v/>
          </cell>
        </row>
        <row r="29520">
          <cell r="O29520" t="str">
            <v/>
          </cell>
        </row>
        <row r="29521">
          <cell r="O29521" t="str">
            <v/>
          </cell>
        </row>
        <row r="29522">
          <cell r="O29522" t="str">
            <v/>
          </cell>
        </row>
        <row r="29523">
          <cell r="O29523" t="str">
            <v/>
          </cell>
        </row>
        <row r="29524">
          <cell r="O29524" t="str">
            <v/>
          </cell>
        </row>
        <row r="29525">
          <cell r="O29525" t="str">
            <v/>
          </cell>
        </row>
        <row r="29526">
          <cell r="O29526" t="str">
            <v/>
          </cell>
        </row>
        <row r="29527">
          <cell r="O29527" t="str">
            <v/>
          </cell>
        </row>
        <row r="29528">
          <cell r="O29528" t="str">
            <v/>
          </cell>
        </row>
        <row r="29529">
          <cell r="O29529" t="str">
            <v/>
          </cell>
        </row>
        <row r="29530">
          <cell r="O29530" t="str">
            <v/>
          </cell>
        </row>
        <row r="29531">
          <cell r="O29531" t="str">
            <v/>
          </cell>
        </row>
        <row r="29532">
          <cell r="O29532" t="str">
            <v/>
          </cell>
        </row>
        <row r="29533">
          <cell r="O29533" t="str">
            <v/>
          </cell>
        </row>
        <row r="29534">
          <cell r="O29534" t="str">
            <v/>
          </cell>
        </row>
        <row r="29535">
          <cell r="O29535" t="str">
            <v/>
          </cell>
        </row>
        <row r="29536">
          <cell r="O29536" t="str">
            <v/>
          </cell>
        </row>
        <row r="29537">
          <cell r="O29537" t="str">
            <v/>
          </cell>
        </row>
        <row r="29538">
          <cell r="O29538" t="str">
            <v/>
          </cell>
        </row>
        <row r="29539">
          <cell r="O29539" t="str">
            <v/>
          </cell>
        </row>
        <row r="29540">
          <cell r="O29540" t="str">
            <v/>
          </cell>
        </row>
        <row r="29541">
          <cell r="O29541" t="str">
            <v/>
          </cell>
        </row>
        <row r="29542">
          <cell r="O29542" t="str">
            <v/>
          </cell>
        </row>
        <row r="29543">
          <cell r="O29543" t="str">
            <v/>
          </cell>
        </row>
        <row r="29544">
          <cell r="O29544" t="str">
            <v/>
          </cell>
        </row>
        <row r="29545">
          <cell r="O29545" t="str">
            <v/>
          </cell>
        </row>
        <row r="29546">
          <cell r="O29546" t="str">
            <v/>
          </cell>
        </row>
        <row r="29547">
          <cell r="O29547" t="str">
            <v/>
          </cell>
        </row>
        <row r="29548">
          <cell r="O29548" t="str">
            <v/>
          </cell>
        </row>
        <row r="29549">
          <cell r="O29549" t="str">
            <v/>
          </cell>
        </row>
        <row r="29550">
          <cell r="O29550" t="str">
            <v/>
          </cell>
        </row>
        <row r="29551">
          <cell r="O29551" t="str">
            <v/>
          </cell>
        </row>
        <row r="29552">
          <cell r="O29552" t="str">
            <v/>
          </cell>
        </row>
        <row r="29553">
          <cell r="O29553" t="str">
            <v/>
          </cell>
        </row>
        <row r="29554">
          <cell r="O29554" t="str">
            <v/>
          </cell>
        </row>
        <row r="29555">
          <cell r="O29555" t="str">
            <v/>
          </cell>
        </row>
        <row r="29556">
          <cell r="O29556" t="str">
            <v/>
          </cell>
        </row>
        <row r="29557">
          <cell r="O29557" t="str">
            <v/>
          </cell>
        </row>
        <row r="29558">
          <cell r="O29558" t="str">
            <v/>
          </cell>
        </row>
        <row r="29559">
          <cell r="O29559" t="str">
            <v/>
          </cell>
        </row>
        <row r="29560">
          <cell r="O29560" t="str">
            <v/>
          </cell>
        </row>
        <row r="29561">
          <cell r="O29561" t="str">
            <v/>
          </cell>
        </row>
        <row r="29562">
          <cell r="O29562" t="str">
            <v/>
          </cell>
        </row>
        <row r="29563">
          <cell r="O29563" t="str">
            <v/>
          </cell>
        </row>
        <row r="29564">
          <cell r="O29564" t="str">
            <v/>
          </cell>
        </row>
        <row r="29565">
          <cell r="O29565" t="str">
            <v/>
          </cell>
        </row>
        <row r="29566">
          <cell r="O29566" t="str">
            <v/>
          </cell>
        </row>
        <row r="29567">
          <cell r="O29567" t="str">
            <v/>
          </cell>
        </row>
        <row r="29568">
          <cell r="O29568" t="str">
            <v/>
          </cell>
        </row>
        <row r="29569">
          <cell r="O29569" t="str">
            <v/>
          </cell>
        </row>
        <row r="29570">
          <cell r="O29570" t="str">
            <v/>
          </cell>
        </row>
        <row r="29571">
          <cell r="O29571" t="str">
            <v/>
          </cell>
        </row>
        <row r="29572">
          <cell r="O29572" t="str">
            <v/>
          </cell>
        </row>
        <row r="29573">
          <cell r="O29573" t="str">
            <v/>
          </cell>
        </row>
        <row r="29574">
          <cell r="O29574" t="str">
            <v/>
          </cell>
        </row>
        <row r="29575">
          <cell r="O29575" t="str">
            <v/>
          </cell>
        </row>
        <row r="29576">
          <cell r="O29576" t="str">
            <v/>
          </cell>
        </row>
        <row r="29577">
          <cell r="O29577" t="str">
            <v/>
          </cell>
        </row>
        <row r="29578">
          <cell r="O29578" t="str">
            <v/>
          </cell>
        </row>
        <row r="29579">
          <cell r="O29579" t="str">
            <v/>
          </cell>
        </row>
        <row r="29580">
          <cell r="O29580" t="str">
            <v/>
          </cell>
        </row>
        <row r="29581">
          <cell r="O29581" t="str">
            <v/>
          </cell>
        </row>
        <row r="29582">
          <cell r="O29582" t="str">
            <v/>
          </cell>
        </row>
        <row r="29583">
          <cell r="O29583" t="str">
            <v/>
          </cell>
        </row>
        <row r="29584">
          <cell r="O29584" t="str">
            <v/>
          </cell>
        </row>
        <row r="29585">
          <cell r="O29585" t="str">
            <v/>
          </cell>
        </row>
        <row r="29586">
          <cell r="O29586" t="str">
            <v/>
          </cell>
        </row>
        <row r="29587">
          <cell r="O29587" t="str">
            <v/>
          </cell>
        </row>
        <row r="29588">
          <cell r="O29588" t="str">
            <v/>
          </cell>
        </row>
        <row r="29589">
          <cell r="O29589" t="str">
            <v/>
          </cell>
        </row>
        <row r="29590">
          <cell r="O29590" t="str">
            <v/>
          </cell>
        </row>
        <row r="29591">
          <cell r="O29591" t="str">
            <v/>
          </cell>
        </row>
        <row r="29592">
          <cell r="O29592" t="str">
            <v/>
          </cell>
        </row>
        <row r="29593">
          <cell r="O29593" t="str">
            <v/>
          </cell>
        </row>
        <row r="29594">
          <cell r="O29594" t="str">
            <v/>
          </cell>
        </row>
        <row r="29595">
          <cell r="O29595" t="str">
            <v/>
          </cell>
        </row>
        <row r="29596">
          <cell r="O29596" t="str">
            <v/>
          </cell>
        </row>
        <row r="29597">
          <cell r="O29597" t="str">
            <v/>
          </cell>
        </row>
        <row r="29598">
          <cell r="O29598" t="str">
            <v/>
          </cell>
        </row>
        <row r="29599">
          <cell r="O29599" t="str">
            <v/>
          </cell>
        </row>
        <row r="29600">
          <cell r="O29600" t="str">
            <v/>
          </cell>
        </row>
        <row r="29601">
          <cell r="O29601" t="str">
            <v/>
          </cell>
        </row>
        <row r="29602">
          <cell r="O29602" t="str">
            <v/>
          </cell>
        </row>
        <row r="29603">
          <cell r="O29603" t="str">
            <v/>
          </cell>
        </row>
        <row r="29604">
          <cell r="O29604" t="str">
            <v/>
          </cell>
        </row>
        <row r="29605">
          <cell r="O29605" t="str">
            <v/>
          </cell>
        </row>
        <row r="29606">
          <cell r="O29606" t="str">
            <v/>
          </cell>
        </row>
        <row r="29607">
          <cell r="O29607" t="str">
            <v/>
          </cell>
        </row>
        <row r="29608">
          <cell r="O29608" t="str">
            <v/>
          </cell>
        </row>
        <row r="29609">
          <cell r="O29609" t="str">
            <v/>
          </cell>
        </row>
        <row r="29610">
          <cell r="O29610" t="str">
            <v/>
          </cell>
        </row>
        <row r="29611">
          <cell r="O29611" t="str">
            <v/>
          </cell>
        </row>
        <row r="29612">
          <cell r="O29612" t="str">
            <v/>
          </cell>
        </row>
        <row r="29613">
          <cell r="O29613" t="str">
            <v/>
          </cell>
        </row>
        <row r="29614">
          <cell r="O29614" t="str">
            <v/>
          </cell>
        </row>
        <row r="29615">
          <cell r="O29615" t="str">
            <v/>
          </cell>
        </row>
        <row r="29616">
          <cell r="O29616" t="str">
            <v/>
          </cell>
        </row>
        <row r="29617">
          <cell r="O29617" t="str">
            <v/>
          </cell>
        </row>
        <row r="29618">
          <cell r="O29618" t="str">
            <v/>
          </cell>
        </row>
        <row r="29619">
          <cell r="O29619" t="str">
            <v/>
          </cell>
        </row>
        <row r="29620">
          <cell r="O29620" t="str">
            <v/>
          </cell>
        </row>
        <row r="29621">
          <cell r="O29621" t="str">
            <v/>
          </cell>
        </row>
        <row r="29622">
          <cell r="O29622" t="str">
            <v/>
          </cell>
        </row>
        <row r="29623">
          <cell r="O29623" t="str">
            <v/>
          </cell>
        </row>
        <row r="29624">
          <cell r="O29624" t="str">
            <v/>
          </cell>
        </row>
        <row r="29625">
          <cell r="O29625" t="str">
            <v/>
          </cell>
        </row>
        <row r="29626">
          <cell r="O29626" t="str">
            <v/>
          </cell>
        </row>
        <row r="29627">
          <cell r="O29627" t="str">
            <v/>
          </cell>
        </row>
        <row r="29628">
          <cell r="O29628" t="str">
            <v/>
          </cell>
        </row>
        <row r="29629">
          <cell r="O29629" t="str">
            <v/>
          </cell>
        </row>
        <row r="29630">
          <cell r="O29630" t="str">
            <v/>
          </cell>
        </row>
        <row r="29631">
          <cell r="O29631" t="str">
            <v/>
          </cell>
        </row>
        <row r="29632">
          <cell r="O29632" t="str">
            <v/>
          </cell>
        </row>
        <row r="29633">
          <cell r="O29633" t="str">
            <v/>
          </cell>
        </row>
        <row r="29634">
          <cell r="O29634" t="str">
            <v/>
          </cell>
        </row>
        <row r="29635">
          <cell r="O29635" t="str">
            <v/>
          </cell>
        </row>
        <row r="29636">
          <cell r="O29636" t="str">
            <v/>
          </cell>
        </row>
        <row r="29637">
          <cell r="O29637" t="str">
            <v/>
          </cell>
        </row>
        <row r="29638">
          <cell r="O29638" t="str">
            <v/>
          </cell>
        </row>
        <row r="29639">
          <cell r="O29639" t="str">
            <v/>
          </cell>
        </row>
        <row r="29640">
          <cell r="O29640" t="str">
            <v/>
          </cell>
        </row>
        <row r="29641">
          <cell r="O29641" t="str">
            <v/>
          </cell>
        </row>
        <row r="29642">
          <cell r="O29642" t="str">
            <v/>
          </cell>
        </row>
        <row r="29643">
          <cell r="O29643" t="str">
            <v/>
          </cell>
        </row>
        <row r="29644">
          <cell r="O29644" t="str">
            <v/>
          </cell>
        </row>
        <row r="29645">
          <cell r="O29645" t="str">
            <v/>
          </cell>
        </row>
        <row r="29646">
          <cell r="O29646" t="str">
            <v/>
          </cell>
        </row>
        <row r="29647">
          <cell r="O29647" t="str">
            <v/>
          </cell>
        </row>
        <row r="29648">
          <cell r="O29648" t="str">
            <v/>
          </cell>
        </row>
        <row r="29649">
          <cell r="O29649" t="str">
            <v/>
          </cell>
        </row>
        <row r="29650">
          <cell r="O29650" t="str">
            <v/>
          </cell>
        </row>
        <row r="29651">
          <cell r="O29651" t="str">
            <v/>
          </cell>
        </row>
        <row r="29652">
          <cell r="O29652" t="str">
            <v/>
          </cell>
        </row>
        <row r="29653">
          <cell r="O29653" t="str">
            <v/>
          </cell>
        </row>
        <row r="29654">
          <cell r="O29654" t="str">
            <v/>
          </cell>
        </row>
        <row r="29655">
          <cell r="O29655" t="str">
            <v/>
          </cell>
        </row>
        <row r="29656">
          <cell r="O29656" t="str">
            <v/>
          </cell>
        </row>
        <row r="29657">
          <cell r="O29657" t="str">
            <v/>
          </cell>
        </row>
        <row r="29658">
          <cell r="O29658" t="str">
            <v/>
          </cell>
        </row>
        <row r="29659">
          <cell r="O29659" t="str">
            <v/>
          </cell>
        </row>
        <row r="29660">
          <cell r="O29660" t="str">
            <v/>
          </cell>
        </row>
        <row r="29661">
          <cell r="O29661" t="str">
            <v/>
          </cell>
        </row>
        <row r="29662">
          <cell r="O29662" t="str">
            <v/>
          </cell>
        </row>
        <row r="29663">
          <cell r="O29663" t="str">
            <v/>
          </cell>
        </row>
        <row r="29664">
          <cell r="O29664" t="str">
            <v/>
          </cell>
        </row>
        <row r="29665">
          <cell r="O29665" t="str">
            <v/>
          </cell>
        </row>
        <row r="29666">
          <cell r="O29666" t="str">
            <v/>
          </cell>
        </row>
        <row r="29667">
          <cell r="O29667" t="str">
            <v/>
          </cell>
        </row>
        <row r="29668">
          <cell r="O29668" t="str">
            <v/>
          </cell>
        </row>
        <row r="29669">
          <cell r="O29669" t="str">
            <v/>
          </cell>
        </row>
        <row r="29670">
          <cell r="O29670" t="str">
            <v/>
          </cell>
        </row>
        <row r="29671">
          <cell r="O29671" t="str">
            <v/>
          </cell>
        </row>
        <row r="29672">
          <cell r="O29672" t="str">
            <v/>
          </cell>
        </row>
        <row r="29673">
          <cell r="O29673" t="str">
            <v/>
          </cell>
        </row>
        <row r="29674">
          <cell r="O29674" t="str">
            <v/>
          </cell>
        </row>
        <row r="29675">
          <cell r="O29675" t="str">
            <v/>
          </cell>
        </row>
        <row r="29676">
          <cell r="O29676" t="str">
            <v/>
          </cell>
        </row>
        <row r="29677">
          <cell r="O29677" t="str">
            <v/>
          </cell>
        </row>
        <row r="29678">
          <cell r="O29678" t="str">
            <v/>
          </cell>
        </row>
        <row r="29679">
          <cell r="O29679" t="str">
            <v/>
          </cell>
        </row>
        <row r="29680">
          <cell r="O29680" t="str">
            <v/>
          </cell>
        </row>
        <row r="29681">
          <cell r="O29681" t="str">
            <v/>
          </cell>
        </row>
        <row r="29682">
          <cell r="O29682" t="str">
            <v/>
          </cell>
        </row>
        <row r="29683">
          <cell r="O29683" t="str">
            <v/>
          </cell>
        </row>
        <row r="29684">
          <cell r="O29684" t="str">
            <v/>
          </cell>
        </row>
        <row r="29685">
          <cell r="O29685" t="str">
            <v/>
          </cell>
        </row>
        <row r="29686">
          <cell r="O29686" t="str">
            <v/>
          </cell>
        </row>
        <row r="29687">
          <cell r="O29687" t="str">
            <v/>
          </cell>
        </row>
        <row r="29688">
          <cell r="O29688" t="str">
            <v/>
          </cell>
        </row>
        <row r="29689">
          <cell r="O29689" t="str">
            <v/>
          </cell>
        </row>
        <row r="29690">
          <cell r="O29690" t="str">
            <v/>
          </cell>
        </row>
        <row r="29691">
          <cell r="O29691" t="str">
            <v/>
          </cell>
        </row>
        <row r="29692">
          <cell r="O29692" t="str">
            <v/>
          </cell>
        </row>
        <row r="29693">
          <cell r="O29693" t="str">
            <v/>
          </cell>
        </row>
        <row r="29694">
          <cell r="O29694" t="str">
            <v/>
          </cell>
        </row>
        <row r="29695">
          <cell r="O29695" t="str">
            <v/>
          </cell>
        </row>
        <row r="29696">
          <cell r="O29696" t="str">
            <v/>
          </cell>
        </row>
        <row r="29697">
          <cell r="O29697" t="str">
            <v/>
          </cell>
        </row>
        <row r="29698">
          <cell r="O29698" t="str">
            <v/>
          </cell>
        </row>
        <row r="29699">
          <cell r="O29699" t="str">
            <v/>
          </cell>
        </row>
        <row r="29700">
          <cell r="O29700" t="str">
            <v/>
          </cell>
        </row>
        <row r="29701">
          <cell r="O29701" t="str">
            <v/>
          </cell>
        </row>
        <row r="29702">
          <cell r="O29702" t="str">
            <v/>
          </cell>
        </row>
        <row r="29703">
          <cell r="O29703" t="str">
            <v/>
          </cell>
        </row>
        <row r="29704">
          <cell r="O29704" t="str">
            <v/>
          </cell>
        </row>
        <row r="29705">
          <cell r="O29705" t="str">
            <v/>
          </cell>
        </row>
        <row r="29706">
          <cell r="O29706" t="str">
            <v/>
          </cell>
        </row>
        <row r="29707">
          <cell r="O29707" t="str">
            <v/>
          </cell>
        </row>
        <row r="29708">
          <cell r="O29708" t="str">
            <v/>
          </cell>
        </row>
        <row r="29709">
          <cell r="O29709" t="str">
            <v/>
          </cell>
        </row>
        <row r="29710">
          <cell r="O29710" t="str">
            <v/>
          </cell>
        </row>
        <row r="29711">
          <cell r="O29711" t="str">
            <v/>
          </cell>
        </row>
        <row r="29712">
          <cell r="O29712" t="str">
            <v/>
          </cell>
        </row>
        <row r="29713">
          <cell r="O29713" t="str">
            <v/>
          </cell>
        </row>
        <row r="29714">
          <cell r="O29714" t="str">
            <v/>
          </cell>
        </row>
        <row r="29715">
          <cell r="O29715" t="str">
            <v/>
          </cell>
        </row>
        <row r="29716">
          <cell r="O29716" t="str">
            <v/>
          </cell>
        </row>
        <row r="29717">
          <cell r="O29717" t="str">
            <v/>
          </cell>
        </row>
        <row r="29718">
          <cell r="O29718" t="str">
            <v/>
          </cell>
        </row>
        <row r="29719">
          <cell r="O29719" t="str">
            <v/>
          </cell>
        </row>
        <row r="29720">
          <cell r="O29720" t="str">
            <v/>
          </cell>
        </row>
        <row r="29721">
          <cell r="O29721" t="str">
            <v/>
          </cell>
        </row>
        <row r="29722">
          <cell r="O29722" t="str">
            <v/>
          </cell>
        </row>
        <row r="29723">
          <cell r="O29723" t="str">
            <v/>
          </cell>
        </row>
        <row r="29724">
          <cell r="O29724" t="str">
            <v/>
          </cell>
        </row>
        <row r="29725">
          <cell r="O29725" t="str">
            <v/>
          </cell>
        </row>
        <row r="29726">
          <cell r="O29726" t="str">
            <v/>
          </cell>
        </row>
        <row r="29727">
          <cell r="O29727" t="str">
            <v/>
          </cell>
        </row>
        <row r="29728">
          <cell r="O29728" t="str">
            <v/>
          </cell>
        </row>
        <row r="29729">
          <cell r="O29729" t="str">
            <v/>
          </cell>
        </row>
        <row r="29730">
          <cell r="O29730" t="str">
            <v/>
          </cell>
        </row>
        <row r="29731">
          <cell r="O29731" t="str">
            <v/>
          </cell>
        </row>
        <row r="29732">
          <cell r="O29732" t="str">
            <v/>
          </cell>
        </row>
        <row r="29733">
          <cell r="O29733" t="str">
            <v/>
          </cell>
        </row>
        <row r="29734">
          <cell r="O29734" t="str">
            <v/>
          </cell>
        </row>
        <row r="29735">
          <cell r="O29735" t="str">
            <v/>
          </cell>
        </row>
        <row r="29736">
          <cell r="O29736" t="str">
            <v/>
          </cell>
        </row>
        <row r="29737">
          <cell r="O29737" t="str">
            <v/>
          </cell>
        </row>
        <row r="29738">
          <cell r="O29738" t="str">
            <v/>
          </cell>
        </row>
        <row r="29739">
          <cell r="O29739" t="str">
            <v/>
          </cell>
        </row>
        <row r="29740">
          <cell r="O29740" t="str">
            <v/>
          </cell>
        </row>
        <row r="29741">
          <cell r="O29741" t="str">
            <v/>
          </cell>
        </row>
        <row r="29742">
          <cell r="O29742" t="str">
            <v/>
          </cell>
        </row>
        <row r="29743">
          <cell r="O29743" t="str">
            <v/>
          </cell>
        </row>
        <row r="29744">
          <cell r="O29744" t="str">
            <v/>
          </cell>
        </row>
        <row r="29745">
          <cell r="O29745" t="str">
            <v/>
          </cell>
        </row>
        <row r="29746">
          <cell r="O29746" t="str">
            <v/>
          </cell>
        </row>
        <row r="29747">
          <cell r="O29747" t="str">
            <v/>
          </cell>
        </row>
        <row r="29748">
          <cell r="O29748" t="str">
            <v/>
          </cell>
        </row>
        <row r="29749">
          <cell r="O29749" t="str">
            <v/>
          </cell>
        </row>
        <row r="29750">
          <cell r="O29750" t="str">
            <v/>
          </cell>
        </row>
        <row r="29751">
          <cell r="O29751" t="str">
            <v/>
          </cell>
        </row>
        <row r="29752">
          <cell r="O29752" t="str">
            <v/>
          </cell>
        </row>
        <row r="29753">
          <cell r="O29753" t="str">
            <v/>
          </cell>
        </row>
        <row r="29754">
          <cell r="O29754" t="str">
            <v/>
          </cell>
        </row>
        <row r="29755">
          <cell r="O29755" t="str">
            <v/>
          </cell>
        </row>
        <row r="29756">
          <cell r="O29756" t="str">
            <v/>
          </cell>
        </row>
        <row r="29757">
          <cell r="O29757" t="str">
            <v/>
          </cell>
        </row>
        <row r="29758">
          <cell r="O29758" t="str">
            <v/>
          </cell>
        </row>
        <row r="29759">
          <cell r="O29759" t="str">
            <v/>
          </cell>
        </row>
        <row r="29760">
          <cell r="O29760" t="str">
            <v/>
          </cell>
        </row>
        <row r="29761">
          <cell r="O29761" t="str">
            <v/>
          </cell>
        </row>
        <row r="29762">
          <cell r="O29762" t="str">
            <v/>
          </cell>
        </row>
        <row r="29763">
          <cell r="O29763" t="str">
            <v/>
          </cell>
        </row>
        <row r="29764">
          <cell r="O29764" t="str">
            <v/>
          </cell>
        </row>
        <row r="29765">
          <cell r="O29765" t="str">
            <v/>
          </cell>
        </row>
        <row r="29766">
          <cell r="O29766" t="str">
            <v/>
          </cell>
        </row>
        <row r="29767">
          <cell r="O29767" t="str">
            <v/>
          </cell>
        </row>
        <row r="29768">
          <cell r="O29768" t="str">
            <v/>
          </cell>
        </row>
        <row r="29769">
          <cell r="O29769" t="str">
            <v/>
          </cell>
        </row>
        <row r="29770">
          <cell r="O29770" t="str">
            <v/>
          </cell>
        </row>
        <row r="29771">
          <cell r="O29771" t="str">
            <v/>
          </cell>
        </row>
        <row r="29772">
          <cell r="O29772" t="str">
            <v/>
          </cell>
        </row>
        <row r="29773">
          <cell r="O29773" t="str">
            <v/>
          </cell>
        </row>
        <row r="29774">
          <cell r="O29774" t="str">
            <v/>
          </cell>
        </row>
        <row r="29775">
          <cell r="O29775" t="str">
            <v/>
          </cell>
        </row>
        <row r="29776">
          <cell r="O29776" t="str">
            <v/>
          </cell>
        </row>
        <row r="29777">
          <cell r="O29777" t="str">
            <v/>
          </cell>
        </row>
        <row r="29778">
          <cell r="O29778" t="str">
            <v/>
          </cell>
        </row>
        <row r="29779">
          <cell r="O29779" t="str">
            <v/>
          </cell>
        </row>
        <row r="29780">
          <cell r="O29780" t="str">
            <v/>
          </cell>
        </row>
        <row r="29781">
          <cell r="O29781" t="str">
            <v/>
          </cell>
        </row>
        <row r="29782">
          <cell r="O29782" t="str">
            <v/>
          </cell>
        </row>
        <row r="29783">
          <cell r="O29783" t="str">
            <v/>
          </cell>
        </row>
        <row r="29784">
          <cell r="O29784" t="str">
            <v/>
          </cell>
        </row>
        <row r="29785">
          <cell r="O29785" t="str">
            <v/>
          </cell>
        </row>
        <row r="29786">
          <cell r="O29786" t="str">
            <v/>
          </cell>
        </row>
        <row r="29787">
          <cell r="O29787" t="str">
            <v/>
          </cell>
        </row>
        <row r="29788">
          <cell r="O29788" t="str">
            <v/>
          </cell>
        </row>
        <row r="29789">
          <cell r="O29789" t="str">
            <v/>
          </cell>
        </row>
        <row r="29790">
          <cell r="O29790" t="str">
            <v/>
          </cell>
        </row>
        <row r="29791">
          <cell r="O29791" t="str">
            <v/>
          </cell>
        </row>
        <row r="29792">
          <cell r="O29792" t="str">
            <v/>
          </cell>
        </row>
        <row r="29793">
          <cell r="O29793" t="str">
            <v/>
          </cell>
        </row>
        <row r="29794">
          <cell r="O29794" t="str">
            <v/>
          </cell>
        </row>
        <row r="29795">
          <cell r="O29795" t="str">
            <v/>
          </cell>
        </row>
        <row r="29796">
          <cell r="O29796" t="str">
            <v/>
          </cell>
        </row>
        <row r="29797">
          <cell r="O29797" t="str">
            <v/>
          </cell>
        </row>
        <row r="29798">
          <cell r="O29798" t="str">
            <v/>
          </cell>
        </row>
        <row r="29799">
          <cell r="O29799" t="str">
            <v/>
          </cell>
        </row>
        <row r="29800">
          <cell r="O29800" t="str">
            <v/>
          </cell>
        </row>
        <row r="29801">
          <cell r="O29801" t="str">
            <v/>
          </cell>
        </row>
        <row r="29802">
          <cell r="O29802" t="str">
            <v/>
          </cell>
        </row>
        <row r="29803">
          <cell r="O29803" t="str">
            <v/>
          </cell>
        </row>
        <row r="29804">
          <cell r="O29804" t="str">
            <v/>
          </cell>
        </row>
        <row r="29805">
          <cell r="O29805" t="str">
            <v/>
          </cell>
        </row>
        <row r="29806">
          <cell r="O29806" t="str">
            <v/>
          </cell>
        </row>
        <row r="29807">
          <cell r="O29807" t="str">
            <v/>
          </cell>
        </row>
        <row r="29808">
          <cell r="O29808" t="str">
            <v/>
          </cell>
        </row>
        <row r="29809">
          <cell r="O29809" t="str">
            <v/>
          </cell>
        </row>
        <row r="29810">
          <cell r="O29810" t="str">
            <v/>
          </cell>
        </row>
        <row r="29811">
          <cell r="O29811" t="str">
            <v/>
          </cell>
        </row>
        <row r="29812">
          <cell r="O29812" t="str">
            <v/>
          </cell>
        </row>
        <row r="29813">
          <cell r="O29813" t="str">
            <v/>
          </cell>
        </row>
        <row r="29814">
          <cell r="O29814" t="str">
            <v/>
          </cell>
        </row>
        <row r="29815">
          <cell r="O29815" t="str">
            <v/>
          </cell>
        </row>
        <row r="29816">
          <cell r="O29816" t="str">
            <v/>
          </cell>
        </row>
        <row r="29817">
          <cell r="O29817" t="str">
            <v/>
          </cell>
        </row>
        <row r="29818">
          <cell r="O29818" t="str">
            <v/>
          </cell>
        </row>
        <row r="29819">
          <cell r="O29819" t="str">
            <v/>
          </cell>
        </row>
        <row r="29820">
          <cell r="O29820" t="str">
            <v/>
          </cell>
        </row>
        <row r="29821">
          <cell r="O29821" t="str">
            <v/>
          </cell>
        </row>
        <row r="29822">
          <cell r="O29822" t="str">
            <v/>
          </cell>
        </row>
        <row r="29823">
          <cell r="O29823" t="str">
            <v/>
          </cell>
        </row>
        <row r="29824">
          <cell r="O29824" t="str">
            <v/>
          </cell>
        </row>
        <row r="29825">
          <cell r="O29825" t="str">
            <v/>
          </cell>
        </row>
        <row r="29826">
          <cell r="O29826" t="str">
            <v/>
          </cell>
        </row>
        <row r="29827">
          <cell r="O29827" t="str">
            <v/>
          </cell>
        </row>
        <row r="29828">
          <cell r="O29828" t="str">
            <v/>
          </cell>
        </row>
        <row r="29829">
          <cell r="O29829" t="str">
            <v/>
          </cell>
        </row>
        <row r="29830">
          <cell r="O29830" t="str">
            <v/>
          </cell>
        </row>
        <row r="29831">
          <cell r="O29831" t="str">
            <v/>
          </cell>
        </row>
        <row r="29832">
          <cell r="O29832" t="str">
            <v/>
          </cell>
        </row>
        <row r="29833">
          <cell r="O29833" t="str">
            <v/>
          </cell>
        </row>
        <row r="29834">
          <cell r="O29834" t="str">
            <v/>
          </cell>
        </row>
        <row r="29835">
          <cell r="O29835" t="str">
            <v/>
          </cell>
        </row>
        <row r="29836">
          <cell r="O29836" t="str">
            <v/>
          </cell>
        </row>
        <row r="29837">
          <cell r="O29837" t="str">
            <v/>
          </cell>
        </row>
        <row r="29838">
          <cell r="O29838" t="str">
            <v/>
          </cell>
        </row>
        <row r="29839">
          <cell r="O29839" t="str">
            <v/>
          </cell>
        </row>
        <row r="29840">
          <cell r="O29840" t="str">
            <v/>
          </cell>
        </row>
        <row r="29841">
          <cell r="O29841" t="str">
            <v/>
          </cell>
        </row>
        <row r="29842">
          <cell r="O29842" t="str">
            <v/>
          </cell>
        </row>
        <row r="29843">
          <cell r="O29843" t="str">
            <v/>
          </cell>
        </row>
        <row r="29844">
          <cell r="O29844" t="str">
            <v/>
          </cell>
        </row>
        <row r="29845">
          <cell r="O29845" t="str">
            <v/>
          </cell>
        </row>
        <row r="29846">
          <cell r="O29846" t="str">
            <v/>
          </cell>
        </row>
        <row r="29847">
          <cell r="O29847" t="str">
            <v/>
          </cell>
        </row>
        <row r="29848">
          <cell r="O29848" t="str">
            <v/>
          </cell>
        </row>
        <row r="29849">
          <cell r="O29849" t="str">
            <v/>
          </cell>
        </row>
        <row r="29850">
          <cell r="O29850" t="str">
            <v/>
          </cell>
        </row>
        <row r="29851">
          <cell r="O29851" t="str">
            <v/>
          </cell>
        </row>
        <row r="29852">
          <cell r="O29852" t="str">
            <v/>
          </cell>
        </row>
        <row r="29853">
          <cell r="O29853" t="str">
            <v/>
          </cell>
        </row>
        <row r="29854">
          <cell r="O29854" t="str">
            <v/>
          </cell>
        </row>
        <row r="29855">
          <cell r="O29855" t="str">
            <v/>
          </cell>
        </row>
        <row r="29856">
          <cell r="O29856" t="str">
            <v/>
          </cell>
        </row>
        <row r="29857">
          <cell r="O29857" t="str">
            <v/>
          </cell>
        </row>
        <row r="29858">
          <cell r="O29858" t="str">
            <v/>
          </cell>
        </row>
        <row r="29859">
          <cell r="O29859" t="str">
            <v/>
          </cell>
        </row>
        <row r="29860">
          <cell r="O29860" t="str">
            <v/>
          </cell>
        </row>
        <row r="29861">
          <cell r="O29861" t="str">
            <v/>
          </cell>
        </row>
        <row r="29862">
          <cell r="O29862" t="str">
            <v/>
          </cell>
        </row>
        <row r="29863">
          <cell r="O29863" t="str">
            <v/>
          </cell>
        </row>
        <row r="29864">
          <cell r="O29864" t="str">
            <v/>
          </cell>
        </row>
        <row r="29865">
          <cell r="O29865" t="str">
            <v/>
          </cell>
        </row>
        <row r="29866">
          <cell r="O29866" t="str">
            <v/>
          </cell>
        </row>
        <row r="29867">
          <cell r="O29867" t="str">
            <v/>
          </cell>
        </row>
        <row r="29868">
          <cell r="O29868" t="str">
            <v/>
          </cell>
        </row>
        <row r="29869">
          <cell r="O29869" t="str">
            <v/>
          </cell>
        </row>
        <row r="29870">
          <cell r="O29870" t="str">
            <v/>
          </cell>
        </row>
        <row r="29871">
          <cell r="O29871" t="str">
            <v/>
          </cell>
        </row>
        <row r="29872">
          <cell r="O29872" t="str">
            <v/>
          </cell>
        </row>
        <row r="29873">
          <cell r="O29873" t="str">
            <v/>
          </cell>
        </row>
        <row r="29874">
          <cell r="O29874" t="str">
            <v/>
          </cell>
        </row>
        <row r="29875">
          <cell r="O29875" t="str">
            <v/>
          </cell>
        </row>
        <row r="29876">
          <cell r="O29876" t="str">
            <v/>
          </cell>
        </row>
        <row r="29877">
          <cell r="O29877" t="str">
            <v/>
          </cell>
        </row>
        <row r="29878">
          <cell r="O29878" t="str">
            <v/>
          </cell>
        </row>
        <row r="29879">
          <cell r="O29879" t="str">
            <v/>
          </cell>
        </row>
        <row r="29880">
          <cell r="O29880" t="str">
            <v/>
          </cell>
        </row>
        <row r="29881">
          <cell r="O29881" t="str">
            <v/>
          </cell>
        </row>
        <row r="29882">
          <cell r="O29882" t="str">
            <v/>
          </cell>
        </row>
        <row r="29883">
          <cell r="O29883" t="str">
            <v/>
          </cell>
        </row>
        <row r="29884">
          <cell r="O29884" t="str">
            <v/>
          </cell>
        </row>
        <row r="29885">
          <cell r="O29885" t="str">
            <v/>
          </cell>
        </row>
        <row r="29886">
          <cell r="O29886" t="str">
            <v/>
          </cell>
        </row>
        <row r="29887">
          <cell r="O29887" t="str">
            <v/>
          </cell>
        </row>
        <row r="29888">
          <cell r="O29888" t="str">
            <v/>
          </cell>
        </row>
        <row r="29889">
          <cell r="O29889" t="str">
            <v/>
          </cell>
        </row>
        <row r="29890">
          <cell r="O29890" t="str">
            <v/>
          </cell>
        </row>
        <row r="29891">
          <cell r="O29891" t="str">
            <v/>
          </cell>
        </row>
        <row r="29892">
          <cell r="O29892" t="str">
            <v/>
          </cell>
        </row>
        <row r="29893">
          <cell r="O29893" t="str">
            <v/>
          </cell>
        </row>
        <row r="29894">
          <cell r="O29894" t="str">
            <v/>
          </cell>
        </row>
        <row r="29895">
          <cell r="O29895" t="str">
            <v/>
          </cell>
        </row>
        <row r="29896">
          <cell r="O29896" t="str">
            <v/>
          </cell>
        </row>
        <row r="29897">
          <cell r="O29897" t="str">
            <v/>
          </cell>
        </row>
        <row r="29898">
          <cell r="O29898" t="str">
            <v/>
          </cell>
        </row>
        <row r="29899">
          <cell r="O29899" t="str">
            <v/>
          </cell>
        </row>
        <row r="29900">
          <cell r="O29900" t="str">
            <v/>
          </cell>
        </row>
        <row r="29901">
          <cell r="O29901" t="str">
            <v/>
          </cell>
        </row>
        <row r="29902">
          <cell r="O29902" t="str">
            <v/>
          </cell>
        </row>
        <row r="29903">
          <cell r="O29903" t="str">
            <v/>
          </cell>
        </row>
        <row r="29904">
          <cell r="O29904" t="str">
            <v/>
          </cell>
        </row>
        <row r="29905">
          <cell r="O29905" t="str">
            <v/>
          </cell>
        </row>
        <row r="29906">
          <cell r="O29906" t="str">
            <v/>
          </cell>
        </row>
        <row r="29907">
          <cell r="O29907" t="str">
            <v/>
          </cell>
        </row>
        <row r="29908">
          <cell r="O29908" t="str">
            <v/>
          </cell>
        </row>
        <row r="29909">
          <cell r="O29909" t="str">
            <v/>
          </cell>
        </row>
        <row r="29910">
          <cell r="O29910" t="str">
            <v/>
          </cell>
        </row>
        <row r="29911">
          <cell r="O29911" t="str">
            <v/>
          </cell>
        </row>
        <row r="29912">
          <cell r="O29912" t="str">
            <v/>
          </cell>
        </row>
        <row r="29913">
          <cell r="O29913" t="str">
            <v/>
          </cell>
        </row>
        <row r="29914">
          <cell r="O29914" t="str">
            <v/>
          </cell>
        </row>
        <row r="29915">
          <cell r="O29915" t="str">
            <v/>
          </cell>
        </row>
        <row r="29916">
          <cell r="O29916" t="str">
            <v/>
          </cell>
        </row>
        <row r="29917">
          <cell r="O29917" t="str">
            <v/>
          </cell>
        </row>
        <row r="29918">
          <cell r="O29918" t="str">
            <v/>
          </cell>
        </row>
        <row r="29919">
          <cell r="O29919" t="str">
            <v/>
          </cell>
        </row>
        <row r="29920">
          <cell r="O29920" t="str">
            <v/>
          </cell>
        </row>
        <row r="29921">
          <cell r="O29921" t="str">
            <v/>
          </cell>
        </row>
        <row r="29922">
          <cell r="O29922" t="str">
            <v/>
          </cell>
        </row>
        <row r="29923">
          <cell r="O29923" t="str">
            <v/>
          </cell>
        </row>
        <row r="29924">
          <cell r="O29924" t="str">
            <v/>
          </cell>
        </row>
        <row r="29925">
          <cell r="O29925" t="str">
            <v/>
          </cell>
        </row>
        <row r="29926">
          <cell r="O29926" t="str">
            <v/>
          </cell>
        </row>
        <row r="29927">
          <cell r="O29927" t="str">
            <v/>
          </cell>
        </row>
        <row r="29928">
          <cell r="O29928" t="str">
            <v/>
          </cell>
        </row>
        <row r="29929">
          <cell r="O29929" t="str">
            <v/>
          </cell>
        </row>
        <row r="29930">
          <cell r="O29930" t="str">
            <v/>
          </cell>
        </row>
        <row r="29931">
          <cell r="O29931" t="str">
            <v/>
          </cell>
        </row>
        <row r="29932">
          <cell r="O29932" t="str">
            <v/>
          </cell>
        </row>
        <row r="29933">
          <cell r="O29933" t="str">
            <v/>
          </cell>
        </row>
        <row r="29934">
          <cell r="O29934" t="str">
            <v/>
          </cell>
        </row>
        <row r="29935">
          <cell r="O29935" t="str">
            <v/>
          </cell>
        </row>
        <row r="29936">
          <cell r="O29936" t="str">
            <v/>
          </cell>
        </row>
        <row r="29937">
          <cell r="O29937" t="str">
            <v/>
          </cell>
        </row>
        <row r="29938">
          <cell r="O29938" t="str">
            <v/>
          </cell>
        </row>
        <row r="29939">
          <cell r="O29939" t="str">
            <v/>
          </cell>
        </row>
        <row r="29940">
          <cell r="O29940" t="str">
            <v/>
          </cell>
        </row>
        <row r="29941">
          <cell r="O29941" t="str">
            <v/>
          </cell>
        </row>
        <row r="29942">
          <cell r="O29942" t="str">
            <v/>
          </cell>
        </row>
        <row r="29943">
          <cell r="O29943" t="str">
            <v/>
          </cell>
        </row>
        <row r="29944">
          <cell r="O29944" t="str">
            <v/>
          </cell>
        </row>
        <row r="29945">
          <cell r="O29945" t="str">
            <v/>
          </cell>
        </row>
        <row r="29946">
          <cell r="O29946" t="str">
            <v/>
          </cell>
        </row>
        <row r="29947">
          <cell r="O29947" t="str">
            <v/>
          </cell>
        </row>
        <row r="29948">
          <cell r="O29948" t="str">
            <v/>
          </cell>
        </row>
        <row r="29949">
          <cell r="O29949" t="str">
            <v/>
          </cell>
        </row>
        <row r="29950">
          <cell r="O29950" t="str">
            <v/>
          </cell>
        </row>
        <row r="29951">
          <cell r="O29951" t="str">
            <v/>
          </cell>
        </row>
        <row r="29952">
          <cell r="O29952" t="str">
            <v/>
          </cell>
        </row>
        <row r="29953">
          <cell r="O29953" t="str">
            <v/>
          </cell>
        </row>
        <row r="29954">
          <cell r="O29954" t="str">
            <v/>
          </cell>
        </row>
        <row r="29955">
          <cell r="O29955" t="str">
            <v/>
          </cell>
        </row>
        <row r="29956">
          <cell r="O29956" t="str">
            <v/>
          </cell>
        </row>
        <row r="29957">
          <cell r="O29957" t="str">
            <v/>
          </cell>
        </row>
        <row r="29958">
          <cell r="O29958" t="str">
            <v/>
          </cell>
        </row>
        <row r="29959">
          <cell r="O29959" t="str">
            <v/>
          </cell>
        </row>
        <row r="29960">
          <cell r="O29960" t="str">
            <v/>
          </cell>
        </row>
        <row r="29961">
          <cell r="O29961" t="str">
            <v/>
          </cell>
        </row>
        <row r="29962">
          <cell r="O29962" t="str">
            <v/>
          </cell>
        </row>
        <row r="29963">
          <cell r="O29963" t="str">
            <v/>
          </cell>
        </row>
        <row r="29964">
          <cell r="O29964" t="str">
            <v/>
          </cell>
        </row>
        <row r="29965">
          <cell r="O29965" t="str">
            <v/>
          </cell>
        </row>
        <row r="29966">
          <cell r="O29966" t="str">
            <v/>
          </cell>
        </row>
        <row r="29967">
          <cell r="O29967" t="str">
            <v/>
          </cell>
        </row>
        <row r="29968">
          <cell r="O29968" t="str">
            <v/>
          </cell>
        </row>
        <row r="29969">
          <cell r="O29969" t="str">
            <v/>
          </cell>
        </row>
        <row r="29970">
          <cell r="O29970" t="str">
            <v/>
          </cell>
        </row>
        <row r="29971">
          <cell r="O29971" t="str">
            <v/>
          </cell>
        </row>
        <row r="29972">
          <cell r="O29972" t="str">
            <v/>
          </cell>
        </row>
        <row r="29973">
          <cell r="O29973" t="str">
            <v/>
          </cell>
        </row>
        <row r="29974">
          <cell r="O29974" t="str">
            <v/>
          </cell>
        </row>
        <row r="29975">
          <cell r="O29975" t="str">
            <v/>
          </cell>
        </row>
        <row r="29976">
          <cell r="O29976" t="str">
            <v/>
          </cell>
        </row>
        <row r="29977">
          <cell r="O29977" t="str">
            <v/>
          </cell>
        </row>
        <row r="29978">
          <cell r="O29978" t="str">
            <v/>
          </cell>
        </row>
        <row r="29979">
          <cell r="O29979" t="str">
            <v/>
          </cell>
        </row>
        <row r="29980">
          <cell r="O29980" t="str">
            <v/>
          </cell>
        </row>
        <row r="29981">
          <cell r="O29981" t="str">
            <v/>
          </cell>
        </row>
        <row r="29982">
          <cell r="O29982" t="str">
            <v/>
          </cell>
        </row>
        <row r="29983">
          <cell r="O29983" t="str">
            <v/>
          </cell>
        </row>
        <row r="29984">
          <cell r="O29984" t="str">
            <v/>
          </cell>
        </row>
        <row r="29985">
          <cell r="O29985" t="str">
            <v/>
          </cell>
        </row>
        <row r="29986">
          <cell r="O29986" t="str">
            <v/>
          </cell>
        </row>
        <row r="29987">
          <cell r="O29987" t="str">
            <v/>
          </cell>
        </row>
        <row r="29988">
          <cell r="O29988" t="str">
            <v/>
          </cell>
        </row>
        <row r="29989">
          <cell r="O29989" t="str">
            <v/>
          </cell>
        </row>
        <row r="29990">
          <cell r="O29990" t="str">
            <v/>
          </cell>
        </row>
        <row r="29991">
          <cell r="O29991" t="str">
            <v/>
          </cell>
        </row>
        <row r="29992">
          <cell r="O29992" t="str">
            <v/>
          </cell>
        </row>
        <row r="29993">
          <cell r="O29993" t="str">
            <v/>
          </cell>
        </row>
        <row r="29994">
          <cell r="O29994" t="str">
            <v/>
          </cell>
        </row>
        <row r="29995">
          <cell r="O29995" t="str">
            <v/>
          </cell>
        </row>
        <row r="29996">
          <cell r="O29996" t="str">
            <v/>
          </cell>
        </row>
        <row r="29997">
          <cell r="O29997" t="str">
            <v/>
          </cell>
        </row>
        <row r="29998">
          <cell r="O29998" t="str">
            <v/>
          </cell>
        </row>
        <row r="29999">
          <cell r="O29999" t="str">
            <v/>
          </cell>
        </row>
        <row r="30000">
          <cell r="O30000" t="str">
            <v/>
          </cell>
        </row>
        <row r="30001">
          <cell r="O30001" t="str">
            <v/>
          </cell>
        </row>
        <row r="30002">
          <cell r="O30002" t="str">
            <v/>
          </cell>
        </row>
        <row r="30003">
          <cell r="O30003" t="str">
            <v/>
          </cell>
        </row>
        <row r="30004">
          <cell r="O30004" t="str">
            <v/>
          </cell>
        </row>
        <row r="30005">
          <cell r="O30005" t="str">
            <v/>
          </cell>
        </row>
        <row r="30006">
          <cell r="O30006" t="str">
            <v/>
          </cell>
        </row>
        <row r="30007">
          <cell r="O30007" t="str">
            <v/>
          </cell>
        </row>
        <row r="30008">
          <cell r="O30008" t="str">
            <v/>
          </cell>
        </row>
        <row r="30009">
          <cell r="O30009" t="str">
            <v/>
          </cell>
        </row>
        <row r="30010">
          <cell r="O30010" t="str">
            <v/>
          </cell>
        </row>
        <row r="30011">
          <cell r="O30011" t="str">
            <v/>
          </cell>
        </row>
        <row r="30012">
          <cell r="O30012" t="str">
            <v/>
          </cell>
        </row>
        <row r="30013">
          <cell r="O30013" t="str">
            <v/>
          </cell>
        </row>
        <row r="30014">
          <cell r="O30014" t="str">
            <v/>
          </cell>
        </row>
        <row r="30015">
          <cell r="O30015" t="str">
            <v/>
          </cell>
        </row>
        <row r="30016">
          <cell r="O30016" t="str">
            <v/>
          </cell>
        </row>
        <row r="30017">
          <cell r="O30017" t="str">
            <v/>
          </cell>
        </row>
        <row r="30018">
          <cell r="O30018" t="str">
            <v/>
          </cell>
        </row>
        <row r="30019">
          <cell r="O30019" t="str">
            <v/>
          </cell>
        </row>
        <row r="30020">
          <cell r="O30020" t="str">
            <v/>
          </cell>
        </row>
        <row r="30021">
          <cell r="O30021" t="str">
            <v/>
          </cell>
        </row>
        <row r="30022">
          <cell r="O30022" t="str">
            <v/>
          </cell>
        </row>
        <row r="30023">
          <cell r="O30023" t="str">
            <v/>
          </cell>
        </row>
        <row r="30024">
          <cell r="O30024" t="str">
            <v/>
          </cell>
        </row>
        <row r="30025">
          <cell r="O30025" t="str">
            <v/>
          </cell>
        </row>
        <row r="30026">
          <cell r="O30026" t="str">
            <v/>
          </cell>
        </row>
        <row r="30027">
          <cell r="O30027" t="str">
            <v/>
          </cell>
        </row>
        <row r="30028">
          <cell r="O30028" t="str">
            <v/>
          </cell>
        </row>
        <row r="30029">
          <cell r="O30029" t="str">
            <v/>
          </cell>
        </row>
        <row r="30030">
          <cell r="O30030" t="str">
            <v/>
          </cell>
        </row>
        <row r="30031">
          <cell r="O30031" t="str">
            <v/>
          </cell>
        </row>
        <row r="30032">
          <cell r="O30032" t="str">
            <v/>
          </cell>
        </row>
        <row r="30033">
          <cell r="O30033" t="str">
            <v/>
          </cell>
        </row>
        <row r="30034">
          <cell r="O30034" t="str">
            <v/>
          </cell>
        </row>
        <row r="30035">
          <cell r="O30035" t="str">
            <v/>
          </cell>
        </row>
        <row r="30036">
          <cell r="O30036" t="str">
            <v/>
          </cell>
        </row>
        <row r="30037">
          <cell r="O30037" t="str">
            <v/>
          </cell>
        </row>
        <row r="30038">
          <cell r="O30038" t="str">
            <v/>
          </cell>
        </row>
        <row r="30039">
          <cell r="O30039" t="str">
            <v/>
          </cell>
        </row>
        <row r="30040">
          <cell r="O30040" t="str">
            <v/>
          </cell>
        </row>
        <row r="30041">
          <cell r="O30041" t="str">
            <v/>
          </cell>
        </row>
        <row r="30042">
          <cell r="O30042" t="str">
            <v/>
          </cell>
        </row>
        <row r="30043">
          <cell r="O30043" t="str">
            <v/>
          </cell>
        </row>
        <row r="30044">
          <cell r="O30044" t="str">
            <v/>
          </cell>
        </row>
        <row r="30045">
          <cell r="O30045" t="str">
            <v/>
          </cell>
        </row>
        <row r="30046">
          <cell r="O30046" t="str">
            <v/>
          </cell>
        </row>
        <row r="30047">
          <cell r="O30047" t="str">
            <v/>
          </cell>
        </row>
        <row r="30048">
          <cell r="O30048" t="str">
            <v/>
          </cell>
        </row>
        <row r="30049">
          <cell r="O30049" t="str">
            <v/>
          </cell>
        </row>
        <row r="30050">
          <cell r="O30050" t="str">
            <v/>
          </cell>
        </row>
        <row r="30051">
          <cell r="O30051" t="str">
            <v/>
          </cell>
        </row>
        <row r="30052">
          <cell r="O30052" t="str">
            <v/>
          </cell>
        </row>
        <row r="30053">
          <cell r="O30053" t="str">
            <v/>
          </cell>
        </row>
        <row r="30054">
          <cell r="O30054" t="str">
            <v/>
          </cell>
        </row>
        <row r="30055">
          <cell r="O30055" t="str">
            <v/>
          </cell>
        </row>
        <row r="30056">
          <cell r="O30056" t="str">
            <v/>
          </cell>
        </row>
        <row r="30057">
          <cell r="O30057" t="str">
            <v/>
          </cell>
        </row>
        <row r="30058">
          <cell r="O30058" t="str">
            <v/>
          </cell>
        </row>
        <row r="30059">
          <cell r="O30059" t="str">
            <v/>
          </cell>
        </row>
        <row r="30060">
          <cell r="O30060" t="str">
            <v/>
          </cell>
        </row>
        <row r="30061">
          <cell r="O30061" t="str">
            <v/>
          </cell>
        </row>
        <row r="30062">
          <cell r="O30062" t="str">
            <v/>
          </cell>
        </row>
        <row r="30063">
          <cell r="O30063" t="str">
            <v/>
          </cell>
        </row>
        <row r="30064">
          <cell r="O30064" t="str">
            <v/>
          </cell>
        </row>
        <row r="30065">
          <cell r="O30065" t="str">
            <v/>
          </cell>
        </row>
        <row r="30066">
          <cell r="O30066" t="str">
            <v/>
          </cell>
        </row>
        <row r="30067">
          <cell r="O30067" t="str">
            <v/>
          </cell>
        </row>
        <row r="30068">
          <cell r="O30068" t="str">
            <v/>
          </cell>
        </row>
        <row r="30069">
          <cell r="O30069" t="str">
            <v/>
          </cell>
        </row>
        <row r="30070">
          <cell r="O30070" t="str">
            <v/>
          </cell>
        </row>
        <row r="30071">
          <cell r="O30071" t="str">
            <v/>
          </cell>
        </row>
        <row r="30072">
          <cell r="O30072" t="str">
            <v/>
          </cell>
        </row>
        <row r="30073">
          <cell r="O30073" t="str">
            <v/>
          </cell>
        </row>
        <row r="30074">
          <cell r="O30074" t="str">
            <v/>
          </cell>
        </row>
        <row r="30075">
          <cell r="O30075" t="str">
            <v/>
          </cell>
        </row>
        <row r="30076">
          <cell r="O30076" t="str">
            <v/>
          </cell>
        </row>
        <row r="30077">
          <cell r="O30077" t="str">
            <v/>
          </cell>
        </row>
        <row r="30078">
          <cell r="O30078" t="str">
            <v/>
          </cell>
        </row>
        <row r="30079">
          <cell r="O30079" t="str">
            <v/>
          </cell>
        </row>
        <row r="30080">
          <cell r="O30080" t="str">
            <v/>
          </cell>
        </row>
        <row r="30081">
          <cell r="O30081" t="str">
            <v/>
          </cell>
        </row>
        <row r="30082">
          <cell r="O30082" t="str">
            <v/>
          </cell>
        </row>
        <row r="30083">
          <cell r="O30083" t="str">
            <v/>
          </cell>
        </row>
        <row r="30084">
          <cell r="O30084" t="str">
            <v/>
          </cell>
        </row>
        <row r="30085">
          <cell r="O30085" t="str">
            <v/>
          </cell>
        </row>
        <row r="30086">
          <cell r="O30086" t="str">
            <v/>
          </cell>
        </row>
        <row r="30087">
          <cell r="O30087" t="str">
            <v/>
          </cell>
        </row>
        <row r="30088">
          <cell r="O30088" t="str">
            <v/>
          </cell>
        </row>
        <row r="30089">
          <cell r="O30089" t="str">
            <v/>
          </cell>
        </row>
        <row r="30090">
          <cell r="O30090" t="str">
            <v/>
          </cell>
        </row>
        <row r="30091">
          <cell r="O30091" t="str">
            <v/>
          </cell>
        </row>
        <row r="30092">
          <cell r="O30092" t="str">
            <v/>
          </cell>
        </row>
        <row r="30093">
          <cell r="O30093" t="str">
            <v/>
          </cell>
        </row>
        <row r="30094">
          <cell r="O30094" t="str">
            <v/>
          </cell>
        </row>
        <row r="30095">
          <cell r="O30095" t="str">
            <v/>
          </cell>
        </row>
        <row r="30096">
          <cell r="O30096" t="str">
            <v/>
          </cell>
        </row>
        <row r="30097">
          <cell r="O30097" t="str">
            <v/>
          </cell>
        </row>
        <row r="30098">
          <cell r="O30098" t="str">
            <v/>
          </cell>
        </row>
        <row r="30099">
          <cell r="O30099" t="str">
            <v/>
          </cell>
        </row>
        <row r="30100">
          <cell r="O30100" t="str">
            <v/>
          </cell>
        </row>
        <row r="30101">
          <cell r="O30101" t="str">
            <v/>
          </cell>
        </row>
        <row r="30102">
          <cell r="O30102" t="str">
            <v/>
          </cell>
        </row>
        <row r="30103">
          <cell r="O30103" t="str">
            <v/>
          </cell>
        </row>
        <row r="30104">
          <cell r="O30104" t="str">
            <v/>
          </cell>
        </row>
        <row r="30105">
          <cell r="O30105" t="str">
            <v/>
          </cell>
        </row>
        <row r="30106">
          <cell r="O30106" t="str">
            <v/>
          </cell>
        </row>
        <row r="30107">
          <cell r="O30107" t="str">
            <v/>
          </cell>
        </row>
        <row r="30108">
          <cell r="O30108" t="str">
            <v/>
          </cell>
        </row>
        <row r="30109">
          <cell r="O30109" t="str">
            <v/>
          </cell>
        </row>
        <row r="30110">
          <cell r="O30110" t="str">
            <v/>
          </cell>
        </row>
        <row r="30111">
          <cell r="O30111" t="str">
            <v/>
          </cell>
        </row>
        <row r="30112">
          <cell r="O30112" t="str">
            <v/>
          </cell>
        </row>
        <row r="30113">
          <cell r="O30113" t="str">
            <v/>
          </cell>
        </row>
        <row r="30114">
          <cell r="O30114" t="str">
            <v/>
          </cell>
        </row>
        <row r="30115">
          <cell r="O30115" t="str">
            <v/>
          </cell>
        </row>
        <row r="30116">
          <cell r="O30116" t="str">
            <v/>
          </cell>
        </row>
        <row r="30117">
          <cell r="O30117" t="str">
            <v/>
          </cell>
        </row>
        <row r="30118">
          <cell r="O30118" t="str">
            <v/>
          </cell>
        </row>
        <row r="30119">
          <cell r="O30119" t="str">
            <v/>
          </cell>
        </row>
        <row r="30120">
          <cell r="O30120" t="str">
            <v/>
          </cell>
        </row>
        <row r="30121">
          <cell r="O30121" t="str">
            <v/>
          </cell>
        </row>
        <row r="30122">
          <cell r="O30122" t="str">
            <v/>
          </cell>
        </row>
        <row r="30123">
          <cell r="O30123" t="str">
            <v/>
          </cell>
        </row>
        <row r="30124">
          <cell r="O30124" t="str">
            <v/>
          </cell>
        </row>
        <row r="30125">
          <cell r="O30125" t="str">
            <v/>
          </cell>
        </row>
        <row r="30126">
          <cell r="O30126" t="str">
            <v/>
          </cell>
        </row>
        <row r="30127">
          <cell r="O30127" t="str">
            <v/>
          </cell>
        </row>
        <row r="30128">
          <cell r="O30128" t="str">
            <v/>
          </cell>
        </row>
        <row r="30129">
          <cell r="O30129" t="str">
            <v/>
          </cell>
        </row>
        <row r="30130">
          <cell r="O30130" t="str">
            <v/>
          </cell>
        </row>
        <row r="30131">
          <cell r="O30131" t="str">
            <v/>
          </cell>
        </row>
        <row r="30132">
          <cell r="O30132" t="str">
            <v/>
          </cell>
        </row>
        <row r="30133">
          <cell r="O30133" t="str">
            <v/>
          </cell>
        </row>
        <row r="30134">
          <cell r="O30134" t="str">
            <v/>
          </cell>
        </row>
        <row r="30135">
          <cell r="O30135" t="str">
            <v/>
          </cell>
        </row>
        <row r="30136">
          <cell r="O30136" t="str">
            <v/>
          </cell>
        </row>
        <row r="30137">
          <cell r="O30137" t="str">
            <v/>
          </cell>
        </row>
        <row r="30138">
          <cell r="O30138" t="str">
            <v/>
          </cell>
        </row>
        <row r="30139">
          <cell r="O30139" t="str">
            <v/>
          </cell>
        </row>
        <row r="30140">
          <cell r="O30140" t="str">
            <v/>
          </cell>
        </row>
        <row r="30141">
          <cell r="O30141" t="str">
            <v/>
          </cell>
        </row>
        <row r="30142">
          <cell r="O30142" t="str">
            <v/>
          </cell>
        </row>
        <row r="30143">
          <cell r="O30143" t="str">
            <v/>
          </cell>
        </row>
        <row r="30144">
          <cell r="O30144" t="str">
            <v/>
          </cell>
        </row>
        <row r="30145">
          <cell r="O30145" t="str">
            <v/>
          </cell>
        </row>
        <row r="30146">
          <cell r="O30146" t="str">
            <v/>
          </cell>
        </row>
        <row r="30147">
          <cell r="O30147" t="str">
            <v/>
          </cell>
        </row>
        <row r="30148">
          <cell r="O30148" t="str">
            <v/>
          </cell>
        </row>
        <row r="30149">
          <cell r="O30149" t="str">
            <v/>
          </cell>
        </row>
        <row r="30150">
          <cell r="O30150" t="str">
            <v/>
          </cell>
        </row>
        <row r="30151">
          <cell r="O30151" t="str">
            <v/>
          </cell>
        </row>
        <row r="30152">
          <cell r="O30152" t="str">
            <v/>
          </cell>
        </row>
        <row r="30153">
          <cell r="O30153" t="str">
            <v/>
          </cell>
        </row>
        <row r="30154">
          <cell r="O30154" t="str">
            <v/>
          </cell>
        </row>
        <row r="30155">
          <cell r="O30155" t="str">
            <v/>
          </cell>
        </row>
        <row r="30156">
          <cell r="O30156" t="str">
            <v/>
          </cell>
        </row>
        <row r="30157">
          <cell r="O30157" t="str">
            <v/>
          </cell>
        </row>
        <row r="30158">
          <cell r="O30158" t="str">
            <v/>
          </cell>
        </row>
        <row r="30159">
          <cell r="O30159" t="str">
            <v/>
          </cell>
        </row>
        <row r="30160">
          <cell r="O30160" t="str">
            <v/>
          </cell>
        </row>
        <row r="30161">
          <cell r="O30161" t="str">
            <v/>
          </cell>
        </row>
        <row r="30162">
          <cell r="O30162" t="str">
            <v/>
          </cell>
        </row>
        <row r="30163">
          <cell r="O30163" t="str">
            <v/>
          </cell>
        </row>
        <row r="30164">
          <cell r="O30164" t="str">
            <v/>
          </cell>
        </row>
        <row r="30165">
          <cell r="O30165" t="str">
            <v/>
          </cell>
        </row>
        <row r="30166">
          <cell r="O30166" t="str">
            <v/>
          </cell>
        </row>
        <row r="30167">
          <cell r="O30167" t="str">
            <v/>
          </cell>
        </row>
        <row r="30168">
          <cell r="O30168" t="str">
            <v/>
          </cell>
        </row>
        <row r="30169">
          <cell r="O30169" t="str">
            <v/>
          </cell>
        </row>
        <row r="30170">
          <cell r="O30170" t="str">
            <v/>
          </cell>
        </row>
        <row r="30171">
          <cell r="O30171" t="str">
            <v/>
          </cell>
        </row>
        <row r="30172">
          <cell r="O30172" t="str">
            <v/>
          </cell>
        </row>
        <row r="30173">
          <cell r="O30173" t="str">
            <v/>
          </cell>
        </row>
        <row r="30174">
          <cell r="O30174" t="str">
            <v/>
          </cell>
        </row>
        <row r="30175">
          <cell r="O30175" t="str">
            <v/>
          </cell>
        </row>
        <row r="30176">
          <cell r="O30176" t="str">
            <v/>
          </cell>
        </row>
        <row r="30177">
          <cell r="O30177" t="str">
            <v/>
          </cell>
        </row>
        <row r="30178">
          <cell r="O30178" t="str">
            <v/>
          </cell>
        </row>
        <row r="30179">
          <cell r="O30179" t="str">
            <v/>
          </cell>
        </row>
        <row r="30180">
          <cell r="O30180" t="str">
            <v/>
          </cell>
        </row>
        <row r="30181">
          <cell r="O30181" t="str">
            <v/>
          </cell>
        </row>
        <row r="30182">
          <cell r="O30182" t="str">
            <v/>
          </cell>
        </row>
        <row r="30183">
          <cell r="O30183" t="str">
            <v/>
          </cell>
        </row>
        <row r="30184">
          <cell r="O30184" t="str">
            <v/>
          </cell>
        </row>
        <row r="30185">
          <cell r="O30185" t="str">
            <v/>
          </cell>
        </row>
        <row r="30186">
          <cell r="O30186" t="str">
            <v/>
          </cell>
        </row>
        <row r="30187">
          <cell r="O30187" t="str">
            <v/>
          </cell>
        </row>
        <row r="30188">
          <cell r="O30188" t="str">
            <v/>
          </cell>
        </row>
        <row r="30189">
          <cell r="O30189" t="str">
            <v/>
          </cell>
        </row>
        <row r="30190">
          <cell r="O30190" t="str">
            <v/>
          </cell>
        </row>
        <row r="30191">
          <cell r="O30191" t="str">
            <v/>
          </cell>
        </row>
        <row r="30192">
          <cell r="O30192" t="str">
            <v/>
          </cell>
        </row>
        <row r="30193">
          <cell r="O30193" t="str">
            <v/>
          </cell>
        </row>
        <row r="30194">
          <cell r="O30194" t="str">
            <v/>
          </cell>
        </row>
        <row r="30195">
          <cell r="O30195" t="str">
            <v/>
          </cell>
        </row>
        <row r="30196">
          <cell r="O30196" t="str">
            <v/>
          </cell>
        </row>
        <row r="30197">
          <cell r="O30197" t="str">
            <v/>
          </cell>
        </row>
        <row r="30198">
          <cell r="O30198" t="str">
            <v/>
          </cell>
        </row>
        <row r="30199">
          <cell r="O30199" t="str">
            <v/>
          </cell>
        </row>
        <row r="30200">
          <cell r="O30200" t="str">
            <v/>
          </cell>
        </row>
        <row r="30201">
          <cell r="O30201" t="str">
            <v/>
          </cell>
        </row>
        <row r="30202">
          <cell r="O30202" t="str">
            <v/>
          </cell>
        </row>
        <row r="30203">
          <cell r="O30203" t="str">
            <v/>
          </cell>
        </row>
        <row r="30204">
          <cell r="O30204" t="str">
            <v/>
          </cell>
        </row>
        <row r="30205">
          <cell r="O30205" t="str">
            <v/>
          </cell>
        </row>
        <row r="30206">
          <cell r="O30206" t="str">
            <v/>
          </cell>
        </row>
        <row r="30207">
          <cell r="O30207" t="str">
            <v/>
          </cell>
        </row>
        <row r="30208">
          <cell r="O30208" t="str">
            <v/>
          </cell>
        </row>
        <row r="30209">
          <cell r="O30209" t="str">
            <v/>
          </cell>
        </row>
        <row r="30210">
          <cell r="O30210" t="str">
            <v/>
          </cell>
        </row>
        <row r="30211">
          <cell r="O30211" t="str">
            <v/>
          </cell>
        </row>
        <row r="30212">
          <cell r="O30212" t="str">
            <v/>
          </cell>
        </row>
        <row r="30213">
          <cell r="O30213" t="str">
            <v/>
          </cell>
        </row>
        <row r="30214">
          <cell r="O30214" t="str">
            <v/>
          </cell>
        </row>
        <row r="30215">
          <cell r="O30215" t="str">
            <v/>
          </cell>
        </row>
        <row r="30216">
          <cell r="O30216" t="str">
            <v/>
          </cell>
        </row>
        <row r="30217">
          <cell r="O30217" t="str">
            <v/>
          </cell>
        </row>
        <row r="30218">
          <cell r="O30218" t="str">
            <v/>
          </cell>
        </row>
        <row r="30219">
          <cell r="O30219" t="str">
            <v/>
          </cell>
        </row>
        <row r="30220">
          <cell r="O30220" t="str">
            <v/>
          </cell>
        </row>
        <row r="30221">
          <cell r="O30221" t="str">
            <v/>
          </cell>
        </row>
        <row r="30222">
          <cell r="O30222" t="str">
            <v/>
          </cell>
        </row>
        <row r="30223">
          <cell r="O30223" t="str">
            <v/>
          </cell>
        </row>
        <row r="30224">
          <cell r="O30224" t="str">
            <v/>
          </cell>
        </row>
        <row r="30225">
          <cell r="O30225" t="str">
            <v/>
          </cell>
        </row>
        <row r="30226">
          <cell r="O30226" t="str">
            <v/>
          </cell>
        </row>
        <row r="30227">
          <cell r="O30227" t="str">
            <v/>
          </cell>
        </row>
        <row r="30228">
          <cell r="O30228" t="str">
            <v/>
          </cell>
        </row>
        <row r="30229">
          <cell r="O30229" t="str">
            <v/>
          </cell>
        </row>
        <row r="30230">
          <cell r="O30230" t="str">
            <v/>
          </cell>
        </row>
        <row r="30231">
          <cell r="O30231" t="str">
            <v/>
          </cell>
        </row>
        <row r="30232">
          <cell r="O30232" t="str">
            <v/>
          </cell>
        </row>
        <row r="30233">
          <cell r="O30233" t="str">
            <v/>
          </cell>
        </row>
        <row r="30234">
          <cell r="O30234" t="str">
            <v/>
          </cell>
        </row>
        <row r="30235">
          <cell r="O30235" t="str">
            <v/>
          </cell>
        </row>
        <row r="30236">
          <cell r="O30236" t="str">
            <v/>
          </cell>
        </row>
        <row r="30237">
          <cell r="O30237" t="str">
            <v/>
          </cell>
        </row>
        <row r="30238">
          <cell r="O30238" t="str">
            <v/>
          </cell>
        </row>
        <row r="30239">
          <cell r="O30239" t="str">
            <v/>
          </cell>
        </row>
        <row r="30240">
          <cell r="O30240" t="str">
            <v/>
          </cell>
        </row>
        <row r="30241">
          <cell r="O30241" t="str">
            <v/>
          </cell>
        </row>
        <row r="30242">
          <cell r="O30242" t="str">
            <v/>
          </cell>
        </row>
        <row r="30243">
          <cell r="O30243" t="str">
            <v/>
          </cell>
        </row>
        <row r="30244">
          <cell r="O30244" t="str">
            <v/>
          </cell>
        </row>
        <row r="30245">
          <cell r="O30245" t="str">
            <v/>
          </cell>
        </row>
        <row r="30246">
          <cell r="O30246" t="str">
            <v/>
          </cell>
        </row>
        <row r="30247">
          <cell r="O30247" t="str">
            <v/>
          </cell>
        </row>
        <row r="30248">
          <cell r="O30248" t="str">
            <v/>
          </cell>
        </row>
        <row r="30249">
          <cell r="O30249" t="str">
            <v/>
          </cell>
        </row>
        <row r="30250">
          <cell r="O30250" t="str">
            <v/>
          </cell>
        </row>
        <row r="30251">
          <cell r="O30251" t="str">
            <v/>
          </cell>
        </row>
        <row r="30252">
          <cell r="O30252" t="str">
            <v/>
          </cell>
        </row>
        <row r="30253">
          <cell r="O30253" t="str">
            <v/>
          </cell>
        </row>
        <row r="30254">
          <cell r="O30254" t="str">
            <v/>
          </cell>
        </row>
        <row r="30255">
          <cell r="O30255" t="str">
            <v/>
          </cell>
        </row>
        <row r="30256">
          <cell r="O30256" t="str">
            <v/>
          </cell>
        </row>
        <row r="30257">
          <cell r="O30257" t="str">
            <v/>
          </cell>
        </row>
        <row r="30258">
          <cell r="O30258" t="str">
            <v/>
          </cell>
        </row>
        <row r="30259">
          <cell r="O30259" t="str">
            <v/>
          </cell>
        </row>
        <row r="30260">
          <cell r="O30260" t="str">
            <v/>
          </cell>
        </row>
        <row r="30261">
          <cell r="O30261" t="str">
            <v/>
          </cell>
        </row>
        <row r="30262">
          <cell r="O30262" t="str">
            <v/>
          </cell>
        </row>
        <row r="30263">
          <cell r="O30263" t="str">
            <v/>
          </cell>
        </row>
        <row r="30264">
          <cell r="O30264" t="str">
            <v/>
          </cell>
        </row>
        <row r="30265">
          <cell r="O30265" t="str">
            <v/>
          </cell>
        </row>
        <row r="30266">
          <cell r="O30266" t="str">
            <v/>
          </cell>
        </row>
        <row r="30267">
          <cell r="O30267" t="str">
            <v/>
          </cell>
        </row>
        <row r="30268">
          <cell r="O30268" t="str">
            <v/>
          </cell>
        </row>
        <row r="30269">
          <cell r="O30269" t="str">
            <v/>
          </cell>
        </row>
        <row r="30270">
          <cell r="O30270" t="str">
            <v/>
          </cell>
        </row>
        <row r="30271">
          <cell r="O30271" t="str">
            <v/>
          </cell>
        </row>
        <row r="30272">
          <cell r="O30272" t="str">
            <v/>
          </cell>
        </row>
        <row r="30273">
          <cell r="O30273" t="str">
            <v/>
          </cell>
        </row>
        <row r="30274">
          <cell r="O30274" t="str">
            <v/>
          </cell>
        </row>
        <row r="30275">
          <cell r="O30275" t="str">
            <v/>
          </cell>
        </row>
        <row r="30276">
          <cell r="O30276" t="str">
            <v/>
          </cell>
        </row>
        <row r="30277">
          <cell r="O30277" t="str">
            <v/>
          </cell>
        </row>
        <row r="30278">
          <cell r="O30278" t="str">
            <v/>
          </cell>
        </row>
        <row r="30279">
          <cell r="O30279" t="str">
            <v/>
          </cell>
        </row>
        <row r="30280">
          <cell r="O30280" t="str">
            <v/>
          </cell>
        </row>
        <row r="30281">
          <cell r="O30281" t="str">
            <v/>
          </cell>
        </row>
        <row r="30282">
          <cell r="O30282" t="str">
            <v/>
          </cell>
        </row>
        <row r="30283">
          <cell r="O30283" t="str">
            <v/>
          </cell>
        </row>
        <row r="30284">
          <cell r="O30284" t="str">
            <v/>
          </cell>
        </row>
        <row r="30285">
          <cell r="O30285" t="str">
            <v/>
          </cell>
        </row>
        <row r="30286">
          <cell r="O30286" t="str">
            <v/>
          </cell>
        </row>
        <row r="30287">
          <cell r="O30287" t="str">
            <v/>
          </cell>
        </row>
        <row r="30288">
          <cell r="O30288" t="str">
            <v/>
          </cell>
        </row>
        <row r="30289">
          <cell r="O30289" t="str">
            <v/>
          </cell>
        </row>
        <row r="30290">
          <cell r="O30290" t="str">
            <v/>
          </cell>
        </row>
        <row r="30291">
          <cell r="O30291" t="str">
            <v/>
          </cell>
        </row>
        <row r="30292">
          <cell r="O30292" t="str">
            <v/>
          </cell>
        </row>
        <row r="30293">
          <cell r="O30293" t="str">
            <v/>
          </cell>
        </row>
        <row r="30294">
          <cell r="O30294" t="str">
            <v/>
          </cell>
        </row>
        <row r="30295">
          <cell r="O30295" t="str">
            <v/>
          </cell>
        </row>
        <row r="30296">
          <cell r="O30296" t="str">
            <v/>
          </cell>
        </row>
        <row r="30297">
          <cell r="O30297" t="str">
            <v/>
          </cell>
        </row>
        <row r="30298">
          <cell r="O30298" t="str">
            <v/>
          </cell>
        </row>
        <row r="30299">
          <cell r="O30299" t="str">
            <v/>
          </cell>
        </row>
        <row r="30300">
          <cell r="O30300" t="str">
            <v/>
          </cell>
        </row>
        <row r="30301">
          <cell r="O30301" t="str">
            <v/>
          </cell>
        </row>
        <row r="30302">
          <cell r="O30302" t="str">
            <v/>
          </cell>
        </row>
        <row r="30303">
          <cell r="O30303" t="str">
            <v/>
          </cell>
        </row>
        <row r="30304">
          <cell r="O30304" t="str">
            <v/>
          </cell>
        </row>
        <row r="30305">
          <cell r="O30305" t="str">
            <v/>
          </cell>
        </row>
        <row r="30306">
          <cell r="O30306" t="str">
            <v/>
          </cell>
        </row>
        <row r="30307">
          <cell r="O30307" t="str">
            <v/>
          </cell>
        </row>
        <row r="30308">
          <cell r="O30308" t="str">
            <v/>
          </cell>
        </row>
        <row r="30309">
          <cell r="O30309" t="str">
            <v/>
          </cell>
        </row>
        <row r="30310">
          <cell r="O30310" t="str">
            <v/>
          </cell>
        </row>
        <row r="30311">
          <cell r="O30311" t="str">
            <v/>
          </cell>
        </row>
        <row r="30312">
          <cell r="O30312" t="str">
            <v/>
          </cell>
        </row>
        <row r="30313">
          <cell r="O30313" t="str">
            <v/>
          </cell>
        </row>
        <row r="30314">
          <cell r="O30314" t="str">
            <v/>
          </cell>
        </row>
        <row r="30315">
          <cell r="O30315" t="str">
            <v/>
          </cell>
        </row>
        <row r="30316">
          <cell r="O30316" t="str">
            <v/>
          </cell>
        </row>
        <row r="30317">
          <cell r="O30317" t="str">
            <v/>
          </cell>
        </row>
        <row r="30318">
          <cell r="O30318" t="str">
            <v/>
          </cell>
        </row>
        <row r="30319">
          <cell r="O30319" t="str">
            <v/>
          </cell>
        </row>
        <row r="30320">
          <cell r="O30320" t="str">
            <v/>
          </cell>
        </row>
        <row r="30321">
          <cell r="O30321" t="str">
            <v/>
          </cell>
        </row>
        <row r="30322">
          <cell r="O30322" t="str">
            <v/>
          </cell>
        </row>
        <row r="30323">
          <cell r="O30323" t="str">
            <v/>
          </cell>
        </row>
        <row r="30324">
          <cell r="O30324" t="str">
            <v/>
          </cell>
        </row>
        <row r="30325">
          <cell r="O30325" t="str">
            <v/>
          </cell>
        </row>
        <row r="30326">
          <cell r="O30326" t="str">
            <v/>
          </cell>
        </row>
        <row r="30327">
          <cell r="O30327" t="str">
            <v/>
          </cell>
        </row>
        <row r="30328">
          <cell r="O30328" t="str">
            <v/>
          </cell>
        </row>
        <row r="30329">
          <cell r="O30329" t="str">
            <v/>
          </cell>
        </row>
        <row r="30330">
          <cell r="O30330" t="str">
            <v/>
          </cell>
        </row>
        <row r="30331">
          <cell r="O30331" t="str">
            <v/>
          </cell>
        </row>
        <row r="30332">
          <cell r="O30332" t="str">
            <v/>
          </cell>
        </row>
        <row r="30333">
          <cell r="O30333" t="str">
            <v/>
          </cell>
        </row>
        <row r="30334">
          <cell r="O30334" t="str">
            <v/>
          </cell>
        </row>
        <row r="30335">
          <cell r="O30335" t="str">
            <v/>
          </cell>
        </row>
        <row r="30336">
          <cell r="O30336" t="str">
            <v/>
          </cell>
        </row>
        <row r="30337">
          <cell r="O30337" t="str">
            <v/>
          </cell>
        </row>
        <row r="30338">
          <cell r="O30338" t="str">
            <v/>
          </cell>
        </row>
        <row r="30339">
          <cell r="O30339" t="str">
            <v/>
          </cell>
        </row>
        <row r="30340">
          <cell r="O30340" t="str">
            <v/>
          </cell>
        </row>
        <row r="30341">
          <cell r="O30341" t="str">
            <v/>
          </cell>
        </row>
        <row r="30342">
          <cell r="O30342" t="str">
            <v/>
          </cell>
        </row>
        <row r="30343">
          <cell r="O30343" t="str">
            <v/>
          </cell>
        </row>
        <row r="30344">
          <cell r="O30344" t="str">
            <v/>
          </cell>
        </row>
        <row r="30345">
          <cell r="O30345" t="str">
            <v/>
          </cell>
        </row>
        <row r="30346">
          <cell r="O30346" t="str">
            <v/>
          </cell>
        </row>
        <row r="30347">
          <cell r="O30347" t="str">
            <v/>
          </cell>
        </row>
        <row r="30348">
          <cell r="O30348" t="str">
            <v/>
          </cell>
        </row>
        <row r="30349">
          <cell r="O30349" t="str">
            <v/>
          </cell>
        </row>
        <row r="30350">
          <cell r="O30350" t="str">
            <v/>
          </cell>
        </row>
        <row r="30351">
          <cell r="O30351" t="str">
            <v/>
          </cell>
        </row>
        <row r="30352">
          <cell r="O30352" t="str">
            <v/>
          </cell>
        </row>
        <row r="30353">
          <cell r="O30353" t="str">
            <v/>
          </cell>
        </row>
        <row r="30354">
          <cell r="O30354" t="str">
            <v/>
          </cell>
        </row>
        <row r="30355">
          <cell r="O30355" t="str">
            <v/>
          </cell>
        </row>
        <row r="30356">
          <cell r="O30356" t="str">
            <v/>
          </cell>
        </row>
        <row r="30357">
          <cell r="O30357" t="str">
            <v/>
          </cell>
        </row>
        <row r="30358">
          <cell r="O30358" t="str">
            <v/>
          </cell>
        </row>
        <row r="30359">
          <cell r="O30359" t="str">
            <v/>
          </cell>
        </row>
        <row r="30360">
          <cell r="O30360" t="str">
            <v/>
          </cell>
        </row>
        <row r="30361">
          <cell r="O30361" t="str">
            <v/>
          </cell>
        </row>
        <row r="30362">
          <cell r="O30362" t="str">
            <v/>
          </cell>
        </row>
        <row r="30363">
          <cell r="O30363" t="str">
            <v/>
          </cell>
        </row>
        <row r="30364">
          <cell r="O30364" t="str">
            <v/>
          </cell>
        </row>
        <row r="30365">
          <cell r="O30365" t="str">
            <v/>
          </cell>
        </row>
        <row r="30366">
          <cell r="O30366" t="str">
            <v/>
          </cell>
        </row>
        <row r="30367">
          <cell r="O30367" t="str">
            <v/>
          </cell>
        </row>
        <row r="30368">
          <cell r="O30368" t="str">
            <v/>
          </cell>
        </row>
        <row r="30369">
          <cell r="O30369" t="str">
            <v/>
          </cell>
        </row>
        <row r="30370">
          <cell r="O30370" t="str">
            <v/>
          </cell>
        </row>
        <row r="30371">
          <cell r="O30371" t="str">
            <v/>
          </cell>
        </row>
        <row r="30372">
          <cell r="O30372" t="str">
            <v/>
          </cell>
        </row>
        <row r="30373">
          <cell r="O30373" t="str">
            <v/>
          </cell>
        </row>
        <row r="30374">
          <cell r="O30374" t="str">
            <v/>
          </cell>
        </row>
        <row r="30375">
          <cell r="O30375" t="str">
            <v/>
          </cell>
        </row>
        <row r="30376">
          <cell r="O30376" t="str">
            <v/>
          </cell>
        </row>
        <row r="30377">
          <cell r="O30377" t="str">
            <v/>
          </cell>
        </row>
        <row r="30378">
          <cell r="O30378" t="str">
            <v/>
          </cell>
        </row>
        <row r="30379">
          <cell r="O30379" t="str">
            <v/>
          </cell>
        </row>
        <row r="30380">
          <cell r="O30380" t="str">
            <v/>
          </cell>
        </row>
        <row r="30381">
          <cell r="O30381" t="str">
            <v/>
          </cell>
        </row>
        <row r="30382">
          <cell r="O30382" t="str">
            <v/>
          </cell>
        </row>
        <row r="30383">
          <cell r="O30383" t="str">
            <v/>
          </cell>
        </row>
        <row r="30384">
          <cell r="O30384" t="str">
            <v/>
          </cell>
        </row>
        <row r="30385">
          <cell r="O30385" t="str">
            <v/>
          </cell>
        </row>
        <row r="30386">
          <cell r="O30386" t="str">
            <v/>
          </cell>
        </row>
        <row r="30387">
          <cell r="O30387" t="str">
            <v/>
          </cell>
        </row>
        <row r="30388">
          <cell r="O30388" t="str">
            <v/>
          </cell>
        </row>
        <row r="30389">
          <cell r="O30389" t="str">
            <v/>
          </cell>
        </row>
        <row r="30390">
          <cell r="O30390" t="str">
            <v/>
          </cell>
        </row>
        <row r="30391">
          <cell r="O30391" t="str">
            <v/>
          </cell>
        </row>
        <row r="30392">
          <cell r="O30392" t="str">
            <v/>
          </cell>
        </row>
        <row r="30393">
          <cell r="O30393" t="str">
            <v/>
          </cell>
        </row>
        <row r="30394">
          <cell r="O30394" t="str">
            <v/>
          </cell>
        </row>
        <row r="30395">
          <cell r="O30395" t="str">
            <v/>
          </cell>
        </row>
        <row r="30396">
          <cell r="O30396" t="str">
            <v/>
          </cell>
        </row>
        <row r="30397">
          <cell r="O30397" t="str">
            <v/>
          </cell>
        </row>
        <row r="30398">
          <cell r="O30398" t="str">
            <v/>
          </cell>
        </row>
        <row r="30399">
          <cell r="O30399" t="str">
            <v/>
          </cell>
        </row>
        <row r="30400">
          <cell r="O30400" t="str">
            <v/>
          </cell>
        </row>
        <row r="30401">
          <cell r="O30401" t="str">
            <v/>
          </cell>
        </row>
        <row r="30402">
          <cell r="O30402" t="str">
            <v/>
          </cell>
        </row>
        <row r="30403">
          <cell r="O30403" t="str">
            <v/>
          </cell>
        </row>
        <row r="30404">
          <cell r="O30404" t="str">
            <v/>
          </cell>
        </row>
        <row r="30405">
          <cell r="O30405" t="str">
            <v/>
          </cell>
        </row>
        <row r="30406">
          <cell r="O30406" t="str">
            <v/>
          </cell>
        </row>
        <row r="30407">
          <cell r="O30407" t="str">
            <v/>
          </cell>
        </row>
        <row r="30408">
          <cell r="O30408" t="str">
            <v/>
          </cell>
        </row>
        <row r="30409">
          <cell r="O30409" t="str">
            <v/>
          </cell>
        </row>
        <row r="30410">
          <cell r="O30410" t="str">
            <v/>
          </cell>
        </row>
        <row r="30411">
          <cell r="O30411" t="str">
            <v/>
          </cell>
        </row>
        <row r="30412">
          <cell r="O30412" t="str">
            <v/>
          </cell>
        </row>
        <row r="30413">
          <cell r="O30413" t="str">
            <v/>
          </cell>
        </row>
        <row r="30414">
          <cell r="O30414" t="str">
            <v/>
          </cell>
        </row>
        <row r="30415">
          <cell r="O30415" t="str">
            <v/>
          </cell>
        </row>
        <row r="30416">
          <cell r="O30416" t="str">
            <v/>
          </cell>
        </row>
        <row r="30417">
          <cell r="O30417" t="str">
            <v/>
          </cell>
        </row>
        <row r="30418">
          <cell r="O30418" t="str">
            <v/>
          </cell>
        </row>
        <row r="30419">
          <cell r="O30419" t="str">
            <v/>
          </cell>
        </row>
        <row r="30420">
          <cell r="O30420" t="str">
            <v/>
          </cell>
        </row>
        <row r="30421">
          <cell r="O30421" t="str">
            <v/>
          </cell>
        </row>
        <row r="30422">
          <cell r="O30422" t="str">
            <v/>
          </cell>
        </row>
        <row r="30423">
          <cell r="O30423" t="str">
            <v/>
          </cell>
        </row>
        <row r="30424">
          <cell r="O30424" t="str">
            <v/>
          </cell>
        </row>
        <row r="30425">
          <cell r="O30425" t="str">
            <v/>
          </cell>
        </row>
        <row r="30426">
          <cell r="O30426" t="str">
            <v/>
          </cell>
        </row>
        <row r="30427">
          <cell r="O30427" t="str">
            <v/>
          </cell>
        </row>
        <row r="30428">
          <cell r="O30428" t="str">
            <v/>
          </cell>
        </row>
        <row r="30429">
          <cell r="O30429" t="str">
            <v/>
          </cell>
        </row>
        <row r="30430">
          <cell r="O30430" t="str">
            <v/>
          </cell>
        </row>
        <row r="30431">
          <cell r="O30431" t="str">
            <v/>
          </cell>
        </row>
        <row r="30432">
          <cell r="O30432" t="str">
            <v/>
          </cell>
        </row>
        <row r="30433">
          <cell r="O30433" t="str">
            <v/>
          </cell>
        </row>
        <row r="30434">
          <cell r="O30434" t="str">
            <v/>
          </cell>
        </row>
        <row r="30435">
          <cell r="O30435" t="str">
            <v/>
          </cell>
        </row>
        <row r="30436">
          <cell r="O30436" t="str">
            <v/>
          </cell>
        </row>
        <row r="30437">
          <cell r="O30437" t="str">
            <v/>
          </cell>
        </row>
        <row r="30438">
          <cell r="O30438" t="str">
            <v/>
          </cell>
        </row>
        <row r="30439">
          <cell r="O30439" t="str">
            <v/>
          </cell>
        </row>
        <row r="30440">
          <cell r="O30440" t="str">
            <v/>
          </cell>
        </row>
        <row r="30441">
          <cell r="O30441" t="str">
            <v/>
          </cell>
        </row>
        <row r="30442">
          <cell r="O30442" t="str">
            <v/>
          </cell>
        </row>
        <row r="30443">
          <cell r="O30443" t="str">
            <v/>
          </cell>
        </row>
        <row r="30444">
          <cell r="O30444" t="str">
            <v/>
          </cell>
        </row>
        <row r="30445">
          <cell r="O30445" t="str">
            <v/>
          </cell>
        </row>
        <row r="30446">
          <cell r="O30446" t="str">
            <v/>
          </cell>
        </row>
        <row r="30447">
          <cell r="O30447" t="str">
            <v/>
          </cell>
        </row>
        <row r="30448">
          <cell r="O30448" t="str">
            <v/>
          </cell>
        </row>
        <row r="30449">
          <cell r="O30449" t="str">
            <v/>
          </cell>
        </row>
        <row r="30450">
          <cell r="O30450" t="str">
            <v/>
          </cell>
        </row>
        <row r="30451">
          <cell r="O30451" t="str">
            <v/>
          </cell>
        </row>
        <row r="30452">
          <cell r="O30452" t="str">
            <v/>
          </cell>
        </row>
        <row r="30453">
          <cell r="O30453" t="str">
            <v/>
          </cell>
        </row>
        <row r="30454">
          <cell r="O30454" t="str">
            <v/>
          </cell>
        </row>
        <row r="30455">
          <cell r="O30455" t="str">
            <v/>
          </cell>
        </row>
        <row r="30456">
          <cell r="O30456" t="str">
            <v/>
          </cell>
        </row>
        <row r="30457">
          <cell r="O30457" t="str">
            <v/>
          </cell>
        </row>
        <row r="30458">
          <cell r="O30458" t="str">
            <v/>
          </cell>
        </row>
        <row r="30459">
          <cell r="O30459" t="str">
            <v/>
          </cell>
        </row>
        <row r="30460">
          <cell r="O30460" t="str">
            <v/>
          </cell>
        </row>
        <row r="30461">
          <cell r="O30461" t="str">
            <v/>
          </cell>
        </row>
        <row r="30462">
          <cell r="O30462" t="str">
            <v/>
          </cell>
        </row>
        <row r="30463">
          <cell r="O30463" t="str">
            <v/>
          </cell>
        </row>
        <row r="30464">
          <cell r="O30464" t="str">
            <v/>
          </cell>
        </row>
        <row r="30465">
          <cell r="O30465" t="str">
            <v/>
          </cell>
        </row>
        <row r="30466">
          <cell r="O30466" t="str">
            <v/>
          </cell>
        </row>
        <row r="30467">
          <cell r="O30467" t="str">
            <v/>
          </cell>
        </row>
        <row r="30468">
          <cell r="O30468" t="str">
            <v/>
          </cell>
        </row>
        <row r="30469">
          <cell r="O30469" t="str">
            <v/>
          </cell>
        </row>
        <row r="30470">
          <cell r="O30470" t="str">
            <v/>
          </cell>
        </row>
        <row r="30471">
          <cell r="O30471" t="str">
            <v/>
          </cell>
        </row>
        <row r="30472">
          <cell r="O30472" t="str">
            <v/>
          </cell>
        </row>
        <row r="30473">
          <cell r="O30473" t="str">
            <v/>
          </cell>
        </row>
        <row r="30474">
          <cell r="O30474" t="str">
            <v/>
          </cell>
        </row>
        <row r="30475">
          <cell r="O30475" t="str">
            <v/>
          </cell>
        </row>
        <row r="30476">
          <cell r="O30476" t="str">
            <v/>
          </cell>
        </row>
        <row r="30477">
          <cell r="O30477" t="str">
            <v/>
          </cell>
        </row>
        <row r="30478">
          <cell r="O30478" t="str">
            <v/>
          </cell>
        </row>
        <row r="30479">
          <cell r="O30479" t="str">
            <v/>
          </cell>
        </row>
        <row r="30480">
          <cell r="O30480" t="str">
            <v/>
          </cell>
        </row>
        <row r="30481">
          <cell r="O30481" t="str">
            <v/>
          </cell>
        </row>
        <row r="30482">
          <cell r="O30482" t="str">
            <v/>
          </cell>
        </row>
        <row r="30483">
          <cell r="O30483" t="str">
            <v/>
          </cell>
        </row>
        <row r="30484">
          <cell r="O30484" t="str">
            <v/>
          </cell>
        </row>
        <row r="30485">
          <cell r="O30485" t="str">
            <v/>
          </cell>
        </row>
        <row r="30486">
          <cell r="O30486" t="str">
            <v/>
          </cell>
        </row>
        <row r="30487">
          <cell r="O30487" t="str">
            <v/>
          </cell>
        </row>
        <row r="30488">
          <cell r="O30488" t="str">
            <v/>
          </cell>
        </row>
        <row r="30489">
          <cell r="O30489" t="str">
            <v/>
          </cell>
        </row>
        <row r="30490">
          <cell r="O30490" t="str">
            <v/>
          </cell>
        </row>
        <row r="30491">
          <cell r="O30491" t="str">
            <v/>
          </cell>
        </row>
        <row r="30492">
          <cell r="O30492" t="str">
            <v/>
          </cell>
        </row>
        <row r="30493">
          <cell r="O30493" t="str">
            <v/>
          </cell>
        </row>
        <row r="30494">
          <cell r="O30494" t="str">
            <v/>
          </cell>
        </row>
        <row r="30495">
          <cell r="O30495" t="str">
            <v/>
          </cell>
        </row>
        <row r="30496">
          <cell r="O30496" t="str">
            <v/>
          </cell>
        </row>
        <row r="30497">
          <cell r="O30497" t="str">
            <v/>
          </cell>
        </row>
        <row r="30498">
          <cell r="O30498" t="str">
            <v/>
          </cell>
        </row>
        <row r="30499">
          <cell r="O30499" t="str">
            <v/>
          </cell>
        </row>
        <row r="30500">
          <cell r="O30500" t="str">
            <v/>
          </cell>
        </row>
        <row r="30501">
          <cell r="O30501" t="str">
            <v/>
          </cell>
        </row>
        <row r="30502">
          <cell r="O30502" t="str">
            <v/>
          </cell>
        </row>
        <row r="30503">
          <cell r="O30503" t="str">
            <v/>
          </cell>
        </row>
        <row r="30504">
          <cell r="O30504" t="str">
            <v/>
          </cell>
        </row>
        <row r="30505">
          <cell r="O30505" t="str">
            <v/>
          </cell>
        </row>
        <row r="30506">
          <cell r="O30506" t="str">
            <v/>
          </cell>
        </row>
        <row r="30507">
          <cell r="O30507" t="str">
            <v/>
          </cell>
        </row>
        <row r="30508">
          <cell r="O30508" t="str">
            <v/>
          </cell>
        </row>
        <row r="30509">
          <cell r="O30509" t="str">
            <v/>
          </cell>
        </row>
        <row r="30510">
          <cell r="O30510" t="str">
            <v/>
          </cell>
        </row>
        <row r="30511">
          <cell r="O30511" t="str">
            <v/>
          </cell>
        </row>
        <row r="30512">
          <cell r="O30512" t="str">
            <v/>
          </cell>
        </row>
        <row r="30513">
          <cell r="O30513" t="str">
            <v/>
          </cell>
        </row>
        <row r="30514">
          <cell r="O30514" t="str">
            <v/>
          </cell>
        </row>
        <row r="30515">
          <cell r="O30515" t="str">
            <v/>
          </cell>
        </row>
        <row r="30516">
          <cell r="O30516" t="str">
            <v/>
          </cell>
        </row>
        <row r="30517">
          <cell r="O30517" t="str">
            <v/>
          </cell>
        </row>
        <row r="30518">
          <cell r="O30518" t="str">
            <v/>
          </cell>
        </row>
        <row r="30519">
          <cell r="O30519" t="str">
            <v/>
          </cell>
        </row>
        <row r="30520">
          <cell r="O30520" t="str">
            <v/>
          </cell>
        </row>
        <row r="30521">
          <cell r="O30521" t="str">
            <v/>
          </cell>
        </row>
        <row r="30522">
          <cell r="O30522" t="str">
            <v/>
          </cell>
        </row>
        <row r="30523">
          <cell r="O30523" t="str">
            <v/>
          </cell>
        </row>
        <row r="30524">
          <cell r="O30524" t="str">
            <v/>
          </cell>
        </row>
        <row r="30525">
          <cell r="O30525" t="str">
            <v/>
          </cell>
        </row>
        <row r="30526">
          <cell r="O30526" t="str">
            <v/>
          </cell>
        </row>
        <row r="30527">
          <cell r="O30527" t="str">
            <v/>
          </cell>
        </row>
        <row r="30528">
          <cell r="O30528" t="str">
            <v/>
          </cell>
        </row>
        <row r="30529">
          <cell r="O30529" t="str">
            <v/>
          </cell>
        </row>
        <row r="30530">
          <cell r="O30530" t="str">
            <v/>
          </cell>
        </row>
        <row r="30531">
          <cell r="O30531" t="str">
            <v/>
          </cell>
        </row>
        <row r="30532">
          <cell r="O30532" t="str">
            <v/>
          </cell>
        </row>
        <row r="30533">
          <cell r="O30533" t="str">
            <v/>
          </cell>
        </row>
        <row r="30534">
          <cell r="O30534" t="str">
            <v/>
          </cell>
        </row>
        <row r="30535">
          <cell r="O30535" t="str">
            <v/>
          </cell>
        </row>
        <row r="30536">
          <cell r="O30536" t="str">
            <v/>
          </cell>
        </row>
        <row r="30537">
          <cell r="O30537" t="str">
            <v/>
          </cell>
        </row>
        <row r="30538">
          <cell r="O30538" t="str">
            <v/>
          </cell>
        </row>
        <row r="30539">
          <cell r="O30539" t="str">
            <v/>
          </cell>
        </row>
        <row r="30540">
          <cell r="O30540" t="str">
            <v/>
          </cell>
        </row>
        <row r="30541">
          <cell r="O30541" t="str">
            <v/>
          </cell>
        </row>
        <row r="30542">
          <cell r="O30542" t="str">
            <v/>
          </cell>
        </row>
        <row r="30543">
          <cell r="O30543" t="str">
            <v/>
          </cell>
        </row>
        <row r="30544">
          <cell r="O30544" t="str">
            <v/>
          </cell>
        </row>
        <row r="30545">
          <cell r="O30545" t="str">
            <v/>
          </cell>
        </row>
        <row r="30546">
          <cell r="O30546" t="str">
            <v/>
          </cell>
        </row>
        <row r="30547">
          <cell r="O30547" t="str">
            <v/>
          </cell>
        </row>
        <row r="30548">
          <cell r="O30548" t="str">
            <v/>
          </cell>
        </row>
        <row r="30549">
          <cell r="O30549" t="str">
            <v/>
          </cell>
        </row>
        <row r="30550">
          <cell r="O30550" t="str">
            <v/>
          </cell>
        </row>
        <row r="30551">
          <cell r="O30551" t="str">
            <v/>
          </cell>
        </row>
        <row r="30552">
          <cell r="O30552" t="str">
            <v/>
          </cell>
        </row>
        <row r="30553">
          <cell r="O30553" t="str">
            <v/>
          </cell>
        </row>
        <row r="30554">
          <cell r="O30554" t="str">
            <v/>
          </cell>
        </row>
        <row r="30555">
          <cell r="O30555" t="str">
            <v/>
          </cell>
        </row>
        <row r="30556">
          <cell r="O30556" t="str">
            <v/>
          </cell>
        </row>
        <row r="30557">
          <cell r="O30557" t="str">
            <v/>
          </cell>
        </row>
        <row r="30558">
          <cell r="O30558" t="str">
            <v/>
          </cell>
        </row>
        <row r="30559">
          <cell r="O30559" t="str">
            <v/>
          </cell>
        </row>
        <row r="30560">
          <cell r="O30560" t="str">
            <v/>
          </cell>
        </row>
        <row r="30561">
          <cell r="O30561" t="str">
            <v/>
          </cell>
        </row>
        <row r="30562">
          <cell r="O30562" t="str">
            <v/>
          </cell>
        </row>
        <row r="30563">
          <cell r="O30563" t="str">
            <v/>
          </cell>
        </row>
        <row r="30564">
          <cell r="O30564" t="str">
            <v/>
          </cell>
        </row>
        <row r="30565">
          <cell r="O30565" t="str">
            <v/>
          </cell>
        </row>
        <row r="30566">
          <cell r="O30566" t="str">
            <v/>
          </cell>
        </row>
        <row r="30567">
          <cell r="O30567" t="str">
            <v/>
          </cell>
        </row>
        <row r="30568">
          <cell r="O30568" t="str">
            <v/>
          </cell>
        </row>
        <row r="30569">
          <cell r="O30569" t="str">
            <v/>
          </cell>
        </row>
        <row r="30570">
          <cell r="O30570" t="str">
            <v/>
          </cell>
        </row>
        <row r="30571">
          <cell r="O30571" t="str">
            <v/>
          </cell>
        </row>
        <row r="30572">
          <cell r="O30572" t="str">
            <v/>
          </cell>
        </row>
        <row r="30573">
          <cell r="O30573" t="str">
            <v/>
          </cell>
        </row>
        <row r="30574">
          <cell r="O30574" t="str">
            <v/>
          </cell>
        </row>
        <row r="30575">
          <cell r="O30575" t="str">
            <v/>
          </cell>
        </row>
        <row r="30576">
          <cell r="O30576" t="str">
            <v/>
          </cell>
        </row>
        <row r="30577">
          <cell r="O30577" t="str">
            <v/>
          </cell>
        </row>
        <row r="30578">
          <cell r="O30578" t="str">
            <v/>
          </cell>
        </row>
        <row r="30579">
          <cell r="O30579" t="str">
            <v/>
          </cell>
        </row>
        <row r="30580">
          <cell r="O30580" t="str">
            <v/>
          </cell>
        </row>
        <row r="30581">
          <cell r="O30581" t="str">
            <v/>
          </cell>
        </row>
        <row r="30582">
          <cell r="O30582" t="str">
            <v/>
          </cell>
        </row>
        <row r="30583">
          <cell r="O30583" t="str">
            <v/>
          </cell>
        </row>
        <row r="30584">
          <cell r="O30584" t="str">
            <v/>
          </cell>
        </row>
        <row r="30585">
          <cell r="O30585" t="str">
            <v/>
          </cell>
        </row>
        <row r="30586">
          <cell r="O30586" t="str">
            <v/>
          </cell>
        </row>
        <row r="30587">
          <cell r="O30587" t="str">
            <v/>
          </cell>
        </row>
        <row r="30588">
          <cell r="O30588" t="str">
            <v/>
          </cell>
        </row>
        <row r="30589">
          <cell r="O30589" t="str">
            <v/>
          </cell>
        </row>
        <row r="30590">
          <cell r="O30590" t="str">
            <v/>
          </cell>
        </row>
        <row r="30591">
          <cell r="O30591" t="str">
            <v/>
          </cell>
        </row>
        <row r="30592">
          <cell r="O30592" t="str">
            <v/>
          </cell>
        </row>
        <row r="30593">
          <cell r="O30593" t="str">
            <v/>
          </cell>
        </row>
        <row r="30594">
          <cell r="O30594" t="str">
            <v/>
          </cell>
        </row>
        <row r="30595">
          <cell r="O30595" t="str">
            <v/>
          </cell>
        </row>
        <row r="30596">
          <cell r="O30596" t="str">
            <v/>
          </cell>
        </row>
        <row r="30597">
          <cell r="O30597" t="str">
            <v/>
          </cell>
        </row>
        <row r="30598">
          <cell r="O30598" t="str">
            <v/>
          </cell>
        </row>
        <row r="30599">
          <cell r="O30599" t="str">
            <v/>
          </cell>
        </row>
        <row r="30600">
          <cell r="O30600" t="str">
            <v/>
          </cell>
        </row>
        <row r="30601">
          <cell r="O30601" t="str">
            <v/>
          </cell>
        </row>
        <row r="30602">
          <cell r="O30602" t="str">
            <v/>
          </cell>
        </row>
        <row r="30603">
          <cell r="O30603" t="str">
            <v/>
          </cell>
        </row>
        <row r="30604">
          <cell r="O30604" t="str">
            <v/>
          </cell>
        </row>
        <row r="30605">
          <cell r="O30605" t="str">
            <v/>
          </cell>
        </row>
        <row r="30606">
          <cell r="O30606" t="str">
            <v/>
          </cell>
        </row>
        <row r="30607">
          <cell r="O30607" t="str">
            <v/>
          </cell>
        </row>
        <row r="30608">
          <cell r="O30608" t="str">
            <v/>
          </cell>
        </row>
        <row r="30609">
          <cell r="O30609" t="str">
            <v/>
          </cell>
        </row>
        <row r="30610">
          <cell r="O30610" t="str">
            <v/>
          </cell>
        </row>
        <row r="30611">
          <cell r="O30611" t="str">
            <v/>
          </cell>
        </row>
        <row r="30612">
          <cell r="O30612" t="str">
            <v/>
          </cell>
        </row>
        <row r="30613">
          <cell r="O30613" t="str">
            <v/>
          </cell>
        </row>
        <row r="30614">
          <cell r="O30614" t="str">
            <v/>
          </cell>
        </row>
        <row r="30615">
          <cell r="O30615" t="str">
            <v/>
          </cell>
        </row>
        <row r="30616">
          <cell r="O30616" t="str">
            <v/>
          </cell>
        </row>
        <row r="30617">
          <cell r="O30617" t="str">
            <v/>
          </cell>
        </row>
        <row r="30618">
          <cell r="O30618" t="str">
            <v/>
          </cell>
        </row>
        <row r="30619">
          <cell r="O30619" t="str">
            <v/>
          </cell>
        </row>
        <row r="30620">
          <cell r="O30620" t="str">
            <v/>
          </cell>
        </row>
        <row r="30621">
          <cell r="O30621" t="str">
            <v/>
          </cell>
        </row>
        <row r="30622">
          <cell r="O30622" t="str">
            <v/>
          </cell>
        </row>
        <row r="30623">
          <cell r="O30623" t="str">
            <v/>
          </cell>
        </row>
        <row r="30624">
          <cell r="O30624" t="str">
            <v/>
          </cell>
        </row>
        <row r="30625">
          <cell r="O30625" t="str">
            <v/>
          </cell>
        </row>
        <row r="30626">
          <cell r="O30626" t="str">
            <v/>
          </cell>
        </row>
        <row r="30627">
          <cell r="O30627" t="str">
            <v/>
          </cell>
        </row>
        <row r="30628">
          <cell r="O30628" t="str">
            <v/>
          </cell>
        </row>
        <row r="30629">
          <cell r="O30629" t="str">
            <v/>
          </cell>
        </row>
        <row r="30630">
          <cell r="O30630" t="str">
            <v/>
          </cell>
        </row>
        <row r="30631">
          <cell r="O30631" t="str">
            <v/>
          </cell>
        </row>
        <row r="30632">
          <cell r="O30632" t="str">
            <v/>
          </cell>
        </row>
        <row r="30633">
          <cell r="O30633" t="str">
            <v/>
          </cell>
        </row>
        <row r="30634">
          <cell r="O30634" t="str">
            <v/>
          </cell>
        </row>
        <row r="30635">
          <cell r="O30635" t="str">
            <v/>
          </cell>
        </row>
        <row r="30636">
          <cell r="O30636" t="str">
            <v/>
          </cell>
        </row>
        <row r="30637">
          <cell r="O30637" t="str">
            <v/>
          </cell>
        </row>
        <row r="30638">
          <cell r="O30638" t="str">
            <v/>
          </cell>
        </row>
        <row r="30639">
          <cell r="O30639" t="str">
            <v/>
          </cell>
        </row>
        <row r="30640">
          <cell r="O30640" t="str">
            <v/>
          </cell>
        </row>
        <row r="30641">
          <cell r="O30641" t="str">
            <v/>
          </cell>
        </row>
        <row r="30642">
          <cell r="O30642" t="str">
            <v/>
          </cell>
        </row>
        <row r="30643">
          <cell r="O30643" t="str">
            <v/>
          </cell>
        </row>
        <row r="30644">
          <cell r="O30644" t="str">
            <v/>
          </cell>
        </row>
        <row r="30645">
          <cell r="O30645" t="str">
            <v/>
          </cell>
        </row>
        <row r="30646">
          <cell r="O30646" t="str">
            <v/>
          </cell>
        </row>
        <row r="30647">
          <cell r="O30647" t="str">
            <v/>
          </cell>
        </row>
        <row r="30648">
          <cell r="O30648" t="str">
            <v/>
          </cell>
        </row>
        <row r="30649">
          <cell r="O30649" t="str">
            <v/>
          </cell>
        </row>
        <row r="30650">
          <cell r="O30650" t="str">
            <v/>
          </cell>
        </row>
        <row r="30651">
          <cell r="O30651" t="str">
            <v/>
          </cell>
        </row>
        <row r="30652">
          <cell r="O30652" t="str">
            <v/>
          </cell>
        </row>
        <row r="30653">
          <cell r="O30653" t="str">
            <v/>
          </cell>
        </row>
        <row r="30654">
          <cell r="O30654" t="str">
            <v/>
          </cell>
        </row>
        <row r="30655">
          <cell r="O30655" t="str">
            <v/>
          </cell>
        </row>
        <row r="30656">
          <cell r="O30656" t="str">
            <v/>
          </cell>
        </row>
        <row r="30657">
          <cell r="O30657" t="str">
            <v/>
          </cell>
        </row>
        <row r="30658">
          <cell r="O30658" t="str">
            <v/>
          </cell>
        </row>
        <row r="30659">
          <cell r="O30659" t="str">
            <v/>
          </cell>
        </row>
        <row r="30660">
          <cell r="O30660" t="str">
            <v/>
          </cell>
        </row>
        <row r="30661">
          <cell r="O30661" t="str">
            <v/>
          </cell>
        </row>
        <row r="30662">
          <cell r="O30662" t="str">
            <v/>
          </cell>
        </row>
        <row r="30663">
          <cell r="O30663" t="str">
            <v/>
          </cell>
        </row>
        <row r="30664">
          <cell r="O30664" t="str">
            <v/>
          </cell>
        </row>
        <row r="30665">
          <cell r="O30665" t="str">
            <v/>
          </cell>
        </row>
        <row r="30666">
          <cell r="O30666" t="str">
            <v/>
          </cell>
        </row>
        <row r="30667">
          <cell r="O30667" t="str">
            <v/>
          </cell>
        </row>
        <row r="30668">
          <cell r="O30668" t="str">
            <v/>
          </cell>
        </row>
        <row r="30669">
          <cell r="O30669" t="str">
            <v/>
          </cell>
        </row>
        <row r="30670">
          <cell r="O30670" t="str">
            <v/>
          </cell>
        </row>
        <row r="30671">
          <cell r="O30671" t="str">
            <v/>
          </cell>
        </row>
        <row r="30672">
          <cell r="O30672" t="str">
            <v/>
          </cell>
        </row>
        <row r="30673">
          <cell r="O30673" t="str">
            <v/>
          </cell>
        </row>
        <row r="30674">
          <cell r="O30674" t="str">
            <v/>
          </cell>
        </row>
        <row r="30675">
          <cell r="O30675" t="str">
            <v/>
          </cell>
        </row>
        <row r="30676">
          <cell r="O30676" t="str">
            <v/>
          </cell>
        </row>
        <row r="30677">
          <cell r="O30677" t="str">
            <v/>
          </cell>
        </row>
        <row r="30678">
          <cell r="O30678" t="str">
            <v/>
          </cell>
        </row>
        <row r="30679">
          <cell r="O30679" t="str">
            <v/>
          </cell>
        </row>
        <row r="30680">
          <cell r="O30680" t="str">
            <v/>
          </cell>
        </row>
        <row r="30681">
          <cell r="O30681" t="str">
            <v/>
          </cell>
        </row>
        <row r="30682">
          <cell r="O30682" t="str">
            <v/>
          </cell>
        </row>
        <row r="30683">
          <cell r="O30683" t="str">
            <v/>
          </cell>
        </row>
        <row r="30684">
          <cell r="O30684" t="str">
            <v/>
          </cell>
        </row>
        <row r="30685">
          <cell r="O30685" t="str">
            <v/>
          </cell>
        </row>
        <row r="30686">
          <cell r="O30686" t="str">
            <v/>
          </cell>
        </row>
        <row r="30687">
          <cell r="O30687" t="str">
            <v/>
          </cell>
        </row>
        <row r="30688">
          <cell r="O30688" t="str">
            <v/>
          </cell>
        </row>
        <row r="30689">
          <cell r="O30689" t="str">
            <v/>
          </cell>
        </row>
        <row r="30690">
          <cell r="O30690" t="str">
            <v/>
          </cell>
        </row>
        <row r="30691">
          <cell r="O30691" t="str">
            <v/>
          </cell>
        </row>
        <row r="30692">
          <cell r="O30692" t="str">
            <v/>
          </cell>
        </row>
        <row r="30693">
          <cell r="O30693" t="str">
            <v/>
          </cell>
        </row>
        <row r="30694">
          <cell r="O30694" t="str">
            <v/>
          </cell>
        </row>
        <row r="30695">
          <cell r="O30695" t="str">
            <v/>
          </cell>
        </row>
        <row r="30696">
          <cell r="O30696" t="str">
            <v/>
          </cell>
        </row>
        <row r="30697">
          <cell r="O30697" t="str">
            <v/>
          </cell>
        </row>
        <row r="30698">
          <cell r="O30698" t="str">
            <v/>
          </cell>
        </row>
        <row r="30699">
          <cell r="O30699" t="str">
            <v/>
          </cell>
        </row>
        <row r="30700">
          <cell r="O30700" t="str">
            <v/>
          </cell>
        </row>
        <row r="30701">
          <cell r="O30701" t="str">
            <v/>
          </cell>
        </row>
        <row r="30702">
          <cell r="O30702" t="str">
            <v/>
          </cell>
        </row>
        <row r="30703">
          <cell r="O30703" t="str">
            <v/>
          </cell>
        </row>
        <row r="30704">
          <cell r="O30704" t="str">
            <v/>
          </cell>
        </row>
        <row r="30705">
          <cell r="O30705" t="str">
            <v/>
          </cell>
        </row>
        <row r="30706">
          <cell r="O30706" t="str">
            <v/>
          </cell>
        </row>
        <row r="30707">
          <cell r="O30707" t="str">
            <v/>
          </cell>
        </row>
        <row r="30708">
          <cell r="O30708" t="str">
            <v/>
          </cell>
        </row>
        <row r="30709">
          <cell r="O30709" t="str">
            <v/>
          </cell>
        </row>
        <row r="30710">
          <cell r="O30710" t="str">
            <v/>
          </cell>
        </row>
        <row r="30711">
          <cell r="O30711" t="str">
            <v/>
          </cell>
        </row>
        <row r="30712">
          <cell r="O30712" t="str">
            <v/>
          </cell>
        </row>
        <row r="30713">
          <cell r="O30713" t="str">
            <v/>
          </cell>
        </row>
        <row r="30714">
          <cell r="O30714" t="str">
            <v/>
          </cell>
        </row>
        <row r="30715">
          <cell r="O30715" t="str">
            <v/>
          </cell>
        </row>
        <row r="30716">
          <cell r="O30716" t="str">
            <v/>
          </cell>
        </row>
        <row r="30717">
          <cell r="O30717" t="str">
            <v/>
          </cell>
        </row>
        <row r="30718">
          <cell r="O30718" t="str">
            <v/>
          </cell>
        </row>
        <row r="30719">
          <cell r="O30719" t="str">
            <v/>
          </cell>
        </row>
        <row r="30720">
          <cell r="O30720" t="str">
            <v/>
          </cell>
        </row>
        <row r="30721">
          <cell r="O30721" t="str">
            <v/>
          </cell>
        </row>
        <row r="30722">
          <cell r="O30722" t="str">
            <v/>
          </cell>
        </row>
        <row r="30723">
          <cell r="O30723" t="str">
            <v/>
          </cell>
        </row>
        <row r="30724">
          <cell r="O30724" t="str">
            <v/>
          </cell>
        </row>
        <row r="30725">
          <cell r="O30725" t="str">
            <v/>
          </cell>
        </row>
        <row r="30726">
          <cell r="O30726" t="str">
            <v/>
          </cell>
        </row>
        <row r="30727">
          <cell r="O30727" t="str">
            <v/>
          </cell>
        </row>
        <row r="30728">
          <cell r="O30728" t="str">
            <v/>
          </cell>
        </row>
        <row r="30729">
          <cell r="O30729" t="str">
            <v/>
          </cell>
        </row>
        <row r="30730">
          <cell r="O30730" t="str">
            <v/>
          </cell>
        </row>
        <row r="30731">
          <cell r="O30731" t="str">
            <v/>
          </cell>
        </row>
        <row r="30732">
          <cell r="O30732" t="str">
            <v/>
          </cell>
        </row>
        <row r="30733">
          <cell r="O30733" t="str">
            <v/>
          </cell>
        </row>
        <row r="30734">
          <cell r="O30734" t="str">
            <v/>
          </cell>
        </row>
        <row r="30735">
          <cell r="O30735" t="str">
            <v/>
          </cell>
        </row>
        <row r="30736">
          <cell r="O30736" t="str">
            <v/>
          </cell>
        </row>
        <row r="30737">
          <cell r="O30737" t="str">
            <v/>
          </cell>
        </row>
        <row r="30738">
          <cell r="O30738" t="str">
            <v/>
          </cell>
        </row>
        <row r="30739">
          <cell r="O30739" t="str">
            <v/>
          </cell>
        </row>
        <row r="30740">
          <cell r="O30740" t="str">
            <v/>
          </cell>
        </row>
        <row r="30741">
          <cell r="O30741" t="str">
            <v/>
          </cell>
        </row>
        <row r="30742">
          <cell r="O30742" t="str">
            <v/>
          </cell>
        </row>
        <row r="30743">
          <cell r="O30743" t="str">
            <v/>
          </cell>
        </row>
        <row r="30744">
          <cell r="O30744" t="str">
            <v/>
          </cell>
        </row>
        <row r="30745">
          <cell r="O30745" t="str">
            <v/>
          </cell>
        </row>
        <row r="30746">
          <cell r="O30746" t="str">
            <v/>
          </cell>
        </row>
        <row r="30747">
          <cell r="O30747" t="str">
            <v/>
          </cell>
        </row>
        <row r="30748">
          <cell r="O30748" t="str">
            <v/>
          </cell>
        </row>
        <row r="30749">
          <cell r="O30749" t="str">
            <v/>
          </cell>
        </row>
        <row r="30750">
          <cell r="O30750" t="str">
            <v/>
          </cell>
        </row>
        <row r="30751">
          <cell r="O30751" t="str">
            <v/>
          </cell>
        </row>
        <row r="30752">
          <cell r="O30752" t="str">
            <v/>
          </cell>
        </row>
        <row r="30753">
          <cell r="O30753" t="str">
            <v/>
          </cell>
        </row>
        <row r="30754">
          <cell r="O30754" t="str">
            <v/>
          </cell>
        </row>
        <row r="30755">
          <cell r="O30755" t="str">
            <v/>
          </cell>
        </row>
        <row r="30756">
          <cell r="O30756" t="str">
            <v/>
          </cell>
        </row>
        <row r="30757">
          <cell r="O30757" t="str">
            <v/>
          </cell>
        </row>
        <row r="30758">
          <cell r="O30758" t="str">
            <v/>
          </cell>
        </row>
        <row r="30759">
          <cell r="O30759" t="str">
            <v/>
          </cell>
        </row>
        <row r="30760">
          <cell r="O30760" t="str">
            <v/>
          </cell>
        </row>
        <row r="30761">
          <cell r="O30761" t="str">
            <v/>
          </cell>
        </row>
        <row r="30762">
          <cell r="O30762" t="str">
            <v/>
          </cell>
        </row>
        <row r="30763">
          <cell r="O30763" t="str">
            <v/>
          </cell>
        </row>
        <row r="30764">
          <cell r="O30764" t="str">
            <v/>
          </cell>
        </row>
        <row r="30765">
          <cell r="O30765" t="str">
            <v/>
          </cell>
        </row>
        <row r="30766">
          <cell r="O30766" t="str">
            <v/>
          </cell>
        </row>
        <row r="30767">
          <cell r="O30767" t="str">
            <v/>
          </cell>
        </row>
        <row r="30768">
          <cell r="O30768" t="str">
            <v/>
          </cell>
        </row>
        <row r="30769">
          <cell r="O30769" t="str">
            <v/>
          </cell>
        </row>
        <row r="30770">
          <cell r="O30770" t="str">
            <v/>
          </cell>
        </row>
        <row r="30771">
          <cell r="O30771" t="str">
            <v/>
          </cell>
        </row>
        <row r="30772">
          <cell r="O30772" t="str">
            <v/>
          </cell>
        </row>
        <row r="30773">
          <cell r="O30773" t="str">
            <v/>
          </cell>
        </row>
        <row r="30774">
          <cell r="O30774" t="str">
            <v/>
          </cell>
        </row>
        <row r="30775">
          <cell r="O30775" t="str">
            <v/>
          </cell>
        </row>
        <row r="30776">
          <cell r="O30776" t="str">
            <v/>
          </cell>
        </row>
        <row r="30777">
          <cell r="O30777" t="str">
            <v/>
          </cell>
        </row>
        <row r="30778">
          <cell r="O30778" t="str">
            <v/>
          </cell>
        </row>
        <row r="30779">
          <cell r="O30779" t="str">
            <v/>
          </cell>
        </row>
        <row r="30780">
          <cell r="O30780" t="str">
            <v/>
          </cell>
        </row>
        <row r="30781">
          <cell r="O30781" t="str">
            <v/>
          </cell>
        </row>
        <row r="30782">
          <cell r="O30782" t="str">
            <v/>
          </cell>
        </row>
        <row r="30783">
          <cell r="O30783" t="str">
            <v/>
          </cell>
        </row>
        <row r="30784">
          <cell r="O30784" t="str">
            <v/>
          </cell>
        </row>
        <row r="30785">
          <cell r="O30785" t="str">
            <v/>
          </cell>
        </row>
        <row r="30786">
          <cell r="O30786" t="str">
            <v/>
          </cell>
        </row>
        <row r="30787">
          <cell r="O30787" t="str">
            <v/>
          </cell>
        </row>
        <row r="30788">
          <cell r="O30788" t="str">
            <v/>
          </cell>
        </row>
        <row r="30789">
          <cell r="O30789" t="str">
            <v/>
          </cell>
        </row>
        <row r="30790">
          <cell r="O30790" t="str">
            <v/>
          </cell>
        </row>
        <row r="30791">
          <cell r="O30791" t="str">
            <v/>
          </cell>
        </row>
        <row r="30792">
          <cell r="O30792" t="str">
            <v/>
          </cell>
        </row>
        <row r="30793">
          <cell r="O30793" t="str">
            <v/>
          </cell>
        </row>
        <row r="30794">
          <cell r="O30794" t="str">
            <v/>
          </cell>
        </row>
        <row r="30795">
          <cell r="O30795" t="str">
            <v/>
          </cell>
        </row>
        <row r="30796">
          <cell r="O30796" t="str">
            <v/>
          </cell>
        </row>
        <row r="30797">
          <cell r="O30797" t="str">
            <v/>
          </cell>
        </row>
        <row r="30798">
          <cell r="O30798" t="str">
            <v/>
          </cell>
        </row>
        <row r="30799">
          <cell r="O30799" t="str">
            <v/>
          </cell>
        </row>
        <row r="30800">
          <cell r="O30800" t="str">
            <v/>
          </cell>
        </row>
        <row r="30801">
          <cell r="O30801" t="str">
            <v/>
          </cell>
        </row>
        <row r="30802">
          <cell r="O30802" t="str">
            <v/>
          </cell>
        </row>
        <row r="30803">
          <cell r="O30803" t="str">
            <v/>
          </cell>
        </row>
        <row r="30804">
          <cell r="O30804" t="str">
            <v/>
          </cell>
        </row>
        <row r="30805">
          <cell r="O30805" t="str">
            <v/>
          </cell>
        </row>
        <row r="30806">
          <cell r="O30806" t="str">
            <v/>
          </cell>
        </row>
        <row r="30807">
          <cell r="O30807" t="str">
            <v/>
          </cell>
        </row>
        <row r="30808">
          <cell r="O30808" t="str">
            <v/>
          </cell>
        </row>
        <row r="30809">
          <cell r="O30809" t="str">
            <v/>
          </cell>
        </row>
        <row r="30810">
          <cell r="O30810" t="str">
            <v/>
          </cell>
        </row>
        <row r="30811">
          <cell r="O30811" t="str">
            <v/>
          </cell>
        </row>
        <row r="30812">
          <cell r="O30812" t="str">
            <v/>
          </cell>
        </row>
        <row r="30813">
          <cell r="O30813" t="str">
            <v/>
          </cell>
        </row>
        <row r="30814">
          <cell r="O30814" t="str">
            <v/>
          </cell>
        </row>
        <row r="30815">
          <cell r="O30815" t="str">
            <v/>
          </cell>
        </row>
        <row r="30816">
          <cell r="O30816" t="str">
            <v/>
          </cell>
        </row>
        <row r="30817">
          <cell r="O30817" t="str">
            <v/>
          </cell>
        </row>
        <row r="30818">
          <cell r="O30818" t="str">
            <v/>
          </cell>
        </row>
        <row r="30819">
          <cell r="O30819" t="str">
            <v/>
          </cell>
        </row>
        <row r="30820">
          <cell r="O30820" t="str">
            <v/>
          </cell>
        </row>
        <row r="30821">
          <cell r="O30821" t="str">
            <v/>
          </cell>
        </row>
        <row r="30822">
          <cell r="O30822" t="str">
            <v/>
          </cell>
        </row>
        <row r="30823">
          <cell r="O30823" t="str">
            <v/>
          </cell>
        </row>
        <row r="30824">
          <cell r="O30824" t="str">
            <v/>
          </cell>
        </row>
        <row r="30825">
          <cell r="O30825" t="str">
            <v/>
          </cell>
        </row>
        <row r="30826">
          <cell r="O30826" t="str">
            <v/>
          </cell>
        </row>
        <row r="30827">
          <cell r="O30827" t="str">
            <v/>
          </cell>
        </row>
        <row r="30828">
          <cell r="O30828" t="str">
            <v/>
          </cell>
        </row>
        <row r="30829">
          <cell r="O30829" t="str">
            <v/>
          </cell>
        </row>
        <row r="30830">
          <cell r="O30830" t="str">
            <v/>
          </cell>
        </row>
        <row r="30831">
          <cell r="O30831" t="str">
            <v/>
          </cell>
        </row>
        <row r="30832">
          <cell r="O30832" t="str">
            <v/>
          </cell>
        </row>
        <row r="30833">
          <cell r="O30833" t="str">
            <v/>
          </cell>
        </row>
        <row r="30834">
          <cell r="O30834" t="str">
            <v/>
          </cell>
        </row>
        <row r="30835">
          <cell r="O30835" t="str">
            <v/>
          </cell>
        </row>
        <row r="30836">
          <cell r="O30836" t="str">
            <v/>
          </cell>
        </row>
        <row r="30837">
          <cell r="O30837" t="str">
            <v/>
          </cell>
        </row>
        <row r="30838">
          <cell r="O30838" t="str">
            <v/>
          </cell>
        </row>
        <row r="30839">
          <cell r="O30839" t="str">
            <v/>
          </cell>
        </row>
        <row r="30840">
          <cell r="O30840" t="str">
            <v/>
          </cell>
        </row>
        <row r="30841">
          <cell r="O30841" t="str">
            <v/>
          </cell>
        </row>
        <row r="30842">
          <cell r="O30842" t="str">
            <v/>
          </cell>
        </row>
        <row r="30843">
          <cell r="O30843" t="str">
            <v/>
          </cell>
        </row>
        <row r="30844">
          <cell r="O30844" t="str">
            <v/>
          </cell>
        </row>
        <row r="30845">
          <cell r="O30845" t="str">
            <v/>
          </cell>
        </row>
        <row r="30846">
          <cell r="O30846" t="str">
            <v/>
          </cell>
        </row>
        <row r="30847">
          <cell r="O30847" t="str">
            <v/>
          </cell>
        </row>
        <row r="30848">
          <cell r="O30848" t="str">
            <v/>
          </cell>
        </row>
        <row r="30849">
          <cell r="O30849" t="str">
            <v/>
          </cell>
        </row>
        <row r="30850">
          <cell r="O30850" t="str">
            <v/>
          </cell>
        </row>
        <row r="30851">
          <cell r="O30851" t="str">
            <v/>
          </cell>
        </row>
        <row r="30852">
          <cell r="O30852" t="str">
            <v/>
          </cell>
        </row>
        <row r="30853">
          <cell r="O30853" t="str">
            <v/>
          </cell>
        </row>
        <row r="30854">
          <cell r="O30854" t="str">
            <v/>
          </cell>
        </row>
        <row r="30855">
          <cell r="O30855" t="str">
            <v/>
          </cell>
        </row>
        <row r="30856">
          <cell r="O30856" t="str">
            <v/>
          </cell>
        </row>
        <row r="30857">
          <cell r="O30857" t="str">
            <v/>
          </cell>
        </row>
        <row r="30858">
          <cell r="O30858" t="str">
            <v/>
          </cell>
        </row>
        <row r="30859">
          <cell r="O30859" t="str">
            <v/>
          </cell>
        </row>
        <row r="30860">
          <cell r="O30860" t="str">
            <v/>
          </cell>
        </row>
        <row r="30861">
          <cell r="O30861" t="str">
            <v/>
          </cell>
        </row>
        <row r="30862">
          <cell r="O30862" t="str">
            <v/>
          </cell>
        </row>
        <row r="30863">
          <cell r="O30863" t="str">
            <v/>
          </cell>
        </row>
        <row r="30864">
          <cell r="O30864" t="str">
            <v/>
          </cell>
        </row>
        <row r="30865">
          <cell r="O30865" t="str">
            <v/>
          </cell>
        </row>
        <row r="30866">
          <cell r="O30866" t="str">
            <v/>
          </cell>
        </row>
        <row r="30867">
          <cell r="O30867" t="str">
            <v/>
          </cell>
        </row>
        <row r="30868">
          <cell r="O30868" t="str">
            <v/>
          </cell>
        </row>
        <row r="30869">
          <cell r="O30869" t="str">
            <v/>
          </cell>
        </row>
        <row r="30870">
          <cell r="O30870" t="str">
            <v/>
          </cell>
        </row>
        <row r="30871">
          <cell r="O30871" t="str">
            <v/>
          </cell>
        </row>
        <row r="30872">
          <cell r="O30872" t="str">
            <v/>
          </cell>
        </row>
        <row r="30873">
          <cell r="O30873" t="str">
            <v/>
          </cell>
        </row>
        <row r="30874">
          <cell r="O30874" t="str">
            <v/>
          </cell>
        </row>
        <row r="30875">
          <cell r="O30875" t="str">
            <v/>
          </cell>
        </row>
        <row r="30876">
          <cell r="O30876" t="str">
            <v/>
          </cell>
        </row>
        <row r="30877">
          <cell r="O30877" t="str">
            <v/>
          </cell>
        </row>
        <row r="30878">
          <cell r="O30878" t="str">
            <v/>
          </cell>
        </row>
        <row r="30879">
          <cell r="O30879" t="str">
            <v/>
          </cell>
        </row>
        <row r="30880">
          <cell r="O30880" t="str">
            <v/>
          </cell>
        </row>
        <row r="30881">
          <cell r="O30881" t="str">
            <v/>
          </cell>
        </row>
        <row r="30882">
          <cell r="O30882" t="str">
            <v/>
          </cell>
        </row>
        <row r="30883">
          <cell r="O30883" t="str">
            <v/>
          </cell>
        </row>
        <row r="30884">
          <cell r="O30884" t="str">
            <v/>
          </cell>
        </row>
        <row r="30885">
          <cell r="O30885" t="str">
            <v/>
          </cell>
        </row>
        <row r="30886">
          <cell r="O30886" t="str">
            <v/>
          </cell>
        </row>
        <row r="30887">
          <cell r="O30887" t="str">
            <v/>
          </cell>
        </row>
        <row r="30888">
          <cell r="O30888" t="str">
            <v/>
          </cell>
        </row>
        <row r="30889">
          <cell r="O30889" t="str">
            <v/>
          </cell>
        </row>
        <row r="30890">
          <cell r="O30890" t="str">
            <v/>
          </cell>
        </row>
        <row r="30891">
          <cell r="O30891" t="str">
            <v/>
          </cell>
        </row>
        <row r="30892">
          <cell r="O30892" t="str">
            <v/>
          </cell>
        </row>
        <row r="30893">
          <cell r="O30893" t="str">
            <v/>
          </cell>
        </row>
        <row r="30894">
          <cell r="O30894" t="str">
            <v/>
          </cell>
        </row>
        <row r="30895">
          <cell r="O30895" t="str">
            <v/>
          </cell>
        </row>
        <row r="30896">
          <cell r="O30896" t="str">
            <v/>
          </cell>
        </row>
        <row r="30897">
          <cell r="O30897" t="str">
            <v/>
          </cell>
        </row>
        <row r="30898">
          <cell r="O30898" t="str">
            <v/>
          </cell>
        </row>
        <row r="30899">
          <cell r="O30899" t="str">
            <v/>
          </cell>
        </row>
        <row r="30900">
          <cell r="O30900" t="str">
            <v/>
          </cell>
        </row>
        <row r="30901">
          <cell r="O30901" t="str">
            <v/>
          </cell>
        </row>
        <row r="30902">
          <cell r="O30902" t="str">
            <v/>
          </cell>
        </row>
        <row r="30903">
          <cell r="O30903" t="str">
            <v/>
          </cell>
        </row>
        <row r="30904">
          <cell r="O30904" t="str">
            <v/>
          </cell>
        </row>
        <row r="30905">
          <cell r="O30905" t="str">
            <v/>
          </cell>
        </row>
        <row r="30906">
          <cell r="O30906" t="str">
            <v/>
          </cell>
        </row>
        <row r="30907">
          <cell r="O30907" t="str">
            <v/>
          </cell>
        </row>
        <row r="30908">
          <cell r="O30908" t="str">
            <v/>
          </cell>
        </row>
        <row r="30909">
          <cell r="O30909" t="str">
            <v/>
          </cell>
        </row>
        <row r="30910">
          <cell r="O30910" t="str">
            <v/>
          </cell>
        </row>
        <row r="30911">
          <cell r="O30911" t="str">
            <v/>
          </cell>
        </row>
        <row r="30912">
          <cell r="O30912" t="str">
            <v/>
          </cell>
        </row>
        <row r="30913">
          <cell r="O30913" t="str">
            <v/>
          </cell>
        </row>
        <row r="30914">
          <cell r="O30914" t="str">
            <v/>
          </cell>
        </row>
        <row r="30915">
          <cell r="O30915" t="str">
            <v/>
          </cell>
        </row>
        <row r="30916">
          <cell r="O30916" t="str">
            <v/>
          </cell>
        </row>
        <row r="30917">
          <cell r="O30917" t="str">
            <v/>
          </cell>
        </row>
        <row r="30918">
          <cell r="O30918" t="str">
            <v/>
          </cell>
        </row>
        <row r="30919">
          <cell r="O30919" t="str">
            <v/>
          </cell>
        </row>
        <row r="30920">
          <cell r="O30920" t="str">
            <v/>
          </cell>
        </row>
        <row r="30921">
          <cell r="O30921" t="str">
            <v/>
          </cell>
        </row>
        <row r="30922">
          <cell r="O30922" t="str">
            <v/>
          </cell>
        </row>
        <row r="30923">
          <cell r="O30923" t="str">
            <v/>
          </cell>
        </row>
        <row r="30924">
          <cell r="O30924" t="str">
            <v/>
          </cell>
        </row>
        <row r="30925">
          <cell r="O30925" t="str">
            <v/>
          </cell>
        </row>
        <row r="30926">
          <cell r="O30926" t="str">
            <v/>
          </cell>
        </row>
        <row r="30927">
          <cell r="O30927" t="str">
            <v/>
          </cell>
        </row>
        <row r="30928">
          <cell r="O30928" t="str">
            <v/>
          </cell>
        </row>
        <row r="30929">
          <cell r="O30929" t="str">
            <v/>
          </cell>
        </row>
        <row r="30930">
          <cell r="O30930" t="str">
            <v/>
          </cell>
        </row>
        <row r="30931">
          <cell r="O30931" t="str">
            <v/>
          </cell>
        </row>
        <row r="30932">
          <cell r="O30932" t="str">
            <v/>
          </cell>
        </row>
        <row r="30933">
          <cell r="O30933" t="str">
            <v/>
          </cell>
        </row>
        <row r="30934">
          <cell r="O30934" t="str">
            <v/>
          </cell>
        </row>
        <row r="30935">
          <cell r="O30935" t="str">
            <v/>
          </cell>
        </row>
        <row r="30936">
          <cell r="O30936" t="str">
            <v/>
          </cell>
        </row>
        <row r="30937">
          <cell r="O30937" t="str">
            <v/>
          </cell>
        </row>
        <row r="30938">
          <cell r="O30938" t="str">
            <v/>
          </cell>
        </row>
        <row r="30939">
          <cell r="O30939" t="str">
            <v/>
          </cell>
        </row>
        <row r="30940">
          <cell r="O30940" t="str">
            <v/>
          </cell>
        </row>
        <row r="30941">
          <cell r="O30941" t="str">
            <v/>
          </cell>
        </row>
        <row r="30942">
          <cell r="O30942" t="str">
            <v/>
          </cell>
        </row>
        <row r="30943">
          <cell r="O30943" t="str">
            <v/>
          </cell>
        </row>
        <row r="30944">
          <cell r="O30944" t="str">
            <v/>
          </cell>
        </row>
        <row r="30945">
          <cell r="O30945" t="str">
            <v/>
          </cell>
        </row>
        <row r="30946">
          <cell r="O30946" t="str">
            <v/>
          </cell>
        </row>
        <row r="30947">
          <cell r="O30947" t="str">
            <v/>
          </cell>
        </row>
        <row r="30948">
          <cell r="O30948" t="str">
            <v/>
          </cell>
        </row>
        <row r="30949">
          <cell r="O30949" t="str">
            <v/>
          </cell>
        </row>
        <row r="30950">
          <cell r="O30950" t="str">
            <v/>
          </cell>
        </row>
        <row r="30951">
          <cell r="O30951" t="str">
            <v/>
          </cell>
        </row>
        <row r="30952">
          <cell r="O30952" t="str">
            <v/>
          </cell>
        </row>
        <row r="30953">
          <cell r="O30953" t="str">
            <v/>
          </cell>
        </row>
        <row r="30954">
          <cell r="O30954" t="str">
            <v/>
          </cell>
        </row>
        <row r="30955">
          <cell r="O30955" t="str">
            <v/>
          </cell>
        </row>
        <row r="30956">
          <cell r="O30956" t="str">
            <v/>
          </cell>
        </row>
        <row r="30957">
          <cell r="O30957" t="str">
            <v/>
          </cell>
        </row>
        <row r="30958">
          <cell r="O30958" t="str">
            <v/>
          </cell>
        </row>
        <row r="30959">
          <cell r="O30959" t="str">
            <v/>
          </cell>
        </row>
        <row r="30960">
          <cell r="O30960" t="str">
            <v/>
          </cell>
        </row>
        <row r="30961">
          <cell r="O30961" t="str">
            <v/>
          </cell>
        </row>
        <row r="30962">
          <cell r="O30962" t="str">
            <v/>
          </cell>
        </row>
        <row r="30963">
          <cell r="O30963" t="str">
            <v/>
          </cell>
        </row>
        <row r="30964">
          <cell r="O30964" t="str">
            <v/>
          </cell>
        </row>
        <row r="30965">
          <cell r="O30965" t="str">
            <v/>
          </cell>
        </row>
        <row r="30966">
          <cell r="O30966" t="str">
            <v/>
          </cell>
        </row>
        <row r="30967">
          <cell r="O30967" t="str">
            <v/>
          </cell>
        </row>
        <row r="30968">
          <cell r="O30968" t="str">
            <v/>
          </cell>
        </row>
        <row r="30969">
          <cell r="O30969" t="str">
            <v/>
          </cell>
        </row>
        <row r="30970">
          <cell r="O30970" t="str">
            <v/>
          </cell>
        </row>
        <row r="30971">
          <cell r="O30971" t="str">
            <v/>
          </cell>
        </row>
        <row r="30972">
          <cell r="O30972" t="str">
            <v/>
          </cell>
        </row>
        <row r="30973">
          <cell r="O30973" t="str">
            <v/>
          </cell>
        </row>
        <row r="30974">
          <cell r="O30974" t="str">
            <v/>
          </cell>
        </row>
        <row r="30975">
          <cell r="O30975" t="str">
            <v/>
          </cell>
        </row>
        <row r="30976">
          <cell r="O30976" t="str">
            <v/>
          </cell>
        </row>
        <row r="30977">
          <cell r="O30977" t="str">
            <v/>
          </cell>
        </row>
        <row r="30978">
          <cell r="O30978" t="str">
            <v/>
          </cell>
        </row>
        <row r="30979">
          <cell r="O30979" t="str">
            <v/>
          </cell>
        </row>
        <row r="30980">
          <cell r="O30980" t="str">
            <v/>
          </cell>
        </row>
        <row r="30981">
          <cell r="O30981" t="str">
            <v/>
          </cell>
        </row>
        <row r="30982">
          <cell r="O30982" t="str">
            <v/>
          </cell>
        </row>
        <row r="30983">
          <cell r="O30983" t="str">
            <v/>
          </cell>
        </row>
        <row r="30984">
          <cell r="O30984" t="str">
            <v/>
          </cell>
        </row>
        <row r="30985">
          <cell r="O30985" t="str">
            <v/>
          </cell>
        </row>
        <row r="30986">
          <cell r="O30986" t="str">
            <v/>
          </cell>
        </row>
        <row r="30987">
          <cell r="O30987" t="str">
            <v/>
          </cell>
        </row>
        <row r="30988">
          <cell r="O30988" t="str">
            <v/>
          </cell>
        </row>
        <row r="30989">
          <cell r="O30989" t="str">
            <v/>
          </cell>
        </row>
        <row r="30990">
          <cell r="O30990" t="str">
            <v/>
          </cell>
        </row>
        <row r="30991">
          <cell r="O30991" t="str">
            <v/>
          </cell>
        </row>
        <row r="30992">
          <cell r="O30992" t="str">
            <v/>
          </cell>
        </row>
        <row r="30993">
          <cell r="O30993" t="str">
            <v/>
          </cell>
        </row>
        <row r="30994">
          <cell r="O30994" t="str">
            <v/>
          </cell>
        </row>
        <row r="30995">
          <cell r="O30995" t="str">
            <v/>
          </cell>
        </row>
        <row r="30996">
          <cell r="O30996" t="str">
            <v/>
          </cell>
        </row>
        <row r="30997">
          <cell r="O30997" t="str">
            <v/>
          </cell>
        </row>
        <row r="30998">
          <cell r="O30998" t="str">
            <v/>
          </cell>
        </row>
        <row r="30999">
          <cell r="O30999" t="str">
            <v/>
          </cell>
        </row>
        <row r="31000">
          <cell r="O31000" t="str">
            <v/>
          </cell>
        </row>
        <row r="31001">
          <cell r="O31001" t="str">
            <v/>
          </cell>
        </row>
        <row r="31002">
          <cell r="O31002" t="str">
            <v/>
          </cell>
        </row>
        <row r="31003">
          <cell r="O31003" t="str">
            <v/>
          </cell>
        </row>
        <row r="31004">
          <cell r="O31004" t="str">
            <v/>
          </cell>
        </row>
        <row r="31005">
          <cell r="O31005" t="str">
            <v/>
          </cell>
        </row>
        <row r="31006">
          <cell r="O31006" t="str">
            <v/>
          </cell>
        </row>
        <row r="31007">
          <cell r="O31007" t="str">
            <v/>
          </cell>
        </row>
        <row r="31008">
          <cell r="O31008" t="str">
            <v/>
          </cell>
        </row>
        <row r="31009">
          <cell r="O31009" t="str">
            <v/>
          </cell>
        </row>
        <row r="31010">
          <cell r="O31010" t="str">
            <v/>
          </cell>
        </row>
        <row r="31011">
          <cell r="O31011" t="str">
            <v/>
          </cell>
        </row>
        <row r="31012">
          <cell r="O31012" t="str">
            <v/>
          </cell>
        </row>
        <row r="31013">
          <cell r="O31013" t="str">
            <v/>
          </cell>
        </row>
        <row r="31014">
          <cell r="O31014" t="str">
            <v/>
          </cell>
        </row>
        <row r="31015">
          <cell r="O31015" t="str">
            <v/>
          </cell>
        </row>
        <row r="31016">
          <cell r="O31016" t="str">
            <v/>
          </cell>
        </row>
        <row r="31017">
          <cell r="O31017" t="str">
            <v/>
          </cell>
        </row>
        <row r="31018">
          <cell r="O31018" t="str">
            <v/>
          </cell>
        </row>
        <row r="31019">
          <cell r="O31019" t="str">
            <v/>
          </cell>
        </row>
        <row r="31020">
          <cell r="O31020" t="str">
            <v/>
          </cell>
        </row>
        <row r="31021">
          <cell r="O31021" t="str">
            <v/>
          </cell>
        </row>
        <row r="31022">
          <cell r="O31022" t="str">
            <v/>
          </cell>
        </row>
        <row r="31023">
          <cell r="O31023" t="str">
            <v/>
          </cell>
        </row>
        <row r="31024">
          <cell r="O31024" t="str">
            <v/>
          </cell>
        </row>
        <row r="31025">
          <cell r="O31025" t="str">
            <v/>
          </cell>
        </row>
        <row r="31026">
          <cell r="O31026" t="str">
            <v/>
          </cell>
        </row>
        <row r="31027">
          <cell r="O31027" t="str">
            <v/>
          </cell>
        </row>
        <row r="31028">
          <cell r="O31028" t="str">
            <v/>
          </cell>
        </row>
        <row r="31029">
          <cell r="O31029" t="str">
            <v/>
          </cell>
        </row>
        <row r="31030">
          <cell r="O31030" t="str">
            <v/>
          </cell>
        </row>
        <row r="31031">
          <cell r="O31031" t="str">
            <v/>
          </cell>
        </row>
        <row r="31032">
          <cell r="O31032" t="str">
            <v/>
          </cell>
        </row>
        <row r="31033">
          <cell r="O31033" t="str">
            <v/>
          </cell>
        </row>
        <row r="31034">
          <cell r="O31034" t="str">
            <v/>
          </cell>
        </row>
        <row r="31035">
          <cell r="O31035" t="str">
            <v/>
          </cell>
        </row>
        <row r="31036">
          <cell r="O31036" t="str">
            <v/>
          </cell>
        </row>
        <row r="31037">
          <cell r="O31037" t="str">
            <v/>
          </cell>
        </row>
        <row r="31038">
          <cell r="O31038" t="str">
            <v/>
          </cell>
        </row>
        <row r="31039">
          <cell r="O31039" t="str">
            <v/>
          </cell>
        </row>
        <row r="31040">
          <cell r="O31040" t="str">
            <v/>
          </cell>
        </row>
        <row r="31041">
          <cell r="O31041" t="str">
            <v/>
          </cell>
        </row>
        <row r="31042">
          <cell r="O31042" t="str">
            <v/>
          </cell>
        </row>
        <row r="31043">
          <cell r="O31043" t="str">
            <v/>
          </cell>
        </row>
        <row r="31044">
          <cell r="O31044" t="str">
            <v/>
          </cell>
        </row>
        <row r="31045">
          <cell r="O31045" t="str">
            <v/>
          </cell>
        </row>
        <row r="31046">
          <cell r="O31046" t="str">
            <v/>
          </cell>
        </row>
        <row r="31047">
          <cell r="O31047" t="str">
            <v/>
          </cell>
        </row>
        <row r="31048">
          <cell r="O31048" t="str">
            <v/>
          </cell>
        </row>
        <row r="31049">
          <cell r="O31049" t="str">
            <v/>
          </cell>
        </row>
        <row r="31050">
          <cell r="O31050" t="str">
            <v/>
          </cell>
        </row>
        <row r="31051">
          <cell r="O31051" t="str">
            <v/>
          </cell>
        </row>
        <row r="31052">
          <cell r="O31052" t="str">
            <v/>
          </cell>
        </row>
        <row r="31053">
          <cell r="O31053" t="str">
            <v/>
          </cell>
        </row>
        <row r="31054">
          <cell r="O31054" t="str">
            <v/>
          </cell>
        </row>
        <row r="31055">
          <cell r="O31055" t="str">
            <v/>
          </cell>
        </row>
        <row r="31056">
          <cell r="O31056" t="str">
            <v/>
          </cell>
        </row>
        <row r="31057">
          <cell r="O31057" t="str">
            <v/>
          </cell>
        </row>
        <row r="31058">
          <cell r="O31058" t="str">
            <v/>
          </cell>
        </row>
        <row r="31059">
          <cell r="O31059" t="str">
            <v/>
          </cell>
        </row>
        <row r="31060">
          <cell r="O31060" t="str">
            <v/>
          </cell>
        </row>
        <row r="31061">
          <cell r="O31061" t="str">
            <v/>
          </cell>
        </row>
        <row r="31062">
          <cell r="O31062" t="str">
            <v/>
          </cell>
        </row>
        <row r="31063">
          <cell r="O31063" t="str">
            <v/>
          </cell>
        </row>
        <row r="31064">
          <cell r="O31064" t="str">
            <v/>
          </cell>
        </row>
        <row r="31065">
          <cell r="O31065" t="str">
            <v/>
          </cell>
        </row>
        <row r="31066">
          <cell r="O31066" t="str">
            <v/>
          </cell>
        </row>
        <row r="31067">
          <cell r="O31067" t="str">
            <v/>
          </cell>
        </row>
        <row r="31068">
          <cell r="O31068" t="str">
            <v/>
          </cell>
        </row>
        <row r="31069">
          <cell r="O31069" t="str">
            <v/>
          </cell>
        </row>
        <row r="31070">
          <cell r="O31070" t="str">
            <v/>
          </cell>
        </row>
        <row r="31071">
          <cell r="O31071" t="str">
            <v/>
          </cell>
        </row>
        <row r="31072">
          <cell r="O31072" t="str">
            <v/>
          </cell>
        </row>
        <row r="31073">
          <cell r="O31073" t="str">
            <v/>
          </cell>
        </row>
        <row r="31074">
          <cell r="O31074" t="str">
            <v/>
          </cell>
        </row>
        <row r="31075">
          <cell r="O31075" t="str">
            <v/>
          </cell>
        </row>
        <row r="31076">
          <cell r="O31076" t="str">
            <v/>
          </cell>
        </row>
        <row r="31077">
          <cell r="O31077" t="str">
            <v/>
          </cell>
        </row>
        <row r="31078">
          <cell r="O31078" t="str">
            <v/>
          </cell>
        </row>
        <row r="31079">
          <cell r="O31079" t="str">
            <v/>
          </cell>
        </row>
        <row r="31080">
          <cell r="O31080" t="str">
            <v/>
          </cell>
        </row>
        <row r="31081">
          <cell r="O31081" t="str">
            <v/>
          </cell>
        </row>
        <row r="31082">
          <cell r="O31082" t="str">
            <v/>
          </cell>
        </row>
        <row r="31083">
          <cell r="O31083" t="str">
            <v/>
          </cell>
        </row>
        <row r="31084">
          <cell r="O31084" t="str">
            <v/>
          </cell>
        </row>
        <row r="31085">
          <cell r="O31085" t="str">
            <v/>
          </cell>
        </row>
        <row r="31086">
          <cell r="O31086" t="str">
            <v/>
          </cell>
        </row>
        <row r="31087">
          <cell r="O31087" t="str">
            <v/>
          </cell>
        </row>
        <row r="31088">
          <cell r="O31088" t="str">
            <v/>
          </cell>
        </row>
        <row r="31089">
          <cell r="O31089" t="str">
            <v/>
          </cell>
        </row>
        <row r="31090">
          <cell r="O31090" t="str">
            <v/>
          </cell>
        </row>
        <row r="31091">
          <cell r="O31091" t="str">
            <v/>
          </cell>
        </row>
        <row r="31092">
          <cell r="O31092" t="str">
            <v/>
          </cell>
        </row>
        <row r="31093">
          <cell r="O31093" t="str">
            <v/>
          </cell>
        </row>
        <row r="31094">
          <cell r="O31094" t="str">
            <v/>
          </cell>
        </row>
        <row r="31095">
          <cell r="O31095" t="str">
            <v/>
          </cell>
        </row>
        <row r="31096">
          <cell r="O31096" t="str">
            <v/>
          </cell>
        </row>
        <row r="31097">
          <cell r="O31097" t="str">
            <v/>
          </cell>
        </row>
        <row r="31098">
          <cell r="O31098" t="str">
            <v/>
          </cell>
        </row>
        <row r="31099">
          <cell r="O31099" t="str">
            <v/>
          </cell>
        </row>
        <row r="31100">
          <cell r="O31100" t="str">
            <v/>
          </cell>
        </row>
        <row r="31101">
          <cell r="O31101" t="str">
            <v/>
          </cell>
        </row>
        <row r="31102">
          <cell r="O31102" t="str">
            <v/>
          </cell>
        </row>
        <row r="31103">
          <cell r="O31103" t="str">
            <v/>
          </cell>
        </row>
        <row r="31104">
          <cell r="O31104" t="str">
            <v/>
          </cell>
        </row>
        <row r="31105">
          <cell r="O31105" t="str">
            <v/>
          </cell>
        </row>
        <row r="31106">
          <cell r="O31106" t="str">
            <v/>
          </cell>
        </row>
        <row r="31107">
          <cell r="O31107" t="str">
            <v/>
          </cell>
        </row>
        <row r="31108">
          <cell r="O31108" t="str">
            <v/>
          </cell>
        </row>
        <row r="31109">
          <cell r="O31109" t="str">
            <v/>
          </cell>
        </row>
        <row r="31110">
          <cell r="O31110" t="str">
            <v/>
          </cell>
        </row>
        <row r="31111">
          <cell r="O31111" t="str">
            <v/>
          </cell>
        </row>
        <row r="31112">
          <cell r="O31112" t="str">
            <v/>
          </cell>
        </row>
        <row r="31113">
          <cell r="O31113" t="str">
            <v/>
          </cell>
        </row>
        <row r="31114">
          <cell r="O31114" t="str">
            <v/>
          </cell>
        </row>
        <row r="31115">
          <cell r="O31115" t="str">
            <v/>
          </cell>
        </row>
        <row r="31116">
          <cell r="O31116" t="str">
            <v/>
          </cell>
        </row>
        <row r="31117">
          <cell r="O31117" t="str">
            <v/>
          </cell>
        </row>
        <row r="31118">
          <cell r="O31118" t="str">
            <v/>
          </cell>
        </row>
        <row r="31119">
          <cell r="O31119" t="str">
            <v/>
          </cell>
        </row>
        <row r="31120">
          <cell r="O31120" t="str">
            <v/>
          </cell>
        </row>
        <row r="31121">
          <cell r="O31121" t="str">
            <v/>
          </cell>
        </row>
        <row r="31122">
          <cell r="O31122" t="str">
            <v/>
          </cell>
        </row>
        <row r="31123">
          <cell r="O31123" t="str">
            <v/>
          </cell>
        </row>
        <row r="31124">
          <cell r="O31124" t="str">
            <v/>
          </cell>
        </row>
        <row r="31125">
          <cell r="O31125" t="str">
            <v/>
          </cell>
        </row>
        <row r="31126">
          <cell r="O31126" t="str">
            <v/>
          </cell>
        </row>
        <row r="31127">
          <cell r="O31127" t="str">
            <v/>
          </cell>
        </row>
        <row r="31128">
          <cell r="O31128" t="str">
            <v/>
          </cell>
        </row>
        <row r="31129">
          <cell r="O31129" t="str">
            <v/>
          </cell>
        </row>
        <row r="31130">
          <cell r="O31130" t="str">
            <v/>
          </cell>
        </row>
        <row r="31131">
          <cell r="O31131" t="str">
            <v/>
          </cell>
        </row>
        <row r="31132">
          <cell r="O31132" t="str">
            <v/>
          </cell>
        </row>
        <row r="31133">
          <cell r="O31133" t="str">
            <v/>
          </cell>
        </row>
        <row r="31134">
          <cell r="O31134" t="str">
            <v/>
          </cell>
        </row>
        <row r="31135">
          <cell r="O31135" t="str">
            <v/>
          </cell>
        </row>
        <row r="31136">
          <cell r="O31136" t="str">
            <v/>
          </cell>
        </row>
        <row r="31137">
          <cell r="O31137" t="str">
            <v/>
          </cell>
        </row>
        <row r="31138">
          <cell r="O31138" t="str">
            <v/>
          </cell>
        </row>
        <row r="31139">
          <cell r="O31139" t="str">
            <v/>
          </cell>
        </row>
        <row r="31140">
          <cell r="O31140" t="str">
            <v/>
          </cell>
        </row>
        <row r="31141">
          <cell r="O31141" t="str">
            <v/>
          </cell>
        </row>
        <row r="31142">
          <cell r="O31142" t="str">
            <v/>
          </cell>
        </row>
        <row r="31143">
          <cell r="O31143" t="str">
            <v/>
          </cell>
        </row>
        <row r="31144">
          <cell r="O31144" t="str">
            <v/>
          </cell>
        </row>
        <row r="31145">
          <cell r="O31145" t="str">
            <v/>
          </cell>
        </row>
        <row r="31146">
          <cell r="O31146" t="str">
            <v/>
          </cell>
        </row>
        <row r="31147">
          <cell r="O31147" t="str">
            <v/>
          </cell>
        </row>
        <row r="31148">
          <cell r="O31148" t="str">
            <v/>
          </cell>
        </row>
        <row r="31149">
          <cell r="O31149" t="str">
            <v/>
          </cell>
        </row>
        <row r="31150">
          <cell r="O31150" t="str">
            <v/>
          </cell>
        </row>
        <row r="31151">
          <cell r="O31151" t="str">
            <v/>
          </cell>
        </row>
        <row r="31152">
          <cell r="O31152" t="str">
            <v/>
          </cell>
        </row>
        <row r="31153">
          <cell r="O31153" t="str">
            <v/>
          </cell>
        </row>
        <row r="31154">
          <cell r="O31154" t="str">
            <v/>
          </cell>
        </row>
        <row r="31155">
          <cell r="O31155" t="str">
            <v/>
          </cell>
        </row>
        <row r="31156">
          <cell r="O31156" t="str">
            <v/>
          </cell>
        </row>
        <row r="31157">
          <cell r="O31157" t="str">
            <v/>
          </cell>
        </row>
        <row r="31158">
          <cell r="O31158" t="str">
            <v/>
          </cell>
        </row>
        <row r="31159">
          <cell r="O31159" t="str">
            <v/>
          </cell>
        </row>
        <row r="31160">
          <cell r="O31160" t="str">
            <v/>
          </cell>
        </row>
        <row r="31161">
          <cell r="O31161" t="str">
            <v/>
          </cell>
        </row>
        <row r="31162">
          <cell r="O31162" t="str">
            <v/>
          </cell>
        </row>
        <row r="31163">
          <cell r="O31163" t="str">
            <v/>
          </cell>
        </row>
        <row r="31164">
          <cell r="O31164" t="str">
            <v/>
          </cell>
        </row>
        <row r="31165">
          <cell r="O31165" t="str">
            <v/>
          </cell>
        </row>
        <row r="31166">
          <cell r="O31166" t="str">
            <v/>
          </cell>
        </row>
        <row r="31167">
          <cell r="O31167" t="str">
            <v/>
          </cell>
        </row>
        <row r="31168">
          <cell r="O31168" t="str">
            <v/>
          </cell>
        </row>
        <row r="31169">
          <cell r="O31169" t="str">
            <v/>
          </cell>
        </row>
        <row r="31170">
          <cell r="O31170" t="str">
            <v/>
          </cell>
        </row>
        <row r="31171">
          <cell r="O31171" t="str">
            <v/>
          </cell>
        </row>
        <row r="31172">
          <cell r="O31172" t="str">
            <v/>
          </cell>
        </row>
        <row r="31173">
          <cell r="O31173" t="str">
            <v/>
          </cell>
        </row>
        <row r="31174">
          <cell r="O31174" t="str">
            <v/>
          </cell>
        </row>
        <row r="31175">
          <cell r="O31175" t="str">
            <v/>
          </cell>
        </row>
        <row r="31176">
          <cell r="O31176" t="str">
            <v/>
          </cell>
        </row>
        <row r="31177">
          <cell r="O31177" t="str">
            <v/>
          </cell>
        </row>
        <row r="31178">
          <cell r="O31178" t="str">
            <v/>
          </cell>
        </row>
        <row r="31179">
          <cell r="O31179" t="str">
            <v/>
          </cell>
        </row>
        <row r="31180">
          <cell r="O31180" t="str">
            <v/>
          </cell>
        </row>
        <row r="31181">
          <cell r="O31181" t="str">
            <v/>
          </cell>
        </row>
        <row r="31182">
          <cell r="O31182" t="str">
            <v/>
          </cell>
        </row>
        <row r="31183">
          <cell r="O31183" t="str">
            <v/>
          </cell>
        </row>
        <row r="31184">
          <cell r="O31184" t="str">
            <v/>
          </cell>
        </row>
        <row r="31185">
          <cell r="O31185" t="str">
            <v/>
          </cell>
        </row>
        <row r="31186">
          <cell r="O31186" t="str">
            <v/>
          </cell>
        </row>
        <row r="31187">
          <cell r="O31187" t="str">
            <v/>
          </cell>
        </row>
        <row r="31188">
          <cell r="O31188" t="str">
            <v/>
          </cell>
        </row>
        <row r="31189">
          <cell r="O31189" t="str">
            <v/>
          </cell>
        </row>
        <row r="31190">
          <cell r="O31190" t="str">
            <v/>
          </cell>
        </row>
        <row r="31191">
          <cell r="O31191" t="str">
            <v/>
          </cell>
        </row>
        <row r="31192">
          <cell r="O31192" t="str">
            <v/>
          </cell>
        </row>
        <row r="31193">
          <cell r="O31193" t="str">
            <v/>
          </cell>
        </row>
        <row r="31194">
          <cell r="O31194" t="str">
            <v/>
          </cell>
        </row>
        <row r="31195">
          <cell r="O31195" t="str">
            <v/>
          </cell>
        </row>
        <row r="31196">
          <cell r="O31196" t="str">
            <v/>
          </cell>
        </row>
        <row r="31197">
          <cell r="O31197" t="str">
            <v/>
          </cell>
        </row>
        <row r="31198">
          <cell r="O31198" t="str">
            <v/>
          </cell>
        </row>
        <row r="31199">
          <cell r="O31199" t="str">
            <v/>
          </cell>
        </row>
        <row r="31200">
          <cell r="O31200" t="str">
            <v/>
          </cell>
        </row>
        <row r="31201">
          <cell r="O31201" t="str">
            <v/>
          </cell>
        </row>
        <row r="31202">
          <cell r="O31202" t="str">
            <v/>
          </cell>
        </row>
        <row r="31203">
          <cell r="O31203" t="str">
            <v/>
          </cell>
        </row>
        <row r="31204">
          <cell r="O31204" t="str">
            <v/>
          </cell>
        </row>
        <row r="31205">
          <cell r="O31205" t="str">
            <v/>
          </cell>
        </row>
        <row r="31206">
          <cell r="O31206" t="str">
            <v/>
          </cell>
        </row>
        <row r="31207">
          <cell r="O31207" t="str">
            <v/>
          </cell>
        </row>
        <row r="31208">
          <cell r="O31208" t="str">
            <v/>
          </cell>
        </row>
        <row r="31209">
          <cell r="O31209" t="str">
            <v/>
          </cell>
        </row>
        <row r="31210">
          <cell r="O31210" t="str">
            <v/>
          </cell>
        </row>
        <row r="31211">
          <cell r="O31211" t="str">
            <v/>
          </cell>
        </row>
        <row r="31212">
          <cell r="O31212" t="str">
            <v/>
          </cell>
        </row>
        <row r="31213">
          <cell r="O31213" t="str">
            <v/>
          </cell>
        </row>
        <row r="31214">
          <cell r="O31214" t="str">
            <v/>
          </cell>
        </row>
        <row r="31215">
          <cell r="O31215" t="str">
            <v/>
          </cell>
        </row>
        <row r="31216">
          <cell r="O31216" t="str">
            <v/>
          </cell>
        </row>
        <row r="31217">
          <cell r="O31217" t="str">
            <v/>
          </cell>
        </row>
        <row r="31218">
          <cell r="O31218" t="str">
            <v/>
          </cell>
        </row>
        <row r="31219">
          <cell r="O31219" t="str">
            <v/>
          </cell>
        </row>
        <row r="31220">
          <cell r="O31220" t="str">
            <v/>
          </cell>
        </row>
        <row r="31221">
          <cell r="O31221" t="str">
            <v/>
          </cell>
        </row>
        <row r="31222">
          <cell r="O31222" t="str">
            <v/>
          </cell>
        </row>
        <row r="31223">
          <cell r="O31223" t="str">
            <v/>
          </cell>
        </row>
        <row r="31224">
          <cell r="O31224" t="str">
            <v/>
          </cell>
        </row>
        <row r="31225">
          <cell r="O31225" t="str">
            <v/>
          </cell>
        </row>
        <row r="31226">
          <cell r="O31226" t="str">
            <v/>
          </cell>
        </row>
        <row r="31227">
          <cell r="O31227" t="str">
            <v/>
          </cell>
        </row>
        <row r="31228">
          <cell r="O31228" t="str">
            <v/>
          </cell>
        </row>
        <row r="31229">
          <cell r="O31229" t="str">
            <v/>
          </cell>
        </row>
        <row r="31230">
          <cell r="O31230" t="str">
            <v/>
          </cell>
        </row>
        <row r="31231">
          <cell r="O31231" t="str">
            <v/>
          </cell>
        </row>
        <row r="31232">
          <cell r="O31232" t="str">
            <v/>
          </cell>
        </row>
        <row r="31233">
          <cell r="O31233" t="str">
            <v/>
          </cell>
        </row>
        <row r="31234">
          <cell r="O31234" t="str">
            <v/>
          </cell>
        </row>
        <row r="31235">
          <cell r="O31235" t="str">
            <v/>
          </cell>
        </row>
        <row r="31236">
          <cell r="O31236" t="str">
            <v/>
          </cell>
        </row>
        <row r="31237">
          <cell r="O31237" t="str">
            <v/>
          </cell>
        </row>
        <row r="31238">
          <cell r="O31238" t="str">
            <v/>
          </cell>
        </row>
        <row r="31239">
          <cell r="O31239" t="str">
            <v/>
          </cell>
        </row>
        <row r="31240">
          <cell r="O31240" t="str">
            <v/>
          </cell>
        </row>
        <row r="31241">
          <cell r="O31241" t="str">
            <v/>
          </cell>
        </row>
        <row r="31242">
          <cell r="O31242" t="str">
            <v/>
          </cell>
        </row>
        <row r="31243">
          <cell r="O31243" t="str">
            <v/>
          </cell>
        </row>
        <row r="31244">
          <cell r="O31244" t="str">
            <v/>
          </cell>
        </row>
        <row r="31245">
          <cell r="O31245" t="str">
            <v/>
          </cell>
        </row>
        <row r="31246">
          <cell r="O31246" t="str">
            <v/>
          </cell>
        </row>
        <row r="31247">
          <cell r="O31247" t="str">
            <v/>
          </cell>
        </row>
        <row r="31248">
          <cell r="O31248" t="str">
            <v/>
          </cell>
        </row>
        <row r="31249">
          <cell r="O31249" t="str">
            <v/>
          </cell>
        </row>
        <row r="31250">
          <cell r="O31250" t="str">
            <v/>
          </cell>
        </row>
        <row r="31251">
          <cell r="O31251" t="str">
            <v/>
          </cell>
        </row>
        <row r="31252">
          <cell r="O31252" t="str">
            <v/>
          </cell>
        </row>
        <row r="31253">
          <cell r="O31253" t="str">
            <v/>
          </cell>
        </row>
        <row r="31254">
          <cell r="O31254" t="str">
            <v/>
          </cell>
        </row>
        <row r="31255">
          <cell r="O31255" t="str">
            <v/>
          </cell>
        </row>
        <row r="31256">
          <cell r="O31256" t="str">
            <v/>
          </cell>
        </row>
        <row r="31257">
          <cell r="O31257" t="str">
            <v/>
          </cell>
        </row>
        <row r="31258">
          <cell r="O31258" t="str">
            <v/>
          </cell>
        </row>
        <row r="31259">
          <cell r="O31259" t="str">
            <v/>
          </cell>
        </row>
        <row r="31260">
          <cell r="O31260" t="str">
            <v/>
          </cell>
        </row>
        <row r="31261">
          <cell r="O31261" t="str">
            <v/>
          </cell>
        </row>
        <row r="31262">
          <cell r="O31262" t="str">
            <v/>
          </cell>
        </row>
        <row r="31263">
          <cell r="O31263" t="str">
            <v/>
          </cell>
        </row>
        <row r="31264">
          <cell r="O31264" t="str">
            <v/>
          </cell>
        </row>
        <row r="31265">
          <cell r="O31265" t="str">
            <v/>
          </cell>
        </row>
        <row r="31266">
          <cell r="O31266" t="str">
            <v/>
          </cell>
        </row>
        <row r="31267">
          <cell r="O31267" t="str">
            <v/>
          </cell>
        </row>
        <row r="31268">
          <cell r="O31268" t="str">
            <v/>
          </cell>
        </row>
        <row r="31269">
          <cell r="O31269" t="str">
            <v/>
          </cell>
        </row>
        <row r="31270">
          <cell r="O31270" t="str">
            <v/>
          </cell>
        </row>
        <row r="31271">
          <cell r="O31271" t="str">
            <v/>
          </cell>
        </row>
        <row r="31272">
          <cell r="O31272" t="str">
            <v/>
          </cell>
        </row>
        <row r="31273">
          <cell r="O31273" t="str">
            <v/>
          </cell>
        </row>
        <row r="31274">
          <cell r="O31274" t="str">
            <v/>
          </cell>
        </row>
        <row r="31275">
          <cell r="O31275" t="str">
            <v/>
          </cell>
        </row>
        <row r="31276">
          <cell r="O31276" t="str">
            <v/>
          </cell>
        </row>
        <row r="31277">
          <cell r="O31277" t="str">
            <v/>
          </cell>
        </row>
        <row r="31278">
          <cell r="O31278" t="str">
            <v/>
          </cell>
        </row>
        <row r="31279">
          <cell r="O31279" t="str">
            <v/>
          </cell>
        </row>
        <row r="31280">
          <cell r="O31280" t="str">
            <v/>
          </cell>
        </row>
        <row r="31281">
          <cell r="O31281" t="str">
            <v/>
          </cell>
        </row>
        <row r="31282">
          <cell r="O31282" t="str">
            <v/>
          </cell>
        </row>
        <row r="31283">
          <cell r="O31283" t="str">
            <v/>
          </cell>
        </row>
        <row r="31284">
          <cell r="O31284" t="str">
            <v/>
          </cell>
        </row>
        <row r="31285">
          <cell r="O31285" t="str">
            <v/>
          </cell>
        </row>
        <row r="31286">
          <cell r="O31286" t="str">
            <v/>
          </cell>
        </row>
        <row r="31287">
          <cell r="O31287" t="str">
            <v/>
          </cell>
        </row>
        <row r="31288">
          <cell r="O31288" t="str">
            <v/>
          </cell>
        </row>
        <row r="31289">
          <cell r="O31289" t="str">
            <v/>
          </cell>
        </row>
        <row r="31290">
          <cell r="O31290" t="str">
            <v/>
          </cell>
        </row>
        <row r="31291">
          <cell r="O31291" t="str">
            <v/>
          </cell>
        </row>
        <row r="31292">
          <cell r="O31292" t="str">
            <v/>
          </cell>
        </row>
        <row r="31293">
          <cell r="O31293" t="str">
            <v/>
          </cell>
        </row>
        <row r="31294">
          <cell r="O31294" t="str">
            <v/>
          </cell>
        </row>
        <row r="31295">
          <cell r="O31295" t="str">
            <v/>
          </cell>
        </row>
        <row r="31296">
          <cell r="O31296" t="str">
            <v/>
          </cell>
        </row>
        <row r="31297">
          <cell r="O31297" t="str">
            <v/>
          </cell>
        </row>
        <row r="31298">
          <cell r="O31298" t="str">
            <v/>
          </cell>
        </row>
        <row r="31299">
          <cell r="O31299" t="str">
            <v/>
          </cell>
        </row>
        <row r="31300">
          <cell r="O31300" t="str">
            <v/>
          </cell>
        </row>
        <row r="31301">
          <cell r="O31301" t="str">
            <v/>
          </cell>
        </row>
        <row r="31302">
          <cell r="O31302" t="str">
            <v/>
          </cell>
        </row>
        <row r="31303">
          <cell r="O31303" t="str">
            <v/>
          </cell>
        </row>
        <row r="31304">
          <cell r="O31304" t="str">
            <v/>
          </cell>
        </row>
        <row r="31305">
          <cell r="O31305" t="str">
            <v/>
          </cell>
        </row>
        <row r="31306">
          <cell r="O31306" t="str">
            <v/>
          </cell>
        </row>
        <row r="31307">
          <cell r="O31307" t="str">
            <v/>
          </cell>
        </row>
        <row r="31308">
          <cell r="O31308" t="str">
            <v/>
          </cell>
        </row>
        <row r="31309">
          <cell r="O31309" t="str">
            <v/>
          </cell>
        </row>
        <row r="31310">
          <cell r="O31310" t="str">
            <v/>
          </cell>
        </row>
        <row r="31311">
          <cell r="O31311" t="str">
            <v/>
          </cell>
        </row>
        <row r="31312">
          <cell r="O31312" t="str">
            <v/>
          </cell>
        </row>
        <row r="31313">
          <cell r="O31313" t="str">
            <v/>
          </cell>
        </row>
        <row r="31314">
          <cell r="O31314" t="str">
            <v/>
          </cell>
        </row>
        <row r="31315">
          <cell r="O31315" t="str">
            <v/>
          </cell>
        </row>
        <row r="31316">
          <cell r="O31316" t="str">
            <v/>
          </cell>
        </row>
        <row r="31317">
          <cell r="O31317" t="str">
            <v/>
          </cell>
        </row>
        <row r="31318">
          <cell r="O31318" t="str">
            <v/>
          </cell>
        </row>
        <row r="31319">
          <cell r="O31319" t="str">
            <v/>
          </cell>
        </row>
        <row r="31320">
          <cell r="O31320" t="str">
            <v/>
          </cell>
        </row>
        <row r="31321">
          <cell r="O31321" t="str">
            <v/>
          </cell>
        </row>
        <row r="31322">
          <cell r="O31322" t="str">
            <v/>
          </cell>
        </row>
        <row r="31323">
          <cell r="O31323" t="str">
            <v/>
          </cell>
        </row>
        <row r="31324">
          <cell r="O31324" t="str">
            <v/>
          </cell>
        </row>
        <row r="31325">
          <cell r="O31325" t="str">
            <v/>
          </cell>
        </row>
        <row r="31326">
          <cell r="O31326" t="str">
            <v/>
          </cell>
        </row>
        <row r="31327">
          <cell r="O31327" t="str">
            <v/>
          </cell>
        </row>
        <row r="31328">
          <cell r="O31328" t="str">
            <v/>
          </cell>
        </row>
        <row r="31329">
          <cell r="O31329" t="str">
            <v/>
          </cell>
        </row>
        <row r="31330">
          <cell r="O31330" t="str">
            <v/>
          </cell>
        </row>
        <row r="31331">
          <cell r="O31331" t="str">
            <v/>
          </cell>
        </row>
        <row r="31332">
          <cell r="O31332" t="str">
            <v/>
          </cell>
        </row>
        <row r="31333">
          <cell r="O31333" t="str">
            <v/>
          </cell>
        </row>
        <row r="31334">
          <cell r="O31334" t="str">
            <v/>
          </cell>
        </row>
        <row r="31335">
          <cell r="O31335" t="str">
            <v/>
          </cell>
        </row>
        <row r="31336">
          <cell r="O31336" t="str">
            <v/>
          </cell>
        </row>
        <row r="31337">
          <cell r="O31337" t="str">
            <v/>
          </cell>
        </row>
        <row r="31338">
          <cell r="O31338" t="str">
            <v/>
          </cell>
        </row>
        <row r="31339">
          <cell r="O31339" t="str">
            <v/>
          </cell>
        </row>
        <row r="31340">
          <cell r="O31340" t="str">
            <v/>
          </cell>
        </row>
        <row r="31341">
          <cell r="O31341" t="str">
            <v/>
          </cell>
        </row>
        <row r="31342">
          <cell r="O31342" t="str">
            <v/>
          </cell>
        </row>
        <row r="31343">
          <cell r="O31343" t="str">
            <v/>
          </cell>
        </row>
        <row r="31344">
          <cell r="O31344" t="str">
            <v/>
          </cell>
        </row>
        <row r="31345">
          <cell r="O31345" t="str">
            <v/>
          </cell>
        </row>
        <row r="31346">
          <cell r="O31346" t="str">
            <v/>
          </cell>
        </row>
        <row r="31347">
          <cell r="O31347" t="str">
            <v/>
          </cell>
        </row>
        <row r="31348">
          <cell r="O31348" t="str">
            <v/>
          </cell>
        </row>
        <row r="31349">
          <cell r="O31349" t="str">
            <v/>
          </cell>
        </row>
        <row r="31350">
          <cell r="O31350" t="str">
            <v/>
          </cell>
        </row>
        <row r="31351">
          <cell r="O31351" t="str">
            <v/>
          </cell>
        </row>
        <row r="31352">
          <cell r="O31352" t="str">
            <v/>
          </cell>
        </row>
        <row r="31353">
          <cell r="O31353" t="str">
            <v/>
          </cell>
        </row>
        <row r="31354">
          <cell r="O31354" t="str">
            <v/>
          </cell>
        </row>
        <row r="31355">
          <cell r="O31355" t="str">
            <v/>
          </cell>
        </row>
        <row r="31356">
          <cell r="O31356" t="str">
            <v/>
          </cell>
        </row>
        <row r="31357">
          <cell r="O31357" t="str">
            <v/>
          </cell>
        </row>
        <row r="31358">
          <cell r="O31358" t="str">
            <v/>
          </cell>
        </row>
        <row r="31359">
          <cell r="O31359" t="str">
            <v/>
          </cell>
        </row>
        <row r="31360">
          <cell r="O31360" t="str">
            <v/>
          </cell>
        </row>
        <row r="31361">
          <cell r="O31361" t="str">
            <v/>
          </cell>
        </row>
        <row r="31362">
          <cell r="O31362" t="str">
            <v/>
          </cell>
        </row>
        <row r="31363">
          <cell r="O31363" t="str">
            <v/>
          </cell>
        </row>
        <row r="31364">
          <cell r="O31364" t="str">
            <v/>
          </cell>
        </row>
        <row r="31365">
          <cell r="O31365" t="str">
            <v/>
          </cell>
        </row>
        <row r="31366">
          <cell r="O31366" t="str">
            <v/>
          </cell>
        </row>
        <row r="31367">
          <cell r="O31367" t="str">
            <v/>
          </cell>
        </row>
        <row r="31368">
          <cell r="O31368" t="str">
            <v/>
          </cell>
        </row>
        <row r="31369">
          <cell r="O31369" t="str">
            <v/>
          </cell>
        </row>
        <row r="31370">
          <cell r="O31370" t="str">
            <v/>
          </cell>
        </row>
        <row r="31371">
          <cell r="O31371" t="str">
            <v/>
          </cell>
        </row>
        <row r="31372">
          <cell r="O31372" t="str">
            <v/>
          </cell>
        </row>
        <row r="31373">
          <cell r="O31373" t="str">
            <v/>
          </cell>
        </row>
        <row r="31374">
          <cell r="O31374" t="str">
            <v/>
          </cell>
        </row>
        <row r="31375">
          <cell r="O31375" t="str">
            <v/>
          </cell>
        </row>
        <row r="31376">
          <cell r="O31376" t="str">
            <v/>
          </cell>
        </row>
        <row r="31377">
          <cell r="O31377" t="str">
            <v/>
          </cell>
        </row>
        <row r="31378">
          <cell r="O31378" t="str">
            <v/>
          </cell>
        </row>
        <row r="31379">
          <cell r="O31379" t="str">
            <v/>
          </cell>
        </row>
        <row r="31380">
          <cell r="O31380" t="str">
            <v/>
          </cell>
        </row>
        <row r="31381">
          <cell r="O31381" t="str">
            <v/>
          </cell>
        </row>
        <row r="31382">
          <cell r="O31382" t="str">
            <v/>
          </cell>
        </row>
        <row r="31383">
          <cell r="O31383" t="str">
            <v/>
          </cell>
        </row>
        <row r="31384">
          <cell r="O31384" t="str">
            <v/>
          </cell>
        </row>
        <row r="31385">
          <cell r="O31385" t="str">
            <v/>
          </cell>
        </row>
        <row r="31386">
          <cell r="O31386" t="str">
            <v/>
          </cell>
        </row>
        <row r="31387">
          <cell r="O31387" t="str">
            <v/>
          </cell>
        </row>
        <row r="31388">
          <cell r="O31388" t="str">
            <v/>
          </cell>
        </row>
        <row r="31389">
          <cell r="O31389" t="str">
            <v/>
          </cell>
        </row>
        <row r="31390">
          <cell r="O31390" t="str">
            <v/>
          </cell>
        </row>
        <row r="31391">
          <cell r="O31391" t="str">
            <v/>
          </cell>
        </row>
        <row r="31392">
          <cell r="O31392" t="str">
            <v/>
          </cell>
        </row>
        <row r="31393">
          <cell r="O31393" t="str">
            <v/>
          </cell>
        </row>
        <row r="31394">
          <cell r="O31394" t="str">
            <v/>
          </cell>
        </row>
        <row r="31395">
          <cell r="O31395" t="str">
            <v/>
          </cell>
        </row>
        <row r="31396">
          <cell r="O31396" t="str">
            <v/>
          </cell>
        </row>
        <row r="31397">
          <cell r="O31397" t="str">
            <v/>
          </cell>
        </row>
        <row r="31398">
          <cell r="O31398" t="str">
            <v/>
          </cell>
        </row>
        <row r="31399">
          <cell r="O31399" t="str">
            <v/>
          </cell>
        </row>
        <row r="31400">
          <cell r="O31400" t="str">
            <v/>
          </cell>
        </row>
        <row r="31401">
          <cell r="O31401" t="str">
            <v/>
          </cell>
        </row>
        <row r="31402">
          <cell r="O31402" t="str">
            <v/>
          </cell>
        </row>
        <row r="31403">
          <cell r="O31403" t="str">
            <v/>
          </cell>
        </row>
        <row r="31404">
          <cell r="O31404" t="str">
            <v/>
          </cell>
        </row>
        <row r="31405">
          <cell r="O31405" t="str">
            <v/>
          </cell>
        </row>
        <row r="31406">
          <cell r="O31406" t="str">
            <v/>
          </cell>
        </row>
        <row r="31407">
          <cell r="O31407" t="str">
            <v/>
          </cell>
        </row>
        <row r="31408">
          <cell r="O31408" t="str">
            <v/>
          </cell>
        </row>
        <row r="31409">
          <cell r="O31409" t="str">
            <v/>
          </cell>
        </row>
        <row r="31410">
          <cell r="O31410" t="str">
            <v/>
          </cell>
        </row>
        <row r="31411">
          <cell r="O31411" t="str">
            <v/>
          </cell>
        </row>
        <row r="31412">
          <cell r="O31412" t="str">
            <v/>
          </cell>
        </row>
        <row r="31413">
          <cell r="O31413" t="str">
            <v/>
          </cell>
        </row>
        <row r="31414">
          <cell r="O31414" t="str">
            <v/>
          </cell>
        </row>
        <row r="31415">
          <cell r="O31415" t="str">
            <v/>
          </cell>
        </row>
        <row r="31416">
          <cell r="O31416" t="str">
            <v/>
          </cell>
        </row>
        <row r="31417">
          <cell r="O31417" t="str">
            <v/>
          </cell>
        </row>
        <row r="31418">
          <cell r="O31418" t="str">
            <v/>
          </cell>
        </row>
        <row r="31419">
          <cell r="O31419" t="str">
            <v/>
          </cell>
        </row>
        <row r="31420">
          <cell r="O31420" t="str">
            <v/>
          </cell>
        </row>
        <row r="31421">
          <cell r="O31421" t="str">
            <v/>
          </cell>
        </row>
        <row r="31422">
          <cell r="O31422" t="str">
            <v/>
          </cell>
        </row>
        <row r="31423">
          <cell r="O31423" t="str">
            <v/>
          </cell>
        </row>
        <row r="31424">
          <cell r="O31424" t="str">
            <v/>
          </cell>
        </row>
        <row r="31425">
          <cell r="O31425" t="str">
            <v/>
          </cell>
        </row>
        <row r="31426">
          <cell r="O31426" t="str">
            <v/>
          </cell>
        </row>
        <row r="31427">
          <cell r="O31427" t="str">
            <v/>
          </cell>
        </row>
        <row r="31428">
          <cell r="O31428" t="str">
            <v/>
          </cell>
        </row>
        <row r="31429">
          <cell r="O31429" t="str">
            <v/>
          </cell>
        </row>
        <row r="31430">
          <cell r="O31430" t="str">
            <v/>
          </cell>
        </row>
        <row r="31431">
          <cell r="O31431" t="str">
            <v/>
          </cell>
        </row>
        <row r="31432">
          <cell r="O31432" t="str">
            <v/>
          </cell>
        </row>
        <row r="31433">
          <cell r="O31433" t="str">
            <v/>
          </cell>
        </row>
        <row r="31434">
          <cell r="O31434" t="str">
            <v/>
          </cell>
        </row>
        <row r="31435">
          <cell r="O31435" t="str">
            <v/>
          </cell>
        </row>
        <row r="31436">
          <cell r="O31436" t="str">
            <v/>
          </cell>
        </row>
        <row r="31437">
          <cell r="O31437" t="str">
            <v/>
          </cell>
        </row>
        <row r="31438">
          <cell r="O31438" t="str">
            <v/>
          </cell>
        </row>
        <row r="31439">
          <cell r="O31439" t="str">
            <v/>
          </cell>
        </row>
        <row r="31440">
          <cell r="O31440" t="str">
            <v/>
          </cell>
        </row>
        <row r="31441">
          <cell r="O31441" t="str">
            <v/>
          </cell>
        </row>
        <row r="31442">
          <cell r="O31442" t="str">
            <v/>
          </cell>
        </row>
        <row r="31443">
          <cell r="O31443" t="str">
            <v/>
          </cell>
        </row>
        <row r="31444">
          <cell r="O31444" t="str">
            <v/>
          </cell>
        </row>
        <row r="31445">
          <cell r="O31445" t="str">
            <v/>
          </cell>
        </row>
        <row r="31446">
          <cell r="O31446" t="str">
            <v/>
          </cell>
        </row>
        <row r="31447">
          <cell r="O31447" t="str">
            <v/>
          </cell>
        </row>
        <row r="31448">
          <cell r="O31448" t="str">
            <v/>
          </cell>
        </row>
        <row r="31449">
          <cell r="O31449" t="str">
            <v/>
          </cell>
        </row>
        <row r="31450">
          <cell r="O31450" t="str">
            <v/>
          </cell>
        </row>
        <row r="31451">
          <cell r="O31451" t="str">
            <v/>
          </cell>
        </row>
        <row r="31452">
          <cell r="O31452" t="str">
            <v/>
          </cell>
        </row>
        <row r="31453">
          <cell r="O31453" t="str">
            <v/>
          </cell>
        </row>
        <row r="31454">
          <cell r="O31454" t="str">
            <v/>
          </cell>
        </row>
        <row r="31455">
          <cell r="O31455" t="str">
            <v/>
          </cell>
        </row>
        <row r="31456">
          <cell r="O31456" t="str">
            <v/>
          </cell>
        </row>
        <row r="31457">
          <cell r="O31457" t="str">
            <v/>
          </cell>
        </row>
        <row r="31458">
          <cell r="O31458" t="str">
            <v/>
          </cell>
        </row>
        <row r="31459">
          <cell r="O31459" t="str">
            <v/>
          </cell>
        </row>
        <row r="31460">
          <cell r="O31460" t="str">
            <v/>
          </cell>
        </row>
        <row r="31461">
          <cell r="O31461" t="str">
            <v/>
          </cell>
        </row>
        <row r="31462">
          <cell r="O31462" t="str">
            <v/>
          </cell>
        </row>
        <row r="31463">
          <cell r="O31463" t="str">
            <v/>
          </cell>
        </row>
        <row r="31464">
          <cell r="O31464" t="str">
            <v/>
          </cell>
        </row>
        <row r="31465">
          <cell r="O31465" t="str">
            <v/>
          </cell>
        </row>
        <row r="31466">
          <cell r="O31466" t="str">
            <v/>
          </cell>
        </row>
        <row r="31467">
          <cell r="O31467" t="str">
            <v/>
          </cell>
        </row>
        <row r="31468">
          <cell r="O31468" t="str">
            <v/>
          </cell>
        </row>
        <row r="31469">
          <cell r="O31469" t="str">
            <v/>
          </cell>
        </row>
        <row r="31470">
          <cell r="O31470" t="str">
            <v/>
          </cell>
        </row>
        <row r="31471">
          <cell r="O31471" t="str">
            <v/>
          </cell>
        </row>
        <row r="31472">
          <cell r="O31472" t="str">
            <v/>
          </cell>
        </row>
        <row r="31473">
          <cell r="O31473" t="str">
            <v/>
          </cell>
        </row>
        <row r="31474">
          <cell r="O31474" t="str">
            <v/>
          </cell>
        </row>
        <row r="31475">
          <cell r="O31475" t="str">
            <v/>
          </cell>
        </row>
        <row r="31476">
          <cell r="O31476" t="str">
            <v/>
          </cell>
        </row>
        <row r="31477">
          <cell r="O31477" t="str">
            <v/>
          </cell>
        </row>
        <row r="31478">
          <cell r="O31478" t="str">
            <v/>
          </cell>
        </row>
        <row r="31479">
          <cell r="O31479" t="str">
            <v/>
          </cell>
        </row>
        <row r="31480">
          <cell r="O31480" t="str">
            <v/>
          </cell>
        </row>
        <row r="31481">
          <cell r="O31481" t="str">
            <v/>
          </cell>
        </row>
        <row r="31482">
          <cell r="O31482" t="str">
            <v/>
          </cell>
        </row>
        <row r="31483">
          <cell r="O31483" t="str">
            <v/>
          </cell>
        </row>
        <row r="31484">
          <cell r="O31484" t="str">
            <v/>
          </cell>
        </row>
        <row r="31485">
          <cell r="O31485" t="str">
            <v/>
          </cell>
        </row>
        <row r="31486">
          <cell r="O31486" t="str">
            <v/>
          </cell>
        </row>
        <row r="31487">
          <cell r="O31487" t="str">
            <v/>
          </cell>
        </row>
        <row r="31488">
          <cell r="O31488" t="str">
            <v/>
          </cell>
        </row>
        <row r="31489">
          <cell r="O31489" t="str">
            <v/>
          </cell>
        </row>
        <row r="31490">
          <cell r="O31490" t="str">
            <v/>
          </cell>
        </row>
        <row r="31491">
          <cell r="O31491" t="str">
            <v/>
          </cell>
        </row>
        <row r="31492">
          <cell r="O31492" t="str">
            <v/>
          </cell>
        </row>
        <row r="31493">
          <cell r="O31493" t="str">
            <v/>
          </cell>
        </row>
        <row r="31494">
          <cell r="O31494" t="str">
            <v/>
          </cell>
        </row>
        <row r="31495">
          <cell r="O31495" t="str">
            <v/>
          </cell>
        </row>
        <row r="31496">
          <cell r="O31496" t="str">
            <v/>
          </cell>
        </row>
        <row r="31497">
          <cell r="O31497" t="str">
            <v/>
          </cell>
        </row>
        <row r="31498">
          <cell r="O31498" t="str">
            <v/>
          </cell>
        </row>
        <row r="31499">
          <cell r="O31499" t="str">
            <v/>
          </cell>
        </row>
        <row r="31500">
          <cell r="O31500" t="str">
            <v/>
          </cell>
        </row>
        <row r="31501">
          <cell r="O31501" t="str">
            <v/>
          </cell>
        </row>
        <row r="31502">
          <cell r="O31502" t="str">
            <v/>
          </cell>
        </row>
        <row r="31503">
          <cell r="O31503" t="str">
            <v/>
          </cell>
        </row>
        <row r="31504">
          <cell r="O31504" t="str">
            <v/>
          </cell>
        </row>
        <row r="31505">
          <cell r="O31505" t="str">
            <v/>
          </cell>
        </row>
        <row r="31506">
          <cell r="O31506" t="str">
            <v/>
          </cell>
        </row>
        <row r="31507">
          <cell r="O31507" t="str">
            <v/>
          </cell>
        </row>
        <row r="31508">
          <cell r="O31508" t="str">
            <v/>
          </cell>
        </row>
        <row r="31509">
          <cell r="O31509" t="str">
            <v/>
          </cell>
        </row>
        <row r="31510">
          <cell r="O31510" t="str">
            <v/>
          </cell>
        </row>
        <row r="31511">
          <cell r="O31511" t="str">
            <v/>
          </cell>
        </row>
        <row r="31512">
          <cell r="O31512" t="str">
            <v/>
          </cell>
        </row>
        <row r="31513">
          <cell r="O31513" t="str">
            <v/>
          </cell>
        </row>
        <row r="31514">
          <cell r="O31514" t="str">
            <v/>
          </cell>
        </row>
        <row r="31515">
          <cell r="O31515" t="str">
            <v/>
          </cell>
        </row>
        <row r="31516">
          <cell r="O31516" t="str">
            <v/>
          </cell>
        </row>
        <row r="31517">
          <cell r="O31517" t="str">
            <v/>
          </cell>
        </row>
        <row r="31518">
          <cell r="O31518" t="str">
            <v/>
          </cell>
        </row>
        <row r="31519">
          <cell r="O31519" t="str">
            <v/>
          </cell>
        </row>
        <row r="31520">
          <cell r="O31520" t="str">
            <v/>
          </cell>
        </row>
        <row r="31521">
          <cell r="O31521" t="str">
            <v/>
          </cell>
        </row>
        <row r="31522">
          <cell r="O31522" t="str">
            <v/>
          </cell>
        </row>
        <row r="31523">
          <cell r="O31523" t="str">
            <v/>
          </cell>
        </row>
        <row r="31524">
          <cell r="O31524" t="str">
            <v/>
          </cell>
        </row>
        <row r="31525">
          <cell r="O31525" t="str">
            <v/>
          </cell>
        </row>
        <row r="31526">
          <cell r="O31526" t="str">
            <v/>
          </cell>
        </row>
        <row r="31527">
          <cell r="O31527" t="str">
            <v/>
          </cell>
        </row>
        <row r="31528">
          <cell r="O31528" t="str">
            <v/>
          </cell>
        </row>
        <row r="31529">
          <cell r="O31529" t="str">
            <v/>
          </cell>
        </row>
        <row r="31530">
          <cell r="O31530" t="str">
            <v/>
          </cell>
        </row>
        <row r="31531">
          <cell r="O31531" t="str">
            <v/>
          </cell>
        </row>
        <row r="31532">
          <cell r="O31532" t="str">
            <v/>
          </cell>
        </row>
        <row r="31533">
          <cell r="O31533" t="str">
            <v/>
          </cell>
        </row>
        <row r="31534">
          <cell r="O31534" t="str">
            <v/>
          </cell>
        </row>
        <row r="31535">
          <cell r="O31535" t="str">
            <v/>
          </cell>
        </row>
        <row r="31536">
          <cell r="O31536" t="str">
            <v/>
          </cell>
        </row>
        <row r="31537">
          <cell r="O31537" t="str">
            <v/>
          </cell>
        </row>
        <row r="31538">
          <cell r="O31538" t="str">
            <v/>
          </cell>
        </row>
        <row r="31539">
          <cell r="O31539" t="str">
            <v/>
          </cell>
        </row>
        <row r="31540">
          <cell r="O31540" t="str">
            <v/>
          </cell>
        </row>
        <row r="31541">
          <cell r="O31541" t="str">
            <v/>
          </cell>
        </row>
        <row r="31542">
          <cell r="O31542" t="str">
            <v/>
          </cell>
        </row>
        <row r="31543">
          <cell r="O31543" t="str">
            <v/>
          </cell>
        </row>
        <row r="31544">
          <cell r="O31544" t="str">
            <v/>
          </cell>
        </row>
        <row r="31545">
          <cell r="O31545" t="str">
            <v/>
          </cell>
        </row>
        <row r="31546">
          <cell r="O31546" t="str">
            <v/>
          </cell>
        </row>
        <row r="31547">
          <cell r="O31547" t="str">
            <v/>
          </cell>
        </row>
        <row r="31548">
          <cell r="O31548" t="str">
            <v/>
          </cell>
        </row>
        <row r="31549">
          <cell r="O31549" t="str">
            <v/>
          </cell>
        </row>
        <row r="31550">
          <cell r="O31550" t="str">
            <v/>
          </cell>
        </row>
        <row r="31551">
          <cell r="O31551" t="str">
            <v/>
          </cell>
        </row>
        <row r="31552">
          <cell r="O31552" t="str">
            <v/>
          </cell>
        </row>
        <row r="31553">
          <cell r="O31553" t="str">
            <v/>
          </cell>
        </row>
        <row r="31554">
          <cell r="O31554" t="str">
            <v/>
          </cell>
        </row>
        <row r="31555">
          <cell r="O31555" t="str">
            <v/>
          </cell>
        </row>
        <row r="31556">
          <cell r="O31556" t="str">
            <v/>
          </cell>
        </row>
        <row r="31557">
          <cell r="O31557" t="str">
            <v/>
          </cell>
        </row>
        <row r="31558">
          <cell r="O31558" t="str">
            <v/>
          </cell>
        </row>
        <row r="31559">
          <cell r="O31559" t="str">
            <v/>
          </cell>
        </row>
        <row r="31560">
          <cell r="O31560" t="str">
            <v/>
          </cell>
        </row>
        <row r="31561">
          <cell r="O31561" t="str">
            <v/>
          </cell>
        </row>
        <row r="31562">
          <cell r="O31562" t="str">
            <v/>
          </cell>
        </row>
        <row r="31563">
          <cell r="O31563" t="str">
            <v/>
          </cell>
        </row>
        <row r="31564">
          <cell r="O31564" t="str">
            <v/>
          </cell>
        </row>
        <row r="31565">
          <cell r="O31565" t="str">
            <v/>
          </cell>
        </row>
        <row r="31566">
          <cell r="O31566" t="str">
            <v/>
          </cell>
        </row>
        <row r="31567">
          <cell r="O31567" t="str">
            <v/>
          </cell>
        </row>
        <row r="31568">
          <cell r="O31568" t="str">
            <v/>
          </cell>
        </row>
        <row r="31569">
          <cell r="O31569" t="str">
            <v/>
          </cell>
        </row>
        <row r="31570">
          <cell r="O31570" t="str">
            <v/>
          </cell>
        </row>
        <row r="31571">
          <cell r="O31571" t="str">
            <v/>
          </cell>
        </row>
        <row r="31572">
          <cell r="O31572" t="str">
            <v/>
          </cell>
        </row>
        <row r="31573">
          <cell r="O31573" t="str">
            <v/>
          </cell>
        </row>
        <row r="31574">
          <cell r="O31574" t="str">
            <v/>
          </cell>
        </row>
        <row r="31575">
          <cell r="O31575" t="str">
            <v/>
          </cell>
        </row>
        <row r="31576">
          <cell r="O31576" t="str">
            <v/>
          </cell>
        </row>
        <row r="31577">
          <cell r="O31577" t="str">
            <v/>
          </cell>
        </row>
        <row r="31578">
          <cell r="O31578" t="str">
            <v/>
          </cell>
        </row>
        <row r="31579">
          <cell r="O31579" t="str">
            <v/>
          </cell>
        </row>
        <row r="31580">
          <cell r="O31580" t="str">
            <v/>
          </cell>
        </row>
        <row r="31581">
          <cell r="O31581" t="str">
            <v/>
          </cell>
        </row>
        <row r="31582">
          <cell r="O31582" t="str">
            <v/>
          </cell>
        </row>
        <row r="31583">
          <cell r="O31583" t="str">
            <v/>
          </cell>
        </row>
        <row r="31584">
          <cell r="O31584" t="str">
            <v/>
          </cell>
        </row>
        <row r="31585">
          <cell r="O31585" t="str">
            <v/>
          </cell>
        </row>
        <row r="31586">
          <cell r="O31586" t="str">
            <v/>
          </cell>
        </row>
        <row r="31587">
          <cell r="O31587" t="str">
            <v/>
          </cell>
        </row>
        <row r="31588">
          <cell r="O31588" t="str">
            <v/>
          </cell>
        </row>
        <row r="31589">
          <cell r="O31589" t="str">
            <v/>
          </cell>
        </row>
        <row r="31590">
          <cell r="O31590" t="str">
            <v/>
          </cell>
        </row>
        <row r="31591">
          <cell r="O31591" t="str">
            <v/>
          </cell>
        </row>
        <row r="31592">
          <cell r="O31592" t="str">
            <v/>
          </cell>
        </row>
        <row r="31593">
          <cell r="O31593" t="str">
            <v/>
          </cell>
        </row>
        <row r="31594">
          <cell r="O31594" t="str">
            <v/>
          </cell>
        </row>
        <row r="31595">
          <cell r="O31595" t="str">
            <v/>
          </cell>
        </row>
        <row r="31596">
          <cell r="O31596" t="str">
            <v/>
          </cell>
        </row>
        <row r="31597">
          <cell r="O31597" t="str">
            <v/>
          </cell>
        </row>
        <row r="31598">
          <cell r="O31598" t="str">
            <v/>
          </cell>
        </row>
        <row r="31599">
          <cell r="O31599" t="str">
            <v/>
          </cell>
        </row>
        <row r="31600">
          <cell r="O31600" t="str">
            <v/>
          </cell>
        </row>
        <row r="31601">
          <cell r="O31601" t="str">
            <v/>
          </cell>
        </row>
        <row r="31602">
          <cell r="O31602" t="str">
            <v/>
          </cell>
        </row>
        <row r="31603">
          <cell r="O31603" t="str">
            <v/>
          </cell>
        </row>
        <row r="31604">
          <cell r="O31604" t="str">
            <v/>
          </cell>
        </row>
        <row r="31605">
          <cell r="O31605" t="str">
            <v/>
          </cell>
        </row>
        <row r="31606">
          <cell r="O31606" t="str">
            <v/>
          </cell>
        </row>
        <row r="31607">
          <cell r="O31607" t="str">
            <v/>
          </cell>
        </row>
        <row r="31608">
          <cell r="O31608" t="str">
            <v/>
          </cell>
        </row>
        <row r="31609">
          <cell r="O31609" t="str">
            <v/>
          </cell>
        </row>
        <row r="31610">
          <cell r="O31610" t="str">
            <v/>
          </cell>
        </row>
        <row r="31611">
          <cell r="O31611" t="str">
            <v/>
          </cell>
        </row>
        <row r="31612">
          <cell r="O31612" t="str">
            <v/>
          </cell>
        </row>
        <row r="31613">
          <cell r="O31613" t="str">
            <v/>
          </cell>
        </row>
        <row r="31614">
          <cell r="O31614" t="str">
            <v/>
          </cell>
        </row>
        <row r="31615">
          <cell r="O31615" t="str">
            <v/>
          </cell>
        </row>
        <row r="31616">
          <cell r="O31616" t="str">
            <v/>
          </cell>
        </row>
        <row r="31617">
          <cell r="O31617" t="str">
            <v/>
          </cell>
        </row>
        <row r="31618">
          <cell r="O31618" t="str">
            <v/>
          </cell>
        </row>
        <row r="31619">
          <cell r="O31619" t="str">
            <v/>
          </cell>
        </row>
        <row r="31620">
          <cell r="O31620" t="str">
            <v/>
          </cell>
        </row>
        <row r="31621">
          <cell r="O31621" t="str">
            <v/>
          </cell>
        </row>
        <row r="31622">
          <cell r="O31622" t="str">
            <v/>
          </cell>
        </row>
        <row r="31623">
          <cell r="O31623" t="str">
            <v/>
          </cell>
        </row>
        <row r="31624">
          <cell r="O31624" t="str">
            <v/>
          </cell>
        </row>
        <row r="31625">
          <cell r="O31625" t="str">
            <v/>
          </cell>
        </row>
        <row r="31626">
          <cell r="O31626" t="str">
            <v/>
          </cell>
        </row>
        <row r="31627">
          <cell r="O31627" t="str">
            <v/>
          </cell>
        </row>
        <row r="31628">
          <cell r="O31628" t="str">
            <v/>
          </cell>
        </row>
        <row r="31629">
          <cell r="O31629" t="str">
            <v/>
          </cell>
        </row>
        <row r="31630">
          <cell r="O31630" t="str">
            <v/>
          </cell>
        </row>
        <row r="31631">
          <cell r="O31631" t="str">
            <v/>
          </cell>
        </row>
        <row r="31632">
          <cell r="O31632" t="str">
            <v/>
          </cell>
        </row>
        <row r="31633">
          <cell r="O31633" t="str">
            <v/>
          </cell>
        </row>
        <row r="31634">
          <cell r="O31634" t="str">
            <v/>
          </cell>
        </row>
        <row r="31635">
          <cell r="O31635" t="str">
            <v/>
          </cell>
        </row>
        <row r="31636">
          <cell r="O31636" t="str">
            <v/>
          </cell>
        </row>
        <row r="31637">
          <cell r="O31637" t="str">
            <v/>
          </cell>
        </row>
        <row r="31638">
          <cell r="O31638" t="str">
            <v/>
          </cell>
        </row>
        <row r="31639">
          <cell r="O31639" t="str">
            <v/>
          </cell>
        </row>
        <row r="31640">
          <cell r="O31640" t="str">
            <v/>
          </cell>
        </row>
        <row r="31641">
          <cell r="O31641" t="str">
            <v/>
          </cell>
        </row>
        <row r="31642">
          <cell r="O31642" t="str">
            <v/>
          </cell>
        </row>
        <row r="31643">
          <cell r="O31643" t="str">
            <v/>
          </cell>
        </row>
        <row r="31644">
          <cell r="O31644" t="str">
            <v/>
          </cell>
        </row>
        <row r="31645">
          <cell r="O31645" t="str">
            <v/>
          </cell>
        </row>
        <row r="31646">
          <cell r="O31646" t="str">
            <v/>
          </cell>
        </row>
        <row r="31647">
          <cell r="O31647" t="str">
            <v/>
          </cell>
        </row>
        <row r="31648">
          <cell r="O31648" t="str">
            <v/>
          </cell>
        </row>
        <row r="31649">
          <cell r="O31649" t="str">
            <v/>
          </cell>
        </row>
        <row r="31650">
          <cell r="O31650" t="str">
            <v/>
          </cell>
        </row>
        <row r="31651">
          <cell r="O31651" t="str">
            <v/>
          </cell>
        </row>
        <row r="31652">
          <cell r="O31652" t="str">
            <v/>
          </cell>
        </row>
        <row r="31653">
          <cell r="O31653" t="str">
            <v/>
          </cell>
        </row>
        <row r="31654">
          <cell r="O31654" t="str">
            <v/>
          </cell>
        </row>
        <row r="31655">
          <cell r="O31655" t="str">
            <v/>
          </cell>
        </row>
        <row r="31656">
          <cell r="O31656" t="str">
            <v/>
          </cell>
        </row>
        <row r="31657">
          <cell r="O31657" t="str">
            <v/>
          </cell>
        </row>
        <row r="31658">
          <cell r="O31658" t="str">
            <v/>
          </cell>
        </row>
        <row r="31659">
          <cell r="O31659" t="str">
            <v/>
          </cell>
        </row>
        <row r="31660">
          <cell r="O31660" t="str">
            <v/>
          </cell>
        </row>
        <row r="31661">
          <cell r="O31661" t="str">
            <v/>
          </cell>
        </row>
        <row r="31662">
          <cell r="O31662" t="str">
            <v/>
          </cell>
        </row>
        <row r="31663">
          <cell r="O31663" t="str">
            <v/>
          </cell>
        </row>
        <row r="31664">
          <cell r="O31664" t="str">
            <v/>
          </cell>
        </row>
        <row r="31665">
          <cell r="O31665" t="str">
            <v/>
          </cell>
        </row>
        <row r="31666">
          <cell r="O31666" t="str">
            <v/>
          </cell>
        </row>
        <row r="31667">
          <cell r="O31667" t="str">
            <v/>
          </cell>
        </row>
        <row r="31668">
          <cell r="O31668" t="str">
            <v/>
          </cell>
        </row>
        <row r="31669">
          <cell r="O31669" t="str">
            <v/>
          </cell>
        </row>
        <row r="31670">
          <cell r="O31670" t="str">
            <v/>
          </cell>
        </row>
        <row r="31671">
          <cell r="O31671" t="str">
            <v/>
          </cell>
        </row>
        <row r="31672">
          <cell r="O31672" t="str">
            <v/>
          </cell>
        </row>
        <row r="31673">
          <cell r="O31673" t="str">
            <v/>
          </cell>
        </row>
        <row r="31674">
          <cell r="O31674" t="str">
            <v/>
          </cell>
        </row>
        <row r="31675">
          <cell r="O31675" t="str">
            <v/>
          </cell>
        </row>
        <row r="31676">
          <cell r="O31676" t="str">
            <v/>
          </cell>
        </row>
        <row r="31677">
          <cell r="O31677" t="str">
            <v/>
          </cell>
        </row>
        <row r="31678">
          <cell r="O31678" t="str">
            <v/>
          </cell>
        </row>
        <row r="31679">
          <cell r="O31679" t="str">
            <v/>
          </cell>
        </row>
        <row r="31680">
          <cell r="O31680" t="str">
            <v/>
          </cell>
        </row>
        <row r="31681">
          <cell r="O31681" t="str">
            <v/>
          </cell>
        </row>
        <row r="31682">
          <cell r="O31682" t="str">
            <v/>
          </cell>
        </row>
        <row r="31683">
          <cell r="O31683" t="str">
            <v/>
          </cell>
        </row>
        <row r="31684">
          <cell r="O31684" t="str">
            <v/>
          </cell>
        </row>
        <row r="31685">
          <cell r="O31685" t="str">
            <v/>
          </cell>
        </row>
        <row r="31686">
          <cell r="O31686" t="str">
            <v/>
          </cell>
        </row>
        <row r="31687">
          <cell r="O31687" t="str">
            <v/>
          </cell>
        </row>
        <row r="31688">
          <cell r="O31688" t="str">
            <v/>
          </cell>
        </row>
        <row r="31689">
          <cell r="O31689" t="str">
            <v/>
          </cell>
        </row>
        <row r="31690">
          <cell r="O31690" t="str">
            <v/>
          </cell>
        </row>
        <row r="31691">
          <cell r="O31691" t="str">
            <v/>
          </cell>
        </row>
        <row r="31692">
          <cell r="O31692" t="str">
            <v/>
          </cell>
        </row>
        <row r="31693">
          <cell r="O31693" t="str">
            <v/>
          </cell>
        </row>
        <row r="31694">
          <cell r="O31694" t="str">
            <v/>
          </cell>
        </row>
        <row r="31695">
          <cell r="O31695" t="str">
            <v/>
          </cell>
        </row>
        <row r="31696">
          <cell r="O31696" t="str">
            <v/>
          </cell>
        </row>
        <row r="31697">
          <cell r="O31697" t="str">
            <v/>
          </cell>
        </row>
        <row r="31698">
          <cell r="O31698" t="str">
            <v/>
          </cell>
        </row>
        <row r="31699">
          <cell r="O31699" t="str">
            <v/>
          </cell>
        </row>
        <row r="31700">
          <cell r="O31700" t="str">
            <v/>
          </cell>
        </row>
        <row r="31701">
          <cell r="O31701" t="str">
            <v/>
          </cell>
        </row>
        <row r="31702">
          <cell r="O31702" t="str">
            <v/>
          </cell>
        </row>
        <row r="31703">
          <cell r="O31703" t="str">
            <v/>
          </cell>
        </row>
        <row r="31704">
          <cell r="O31704" t="str">
            <v/>
          </cell>
        </row>
        <row r="31705">
          <cell r="O31705" t="str">
            <v/>
          </cell>
        </row>
        <row r="31706">
          <cell r="O31706" t="str">
            <v/>
          </cell>
        </row>
        <row r="31707">
          <cell r="O31707" t="str">
            <v/>
          </cell>
        </row>
        <row r="31708">
          <cell r="O31708" t="str">
            <v/>
          </cell>
        </row>
        <row r="31709">
          <cell r="O31709" t="str">
            <v/>
          </cell>
        </row>
        <row r="31710">
          <cell r="O31710" t="str">
            <v/>
          </cell>
        </row>
        <row r="31711">
          <cell r="O31711" t="str">
            <v/>
          </cell>
        </row>
        <row r="31712">
          <cell r="O31712" t="str">
            <v/>
          </cell>
        </row>
        <row r="31713">
          <cell r="O31713" t="str">
            <v/>
          </cell>
        </row>
        <row r="31714">
          <cell r="O31714" t="str">
            <v/>
          </cell>
        </row>
        <row r="31715">
          <cell r="O31715" t="str">
            <v/>
          </cell>
        </row>
        <row r="31716">
          <cell r="O31716" t="str">
            <v/>
          </cell>
        </row>
        <row r="31717">
          <cell r="O31717" t="str">
            <v/>
          </cell>
        </row>
        <row r="31718">
          <cell r="O31718" t="str">
            <v/>
          </cell>
        </row>
        <row r="31719">
          <cell r="O31719" t="str">
            <v/>
          </cell>
        </row>
        <row r="31720">
          <cell r="O31720" t="str">
            <v/>
          </cell>
        </row>
        <row r="31721">
          <cell r="O31721" t="str">
            <v/>
          </cell>
        </row>
        <row r="31722">
          <cell r="O31722" t="str">
            <v/>
          </cell>
        </row>
        <row r="31723">
          <cell r="O31723" t="str">
            <v/>
          </cell>
        </row>
        <row r="31724">
          <cell r="O31724" t="str">
            <v/>
          </cell>
        </row>
        <row r="31725">
          <cell r="O31725" t="str">
            <v/>
          </cell>
        </row>
        <row r="31726">
          <cell r="O31726" t="str">
            <v/>
          </cell>
        </row>
        <row r="31727">
          <cell r="O31727" t="str">
            <v/>
          </cell>
        </row>
        <row r="31728">
          <cell r="O31728" t="str">
            <v/>
          </cell>
        </row>
        <row r="31729">
          <cell r="O31729" t="str">
            <v/>
          </cell>
        </row>
        <row r="31730">
          <cell r="O31730" t="str">
            <v/>
          </cell>
        </row>
        <row r="31731">
          <cell r="O31731" t="str">
            <v/>
          </cell>
        </row>
        <row r="31732">
          <cell r="O31732" t="str">
            <v/>
          </cell>
        </row>
        <row r="31733">
          <cell r="O31733" t="str">
            <v/>
          </cell>
        </row>
        <row r="31734">
          <cell r="O31734" t="str">
            <v/>
          </cell>
        </row>
        <row r="31735">
          <cell r="O31735" t="str">
            <v/>
          </cell>
        </row>
        <row r="31736">
          <cell r="O31736" t="str">
            <v/>
          </cell>
        </row>
        <row r="31737">
          <cell r="O31737" t="str">
            <v/>
          </cell>
        </row>
        <row r="31738">
          <cell r="O31738" t="str">
            <v/>
          </cell>
        </row>
        <row r="31739">
          <cell r="O31739" t="str">
            <v/>
          </cell>
        </row>
        <row r="31740">
          <cell r="O31740" t="str">
            <v/>
          </cell>
        </row>
        <row r="31741">
          <cell r="O31741" t="str">
            <v/>
          </cell>
        </row>
        <row r="31742">
          <cell r="O31742" t="str">
            <v/>
          </cell>
        </row>
        <row r="31743">
          <cell r="O31743" t="str">
            <v/>
          </cell>
        </row>
        <row r="31744">
          <cell r="O31744" t="str">
            <v/>
          </cell>
        </row>
        <row r="31745">
          <cell r="O31745" t="str">
            <v/>
          </cell>
        </row>
        <row r="31746">
          <cell r="O31746" t="str">
            <v/>
          </cell>
        </row>
        <row r="31747">
          <cell r="O31747" t="str">
            <v/>
          </cell>
        </row>
        <row r="31748">
          <cell r="O31748" t="str">
            <v/>
          </cell>
        </row>
        <row r="31749">
          <cell r="O31749" t="str">
            <v/>
          </cell>
        </row>
        <row r="31750">
          <cell r="O31750" t="str">
            <v/>
          </cell>
        </row>
        <row r="31751">
          <cell r="O31751" t="str">
            <v/>
          </cell>
        </row>
        <row r="31752">
          <cell r="O31752" t="str">
            <v/>
          </cell>
        </row>
        <row r="31753">
          <cell r="O31753" t="str">
            <v/>
          </cell>
        </row>
        <row r="31754">
          <cell r="O31754" t="str">
            <v/>
          </cell>
        </row>
        <row r="31755">
          <cell r="O31755" t="str">
            <v/>
          </cell>
        </row>
        <row r="31756">
          <cell r="O31756" t="str">
            <v/>
          </cell>
        </row>
        <row r="31757">
          <cell r="O31757" t="str">
            <v/>
          </cell>
        </row>
        <row r="31758">
          <cell r="O31758" t="str">
            <v/>
          </cell>
        </row>
        <row r="31759">
          <cell r="O31759" t="str">
            <v/>
          </cell>
        </row>
        <row r="31760">
          <cell r="O31760" t="str">
            <v/>
          </cell>
        </row>
        <row r="31761">
          <cell r="O31761" t="str">
            <v/>
          </cell>
        </row>
        <row r="31762">
          <cell r="O31762" t="str">
            <v/>
          </cell>
        </row>
        <row r="31763">
          <cell r="O31763" t="str">
            <v/>
          </cell>
        </row>
        <row r="31764">
          <cell r="O31764" t="str">
            <v/>
          </cell>
        </row>
        <row r="31765">
          <cell r="O31765" t="str">
            <v/>
          </cell>
        </row>
        <row r="31766">
          <cell r="O31766" t="str">
            <v/>
          </cell>
        </row>
        <row r="31767">
          <cell r="O31767" t="str">
            <v/>
          </cell>
        </row>
        <row r="31768">
          <cell r="O31768" t="str">
            <v/>
          </cell>
        </row>
        <row r="31769">
          <cell r="O31769" t="str">
            <v/>
          </cell>
        </row>
        <row r="31770">
          <cell r="O31770" t="str">
            <v/>
          </cell>
        </row>
        <row r="31771">
          <cell r="O31771" t="str">
            <v/>
          </cell>
        </row>
        <row r="31772">
          <cell r="O31772" t="str">
            <v/>
          </cell>
        </row>
        <row r="31773">
          <cell r="O31773" t="str">
            <v/>
          </cell>
        </row>
        <row r="31774">
          <cell r="O31774" t="str">
            <v/>
          </cell>
        </row>
        <row r="31775">
          <cell r="O31775" t="str">
            <v/>
          </cell>
        </row>
        <row r="31776">
          <cell r="O31776" t="str">
            <v/>
          </cell>
        </row>
        <row r="31777">
          <cell r="O31777" t="str">
            <v/>
          </cell>
        </row>
        <row r="31778">
          <cell r="O31778" t="str">
            <v/>
          </cell>
        </row>
        <row r="31779">
          <cell r="O31779" t="str">
            <v/>
          </cell>
        </row>
        <row r="31780">
          <cell r="O31780" t="str">
            <v/>
          </cell>
        </row>
        <row r="31781">
          <cell r="O31781" t="str">
            <v/>
          </cell>
        </row>
        <row r="31782">
          <cell r="O31782" t="str">
            <v/>
          </cell>
        </row>
        <row r="31783">
          <cell r="O31783" t="str">
            <v/>
          </cell>
        </row>
        <row r="31784">
          <cell r="O31784" t="str">
            <v/>
          </cell>
        </row>
        <row r="31785">
          <cell r="O31785" t="str">
            <v/>
          </cell>
        </row>
        <row r="31786">
          <cell r="O31786" t="str">
            <v/>
          </cell>
        </row>
        <row r="31787">
          <cell r="O31787" t="str">
            <v/>
          </cell>
        </row>
        <row r="31788">
          <cell r="O31788" t="str">
            <v/>
          </cell>
        </row>
        <row r="31789">
          <cell r="O31789" t="str">
            <v/>
          </cell>
        </row>
        <row r="31790">
          <cell r="O31790" t="str">
            <v/>
          </cell>
        </row>
        <row r="31791">
          <cell r="O31791" t="str">
            <v/>
          </cell>
        </row>
        <row r="31792">
          <cell r="O31792" t="str">
            <v/>
          </cell>
        </row>
        <row r="31793">
          <cell r="O31793" t="str">
            <v/>
          </cell>
        </row>
        <row r="31794">
          <cell r="O31794" t="str">
            <v/>
          </cell>
        </row>
        <row r="31795">
          <cell r="O31795" t="str">
            <v/>
          </cell>
        </row>
        <row r="31796">
          <cell r="O31796" t="str">
            <v/>
          </cell>
        </row>
        <row r="31797">
          <cell r="O31797" t="str">
            <v/>
          </cell>
        </row>
        <row r="31798">
          <cell r="O31798" t="str">
            <v/>
          </cell>
        </row>
        <row r="31799">
          <cell r="O31799" t="str">
            <v/>
          </cell>
        </row>
        <row r="31800">
          <cell r="O31800" t="str">
            <v/>
          </cell>
        </row>
        <row r="31801">
          <cell r="O31801" t="str">
            <v/>
          </cell>
        </row>
        <row r="31802">
          <cell r="O31802" t="str">
            <v/>
          </cell>
        </row>
        <row r="31803">
          <cell r="O31803" t="str">
            <v/>
          </cell>
        </row>
        <row r="31804">
          <cell r="O31804" t="str">
            <v/>
          </cell>
        </row>
        <row r="31805">
          <cell r="O31805" t="str">
            <v/>
          </cell>
        </row>
        <row r="31806">
          <cell r="O31806" t="str">
            <v/>
          </cell>
        </row>
        <row r="31807">
          <cell r="O31807" t="str">
            <v/>
          </cell>
        </row>
        <row r="31808">
          <cell r="O31808" t="str">
            <v/>
          </cell>
        </row>
        <row r="31809">
          <cell r="O31809" t="str">
            <v/>
          </cell>
        </row>
        <row r="31810">
          <cell r="O31810" t="str">
            <v/>
          </cell>
        </row>
        <row r="31811">
          <cell r="O31811" t="str">
            <v/>
          </cell>
        </row>
        <row r="31812">
          <cell r="O31812" t="str">
            <v/>
          </cell>
        </row>
        <row r="31813">
          <cell r="O31813" t="str">
            <v/>
          </cell>
        </row>
        <row r="31814">
          <cell r="O31814" t="str">
            <v/>
          </cell>
        </row>
        <row r="31815">
          <cell r="O31815" t="str">
            <v/>
          </cell>
        </row>
        <row r="31816">
          <cell r="O31816" t="str">
            <v/>
          </cell>
        </row>
        <row r="31817">
          <cell r="O31817" t="str">
            <v/>
          </cell>
        </row>
        <row r="31818">
          <cell r="O31818" t="str">
            <v/>
          </cell>
        </row>
        <row r="31819">
          <cell r="O31819" t="str">
            <v/>
          </cell>
        </row>
        <row r="31820">
          <cell r="O31820" t="str">
            <v/>
          </cell>
        </row>
        <row r="31821">
          <cell r="O31821" t="str">
            <v/>
          </cell>
        </row>
        <row r="31822">
          <cell r="O31822" t="str">
            <v/>
          </cell>
        </row>
        <row r="31823">
          <cell r="O31823" t="str">
            <v/>
          </cell>
        </row>
        <row r="31824">
          <cell r="O31824" t="str">
            <v/>
          </cell>
        </row>
        <row r="31825">
          <cell r="O31825" t="str">
            <v/>
          </cell>
        </row>
        <row r="31826">
          <cell r="O31826" t="str">
            <v/>
          </cell>
        </row>
        <row r="31827">
          <cell r="O31827" t="str">
            <v/>
          </cell>
        </row>
        <row r="31828">
          <cell r="O31828" t="str">
            <v/>
          </cell>
        </row>
        <row r="31829">
          <cell r="O31829" t="str">
            <v/>
          </cell>
        </row>
        <row r="31830">
          <cell r="O31830" t="str">
            <v/>
          </cell>
        </row>
        <row r="31831">
          <cell r="O31831" t="str">
            <v/>
          </cell>
        </row>
        <row r="31832">
          <cell r="O31832" t="str">
            <v/>
          </cell>
        </row>
        <row r="31833">
          <cell r="O31833" t="str">
            <v/>
          </cell>
        </row>
        <row r="31834">
          <cell r="O31834" t="str">
            <v/>
          </cell>
        </row>
        <row r="31835">
          <cell r="O31835" t="str">
            <v/>
          </cell>
        </row>
        <row r="31836">
          <cell r="O31836" t="str">
            <v/>
          </cell>
        </row>
        <row r="31837">
          <cell r="O31837" t="str">
            <v/>
          </cell>
        </row>
        <row r="31838">
          <cell r="O31838" t="str">
            <v/>
          </cell>
        </row>
        <row r="31839">
          <cell r="O31839" t="str">
            <v/>
          </cell>
        </row>
        <row r="31840">
          <cell r="O31840" t="str">
            <v/>
          </cell>
        </row>
        <row r="31841">
          <cell r="O31841" t="str">
            <v/>
          </cell>
        </row>
        <row r="31842">
          <cell r="O31842" t="str">
            <v/>
          </cell>
        </row>
        <row r="31843">
          <cell r="O31843" t="str">
            <v/>
          </cell>
        </row>
        <row r="31844">
          <cell r="O31844" t="str">
            <v/>
          </cell>
        </row>
        <row r="31845">
          <cell r="O31845" t="str">
            <v/>
          </cell>
        </row>
        <row r="31846">
          <cell r="O31846" t="str">
            <v/>
          </cell>
        </row>
        <row r="31847">
          <cell r="O31847" t="str">
            <v/>
          </cell>
        </row>
        <row r="31848">
          <cell r="O31848" t="str">
            <v/>
          </cell>
        </row>
        <row r="31849">
          <cell r="O31849" t="str">
            <v/>
          </cell>
        </row>
        <row r="31850">
          <cell r="O31850" t="str">
            <v/>
          </cell>
        </row>
        <row r="31851">
          <cell r="O31851" t="str">
            <v/>
          </cell>
        </row>
        <row r="31852">
          <cell r="O31852" t="str">
            <v/>
          </cell>
        </row>
        <row r="31853">
          <cell r="O31853" t="str">
            <v/>
          </cell>
        </row>
        <row r="31854">
          <cell r="O31854" t="str">
            <v/>
          </cell>
        </row>
        <row r="31855">
          <cell r="O31855" t="str">
            <v/>
          </cell>
        </row>
        <row r="31856">
          <cell r="O31856" t="str">
            <v/>
          </cell>
        </row>
        <row r="31857">
          <cell r="O31857" t="str">
            <v/>
          </cell>
        </row>
        <row r="31858">
          <cell r="O31858" t="str">
            <v/>
          </cell>
        </row>
        <row r="31859">
          <cell r="O31859" t="str">
            <v/>
          </cell>
        </row>
        <row r="31860">
          <cell r="O31860" t="str">
            <v/>
          </cell>
        </row>
        <row r="31861">
          <cell r="O31861" t="str">
            <v/>
          </cell>
        </row>
        <row r="31862">
          <cell r="O31862" t="str">
            <v/>
          </cell>
        </row>
        <row r="31863">
          <cell r="O31863" t="str">
            <v/>
          </cell>
        </row>
        <row r="31864">
          <cell r="O31864" t="str">
            <v/>
          </cell>
        </row>
        <row r="31865">
          <cell r="O31865" t="str">
            <v/>
          </cell>
        </row>
        <row r="31866">
          <cell r="O31866" t="str">
            <v/>
          </cell>
        </row>
        <row r="31867">
          <cell r="O31867" t="str">
            <v/>
          </cell>
        </row>
        <row r="31868">
          <cell r="O31868" t="str">
            <v/>
          </cell>
        </row>
        <row r="31869">
          <cell r="O31869" t="str">
            <v/>
          </cell>
        </row>
        <row r="31870">
          <cell r="O31870" t="str">
            <v/>
          </cell>
        </row>
        <row r="31871">
          <cell r="O31871" t="str">
            <v/>
          </cell>
        </row>
        <row r="31872">
          <cell r="O31872" t="str">
            <v/>
          </cell>
        </row>
        <row r="31873">
          <cell r="O31873" t="str">
            <v/>
          </cell>
        </row>
        <row r="31874">
          <cell r="O31874" t="str">
            <v/>
          </cell>
        </row>
        <row r="31875">
          <cell r="O31875" t="str">
            <v/>
          </cell>
        </row>
        <row r="31876">
          <cell r="O31876" t="str">
            <v/>
          </cell>
        </row>
        <row r="31877">
          <cell r="O31877" t="str">
            <v/>
          </cell>
        </row>
        <row r="31878">
          <cell r="O31878" t="str">
            <v/>
          </cell>
        </row>
        <row r="31879">
          <cell r="O31879" t="str">
            <v/>
          </cell>
        </row>
        <row r="31880">
          <cell r="O31880" t="str">
            <v/>
          </cell>
        </row>
        <row r="31881">
          <cell r="O31881" t="str">
            <v/>
          </cell>
        </row>
        <row r="31882">
          <cell r="O31882" t="str">
            <v/>
          </cell>
        </row>
        <row r="31883">
          <cell r="O31883" t="str">
            <v/>
          </cell>
        </row>
        <row r="31884">
          <cell r="O31884" t="str">
            <v/>
          </cell>
        </row>
        <row r="31885">
          <cell r="O31885" t="str">
            <v/>
          </cell>
        </row>
        <row r="31886">
          <cell r="O31886" t="str">
            <v/>
          </cell>
        </row>
        <row r="31887">
          <cell r="O31887" t="str">
            <v/>
          </cell>
        </row>
        <row r="31888">
          <cell r="O31888" t="str">
            <v/>
          </cell>
        </row>
        <row r="31889">
          <cell r="O31889" t="str">
            <v/>
          </cell>
        </row>
        <row r="31890">
          <cell r="O31890" t="str">
            <v/>
          </cell>
        </row>
        <row r="31891">
          <cell r="O31891" t="str">
            <v/>
          </cell>
        </row>
        <row r="31892">
          <cell r="O31892" t="str">
            <v/>
          </cell>
        </row>
        <row r="31893">
          <cell r="O31893" t="str">
            <v/>
          </cell>
        </row>
        <row r="31894">
          <cell r="O31894" t="str">
            <v/>
          </cell>
        </row>
        <row r="31895">
          <cell r="O31895" t="str">
            <v/>
          </cell>
        </row>
        <row r="31896">
          <cell r="O31896" t="str">
            <v/>
          </cell>
        </row>
        <row r="31897">
          <cell r="O31897" t="str">
            <v/>
          </cell>
        </row>
        <row r="31898">
          <cell r="O31898" t="str">
            <v/>
          </cell>
        </row>
        <row r="31899">
          <cell r="O31899" t="str">
            <v/>
          </cell>
        </row>
        <row r="31900">
          <cell r="O31900" t="str">
            <v/>
          </cell>
        </row>
        <row r="31901">
          <cell r="O31901" t="str">
            <v/>
          </cell>
        </row>
        <row r="31902">
          <cell r="O31902" t="str">
            <v/>
          </cell>
        </row>
        <row r="31903">
          <cell r="O31903" t="str">
            <v/>
          </cell>
        </row>
        <row r="31904">
          <cell r="O31904" t="str">
            <v/>
          </cell>
        </row>
        <row r="31905">
          <cell r="O31905" t="str">
            <v/>
          </cell>
        </row>
        <row r="31906">
          <cell r="O31906" t="str">
            <v/>
          </cell>
        </row>
        <row r="31907">
          <cell r="O31907" t="str">
            <v/>
          </cell>
        </row>
        <row r="31908">
          <cell r="O31908" t="str">
            <v/>
          </cell>
        </row>
        <row r="31909">
          <cell r="O31909" t="str">
            <v/>
          </cell>
        </row>
        <row r="31910">
          <cell r="O31910" t="str">
            <v/>
          </cell>
        </row>
        <row r="31911">
          <cell r="O31911" t="str">
            <v/>
          </cell>
        </row>
        <row r="31912">
          <cell r="O31912" t="str">
            <v/>
          </cell>
        </row>
        <row r="31913">
          <cell r="O31913" t="str">
            <v/>
          </cell>
        </row>
        <row r="31914">
          <cell r="O31914" t="str">
            <v/>
          </cell>
        </row>
        <row r="31915">
          <cell r="O31915" t="str">
            <v/>
          </cell>
        </row>
        <row r="31916">
          <cell r="O31916" t="str">
            <v/>
          </cell>
        </row>
        <row r="31917">
          <cell r="O31917" t="str">
            <v/>
          </cell>
        </row>
        <row r="31918">
          <cell r="O31918" t="str">
            <v/>
          </cell>
        </row>
        <row r="31919">
          <cell r="O31919" t="str">
            <v/>
          </cell>
        </row>
        <row r="31920">
          <cell r="O31920" t="str">
            <v/>
          </cell>
        </row>
        <row r="31921">
          <cell r="O31921" t="str">
            <v/>
          </cell>
        </row>
        <row r="31922">
          <cell r="O31922" t="str">
            <v/>
          </cell>
        </row>
        <row r="31923">
          <cell r="O31923" t="str">
            <v/>
          </cell>
        </row>
        <row r="31924">
          <cell r="O31924" t="str">
            <v/>
          </cell>
        </row>
        <row r="31925">
          <cell r="O31925" t="str">
            <v/>
          </cell>
        </row>
        <row r="31926">
          <cell r="O31926" t="str">
            <v/>
          </cell>
        </row>
        <row r="31927">
          <cell r="O31927" t="str">
            <v/>
          </cell>
        </row>
        <row r="31928">
          <cell r="O31928" t="str">
            <v/>
          </cell>
        </row>
        <row r="31929">
          <cell r="O31929" t="str">
            <v/>
          </cell>
        </row>
        <row r="31930">
          <cell r="O31930" t="str">
            <v/>
          </cell>
        </row>
        <row r="31931">
          <cell r="O31931" t="str">
            <v/>
          </cell>
        </row>
        <row r="31932">
          <cell r="O31932" t="str">
            <v/>
          </cell>
        </row>
        <row r="31933">
          <cell r="O31933" t="str">
            <v/>
          </cell>
        </row>
        <row r="31934">
          <cell r="O31934" t="str">
            <v/>
          </cell>
        </row>
        <row r="31935">
          <cell r="O31935" t="str">
            <v/>
          </cell>
        </row>
        <row r="31936">
          <cell r="O31936" t="str">
            <v/>
          </cell>
        </row>
        <row r="31937">
          <cell r="O31937" t="str">
            <v/>
          </cell>
        </row>
        <row r="31938">
          <cell r="O31938" t="str">
            <v/>
          </cell>
        </row>
        <row r="31939">
          <cell r="O31939" t="str">
            <v/>
          </cell>
        </row>
        <row r="31940">
          <cell r="O31940" t="str">
            <v/>
          </cell>
        </row>
        <row r="31941">
          <cell r="O31941" t="str">
            <v/>
          </cell>
        </row>
        <row r="31942">
          <cell r="O31942" t="str">
            <v/>
          </cell>
        </row>
        <row r="31943">
          <cell r="O31943" t="str">
            <v/>
          </cell>
        </row>
        <row r="31944">
          <cell r="O31944" t="str">
            <v/>
          </cell>
        </row>
        <row r="31945">
          <cell r="O31945" t="str">
            <v/>
          </cell>
        </row>
        <row r="31946">
          <cell r="O31946" t="str">
            <v/>
          </cell>
        </row>
        <row r="31947">
          <cell r="O31947" t="str">
            <v/>
          </cell>
        </row>
        <row r="31948">
          <cell r="O31948" t="str">
            <v/>
          </cell>
        </row>
        <row r="31949">
          <cell r="O31949" t="str">
            <v/>
          </cell>
        </row>
        <row r="31950">
          <cell r="O31950" t="str">
            <v/>
          </cell>
        </row>
        <row r="31951">
          <cell r="O31951" t="str">
            <v/>
          </cell>
        </row>
        <row r="31952">
          <cell r="O31952" t="str">
            <v/>
          </cell>
        </row>
        <row r="31953">
          <cell r="O31953" t="str">
            <v/>
          </cell>
        </row>
        <row r="31954">
          <cell r="O31954" t="str">
            <v/>
          </cell>
        </row>
        <row r="31955">
          <cell r="O31955" t="str">
            <v/>
          </cell>
        </row>
        <row r="31956">
          <cell r="O31956" t="str">
            <v/>
          </cell>
        </row>
        <row r="31957">
          <cell r="O31957" t="str">
            <v/>
          </cell>
        </row>
        <row r="31958">
          <cell r="O31958" t="str">
            <v/>
          </cell>
        </row>
        <row r="31959">
          <cell r="O31959" t="str">
            <v/>
          </cell>
        </row>
        <row r="31960">
          <cell r="O31960" t="str">
            <v/>
          </cell>
        </row>
        <row r="31961">
          <cell r="O31961" t="str">
            <v/>
          </cell>
        </row>
        <row r="31962">
          <cell r="O31962" t="str">
            <v/>
          </cell>
        </row>
        <row r="31963">
          <cell r="O31963" t="str">
            <v/>
          </cell>
        </row>
        <row r="31964">
          <cell r="O31964" t="str">
            <v/>
          </cell>
        </row>
        <row r="31965">
          <cell r="O31965" t="str">
            <v/>
          </cell>
        </row>
        <row r="31966">
          <cell r="O31966" t="str">
            <v/>
          </cell>
        </row>
        <row r="31967">
          <cell r="O31967" t="str">
            <v/>
          </cell>
        </row>
        <row r="31968">
          <cell r="O31968" t="str">
            <v/>
          </cell>
        </row>
        <row r="31969">
          <cell r="O31969" t="str">
            <v/>
          </cell>
        </row>
        <row r="31970">
          <cell r="O31970" t="str">
            <v/>
          </cell>
        </row>
        <row r="31971">
          <cell r="O31971" t="str">
            <v/>
          </cell>
        </row>
        <row r="31972">
          <cell r="O31972" t="str">
            <v/>
          </cell>
        </row>
        <row r="31973">
          <cell r="O31973" t="str">
            <v/>
          </cell>
        </row>
        <row r="31974">
          <cell r="O31974" t="str">
            <v/>
          </cell>
        </row>
        <row r="31975">
          <cell r="O31975" t="str">
            <v/>
          </cell>
        </row>
        <row r="31976">
          <cell r="O31976" t="str">
            <v/>
          </cell>
        </row>
        <row r="31977">
          <cell r="O31977" t="str">
            <v/>
          </cell>
        </row>
        <row r="31978">
          <cell r="O31978" t="str">
            <v/>
          </cell>
        </row>
        <row r="31979">
          <cell r="O31979" t="str">
            <v/>
          </cell>
        </row>
        <row r="31980">
          <cell r="O31980" t="str">
            <v/>
          </cell>
        </row>
        <row r="31981">
          <cell r="O31981" t="str">
            <v/>
          </cell>
        </row>
        <row r="31982">
          <cell r="O31982" t="str">
            <v/>
          </cell>
        </row>
        <row r="31983">
          <cell r="O31983" t="str">
            <v/>
          </cell>
        </row>
        <row r="31984">
          <cell r="O31984" t="str">
            <v/>
          </cell>
        </row>
        <row r="31985">
          <cell r="O31985" t="str">
            <v/>
          </cell>
        </row>
        <row r="31986">
          <cell r="O31986" t="str">
            <v/>
          </cell>
        </row>
        <row r="31987">
          <cell r="O31987" t="str">
            <v/>
          </cell>
        </row>
        <row r="31988">
          <cell r="O31988" t="str">
            <v/>
          </cell>
        </row>
        <row r="31989">
          <cell r="O31989" t="str">
            <v/>
          </cell>
        </row>
        <row r="31990">
          <cell r="O31990" t="str">
            <v/>
          </cell>
        </row>
        <row r="31991">
          <cell r="O31991" t="str">
            <v/>
          </cell>
        </row>
        <row r="31992">
          <cell r="O31992" t="str">
            <v/>
          </cell>
        </row>
        <row r="31993">
          <cell r="O31993" t="str">
            <v/>
          </cell>
        </row>
        <row r="31994">
          <cell r="O31994" t="str">
            <v/>
          </cell>
        </row>
        <row r="31995">
          <cell r="O31995" t="str">
            <v/>
          </cell>
        </row>
        <row r="31996">
          <cell r="O31996" t="str">
            <v/>
          </cell>
        </row>
        <row r="31997">
          <cell r="O31997" t="str">
            <v/>
          </cell>
        </row>
        <row r="31998">
          <cell r="O31998" t="str">
            <v/>
          </cell>
        </row>
        <row r="31999">
          <cell r="O31999" t="str">
            <v/>
          </cell>
        </row>
        <row r="32000">
          <cell r="O32000" t="str">
            <v/>
          </cell>
        </row>
        <row r="32001">
          <cell r="O32001" t="str">
            <v/>
          </cell>
        </row>
        <row r="32002">
          <cell r="O32002" t="str">
            <v/>
          </cell>
        </row>
        <row r="32003">
          <cell r="O32003" t="str">
            <v/>
          </cell>
        </row>
        <row r="32004">
          <cell r="O32004" t="str">
            <v/>
          </cell>
        </row>
        <row r="32005">
          <cell r="O32005" t="str">
            <v/>
          </cell>
        </row>
        <row r="32006">
          <cell r="O32006" t="str">
            <v/>
          </cell>
        </row>
        <row r="32007">
          <cell r="O32007" t="str">
            <v/>
          </cell>
        </row>
        <row r="32008">
          <cell r="O32008" t="str">
            <v/>
          </cell>
        </row>
        <row r="32009">
          <cell r="O32009" t="str">
            <v/>
          </cell>
        </row>
        <row r="32010">
          <cell r="O32010" t="str">
            <v/>
          </cell>
        </row>
        <row r="32011">
          <cell r="O32011" t="str">
            <v/>
          </cell>
        </row>
        <row r="32012">
          <cell r="O32012" t="str">
            <v/>
          </cell>
        </row>
        <row r="32013">
          <cell r="O32013" t="str">
            <v/>
          </cell>
        </row>
        <row r="32014">
          <cell r="O32014" t="str">
            <v/>
          </cell>
        </row>
        <row r="32015">
          <cell r="O32015" t="str">
            <v/>
          </cell>
        </row>
        <row r="32016">
          <cell r="O32016" t="str">
            <v/>
          </cell>
        </row>
        <row r="32017">
          <cell r="O32017" t="str">
            <v/>
          </cell>
        </row>
        <row r="32018">
          <cell r="O32018" t="str">
            <v/>
          </cell>
        </row>
        <row r="32019">
          <cell r="O32019" t="str">
            <v/>
          </cell>
        </row>
        <row r="32020">
          <cell r="O32020" t="str">
            <v/>
          </cell>
        </row>
        <row r="32021">
          <cell r="O32021" t="str">
            <v/>
          </cell>
        </row>
        <row r="32022">
          <cell r="O32022" t="str">
            <v/>
          </cell>
        </row>
        <row r="32023">
          <cell r="O32023" t="str">
            <v/>
          </cell>
        </row>
        <row r="32024">
          <cell r="O32024" t="str">
            <v/>
          </cell>
        </row>
        <row r="32025">
          <cell r="O32025" t="str">
            <v/>
          </cell>
        </row>
        <row r="32026">
          <cell r="O32026" t="str">
            <v/>
          </cell>
        </row>
        <row r="32027">
          <cell r="O32027" t="str">
            <v/>
          </cell>
        </row>
        <row r="32028">
          <cell r="O32028" t="str">
            <v/>
          </cell>
        </row>
        <row r="32029">
          <cell r="O32029" t="str">
            <v/>
          </cell>
        </row>
        <row r="32030">
          <cell r="O32030" t="str">
            <v/>
          </cell>
        </row>
        <row r="32031">
          <cell r="O32031" t="str">
            <v/>
          </cell>
        </row>
        <row r="32032">
          <cell r="O32032" t="str">
            <v/>
          </cell>
        </row>
        <row r="32033">
          <cell r="O32033" t="str">
            <v/>
          </cell>
        </row>
        <row r="32034">
          <cell r="O32034" t="str">
            <v/>
          </cell>
        </row>
        <row r="32035">
          <cell r="O32035" t="str">
            <v/>
          </cell>
        </row>
        <row r="32036">
          <cell r="O32036" t="str">
            <v/>
          </cell>
        </row>
        <row r="32037">
          <cell r="O32037" t="str">
            <v/>
          </cell>
        </row>
        <row r="32038">
          <cell r="O32038" t="str">
            <v/>
          </cell>
        </row>
        <row r="32039">
          <cell r="O32039" t="str">
            <v/>
          </cell>
        </row>
        <row r="32040">
          <cell r="O32040" t="str">
            <v/>
          </cell>
        </row>
        <row r="32041">
          <cell r="O32041" t="str">
            <v/>
          </cell>
        </row>
        <row r="32042">
          <cell r="O32042" t="str">
            <v/>
          </cell>
        </row>
        <row r="32043">
          <cell r="O32043" t="str">
            <v/>
          </cell>
        </row>
        <row r="32044">
          <cell r="O32044" t="str">
            <v/>
          </cell>
        </row>
        <row r="32045">
          <cell r="O32045" t="str">
            <v/>
          </cell>
        </row>
        <row r="32046">
          <cell r="O32046" t="str">
            <v/>
          </cell>
        </row>
        <row r="32047">
          <cell r="O32047" t="str">
            <v/>
          </cell>
        </row>
        <row r="32048">
          <cell r="O32048" t="str">
            <v/>
          </cell>
        </row>
        <row r="32049">
          <cell r="O32049" t="str">
            <v/>
          </cell>
        </row>
        <row r="32050">
          <cell r="O32050" t="str">
            <v/>
          </cell>
        </row>
        <row r="32051">
          <cell r="O32051" t="str">
            <v/>
          </cell>
        </row>
        <row r="32052">
          <cell r="O32052" t="str">
            <v/>
          </cell>
        </row>
        <row r="32053">
          <cell r="O32053" t="str">
            <v/>
          </cell>
        </row>
        <row r="32054">
          <cell r="O32054" t="str">
            <v/>
          </cell>
        </row>
        <row r="32055">
          <cell r="O32055" t="str">
            <v/>
          </cell>
        </row>
        <row r="32056">
          <cell r="O32056" t="str">
            <v/>
          </cell>
        </row>
        <row r="32057">
          <cell r="O32057" t="str">
            <v/>
          </cell>
        </row>
        <row r="32058">
          <cell r="O32058" t="str">
            <v/>
          </cell>
        </row>
        <row r="32059">
          <cell r="O32059" t="str">
            <v/>
          </cell>
        </row>
        <row r="32060">
          <cell r="O32060" t="str">
            <v/>
          </cell>
        </row>
        <row r="32061">
          <cell r="O32061" t="str">
            <v/>
          </cell>
        </row>
        <row r="32062">
          <cell r="O32062" t="str">
            <v/>
          </cell>
        </row>
        <row r="32063">
          <cell r="O32063" t="str">
            <v/>
          </cell>
        </row>
        <row r="32064">
          <cell r="O32064" t="str">
            <v/>
          </cell>
        </row>
        <row r="32065">
          <cell r="O32065" t="str">
            <v/>
          </cell>
        </row>
        <row r="32066">
          <cell r="O32066" t="str">
            <v/>
          </cell>
        </row>
        <row r="32067">
          <cell r="O32067" t="str">
            <v/>
          </cell>
        </row>
        <row r="32068">
          <cell r="O32068" t="str">
            <v/>
          </cell>
        </row>
        <row r="32069">
          <cell r="O32069" t="str">
            <v/>
          </cell>
        </row>
        <row r="32070">
          <cell r="O32070" t="str">
            <v/>
          </cell>
        </row>
        <row r="32071">
          <cell r="O32071" t="str">
            <v/>
          </cell>
        </row>
        <row r="32072">
          <cell r="O32072" t="str">
            <v/>
          </cell>
        </row>
        <row r="32073">
          <cell r="O32073" t="str">
            <v/>
          </cell>
        </row>
        <row r="32074">
          <cell r="O32074" t="str">
            <v/>
          </cell>
        </row>
        <row r="32075">
          <cell r="O32075" t="str">
            <v/>
          </cell>
        </row>
        <row r="32076">
          <cell r="O32076" t="str">
            <v/>
          </cell>
        </row>
        <row r="32077">
          <cell r="O32077" t="str">
            <v/>
          </cell>
        </row>
        <row r="32078">
          <cell r="O32078" t="str">
            <v/>
          </cell>
        </row>
        <row r="32079">
          <cell r="O32079" t="str">
            <v/>
          </cell>
        </row>
        <row r="32080">
          <cell r="O32080" t="str">
            <v/>
          </cell>
        </row>
        <row r="32081">
          <cell r="O32081" t="str">
            <v/>
          </cell>
        </row>
        <row r="32082">
          <cell r="O32082" t="str">
            <v/>
          </cell>
        </row>
        <row r="32083">
          <cell r="O32083" t="str">
            <v/>
          </cell>
        </row>
        <row r="32084">
          <cell r="O32084" t="str">
            <v/>
          </cell>
        </row>
        <row r="32085">
          <cell r="O32085" t="str">
            <v/>
          </cell>
        </row>
        <row r="32086">
          <cell r="O32086" t="str">
            <v/>
          </cell>
        </row>
        <row r="32087">
          <cell r="O32087" t="str">
            <v/>
          </cell>
        </row>
        <row r="32088">
          <cell r="O32088" t="str">
            <v/>
          </cell>
        </row>
        <row r="32089">
          <cell r="O32089" t="str">
            <v/>
          </cell>
        </row>
        <row r="32090">
          <cell r="O32090" t="str">
            <v/>
          </cell>
        </row>
        <row r="32091">
          <cell r="O32091" t="str">
            <v/>
          </cell>
        </row>
        <row r="32092">
          <cell r="O32092" t="str">
            <v/>
          </cell>
        </row>
        <row r="32093">
          <cell r="O32093" t="str">
            <v/>
          </cell>
        </row>
        <row r="32094">
          <cell r="O32094" t="str">
            <v/>
          </cell>
        </row>
        <row r="32095">
          <cell r="O32095" t="str">
            <v/>
          </cell>
        </row>
        <row r="32096">
          <cell r="O32096" t="str">
            <v/>
          </cell>
        </row>
        <row r="32097">
          <cell r="O32097" t="str">
            <v/>
          </cell>
        </row>
        <row r="32098">
          <cell r="O32098" t="str">
            <v/>
          </cell>
        </row>
        <row r="32099">
          <cell r="O32099" t="str">
            <v/>
          </cell>
        </row>
        <row r="32100">
          <cell r="O32100" t="str">
            <v/>
          </cell>
        </row>
        <row r="32101">
          <cell r="O32101" t="str">
            <v/>
          </cell>
        </row>
        <row r="32102">
          <cell r="O32102" t="str">
            <v/>
          </cell>
        </row>
        <row r="32103">
          <cell r="O32103" t="str">
            <v/>
          </cell>
        </row>
        <row r="32104">
          <cell r="O32104" t="str">
            <v/>
          </cell>
        </row>
        <row r="32105">
          <cell r="O32105" t="str">
            <v/>
          </cell>
        </row>
        <row r="32106">
          <cell r="O32106" t="str">
            <v/>
          </cell>
        </row>
        <row r="32107">
          <cell r="O32107" t="str">
            <v/>
          </cell>
        </row>
        <row r="32108">
          <cell r="O32108" t="str">
            <v/>
          </cell>
        </row>
        <row r="32109">
          <cell r="O32109" t="str">
            <v/>
          </cell>
        </row>
        <row r="32110">
          <cell r="O32110" t="str">
            <v/>
          </cell>
        </row>
        <row r="32111">
          <cell r="O32111" t="str">
            <v/>
          </cell>
        </row>
        <row r="32112">
          <cell r="O32112" t="str">
            <v/>
          </cell>
        </row>
        <row r="32113">
          <cell r="O32113" t="str">
            <v/>
          </cell>
        </row>
        <row r="32114">
          <cell r="O32114" t="str">
            <v/>
          </cell>
        </row>
        <row r="32115">
          <cell r="O32115" t="str">
            <v/>
          </cell>
        </row>
        <row r="32116">
          <cell r="O32116" t="str">
            <v/>
          </cell>
        </row>
        <row r="32117">
          <cell r="O32117" t="str">
            <v/>
          </cell>
        </row>
        <row r="32118">
          <cell r="O32118" t="str">
            <v/>
          </cell>
        </row>
        <row r="32119">
          <cell r="O32119" t="str">
            <v/>
          </cell>
        </row>
        <row r="32120">
          <cell r="O32120" t="str">
            <v/>
          </cell>
        </row>
        <row r="32121">
          <cell r="O32121" t="str">
            <v/>
          </cell>
        </row>
        <row r="32122">
          <cell r="O32122" t="str">
            <v/>
          </cell>
        </row>
        <row r="32123">
          <cell r="O32123" t="str">
            <v/>
          </cell>
        </row>
        <row r="32124">
          <cell r="O32124" t="str">
            <v/>
          </cell>
        </row>
        <row r="32125">
          <cell r="O32125" t="str">
            <v/>
          </cell>
        </row>
        <row r="32126">
          <cell r="O32126" t="str">
            <v/>
          </cell>
        </row>
        <row r="32127">
          <cell r="O32127" t="str">
            <v/>
          </cell>
        </row>
        <row r="32128">
          <cell r="O32128" t="str">
            <v/>
          </cell>
        </row>
        <row r="32129">
          <cell r="O32129" t="str">
            <v/>
          </cell>
        </row>
        <row r="32130">
          <cell r="O32130" t="str">
            <v/>
          </cell>
        </row>
        <row r="32131">
          <cell r="O32131" t="str">
            <v/>
          </cell>
        </row>
        <row r="32132">
          <cell r="O32132" t="str">
            <v/>
          </cell>
        </row>
        <row r="32133">
          <cell r="O32133" t="str">
            <v/>
          </cell>
        </row>
        <row r="32134">
          <cell r="O32134" t="str">
            <v/>
          </cell>
        </row>
        <row r="32135">
          <cell r="O32135" t="str">
            <v/>
          </cell>
        </row>
        <row r="32136">
          <cell r="O32136" t="str">
            <v/>
          </cell>
        </row>
        <row r="32137">
          <cell r="O32137" t="str">
            <v/>
          </cell>
        </row>
        <row r="32138">
          <cell r="O32138" t="str">
            <v/>
          </cell>
        </row>
        <row r="32139">
          <cell r="O32139" t="str">
            <v/>
          </cell>
        </row>
        <row r="32140">
          <cell r="O32140" t="str">
            <v/>
          </cell>
        </row>
        <row r="32141">
          <cell r="O32141" t="str">
            <v/>
          </cell>
        </row>
        <row r="32142">
          <cell r="O32142" t="str">
            <v/>
          </cell>
        </row>
        <row r="32143">
          <cell r="O32143" t="str">
            <v/>
          </cell>
        </row>
        <row r="32144">
          <cell r="O32144" t="str">
            <v/>
          </cell>
        </row>
        <row r="32145">
          <cell r="O32145" t="str">
            <v/>
          </cell>
        </row>
        <row r="32146">
          <cell r="O32146" t="str">
            <v/>
          </cell>
        </row>
        <row r="32147">
          <cell r="O32147" t="str">
            <v/>
          </cell>
        </row>
        <row r="32148">
          <cell r="O32148" t="str">
            <v/>
          </cell>
        </row>
        <row r="32149">
          <cell r="O32149" t="str">
            <v/>
          </cell>
        </row>
        <row r="32150">
          <cell r="O32150" t="str">
            <v/>
          </cell>
        </row>
        <row r="32151">
          <cell r="O32151" t="str">
            <v/>
          </cell>
        </row>
        <row r="32152">
          <cell r="O32152" t="str">
            <v/>
          </cell>
        </row>
        <row r="32153">
          <cell r="O32153" t="str">
            <v/>
          </cell>
        </row>
        <row r="32154">
          <cell r="O32154" t="str">
            <v/>
          </cell>
        </row>
        <row r="32155">
          <cell r="O32155" t="str">
            <v/>
          </cell>
        </row>
        <row r="32156">
          <cell r="O32156" t="str">
            <v/>
          </cell>
        </row>
        <row r="32157">
          <cell r="O32157" t="str">
            <v/>
          </cell>
        </row>
        <row r="32158">
          <cell r="O32158" t="str">
            <v/>
          </cell>
        </row>
        <row r="32159">
          <cell r="O32159" t="str">
            <v/>
          </cell>
        </row>
        <row r="32160">
          <cell r="O32160" t="str">
            <v/>
          </cell>
        </row>
        <row r="32161">
          <cell r="O32161" t="str">
            <v/>
          </cell>
        </row>
        <row r="32162">
          <cell r="O32162" t="str">
            <v/>
          </cell>
        </row>
        <row r="32163">
          <cell r="O32163" t="str">
            <v/>
          </cell>
        </row>
        <row r="32164">
          <cell r="O32164" t="str">
            <v/>
          </cell>
        </row>
        <row r="32165">
          <cell r="O32165" t="str">
            <v/>
          </cell>
        </row>
        <row r="32166">
          <cell r="O32166" t="str">
            <v/>
          </cell>
        </row>
        <row r="32167">
          <cell r="O32167" t="str">
            <v/>
          </cell>
        </row>
        <row r="32168">
          <cell r="O32168" t="str">
            <v/>
          </cell>
        </row>
        <row r="32169">
          <cell r="O32169" t="str">
            <v/>
          </cell>
        </row>
        <row r="32170">
          <cell r="O32170" t="str">
            <v/>
          </cell>
        </row>
        <row r="32171">
          <cell r="O32171" t="str">
            <v/>
          </cell>
        </row>
        <row r="32172">
          <cell r="O32172" t="str">
            <v/>
          </cell>
        </row>
        <row r="32173">
          <cell r="O32173" t="str">
            <v/>
          </cell>
        </row>
        <row r="32174">
          <cell r="O32174" t="str">
            <v/>
          </cell>
        </row>
        <row r="32175">
          <cell r="O32175" t="str">
            <v/>
          </cell>
        </row>
        <row r="32176">
          <cell r="O32176" t="str">
            <v/>
          </cell>
        </row>
        <row r="32177">
          <cell r="O32177" t="str">
            <v/>
          </cell>
        </row>
        <row r="32178">
          <cell r="O32178" t="str">
            <v/>
          </cell>
        </row>
        <row r="32179">
          <cell r="O32179" t="str">
            <v/>
          </cell>
        </row>
        <row r="32180">
          <cell r="O32180" t="str">
            <v/>
          </cell>
        </row>
        <row r="32181">
          <cell r="O32181" t="str">
            <v/>
          </cell>
        </row>
        <row r="32182">
          <cell r="O32182" t="str">
            <v/>
          </cell>
        </row>
        <row r="32183">
          <cell r="O32183" t="str">
            <v/>
          </cell>
        </row>
        <row r="32184">
          <cell r="O32184" t="str">
            <v/>
          </cell>
        </row>
        <row r="32185">
          <cell r="O32185" t="str">
            <v/>
          </cell>
        </row>
        <row r="32186">
          <cell r="O32186" t="str">
            <v/>
          </cell>
        </row>
        <row r="32187">
          <cell r="O32187" t="str">
            <v/>
          </cell>
        </row>
        <row r="32188">
          <cell r="O32188" t="str">
            <v/>
          </cell>
        </row>
        <row r="32189">
          <cell r="O32189" t="str">
            <v/>
          </cell>
        </row>
        <row r="32190">
          <cell r="O32190" t="str">
            <v/>
          </cell>
        </row>
        <row r="32191">
          <cell r="O32191" t="str">
            <v/>
          </cell>
        </row>
        <row r="32192">
          <cell r="O32192" t="str">
            <v/>
          </cell>
        </row>
        <row r="32193">
          <cell r="O32193" t="str">
            <v/>
          </cell>
        </row>
        <row r="32194">
          <cell r="O32194" t="str">
            <v/>
          </cell>
        </row>
        <row r="32195">
          <cell r="O32195" t="str">
            <v/>
          </cell>
        </row>
        <row r="32196">
          <cell r="O32196" t="str">
            <v/>
          </cell>
        </row>
        <row r="32197">
          <cell r="O32197" t="str">
            <v/>
          </cell>
        </row>
        <row r="32198">
          <cell r="O32198" t="str">
            <v/>
          </cell>
        </row>
        <row r="32199">
          <cell r="O32199" t="str">
            <v/>
          </cell>
        </row>
        <row r="32200">
          <cell r="O32200" t="str">
            <v/>
          </cell>
        </row>
        <row r="32201">
          <cell r="O32201" t="str">
            <v/>
          </cell>
        </row>
        <row r="32202">
          <cell r="O32202" t="str">
            <v/>
          </cell>
        </row>
        <row r="32203">
          <cell r="O32203" t="str">
            <v/>
          </cell>
        </row>
        <row r="32204">
          <cell r="O32204" t="str">
            <v/>
          </cell>
        </row>
        <row r="32205">
          <cell r="O32205" t="str">
            <v/>
          </cell>
        </row>
        <row r="32206">
          <cell r="O32206" t="str">
            <v/>
          </cell>
        </row>
        <row r="32207">
          <cell r="O32207" t="str">
            <v/>
          </cell>
        </row>
        <row r="32208">
          <cell r="O32208" t="str">
            <v/>
          </cell>
        </row>
        <row r="32209">
          <cell r="O32209" t="str">
            <v/>
          </cell>
        </row>
        <row r="32210">
          <cell r="O32210" t="str">
            <v/>
          </cell>
        </row>
        <row r="32211">
          <cell r="O32211" t="str">
            <v/>
          </cell>
        </row>
        <row r="32212">
          <cell r="O32212" t="str">
            <v/>
          </cell>
        </row>
        <row r="32213">
          <cell r="O32213" t="str">
            <v/>
          </cell>
        </row>
        <row r="32214">
          <cell r="O32214" t="str">
            <v/>
          </cell>
        </row>
        <row r="32215">
          <cell r="O32215" t="str">
            <v/>
          </cell>
        </row>
        <row r="32216">
          <cell r="O32216" t="str">
            <v/>
          </cell>
        </row>
        <row r="32217">
          <cell r="O32217" t="str">
            <v/>
          </cell>
        </row>
        <row r="32218">
          <cell r="O32218" t="str">
            <v/>
          </cell>
        </row>
        <row r="32219">
          <cell r="O32219" t="str">
            <v/>
          </cell>
        </row>
        <row r="32220">
          <cell r="O32220" t="str">
            <v/>
          </cell>
        </row>
        <row r="32221">
          <cell r="O32221" t="str">
            <v/>
          </cell>
        </row>
        <row r="32222">
          <cell r="O32222" t="str">
            <v/>
          </cell>
        </row>
        <row r="32223">
          <cell r="O32223" t="str">
            <v/>
          </cell>
        </row>
        <row r="32224">
          <cell r="O32224" t="str">
            <v/>
          </cell>
        </row>
        <row r="32225">
          <cell r="O32225" t="str">
            <v/>
          </cell>
        </row>
        <row r="32226">
          <cell r="O32226" t="str">
            <v/>
          </cell>
        </row>
        <row r="32227">
          <cell r="O32227" t="str">
            <v/>
          </cell>
        </row>
        <row r="32228">
          <cell r="O32228" t="str">
            <v/>
          </cell>
        </row>
        <row r="32229">
          <cell r="O32229" t="str">
            <v/>
          </cell>
        </row>
        <row r="32230">
          <cell r="O32230" t="str">
            <v/>
          </cell>
        </row>
        <row r="32231">
          <cell r="O32231" t="str">
            <v/>
          </cell>
        </row>
        <row r="32232">
          <cell r="O32232" t="str">
            <v/>
          </cell>
        </row>
        <row r="32233">
          <cell r="O32233" t="str">
            <v/>
          </cell>
        </row>
        <row r="32234">
          <cell r="O32234" t="str">
            <v/>
          </cell>
        </row>
        <row r="32235">
          <cell r="O32235" t="str">
            <v/>
          </cell>
        </row>
        <row r="32236">
          <cell r="O32236" t="str">
            <v/>
          </cell>
        </row>
        <row r="32237">
          <cell r="O32237" t="str">
            <v/>
          </cell>
        </row>
        <row r="32238">
          <cell r="O32238" t="str">
            <v/>
          </cell>
        </row>
        <row r="32239">
          <cell r="O32239" t="str">
            <v/>
          </cell>
        </row>
        <row r="32240">
          <cell r="O32240" t="str">
            <v/>
          </cell>
        </row>
        <row r="32241">
          <cell r="O32241" t="str">
            <v/>
          </cell>
        </row>
        <row r="32242">
          <cell r="O32242" t="str">
            <v/>
          </cell>
        </row>
        <row r="32243">
          <cell r="O32243" t="str">
            <v/>
          </cell>
        </row>
        <row r="32244">
          <cell r="O32244" t="str">
            <v/>
          </cell>
        </row>
        <row r="32245">
          <cell r="O32245" t="str">
            <v/>
          </cell>
        </row>
        <row r="32246">
          <cell r="O32246" t="str">
            <v/>
          </cell>
        </row>
        <row r="32247">
          <cell r="O32247" t="str">
            <v/>
          </cell>
        </row>
        <row r="32248">
          <cell r="O32248" t="str">
            <v/>
          </cell>
        </row>
        <row r="32249">
          <cell r="O32249" t="str">
            <v/>
          </cell>
        </row>
        <row r="32250">
          <cell r="O32250" t="str">
            <v/>
          </cell>
        </row>
        <row r="32251">
          <cell r="O32251" t="str">
            <v/>
          </cell>
        </row>
        <row r="32252">
          <cell r="O32252" t="str">
            <v/>
          </cell>
        </row>
        <row r="32253">
          <cell r="O32253" t="str">
            <v/>
          </cell>
        </row>
        <row r="32254">
          <cell r="O32254" t="str">
            <v/>
          </cell>
        </row>
        <row r="32255">
          <cell r="O32255" t="str">
            <v/>
          </cell>
        </row>
        <row r="32256">
          <cell r="O32256" t="str">
            <v/>
          </cell>
        </row>
        <row r="32257">
          <cell r="O32257" t="str">
            <v/>
          </cell>
        </row>
        <row r="32258">
          <cell r="O32258" t="str">
            <v/>
          </cell>
        </row>
        <row r="32259">
          <cell r="O32259" t="str">
            <v/>
          </cell>
        </row>
        <row r="32260">
          <cell r="O32260" t="str">
            <v/>
          </cell>
        </row>
        <row r="32261">
          <cell r="O32261" t="str">
            <v/>
          </cell>
        </row>
        <row r="32262">
          <cell r="O32262" t="str">
            <v/>
          </cell>
        </row>
        <row r="32263">
          <cell r="O32263" t="str">
            <v/>
          </cell>
        </row>
        <row r="32264">
          <cell r="O32264" t="str">
            <v/>
          </cell>
        </row>
        <row r="32265">
          <cell r="O32265" t="str">
            <v/>
          </cell>
        </row>
        <row r="32266">
          <cell r="O32266" t="str">
            <v/>
          </cell>
        </row>
        <row r="32267">
          <cell r="O32267" t="str">
            <v/>
          </cell>
        </row>
        <row r="32268">
          <cell r="O32268" t="str">
            <v/>
          </cell>
        </row>
        <row r="32269">
          <cell r="O32269" t="str">
            <v/>
          </cell>
        </row>
        <row r="32270">
          <cell r="O32270" t="str">
            <v/>
          </cell>
        </row>
        <row r="32271">
          <cell r="O32271" t="str">
            <v/>
          </cell>
        </row>
        <row r="32272">
          <cell r="O32272" t="str">
            <v/>
          </cell>
        </row>
        <row r="32273">
          <cell r="O32273" t="str">
            <v/>
          </cell>
        </row>
        <row r="32274">
          <cell r="O32274" t="str">
            <v/>
          </cell>
        </row>
        <row r="32275">
          <cell r="O32275" t="str">
            <v/>
          </cell>
        </row>
        <row r="32276">
          <cell r="O32276" t="str">
            <v/>
          </cell>
        </row>
        <row r="32277">
          <cell r="O32277" t="str">
            <v/>
          </cell>
        </row>
        <row r="32278">
          <cell r="O32278" t="str">
            <v/>
          </cell>
        </row>
        <row r="32279">
          <cell r="O32279" t="str">
            <v/>
          </cell>
        </row>
        <row r="32280">
          <cell r="O32280" t="str">
            <v/>
          </cell>
        </row>
        <row r="32281">
          <cell r="O32281" t="str">
            <v/>
          </cell>
        </row>
        <row r="32282">
          <cell r="O32282" t="str">
            <v/>
          </cell>
        </row>
        <row r="32283">
          <cell r="O32283" t="str">
            <v/>
          </cell>
        </row>
        <row r="32284">
          <cell r="O32284" t="str">
            <v/>
          </cell>
        </row>
        <row r="32285">
          <cell r="O32285" t="str">
            <v/>
          </cell>
        </row>
        <row r="32286">
          <cell r="O32286" t="str">
            <v/>
          </cell>
        </row>
        <row r="32287">
          <cell r="O32287" t="str">
            <v/>
          </cell>
        </row>
        <row r="32288">
          <cell r="O32288" t="str">
            <v/>
          </cell>
        </row>
        <row r="32289">
          <cell r="O32289" t="str">
            <v/>
          </cell>
        </row>
        <row r="32290">
          <cell r="O32290" t="str">
            <v/>
          </cell>
        </row>
        <row r="32291">
          <cell r="O32291" t="str">
            <v/>
          </cell>
        </row>
        <row r="32292">
          <cell r="O32292" t="str">
            <v/>
          </cell>
        </row>
        <row r="32293">
          <cell r="O32293" t="str">
            <v/>
          </cell>
        </row>
        <row r="32294">
          <cell r="O32294" t="str">
            <v/>
          </cell>
        </row>
        <row r="32295">
          <cell r="O32295" t="str">
            <v/>
          </cell>
        </row>
        <row r="32296">
          <cell r="O32296" t="str">
            <v/>
          </cell>
        </row>
        <row r="32297">
          <cell r="O32297" t="str">
            <v/>
          </cell>
        </row>
        <row r="32298">
          <cell r="O32298" t="str">
            <v/>
          </cell>
        </row>
        <row r="32299">
          <cell r="O32299" t="str">
            <v/>
          </cell>
        </row>
        <row r="32300">
          <cell r="O32300" t="str">
            <v/>
          </cell>
        </row>
        <row r="32301">
          <cell r="O32301" t="str">
            <v/>
          </cell>
        </row>
        <row r="32302">
          <cell r="O32302" t="str">
            <v/>
          </cell>
        </row>
        <row r="32303">
          <cell r="O32303" t="str">
            <v/>
          </cell>
        </row>
        <row r="32304">
          <cell r="O32304" t="str">
            <v/>
          </cell>
        </row>
        <row r="32305">
          <cell r="O32305" t="str">
            <v/>
          </cell>
        </row>
        <row r="32306">
          <cell r="O32306" t="str">
            <v/>
          </cell>
        </row>
        <row r="32307">
          <cell r="O32307" t="str">
            <v/>
          </cell>
        </row>
        <row r="32308">
          <cell r="O32308" t="str">
            <v/>
          </cell>
        </row>
        <row r="32309">
          <cell r="O32309" t="str">
            <v/>
          </cell>
        </row>
        <row r="32310">
          <cell r="O32310" t="str">
            <v/>
          </cell>
        </row>
        <row r="32311">
          <cell r="O32311" t="str">
            <v/>
          </cell>
        </row>
        <row r="32312">
          <cell r="O32312" t="str">
            <v/>
          </cell>
        </row>
        <row r="32313">
          <cell r="O32313" t="str">
            <v/>
          </cell>
        </row>
        <row r="32314">
          <cell r="O32314" t="str">
            <v/>
          </cell>
        </row>
        <row r="32315">
          <cell r="O32315" t="str">
            <v/>
          </cell>
        </row>
        <row r="32316">
          <cell r="O32316" t="str">
            <v/>
          </cell>
        </row>
        <row r="32317">
          <cell r="O32317" t="str">
            <v/>
          </cell>
        </row>
        <row r="32318">
          <cell r="O32318" t="str">
            <v/>
          </cell>
        </row>
        <row r="32319">
          <cell r="O32319" t="str">
            <v/>
          </cell>
        </row>
        <row r="32320">
          <cell r="O32320" t="str">
            <v/>
          </cell>
        </row>
        <row r="32321">
          <cell r="O32321" t="str">
            <v/>
          </cell>
        </row>
        <row r="32322">
          <cell r="O32322" t="str">
            <v/>
          </cell>
        </row>
        <row r="32323">
          <cell r="O32323" t="str">
            <v/>
          </cell>
        </row>
        <row r="32324">
          <cell r="O32324" t="str">
            <v/>
          </cell>
        </row>
        <row r="32325">
          <cell r="O32325" t="str">
            <v/>
          </cell>
        </row>
        <row r="32326">
          <cell r="O32326" t="str">
            <v/>
          </cell>
        </row>
        <row r="32327">
          <cell r="O32327" t="str">
            <v/>
          </cell>
        </row>
        <row r="32328">
          <cell r="O32328" t="str">
            <v/>
          </cell>
        </row>
        <row r="32329">
          <cell r="O32329" t="str">
            <v/>
          </cell>
        </row>
        <row r="32330">
          <cell r="O32330" t="str">
            <v/>
          </cell>
        </row>
        <row r="32331">
          <cell r="O32331" t="str">
            <v/>
          </cell>
        </row>
        <row r="32332">
          <cell r="O32332" t="str">
            <v/>
          </cell>
        </row>
        <row r="32333">
          <cell r="O32333" t="str">
            <v/>
          </cell>
        </row>
        <row r="32334">
          <cell r="O32334" t="str">
            <v/>
          </cell>
        </row>
        <row r="32335">
          <cell r="O32335" t="str">
            <v/>
          </cell>
        </row>
        <row r="32336">
          <cell r="O32336" t="str">
            <v/>
          </cell>
        </row>
        <row r="32337">
          <cell r="O32337" t="str">
            <v/>
          </cell>
        </row>
        <row r="32338">
          <cell r="O32338" t="str">
            <v/>
          </cell>
        </row>
        <row r="32339">
          <cell r="O32339" t="str">
            <v/>
          </cell>
        </row>
        <row r="32340">
          <cell r="O32340" t="str">
            <v/>
          </cell>
        </row>
        <row r="32341">
          <cell r="O32341" t="str">
            <v/>
          </cell>
        </row>
        <row r="32342">
          <cell r="O32342" t="str">
            <v/>
          </cell>
        </row>
        <row r="32343">
          <cell r="O32343" t="str">
            <v/>
          </cell>
        </row>
        <row r="32344">
          <cell r="O32344" t="str">
            <v/>
          </cell>
        </row>
        <row r="32345">
          <cell r="O32345" t="str">
            <v/>
          </cell>
        </row>
        <row r="32346">
          <cell r="O32346" t="str">
            <v/>
          </cell>
        </row>
        <row r="32347">
          <cell r="O32347" t="str">
            <v/>
          </cell>
        </row>
        <row r="32348">
          <cell r="O32348" t="str">
            <v/>
          </cell>
        </row>
        <row r="32349">
          <cell r="O32349" t="str">
            <v/>
          </cell>
        </row>
        <row r="32350">
          <cell r="O32350" t="str">
            <v/>
          </cell>
        </row>
        <row r="32351">
          <cell r="O32351" t="str">
            <v/>
          </cell>
        </row>
        <row r="32352">
          <cell r="O32352" t="str">
            <v/>
          </cell>
        </row>
        <row r="32353">
          <cell r="O32353" t="str">
            <v/>
          </cell>
        </row>
        <row r="32354">
          <cell r="O32354" t="str">
            <v/>
          </cell>
        </row>
        <row r="32355">
          <cell r="O32355" t="str">
            <v/>
          </cell>
        </row>
        <row r="32356">
          <cell r="O32356" t="str">
            <v/>
          </cell>
        </row>
        <row r="32357">
          <cell r="O32357" t="str">
            <v/>
          </cell>
        </row>
        <row r="32358">
          <cell r="O32358" t="str">
            <v/>
          </cell>
        </row>
        <row r="32359">
          <cell r="O32359" t="str">
            <v/>
          </cell>
        </row>
        <row r="32360">
          <cell r="O32360" t="str">
            <v/>
          </cell>
        </row>
        <row r="32361">
          <cell r="O32361" t="str">
            <v/>
          </cell>
        </row>
        <row r="32362">
          <cell r="O32362" t="str">
            <v/>
          </cell>
        </row>
        <row r="32363">
          <cell r="O32363" t="str">
            <v/>
          </cell>
        </row>
        <row r="32364">
          <cell r="O32364" t="str">
            <v/>
          </cell>
        </row>
        <row r="32365">
          <cell r="O32365" t="str">
            <v/>
          </cell>
        </row>
        <row r="32366">
          <cell r="O32366" t="str">
            <v/>
          </cell>
        </row>
        <row r="32367">
          <cell r="O32367" t="str">
            <v/>
          </cell>
        </row>
        <row r="32368">
          <cell r="O32368" t="str">
            <v/>
          </cell>
        </row>
        <row r="32369">
          <cell r="O32369" t="str">
            <v/>
          </cell>
        </row>
        <row r="32370">
          <cell r="O32370" t="str">
            <v/>
          </cell>
        </row>
        <row r="32371">
          <cell r="O32371" t="str">
            <v/>
          </cell>
        </row>
        <row r="32372">
          <cell r="O32372" t="str">
            <v/>
          </cell>
        </row>
        <row r="32373">
          <cell r="O32373" t="str">
            <v/>
          </cell>
        </row>
        <row r="32374">
          <cell r="O32374" t="str">
            <v/>
          </cell>
        </row>
        <row r="32375">
          <cell r="O32375" t="str">
            <v/>
          </cell>
        </row>
        <row r="32376">
          <cell r="O32376" t="str">
            <v/>
          </cell>
        </row>
        <row r="32377">
          <cell r="O32377" t="str">
            <v/>
          </cell>
        </row>
        <row r="32378">
          <cell r="O32378" t="str">
            <v/>
          </cell>
        </row>
        <row r="32379">
          <cell r="O32379" t="str">
            <v/>
          </cell>
        </row>
        <row r="32380">
          <cell r="O32380" t="str">
            <v/>
          </cell>
        </row>
        <row r="32381">
          <cell r="O32381" t="str">
            <v/>
          </cell>
        </row>
        <row r="32382">
          <cell r="O32382" t="str">
            <v/>
          </cell>
        </row>
        <row r="32383">
          <cell r="O32383" t="str">
            <v/>
          </cell>
        </row>
        <row r="32384">
          <cell r="O32384" t="str">
            <v/>
          </cell>
        </row>
        <row r="32385">
          <cell r="O32385" t="str">
            <v/>
          </cell>
        </row>
        <row r="32386">
          <cell r="O32386" t="str">
            <v/>
          </cell>
        </row>
        <row r="32387">
          <cell r="O32387" t="str">
            <v/>
          </cell>
        </row>
        <row r="32388">
          <cell r="O32388" t="str">
            <v/>
          </cell>
        </row>
        <row r="32389">
          <cell r="O32389" t="str">
            <v/>
          </cell>
        </row>
        <row r="32390">
          <cell r="O32390" t="str">
            <v/>
          </cell>
        </row>
        <row r="32391">
          <cell r="O32391" t="str">
            <v/>
          </cell>
        </row>
        <row r="32392">
          <cell r="O32392" t="str">
            <v/>
          </cell>
        </row>
        <row r="32393">
          <cell r="O32393" t="str">
            <v/>
          </cell>
        </row>
        <row r="32394">
          <cell r="O32394" t="str">
            <v/>
          </cell>
        </row>
        <row r="32395">
          <cell r="O32395" t="str">
            <v/>
          </cell>
        </row>
        <row r="32396">
          <cell r="O32396" t="str">
            <v/>
          </cell>
        </row>
        <row r="32397">
          <cell r="O32397" t="str">
            <v/>
          </cell>
        </row>
        <row r="32398">
          <cell r="O32398" t="str">
            <v/>
          </cell>
        </row>
        <row r="32399">
          <cell r="O32399" t="str">
            <v/>
          </cell>
        </row>
        <row r="32400">
          <cell r="O32400" t="str">
            <v/>
          </cell>
        </row>
        <row r="32401">
          <cell r="O32401" t="str">
            <v/>
          </cell>
        </row>
        <row r="32402">
          <cell r="O32402" t="str">
            <v/>
          </cell>
        </row>
        <row r="32403">
          <cell r="O32403" t="str">
            <v/>
          </cell>
        </row>
        <row r="32404">
          <cell r="O32404" t="str">
            <v/>
          </cell>
        </row>
        <row r="32405">
          <cell r="O32405" t="str">
            <v/>
          </cell>
        </row>
        <row r="32406">
          <cell r="O32406" t="str">
            <v/>
          </cell>
        </row>
        <row r="32407">
          <cell r="O32407" t="str">
            <v/>
          </cell>
        </row>
        <row r="32408">
          <cell r="O32408" t="str">
            <v/>
          </cell>
        </row>
        <row r="32409">
          <cell r="O32409" t="str">
            <v/>
          </cell>
        </row>
        <row r="32410">
          <cell r="O32410" t="str">
            <v/>
          </cell>
        </row>
        <row r="32411">
          <cell r="O32411" t="str">
            <v/>
          </cell>
        </row>
        <row r="32412">
          <cell r="O32412" t="str">
            <v/>
          </cell>
        </row>
        <row r="32413">
          <cell r="O32413" t="str">
            <v/>
          </cell>
        </row>
        <row r="32414">
          <cell r="O32414" t="str">
            <v/>
          </cell>
        </row>
        <row r="32415">
          <cell r="O32415" t="str">
            <v/>
          </cell>
        </row>
        <row r="32416">
          <cell r="O32416" t="str">
            <v/>
          </cell>
        </row>
        <row r="32417">
          <cell r="O32417" t="str">
            <v/>
          </cell>
        </row>
        <row r="32418">
          <cell r="O32418" t="str">
            <v/>
          </cell>
        </row>
        <row r="32419">
          <cell r="O32419" t="str">
            <v/>
          </cell>
        </row>
        <row r="32420">
          <cell r="O32420" t="str">
            <v/>
          </cell>
        </row>
        <row r="32421">
          <cell r="O32421" t="str">
            <v/>
          </cell>
        </row>
        <row r="32422">
          <cell r="O32422" t="str">
            <v/>
          </cell>
        </row>
        <row r="32423">
          <cell r="O32423" t="str">
            <v/>
          </cell>
        </row>
        <row r="32424">
          <cell r="O32424" t="str">
            <v/>
          </cell>
        </row>
        <row r="32425">
          <cell r="O32425" t="str">
            <v/>
          </cell>
        </row>
        <row r="32426">
          <cell r="O32426" t="str">
            <v/>
          </cell>
        </row>
        <row r="32427">
          <cell r="O32427" t="str">
            <v/>
          </cell>
        </row>
        <row r="32428">
          <cell r="O32428" t="str">
            <v/>
          </cell>
        </row>
        <row r="32429">
          <cell r="O32429" t="str">
            <v/>
          </cell>
        </row>
        <row r="32430">
          <cell r="O32430" t="str">
            <v/>
          </cell>
        </row>
        <row r="32431">
          <cell r="O32431" t="str">
            <v/>
          </cell>
        </row>
        <row r="32432">
          <cell r="O32432" t="str">
            <v/>
          </cell>
        </row>
        <row r="32433">
          <cell r="O32433" t="str">
            <v/>
          </cell>
        </row>
        <row r="32434">
          <cell r="O32434" t="str">
            <v/>
          </cell>
        </row>
        <row r="32435">
          <cell r="O32435" t="str">
            <v/>
          </cell>
        </row>
        <row r="32436">
          <cell r="O32436" t="str">
            <v/>
          </cell>
        </row>
        <row r="32437">
          <cell r="O32437" t="str">
            <v/>
          </cell>
        </row>
        <row r="32438">
          <cell r="O32438" t="str">
            <v/>
          </cell>
        </row>
        <row r="32439">
          <cell r="O32439" t="str">
            <v/>
          </cell>
        </row>
        <row r="32440">
          <cell r="O32440" t="str">
            <v/>
          </cell>
        </row>
        <row r="32441">
          <cell r="O32441" t="str">
            <v/>
          </cell>
        </row>
        <row r="32442">
          <cell r="O32442" t="str">
            <v/>
          </cell>
        </row>
        <row r="32443">
          <cell r="O32443" t="str">
            <v/>
          </cell>
        </row>
        <row r="32444">
          <cell r="O32444" t="str">
            <v/>
          </cell>
        </row>
        <row r="32445">
          <cell r="O32445" t="str">
            <v/>
          </cell>
        </row>
        <row r="32446">
          <cell r="O32446" t="str">
            <v/>
          </cell>
        </row>
        <row r="32447">
          <cell r="O32447" t="str">
            <v/>
          </cell>
        </row>
        <row r="32448">
          <cell r="O32448" t="str">
            <v/>
          </cell>
        </row>
        <row r="32449">
          <cell r="O32449" t="str">
            <v/>
          </cell>
        </row>
        <row r="32450">
          <cell r="O32450" t="str">
            <v/>
          </cell>
        </row>
        <row r="32451">
          <cell r="O32451" t="str">
            <v/>
          </cell>
        </row>
        <row r="32452">
          <cell r="O32452" t="str">
            <v/>
          </cell>
        </row>
        <row r="32453">
          <cell r="O32453" t="str">
            <v/>
          </cell>
        </row>
        <row r="32454">
          <cell r="O32454" t="str">
            <v/>
          </cell>
        </row>
        <row r="32455">
          <cell r="O32455" t="str">
            <v/>
          </cell>
        </row>
        <row r="32456">
          <cell r="O32456" t="str">
            <v/>
          </cell>
        </row>
        <row r="32457">
          <cell r="O32457" t="str">
            <v/>
          </cell>
        </row>
        <row r="32458">
          <cell r="O32458" t="str">
            <v/>
          </cell>
        </row>
        <row r="32459">
          <cell r="O32459" t="str">
            <v/>
          </cell>
        </row>
        <row r="32460">
          <cell r="O32460" t="str">
            <v/>
          </cell>
        </row>
        <row r="32461">
          <cell r="O32461" t="str">
            <v/>
          </cell>
        </row>
        <row r="32462">
          <cell r="O32462" t="str">
            <v/>
          </cell>
        </row>
        <row r="32463">
          <cell r="O32463" t="str">
            <v/>
          </cell>
        </row>
        <row r="32464">
          <cell r="O32464" t="str">
            <v/>
          </cell>
        </row>
        <row r="32465">
          <cell r="O32465" t="str">
            <v/>
          </cell>
        </row>
        <row r="32466">
          <cell r="O32466" t="str">
            <v/>
          </cell>
        </row>
        <row r="32467">
          <cell r="O32467" t="str">
            <v/>
          </cell>
        </row>
        <row r="32468">
          <cell r="O32468" t="str">
            <v/>
          </cell>
        </row>
        <row r="32469">
          <cell r="O32469" t="str">
            <v/>
          </cell>
        </row>
        <row r="32470">
          <cell r="O32470" t="str">
            <v/>
          </cell>
        </row>
        <row r="32471">
          <cell r="O32471" t="str">
            <v/>
          </cell>
        </row>
        <row r="32472">
          <cell r="O32472" t="str">
            <v/>
          </cell>
        </row>
        <row r="32473">
          <cell r="O32473" t="str">
            <v/>
          </cell>
        </row>
        <row r="32474">
          <cell r="O32474" t="str">
            <v/>
          </cell>
        </row>
        <row r="32475">
          <cell r="O32475" t="str">
            <v/>
          </cell>
        </row>
        <row r="32476">
          <cell r="O32476" t="str">
            <v/>
          </cell>
        </row>
        <row r="32477">
          <cell r="O32477" t="str">
            <v/>
          </cell>
        </row>
        <row r="32478">
          <cell r="O32478" t="str">
            <v/>
          </cell>
        </row>
        <row r="32479">
          <cell r="O32479" t="str">
            <v/>
          </cell>
        </row>
        <row r="32480">
          <cell r="O32480" t="str">
            <v/>
          </cell>
        </row>
        <row r="32481">
          <cell r="O32481" t="str">
            <v/>
          </cell>
        </row>
        <row r="32482">
          <cell r="O32482" t="str">
            <v/>
          </cell>
        </row>
        <row r="32483">
          <cell r="O32483" t="str">
            <v/>
          </cell>
        </row>
        <row r="32484">
          <cell r="O32484" t="str">
            <v/>
          </cell>
        </row>
        <row r="32485">
          <cell r="O32485" t="str">
            <v/>
          </cell>
        </row>
        <row r="32486">
          <cell r="O32486" t="str">
            <v/>
          </cell>
        </row>
        <row r="32487">
          <cell r="O32487" t="str">
            <v/>
          </cell>
        </row>
        <row r="32488">
          <cell r="O32488" t="str">
            <v/>
          </cell>
        </row>
        <row r="32489">
          <cell r="O32489" t="str">
            <v/>
          </cell>
        </row>
        <row r="32490">
          <cell r="O32490" t="str">
            <v/>
          </cell>
        </row>
        <row r="32491">
          <cell r="O32491" t="str">
            <v/>
          </cell>
        </row>
        <row r="32492">
          <cell r="O32492" t="str">
            <v/>
          </cell>
        </row>
        <row r="32493">
          <cell r="O32493" t="str">
            <v/>
          </cell>
        </row>
        <row r="32494">
          <cell r="O32494" t="str">
            <v/>
          </cell>
        </row>
        <row r="32495">
          <cell r="O32495" t="str">
            <v/>
          </cell>
        </row>
        <row r="32496">
          <cell r="O32496" t="str">
            <v/>
          </cell>
        </row>
        <row r="32497">
          <cell r="O32497" t="str">
            <v/>
          </cell>
        </row>
        <row r="32498">
          <cell r="O32498" t="str">
            <v/>
          </cell>
        </row>
        <row r="32499">
          <cell r="O32499" t="str">
            <v/>
          </cell>
        </row>
        <row r="32500">
          <cell r="O32500" t="str">
            <v/>
          </cell>
        </row>
        <row r="32501">
          <cell r="O32501" t="str">
            <v/>
          </cell>
        </row>
        <row r="32502">
          <cell r="O32502" t="str">
            <v/>
          </cell>
        </row>
        <row r="32503">
          <cell r="O32503" t="str">
            <v/>
          </cell>
        </row>
        <row r="32504">
          <cell r="O32504" t="str">
            <v/>
          </cell>
        </row>
        <row r="32505">
          <cell r="O32505" t="str">
            <v/>
          </cell>
        </row>
        <row r="32506">
          <cell r="O32506" t="str">
            <v/>
          </cell>
        </row>
        <row r="32507">
          <cell r="O32507" t="str">
            <v/>
          </cell>
        </row>
        <row r="32508">
          <cell r="O32508" t="str">
            <v/>
          </cell>
        </row>
        <row r="32509">
          <cell r="O32509" t="str">
            <v/>
          </cell>
        </row>
        <row r="32510">
          <cell r="O32510" t="str">
            <v/>
          </cell>
        </row>
        <row r="32511">
          <cell r="O32511" t="str">
            <v/>
          </cell>
        </row>
        <row r="32512">
          <cell r="O32512" t="str">
            <v/>
          </cell>
        </row>
        <row r="32513">
          <cell r="O32513" t="str">
            <v/>
          </cell>
        </row>
        <row r="32514">
          <cell r="O32514" t="str">
            <v/>
          </cell>
        </row>
        <row r="32515">
          <cell r="O32515" t="str">
            <v/>
          </cell>
        </row>
        <row r="32516">
          <cell r="O32516" t="str">
            <v/>
          </cell>
        </row>
        <row r="32517">
          <cell r="O32517" t="str">
            <v/>
          </cell>
        </row>
        <row r="32518">
          <cell r="O32518" t="str">
            <v/>
          </cell>
        </row>
        <row r="32519">
          <cell r="O32519" t="str">
            <v/>
          </cell>
        </row>
        <row r="32520">
          <cell r="O32520" t="str">
            <v/>
          </cell>
        </row>
        <row r="32521">
          <cell r="O32521" t="str">
            <v/>
          </cell>
        </row>
        <row r="32522">
          <cell r="O32522" t="str">
            <v/>
          </cell>
        </row>
        <row r="32523">
          <cell r="O32523" t="str">
            <v/>
          </cell>
        </row>
        <row r="32524">
          <cell r="O32524" t="str">
            <v/>
          </cell>
        </row>
        <row r="32525">
          <cell r="O32525" t="str">
            <v/>
          </cell>
        </row>
        <row r="32526">
          <cell r="O32526" t="str">
            <v/>
          </cell>
        </row>
        <row r="32527">
          <cell r="O32527" t="str">
            <v/>
          </cell>
        </row>
        <row r="32528">
          <cell r="O32528" t="str">
            <v/>
          </cell>
        </row>
        <row r="32529">
          <cell r="O32529" t="str">
            <v/>
          </cell>
        </row>
        <row r="32530">
          <cell r="O32530" t="str">
            <v/>
          </cell>
        </row>
        <row r="32531">
          <cell r="O32531" t="str">
            <v/>
          </cell>
        </row>
        <row r="32532">
          <cell r="O32532" t="str">
            <v/>
          </cell>
        </row>
        <row r="32533">
          <cell r="O32533" t="str">
            <v/>
          </cell>
        </row>
        <row r="32534">
          <cell r="O32534" t="str">
            <v/>
          </cell>
        </row>
        <row r="32535">
          <cell r="O32535" t="str">
            <v/>
          </cell>
        </row>
        <row r="32536">
          <cell r="O32536" t="str">
            <v/>
          </cell>
        </row>
        <row r="32537">
          <cell r="O32537" t="str">
            <v/>
          </cell>
        </row>
        <row r="32538">
          <cell r="O32538" t="str">
            <v/>
          </cell>
        </row>
        <row r="32539">
          <cell r="O32539" t="str">
            <v/>
          </cell>
        </row>
        <row r="32540">
          <cell r="O32540" t="str">
            <v/>
          </cell>
        </row>
        <row r="32541">
          <cell r="O32541" t="str">
            <v/>
          </cell>
        </row>
        <row r="32542">
          <cell r="O32542" t="str">
            <v/>
          </cell>
        </row>
        <row r="32543">
          <cell r="O32543" t="str">
            <v/>
          </cell>
        </row>
        <row r="32544">
          <cell r="O32544" t="str">
            <v/>
          </cell>
        </row>
        <row r="32545">
          <cell r="O32545" t="str">
            <v/>
          </cell>
        </row>
        <row r="32546">
          <cell r="O32546" t="str">
            <v/>
          </cell>
        </row>
        <row r="32547">
          <cell r="O32547" t="str">
            <v/>
          </cell>
        </row>
        <row r="32548">
          <cell r="O32548" t="str">
            <v/>
          </cell>
        </row>
        <row r="32549">
          <cell r="O32549" t="str">
            <v/>
          </cell>
        </row>
        <row r="32550">
          <cell r="O32550" t="str">
            <v/>
          </cell>
        </row>
        <row r="32551">
          <cell r="O32551" t="str">
            <v/>
          </cell>
        </row>
        <row r="32552">
          <cell r="O32552" t="str">
            <v/>
          </cell>
        </row>
        <row r="32553">
          <cell r="O32553" t="str">
            <v/>
          </cell>
        </row>
        <row r="32554">
          <cell r="O32554" t="str">
            <v/>
          </cell>
        </row>
        <row r="32555">
          <cell r="O32555" t="str">
            <v/>
          </cell>
        </row>
        <row r="32556">
          <cell r="O32556" t="str">
            <v/>
          </cell>
        </row>
        <row r="32557">
          <cell r="O32557" t="str">
            <v/>
          </cell>
        </row>
        <row r="32558">
          <cell r="O32558" t="str">
            <v/>
          </cell>
        </row>
        <row r="32559">
          <cell r="O32559" t="str">
            <v/>
          </cell>
        </row>
        <row r="32560">
          <cell r="O32560" t="str">
            <v/>
          </cell>
        </row>
        <row r="32561">
          <cell r="O32561" t="str">
            <v/>
          </cell>
        </row>
        <row r="32562">
          <cell r="O32562" t="str">
            <v/>
          </cell>
        </row>
        <row r="32563">
          <cell r="O32563" t="str">
            <v/>
          </cell>
        </row>
        <row r="32564">
          <cell r="O32564" t="str">
            <v/>
          </cell>
        </row>
        <row r="32565">
          <cell r="O32565" t="str">
            <v/>
          </cell>
        </row>
        <row r="32566">
          <cell r="O32566" t="str">
            <v/>
          </cell>
        </row>
        <row r="32567">
          <cell r="O32567" t="str">
            <v/>
          </cell>
        </row>
        <row r="32568">
          <cell r="O32568" t="str">
            <v/>
          </cell>
        </row>
        <row r="32569">
          <cell r="O32569" t="str">
            <v/>
          </cell>
        </row>
        <row r="32570">
          <cell r="O32570" t="str">
            <v/>
          </cell>
        </row>
        <row r="32571">
          <cell r="O32571" t="str">
            <v/>
          </cell>
        </row>
        <row r="32572">
          <cell r="O32572" t="str">
            <v/>
          </cell>
        </row>
        <row r="32573">
          <cell r="O32573" t="str">
            <v/>
          </cell>
        </row>
        <row r="32574">
          <cell r="O32574" t="str">
            <v/>
          </cell>
        </row>
        <row r="32575">
          <cell r="O32575" t="str">
            <v/>
          </cell>
        </row>
        <row r="32576">
          <cell r="O32576" t="str">
            <v/>
          </cell>
        </row>
        <row r="32577">
          <cell r="O32577" t="str">
            <v/>
          </cell>
        </row>
        <row r="32578">
          <cell r="O32578" t="str">
            <v/>
          </cell>
        </row>
        <row r="32579">
          <cell r="O32579" t="str">
            <v/>
          </cell>
        </row>
        <row r="32580">
          <cell r="O32580" t="str">
            <v/>
          </cell>
        </row>
        <row r="32581">
          <cell r="O32581" t="str">
            <v/>
          </cell>
        </row>
        <row r="32582">
          <cell r="O32582" t="str">
            <v/>
          </cell>
        </row>
        <row r="32583">
          <cell r="O32583" t="str">
            <v/>
          </cell>
        </row>
        <row r="32584">
          <cell r="O32584" t="str">
            <v/>
          </cell>
        </row>
        <row r="32585">
          <cell r="O32585" t="str">
            <v/>
          </cell>
        </row>
        <row r="32586">
          <cell r="O32586" t="str">
            <v/>
          </cell>
        </row>
        <row r="32587">
          <cell r="O32587" t="str">
            <v/>
          </cell>
        </row>
        <row r="32588">
          <cell r="O32588" t="str">
            <v/>
          </cell>
        </row>
        <row r="32589">
          <cell r="O32589" t="str">
            <v/>
          </cell>
        </row>
        <row r="32590">
          <cell r="O32590" t="str">
            <v/>
          </cell>
        </row>
        <row r="32591">
          <cell r="O32591" t="str">
            <v/>
          </cell>
        </row>
        <row r="32592">
          <cell r="O32592" t="str">
            <v/>
          </cell>
        </row>
        <row r="32593">
          <cell r="O32593" t="str">
            <v/>
          </cell>
        </row>
        <row r="32594">
          <cell r="O32594" t="str">
            <v/>
          </cell>
        </row>
        <row r="32595">
          <cell r="O32595" t="str">
            <v/>
          </cell>
        </row>
        <row r="32596">
          <cell r="O32596" t="str">
            <v/>
          </cell>
        </row>
        <row r="32597">
          <cell r="O32597" t="str">
            <v/>
          </cell>
        </row>
        <row r="32598">
          <cell r="O32598" t="str">
            <v/>
          </cell>
        </row>
        <row r="32599">
          <cell r="O32599" t="str">
            <v/>
          </cell>
        </row>
        <row r="32600">
          <cell r="O32600" t="str">
            <v/>
          </cell>
        </row>
        <row r="32601">
          <cell r="O32601" t="str">
            <v/>
          </cell>
        </row>
        <row r="32602">
          <cell r="O32602" t="str">
            <v/>
          </cell>
        </row>
        <row r="32603">
          <cell r="O32603" t="str">
            <v/>
          </cell>
        </row>
        <row r="32604">
          <cell r="O32604" t="str">
            <v/>
          </cell>
        </row>
        <row r="32605">
          <cell r="O32605" t="str">
            <v/>
          </cell>
        </row>
        <row r="32606">
          <cell r="O32606" t="str">
            <v/>
          </cell>
        </row>
        <row r="32607">
          <cell r="O32607" t="str">
            <v/>
          </cell>
        </row>
        <row r="32608">
          <cell r="O32608" t="str">
            <v/>
          </cell>
        </row>
        <row r="32609">
          <cell r="O32609" t="str">
            <v/>
          </cell>
        </row>
        <row r="32610">
          <cell r="O32610" t="str">
            <v/>
          </cell>
        </row>
        <row r="32611">
          <cell r="O32611" t="str">
            <v/>
          </cell>
        </row>
        <row r="32612">
          <cell r="O32612" t="str">
            <v/>
          </cell>
        </row>
        <row r="32613">
          <cell r="O32613" t="str">
            <v/>
          </cell>
        </row>
        <row r="32614">
          <cell r="O32614" t="str">
            <v/>
          </cell>
        </row>
        <row r="32615">
          <cell r="O32615" t="str">
            <v/>
          </cell>
        </row>
        <row r="32616">
          <cell r="O32616" t="str">
            <v/>
          </cell>
        </row>
        <row r="32617">
          <cell r="O32617" t="str">
            <v/>
          </cell>
        </row>
        <row r="32618">
          <cell r="O32618" t="str">
            <v/>
          </cell>
        </row>
        <row r="32619">
          <cell r="O32619" t="str">
            <v/>
          </cell>
        </row>
        <row r="32620">
          <cell r="O32620" t="str">
            <v/>
          </cell>
        </row>
        <row r="32621">
          <cell r="O32621" t="str">
            <v/>
          </cell>
        </row>
        <row r="32622">
          <cell r="O32622" t="str">
            <v/>
          </cell>
        </row>
        <row r="32623">
          <cell r="O32623" t="str">
            <v/>
          </cell>
        </row>
        <row r="32624">
          <cell r="O32624" t="str">
            <v/>
          </cell>
        </row>
        <row r="32625">
          <cell r="O32625" t="str">
            <v/>
          </cell>
        </row>
        <row r="32626">
          <cell r="O32626" t="str">
            <v/>
          </cell>
        </row>
        <row r="32627">
          <cell r="O32627" t="str">
            <v/>
          </cell>
        </row>
        <row r="32628">
          <cell r="O32628" t="str">
            <v/>
          </cell>
        </row>
        <row r="32629">
          <cell r="O32629" t="str">
            <v/>
          </cell>
        </row>
        <row r="32630">
          <cell r="O32630" t="str">
            <v/>
          </cell>
        </row>
        <row r="32631">
          <cell r="O32631" t="str">
            <v/>
          </cell>
        </row>
        <row r="32632">
          <cell r="O32632" t="str">
            <v/>
          </cell>
        </row>
        <row r="32633">
          <cell r="O32633" t="str">
            <v/>
          </cell>
        </row>
        <row r="32634">
          <cell r="O32634" t="str">
            <v/>
          </cell>
        </row>
        <row r="32635">
          <cell r="O32635" t="str">
            <v/>
          </cell>
        </row>
        <row r="32636">
          <cell r="O32636" t="str">
            <v/>
          </cell>
        </row>
        <row r="32637">
          <cell r="O32637" t="str">
            <v/>
          </cell>
        </row>
        <row r="32638">
          <cell r="O32638" t="str">
            <v/>
          </cell>
        </row>
        <row r="32639">
          <cell r="O32639" t="str">
            <v/>
          </cell>
        </row>
        <row r="32640">
          <cell r="O32640" t="str">
            <v/>
          </cell>
        </row>
        <row r="32641">
          <cell r="O32641" t="str">
            <v/>
          </cell>
        </row>
        <row r="32642">
          <cell r="O32642" t="str">
            <v/>
          </cell>
        </row>
        <row r="32643">
          <cell r="O32643" t="str">
            <v/>
          </cell>
        </row>
        <row r="32644">
          <cell r="O32644" t="str">
            <v/>
          </cell>
        </row>
        <row r="32645">
          <cell r="O32645" t="str">
            <v/>
          </cell>
        </row>
        <row r="32646">
          <cell r="O32646" t="str">
            <v/>
          </cell>
        </row>
        <row r="32647">
          <cell r="O32647" t="str">
            <v/>
          </cell>
        </row>
        <row r="32648">
          <cell r="O32648" t="str">
            <v/>
          </cell>
        </row>
        <row r="32649">
          <cell r="O32649" t="str">
            <v/>
          </cell>
        </row>
        <row r="32650">
          <cell r="O32650" t="str">
            <v/>
          </cell>
        </row>
        <row r="32651">
          <cell r="O32651" t="str">
            <v/>
          </cell>
        </row>
        <row r="32652">
          <cell r="O32652" t="str">
            <v/>
          </cell>
        </row>
        <row r="32653">
          <cell r="O32653" t="str">
            <v/>
          </cell>
        </row>
        <row r="32654">
          <cell r="O32654" t="str">
            <v/>
          </cell>
        </row>
        <row r="32655">
          <cell r="O32655" t="str">
            <v/>
          </cell>
        </row>
        <row r="32656">
          <cell r="O32656" t="str">
            <v/>
          </cell>
        </row>
        <row r="32657">
          <cell r="O32657" t="str">
            <v/>
          </cell>
        </row>
        <row r="32658">
          <cell r="O32658" t="str">
            <v/>
          </cell>
        </row>
        <row r="32659">
          <cell r="O32659" t="str">
            <v/>
          </cell>
        </row>
        <row r="32660">
          <cell r="O32660" t="str">
            <v/>
          </cell>
        </row>
        <row r="32661">
          <cell r="O32661" t="str">
            <v/>
          </cell>
        </row>
        <row r="32662">
          <cell r="O32662" t="str">
            <v/>
          </cell>
        </row>
        <row r="32663">
          <cell r="O32663" t="str">
            <v/>
          </cell>
        </row>
        <row r="32664">
          <cell r="O32664" t="str">
            <v/>
          </cell>
        </row>
        <row r="32665">
          <cell r="O32665" t="str">
            <v/>
          </cell>
        </row>
        <row r="32666">
          <cell r="O32666" t="str">
            <v/>
          </cell>
        </row>
        <row r="32667">
          <cell r="O32667" t="str">
            <v/>
          </cell>
        </row>
        <row r="32668">
          <cell r="O32668" t="str">
            <v/>
          </cell>
        </row>
        <row r="32669">
          <cell r="O32669" t="str">
            <v/>
          </cell>
        </row>
        <row r="32670">
          <cell r="O32670" t="str">
            <v/>
          </cell>
        </row>
        <row r="32671">
          <cell r="O32671" t="str">
            <v/>
          </cell>
        </row>
        <row r="32672">
          <cell r="O32672" t="str">
            <v/>
          </cell>
        </row>
        <row r="32673">
          <cell r="O32673" t="str">
            <v/>
          </cell>
        </row>
        <row r="32674">
          <cell r="O32674" t="str">
            <v/>
          </cell>
        </row>
        <row r="32675">
          <cell r="O32675" t="str">
            <v/>
          </cell>
        </row>
        <row r="32676">
          <cell r="O32676" t="str">
            <v/>
          </cell>
        </row>
        <row r="32677">
          <cell r="O32677" t="str">
            <v/>
          </cell>
        </row>
        <row r="32678">
          <cell r="O32678" t="str">
            <v/>
          </cell>
        </row>
        <row r="32679">
          <cell r="O32679" t="str">
            <v/>
          </cell>
        </row>
        <row r="32680">
          <cell r="O32680" t="str">
            <v/>
          </cell>
        </row>
        <row r="32681">
          <cell r="O32681" t="str">
            <v/>
          </cell>
        </row>
        <row r="32682">
          <cell r="O32682" t="str">
            <v/>
          </cell>
        </row>
        <row r="32683">
          <cell r="O32683" t="str">
            <v/>
          </cell>
        </row>
        <row r="32684">
          <cell r="O32684" t="str">
            <v/>
          </cell>
        </row>
        <row r="32685">
          <cell r="O32685" t="str">
            <v/>
          </cell>
        </row>
        <row r="32686">
          <cell r="O32686" t="str">
            <v/>
          </cell>
        </row>
        <row r="32687">
          <cell r="O32687" t="str">
            <v/>
          </cell>
        </row>
        <row r="32688">
          <cell r="O32688" t="str">
            <v/>
          </cell>
        </row>
        <row r="32689">
          <cell r="O32689" t="str">
            <v/>
          </cell>
        </row>
        <row r="32690">
          <cell r="O32690" t="str">
            <v/>
          </cell>
        </row>
        <row r="32691">
          <cell r="O32691" t="str">
            <v/>
          </cell>
        </row>
        <row r="32692">
          <cell r="O32692" t="str">
            <v/>
          </cell>
        </row>
        <row r="32693">
          <cell r="O32693" t="str">
            <v/>
          </cell>
        </row>
        <row r="32694">
          <cell r="O32694" t="str">
            <v/>
          </cell>
        </row>
        <row r="32695">
          <cell r="O32695" t="str">
            <v/>
          </cell>
        </row>
        <row r="32696">
          <cell r="O32696" t="str">
            <v/>
          </cell>
        </row>
        <row r="32697">
          <cell r="O32697" t="str">
            <v/>
          </cell>
        </row>
        <row r="32698">
          <cell r="O32698" t="str">
            <v/>
          </cell>
        </row>
        <row r="32699">
          <cell r="O32699" t="str">
            <v/>
          </cell>
        </row>
        <row r="32700">
          <cell r="O32700" t="str">
            <v/>
          </cell>
        </row>
        <row r="32701">
          <cell r="O32701" t="str">
            <v/>
          </cell>
        </row>
        <row r="32702">
          <cell r="O32702" t="str">
            <v/>
          </cell>
        </row>
        <row r="32703">
          <cell r="O32703" t="str">
            <v/>
          </cell>
        </row>
        <row r="32704">
          <cell r="O32704" t="str">
            <v/>
          </cell>
        </row>
        <row r="32705">
          <cell r="O32705" t="str">
            <v/>
          </cell>
        </row>
        <row r="32706">
          <cell r="O32706" t="str">
            <v/>
          </cell>
        </row>
        <row r="32707">
          <cell r="O32707" t="str">
            <v/>
          </cell>
        </row>
        <row r="32708">
          <cell r="O32708" t="str">
            <v/>
          </cell>
        </row>
        <row r="32709">
          <cell r="O32709" t="str">
            <v/>
          </cell>
        </row>
        <row r="32710">
          <cell r="O32710" t="str">
            <v/>
          </cell>
        </row>
        <row r="32711">
          <cell r="O32711" t="str">
            <v/>
          </cell>
        </row>
        <row r="32712">
          <cell r="O32712" t="str">
            <v/>
          </cell>
        </row>
        <row r="32713">
          <cell r="O32713" t="str">
            <v/>
          </cell>
        </row>
        <row r="32714">
          <cell r="O32714" t="str">
            <v/>
          </cell>
        </row>
        <row r="32715">
          <cell r="O32715" t="str">
            <v/>
          </cell>
        </row>
        <row r="32716">
          <cell r="O32716" t="str">
            <v/>
          </cell>
        </row>
        <row r="32717">
          <cell r="O32717" t="str">
            <v/>
          </cell>
        </row>
        <row r="32718">
          <cell r="O32718" t="str">
            <v/>
          </cell>
        </row>
        <row r="32719">
          <cell r="O32719" t="str">
            <v/>
          </cell>
        </row>
        <row r="32720">
          <cell r="O32720" t="str">
            <v/>
          </cell>
        </row>
        <row r="32721">
          <cell r="O32721" t="str">
            <v/>
          </cell>
        </row>
        <row r="32722">
          <cell r="O32722" t="str">
            <v/>
          </cell>
        </row>
        <row r="32723">
          <cell r="O32723" t="str">
            <v/>
          </cell>
        </row>
        <row r="32724">
          <cell r="O32724" t="str">
            <v/>
          </cell>
        </row>
        <row r="32725">
          <cell r="O32725" t="str">
            <v/>
          </cell>
        </row>
        <row r="32726">
          <cell r="O32726" t="str">
            <v/>
          </cell>
        </row>
        <row r="32727">
          <cell r="O32727" t="str">
            <v/>
          </cell>
        </row>
        <row r="32728">
          <cell r="O32728" t="str">
            <v/>
          </cell>
        </row>
        <row r="32729">
          <cell r="O32729" t="str">
            <v/>
          </cell>
        </row>
        <row r="32730">
          <cell r="O32730" t="str">
            <v/>
          </cell>
        </row>
        <row r="32731">
          <cell r="O32731" t="str">
            <v/>
          </cell>
        </row>
        <row r="32732">
          <cell r="O32732" t="str">
            <v/>
          </cell>
        </row>
        <row r="32733">
          <cell r="O32733" t="str">
            <v/>
          </cell>
        </row>
        <row r="32734">
          <cell r="O32734" t="str">
            <v/>
          </cell>
        </row>
        <row r="32735">
          <cell r="O32735" t="str">
            <v/>
          </cell>
        </row>
        <row r="32736">
          <cell r="O32736" t="str">
            <v/>
          </cell>
        </row>
        <row r="32737">
          <cell r="O32737" t="str">
            <v/>
          </cell>
        </row>
        <row r="32738">
          <cell r="O32738" t="str">
            <v/>
          </cell>
        </row>
        <row r="32739">
          <cell r="O32739" t="str">
            <v/>
          </cell>
        </row>
        <row r="32740">
          <cell r="O32740" t="str">
            <v/>
          </cell>
        </row>
        <row r="32741">
          <cell r="O32741" t="str">
            <v/>
          </cell>
        </row>
        <row r="32742">
          <cell r="O32742" t="str">
            <v/>
          </cell>
        </row>
        <row r="32743">
          <cell r="O32743" t="str">
            <v/>
          </cell>
        </row>
        <row r="32744">
          <cell r="O32744" t="str">
            <v/>
          </cell>
        </row>
        <row r="32745">
          <cell r="O32745" t="str">
            <v/>
          </cell>
        </row>
        <row r="32746">
          <cell r="O32746" t="str">
            <v/>
          </cell>
        </row>
        <row r="32747">
          <cell r="O32747" t="str">
            <v/>
          </cell>
        </row>
        <row r="32748">
          <cell r="O32748" t="str">
            <v/>
          </cell>
        </row>
        <row r="32749">
          <cell r="O32749" t="str">
            <v/>
          </cell>
        </row>
        <row r="32750">
          <cell r="O32750" t="str">
            <v/>
          </cell>
        </row>
        <row r="32751">
          <cell r="O32751" t="str">
            <v/>
          </cell>
        </row>
        <row r="32752">
          <cell r="O32752" t="str">
            <v/>
          </cell>
        </row>
        <row r="32753">
          <cell r="O32753" t="str">
            <v/>
          </cell>
        </row>
        <row r="32754">
          <cell r="O32754" t="str">
            <v/>
          </cell>
        </row>
        <row r="32755">
          <cell r="O32755" t="str">
            <v/>
          </cell>
        </row>
        <row r="32756">
          <cell r="O32756" t="str">
            <v/>
          </cell>
        </row>
        <row r="32757">
          <cell r="O32757" t="str">
            <v/>
          </cell>
        </row>
        <row r="32758">
          <cell r="O32758" t="str">
            <v/>
          </cell>
        </row>
        <row r="32759">
          <cell r="O32759" t="str">
            <v/>
          </cell>
        </row>
        <row r="32760">
          <cell r="O32760" t="str">
            <v/>
          </cell>
        </row>
        <row r="32761">
          <cell r="O32761" t="str">
            <v/>
          </cell>
        </row>
        <row r="32762">
          <cell r="O32762" t="str">
            <v/>
          </cell>
        </row>
        <row r="32763">
          <cell r="O32763" t="str">
            <v/>
          </cell>
        </row>
        <row r="32764">
          <cell r="O32764" t="str">
            <v/>
          </cell>
        </row>
        <row r="32765">
          <cell r="O32765" t="str">
            <v/>
          </cell>
        </row>
        <row r="32766">
          <cell r="O32766" t="str">
            <v/>
          </cell>
        </row>
        <row r="32767">
          <cell r="O32767" t="str">
            <v/>
          </cell>
        </row>
        <row r="32768">
          <cell r="O32768" t="str">
            <v/>
          </cell>
        </row>
        <row r="32769">
          <cell r="O32769" t="str">
            <v/>
          </cell>
        </row>
        <row r="32770">
          <cell r="O32770" t="str">
            <v/>
          </cell>
        </row>
        <row r="32771">
          <cell r="O32771" t="str">
            <v/>
          </cell>
        </row>
        <row r="32772">
          <cell r="O32772" t="str">
            <v/>
          </cell>
        </row>
        <row r="32773">
          <cell r="O32773" t="str">
            <v/>
          </cell>
        </row>
        <row r="32774">
          <cell r="O32774" t="str">
            <v/>
          </cell>
        </row>
        <row r="32775">
          <cell r="O32775" t="str">
            <v/>
          </cell>
        </row>
        <row r="32776">
          <cell r="O32776" t="str">
            <v/>
          </cell>
        </row>
        <row r="32777">
          <cell r="O32777" t="str">
            <v/>
          </cell>
        </row>
        <row r="32778">
          <cell r="O32778" t="str">
            <v/>
          </cell>
        </row>
        <row r="32779">
          <cell r="O32779" t="str">
            <v/>
          </cell>
        </row>
        <row r="32780">
          <cell r="O32780" t="str">
            <v/>
          </cell>
        </row>
        <row r="32781">
          <cell r="O32781" t="str">
            <v/>
          </cell>
        </row>
        <row r="32782">
          <cell r="O32782" t="str">
            <v/>
          </cell>
        </row>
        <row r="32783">
          <cell r="O32783" t="str">
            <v/>
          </cell>
        </row>
        <row r="32784">
          <cell r="O32784" t="str">
            <v/>
          </cell>
        </row>
        <row r="32785">
          <cell r="O32785" t="str">
            <v/>
          </cell>
        </row>
        <row r="32786">
          <cell r="O32786" t="str">
            <v/>
          </cell>
        </row>
        <row r="32787">
          <cell r="O32787" t="str">
            <v/>
          </cell>
        </row>
        <row r="32788">
          <cell r="O32788" t="str">
            <v/>
          </cell>
        </row>
        <row r="32789">
          <cell r="O32789" t="str">
            <v/>
          </cell>
        </row>
        <row r="32790">
          <cell r="O32790" t="str">
            <v/>
          </cell>
        </row>
        <row r="32791">
          <cell r="O32791" t="str">
            <v/>
          </cell>
        </row>
        <row r="32792">
          <cell r="O32792" t="str">
            <v/>
          </cell>
        </row>
        <row r="32793">
          <cell r="O32793" t="str">
            <v/>
          </cell>
        </row>
        <row r="32794">
          <cell r="O32794" t="str">
            <v/>
          </cell>
        </row>
        <row r="32795">
          <cell r="O32795" t="str">
            <v/>
          </cell>
        </row>
        <row r="32796">
          <cell r="O32796" t="str">
            <v/>
          </cell>
        </row>
        <row r="32797">
          <cell r="O32797" t="str">
            <v/>
          </cell>
        </row>
        <row r="32798">
          <cell r="O32798" t="str">
            <v/>
          </cell>
        </row>
        <row r="32799">
          <cell r="O32799" t="str">
            <v/>
          </cell>
        </row>
        <row r="32800">
          <cell r="O32800" t="str">
            <v/>
          </cell>
        </row>
        <row r="32801">
          <cell r="O32801" t="str">
            <v/>
          </cell>
        </row>
        <row r="32802">
          <cell r="O32802" t="str">
            <v/>
          </cell>
        </row>
        <row r="32803">
          <cell r="O32803" t="str">
            <v/>
          </cell>
        </row>
        <row r="32804">
          <cell r="O32804" t="str">
            <v/>
          </cell>
        </row>
        <row r="32805">
          <cell r="O32805" t="str">
            <v/>
          </cell>
        </row>
        <row r="32806">
          <cell r="O32806" t="str">
            <v/>
          </cell>
        </row>
        <row r="32807">
          <cell r="O32807" t="str">
            <v/>
          </cell>
        </row>
        <row r="32808">
          <cell r="O32808" t="str">
            <v/>
          </cell>
        </row>
        <row r="32809">
          <cell r="O32809" t="str">
            <v/>
          </cell>
        </row>
        <row r="32810">
          <cell r="O32810" t="str">
            <v/>
          </cell>
        </row>
        <row r="32811">
          <cell r="O32811" t="str">
            <v/>
          </cell>
        </row>
        <row r="32812">
          <cell r="O32812" t="str">
            <v/>
          </cell>
        </row>
        <row r="32813">
          <cell r="O32813" t="str">
            <v/>
          </cell>
        </row>
        <row r="32814">
          <cell r="O32814" t="str">
            <v/>
          </cell>
        </row>
        <row r="32815">
          <cell r="O32815" t="str">
            <v/>
          </cell>
        </row>
        <row r="32816">
          <cell r="O32816" t="str">
            <v/>
          </cell>
        </row>
        <row r="32817">
          <cell r="O32817" t="str">
            <v/>
          </cell>
        </row>
        <row r="32818">
          <cell r="O32818" t="str">
            <v/>
          </cell>
        </row>
        <row r="32819">
          <cell r="O32819" t="str">
            <v/>
          </cell>
        </row>
        <row r="32820">
          <cell r="O32820" t="str">
            <v/>
          </cell>
        </row>
        <row r="32821">
          <cell r="O32821" t="str">
            <v/>
          </cell>
        </row>
        <row r="32822">
          <cell r="O32822" t="str">
            <v/>
          </cell>
        </row>
        <row r="32823">
          <cell r="O32823" t="str">
            <v/>
          </cell>
        </row>
        <row r="32824">
          <cell r="O32824" t="str">
            <v/>
          </cell>
        </row>
        <row r="32825">
          <cell r="O32825" t="str">
            <v/>
          </cell>
        </row>
        <row r="32826">
          <cell r="O32826" t="str">
            <v/>
          </cell>
        </row>
        <row r="32827">
          <cell r="O32827" t="str">
            <v/>
          </cell>
        </row>
        <row r="32828">
          <cell r="O32828" t="str">
            <v/>
          </cell>
        </row>
        <row r="32829">
          <cell r="O32829" t="str">
            <v/>
          </cell>
        </row>
        <row r="32830">
          <cell r="O32830" t="str">
            <v/>
          </cell>
        </row>
        <row r="32831">
          <cell r="O32831" t="str">
            <v/>
          </cell>
        </row>
        <row r="32832">
          <cell r="O32832" t="str">
            <v/>
          </cell>
        </row>
        <row r="32833">
          <cell r="O32833" t="str">
            <v/>
          </cell>
        </row>
        <row r="32834">
          <cell r="O32834" t="str">
            <v/>
          </cell>
        </row>
        <row r="32835">
          <cell r="O32835" t="str">
            <v/>
          </cell>
        </row>
        <row r="32836">
          <cell r="O32836" t="str">
            <v/>
          </cell>
        </row>
        <row r="32837">
          <cell r="O32837" t="str">
            <v/>
          </cell>
        </row>
        <row r="32838">
          <cell r="O32838" t="str">
            <v/>
          </cell>
        </row>
        <row r="32839">
          <cell r="O32839" t="str">
            <v/>
          </cell>
        </row>
        <row r="32840">
          <cell r="O32840" t="str">
            <v/>
          </cell>
        </row>
        <row r="32841">
          <cell r="O32841" t="str">
            <v/>
          </cell>
        </row>
        <row r="32842">
          <cell r="O32842" t="str">
            <v/>
          </cell>
        </row>
        <row r="32843">
          <cell r="O32843" t="str">
            <v/>
          </cell>
        </row>
        <row r="32844">
          <cell r="O32844" t="str">
            <v/>
          </cell>
        </row>
        <row r="32845">
          <cell r="O32845" t="str">
            <v/>
          </cell>
        </row>
        <row r="32846">
          <cell r="O32846" t="str">
            <v/>
          </cell>
        </row>
        <row r="32847">
          <cell r="O32847" t="str">
            <v/>
          </cell>
        </row>
        <row r="32848">
          <cell r="O32848" t="str">
            <v/>
          </cell>
        </row>
        <row r="32849">
          <cell r="O32849" t="str">
            <v/>
          </cell>
        </row>
        <row r="32850">
          <cell r="O32850" t="str">
            <v/>
          </cell>
        </row>
        <row r="32851">
          <cell r="O32851" t="str">
            <v/>
          </cell>
        </row>
        <row r="32852">
          <cell r="O32852" t="str">
            <v/>
          </cell>
        </row>
        <row r="32853">
          <cell r="O32853" t="str">
            <v/>
          </cell>
        </row>
        <row r="32854">
          <cell r="O32854" t="str">
            <v/>
          </cell>
        </row>
        <row r="32855">
          <cell r="O32855" t="str">
            <v/>
          </cell>
        </row>
        <row r="32856">
          <cell r="O32856" t="str">
            <v/>
          </cell>
        </row>
        <row r="32857">
          <cell r="O32857" t="str">
            <v/>
          </cell>
        </row>
        <row r="32858">
          <cell r="O32858" t="str">
            <v/>
          </cell>
        </row>
        <row r="32859">
          <cell r="O32859" t="str">
            <v/>
          </cell>
        </row>
        <row r="32860">
          <cell r="O32860" t="str">
            <v/>
          </cell>
        </row>
        <row r="32861">
          <cell r="O32861" t="str">
            <v/>
          </cell>
        </row>
        <row r="32862">
          <cell r="O32862" t="str">
            <v/>
          </cell>
        </row>
        <row r="32863">
          <cell r="O32863" t="str">
            <v/>
          </cell>
        </row>
        <row r="32864">
          <cell r="O32864" t="str">
            <v/>
          </cell>
        </row>
        <row r="32865">
          <cell r="O32865" t="str">
            <v/>
          </cell>
        </row>
        <row r="32866">
          <cell r="O32866" t="str">
            <v/>
          </cell>
        </row>
        <row r="32867">
          <cell r="O32867" t="str">
            <v/>
          </cell>
        </row>
        <row r="32868">
          <cell r="O32868" t="str">
            <v/>
          </cell>
        </row>
        <row r="32869">
          <cell r="O32869" t="str">
            <v/>
          </cell>
        </row>
        <row r="32870">
          <cell r="O32870" t="str">
            <v/>
          </cell>
        </row>
        <row r="32871">
          <cell r="O32871" t="str">
            <v/>
          </cell>
        </row>
        <row r="32872">
          <cell r="O32872" t="str">
            <v/>
          </cell>
        </row>
        <row r="32873">
          <cell r="O32873" t="str">
            <v/>
          </cell>
        </row>
        <row r="32874">
          <cell r="O32874" t="str">
            <v/>
          </cell>
        </row>
        <row r="32875">
          <cell r="O32875" t="str">
            <v/>
          </cell>
        </row>
        <row r="32876">
          <cell r="O32876" t="str">
            <v/>
          </cell>
        </row>
        <row r="32877">
          <cell r="O32877" t="str">
            <v/>
          </cell>
        </row>
        <row r="32878">
          <cell r="O32878" t="str">
            <v/>
          </cell>
        </row>
        <row r="32879">
          <cell r="O32879" t="str">
            <v/>
          </cell>
        </row>
        <row r="32880">
          <cell r="O32880" t="str">
            <v/>
          </cell>
        </row>
        <row r="32881">
          <cell r="O32881" t="str">
            <v/>
          </cell>
        </row>
        <row r="32882">
          <cell r="O32882" t="str">
            <v/>
          </cell>
        </row>
        <row r="32883">
          <cell r="O32883" t="str">
            <v/>
          </cell>
        </row>
        <row r="32884">
          <cell r="O32884" t="str">
            <v/>
          </cell>
        </row>
        <row r="32885">
          <cell r="O32885" t="str">
            <v/>
          </cell>
        </row>
        <row r="32886">
          <cell r="O32886" t="str">
            <v/>
          </cell>
        </row>
        <row r="32887">
          <cell r="O32887" t="str">
            <v/>
          </cell>
        </row>
        <row r="32888">
          <cell r="O32888" t="str">
            <v/>
          </cell>
        </row>
        <row r="32889">
          <cell r="O32889" t="str">
            <v/>
          </cell>
        </row>
        <row r="32890">
          <cell r="O32890" t="str">
            <v/>
          </cell>
        </row>
        <row r="32891">
          <cell r="O32891" t="str">
            <v/>
          </cell>
        </row>
        <row r="32892">
          <cell r="O32892" t="str">
            <v/>
          </cell>
        </row>
        <row r="32893">
          <cell r="O32893" t="str">
            <v/>
          </cell>
        </row>
        <row r="32894">
          <cell r="O32894" t="str">
            <v/>
          </cell>
        </row>
        <row r="32895">
          <cell r="O32895" t="str">
            <v/>
          </cell>
        </row>
        <row r="32896">
          <cell r="O32896" t="str">
            <v/>
          </cell>
        </row>
        <row r="32897">
          <cell r="O32897" t="str">
            <v/>
          </cell>
        </row>
        <row r="32898">
          <cell r="O32898" t="str">
            <v/>
          </cell>
        </row>
        <row r="32899">
          <cell r="O32899" t="str">
            <v/>
          </cell>
        </row>
        <row r="32900">
          <cell r="O32900" t="str">
            <v/>
          </cell>
        </row>
        <row r="32901">
          <cell r="O32901" t="str">
            <v/>
          </cell>
        </row>
        <row r="32902">
          <cell r="O32902" t="str">
            <v/>
          </cell>
        </row>
        <row r="32903">
          <cell r="O32903" t="str">
            <v/>
          </cell>
        </row>
        <row r="32904">
          <cell r="O32904" t="str">
            <v/>
          </cell>
        </row>
        <row r="32905">
          <cell r="O32905" t="str">
            <v/>
          </cell>
        </row>
        <row r="32906">
          <cell r="O32906" t="str">
            <v/>
          </cell>
        </row>
        <row r="32907">
          <cell r="O32907" t="str">
            <v/>
          </cell>
        </row>
        <row r="32908">
          <cell r="O32908" t="str">
            <v/>
          </cell>
        </row>
        <row r="32909">
          <cell r="O32909" t="str">
            <v/>
          </cell>
        </row>
        <row r="32910">
          <cell r="O32910" t="str">
            <v/>
          </cell>
        </row>
        <row r="32911">
          <cell r="O32911" t="str">
            <v/>
          </cell>
        </row>
        <row r="32912">
          <cell r="O32912" t="str">
            <v/>
          </cell>
        </row>
        <row r="32913">
          <cell r="O32913" t="str">
            <v/>
          </cell>
        </row>
        <row r="32914">
          <cell r="O32914" t="str">
            <v/>
          </cell>
        </row>
        <row r="32915">
          <cell r="O32915" t="str">
            <v/>
          </cell>
        </row>
        <row r="32916">
          <cell r="O32916" t="str">
            <v/>
          </cell>
        </row>
        <row r="32917">
          <cell r="O32917" t="str">
            <v/>
          </cell>
        </row>
        <row r="32918">
          <cell r="O32918" t="str">
            <v/>
          </cell>
        </row>
        <row r="32919">
          <cell r="O32919" t="str">
            <v/>
          </cell>
        </row>
        <row r="32920">
          <cell r="O32920" t="str">
            <v/>
          </cell>
        </row>
        <row r="32921">
          <cell r="O32921" t="str">
            <v/>
          </cell>
        </row>
        <row r="32922">
          <cell r="O32922" t="str">
            <v/>
          </cell>
        </row>
        <row r="32923">
          <cell r="O32923" t="str">
            <v/>
          </cell>
        </row>
        <row r="32924">
          <cell r="O32924" t="str">
            <v/>
          </cell>
        </row>
        <row r="32925">
          <cell r="O32925" t="str">
            <v/>
          </cell>
        </row>
        <row r="32926">
          <cell r="O32926" t="str">
            <v/>
          </cell>
        </row>
        <row r="32927">
          <cell r="O32927" t="str">
            <v/>
          </cell>
        </row>
        <row r="32928">
          <cell r="O32928" t="str">
            <v/>
          </cell>
        </row>
        <row r="32929">
          <cell r="O32929" t="str">
            <v/>
          </cell>
        </row>
        <row r="32930">
          <cell r="O32930" t="str">
            <v/>
          </cell>
        </row>
        <row r="32931">
          <cell r="O32931" t="str">
            <v/>
          </cell>
        </row>
        <row r="32932">
          <cell r="O32932" t="str">
            <v/>
          </cell>
        </row>
        <row r="32933">
          <cell r="O32933" t="str">
            <v/>
          </cell>
        </row>
        <row r="32934">
          <cell r="O32934" t="str">
            <v/>
          </cell>
        </row>
        <row r="32935">
          <cell r="O32935" t="str">
            <v/>
          </cell>
        </row>
        <row r="32936">
          <cell r="O32936" t="str">
            <v/>
          </cell>
        </row>
        <row r="32937">
          <cell r="O32937" t="str">
            <v/>
          </cell>
        </row>
        <row r="32938">
          <cell r="O32938" t="str">
            <v/>
          </cell>
        </row>
        <row r="32939">
          <cell r="O32939" t="str">
            <v/>
          </cell>
        </row>
        <row r="32940">
          <cell r="O32940" t="str">
            <v/>
          </cell>
        </row>
        <row r="32941">
          <cell r="O32941" t="str">
            <v/>
          </cell>
        </row>
        <row r="32942">
          <cell r="O32942" t="str">
            <v/>
          </cell>
        </row>
        <row r="32943">
          <cell r="O32943" t="str">
            <v/>
          </cell>
        </row>
        <row r="32944">
          <cell r="O32944" t="str">
            <v/>
          </cell>
        </row>
        <row r="32945">
          <cell r="O32945" t="str">
            <v/>
          </cell>
        </row>
        <row r="32946">
          <cell r="O32946" t="str">
            <v/>
          </cell>
        </row>
        <row r="32947">
          <cell r="O32947" t="str">
            <v/>
          </cell>
        </row>
        <row r="32948">
          <cell r="O32948" t="str">
            <v/>
          </cell>
        </row>
        <row r="32949">
          <cell r="O32949" t="str">
            <v/>
          </cell>
        </row>
        <row r="32950">
          <cell r="O32950" t="str">
            <v/>
          </cell>
        </row>
        <row r="32951">
          <cell r="O32951" t="str">
            <v/>
          </cell>
        </row>
        <row r="32952">
          <cell r="O32952" t="str">
            <v/>
          </cell>
        </row>
        <row r="32953">
          <cell r="O32953" t="str">
            <v/>
          </cell>
        </row>
        <row r="32954">
          <cell r="O32954" t="str">
            <v/>
          </cell>
        </row>
        <row r="32955">
          <cell r="O32955" t="str">
            <v/>
          </cell>
        </row>
        <row r="32956">
          <cell r="O32956" t="str">
            <v/>
          </cell>
        </row>
        <row r="32957">
          <cell r="O32957" t="str">
            <v/>
          </cell>
        </row>
        <row r="32958">
          <cell r="O32958" t="str">
            <v/>
          </cell>
        </row>
        <row r="32959">
          <cell r="O32959" t="str">
            <v/>
          </cell>
        </row>
        <row r="32960">
          <cell r="O32960" t="str">
            <v/>
          </cell>
        </row>
        <row r="32961">
          <cell r="O32961" t="str">
            <v/>
          </cell>
        </row>
        <row r="32962">
          <cell r="O32962" t="str">
            <v/>
          </cell>
        </row>
        <row r="32963">
          <cell r="O32963" t="str">
            <v/>
          </cell>
        </row>
        <row r="32964">
          <cell r="O32964" t="str">
            <v/>
          </cell>
        </row>
        <row r="32965">
          <cell r="O32965" t="str">
            <v/>
          </cell>
        </row>
        <row r="32966">
          <cell r="O32966" t="str">
            <v/>
          </cell>
        </row>
        <row r="32967">
          <cell r="O32967" t="str">
            <v/>
          </cell>
        </row>
        <row r="32968">
          <cell r="O32968" t="str">
            <v/>
          </cell>
        </row>
        <row r="32969">
          <cell r="O32969" t="str">
            <v/>
          </cell>
        </row>
        <row r="32970">
          <cell r="O32970" t="str">
            <v/>
          </cell>
        </row>
        <row r="32971">
          <cell r="O32971" t="str">
            <v/>
          </cell>
        </row>
        <row r="32972">
          <cell r="O32972" t="str">
            <v/>
          </cell>
        </row>
        <row r="32973">
          <cell r="O32973" t="str">
            <v/>
          </cell>
        </row>
        <row r="32974">
          <cell r="O32974" t="str">
            <v/>
          </cell>
        </row>
        <row r="32975">
          <cell r="O32975" t="str">
            <v/>
          </cell>
        </row>
        <row r="32976">
          <cell r="O32976" t="str">
            <v/>
          </cell>
        </row>
        <row r="32977">
          <cell r="O32977" t="str">
            <v/>
          </cell>
        </row>
        <row r="32978">
          <cell r="O32978" t="str">
            <v/>
          </cell>
        </row>
        <row r="32979">
          <cell r="O32979" t="str">
            <v/>
          </cell>
        </row>
        <row r="32980">
          <cell r="O32980" t="str">
            <v/>
          </cell>
        </row>
        <row r="32981">
          <cell r="O32981" t="str">
            <v/>
          </cell>
        </row>
        <row r="32982">
          <cell r="O32982" t="str">
            <v/>
          </cell>
        </row>
        <row r="32983">
          <cell r="O32983" t="str">
            <v/>
          </cell>
        </row>
        <row r="32984">
          <cell r="O32984" t="str">
            <v/>
          </cell>
        </row>
        <row r="32985">
          <cell r="O32985" t="str">
            <v/>
          </cell>
        </row>
        <row r="32986">
          <cell r="O32986" t="str">
            <v/>
          </cell>
        </row>
        <row r="32987">
          <cell r="O32987" t="str">
            <v/>
          </cell>
        </row>
        <row r="32988">
          <cell r="O32988" t="str">
            <v/>
          </cell>
        </row>
        <row r="32989">
          <cell r="O32989" t="str">
            <v/>
          </cell>
        </row>
        <row r="32990">
          <cell r="O32990" t="str">
            <v/>
          </cell>
        </row>
        <row r="32991">
          <cell r="O32991" t="str">
            <v/>
          </cell>
        </row>
        <row r="32992">
          <cell r="O32992" t="str">
            <v/>
          </cell>
        </row>
        <row r="32993">
          <cell r="O32993" t="str">
            <v/>
          </cell>
        </row>
        <row r="32994">
          <cell r="O32994" t="str">
            <v/>
          </cell>
        </row>
        <row r="32995">
          <cell r="O32995" t="str">
            <v/>
          </cell>
        </row>
        <row r="32996">
          <cell r="O32996" t="str">
            <v/>
          </cell>
        </row>
        <row r="32997">
          <cell r="O32997" t="str">
            <v/>
          </cell>
        </row>
        <row r="32998">
          <cell r="O32998" t="str">
            <v/>
          </cell>
        </row>
        <row r="32999">
          <cell r="O32999" t="str">
            <v/>
          </cell>
        </row>
        <row r="33000">
          <cell r="O33000" t="str">
            <v/>
          </cell>
        </row>
        <row r="33001">
          <cell r="O33001" t="str">
            <v/>
          </cell>
        </row>
        <row r="33002">
          <cell r="O33002" t="str">
            <v/>
          </cell>
        </row>
        <row r="33003">
          <cell r="O33003" t="str">
            <v/>
          </cell>
        </row>
        <row r="33004">
          <cell r="O33004" t="str">
            <v/>
          </cell>
        </row>
        <row r="33005">
          <cell r="O33005" t="str">
            <v/>
          </cell>
        </row>
        <row r="33006">
          <cell r="O33006" t="str">
            <v/>
          </cell>
        </row>
        <row r="33007">
          <cell r="O33007" t="str">
            <v/>
          </cell>
        </row>
        <row r="33008">
          <cell r="O33008" t="str">
            <v/>
          </cell>
        </row>
        <row r="33009">
          <cell r="O33009" t="str">
            <v/>
          </cell>
        </row>
        <row r="33010">
          <cell r="O33010" t="str">
            <v/>
          </cell>
        </row>
        <row r="33011">
          <cell r="O33011" t="str">
            <v/>
          </cell>
        </row>
        <row r="33012">
          <cell r="O33012" t="str">
            <v/>
          </cell>
        </row>
        <row r="33013">
          <cell r="O33013" t="str">
            <v/>
          </cell>
        </row>
        <row r="33014">
          <cell r="O33014" t="str">
            <v/>
          </cell>
        </row>
        <row r="33015">
          <cell r="O33015" t="str">
            <v/>
          </cell>
        </row>
        <row r="33016">
          <cell r="O33016" t="str">
            <v/>
          </cell>
        </row>
        <row r="33017">
          <cell r="O33017" t="str">
            <v/>
          </cell>
        </row>
        <row r="33018">
          <cell r="O33018" t="str">
            <v/>
          </cell>
        </row>
        <row r="33019">
          <cell r="O33019" t="str">
            <v/>
          </cell>
        </row>
        <row r="33020">
          <cell r="O33020" t="str">
            <v/>
          </cell>
        </row>
        <row r="33021">
          <cell r="O33021" t="str">
            <v/>
          </cell>
        </row>
        <row r="33022">
          <cell r="O33022" t="str">
            <v/>
          </cell>
        </row>
        <row r="33023">
          <cell r="O33023" t="str">
            <v/>
          </cell>
        </row>
        <row r="33024">
          <cell r="O33024" t="str">
            <v/>
          </cell>
        </row>
        <row r="33025">
          <cell r="O33025" t="str">
            <v/>
          </cell>
        </row>
        <row r="33026">
          <cell r="O33026" t="str">
            <v/>
          </cell>
        </row>
        <row r="33027">
          <cell r="O33027" t="str">
            <v/>
          </cell>
        </row>
        <row r="33028">
          <cell r="O33028" t="str">
            <v/>
          </cell>
        </row>
        <row r="33029">
          <cell r="O33029" t="str">
            <v/>
          </cell>
        </row>
        <row r="33030">
          <cell r="O33030" t="str">
            <v/>
          </cell>
        </row>
        <row r="33031">
          <cell r="O33031" t="str">
            <v/>
          </cell>
        </row>
        <row r="33032">
          <cell r="O33032" t="str">
            <v/>
          </cell>
        </row>
        <row r="33033">
          <cell r="O33033" t="str">
            <v/>
          </cell>
        </row>
        <row r="33034">
          <cell r="O33034" t="str">
            <v/>
          </cell>
        </row>
        <row r="33035">
          <cell r="O33035" t="str">
            <v/>
          </cell>
        </row>
        <row r="33036">
          <cell r="O33036" t="str">
            <v/>
          </cell>
        </row>
        <row r="33037">
          <cell r="O33037" t="str">
            <v/>
          </cell>
        </row>
        <row r="33038">
          <cell r="O33038" t="str">
            <v/>
          </cell>
        </row>
        <row r="33039">
          <cell r="O33039" t="str">
            <v/>
          </cell>
        </row>
        <row r="33040">
          <cell r="O33040" t="str">
            <v/>
          </cell>
        </row>
        <row r="33041">
          <cell r="O33041" t="str">
            <v/>
          </cell>
        </row>
        <row r="33042">
          <cell r="O33042" t="str">
            <v/>
          </cell>
        </row>
        <row r="33043">
          <cell r="O33043" t="str">
            <v/>
          </cell>
        </row>
        <row r="33044">
          <cell r="O33044" t="str">
            <v/>
          </cell>
        </row>
        <row r="33045">
          <cell r="O33045" t="str">
            <v/>
          </cell>
        </row>
        <row r="33046">
          <cell r="O33046" t="str">
            <v/>
          </cell>
        </row>
        <row r="33047">
          <cell r="O33047" t="str">
            <v/>
          </cell>
        </row>
        <row r="33048">
          <cell r="O33048" t="str">
            <v/>
          </cell>
        </row>
        <row r="33049">
          <cell r="O33049" t="str">
            <v/>
          </cell>
        </row>
        <row r="33050">
          <cell r="O33050" t="str">
            <v/>
          </cell>
        </row>
        <row r="33051">
          <cell r="O33051" t="str">
            <v/>
          </cell>
        </row>
        <row r="33052">
          <cell r="O33052" t="str">
            <v/>
          </cell>
        </row>
        <row r="33053">
          <cell r="O33053" t="str">
            <v/>
          </cell>
        </row>
        <row r="33054">
          <cell r="O33054" t="str">
            <v/>
          </cell>
        </row>
        <row r="33055">
          <cell r="O33055" t="str">
            <v/>
          </cell>
        </row>
        <row r="33056">
          <cell r="O33056" t="str">
            <v/>
          </cell>
        </row>
        <row r="33057">
          <cell r="O33057" t="str">
            <v/>
          </cell>
        </row>
        <row r="33058">
          <cell r="O33058" t="str">
            <v/>
          </cell>
        </row>
        <row r="33059">
          <cell r="O33059" t="str">
            <v/>
          </cell>
        </row>
        <row r="33060">
          <cell r="O33060" t="str">
            <v/>
          </cell>
        </row>
        <row r="33061">
          <cell r="O33061" t="str">
            <v/>
          </cell>
        </row>
        <row r="33062">
          <cell r="O33062" t="str">
            <v/>
          </cell>
        </row>
        <row r="33063">
          <cell r="O33063" t="str">
            <v/>
          </cell>
        </row>
        <row r="33064">
          <cell r="O33064" t="str">
            <v/>
          </cell>
        </row>
        <row r="33065">
          <cell r="O33065" t="str">
            <v/>
          </cell>
        </row>
        <row r="33066">
          <cell r="O33066" t="str">
            <v/>
          </cell>
        </row>
        <row r="33067">
          <cell r="O33067" t="str">
            <v/>
          </cell>
        </row>
        <row r="33068">
          <cell r="O33068" t="str">
            <v/>
          </cell>
        </row>
        <row r="33069">
          <cell r="O33069" t="str">
            <v/>
          </cell>
        </row>
        <row r="33070">
          <cell r="O33070" t="str">
            <v/>
          </cell>
        </row>
        <row r="33071">
          <cell r="O33071" t="str">
            <v/>
          </cell>
        </row>
        <row r="33072">
          <cell r="O33072" t="str">
            <v/>
          </cell>
        </row>
        <row r="33073">
          <cell r="O33073" t="str">
            <v/>
          </cell>
        </row>
        <row r="33074">
          <cell r="O33074" t="str">
            <v/>
          </cell>
        </row>
        <row r="33075">
          <cell r="O33075" t="str">
            <v/>
          </cell>
        </row>
        <row r="33076">
          <cell r="O33076" t="str">
            <v/>
          </cell>
        </row>
        <row r="33077">
          <cell r="O33077" t="str">
            <v/>
          </cell>
        </row>
        <row r="33078">
          <cell r="O33078" t="str">
            <v/>
          </cell>
        </row>
        <row r="33079">
          <cell r="O33079" t="str">
            <v/>
          </cell>
        </row>
        <row r="33080">
          <cell r="O33080" t="str">
            <v/>
          </cell>
        </row>
        <row r="33081">
          <cell r="O33081" t="str">
            <v/>
          </cell>
        </row>
        <row r="33082">
          <cell r="O33082" t="str">
            <v/>
          </cell>
        </row>
        <row r="33083">
          <cell r="O33083" t="str">
            <v/>
          </cell>
        </row>
        <row r="33084">
          <cell r="O33084" t="str">
            <v/>
          </cell>
        </row>
        <row r="33085">
          <cell r="O33085" t="str">
            <v/>
          </cell>
        </row>
        <row r="33086">
          <cell r="O33086" t="str">
            <v/>
          </cell>
        </row>
        <row r="33087">
          <cell r="O33087" t="str">
            <v/>
          </cell>
        </row>
        <row r="33088">
          <cell r="O33088" t="str">
            <v/>
          </cell>
        </row>
        <row r="33089">
          <cell r="O33089" t="str">
            <v/>
          </cell>
        </row>
        <row r="33090">
          <cell r="O33090" t="str">
            <v/>
          </cell>
        </row>
        <row r="33091">
          <cell r="O33091" t="str">
            <v/>
          </cell>
        </row>
        <row r="33092">
          <cell r="O33092" t="str">
            <v/>
          </cell>
        </row>
        <row r="33093">
          <cell r="O33093" t="str">
            <v/>
          </cell>
        </row>
        <row r="33094">
          <cell r="O33094" t="str">
            <v/>
          </cell>
        </row>
        <row r="33095">
          <cell r="O33095" t="str">
            <v/>
          </cell>
        </row>
        <row r="33096">
          <cell r="O33096" t="str">
            <v/>
          </cell>
        </row>
        <row r="33097">
          <cell r="O33097" t="str">
            <v/>
          </cell>
        </row>
        <row r="33098">
          <cell r="O33098" t="str">
            <v/>
          </cell>
        </row>
        <row r="33099">
          <cell r="O33099" t="str">
            <v/>
          </cell>
        </row>
        <row r="33100">
          <cell r="O33100" t="str">
            <v/>
          </cell>
        </row>
        <row r="33101">
          <cell r="O33101" t="str">
            <v/>
          </cell>
        </row>
        <row r="33102">
          <cell r="O33102" t="str">
            <v/>
          </cell>
        </row>
        <row r="33103">
          <cell r="O33103" t="str">
            <v/>
          </cell>
        </row>
        <row r="33104">
          <cell r="O33104" t="str">
            <v/>
          </cell>
        </row>
        <row r="33105">
          <cell r="O33105" t="str">
            <v/>
          </cell>
        </row>
        <row r="33106">
          <cell r="O33106" t="str">
            <v/>
          </cell>
        </row>
        <row r="33107">
          <cell r="O33107" t="str">
            <v/>
          </cell>
        </row>
        <row r="33108">
          <cell r="O33108" t="str">
            <v/>
          </cell>
        </row>
        <row r="33109">
          <cell r="O33109" t="str">
            <v/>
          </cell>
        </row>
        <row r="33110">
          <cell r="O33110" t="str">
            <v/>
          </cell>
        </row>
        <row r="33111">
          <cell r="O33111" t="str">
            <v/>
          </cell>
        </row>
        <row r="33112">
          <cell r="O33112" t="str">
            <v/>
          </cell>
        </row>
        <row r="33113">
          <cell r="O33113" t="str">
            <v/>
          </cell>
        </row>
        <row r="33114">
          <cell r="O33114" t="str">
            <v/>
          </cell>
        </row>
        <row r="33115">
          <cell r="O33115" t="str">
            <v/>
          </cell>
        </row>
        <row r="33116">
          <cell r="O33116" t="str">
            <v/>
          </cell>
        </row>
        <row r="33117">
          <cell r="O33117" t="str">
            <v/>
          </cell>
        </row>
        <row r="33118">
          <cell r="O33118" t="str">
            <v/>
          </cell>
        </row>
        <row r="33119">
          <cell r="O33119" t="str">
            <v/>
          </cell>
        </row>
        <row r="33120">
          <cell r="O33120" t="str">
            <v/>
          </cell>
        </row>
        <row r="33121">
          <cell r="O33121" t="str">
            <v/>
          </cell>
        </row>
        <row r="33122">
          <cell r="O33122" t="str">
            <v/>
          </cell>
        </row>
        <row r="33123">
          <cell r="O33123" t="str">
            <v/>
          </cell>
        </row>
        <row r="33124">
          <cell r="O33124" t="str">
            <v/>
          </cell>
        </row>
        <row r="33125">
          <cell r="O33125" t="str">
            <v/>
          </cell>
        </row>
        <row r="33126">
          <cell r="O33126" t="str">
            <v/>
          </cell>
        </row>
        <row r="33127">
          <cell r="O33127" t="str">
            <v/>
          </cell>
        </row>
        <row r="33128">
          <cell r="O33128" t="str">
            <v/>
          </cell>
        </row>
        <row r="33129">
          <cell r="O33129" t="str">
            <v/>
          </cell>
        </row>
        <row r="33130">
          <cell r="O33130" t="str">
            <v/>
          </cell>
        </row>
        <row r="33131">
          <cell r="O33131" t="str">
            <v/>
          </cell>
        </row>
        <row r="33132">
          <cell r="O33132" t="str">
            <v/>
          </cell>
        </row>
        <row r="33133">
          <cell r="O33133" t="str">
            <v/>
          </cell>
        </row>
        <row r="33134">
          <cell r="O33134" t="str">
            <v/>
          </cell>
        </row>
        <row r="33135">
          <cell r="O33135" t="str">
            <v/>
          </cell>
        </row>
        <row r="33136">
          <cell r="O33136" t="str">
            <v/>
          </cell>
        </row>
        <row r="33137">
          <cell r="O33137" t="str">
            <v/>
          </cell>
        </row>
        <row r="33138">
          <cell r="O33138" t="str">
            <v/>
          </cell>
        </row>
        <row r="33139">
          <cell r="O33139" t="str">
            <v/>
          </cell>
        </row>
        <row r="33140">
          <cell r="O33140" t="str">
            <v/>
          </cell>
        </row>
        <row r="33141">
          <cell r="O33141" t="str">
            <v/>
          </cell>
        </row>
        <row r="33142">
          <cell r="O33142" t="str">
            <v/>
          </cell>
        </row>
        <row r="33143">
          <cell r="O33143" t="str">
            <v/>
          </cell>
        </row>
        <row r="33144">
          <cell r="O33144" t="str">
            <v/>
          </cell>
        </row>
        <row r="33145">
          <cell r="O33145" t="str">
            <v/>
          </cell>
        </row>
        <row r="33146">
          <cell r="O33146" t="str">
            <v/>
          </cell>
        </row>
        <row r="33147">
          <cell r="O33147" t="str">
            <v/>
          </cell>
        </row>
        <row r="33148">
          <cell r="O33148" t="str">
            <v/>
          </cell>
        </row>
        <row r="33149">
          <cell r="O33149" t="str">
            <v/>
          </cell>
        </row>
        <row r="33150">
          <cell r="O33150" t="str">
            <v/>
          </cell>
        </row>
        <row r="33151">
          <cell r="O33151" t="str">
            <v/>
          </cell>
        </row>
        <row r="33152">
          <cell r="O33152" t="str">
            <v/>
          </cell>
        </row>
        <row r="33153">
          <cell r="O33153" t="str">
            <v/>
          </cell>
        </row>
        <row r="33154">
          <cell r="O33154" t="str">
            <v/>
          </cell>
        </row>
        <row r="33155">
          <cell r="O33155" t="str">
            <v/>
          </cell>
        </row>
        <row r="33156">
          <cell r="O33156" t="str">
            <v/>
          </cell>
        </row>
        <row r="33157">
          <cell r="O33157" t="str">
            <v/>
          </cell>
        </row>
        <row r="33158">
          <cell r="O33158" t="str">
            <v/>
          </cell>
        </row>
        <row r="33159">
          <cell r="O33159" t="str">
            <v/>
          </cell>
        </row>
        <row r="33160">
          <cell r="O33160" t="str">
            <v/>
          </cell>
        </row>
        <row r="33161">
          <cell r="O33161" t="str">
            <v/>
          </cell>
        </row>
        <row r="33162">
          <cell r="O33162" t="str">
            <v/>
          </cell>
        </row>
        <row r="33163">
          <cell r="O33163" t="str">
            <v/>
          </cell>
        </row>
        <row r="33164">
          <cell r="O33164" t="str">
            <v/>
          </cell>
        </row>
        <row r="33165">
          <cell r="O33165" t="str">
            <v/>
          </cell>
        </row>
        <row r="33166">
          <cell r="O33166" t="str">
            <v/>
          </cell>
        </row>
        <row r="33167">
          <cell r="O33167" t="str">
            <v/>
          </cell>
        </row>
        <row r="33168">
          <cell r="O33168" t="str">
            <v/>
          </cell>
        </row>
        <row r="33169">
          <cell r="O33169" t="str">
            <v/>
          </cell>
        </row>
        <row r="33170">
          <cell r="O33170" t="str">
            <v/>
          </cell>
        </row>
        <row r="33171">
          <cell r="O33171" t="str">
            <v/>
          </cell>
        </row>
        <row r="33172">
          <cell r="O33172" t="str">
            <v/>
          </cell>
        </row>
        <row r="33173">
          <cell r="O33173" t="str">
            <v/>
          </cell>
        </row>
        <row r="33174">
          <cell r="O33174" t="str">
            <v/>
          </cell>
        </row>
        <row r="33175">
          <cell r="O33175" t="str">
            <v/>
          </cell>
        </row>
        <row r="33176">
          <cell r="O33176" t="str">
            <v/>
          </cell>
        </row>
        <row r="33177">
          <cell r="O33177" t="str">
            <v/>
          </cell>
        </row>
        <row r="33178">
          <cell r="O33178" t="str">
            <v/>
          </cell>
        </row>
        <row r="33179">
          <cell r="O33179" t="str">
            <v/>
          </cell>
        </row>
        <row r="33180">
          <cell r="O33180" t="str">
            <v/>
          </cell>
        </row>
        <row r="33181">
          <cell r="O33181" t="str">
            <v/>
          </cell>
        </row>
        <row r="33182">
          <cell r="O33182" t="str">
            <v/>
          </cell>
        </row>
        <row r="33183">
          <cell r="O33183" t="str">
            <v/>
          </cell>
        </row>
        <row r="33184">
          <cell r="O33184" t="str">
            <v/>
          </cell>
        </row>
        <row r="33185">
          <cell r="O33185" t="str">
            <v/>
          </cell>
        </row>
        <row r="33186">
          <cell r="O33186" t="str">
            <v/>
          </cell>
        </row>
        <row r="33187">
          <cell r="O33187" t="str">
            <v/>
          </cell>
        </row>
        <row r="33188">
          <cell r="O33188" t="str">
            <v/>
          </cell>
        </row>
        <row r="33189">
          <cell r="O33189" t="str">
            <v/>
          </cell>
        </row>
        <row r="33190">
          <cell r="O33190" t="str">
            <v/>
          </cell>
        </row>
        <row r="33191">
          <cell r="O33191" t="str">
            <v/>
          </cell>
        </row>
        <row r="33192">
          <cell r="O33192" t="str">
            <v/>
          </cell>
        </row>
        <row r="33193">
          <cell r="O33193" t="str">
            <v/>
          </cell>
        </row>
        <row r="33194">
          <cell r="O33194" t="str">
            <v/>
          </cell>
        </row>
        <row r="33195">
          <cell r="O33195" t="str">
            <v/>
          </cell>
        </row>
        <row r="33196">
          <cell r="O33196" t="str">
            <v/>
          </cell>
        </row>
        <row r="33197">
          <cell r="O33197" t="str">
            <v/>
          </cell>
        </row>
        <row r="33198">
          <cell r="O33198" t="str">
            <v/>
          </cell>
        </row>
        <row r="33199">
          <cell r="O33199" t="str">
            <v/>
          </cell>
        </row>
        <row r="33200">
          <cell r="O33200" t="str">
            <v/>
          </cell>
        </row>
        <row r="33201">
          <cell r="O33201" t="str">
            <v/>
          </cell>
        </row>
        <row r="33202">
          <cell r="O33202" t="str">
            <v/>
          </cell>
        </row>
        <row r="33203">
          <cell r="O33203" t="str">
            <v/>
          </cell>
        </row>
        <row r="33204">
          <cell r="O33204" t="str">
            <v/>
          </cell>
        </row>
        <row r="33205">
          <cell r="O33205" t="str">
            <v/>
          </cell>
        </row>
        <row r="33206">
          <cell r="O33206" t="str">
            <v/>
          </cell>
        </row>
        <row r="33207">
          <cell r="O33207" t="str">
            <v/>
          </cell>
        </row>
        <row r="33208">
          <cell r="O33208" t="str">
            <v/>
          </cell>
        </row>
        <row r="33209">
          <cell r="O33209" t="str">
            <v/>
          </cell>
        </row>
        <row r="33210">
          <cell r="O33210" t="str">
            <v/>
          </cell>
        </row>
        <row r="33211">
          <cell r="O33211" t="str">
            <v/>
          </cell>
        </row>
        <row r="33212">
          <cell r="O33212" t="str">
            <v/>
          </cell>
        </row>
        <row r="33213">
          <cell r="O33213" t="str">
            <v/>
          </cell>
        </row>
        <row r="33214">
          <cell r="O33214" t="str">
            <v/>
          </cell>
        </row>
        <row r="33215">
          <cell r="O33215" t="str">
            <v/>
          </cell>
        </row>
        <row r="33216">
          <cell r="O33216" t="str">
            <v/>
          </cell>
        </row>
        <row r="33217">
          <cell r="O33217" t="str">
            <v/>
          </cell>
        </row>
        <row r="33218">
          <cell r="O33218" t="str">
            <v/>
          </cell>
        </row>
        <row r="33219">
          <cell r="O33219" t="str">
            <v/>
          </cell>
        </row>
        <row r="33220">
          <cell r="O33220" t="str">
            <v/>
          </cell>
        </row>
        <row r="33221">
          <cell r="O33221" t="str">
            <v/>
          </cell>
        </row>
        <row r="33222">
          <cell r="O33222" t="str">
            <v/>
          </cell>
        </row>
        <row r="33223">
          <cell r="O33223" t="str">
            <v/>
          </cell>
        </row>
        <row r="33224">
          <cell r="O33224" t="str">
            <v/>
          </cell>
        </row>
        <row r="33225">
          <cell r="O33225" t="str">
            <v/>
          </cell>
        </row>
        <row r="33226">
          <cell r="O33226" t="str">
            <v/>
          </cell>
        </row>
        <row r="33227">
          <cell r="O33227" t="str">
            <v/>
          </cell>
        </row>
        <row r="33228">
          <cell r="O33228" t="str">
            <v/>
          </cell>
        </row>
        <row r="33229">
          <cell r="O33229" t="str">
            <v/>
          </cell>
        </row>
        <row r="33230">
          <cell r="O33230" t="str">
            <v/>
          </cell>
        </row>
        <row r="33231">
          <cell r="O33231" t="str">
            <v/>
          </cell>
        </row>
        <row r="33232">
          <cell r="O33232" t="str">
            <v/>
          </cell>
        </row>
        <row r="33233">
          <cell r="O33233" t="str">
            <v/>
          </cell>
        </row>
        <row r="33234">
          <cell r="O33234" t="str">
            <v/>
          </cell>
        </row>
        <row r="33235">
          <cell r="O33235" t="str">
            <v/>
          </cell>
        </row>
        <row r="33236">
          <cell r="O33236" t="str">
            <v/>
          </cell>
        </row>
        <row r="33237">
          <cell r="O33237" t="str">
            <v/>
          </cell>
        </row>
        <row r="33238">
          <cell r="O33238" t="str">
            <v/>
          </cell>
        </row>
        <row r="33239">
          <cell r="O33239" t="str">
            <v/>
          </cell>
        </row>
        <row r="33240">
          <cell r="O33240" t="str">
            <v/>
          </cell>
        </row>
        <row r="33241">
          <cell r="O33241" t="str">
            <v/>
          </cell>
        </row>
        <row r="33242">
          <cell r="O33242" t="str">
            <v/>
          </cell>
        </row>
        <row r="33243">
          <cell r="O33243" t="str">
            <v/>
          </cell>
        </row>
        <row r="33244">
          <cell r="O33244" t="str">
            <v/>
          </cell>
        </row>
        <row r="33245">
          <cell r="O33245" t="str">
            <v/>
          </cell>
        </row>
        <row r="33246">
          <cell r="O33246" t="str">
            <v/>
          </cell>
        </row>
        <row r="33247">
          <cell r="O33247" t="str">
            <v/>
          </cell>
        </row>
        <row r="33248">
          <cell r="O33248" t="str">
            <v/>
          </cell>
        </row>
        <row r="33249">
          <cell r="O33249" t="str">
            <v/>
          </cell>
        </row>
        <row r="33250">
          <cell r="O33250" t="str">
            <v/>
          </cell>
        </row>
        <row r="33251">
          <cell r="O33251" t="str">
            <v/>
          </cell>
        </row>
        <row r="33252">
          <cell r="O33252" t="str">
            <v/>
          </cell>
        </row>
        <row r="33253">
          <cell r="O33253" t="str">
            <v/>
          </cell>
        </row>
        <row r="33254">
          <cell r="O33254" t="str">
            <v/>
          </cell>
        </row>
        <row r="33255">
          <cell r="O33255" t="str">
            <v/>
          </cell>
        </row>
        <row r="33256">
          <cell r="O33256" t="str">
            <v/>
          </cell>
        </row>
        <row r="33257">
          <cell r="O33257" t="str">
            <v/>
          </cell>
        </row>
        <row r="33258">
          <cell r="O33258" t="str">
            <v/>
          </cell>
        </row>
        <row r="33259">
          <cell r="O33259" t="str">
            <v/>
          </cell>
        </row>
        <row r="33260">
          <cell r="O33260" t="str">
            <v/>
          </cell>
        </row>
        <row r="33261">
          <cell r="O33261" t="str">
            <v/>
          </cell>
        </row>
        <row r="33262">
          <cell r="O33262" t="str">
            <v/>
          </cell>
        </row>
        <row r="33263">
          <cell r="O33263" t="str">
            <v/>
          </cell>
        </row>
        <row r="33264">
          <cell r="O33264" t="str">
            <v/>
          </cell>
        </row>
        <row r="33265">
          <cell r="O33265" t="str">
            <v/>
          </cell>
        </row>
        <row r="33266">
          <cell r="O33266" t="str">
            <v/>
          </cell>
        </row>
        <row r="33267">
          <cell r="O33267" t="str">
            <v/>
          </cell>
        </row>
        <row r="33268">
          <cell r="O33268" t="str">
            <v/>
          </cell>
        </row>
        <row r="33269">
          <cell r="O33269" t="str">
            <v/>
          </cell>
        </row>
        <row r="33270">
          <cell r="O33270" t="str">
            <v/>
          </cell>
        </row>
        <row r="33271">
          <cell r="O33271" t="str">
            <v/>
          </cell>
        </row>
        <row r="33272">
          <cell r="O33272" t="str">
            <v/>
          </cell>
        </row>
        <row r="33273">
          <cell r="O33273" t="str">
            <v/>
          </cell>
        </row>
        <row r="33274">
          <cell r="O33274" t="str">
            <v/>
          </cell>
        </row>
        <row r="33275">
          <cell r="O33275" t="str">
            <v/>
          </cell>
        </row>
        <row r="33276">
          <cell r="O33276" t="str">
            <v/>
          </cell>
        </row>
        <row r="33277">
          <cell r="O33277" t="str">
            <v/>
          </cell>
        </row>
        <row r="33278">
          <cell r="O33278" t="str">
            <v/>
          </cell>
        </row>
        <row r="33279">
          <cell r="O33279" t="str">
            <v/>
          </cell>
        </row>
        <row r="33280">
          <cell r="O33280" t="str">
            <v/>
          </cell>
        </row>
        <row r="33281">
          <cell r="O33281" t="str">
            <v/>
          </cell>
        </row>
        <row r="33282">
          <cell r="O33282" t="str">
            <v/>
          </cell>
        </row>
        <row r="33283">
          <cell r="O33283" t="str">
            <v/>
          </cell>
        </row>
        <row r="33284">
          <cell r="O33284" t="str">
            <v/>
          </cell>
        </row>
        <row r="33285">
          <cell r="O33285" t="str">
            <v/>
          </cell>
        </row>
        <row r="33286">
          <cell r="O33286" t="str">
            <v/>
          </cell>
        </row>
        <row r="33287">
          <cell r="O33287" t="str">
            <v/>
          </cell>
        </row>
        <row r="33288">
          <cell r="O33288" t="str">
            <v/>
          </cell>
        </row>
        <row r="33289">
          <cell r="O33289" t="str">
            <v/>
          </cell>
        </row>
        <row r="33290">
          <cell r="O33290" t="str">
            <v/>
          </cell>
        </row>
        <row r="33291">
          <cell r="O33291" t="str">
            <v/>
          </cell>
        </row>
        <row r="33292">
          <cell r="O33292" t="str">
            <v/>
          </cell>
        </row>
        <row r="33293">
          <cell r="O33293" t="str">
            <v/>
          </cell>
        </row>
        <row r="33294">
          <cell r="O33294" t="str">
            <v/>
          </cell>
        </row>
        <row r="33295">
          <cell r="O33295" t="str">
            <v/>
          </cell>
        </row>
        <row r="33296">
          <cell r="O33296" t="str">
            <v/>
          </cell>
        </row>
        <row r="33297">
          <cell r="O33297" t="str">
            <v/>
          </cell>
        </row>
        <row r="33298">
          <cell r="O33298" t="str">
            <v/>
          </cell>
        </row>
        <row r="33299">
          <cell r="O33299" t="str">
            <v/>
          </cell>
        </row>
        <row r="33300">
          <cell r="O33300" t="str">
            <v/>
          </cell>
        </row>
        <row r="33301">
          <cell r="O33301" t="str">
            <v/>
          </cell>
        </row>
        <row r="33302">
          <cell r="O33302" t="str">
            <v/>
          </cell>
        </row>
        <row r="33303">
          <cell r="O33303" t="str">
            <v/>
          </cell>
        </row>
        <row r="33304">
          <cell r="O33304" t="str">
            <v/>
          </cell>
        </row>
        <row r="33305">
          <cell r="O33305" t="str">
            <v/>
          </cell>
        </row>
        <row r="33306">
          <cell r="O33306" t="str">
            <v/>
          </cell>
        </row>
        <row r="33307">
          <cell r="O33307" t="str">
            <v/>
          </cell>
        </row>
        <row r="33308">
          <cell r="O33308" t="str">
            <v/>
          </cell>
        </row>
        <row r="33309">
          <cell r="O33309" t="str">
            <v/>
          </cell>
        </row>
        <row r="33310">
          <cell r="O33310" t="str">
            <v/>
          </cell>
        </row>
        <row r="33311">
          <cell r="O33311" t="str">
            <v/>
          </cell>
        </row>
        <row r="33312">
          <cell r="O33312" t="str">
            <v/>
          </cell>
        </row>
        <row r="33313">
          <cell r="O33313" t="str">
            <v/>
          </cell>
        </row>
        <row r="33314">
          <cell r="O33314" t="str">
            <v/>
          </cell>
        </row>
        <row r="33315">
          <cell r="O33315" t="str">
            <v/>
          </cell>
        </row>
        <row r="33316">
          <cell r="O33316" t="str">
            <v/>
          </cell>
        </row>
        <row r="33317">
          <cell r="O33317" t="str">
            <v/>
          </cell>
        </row>
        <row r="33318">
          <cell r="O33318" t="str">
            <v/>
          </cell>
        </row>
        <row r="33319">
          <cell r="O33319" t="str">
            <v/>
          </cell>
        </row>
        <row r="33320">
          <cell r="O33320" t="str">
            <v/>
          </cell>
        </row>
        <row r="33321">
          <cell r="O33321" t="str">
            <v/>
          </cell>
        </row>
        <row r="33322">
          <cell r="O33322" t="str">
            <v/>
          </cell>
        </row>
        <row r="33323">
          <cell r="O33323" t="str">
            <v/>
          </cell>
        </row>
        <row r="33324">
          <cell r="O33324" t="str">
            <v/>
          </cell>
        </row>
        <row r="33325">
          <cell r="O33325" t="str">
            <v/>
          </cell>
        </row>
        <row r="33326">
          <cell r="O33326" t="str">
            <v/>
          </cell>
        </row>
        <row r="33327">
          <cell r="O33327" t="str">
            <v/>
          </cell>
        </row>
        <row r="33328">
          <cell r="O33328" t="str">
            <v/>
          </cell>
        </row>
        <row r="33329">
          <cell r="O33329" t="str">
            <v/>
          </cell>
        </row>
        <row r="33330">
          <cell r="O33330" t="str">
            <v/>
          </cell>
        </row>
        <row r="33331">
          <cell r="O33331" t="str">
            <v/>
          </cell>
        </row>
        <row r="33332">
          <cell r="O33332" t="str">
            <v/>
          </cell>
        </row>
        <row r="33333">
          <cell r="O33333" t="str">
            <v/>
          </cell>
        </row>
        <row r="33334">
          <cell r="O33334" t="str">
            <v/>
          </cell>
        </row>
        <row r="33335">
          <cell r="O33335" t="str">
            <v/>
          </cell>
        </row>
        <row r="33336">
          <cell r="O33336" t="str">
            <v/>
          </cell>
        </row>
        <row r="33337">
          <cell r="O33337" t="str">
            <v/>
          </cell>
        </row>
        <row r="33338">
          <cell r="O33338" t="str">
            <v/>
          </cell>
        </row>
        <row r="33339">
          <cell r="O33339" t="str">
            <v/>
          </cell>
        </row>
        <row r="33340">
          <cell r="O33340" t="str">
            <v/>
          </cell>
        </row>
        <row r="33341">
          <cell r="O33341" t="str">
            <v/>
          </cell>
        </row>
        <row r="33342">
          <cell r="O33342" t="str">
            <v/>
          </cell>
        </row>
        <row r="33343">
          <cell r="O33343" t="str">
            <v/>
          </cell>
        </row>
        <row r="33344">
          <cell r="O33344" t="str">
            <v/>
          </cell>
        </row>
        <row r="33345">
          <cell r="O33345" t="str">
            <v/>
          </cell>
        </row>
        <row r="33346">
          <cell r="O33346" t="str">
            <v/>
          </cell>
        </row>
        <row r="33347">
          <cell r="O33347" t="str">
            <v/>
          </cell>
        </row>
        <row r="33348">
          <cell r="O33348" t="str">
            <v/>
          </cell>
        </row>
        <row r="33349">
          <cell r="O33349" t="str">
            <v/>
          </cell>
        </row>
        <row r="33350">
          <cell r="O33350" t="str">
            <v/>
          </cell>
        </row>
        <row r="33351">
          <cell r="O33351" t="str">
            <v/>
          </cell>
        </row>
        <row r="33352">
          <cell r="O33352" t="str">
            <v/>
          </cell>
        </row>
        <row r="33353">
          <cell r="O33353" t="str">
            <v/>
          </cell>
        </row>
        <row r="33354">
          <cell r="O33354" t="str">
            <v/>
          </cell>
        </row>
        <row r="33355">
          <cell r="O33355" t="str">
            <v/>
          </cell>
        </row>
        <row r="33356">
          <cell r="O33356" t="str">
            <v/>
          </cell>
        </row>
        <row r="33357">
          <cell r="O33357" t="str">
            <v/>
          </cell>
        </row>
        <row r="33358">
          <cell r="O33358" t="str">
            <v/>
          </cell>
        </row>
        <row r="33359">
          <cell r="O33359" t="str">
            <v/>
          </cell>
        </row>
        <row r="33360">
          <cell r="O33360" t="str">
            <v/>
          </cell>
        </row>
        <row r="33361">
          <cell r="O33361" t="str">
            <v/>
          </cell>
        </row>
        <row r="33362">
          <cell r="O33362" t="str">
            <v/>
          </cell>
        </row>
        <row r="33363">
          <cell r="O33363" t="str">
            <v/>
          </cell>
        </row>
        <row r="33364">
          <cell r="O33364" t="str">
            <v/>
          </cell>
        </row>
        <row r="33365">
          <cell r="O33365" t="str">
            <v/>
          </cell>
        </row>
        <row r="33366">
          <cell r="O33366" t="str">
            <v/>
          </cell>
        </row>
        <row r="33367">
          <cell r="O33367" t="str">
            <v/>
          </cell>
        </row>
        <row r="33368">
          <cell r="O33368" t="str">
            <v/>
          </cell>
        </row>
        <row r="33369">
          <cell r="O33369" t="str">
            <v/>
          </cell>
        </row>
        <row r="33370">
          <cell r="O33370" t="str">
            <v/>
          </cell>
        </row>
        <row r="33371">
          <cell r="O33371" t="str">
            <v/>
          </cell>
        </row>
        <row r="33372">
          <cell r="O33372" t="str">
            <v/>
          </cell>
        </row>
        <row r="33373">
          <cell r="O33373" t="str">
            <v/>
          </cell>
        </row>
        <row r="33374">
          <cell r="O33374" t="str">
            <v/>
          </cell>
        </row>
        <row r="33375">
          <cell r="O33375" t="str">
            <v/>
          </cell>
        </row>
        <row r="33376">
          <cell r="O33376" t="str">
            <v/>
          </cell>
        </row>
        <row r="33377">
          <cell r="O33377" t="str">
            <v/>
          </cell>
        </row>
        <row r="33378">
          <cell r="O33378" t="str">
            <v/>
          </cell>
        </row>
        <row r="33379">
          <cell r="O33379" t="str">
            <v/>
          </cell>
        </row>
        <row r="33380">
          <cell r="O33380" t="str">
            <v/>
          </cell>
        </row>
        <row r="33381">
          <cell r="O33381" t="str">
            <v/>
          </cell>
        </row>
        <row r="33382">
          <cell r="O33382" t="str">
            <v/>
          </cell>
        </row>
        <row r="33383">
          <cell r="O33383" t="str">
            <v/>
          </cell>
        </row>
        <row r="33384">
          <cell r="O33384" t="str">
            <v/>
          </cell>
        </row>
        <row r="33385">
          <cell r="O33385" t="str">
            <v/>
          </cell>
        </row>
        <row r="33386">
          <cell r="O33386" t="str">
            <v/>
          </cell>
        </row>
        <row r="33387">
          <cell r="O33387" t="str">
            <v/>
          </cell>
        </row>
        <row r="33388">
          <cell r="O33388" t="str">
            <v/>
          </cell>
        </row>
        <row r="33389">
          <cell r="O33389" t="str">
            <v/>
          </cell>
        </row>
        <row r="33390">
          <cell r="O33390" t="str">
            <v/>
          </cell>
        </row>
        <row r="33391">
          <cell r="O33391" t="str">
            <v/>
          </cell>
        </row>
        <row r="33392">
          <cell r="O33392" t="str">
            <v/>
          </cell>
        </row>
        <row r="33393">
          <cell r="O33393" t="str">
            <v/>
          </cell>
        </row>
        <row r="33394">
          <cell r="O33394" t="str">
            <v/>
          </cell>
        </row>
        <row r="33395">
          <cell r="O33395" t="str">
            <v/>
          </cell>
        </row>
        <row r="33396">
          <cell r="O33396" t="str">
            <v/>
          </cell>
        </row>
        <row r="33397">
          <cell r="O33397" t="str">
            <v/>
          </cell>
        </row>
        <row r="33398">
          <cell r="O33398" t="str">
            <v/>
          </cell>
        </row>
        <row r="33399">
          <cell r="O33399" t="str">
            <v/>
          </cell>
        </row>
        <row r="33400">
          <cell r="O33400" t="str">
            <v/>
          </cell>
        </row>
        <row r="33401">
          <cell r="O33401" t="str">
            <v/>
          </cell>
        </row>
        <row r="33402">
          <cell r="O33402" t="str">
            <v/>
          </cell>
        </row>
        <row r="33403">
          <cell r="O33403" t="str">
            <v/>
          </cell>
        </row>
        <row r="33404">
          <cell r="O33404" t="str">
            <v/>
          </cell>
        </row>
        <row r="33405">
          <cell r="O33405" t="str">
            <v/>
          </cell>
        </row>
        <row r="33406">
          <cell r="O33406" t="str">
            <v/>
          </cell>
        </row>
        <row r="33407">
          <cell r="O33407" t="str">
            <v/>
          </cell>
        </row>
        <row r="33408">
          <cell r="O33408" t="str">
            <v/>
          </cell>
        </row>
        <row r="33409">
          <cell r="O33409" t="str">
            <v/>
          </cell>
        </row>
        <row r="33410">
          <cell r="O33410" t="str">
            <v/>
          </cell>
        </row>
        <row r="33411">
          <cell r="O33411" t="str">
            <v/>
          </cell>
        </row>
        <row r="33412">
          <cell r="O33412" t="str">
            <v/>
          </cell>
        </row>
        <row r="33413">
          <cell r="O33413" t="str">
            <v/>
          </cell>
        </row>
        <row r="33414">
          <cell r="O33414" t="str">
            <v/>
          </cell>
        </row>
        <row r="33415">
          <cell r="O33415" t="str">
            <v/>
          </cell>
        </row>
        <row r="33416">
          <cell r="O33416" t="str">
            <v/>
          </cell>
        </row>
        <row r="33417">
          <cell r="O33417" t="str">
            <v/>
          </cell>
        </row>
        <row r="33418">
          <cell r="O33418" t="str">
            <v/>
          </cell>
        </row>
        <row r="33419">
          <cell r="O33419" t="str">
            <v/>
          </cell>
        </row>
        <row r="33420">
          <cell r="O33420" t="str">
            <v/>
          </cell>
        </row>
        <row r="33421">
          <cell r="O33421" t="str">
            <v/>
          </cell>
        </row>
        <row r="33422">
          <cell r="O33422" t="str">
            <v/>
          </cell>
        </row>
        <row r="33423">
          <cell r="O33423" t="str">
            <v/>
          </cell>
        </row>
        <row r="33424">
          <cell r="O33424" t="str">
            <v/>
          </cell>
        </row>
        <row r="33425">
          <cell r="O33425" t="str">
            <v/>
          </cell>
        </row>
        <row r="33426">
          <cell r="O33426" t="str">
            <v/>
          </cell>
        </row>
        <row r="33427">
          <cell r="O33427" t="str">
            <v/>
          </cell>
        </row>
        <row r="33428">
          <cell r="O33428" t="str">
            <v/>
          </cell>
        </row>
        <row r="33429">
          <cell r="O33429" t="str">
            <v/>
          </cell>
        </row>
        <row r="33430">
          <cell r="O33430" t="str">
            <v/>
          </cell>
        </row>
        <row r="33431">
          <cell r="O33431" t="str">
            <v/>
          </cell>
        </row>
        <row r="33432">
          <cell r="O33432" t="str">
            <v/>
          </cell>
        </row>
        <row r="33433">
          <cell r="O33433" t="str">
            <v/>
          </cell>
        </row>
        <row r="33434">
          <cell r="O33434" t="str">
            <v/>
          </cell>
        </row>
        <row r="33435">
          <cell r="O33435" t="str">
            <v/>
          </cell>
        </row>
        <row r="33436">
          <cell r="O33436" t="str">
            <v/>
          </cell>
        </row>
        <row r="33437">
          <cell r="O33437" t="str">
            <v/>
          </cell>
        </row>
        <row r="33438">
          <cell r="O33438" t="str">
            <v/>
          </cell>
        </row>
        <row r="33439">
          <cell r="O33439" t="str">
            <v/>
          </cell>
        </row>
        <row r="33440">
          <cell r="O33440" t="str">
            <v/>
          </cell>
        </row>
        <row r="33441">
          <cell r="O33441" t="str">
            <v/>
          </cell>
        </row>
        <row r="33442">
          <cell r="O33442" t="str">
            <v/>
          </cell>
        </row>
        <row r="33443">
          <cell r="O33443" t="str">
            <v/>
          </cell>
        </row>
        <row r="33444">
          <cell r="O33444" t="str">
            <v/>
          </cell>
        </row>
        <row r="33445">
          <cell r="O33445" t="str">
            <v/>
          </cell>
        </row>
        <row r="33446">
          <cell r="O33446" t="str">
            <v/>
          </cell>
        </row>
        <row r="33447">
          <cell r="O33447" t="str">
            <v/>
          </cell>
        </row>
        <row r="33448">
          <cell r="O33448" t="str">
            <v/>
          </cell>
        </row>
        <row r="33449">
          <cell r="O33449" t="str">
            <v/>
          </cell>
        </row>
        <row r="33450">
          <cell r="O33450" t="str">
            <v/>
          </cell>
        </row>
        <row r="33451">
          <cell r="O33451" t="str">
            <v/>
          </cell>
        </row>
        <row r="33452">
          <cell r="O33452" t="str">
            <v/>
          </cell>
        </row>
        <row r="33453">
          <cell r="O33453" t="str">
            <v/>
          </cell>
        </row>
        <row r="33454">
          <cell r="O33454" t="str">
            <v/>
          </cell>
        </row>
        <row r="33455">
          <cell r="O33455" t="str">
            <v/>
          </cell>
        </row>
        <row r="33456">
          <cell r="O33456" t="str">
            <v/>
          </cell>
        </row>
        <row r="33457">
          <cell r="O33457" t="str">
            <v/>
          </cell>
        </row>
        <row r="33458">
          <cell r="O33458" t="str">
            <v/>
          </cell>
        </row>
        <row r="33459">
          <cell r="O33459" t="str">
            <v/>
          </cell>
        </row>
        <row r="33460">
          <cell r="O33460" t="str">
            <v/>
          </cell>
        </row>
        <row r="33461">
          <cell r="O33461" t="str">
            <v/>
          </cell>
        </row>
        <row r="33462">
          <cell r="O33462" t="str">
            <v/>
          </cell>
        </row>
        <row r="33463">
          <cell r="O33463" t="str">
            <v/>
          </cell>
        </row>
        <row r="33464">
          <cell r="O33464" t="str">
            <v/>
          </cell>
        </row>
        <row r="33465">
          <cell r="O33465" t="str">
            <v/>
          </cell>
        </row>
        <row r="33466">
          <cell r="O33466" t="str">
            <v/>
          </cell>
        </row>
        <row r="33467">
          <cell r="O33467" t="str">
            <v/>
          </cell>
        </row>
        <row r="33468">
          <cell r="O33468" t="str">
            <v/>
          </cell>
        </row>
        <row r="33469">
          <cell r="O33469" t="str">
            <v/>
          </cell>
        </row>
        <row r="33470">
          <cell r="O33470" t="str">
            <v/>
          </cell>
        </row>
        <row r="33471">
          <cell r="O33471" t="str">
            <v/>
          </cell>
        </row>
        <row r="33472">
          <cell r="O33472" t="str">
            <v/>
          </cell>
        </row>
        <row r="33473">
          <cell r="O33473" t="str">
            <v/>
          </cell>
        </row>
        <row r="33474">
          <cell r="O33474" t="str">
            <v/>
          </cell>
        </row>
        <row r="33475">
          <cell r="O33475" t="str">
            <v/>
          </cell>
        </row>
        <row r="33476">
          <cell r="O33476" t="str">
            <v/>
          </cell>
        </row>
        <row r="33477">
          <cell r="O33477" t="str">
            <v/>
          </cell>
        </row>
        <row r="33478">
          <cell r="O33478" t="str">
            <v/>
          </cell>
        </row>
        <row r="33479">
          <cell r="O33479" t="str">
            <v/>
          </cell>
        </row>
        <row r="33480">
          <cell r="O33480" t="str">
            <v/>
          </cell>
        </row>
        <row r="33481">
          <cell r="O33481" t="str">
            <v/>
          </cell>
        </row>
        <row r="33482">
          <cell r="O33482" t="str">
            <v/>
          </cell>
        </row>
        <row r="33483">
          <cell r="O33483" t="str">
            <v/>
          </cell>
        </row>
        <row r="33484">
          <cell r="O33484" t="str">
            <v/>
          </cell>
        </row>
        <row r="33485">
          <cell r="O33485" t="str">
            <v/>
          </cell>
        </row>
        <row r="33486">
          <cell r="O33486" t="str">
            <v/>
          </cell>
        </row>
        <row r="33487">
          <cell r="O33487" t="str">
            <v/>
          </cell>
        </row>
        <row r="33488">
          <cell r="O33488" t="str">
            <v/>
          </cell>
        </row>
        <row r="33489">
          <cell r="O33489" t="str">
            <v/>
          </cell>
        </row>
        <row r="33490">
          <cell r="O33490" t="str">
            <v/>
          </cell>
        </row>
        <row r="33491">
          <cell r="O33491" t="str">
            <v/>
          </cell>
        </row>
        <row r="33492">
          <cell r="O33492" t="str">
            <v/>
          </cell>
        </row>
        <row r="33493">
          <cell r="O33493" t="str">
            <v/>
          </cell>
        </row>
        <row r="33494">
          <cell r="O33494" t="str">
            <v/>
          </cell>
        </row>
        <row r="33495">
          <cell r="O33495" t="str">
            <v/>
          </cell>
        </row>
        <row r="33496">
          <cell r="O33496" t="str">
            <v/>
          </cell>
        </row>
        <row r="33497">
          <cell r="O33497" t="str">
            <v/>
          </cell>
        </row>
        <row r="33498">
          <cell r="O33498" t="str">
            <v/>
          </cell>
        </row>
        <row r="33499">
          <cell r="O33499" t="str">
            <v/>
          </cell>
        </row>
        <row r="33500">
          <cell r="O33500" t="str">
            <v/>
          </cell>
        </row>
        <row r="33501">
          <cell r="O33501" t="str">
            <v/>
          </cell>
        </row>
        <row r="33502">
          <cell r="O33502" t="str">
            <v/>
          </cell>
        </row>
        <row r="33503">
          <cell r="O33503" t="str">
            <v/>
          </cell>
        </row>
        <row r="33504">
          <cell r="O33504" t="str">
            <v/>
          </cell>
        </row>
        <row r="33505">
          <cell r="O33505" t="str">
            <v/>
          </cell>
        </row>
        <row r="33506">
          <cell r="O33506" t="str">
            <v/>
          </cell>
        </row>
        <row r="33507">
          <cell r="O33507" t="str">
            <v/>
          </cell>
        </row>
        <row r="33508">
          <cell r="O33508" t="str">
            <v/>
          </cell>
        </row>
        <row r="33509">
          <cell r="O33509" t="str">
            <v/>
          </cell>
        </row>
        <row r="33510">
          <cell r="O33510" t="str">
            <v/>
          </cell>
        </row>
        <row r="33511">
          <cell r="O33511" t="str">
            <v/>
          </cell>
        </row>
        <row r="33512">
          <cell r="O33512" t="str">
            <v/>
          </cell>
        </row>
        <row r="33513">
          <cell r="O33513" t="str">
            <v/>
          </cell>
        </row>
        <row r="33514">
          <cell r="O33514" t="str">
            <v/>
          </cell>
        </row>
        <row r="33515">
          <cell r="O33515" t="str">
            <v/>
          </cell>
        </row>
        <row r="33516">
          <cell r="O33516" t="str">
            <v/>
          </cell>
        </row>
        <row r="33517">
          <cell r="O33517" t="str">
            <v/>
          </cell>
        </row>
        <row r="33518">
          <cell r="O33518" t="str">
            <v/>
          </cell>
        </row>
        <row r="33519">
          <cell r="O33519" t="str">
            <v/>
          </cell>
        </row>
        <row r="33520">
          <cell r="O33520" t="str">
            <v/>
          </cell>
        </row>
        <row r="33521">
          <cell r="O33521" t="str">
            <v/>
          </cell>
        </row>
        <row r="33522">
          <cell r="O33522" t="str">
            <v/>
          </cell>
        </row>
        <row r="33523">
          <cell r="O33523" t="str">
            <v/>
          </cell>
        </row>
        <row r="33524">
          <cell r="O33524" t="str">
            <v/>
          </cell>
        </row>
        <row r="33525">
          <cell r="O33525" t="str">
            <v/>
          </cell>
        </row>
        <row r="33526">
          <cell r="O33526" t="str">
            <v/>
          </cell>
        </row>
        <row r="33527">
          <cell r="O33527" t="str">
            <v/>
          </cell>
        </row>
        <row r="33528">
          <cell r="O33528" t="str">
            <v/>
          </cell>
        </row>
        <row r="33529">
          <cell r="O33529" t="str">
            <v/>
          </cell>
        </row>
        <row r="33530">
          <cell r="O33530" t="str">
            <v/>
          </cell>
        </row>
        <row r="33531">
          <cell r="O33531" t="str">
            <v/>
          </cell>
        </row>
        <row r="33532">
          <cell r="O33532" t="str">
            <v/>
          </cell>
        </row>
        <row r="33533">
          <cell r="O33533" t="str">
            <v/>
          </cell>
        </row>
        <row r="33534">
          <cell r="O33534" t="str">
            <v/>
          </cell>
        </row>
        <row r="33535">
          <cell r="O33535" t="str">
            <v/>
          </cell>
        </row>
        <row r="33536">
          <cell r="O33536" t="str">
            <v/>
          </cell>
        </row>
        <row r="33537">
          <cell r="O33537" t="str">
            <v/>
          </cell>
        </row>
        <row r="33538">
          <cell r="O33538" t="str">
            <v/>
          </cell>
        </row>
        <row r="33539">
          <cell r="O33539" t="str">
            <v/>
          </cell>
        </row>
        <row r="33540">
          <cell r="O33540" t="str">
            <v/>
          </cell>
        </row>
        <row r="33541">
          <cell r="O33541" t="str">
            <v/>
          </cell>
        </row>
        <row r="33542">
          <cell r="O33542" t="str">
            <v/>
          </cell>
        </row>
        <row r="33543">
          <cell r="O33543" t="str">
            <v/>
          </cell>
        </row>
        <row r="33544">
          <cell r="O33544" t="str">
            <v/>
          </cell>
        </row>
        <row r="33545">
          <cell r="O33545" t="str">
            <v/>
          </cell>
        </row>
        <row r="33546">
          <cell r="O33546" t="str">
            <v/>
          </cell>
        </row>
        <row r="33547">
          <cell r="O33547" t="str">
            <v/>
          </cell>
        </row>
        <row r="33548">
          <cell r="O33548" t="str">
            <v/>
          </cell>
        </row>
        <row r="33549">
          <cell r="O33549" t="str">
            <v/>
          </cell>
        </row>
        <row r="33550">
          <cell r="O33550" t="str">
            <v/>
          </cell>
        </row>
        <row r="33551">
          <cell r="O33551" t="str">
            <v/>
          </cell>
        </row>
        <row r="33552">
          <cell r="O33552" t="str">
            <v/>
          </cell>
        </row>
        <row r="33553">
          <cell r="O33553" t="str">
            <v/>
          </cell>
        </row>
        <row r="33554">
          <cell r="O33554" t="str">
            <v/>
          </cell>
        </row>
        <row r="33555">
          <cell r="O33555" t="str">
            <v/>
          </cell>
        </row>
        <row r="33556">
          <cell r="O33556" t="str">
            <v/>
          </cell>
        </row>
        <row r="33557">
          <cell r="O33557" t="str">
            <v/>
          </cell>
        </row>
        <row r="33558">
          <cell r="O33558" t="str">
            <v/>
          </cell>
        </row>
        <row r="33559">
          <cell r="O33559" t="str">
            <v/>
          </cell>
        </row>
        <row r="33560">
          <cell r="O33560" t="str">
            <v/>
          </cell>
        </row>
        <row r="33561">
          <cell r="O33561" t="str">
            <v/>
          </cell>
        </row>
        <row r="33562">
          <cell r="O33562" t="str">
            <v/>
          </cell>
        </row>
        <row r="33563">
          <cell r="O33563" t="str">
            <v/>
          </cell>
        </row>
        <row r="33564">
          <cell r="O33564" t="str">
            <v/>
          </cell>
        </row>
        <row r="33565">
          <cell r="O33565" t="str">
            <v/>
          </cell>
        </row>
        <row r="33566">
          <cell r="O33566" t="str">
            <v/>
          </cell>
        </row>
        <row r="33567">
          <cell r="O33567" t="str">
            <v/>
          </cell>
        </row>
        <row r="33568">
          <cell r="O33568" t="str">
            <v/>
          </cell>
        </row>
        <row r="33569">
          <cell r="O33569" t="str">
            <v/>
          </cell>
        </row>
        <row r="33570">
          <cell r="O33570" t="str">
            <v/>
          </cell>
        </row>
        <row r="33571">
          <cell r="O33571" t="str">
            <v/>
          </cell>
        </row>
        <row r="33572">
          <cell r="O33572" t="str">
            <v/>
          </cell>
        </row>
        <row r="33573">
          <cell r="O33573" t="str">
            <v/>
          </cell>
        </row>
        <row r="33574">
          <cell r="O33574" t="str">
            <v/>
          </cell>
        </row>
        <row r="33575">
          <cell r="O33575" t="str">
            <v/>
          </cell>
        </row>
        <row r="33576">
          <cell r="O33576" t="str">
            <v/>
          </cell>
        </row>
        <row r="33577">
          <cell r="O33577" t="str">
            <v/>
          </cell>
        </row>
        <row r="33578">
          <cell r="O33578" t="str">
            <v/>
          </cell>
        </row>
        <row r="33579">
          <cell r="O33579" t="str">
            <v/>
          </cell>
        </row>
        <row r="33580">
          <cell r="O33580" t="str">
            <v/>
          </cell>
        </row>
        <row r="33581">
          <cell r="O33581" t="str">
            <v/>
          </cell>
        </row>
        <row r="33582">
          <cell r="O33582" t="str">
            <v/>
          </cell>
        </row>
        <row r="33583">
          <cell r="O33583" t="str">
            <v/>
          </cell>
        </row>
        <row r="33584">
          <cell r="O33584" t="str">
            <v/>
          </cell>
        </row>
        <row r="33585">
          <cell r="O33585" t="str">
            <v/>
          </cell>
        </row>
        <row r="33586">
          <cell r="O33586" t="str">
            <v/>
          </cell>
        </row>
        <row r="33587">
          <cell r="O33587" t="str">
            <v/>
          </cell>
        </row>
        <row r="33588">
          <cell r="O33588" t="str">
            <v/>
          </cell>
        </row>
        <row r="33589">
          <cell r="O33589" t="str">
            <v/>
          </cell>
        </row>
        <row r="33590">
          <cell r="O33590" t="str">
            <v/>
          </cell>
        </row>
        <row r="33591">
          <cell r="O33591" t="str">
            <v/>
          </cell>
        </row>
        <row r="33592">
          <cell r="O33592" t="str">
            <v/>
          </cell>
        </row>
        <row r="33593">
          <cell r="O33593" t="str">
            <v/>
          </cell>
        </row>
        <row r="33594">
          <cell r="O33594" t="str">
            <v/>
          </cell>
        </row>
        <row r="33595">
          <cell r="O33595" t="str">
            <v/>
          </cell>
        </row>
        <row r="33596">
          <cell r="O33596" t="str">
            <v/>
          </cell>
        </row>
        <row r="33597">
          <cell r="O33597" t="str">
            <v/>
          </cell>
        </row>
        <row r="33598">
          <cell r="O33598" t="str">
            <v/>
          </cell>
        </row>
        <row r="33599">
          <cell r="O33599" t="str">
            <v/>
          </cell>
        </row>
        <row r="33600">
          <cell r="O33600" t="str">
            <v/>
          </cell>
        </row>
        <row r="33601">
          <cell r="O33601" t="str">
            <v/>
          </cell>
        </row>
        <row r="33602">
          <cell r="O33602" t="str">
            <v/>
          </cell>
        </row>
        <row r="33603">
          <cell r="O33603" t="str">
            <v/>
          </cell>
        </row>
        <row r="33604">
          <cell r="O33604" t="str">
            <v/>
          </cell>
        </row>
        <row r="33605">
          <cell r="O33605" t="str">
            <v/>
          </cell>
        </row>
        <row r="33606">
          <cell r="O33606" t="str">
            <v/>
          </cell>
        </row>
        <row r="33607">
          <cell r="O33607" t="str">
            <v/>
          </cell>
        </row>
        <row r="33608">
          <cell r="O33608" t="str">
            <v/>
          </cell>
        </row>
        <row r="33609">
          <cell r="O33609" t="str">
            <v/>
          </cell>
        </row>
        <row r="33610">
          <cell r="O33610" t="str">
            <v/>
          </cell>
        </row>
        <row r="33611">
          <cell r="O33611" t="str">
            <v/>
          </cell>
        </row>
        <row r="33612">
          <cell r="O33612" t="str">
            <v/>
          </cell>
        </row>
        <row r="33613">
          <cell r="O33613" t="str">
            <v/>
          </cell>
        </row>
        <row r="33614">
          <cell r="O33614" t="str">
            <v/>
          </cell>
        </row>
        <row r="33615">
          <cell r="O33615" t="str">
            <v/>
          </cell>
        </row>
        <row r="33616">
          <cell r="O33616" t="str">
            <v/>
          </cell>
        </row>
        <row r="33617">
          <cell r="O33617" t="str">
            <v/>
          </cell>
        </row>
        <row r="33618">
          <cell r="O33618" t="str">
            <v/>
          </cell>
        </row>
        <row r="33619">
          <cell r="O33619" t="str">
            <v/>
          </cell>
        </row>
        <row r="33620">
          <cell r="O33620" t="str">
            <v/>
          </cell>
        </row>
        <row r="33621">
          <cell r="O33621" t="str">
            <v/>
          </cell>
        </row>
        <row r="33622">
          <cell r="O33622" t="str">
            <v/>
          </cell>
        </row>
        <row r="33623">
          <cell r="O33623" t="str">
            <v/>
          </cell>
        </row>
        <row r="33624">
          <cell r="O33624" t="str">
            <v/>
          </cell>
        </row>
        <row r="33625">
          <cell r="O33625" t="str">
            <v/>
          </cell>
        </row>
        <row r="33626">
          <cell r="O33626" t="str">
            <v/>
          </cell>
        </row>
        <row r="33627">
          <cell r="O33627" t="str">
            <v/>
          </cell>
        </row>
        <row r="33628">
          <cell r="O33628" t="str">
            <v/>
          </cell>
        </row>
        <row r="33629">
          <cell r="O33629" t="str">
            <v/>
          </cell>
        </row>
        <row r="33630">
          <cell r="O33630" t="str">
            <v/>
          </cell>
        </row>
        <row r="33631">
          <cell r="O33631" t="str">
            <v/>
          </cell>
        </row>
        <row r="33632">
          <cell r="O33632" t="str">
            <v/>
          </cell>
        </row>
        <row r="33633">
          <cell r="O33633" t="str">
            <v/>
          </cell>
        </row>
        <row r="33634">
          <cell r="O33634" t="str">
            <v/>
          </cell>
        </row>
        <row r="33635">
          <cell r="O33635" t="str">
            <v/>
          </cell>
        </row>
        <row r="33636">
          <cell r="O33636" t="str">
            <v/>
          </cell>
        </row>
        <row r="33637">
          <cell r="O33637" t="str">
            <v/>
          </cell>
        </row>
        <row r="33638">
          <cell r="O33638" t="str">
            <v/>
          </cell>
        </row>
        <row r="33639">
          <cell r="O33639" t="str">
            <v/>
          </cell>
        </row>
        <row r="33640">
          <cell r="O33640" t="str">
            <v/>
          </cell>
        </row>
        <row r="33641">
          <cell r="O33641" t="str">
            <v/>
          </cell>
        </row>
        <row r="33642">
          <cell r="O33642" t="str">
            <v/>
          </cell>
        </row>
        <row r="33643">
          <cell r="O33643" t="str">
            <v/>
          </cell>
        </row>
        <row r="33644">
          <cell r="O33644" t="str">
            <v/>
          </cell>
        </row>
        <row r="33645">
          <cell r="O33645" t="str">
            <v/>
          </cell>
        </row>
        <row r="33646">
          <cell r="O33646" t="str">
            <v/>
          </cell>
        </row>
        <row r="33647">
          <cell r="O33647" t="str">
            <v/>
          </cell>
        </row>
        <row r="33648">
          <cell r="O33648" t="str">
            <v/>
          </cell>
        </row>
        <row r="33649">
          <cell r="O33649" t="str">
            <v/>
          </cell>
        </row>
        <row r="33650">
          <cell r="O33650" t="str">
            <v/>
          </cell>
        </row>
        <row r="33651">
          <cell r="O33651" t="str">
            <v/>
          </cell>
        </row>
        <row r="33652">
          <cell r="O33652" t="str">
            <v/>
          </cell>
        </row>
        <row r="33653">
          <cell r="O33653" t="str">
            <v/>
          </cell>
        </row>
        <row r="33654">
          <cell r="O33654" t="str">
            <v/>
          </cell>
        </row>
        <row r="33655">
          <cell r="O33655" t="str">
            <v/>
          </cell>
        </row>
        <row r="33656">
          <cell r="O33656" t="str">
            <v/>
          </cell>
        </row>
        <row r="33657">
          <cell r="O33657" t="str">
            <v/>
          </cell>
        </row>
        <row r="33658">
          <cell r="O33658" t="str">
            <v/>
          </cell>
        </row>
        <row r="33659">
          <cell r="O33659" t="str">
            <v/>
          </cell>
        </row>
        <row r="33660">
          <cell r="O33660" t="str">
            <v/>
          </cell>
        </row>
        <row r="33661">
          <cell r="O33661" t="str">
            <v/>
          </cell>
        </row>
        <row r="33662">
          <cell r="O33662" t="str">
            <v/>
          </cell>
        </row>
        <row r="33663">
          <cell r="O33663" t="str">
            <v/>
          </cell>
        </row>
        <row r="33664">
          <cell r="O33664" t="str">
            <v/>
          </cell>
        </row>
        <row r="33665">
          <cell r="O33665" t="str">
            <v/>
          </cell>
        </row>
        <row r="33666">
          <cell r="O33666" t="str">
            <v/>
          </cell>
        </row>
        <row r="33667">
          <cell r="O33667" t="str">
            <v/>
          </cell>
        </row>
        <row r="33668">
          <cell r="O33668" t="str">
            <v/>
          </cell>
        </row>
        <row r="33669">
          <cell r="O33669" t="str">
            <v/>
          </cell>
        </row>
        <row r="33670">
          <cell r="O33670" t="str">
            <v/>
          </cell>
        </row>
        <row r="33671">
          <cell r="O33671" t="str">
            <v/>
          </cell>
        </row>
        <row r="33672">
          <cell r="O33672" t="str">
            <v/>
          </cell>
        </row>
        <row r="33673">
          <cell r="O33673" t="str">
            <v/>
          </cell>
        </row>
        <row r="33674">
          <cell r="O33674" t="str">
            <v/>
          </cell>
        </row>
        <row r="33675">
          <cell r="O33675" t="str">
            <v/>
          </cell>
        </row>
        <row r="33676">
          <cell r="O33676" t="str">
            <v/>
          </cell>
        </row>
        <row r="33677">
          <cell r="O33677" t="str">
            <v/>
          </cell>
        </row>
        <row r="33678">
          <cell r="O33678" t="str">
            <v/>
          </cell>
        </row>
        <row r="33679">
          <cell r="O33679" t="str">
            <v/>
          </cell>
        </row>
        <row r="33680">
          <cell r="O33680" t="str">
            <v/>
          </cell>
        </row>
        <row r="33681">
          <cell r="O33681" t="str">
            <v/>
          </cell>
        </row>
        <row r="33682">
          <cell r="O33682" t="str">
            <v/>
          </cell>
        </row>
        <row r="33683">
          <cell r="O33683" t="str">
            <v/>
          </cell>
        </row>
        <row r="33684">
          <cell r="O33684" t="str">
            <v/>
          </cell>
        </row>
        <row r="33685">
          <cell r="O33685" t="str">
            <v/>
          </cell>
        </row>
        <row r="33686">
          <cell r="O33686" t="str">
            <v/>
          </cell>
        </row>
        <row r="33687">
          <cell r="O33687" t="str">
            <v/>
          </cell>
        </row>
        <row r="33688">
          <cell r="O33688" t="str">
            <v/>
          </cell>
        </row>
        <row r="33689">
          <cell r="O33689" t="str">
            <v/>
          </cell>
        </row>
        <row r="33690">
          <cell r="O33690" t="str">
            <v/>
          </cell>
        </row>
        <row r="33691">
          <cell r="O33691" t="str">
            <v/>
          </cell>
        </row>
        <row r="33692">
          <cell r="O33692" t="str">
            <v/>
          </cell>
        </row>
        <row r="33693">
          <cell r="O33693" t="str">
            <v/>
          </cell>
        </row>
        <row r="33694">
          <cell r="O33694" t="str">
            <v/>
          </cell>
        </row>
        <row r="33695">
          <cell r="O33695" t="str">
            <v/>
          </cell>
        </row>
        <row r="33696">
          <cell r="O33696" t="str">
            <v/>
          </cell>
        </row>
        <row r="33697">
          <cell r="O33697" t="str">
            <v/>
          </cell>
        </row>
        <row r="33698">
          <cell r="O33698" t="str">
            <v/>
          </cell>
        </row>
        <row r="33699">
          <cell r="O33699" t="str">
            <v/>
          </cell>
        </row>
        <row r="33700">
          <cell r="O33700" t="str">
            <v/>
          </cell>
        </row>
        <row r="33701">
          <cell r="O33701" t="str">
            <v/>
          </cell>
        </row>
        <row r="33702">
          <cell r="O33702" t="str">
            <v/>
          </cell>
        </row>
        <row r="33703">
          <cell r="O33703" t="str">
            <v/>
          </cell>
        </row>
        <row r="33704">
          <cell r="O33704" t="str">
            <v/>
          </cell>
        </row>
        <row r="33705">
          <cell r="O33705" t="str">
            <v/>
          </cell>
        </row>
        <row r="33706">
          <cell r="O33706" t="str">
            <v/>
          </cell>
        </row>
        <row r="33707">
          <cell r="O33707" t="str">
            <v/>
          </cell>
        </row>
        <row r="33708">
          <cell r="O33708" t="str">
            <v/>
          </cell>
        </row>
        <row r="33709">
          <cell r="O33709" t="str">
            <v/>
          </cell>
        </row>
        <row r="33710">
          <cell r="O33710" t="str">
            <v/>
          </cell>
        </row>
        <row r="33711">
          <cell r="O33711" t="str">
            <v/>
          </cell>
        </row>
        <row r="33712">
          <cell r="O33712" t="str">
            <v/>
          </cell>
        </row>
        <row r="33713">
          <cell r="O33713" t="str">
            <v/>
          </cell>
        </row>
        <row r="33714">
          <cell r="O33714" t="str">
            <v/>
          </cell>
        </row>
        <row r="33715">
          <cell r="O33715" t="str">
            <v/>
          </cell>
        </row>
        <row r="33716">
          <cell r="O33716" t="str">
            <v/>
          </cell>
        </row>
        <row r="33717">
          <cell r="O33717" t="str">
            <v/>
          </cell>
        </row>
        <row r="33718">
          <cell r="O33718" t="str">
            <v/>
          </cell>
        </row>
        <row r="33719">
          <cell r="O33719" t="str">
            <v/>
          </cell>
        </row>
        <row r="33720">
          <cell r="O33720" t="str">
            <v/>
          </cell>
        </row>
        <row r="33721">
          <cell r="O33721" t="str">
            <v/>
          </cell>
        </row>
        <row r="33722">
          <cell r="O33722" t="str">
            <v/>
          </cell>
        </row>
        <row r="33723">
          <cell r="O33723" t="str">
            <v/>
          </cell>
        </row>
        <row r="33724">
          <cell r="O33724" t="str">
            <v/>
          </cell>
        </row>
        <row r="33725">
          <cell r="O33725" t="str">
            <v/>
          </cell>
        </row>
        <row r="33726">
          <cell r="O33726" t="str">
            <v/>
          </cell>
        </row>
        <row r="33727">
          <cell r="O33727" t="str">
            <v/>
          </cell>
        </row>
        <row r="33728">
          <cell r="O33728" t="str">
            <v/>
          </cell>
        </row>
        <row r="33729">
          <cell r="O33729" t="str">
            <v/>
          </cell>
        </row>
        <row r="33730">
          <cell r="O33730" t="str">
            <v/>
          </cell>
        </row>
        <row r="33731">
          <cell r="O33731" t="str">
            <v/>
          </cell>
        </row>
        <row r="33732">
          <cell r="O33732" t="str">
            <v/>
          </cell>
        </row>
        <row r="33733">
          <cell r="O33733" t="str">
            <v/>
          </cell>
        </row>
        <row r="33734">
          <cell r="O33734" t="str">
            <v/>
          </cell>
        </row>
        <row r="33735">
          <cell r="O33735" t="str">
            <v/>
          </cell>
        </row>
        <row r="33736">
          <cell r="O33736" t="str">
            <v/>
          </cell>
        </row>
        <row r="33737">
          <cell r="O33737" t="str">
            <v/>
          </cell>
        </row>
        <row r="33738">
          <cell r="O33738" t="str">
            <v/>
          </cell>
        </row>
        <row r="33739">
          <cell r="O33739" t="str">
            <v/>
          </cell>
        </row>
        <row r="33740">
          <cell r="O33740" t="str">
            <v/>
          </cell>
        </row>
        <row r="33741">
          <cell r="O33741" t="str">
            <v/>
          </cell>
        </row>
        <row r="33742">
          <cell r="O33742" t="str">
            <v/>
          </cell>
        </row>
        <row r="33743">
          <cell r="O33743" t="str">
            <v/>
          </cell>
        </row>
        <row r="33744">
          <cell r="O33744" t="str">
            <v/>
          </cell>
        </row>
        <row r="33745">
          <cell r="O33745" t="str">
            <v/>
          </cell>
        </row>
        <row r="33746">
          <cell r="O33746" t="str">
            <v/>
          </cell>
        </row>
        <row r="33747">
          <cell r="O33747" t="str">
            <v/>
          </cell>
        </row>
        <row r="33748">
          <cell r="O33748" t="str">
            <v/>
          </cell>
        </row>
        <row r="33749">
          <cell r="O33749" t="str">
            <v/>
          </cell>
        </row>
        <row r="33750">
          <cell r="O33750" t="str">
            <v/>
          </cell>
        </row>
        <row r="33751">
          <cell r="O33751" t="str">
            <v/>
          </cell>
        </row>
        <row r="33752">
          <cell r="O33752" t="str">
            <v/>
          </cell>
        </row>
        <row r="33753">
          <cell r="O33753" t="str">
            <v/>
          </cell>
        </row>
        <row r="33754">
          <cell r="O33754" t="str">
            <v/>
          </cell>
        </row>
        <row r="33755">
          <cell r="O33755" t="str">
            <v/>
          </cell>
        </row>
        <row r="33756">
          <cell r="O33756" t="str">
            <v/>
          </cell>
        </row>
        <row r="33757">
          <cell r="O33757" t="str">
            <v/>
          </cell>
        </row>
        <row r="33758">
          <cell r="O33758" t="str">
            <v/>
          </cell>
        </row>
        <row r="33759">
          <cell r="O33759" t="str">
            <v/>
          </cell>
        </row>
        <row r="33760">
          <cell r="O33760" t="str">
            <v/>
          </cell>
        </row>
        <row r="33761">
          <cell r="O33761" t="str">
            <v/>
          </cell>
        </row>
        <row r="33762">
          <cell r="O33762" t="str">
            <v/>
          </cell>
        </row>
        <row r="33763">
          <cell r="O33763" t="str">
            <v/>
          </cell>
        </row>
        <row r="33764">
          <cell r="O33764" t="str">
            <v/>
          </cell>
        </row>
        <row r="33765">
          <cell r="O33765" t="str">
            <v/>
          </cell>
        </row>
        <row r="33766">
          <cell r="O33766" t="str">
            <v/>
          </cell>
        </row>
        <row r="33767">
          <cell r="O33767" t="str">
            <v/>
          </cell>
        </row>
        <row r="33768">
          <cell r="O33768" t="str">
            <v/>
          </cell>
        </row>
        <row r="33769">
          <cell r="O33769" t="str">
            <v/>
          </cell>
        </row>
        <row r="33770">
          <cell r="O33770" t="str">
            <v/>
          </cell>
        </row>
        <row r="33771">
          <cell r="O33771" t="str">
            <v/>
          </cell>
        </row>
        <row r="33772">
          <cell r="O33772" t="str">
            <v/>
          </cell>
        </row>
        <row r="33773">
          <cell r="O33773" t="str">
            <v/>
          </cell>
        </row>
        <row r="33774">
          <cell r="O33774" t="str">
            <v/>
          </cell>
        </row>
        <row r="33775">
          <cell r="O33775" t="str">
            <v/>
          </cell>
        </row>
        <row r="33776">
          <cell r="O33776" t="str">
            <v/>
          </cell>
        </row>
        <row r="33777">
          <cell r="O33777" t="str">
            <v/>
          </cell>
        </row>
        <row r="33778">
          <cell r="O33778" t="str">
            <v/>
          </cell>
        </row>
        <row r="33779">
          <cell r="O33779" t="str">
            <v/>
          </cell>
        </row>
        <row r="33780">
          <cell r="O33780" t="str">
            <v/>
          </cell>
        </row>
        <row r="33781">
          <cell r="O33781" t="str">
            <v/>
          </cell>
        </row>
        <row r="33782">
          <cell r="O33782" t="str">
            <v/>
          </cell>
        </row>
        <row r="33783">
          <cell r="O33783" t="str">
            <v/>
          </cell>
        </row>
        <row r="33784">
          <cell r="O33784" t="str">
            <v/>
          </cell>
        </row>
        <row r="33785">
          <cell r="O33785" t="str">
            <v/>
          </cell>
        </row>
        <row r="33786">
          <cell r="O33786" t="str">
            <v/>
          </cell>
        </row>
        <row r="33787">
          <cell r="O33787" t="str">
            <v/>
          </cell>
        </row>
        <row r="33788">
          <cell r="O33788" t="str">
            <v/>
          </cell>
        </row>
        <row r="33789">
          <cell r="O33789" t="str">
            <v/>
          </cell>
        </row>
        <row r="33790">
          <cell r="O33790" t="str">
            <v/>
          </cell>
        </row>
        <row r="33791">
          <cell r="O33791" t="str">
            <v/>
          </cell>
        </row>
        <row r="33792">
          <cell r="O33792" t="str">
            <v/>
          </cell>
        </row>
        <row r="33793">
          <cell r="O33793" t="str">
            <v/>
          </cell>
        </row>
        <row r="33794">
          <cell r="O33794" t="str">
            <v/>
          </cell>
        </row>
        <row r="33795">
          <cell r="O33795" t="str">
            <v/>
          </cell>
        </row>
        <row r="33796">
          <cell r="O33796" t="str">
            <v/>
          </cell>
        </row>
        <row r="33797">
          <cell r="O33797" t="str">
            <v/>
          </cell>
        </row>
        <row r="33798">
          <cell r="O33798" t="str">
            <v/>
          </cell>
        </row>
        <row r="33799">
          <cell r="O33799" t="str">
            <v/>
          </cell>
        </row>
        <row r="33800">
          <cell r="O33800" t="str">
            <v/>
          </cell>
        </row>
        <row r="33801">
          <cell r="O33801" t="str">
            <v/>
          </cell>
        </row>
        <row r="33802">
          <cell r="O33802" t="str">
            <v/>
          </cell>
        </row>
        <row r="33803">
          <cell r="O33803" t="str">
            <v/>
          </cell>
        </row>
        <row r="33804">
          <cell r="O33804" t="str">
            <v/>
          </cell>
        </row>
        <row r="33805">
          <cell r="O33805" t="str">
            <v/>
          </cell>
        </row>
        <row r="33806">
          <cell r="O33806" t="str">
            <v/>
          </cell>
        </row>
        <row r="33807">
          <cell r="O33807" t="str">
            <v/>
          </cell>
        </row>
        <row r="33808">
          <cell r="O33808" t="str">
            <v/>
          </cell>
        </row>
        <row r="33809">
          <cell r="O33809" t="str">
            <v/>
          </cell>
        </row>
        <row r="33810">
          <cell r="O33810" t="str">
            <v/>
          </cell>
        </row>
        <row r="33811">
          <cell r="O33811" t="str">
            <v/>
          </cell>
        </row>
        <row r="33812">
          <cell r="O33812" t="str">
            <v/>
          </cell>
        </row>
        <row r="33813">
          <cell r="O33813" t="str">
            <v/>
          </cell>
        </row>
        <row r="33814">
          <cell r="O33814" t="str">
            <v/>
          </cell>
        </row>
        <row r="33815">
          <cell r="O33815" t="str">
            <v/>
          </cell>
        </row>
        <row r="33816">
          <cell r="O33816" t="str">
            <v/>
          </cell>
        </row>
        <row r="33817">
          <cell r="O33817" t="str">
            <v/>
          </cell>
        </row>
        <row r="33818">
          <cell r="O33818" t="str">
            <v/>
          </cell>
        </row>
        <row r="33819">
          <cell r="O33819" t="str">
            <v/>
          </cell>
        </row>
        <row r="33820">
          <cell r="O33820" t="str">
            <v/>
          </cell>
        </row>
        <row r="33821">
          <cell r="O33821" t="str">
            <v/>
          </cell>
        </row>
        <row r="33822">
          <cell r="O33822" t="str">
            <v/>
          </cell>
        </row>
        <row r="33823">
          <cell r="O33823" t="str">
            <v/>
          </cell>
        </row>
        <row r="33824">
          <cell r="O33824" t="str">
            <v/>
          </cell>
        </row>
        <row r="33825">
          <cell r="O33825" t="str">
            <v/>
          </cell>
        </row>
        <row r="33826">
          <cell r="O33826" t="str">
            <v/>
          </cell>
        </row>
        <row r="33827">
          <cell r="O33827" t="str">
            <v/>
          </cell>
        </row>
        <row r="33828">
          <cell r="O33828" t="str">
            <v/>
          </cell>
        </row>
        <row r="33829">
          <cell r="O33829" t="str">
            <v/>
          </cell>
        </row>
        <row r="33830">
          <cell r="O33830" t="str">
            <v/>
          </cell>
        </row>
        <row r="33831">
          <cell r="O33831" t="str">
            <v/>
          </cell>
        </row>
        <row r="33832">
          <cell r="O33832" t="str">
            <v/>
          </cell>
        </row>
        <row r="33833">
          <cell r="O33833" t="str">
            <v/>
          </cell>
        </row>
        <row r="33834">
          <cell r="O33834" t="str">
            <v/>
          </cell>
        </row>
        <row r="33835">
          <cell r="O33835" t="str">
            <v/>
          </cell>
        </row>
        <row r="33836">
          <cell r="O33836" t="str">
            <v/>
          </cell>
        </row>
        <row r="33837">
          <cell r="O33837" t="str">
            <v/>
          </cell>
        </row>
        <row r="33838">
          <cell r="O33838" t="str">
            <v/>
          </cell>
        </row>
        <row r="33839">
          <cell r="O33839" t="str">
            <v/>
          </cell>
        </row>
        <row r="33840">
          <cell r="O33840" t="str">
            <v/>
          </cell>
        </row>
        <row r="33841">
          <cell r="O33841" t="str">
            <v/>
          </cell>
        </row>
        <row r="33842">
          <cell r="O33842" t="str">
            <v/>
          </cell>
        </row>
        <row r="33843">
          <cell r="O33843" t="str">
            <v/>
          </cell>
        </row>
        <row r="33844">
          <cell r="O33844" t="str">
            <v/>
          </cell>
        </row>
        <row r="33845">
          <cell r="O33845" t="str">
            <v/>
          </cell>
        </row>
        <row r="33846">
          <cell r="O33846" t="str">
            <v/>
          </cell>
        </row>
        <row r="33847">
          <cell r="O33847" t="str">
            <v/>
          </cell>
        </row>
        <row r="33848">
          <cell r="O33848" t="str">
            <v/>
          </cell>
        </row>
        <row r="33849">
          <cell r="O33849" t="str">
            <v/>
          </cell>
        </row>
        <row r="33850">
          <cell r="O33850" t="str">
            <v/>
          </cell>
        </row>
        <row r="33851">
          <cell r="O33851" t="str">
            <v/>
          </cell>
        </row>
        <row r="33852">
          <cell r="O33852" t="str">
            <v/>
          </cell>
        </row>
        <row r="33853">
          <cell r="O33853" t="str">
            <v/>
          </cell>
        </row>
        <row r="33854">
          <cell r="O33854" t="str">
            <v/>
          </cell>
        </row>
        <row r="33855">
          <cell r="O33855" t="str">
            <v/>
          </cell>
        </row>
        <row r="33856">
          <cell r="O33856" t="str">
            <v/>
          </cell>
        </row>
        <row r="33857">
          <cell r="O33857" t="str">
            <v/>
          </cell>
        </row>
        <row r="33858">
          <cell r="O33858" t="str">
            <v/>
          </cell>
        </row>
        <row r="33859">
          <cell r="O33859" t="str">
            <v/>
          </cell>
        </row>
        <row r="33860">
          <cell r="O33860" t="str">
            <v/>
          </cell>
        </row>
        <row r="33861">
          <cell r="O33861" t="str">
            <v/>
          </cell>
        </row>
        <row r="33862">
          <cell r="O33862" t="str">
            <v/>
          </cell>
        </row>
        <row r="33863">
          <cell r="O33863" t="str">
            <v/>
          </cell>
        </row>
        <row r="33864">
          <cell r="O33864" t="str">
            <v/>
          </cell>
        </row>
        <row r="33865">
          <cell r="O33865" t="str">
            <v/>
          </cell>
        </row>
        <row r="33866">
          <cell r="O33866" t="str">
            <v/>
          </cell>
        </row>
        <row r="33867">
          <cell r="O33867" t="str">
            <v/>
          </cell>
        </row>
        <row r="33868">
          <cell r="O33868" t="str">
            <v/>
          </cell>
        </row>
        <row r="33869">
          <cell r="O33869" t="str">
            <v/>
          </cell>
        </row>
        <row r="33870">
          <cell r="O33870" t="str">
            <v/>
          </cell>
        </row>
        <row r="33871">
          <cell r="O33871" t="str">
            <v/>
          </cell>
        </row>
        <row r="33872">
          <cell r="O33872" t="str">
            <v/>
          </cell>
        </row>
        <row r="33873">
          <cell r="O33873" t="str">
            <v/>
          </cell>
        </row>
        <row r="33874">
          <cell r="O33874" t="str">
            <v/>
          </cell>
        </row>
        <row r="33875">
          <cell r="O33875" t="str">
            <v/>
          </cell>
        </row>
        <row r="33876">
          <cell r="O33876" t="str">
            <v/>
          </cell>
        </row>
        <row r="33877">
          <cell r="O33877" t="str">
            <v/>
          </cell>
        </row>
        <row r="33878">
          <cell r="O33878" t="str">
            <v/>
          </cell>
        </row>
        <row r="33879">
          <cell r="O33879" t="str">
            <v/>
          </cell>
        </row>
        <row r="33880">
          <cell r="O33880" t="str">
            <v/>
          </cell>
        </row>
        <row r="33881">
          <cell r="O33881" t="str">
            <v/>
          </cell>
        </row>
        <row r="33882">
          <cell r="O33882" t="str">
            <v/>
          </cell>
        </row>
        <row r="33883">
          <cell r="O33883" t="str">
            <v/>
          </cell>
        </row>
        <row r="33884">
          <cell r="O33884" t="str">
            <v/>
          </cell>
        </row>
        <row r="33885">
          <cell r="O33885" t="str">
            <v/>
          </cell>
        </row>
        <row r="33886">
          <cell r="O33886" t="str">
            <v/>
          </cell>
        </row>
        <row r="33887">
          <cell r="O33887" t="str">
            <v/>
          </cell>
        </row>
        <row r="33888">
          <cell r="O33888" t="str">
            <v/>
          </cell>
        </row>
        <row r="33889">
          <cell r="O33889" t="str">
            <v/>
          </cell>
        </row>
        <row r="33890">
          <cell r="O33890" t="str">
            <v/>
          </cell>
        </row>
        <row r="33891">
          <cell r="O33891" t="str">
            <v/>
          </cell>
        </row>
        <row r="33892">
          <cell r="O33892" t="str">
            <v/>
          </cell>
        </row>
        <row r="33893">
          <cell r="O33893" t="str">
            <v/>
          </cell>
        </row>
        <row r="33894">
          <cell r="O33894" t="str">
            <v/>
          </cell>
        </row>
        <row r="33895">
          <cell r="O33895" t="str">
            <v/>
          </cell>
        </row>
        <row r="33896">
          <cell r="O33896" t="str">
            <v/>
          </cell>
        </row>
        <row r="33897">
          <cell r="O33897" t="str">
            <v/>
          </cell>
        </row>
        <row r="33898">
          <cell r="O33898" t="str">
            <v/>
          </cell>
        </row>
        <row r="33899">
          <cell r="O33899" t="str">
            <v/>
          </cell>
        </row>
        <row r="33900">
          <cell r="O33900" t="str">
            <v/>
          </cell>
        </row>
        <row r="33901">
          <cell r="O33901" t="str">
            <v/>
          </cell>
        </row>
        <row r="33902">
          <cell r="O33902" t="str">
            <v/>
          </cell>
        </row>
        <row r="33903">
          <cell r="O33903" t="str">
            <v/>
          </cell>
        </row>
        <row r="33904">
          <cell r="O33904" t="str">
            <v/>
          </cell>
        </row>
        <row r="33905">
          <cell r="O33905" t="str">
            <v/>
          </cell>
        </row>
        <row r="33906">
          <cell r="O33906" t="str">
            <v/>
          </cell>
        </row>
        <row r="33907">
          <cell r="O33907" t="str">
            <v/>
          </cell>
        </row>
        <row r="33908">
          <cell r="O33908" t="str">
            <v/>
          </cell>
        </row>
        <row r="33909">
          <cell r="O33909" t="str">
            <v/>
          </cell>
        </row>
        <row r="33910">
          <cell r="O33910" t="str">
            <v/>
          </cell>
        </row>
        <row r="33911">
          <cell r="O33911" t="str">
            <v/>
          </cell>
        </row>
        <row r="33912">
          <cell r="O33912" t="str">
            <v/>
          </cell>
        </row>
        <row r="33913">
          <cell r="O33913" t="str">
            <v/>
          </cell>
        </row>
        <row r="33914">
          <cell r="O33914" t="str">
            <v/>
          </cell>
        </row>
        <row r="33915">
          <cell r="O33915" t="str">
            <v/>
          </cell>
        </row>
        <row r="33916">
          <cell r="O33916" t="str">
            <v/>
          </cell>
        </row>
        <row r="33917">
          <cell r="O33917" t="str">
            <v/>
          </cell>
        </row>
        <row r="33918">
          <cell r="O33918" t="str">
            <v/>
          </cell>
        </row>
        <row r="33919">
          <cell r="O33919" t="str">
            <v/>
          </cell>
        </row>
        <row r="33920">
          <cell r="O33920" t="str">
            <v/>
          </cell>
        </row>
        <row r="33921">
          <cell r="O33921" t="str">
            <v/>
          </cell>
        </row>
        <row r="33922">
          <cell r="O33922" t="str">
            <v/>
          </cell>
        </row>
        <row r="33923">
          <cell r="O33923" t="str">
            <v/>
          </cell>
        </row>
        <row r="33924">
          <cell r="O33924" t="str">
            <v/>
          </cell>
        </row>
        <row r="33925">
          <cell r="O33925" t="str">
            <v/>
          </cell>
        </row>
        <row r="33926">
          <cell r="O33926" t="str">
            <v/>
          </cell>
        </row>
        <row r="33927">
          <cell r="O33927" t="str">
            <v/>
          </cell>
        </row>
        <row r="33928">
          <cell r="O33928" t="str">
            <v/>
          </cell>
        </row>
        <row r="33929">
          <cell r="O33929" t="str">
            <v/>
          </cell>
        </row>
        <row r="33930">
          <cell r="O33930" t="str">
            <v/>
          </cell>
        </row>
        <row r="33931">
          <cell r="O33931" t="str">
            <v/>
          </cell>
        </row>
        <row r="33932">
          <cell r="O33932" t="str">
            <v/>
          </cell>
        </row>
        <row r="33933">
          <cell r="O33933" t="str">
            <v/>
          </cell>
        </row>
        <row r="33934">
          <cell r="O33934" t="str">
            <v/>
          </cell>
        </row>
        <row r="33935">
          <cell r="O33935" t="str">
            <v/>
          </cell>
        </row>
        <row r="33936">
          <cell r="O33936" t="str">
            <v/>
          </cell>
        </row>
        <row r="33937">
          <cell r="O33937" t="str">
            <v/>
          </cell>
        </row>
        <row r="33938">
          <cell r="O33938" t="str">
            <v/>
          </cell>
        </row>
        <row r="33939">
          <cell r="O33939" t="str">
            <v/>
          </cell>
        </row>
        <row r="33940">
          <cell r="O33940" t="str">
            <v/>
          </cell>
        </row>
        <row r="33941">
          <cell r="O33941" t="str">
            <v/>
          </cell>
        </row>
        <row r="33942">
          <cell r="O33942" t="str">
            <v/>
          </cell>
        </row>
        <row r="33943">
          <cell r="O33943" t="str">
            <v/>
          </cell>
        </row>
        <row r="33944">
          <cell r="O33944" t="str">
            <v/>
          </cell>
        </row>
        <row r="33945">
          <cell r="O33945" t="str">
            <v/>
          </cell>
        </row>
        <row r="33946">
          <cell r="O33946" t="str">
            <v/>
          </cell>
        </row>
        <row r="33947">
          <cell r="O33947" t="str">
            <v/>
          </cell>
        </row>
        <row r="33948">
          <cell r="O33948" t="str">
            <v/>
          </cell>
        </row>
        <row r="33949">
          <cell r="O33949" t="str">
            <v/>
          </cell>
        </row>
        <row r="33950">
          <cell r="O33950" t="str">
            <v/>
          </cell>
        </row>
        <row r="33951">
          <cell r="O33951" t="str">
            <v/>
          </cell>
        </row>
        <row r="33952">
          <cell r="O33952" t="str">
            <v/>
          </cell>
        </row>
        <row r="33953">
          <cell r="O33953" t="str">
            <v/>
          </cell>
        </row>
        <row r="33954">
          <cell r="O33954" t="str">
            <v/>
          </cell>
        </row>
        <row r="33955">
          <cell r="O33955" t="str">
            <v/>
          </cell>
        </row>
        <row r="33956">
          <cell r="O33956" t="str">
            <v/>
          </cell>
        </row>
        <row r="33957">
          <cell r="O33957" t="str">
            <v/>
          </cell>
        </row>
        <row r="33958">
          <cell r="O33958" t="str">
            <v/>
          </cell>
        </row>
        <row r="33959">
          <cell r="O33959" t="str">
            <v/>
          </cell>
        </row>
        <row r="33960">
          <cell r="O33960" t="str">
            <v/>
          </cell>
        </row>
        <row r="33961">
          <cell r="O33961" t="str">
            <v/>
          </cell>
        </row>
        <row r="33962">
          <cell r="O33962" t="str">
            <v/>
          </cell>
        </row>
        <row r="33963">
          <cell r="O33963" t="str">
            <v/>
          </cell>
        </row>
        <row r="33964">
          <cell r="O33964" t="str">
            <v/>
          </cell>
        </row>
        <row r="33965">
          <cell r="O33965" t="str">
            <v/>
          </cell>
        </row>
        <row r="33966">
          <cell r="O33966" t="str">
            <v/>
          </cell>
        </row>
        <row r="33967">
          <cell r="O33967" t="str">
            <v/>
          </cell>
        </row>
        <row r="33968">
          <cell r="O33968" t="str">
            <v/>
          </cell>
        </row>
        <row r="33969">
          <cell r="O33969" t="str">
            <v/>
          </cell>
        </row>
        <row r="33970">
          <cell r="O33970" t="str">
            <v/>
          </cell>
        </row>
        <row r="33971">
          <cell r="O33971" t="str">
            <v/>
          </cell>
        </row>
        <row r="33972">
          <cell r="O33972" t="str">
            <v/>
          </cell>
        </row>
        <row r="33973">
          <cell r="O33973" t="str">
            <v/>
          </cell>
        </row>
        <row r="33974">
          <cell r="O33974" t="str">
            <v/>
          </cell>
        </row>
        <row r="33975">
          <cell r="O33975" t="str">
            <v/>
          </cell>
        </row>
        <row r="33976">
          <cell r="O33976" t="str">
            <v/>
          </cell>
        </row>
        <row r="33977">
          <cell r="O33977" t="str">
            <v/>
          </cell>
        </row>
        <row r="33978">
          <cell r="O33978" t="str">
            <v/>
          </cell>
        </row>
        <row r="33979">
          <cell r="O33979" t="str">
            <v/>
          </cell>
        </row>
        <row r="33980">
          <cell r="O33980" t="str">
            <v/>
          </cell>
        </row>
        <row r="33981">
          <cell r="O33981" t="str">
            <v/>
          </cell>
        </row>
        <row r="33982">
          <cell r="O33982" t="str">
            <v/>
          </cell>
        </row>
        <row r="33983">
          <cell r="O33983" t="str">
            <v/>
          </cell>
        </row>
        <row r="33984">
          <cell r="O33984" t="str">
            <v/>
          </cell>
        </row>
        <row r="33985">
          <cell r="O33985" t="str">
            <v/>
          </cell>
        </row>
        <row r="33986">
          <cell r="O33986" t="str">
            <v/>
          </cell>
        </row>
        <row r="33987">
          <cell r="O33987" t="str">
            <v/>
          </cell>
        </row>
        <row r="33988">
          <cell r="O33988" t="str">
            <v/>
          </cell>
        </row>
        <row r="33989">
          <cell r="O33989" t="str">
            <v/>
          </cell>
        </row>
        <row r="33990">
          <cell r="O33990" t="str">
            <v/>
          </cell>
        </row>
        <row r="33991">
          <cell r="O33991" t="str">
            <v/>
          </cell>
        </row>
        <row r="33992">
          <cell r="O33992" t="str">
            <v/>
          </cell>
        </row>
        <row r="33993">
          <cell r="O33993" t="str">
            <v/>
          </cell>
        </row>
        <row r="33994">
          <cell r="O33994" t="str">
            <v/>
          </cell>
        </row>
        <row r="33995">
          <cell r="O33995" t="str">
            <v/>
          </cell>
        </row>
        <row r="33996">
          <cell r="O33996" t="str">
            <v/>
          </cell>
        </row>
        <row r="33997">
          <cell r="O33997" t="str">
            <v/>
          </cell>
        </row>
        <row r="33998">
          <cell r="O33998" t="str">
            <v/>
          </cell>
        </row>
        <row r="33999">
          <cell r="O33999" t="str">
            <v/>
          </cell>
        </row>
        <row r="34000">
          <cell r="O34000" t="str">
            <v/>
          </cell>
        </row>
        <row r="34001">
          <cell r="O34001" t="str">
            <v/>
          </cell>
        </row>
        <row r="34002">
          <cell r="O34002" t="str">
            <v/>
          </cell>
        </row>
        <row r="34003">
          <cell r="O34003" t="str">
            <v/>
          </cell>
        </row>
        <row r="34004">
          <cell r="O34004" t="str">
            <v/>
          </cell>
        </row>
        <row r="34005">
          <cell r="O34005" t="str">
            <v/>
          </cell>
        </row>
        <row r="34006">
          <cell r="O34006" t="str">
            <v/>
          </cell>
        </row>
        <row r="34007">
          <cell r="O34007" t="str">
            <v/>
          </cell>
        </row>
        <row r="34008">
          <cell r="O34008" t="str">
            <v/>
          </cell>
        </row>
        <row r="34009">
          <cell r="O34009" t="str">
            <v/>
          </cell>
        </row>
        <row r="34010">
          <cell r="O34010" t="str">
            <v/>
          </cell>
        </row>
        <row r="34011">
          <cell r="O34011" t="str">
            <v/>
          </cell>
        </row>
        <row r="34012">
          <cell r="O34012" t="str">
            <v/>
          </cell>
        </row>
        <row r="34013">
          <cell r="O34013" t="str">
            <v/>
          </cell>
        </row>
        <row r="34014">
          <cell r="O34014" t="str">
            <v/>
          </cell>
        </row>
        <row r="34015">
          <cell r="O34015" t="str">
            <v/>
          </cell>
        </row>
        <row r="34016">
          <cell r="O34016" t="str">
            <v/>
          </cell>
        </row>
        <row r="34017">
          <cell r="O34017" t="str">
            <v/>
          </cell>
        </row>
        <row r="34018">
          <cell r="O34018" t="str">
            <v/>
          </cell>
        </row>
        <row r="34019">
          <cell r="O34019" t="str">
            <v/>
          </cell>
        </row>
        <row r="34020">
          <cell r="O34020" t="str">
            <v/>
          </cell>
        </row>
        <row r="34021">
          <cell r="O34021" t="str">
            <v/>
          </cell>
        </row>
        <row r="34022">
          <cell r="O34022" t="str">
            <v/>
          </cell>
        </row>
        <row r="34023">
          <cell r="O34023" t="str">
            <v/>
          </cell>
        </row>
        <row r="34024">
          <cell r="O34024" t="str">
            <v/>
          </cell>
        </row>
        <row r="34025">
          <cell r="O34025" t="str">
            <v/>
          </cell>
        </row>
        <row r="34026">
          <cell r="O34026" t="str">
            <v/>
          </cell>
        </row>
        <row r="34027">
          <cell r="O34027" t="str">
            <v/>
          </cell>
        </row>
        <row r="34028">
          <cell r="O34028" t="str">
            <v/>
          </cell>
        </row>
        <row r="34029">
          <cell r="O34029" t="str">
            <v/>
          </cell>
        </row>
        <row r="34030">
          <cell r="O34030" t="str">
            <v/>
          </cell>
        </row>
        <row r="34031">
          <cell r="O34031" t="str">
            <v/>
          </cell>
        </row>
        <row r="34032">
          <cell r="O34032" t="str">
            <v/>
          </cell>
        </row>
        <row r="34033">
          <cell r="O34033" t="str">
            <v/>
          </cell>
        </row>
        <row r="34034">
          <cell r="O34034" t="str">
            <v/>
          </cell>
        </row>
        <row r="34035">
          <cell r="O34035" t="str">
            <v/>
          </cell>
        </row>
        <row r="34036">
          <cell r="O34036" t="str">
            <v/>
          </cell>
        </row>
        <row r="34037">
          <cell r="O34037" t="str">
            <v/>
          </cell>
        </row>
        <row r="34038">
          <cell r="O34038" t="str">
            <v/>
          </cell>
        </row>
        <row r="34039">
          <cell r="O34039" t="str">
            <v/>
          </cell>
        </row>
        <row r="34040">
          <cell r="O34040" t="str">
            <v/>
          </cell>
        </row>
        <row r="34041">
          <cell r="O34041" t="str">
            <v/>
          </cell>
        </row>
        <row r="34042">
          <cell r="O34042" t="str">
            <v/>
          </cell>
        </row>
        <row r="34043">
          <cell r="O34043" t="str">
            <v/>
          </cell>
        </row>
        <row r="34044">
          <cell r="O34044" t="str">
            <v/>
          </cell>
        </row>
        <row r="34045">
          <cell r="O34045" t="str">
            <v/>
          </cell>
        </row>
        <row r="34046">
          <cell r="O34046" t="str">
            <v/>
          </cell>
        </row>
        <row r="34047">
          <cell r="O34047" t="str">
            <v/>
          </cell>
        </row>
        <row r="34048">
          <cell r="O34048" t="str">
            <v/>
          </cell>
        </row>
        <row r="34049">
          <cell r="O34049" t="str">
            <v/>
          </cell>
        </row>
        <row r="34050">
          <cell r="O34050" t="str">
            <v/>
          </cell>
        </row>
        <row r="34051">
          <cell r="O34051" t="str">
            <v/>
          </cell>
        </row>
        <row r="34052">
          <cell r="O34052" t="str">
            <v/>
          </cell>
        </row>
        <row r="34053">
          <cell r="O34053" t="str">
            <v/>
          </cell>
        </row>
        <row r="34054">
          <cell r="O34054" t="str">
            <v/>
          </cell>
        </row>
        <row r="34055">
          <cell r="O34055" t="str">
            <v/>
          </cell>
        </row>
        <row r="34056">
          <cell r="O34056" t="str">
            <v/>
          </cell>
        </row>
        <row r="34057">
          <cell r="O34057" t="str">
            <v/>
          </cell>
        </row>
        <row r="34058">
          <cell r="O34058" t="str">
            <v/>
          </cell>
        </row>
        <row r="34059">
          <cell r="O34059" t="str">
            <v/>
          </cell>
        </row>
        <row r="34060">
          <cell r="O34060" t="str">
            <v/>
          </cell>
        </row>
        <row r="34061">
          <cell r="O34061" t="str">
            <v/>
          </cell>
        </row>
        <row r="34062">
          <cell r="O34062" t="str">
            <v/>
          </cell>
        </row>
        <row r="34063">
          <cell r="O34063" t="str">
            <v/>
          </cell>
        </row>
        <row r="34064">
          <cell r="O34064" t="str">
            <v/>
          </cell>
        </row>
        <row r="34065">
          <cell r="O34065" t="str">
            <v/>
          </cell>
        </row>
        <row r="34066">
          <cell r="O34066" t="str">
            <v/>
          </cell>
        </row>
        <row r="34067">
          <cell r="O34067" t="str">
            <v/>
          </cell>
        </row>
        <row r="34068">
          <cell r="O34068" t="str">
            <v/>
          </cell>
        </row>
        <row r="34069">
          <cell r="O34069" t="str">
            <v/>
          </cell>
        </row>
        <row r="34070">
          <cell r="O34070" t="str">
            <v/>
          </cell>
        </row>
        <row r="34071">
          <cell r="O34071" t="str">
            <v/>
          </cell>
        </row>
        <row r="34072">
          <cell r="O34072" t="str">
            <v/>
          </cell>
        </row>
        <row r="34073">
          <cell r="O34073" t="str">
            <v/>
          </cell>
        </row>
        <row r="34074">
          <cell r="O34074" t="str">
            <v/>
          </cell>
        </row>
        <row r="34075">
          <cell r="O34075" t="str">
            <v/>
          </cell>
        </row>
        <row r="34076">
          <cell r="O34076" t="str">
            <v/>
          </cell>
        </row>
        <row r="34077">
          <cell r="O34077" t="str">
            <v/>
          </cell>
        </row>
        <row r="34078">
          <cell r="O34078" t="str">
            <v/>
          </cell>
        </row>
        <row r="34079">
          <cell r="O34079" t="str">
            <v/>
          </cell>
        </row>
        <row r="34080">
          <cell r="O34080" t="str">
            <v/>
          </cell>
        </row>
        <row r="34081">
          <cell r="O34081" t="str">
            <v/>
          </cell>
        </row>
        <row r="34082">
          <cell r="O34082" t="str">
            <v/>
          </cell>
        </row>
        <row r="34083">
          <cell r="O34083" t="str">
            <v/>
          </cell>
        </row>
        <row r="34084">
          <cell r="O34084" t="str">
            <v/>
          </cell>
        </row>
        <row r="34085">
          <cell r="O34085" t="str">
            <v/>
          </cell>
        </row>
        <row r="34086">
          <cell r="O34086" t="str">
            <v/>
          </cell>
        </row>
        <row r="34087">
          <cell r="O34087" t="str">
            <v/>
          </cell>
        </row>
        <row r="34088">
          <cell r="O34088" t="str">
            <v/>
          </cell>
        </row>
        <row r="34089">
          <cell r="O34089" t="str">
            <v/>
          </cell>
        </row>
        <row r="34090">
          <cell r="O34090" t="str">
            <v/>
          </cell>
        </row>
        <row r="34091">
          <cell r="O34091" t="str">
            <v/>
          </cell>
        </row>
        <row r="34092">
          <cell r="O34092" t="str">
            <v/>
          </cell>
        </row>
        <row r="34093">
          <cell r="O34093" t="str">
            <v/>
          </cell>
        </row>
        <row r="34094">
          <cell r="O34094" t="str">
            <v/>
          </cell>
        </row>
        <row r="34095">
          <cell r="O34095" t="str">
            <v/>
          </cell>
        </row>
        <row r="34096">
          <cell r="O34096" t="str">
            <v/>
          </cell>
        </row>
        <row r="34097">
          <cell r="O34097" t="str">
            <v/>
          </cell>
        </row>
        <row r="34098">
          <cell r="O34098" t="str">
            <v/>
          </cell>
        </row>
        <row r="34099">
          <cell r="O34099" t="str">
            <v/>
          </cell>
        </row>
        <row r="34100">
          <cell r="O34100" t="str">
            <v/>
          </cell>
        </row>
        <row r="34101">
          <cell r="O34101" t="str">
            <v/>
          </cell>
        </row>
        <row r="34102">
          <cell r="O34102" t="str">
            <v/>
          </cell>
        </row>
        <row r="34103">
          <cell r="O34103" t="str">
            <v/>
          </cell>
        </row>
        <row r="34104">
          <cell r="O34104" t="str">
            <v/>
          </cell>
        </row>
        <row r="34105">
          <cell r="O34105" t="str">
            <v/>
          </cell>
        </row>
        <row r="34106">
          <cell r="O34106" t="str">
            <v/>
          </cell>
        </row>
        <row r="34107">
          <cell r="O34107" t="str">
            <v/>
          </cell>
        </row>
        <row r="34108">
          <cell r="O34108" t="str">
            <v/>
          </cell>
        </row>
        <row r="34109">
          <cell r="O34109" t="str">
            <v/>
          </cell>
        </row>
        <row r="34110">
          <cell r="O34110" t="str">
            <v/>
          </cell>
        </row>
        <row r="34111">
          <cell r="O34111" t="str">
            <v/>
          </cell>
        </row>
        <row r="34112">
          <cell r="O34112" t="str">
            <v/>
          </cell>
        </row>
        <row r="34113">
          <cell r="O34113" t="str">
            <v/>
          </cell>
        </row>
        <row r="34114">
          <cell r="O34114" t="str">
            <v/>
          </cell>
        </row>
        <row r="34115">
          <cell r="O34115" t="str">
            <v/>
          </cell>
        </row>
        <row r="34116">
          <cell r="O34116" t="str">
            <v/>
          </cell>
        </row>
        <row r="34117">
          <cell r="O34117" t="str">
            <v/>
          </cell>
        </row>
        <row r="34118">
          <cell r="O34118" t="str">
            <v/>
          </cell>
        </row>
        <row r="34119">
          <cell r="O34119" t="str">
            <v/>
          </cell>
        </row>
        <row r="34120">
          <cell r="O34120" t="str">
            <v/>
          </cell>
        </row>
        <row r="34121">
          <cell r="O34121" t="str">
            <v/>
          </cell>
        </row>
        <row r="34122">
          <cell r="O34122" t="str">
            <v/>
          </cell>
        </row>
        <row r="34123">
          <cell r="O34123" t="str">
            <v/>
          </cell>
        </row>
        <row r="34124">
          <cell r="O34124" t="str">
            <v/>
          </cell>
        </row>
        <row r="34125">
          <cell r="O34125" t="str">
            <v/>
          </cell>
        </row>
        <row r="34126">
          <cell r="O34126" t="str">
            <v/>
          </cell>
        </row>
        <row r="34127">
          <cell r="O34127" t="str">
            <v/>
          </cell>
        </row>
        <row r="34128">
          <cell r="O34128" t="str">
            <v/>
          </cell>
        </row>
        <row r="34129">
          <cell r="O34129" t="str">
            <v/>
          </cell>
        </row>
        <row r="34130">
          <cell r="O34130" t="str">
            <v/>
          </cell>
        </row>
        <row r="34131">
          <cell r="O34131" t="str">
            <v/>
          </cell>
        </row>
        <row r="34132">
          <cell r="O34132" t="str">
            <v/>
          </cell>
        </row>
        <row r="34133">
          <cell r="O34133" t="str">
            <v/>
          </cell>
        </row>
        <row r="34134">
          <cell r="O34134" t="str">
            <v/>
          </cell>
        </row>
        <row r="34135">
          <cell r="O34135" t="str">
            <v/>
          </cell>
        </row>
        <row r="34136">
          <cell r="O34136" t="str">
            <v/>
          </cell>
        </row>
        <row r="34137">
          <cell r="O34137" t="str">
            <v/>
          </cell>
        </row>
        <row r="34138">
          <cell r="O34138" t="str">
            <v/>
          </cell>
        </row>
        <row r="34139">
          <cell r="O34139" t="str">
            <v/>
          </cell>
        </row>
        <row r="34140">
          <cell r="O34140" t="str">
            <v/>
          </cell>
        </row>
        <row r="34141">
          <cell r="O34141" t="str">
            <v/>
          </cell>
        </row>
        <row r="34142">
          <cell r="O34142" t="str">
            <v/>
          </cell>
        </row>
        <row r="34143">
          <cell r="O34143" t="str">
            <v/>
          </cell>
        </row>
        <row r="34144">
          <cell r="O34144" t="str">
            <v/>
          </cell>
        </row>
        <row r="34145">
          <cell r="O34145" t="str">
            <v/>
          </cell>
        </row>
        <row r="34146">
          <cell r="O34146" t="str">
            <v/>
          </cell>
        </row>
        <row r="34147">
          <cell r="O34147" t="str">
            <v/>
          </cell>
        </row>
        <row r="34148">
          <cell r="O34148" t="str">
            <v/>
          </cell>
        </row>
        <row r="34149">
          <cell r="O34149" t="str">
            <v/>
          </cell>
        </row>
        <row r="34150">
          <cell r="O34150" t="str">
            <v/>
          </cell>
        </row>
        <row r="34151">
          <cell r="O34151" t="str">
            <v/>
          </cell>
        </row>
        <row r="34152">
          <cell r="O34152" t="str">
            <v/>
          </cell>
        </row>
        <row r="34153">
          <cell r="O34153" t="str">
            <v/>
          </cell>
        </row>
        <row r="34154">
          <cell r="O34154" t="str">
            <v/>
          </cell>
        </row>
        <row r="34155">
          <cell r="O34155" t="str">
            <v/>
          </cell>
        </row>
        <row r="34156">
          <cell r="O34156" t="str">
            <v/>
          </cell>
        </row>
        <row r="34157">
          <cell r="O34157" t="str">
            <v/>
          </cell>
        </row>
        <row r="34158">
          <cell r="O34158" t="str">
            <v/>
          </cell>
        </row>
        <row r="34159">
          <cell r="O34159" t="str">
            <v/>
          </cell>
        </row>
        <row r="34160">
          <cell r="O34160" t="str">
            <v/>
          </cell>
        </row>
        <row r="34161">
          <cell r="O34161" t="str">
            <v/>
          </cell>
        </row>
        <row r="34162">
          <cell r="O34162" t="str">
            <v/>
          </cell>
        </row>
        <row r="34163">
          <cell r="O34163" t="str">
            <v/>
          </cell>
        </row>
        <row r="34164">
          <cell r="O34164" t="str">
            <v/>
          </cell>
        </row>
        <row r="34165">
          <cell r="O34165" t="str">
            <v/>
          </cell>
        </row>
        <row r="34166">
          <cell r="O34166" t="str">
            <v/>
          </cell>
        </row>
        <row r="34167">
          <cell r="O34167" t="str">
            <v/>
          </cell>
        </row>
        <row r="34168">
          <cell r="O34168" t="str">
            <v/>
          </cell>
        </row>
        <row r="34169">
          <cell r="O34169" t="str">
            <v/>
          </cell>
        </row>
        <row r="34170">
          <cell r="O34170" t="str">
            <v/>
          </cell>
        </row>
        <row r="34171">
          <cell r="O34171" t="str">
            <v/>
          </cell>
        </row>
        <row r="34172">
          <cell r="O34172" t="str">
            <v/>
          </cell>
        </row>
        <row r="34173">
          <cell r="O34173" t="str">
            <v/>
          </cell>
        </row>
        <row r="34174">
          <cell r="O34174" t="str">
            <v/>
          </cell>
        </row>
        <row r="34175">
          <cell r="O34175" t="str">
            <v/>
          </cell>
        </row>
        <row r="34176">
          <cell r="O34176" t="str">
            <v/>
          </cell>
        </row>
        <row r="34177">
          <cell r="O34177" t="str">
            <v/>
          </cell>
        </row>
        <row r="34178">
          <cell r="O34178" t="str">
            <v/>
          </cell>
        </row>
        <row r="34179">
          <cell r="O34179" t="str">
            <v/>
          </cell>
        </row>
        <row r="34180">
          <cell r="O34180" t="str">
            <v/>
          </cell>
        </row>
        <row r="34181">
          <cell r="O34181" t="str">
            <v/>
          </cell>
        </row>
        <row r="34182">
          <cell r="O34182" t="str">
            <v/>
          </cell>
        </row>
        <row r="34183">
          <cell r="O34183" t="str">
            <v/>
          </cell>
        </row>
        <row r="34184">
          <cell r="O34184" t="str">
            <v/>
          </cell>
        </row>
        <row r="34185">
          <cell r="O34185" t="str">
            <v/>
          </cell>
        </row>
        <row r="34186">
          <cell r="O34186" t="str">
            <v/>
          </cell>
        </row>
        <row r="34187">
          <cell r="O34187" t="str">
            <v/>
          </cell>
        </row>
        <row r="34188">
          <cell r="O34188" t="str">
            <v/>
          </cell>
        </row>
        <row r="34189">
          <cell r="O34189" t="str">
            <v/>
          </cell>
        </row>
        <row r="34190">
          <cell r="O34190" t="str">
            <v/>
          </cell>
        </row>
        <row r="34191">
          <cell r="O34191" t="str">
            <v/>
          </cell>
        </row>
        <row r="34192">
          <cell r="O34192" t="str">
            <v/>
          </cell>
        </row>
        <row r="34193">
          <cell r="O34193" t="str">
            <v/>
          </cell>
        </row>
        <row r="34194">
          <cell r="O34194" t="str">
            <v/>
          </cell>
        </row>
        <row r="34195">
          <cell r="O34195" t="str">
            <v/>
          </cell>
        </row>
        <row r="34196">
          <cell r="O34196" t="str">
            <v/>
          </cell>
        </row>
        <row r="34197">
          <cell r="O34197" t="str">
            <v/>
          </cell>
        </row>
        <row r="34198">
          <cell r="O34198" t="str">
            <v/>
          </cell>
        </row>
        <row r="34199">
          <cell r="O34199" t="str">
            <v/>
          </cell>
        </row>
        <row r="34200">
          <cell r="O34200" t="str">
            <v/>
          </cell>
        </row>
        <row r="34201">
          <cell r="O34201" t="str">
            <v/>
          </cell>
        </row>
        <row r="34202">
          <cell r="O34202" t="str">
            <v/>
          </cell>
        </row>
        <row r="34203">
          <cell r="O34203" t="str">
            <v/>
          </cell>
        </row>
        <row r="34204">
          <cell r="O34204" t="str">
            <v/>
          </cell>
        </row>
        <row r="34205">
          <cell r="O34205" t="str">
            <v/>
          </cell>
        </row>
        <row r="34206">
          <cell r="O34206" t="str">
            <v/>
          </cell>
        </row>
        <row r="34207">
          <cell r="O34207" t="str">
            <v/>
          </cell>
        </row>
        <row r="34208">
          <cell r="O34208" t="str">
            <v/>
          </cell>
        </row>
        <row r="34209">
          <cell r="O34209" t="str">
            <v/>
          </cell>
        </row>
        <row r="34210">
          <cell r="O34210" t="str">
            <v/>
          </cell>
        </row>
        <row r="34211">
          <cell r="O34211" t="str">
            <v/>
          </cell>
        </row>
        <row r="34212">
          <cell r="O34212" t="str">
            <v/>
          </cell>
        </row>
        <row r="34213">
          <cell r="O34213" t="str">
            <v/>
          </cell>
        </row>
        <row r="34214">
          <cell r="O34214" t="str">
            <v/>
          </cell>
        </row>
        <row r="34215">
          <cell r="O34215" t="str">
            <v/>
          </cell>
        </row>
        <row r="34216">
          <cell r="O34216" t="str">
            <v/>
          </cell>
        </row>
        <row r="34217">
          <cell r="O34217" t="str">
            <v/>
          </cell>
        </row>
        <row r="34218">
          <cell r="O34218" t="str">
            <v/>
          </cell>
        </row>
        <row r="34219">
          <cell r="O34219" t="str">
            <v/>
          </cell>
        </row>
        <row r="34220">
          <cell r="O34220" t="str">
            <v/>
          </cell>
        </row>
        <row r="34221">
          <cell r="O34221" t="str">
            <v/>
          </cell>
        </row>
        <row r="34222">
          <cell r="O34222" t="str">
            <v/>
          </cell>
        </row>
        <row r="34223">
          <cell r="O34223" t="str">
            <v/>
          </cell>
        </row>
        <row r="34224">
          <cell r="O34224" t="str">
            <v/>
          </cell>
        </row>
        <row r="34225">
          <cell r="O34225" t="str">
            <v/>
          </cell>
        </row>
        <row r="34226">
          <cell r="O34226" t="str">
            <v/>
          </cell>
        </row>
        <row r="34227">
          <cell r="O34227" t="str">
            <v/>
          </cell>
        </row>
        <row r="34228">
          <cell r="O34228" t="str">
            <v/>
          </cell>
        </row>
        <row r="34229">
          <cell r="O34229" t="str">
            <v/>
          </cell>
        </row>
        <row r="34230">
          <cell r="O34230" t="str">
            <v/>
          </cell>
        </row>
        <row r="34231">
          <cell r="O34231" t="str">
            <v/>
          </cell>
        </row>
        <row r="34232">
          <cell r="O34232" t="str">
            <v/>
          </cell>
        </row>
        <row r="34233">
          <cell r="O34233" t="str">
            <v/>
          </cell>
        </row>
        <row r="34234">
          <cell r="O34234" t="str">
            <v/>
          </cell>
        </row>
        <row r="34235">
          <cell r="O34235" t="str">
            <v/>
          </cell>
        </row>
        <row r="34236">
          <cell r="O34236" t="str">
            <v/>
          </cell>
        </row>
        <row r="34237">
          <cell r="O34237" t="str">
            <v/>
          </cell>
        </row>
        <row r="34238">
          <cell r="O34238" t="str">
            <v/>
          </cell>
        </row>
        <row r="34239">
          <cell r="O34239" t="str">
            <v/>
          </cell>
        </row>
        <row r="34240">
          <cell r="O34240" t="str">
            <v/>
          </cell>
        </row>
        <row r="34241">
          <cell r="O34241" t="str">
            <v/>
          </cell>
        </row>
        <row r="34242">
          <cell r="O34242" t="str">
            <v/>
          </cell>
        </row>
        <row r="34243">
          <cell r="O34243" t="str">
            <v/>
          </cell>
        </row>
        <row r="34244">
          <cell r="O34244" t="str">
            <v/>
          </cell>
        </row>
        <row r="34245">
          <cell r="O34245" t="str">
            <v/>
          </cell>
        </row>
        <row r="34246">
          <cell r="O34246" t="str">
            <v/>
          </cell>
        </row>
        <row r="34247">
          <cell r="O34247" t="str">
            <v/>
          </cell>
        </row>
        <row r="34248">
          <cell r="O34248" t="str">
            <v/>
          </cell>
        </row>
        <row r="34249">
          <cell r="O34249" t="str">
            <v/>
          </cell>
        </row>
        <row r="34250">
          <cell r="O34250" t="str">
            <v/>
          </cell>
        </row>
        <row r="34251">
          <cell r="O34251" t="str">
            <v/>
          </cell>
        </row>
        <row r="34252">
          <cell r="O34252" t="str">
            <v/>
          </cell>
        </row>
        <row r="34253">
          <cell r="O34253" t="str">
            <v/>
          </cell>
        </row>
        <row r="34254">
          <cell r="O34254" t="str">
            <v/>
          </cell>
        </row>
        <row r="34255">
          <cell r="O34255" t="str">
            <v/>
          </cell>
        </row>
        <row r="34256">
          <cell r="O34256" t="str">
            <v/>
          </cell>
        </row>
        <row r="34257">
          <cell r="O34257" t="str">
            <v/>
          </cell>
        </row>
        <row r="34258">
          <cell r="O34258" t="str">
            <v/>
          </cell>
        </row>
        <row r="34259">
          <cell r="O34259" t="str">
            <v/>
          </cell>
        </row>
        <row r="34260">
          <cell r="O34260" t="str">
            <v/>
          </cell>
        </row>
        <row r="34261">
          <cell r="O34261" t="str">
            <v/>
          </cell>
        </row>
        <row r="34262">
          <cell r="O34262" t="str">
            <v/>
          </cell>
        </row>
        <row r="34263">
          <cell r="O34263" t="str">
            <v/>
          </cell>
        </row>
        <row r="34264">
          <cell r="O34264" t="str">
            <v/>
          </cell>
        </row>
        <row r="34265">
          <cell r="O34265" t="str">
            <v/>
          </cell>
        </row>
        <row r="34266">
          <cell r="O34266" t="str">
            <v/>
          </cell>
        </row>
        <row r="34267">
          <cell r="O34267" t="str">
            <v/>
          </cell>
        </row>
        <row r="34268">
          <cell r="O34268" t="str">
            <v/>
          </cell>
        </row>
        <row r="34269">
          <cell r="O34269" t="str">
            <v/>
          </cell>
        </row>
        <row r="34270">
          <cell r="O34270" t="str">
            <v/>
          </cell>
        </row>
        <row r="34271">
          <cell r="O34271" t="str">
            <v/>
          </cell>
        </row>
        <row r="34272">
          <cell r="O34272" t="str">
            <v/>
          </cell>
        </row>
        <row r="34273">
          <cell r="O34273" t="str">
            <v/>
          </cell>
        </row>
        <row r="34274">
          <cell r="O34274" t="str">
            <v/>
          </cell>
        </row>
        <row r="34275">
          <cell r="O34275" t="str">
            <v/>
          </cell>
        </row>
        <row r="34276">
          <cell r="O34276" t="str">
            <v/>
          </cell>
        </row>
        <row r="34277">
          <cell r="O34277" t="str">
            <v/>
          </cell>
        </row>
        <row r="34278">
          <cell r="O34278" t="str">
            <v/>
          </cell>
        </row>
        <row r="34279">
          <cell r="O34279" t="str">
            <v/>
          </cell>
        </row>
        <row r="34280">
          <cell r="O34280" t="str">
            <v/>
          </cell>
        </row>
        <row r="34281">
          <cell r="O34281" t="str">
            <v/>
          </cell>
        </row>
        <row r="34282">
          <cell r="O34282" t="str">
            <v/>
          </cell>
        </row>
        <row r="34283">
          <cell r="O34283" t="str">
            <v/>
          </cell>
        </row>
        <row r="34284">
          <cell r="O34284" t="str">
            <v/>
          </cell>
        </row>
        <row r="34285">
          <cell r="O34285" t="str">
            <v/>
          </cell>
        </row>
        <row r="34286">
          <cell r="O34286" t="str">
            <v/>
          </cell>
        </row>
        <row r="34287">
          <cell r="O34287" t="str">
            <v/>
          </cell>
        </row>
        <row r="34288">
          <cell r="O34288" t="str">
            <v/>
          </cell>
        </row>
        <row r="34289">
          <cell r="O34289" t="str">
            <v/>
          </cell>
        </row>
        <row r="34290">
          <cell r="O34290" t="str">
            <v/>
          </cell>
        </row>
        <row r="34291">
          <cell r="O34291" t="str">
            <v/>
          </cell>
        </row>
        <row r="34292">
          <cell r="O34292" t="str">
            <v/>
          </cell>
        </row>
        <row r="34293">
          <cell r="O34293" t="str">
            <v/>
          </cell>
        </row>
        <row r="34294">
          <cell r="O34294" t="str">
            <v/>
          </cell>
        </row>
        <row r="34295">
          <cell r="O34295" t="str">
            <v/>
          </cell>
        </row>
        <row r="34296">
          <cell r="O34296" t="str">
            <v/>
          </cell>
        </row>
        <row r="34297">
          <cell r="O34297" t="str">
            <v/>
          </cell>
        </row>
        <row r="34298">
          <cell r="O34298" t="str">
            <v/>
          </cell>
        </row>
        <row r="34299">
          <cell r="O34299" t="str">
            <v/>
          </cell>
        </row>
        <row r="34300">
          <cell r="O34300" t="str">
            <v/>
          </cell>
        </row>
        <row r="34301">
          <cell r="O34301" t="str">
            <v/>
          </cell>
        </row>
        <row r="34302">
          <cell r="O34302" t="str">
            <v/>
          </cell>
        </row>
        <row r="34303">
          <cell r="O34303" t="str">
            <v/>
          </cell>
        </row>
        <row r="34304">
          <cell r="O34304" t="str">
            <v/>
          </cell>
        </row>
        <row r="34305">
          <cell r="O34305" t="str">
            <v/>
          </cell>
        </row>
        <row r="34306">
          <cell r="O34306" t="str">
            <v/>
          </cell>
        </row>
        <row r="34307">
          <cell r="O34307" t="str">
            <v/>
          </cell>
        </row>
        <row r="34308">
          <cell r="O34308" t="str">
            <v/>
          </cell>
        </row>
        <row r="34309">
          <cell r="O34309" t="str">
            <v/>
          </cell>
        </row>
        <row r="34310">
          <cell r="O34310" t="str">
            <v/>
          </cell>
        </row>
        <row r="34311">
          <cell r="O34311" t="str">
            <v/>
          </cell>
        </row>
        <row r="34312">
          <cell r="O34312" t="str">
            <v/>
          </cell>
        </row>
        <row r="34313">
          <cell r="O34313" t="str">
            <v/>
          </cell>
        </row>
        <row r="34314">
          <cell r="O34314" t="str">
            <v/>
          </cell>
        </row>
        <row r="34315">
          <cell r="O34315" t="str">
            <v/>
          </cell>
        </row>
        <row r="34316">
          <cell r="O34316" t="str">
            <v/>
          </cell>
        </row>
        <row r="34317">
          <cell r="O34317" t="str">
            <v/>
          </cell>
        </row>
        <row r="34318">
          <cell r="O34318" t="str">
            <v/>
          </cell>
        </row>
        <row r="34319">
          <cell r="O34319" t="str">
            <v/>
          </cell>
        </row>
        <row r="34320">
          <cell r="O34320" t="str">
            <v/>
          </cell>
        </row>
        <row r="34321">
          <cell r="O34321" t="str">
            <v/>
          </cell>
        </row>
        <row r="34322">
          <cell r="O34322" t="str">
            <v/>
          </cell>
        </row>
        <row r="34323">
          <cell r="O34323" t="str">
            <v/>
          </cell>
        </row>
        <row r="34324">
          <cell r="O34324" t="str">
            <v/>
          </cell>
        </row>
        <row r="34325">
          <cell r="O34325" t="str">
            <v/>
          </cell>
        </row>
        <row r="34326">
          <cell r="O34326" t="str">
            <v/>
          </cell>
        </row>
        <row r="34327">
          <cell r="O34327" t="str">
            <v/>
          </cell>
        </row>
        <row r="34328">
          <cell r="O34328" t="str">
            <v/>
          </cell>
        </row>
        <row r="34329">
          <cell r="O34329" t="str">
            <v/>
          </cell>
        </row>
        <row r="34330">
          <cell r="O34330" t="str">
            <v/>
          </cell>
        </row>
        <row r="34331">
          <cell r="O34331" t="str">
            <v/>
          </cell>
        </row>
        <row r="34332">
          <cell r="O34332" t="str">
            <v/>
          </cell>
        </row>
        <row r="34333">
          <cell r="O34333" t="str">
            <v/>
          </cell>
        </row>
        <row r="34334">
          <cell r="O34334" t="str">
            <v/>
          </cell>
        </row>
        <row r="34335">
          <cell r="O34335" t="str">
            <v/>
          </cell>
        </row>
        <row r="34336">
          <cell r="O34336" t="str">
            <v/>
          </cell>
        </row>
        <row r="34337">
          <cell r="O34337" t="str">
            <v/>
          </cell>
        </row>
        <row r="34338">
          <cell r="O34338" t="str">
            <v/>
          </cell>
        </row>
        <row r="34339">
          <cell r="O34339" t="str">
            <v/>
          </cell>
        </row>
        <row r="34340">
          <cell r="O34340" t="str">
            <v/>
          </cell>
        </row>
        <row r="34341">
          <cell r="O34341" t="str">
            <v/>
          </cell>
        </row>
        <row r="34342">
          <cell r="O34342" t="str">
            <v/>
          </cell>
        </row>
        <row r="34343">
          <cell r="O34343" t="str">
            <v/>
          </cell>
        </row>
        <row r="34344">
          <cell r="O34344" t="str">
            <v/>
          </cell>
        </row>
        <row r="34345">
          <cell r="O34345" t="str">
            <v/>
          </cell>
        </row>
        <row r="34346">
          <cell r="O34346" t="str">
            <v/>
          </cell>
        </row>
        <row r="34347">
          <cell r="O34347" t="str">
            <v/>
          </cell>
        </row>
        <row r="34348">
          <cell r="O34348" t="str">
            <v/>
          </cell>
        </row>
        <row r="34349">
          <cell r="O34349" t="str">
            <v/>
          </cell>
        </row>
        <row r="34350">
          <cell r="O34350" t="str">
            <v/>
          </cell>
        </row>
        <row r="34351">
          <cell r="O34351" t="str">
            <v/>
          </cell>
        </row>
        <row r="34352">
          <cell r="O34352" t="str">
            <v/>
          </cell>
        </row>
        <row r="34353">
          <cell r="O34353" t="str">
            <v/>
          </cell>
        </row>
        <row r="34354">
          <cell r="O34354" t="str">
            <v/>
          </cell>
        </row>
        <row r="34355">
          <cell r="O34355" t="str">
            <v/>
          </cell>
        </row>
        <row r="34356">
          <cell r="O34356" t="str">
            <v/>
          </cell>
        </row>
        <row r="34357">
          <cell r="O34357" t="str">
            <v/>
          </cell>
        </row>
        <row r="34358">
          <cell r="O34358" t="str">
            <v/>
          </cell>
        </row>
        <row r="34359">
          <cell r="O34359" t="str">
            <v/>
          </cell>
        </row>
        <row r="34360">
          <cell r="O34360" t="str">
            <v/>
          </cell>
        </row>
        <row r="34361">
          <cell r="O34361" t="str">
            <v/>
          </cell>
        </row>
        <row r="34362">
          <cell r="O34362" t="str">
            <v/>
          </cell>
        </row>
        <row r="34363">
          <cell r="O34363" t="str">
            <v/>
          </cell>
        </row>
        <row r="34364">
          <cell r="O34364" t="str">
            <v/>
          </cell>
        </row>
        <row r="34365">
          <cell r="O34365" t="str">
            <v/>
          </cell>
        </row>
        <row r="34366">
          <cell r="O34366" t="str">
            <v/>
          </cell>
        </row>
        <row r="34367">
          <cell r="O34367" t="str">
            <v/>
          </cell>
        </row>
        <row r="34368">
          <cell r="O34368" t="str">
            <v/>
          </cell>
        </row>
        <row r="34369">
          <cell r="O34369" t="str">
            <v/>
          </cell>
        </row>
        <row r="34370">
          <cell r="O34370" t="str">
            <v/>
          </cell>
        </row>
        <row r="34371">
          <cell r="O34371" t="str">
            <v/>
          </cell>
        </row>
        <row r="34372">
          <cell r="O34372" t="str">
            <v/>
          </cell>
        </row>
        <row r="34373">
          <cell r="O34373" t="str">
            <v/>
          </cell>
        </row>
        <row r="34374">
          <cell r="O34374" t="str">
            <v/>
          </cell>
        </row>
        <row r="34375">
          <cell r="O34375" t="str">
            <v/>
          </cell>
        </row>
        <row r="34376">
          <cell r="O34376" t="str">
            <v/>
          </cell>
        </row>
        <row r="34377">
          <cell r="O34377" t="str">
            <v/>
          </cell>
        </row>
        <row r="34378">
          <cell r="O34378" t="str">
            <v/>
          </cell>
        </row>
        <row r="34379">
          <cell r="O34379" t="str">
            <v/>
          </cell>
        </row>
        <row r="34380">
          <cell r="O34380" t="str">
            <v/>
          </cell>
        </row>
        <row r="34381">
          <cell r="O34381" t="str">
            <v/>
          </cell>
        </row>
        <row r="34382">
          <cell r="O34382" t="str">
            <v/>
          </cell>
        </row>
        <row r="34383">
          <cell r="O34383" t="str">
            <v/>
          </cell>
        </row>
        <row r="34384">
          <cell r="O34384" t="str">
            <v/>
          </cell>
        </row>
        <row r="34385">
          <cell r="O34385" t="str">
            <v/>
          </cell>
        </row>
        <row r="34386">
          <cell r="O34386" t="str">
            <v/>
          </cell>
        </row>
        <row r="34387">
          <cell r="O34387" t="str">
            <v/>
          </cell>
        </row>
        <row r="34388">
          <cell r="O34388" t="str">
            <v/>
          </cell>
        </row>
        <row r="34389">
          <cell r="O34389" t="str">
            <v/>
          </cell>
        </row>
        <row r="34390">
          <cell r="O34390" t="str">
            <v/>
          </cell>
        </row>
        <row r="34391">
          <cell r="O34391" t="str">
            <v/>
          </cell>
        </row>
        <row r="34392">
          <cell r="O34392" t="str">
            <v/>
          </cell>
        </row>
        <row r="34393">
          <cell r="O34393" t="str">
            <v/>
          </cell>
        </row>
        <row r="34394">
          <cell r="O34394" t="str">
            <v/>
          </cell>
        </row>
        <row r="34395">
          <cell r="O34395" t="str">
            <v/>
          </cell>
        </row>
        <row r="34396">
          <cell r="O34396" t="str">
            <v/>
          </cell>
        </row>
        <row r="34397">
          <cell r="O34397" t="str">
            <v/>
          </cell>
        </row>
        <row r="34398">
          <cell r="O34398" t="str">
            <v/>
          </cell>
        </row>
        <row r="34399">
          <cell r="O34399" t="str">
            <v/>
          </cell>
        </row>
        <row r="34400">
          <cell r="O34400" t="str">
            <v/>
          </cell>
        </row>
        <row r="34401">
          <cell r="O34401" t="str">
            <v/>
          </cell>
        </row>
        <row r="34402">
          <cell r="O34402" t="str">
            <v/>
          </cell>
        </row>
        <row r="34403">
          <cell r="O34403" t="str">
            <v/>
          </cell>
        </row>
        <row r="34404">
          <cell r="O34404" t="str">
            <v/>
          </cell>
        </row>
        <row r="34405">
          <cell r="O34405" t="str">
            <v/>
          </cell>
        </row>
        <row r="34406">
          <cell r="O34406" t="str">
            <v/>
          </cell>
        </row>
        <row r="34407">
          <cell r="O34407" t="str">
            <v/>
          </cell>
        </row>
        <row r="34408">
          <cell r="O34408" t="str">
            <v/>
          </cell>
        </row>
        <row r="34409">
          <cell r="O34409" t="str">
            <v/>
          </cell>
        </row>
        <row r="34410">
          <cell r="O34410" t="str">
            <v/>
          </cell>
        </row>
        <row r="34411">
          <cell r="O34411" t="str">
            <v/>
          </cell>
        </row>
        <row r="34412">
          <cell r="O34412" t="str">
            <v/>
          </cell>
        </row>
        <row r="34413">
          <cell r="O34413" t="str">
            <v/>
          </cell>
        </row>
        <row r="34414">
          <cell r="O34414" t="str">
            <v/>
          </cell>
        </row>
        <row r="34415">
          <cell r="O34415" t="str">
            <v/>
          </cell>
        </row>
        <row r="34416">
          <cell r="O34416" t="str">
            <v/>
          </cell>
        </row>
        <row r="34417">
          <cell r="O34417" t="str">
            <v/>
          </cell>
        </row>
        <row r="34418">
          <cell r="O34418" t="str">
            <v/>
          </cell>
        </row>
        <row r="34419">
          <cell r="O34419" t="str">
            <v/>
          </cell>
        </row>
        <row r="34420">
          <cell r="O34420" t="str">
            <v/>
          </cell>
        </row>
        <row r="34421">
          <cell r="O34421" t="str">
            <v/>
          </cell>
        </row>
        <row r="34422">
          <cell r="O34422" t="str">
            <v/>
          </cell>
        </row>
        <row r="34423">
          <cell r="O34423" t="str">
            <v/>
          </cell>
        </row>
        <row r="34424">
          <cell r="O34424" t="str">
            <v/>
          </cell>
        </row>
        <row r="34425">
          <cell r="O34425" t="str">
            <v/>
          </cell>
        </row>
        <row r="34426">
          <cell r="O34426" t="str">
            <v/>
          </cell>
        </row>
        <row r="34427">
          <cell r="O34427" t="str">
            <v/>
          </cell>
        </row>
        <row r="34428">
          <cell r="O34428" t="str">
            <v/>
          </cell>
        </row>
        <row r="34429">
          <cell r="O34429" t="str">
            <v/>
          </cell>
        </row>
        <row r="34430">
          <cell r="O34430" t="str">
            <v/>
          </cell>
        </row>
        <row r="34431">
          <cell r="O34431" t="str">
            <v/>
          </cell>
        </row>
        <row r="34432">
          <cell r="O34432" t="str">
            <v/>
          </cell>
        </row>
        <row r="34433">
          <cell r="O34433" t="str">
            <v/>
          </cell>
        </row>
        <row r="34434">
          <cell r="O34434" t="str">
            <v/>
          </cell>
        </row>
        <row r="34435">
          <cell r="O34435" t="str">
            <v/>
          </cell>
        </row>
        <row r="34436">
          <cell r="O34436" t="str">
            <v/>
          </cell>
        </row>
        <row r="34437">
          <cell r="O34437" t="str">
            <v/>
          </cell>
        </row>
        <row r="34438">
          <cell r="O34438" t="str">
            <v/>
          </cell>
        </row>
        <row r="34439">
          <cell r="O34439" t="str">
            <v/>
          </cell>
        </row>
        <row r="34440">
          <cell r="O34440" t="str">
            <v/>
          </cell>
        </row>
        <row r="34441">
          <cell r="O34441" t="str">
            <v/>
          </cell>
        </row>
        <row r="34442">
          <cell r="O34442" t="str">
            <v/>
          </cell>
        </row>
        <row r="34443">
          <cell r="O34443" t="str">
            <v/>
          </cell>
        </row>
        <row r="34444">
          <cell r="O34444" t="str">
            <v/>
          </cell>
        </row>
        <row r="34445">
          <cell r="O34445" t="str">
            <v/>
          </cell>
        </row>
        <row r="34446">
          <cell r="O34446" t="str">
            <v/>
          </cell>
        </row>
        <row r="34447">
          <cell r="O34447" t="str">
            <v/>
          </cell>
        </row>
        <row r="34448">
          <cell r="O34448" t="str">
            <v/>
          </cell>
        </row>
        <row r="34449">
          <cell r="O34449" t="str">
            <v/>
          </cell>
        </row>
        <row r="34450">
          <cell r="O34450" t="str">
            <v/>
          </cell>
        </row>
        <row r="34451">
          <cell r="O34451" t="str">
            <v/>
          </cell>
        </row>
        <row r="34452">
          <cell r="O34452" t="str">
            <v/>
          </cell>
        </row>
        <row r="34453">
          <cell r="O34453" t="str">
            <v/>
          </cell>
        </row>
        <row r="34454">
          <cell r="O34454" t="str">
            <v/>
          </cell>
        </row>
        <row r="34455">
          <cell r="O34455" t="str">
            <v/>
          </cell>
        </row>
        <row r="34456">
          <cell r="O34456" t="str">
            <v/>
          </cell>
        </row>
        <row r="34457">
          <cell r="O34457" t="str">
            <v/>
          </cell>
        </row>
        <row r="34458">
          <cell r="O34458" t="str">
            <v/>
          </cell>
        </row>
        <row r="34459">
          <cell r="O34459" t="str">
            <v/>
          </cell>
        </row>
        <row r="34460">
          <cell r="O34460" t="str">
            <v/>
          </cell>
        </row>
        <row r="34461">
          <cell r="O34461" t="str">
            <v/>
          </cell>
        </row>
        <row r="34462">
          <cell r="O34462" t="str">
            <v/>
          </cell>
        </row>
        <row r="34463">
          <cell r="O34463" t="str">
            <v/>
          </cell>
        </row>
        <row r="34464">
          <cell r="O34464" t="str">
            <v/>
          </cell>
        </row>
        <row r="34465">
          <cell r="O34465" t="str">
            <v/>
          </cell>
        </row>
        <row r="34466">
          <cell r="O34466" t="str">
            <v/>
          </cell>
        </row>
        <row r="34467">
          <cell r="O34467" t="str">
            <v/>
          </cell>
        </row>
        <row r="34468">
          <cell r="O34468" t="str">
            <v/>
          </cell>
        </row>
        <row r="34469">
          <cell r="O34469" t="str">
            <v/>
          </cell>
        </row>
        <row r="34470">
          <cell r="O34470" t="str">
            <v/>
          </cell>
        </row>
        <row r="34471">
          <cell r="O34471" t="str">
            <v/>
          </cell>
        </row>
        <row r="34472">
          <cell r="O34472" t="str">
            <v/>
          </cell>
        </row>
        <row r="34473">
          <cell r="O34473" t="str">
            <v/>
          </cell>
        </row>
        <row r="34474">
          <cell r="O34474" t="str">
            <v/>
          </cell>
        </row>
        <row r="34475">
          <cell r="O34475" t="str">
            <v/>
          </cell>
        </row>
        <row r="34476">
          <cell r="O34476" t="str">
            <v/>
          </cell>
        </row>
        <row r="34477">
          <cell r="O34477" t="str">
            <v/>
          </cell>
        </row>
        <row r="34478">
          <cell r="O34478" t="str">
            <v/>
          </cell>
        </row>
        <row r="34479">
          <cell r="O34479" t="str">
            <v/>
          </cell>
        </row>
        <row r="34480">
          <cell r="O34480" t="str">
            <v/>
          </cell>
        </row>
        <row r="34481">
          <cell r="O34481" t="str">
            <v/>
          </cell>
        </row>
        <row r="34482">
          <cell r="O34482" t="str">
            <v/>
          </cell>
        </row>
        <row r="34483">
          <cell r="O34483" t="str">
            <v/>
          </cell>
        </row>
        <row r="34484">
          <cell r="O34484" t="str">
            <v/>
          </cell>
        </row>
        <row r="34485">
          <cell r="O34485" t="str">
            <v/>
          </cell>
        </row>
        <row r="34486">
          <cell r="O34486" t="str">
            <v/>
          </cell>
        </row>
        <row r="34487">
          <cell r="O34487" t="str">
            <v/>
          </cell>
        </row>
        <row r="34488">
          <cell r="O34488" t="str">
            <v/>
          </cell>
        </row>
        <row r="34489">
          <cell r="O34489" t="str">
            <v/>
          </cell>
        </row>
        <row r="34490">
          <cell r="O34490" t="str">
            <v/>
          </cell>
        </row>
        <row r="34491">
          <cell r="O34491" t="str">
            <v/>
          </cell>
        </row>
        <row r="34492">
          <cell r="O34492" t="str">
            <v/>
          </cell>
        </row>
        <row r="34493">
          <cell r="O34493" t="str">
            <v/>
          </cell>
        </row>
        <row r="34494">
          <cell r="O34494" t="str">
            <v/>
          </cell>
        </row>
        <row r="34495">
          <cell r="O34495" t="str">
            <v/>
          </cell>
        </row>
        <row r="34496">
          <cell r="O34496" t="str">
            <v/>
          </cell>
        </row>
        <row r="34497">
          <cell r="O34497" t="str">
            <v/>
          </cell>
        </row>
        <row r="34498">
          <cell r="O34498" t="str">
            <v/>
          </cell>
        </row>
        <row r="34499">
          <cell r="O34499" t="str">
            <v/>
          </cell>
        </row>
        <row r="34500">
          <cell r="O34500" t="str">
            <v/>
          </cell>
        </row>
        <row r="34501">
          <cell r="O34501" t="str">
            <v/>
          </cell>
        </row>
        <row r="34502">
          <cell r="O34502" t="str">
            <v/>
          </cell>
        </row>
        <row r="34503">
          <cell r="O34503" t="str">
            <v/>
          </cell>
        </row>
        <row r="34504">
          <cell r="O34504" t="str">
            <v/>
          </cell>
        </row>
        <row r="34505">
          <cell r="O34505" t="str">
            <v/>
          </cell>
        </row>
        <row r="34506">
          <cell r="O34506" t="str">
            <v/>
          </cell>
        </row>
        <row r="34507">
          <cell r="O34507" t="str">
            <v/>
          </cell>
        </row>
        <row r="34508">
          <cell r="O34508" t="str">
            <v/>
          </cell>
        </row>
        <row r="34509">
          <cell r="O34509" t="str">
            <v/>
          </cell>
        </row>
        <row r="34510">
          <cell r="O34510" t="str">
            <v/>
          </cell>
        </row>
        <row r="34511">
          <cell r="O34511" t="str">
            <v/>
          </cell>
        </row>
        <row r="34512">
          <cell r="O34512" t="str">
            <v/>
          </cell>
        </row>
        <row r="34513">
          <cell r="O34513" t="str">
            <v/>
          </cell>
        </row>
        <row r="34514">
          <cell r="O34514" t="str">
            <v/>
          </cell>
        </row>
        <row r="34515">
          <cell r="O34515" t="str">
            <v/>
          </cell>
        </row>
        <row r="34516">
          <cell r="O34516" t="str">
            <v/>
          </cell>
        </row>
        <row r="34517">
          <cell r="O34517" t="str">
            <v/>
          </cell>
        </row>
        <row r="34518">
          <cell r="O34518" t="str">
            <v/>
          </cell>
        </row>
        <row r="34519">
          <cell r="O34519" t="str">
            <v/>
          </cell>
        </row>
        <row r="34520">
          <cell r="O34520" t="str">
            <v/>
          </cell>
        </row>
        <row r="34521">
          <cell r="O34521" t="str">
            <v/>
          </cell>
        </row>
        <row r="34522">
          <cell r="O34522" t="str">
            <v/>
          </cell>
        </row>
        <row r="34523">
          <cell r="O34523" t="str">
            <v/>
          </cell>
        </row>
        <row r="34524">
          <cell r="O34524" t="str">
            <v/>
          </cell>
        </row>
        <row r="34525">
          <cell r="O34525" t="str">
            <v/>
          </cell>
        </row>
        <row r="34526">
          <cell r="O34526" t="str">
            <v/>
          </cell>
        </row>
        <row r="34527">
          <cell r="O34527" t="str">
            <v/>
          </cell>
        </row>
        <row r="34528">
          <cell r="O34528" t="str">
            <v/>
          </cell>
        </row>
        <row r="34529">
          <cell r="O34529" t="str">
            <v/>
          </cell>
        </row>
        <row r="34530">
          <cell r="O34530" t="str">
            <v/>
          </cell>
        </row>
        <row r="34531">
          <cell r="O34531" t="str">
            <v/>
          </cell>
        </row>
        <row r="34532">
          <cell r="O34532" t="str">
            <v/>
          </cell>
        </row>
        <row r="34533">
          <cell r="O34533" t="str">
            <v/>
          </cell>
        </row>
        <row r="34534">
          <cell r="O34534" t="str">
            <v/>
          </cell>
        </row>
        <row r="34535">
          <cell r="O34535" t="str">
            <v/>
          </cell>
        </row>
        <row r="34536">
          <cell r="O34536" t="str">
            <v/>
          </cell>
        </row>
        <row r="34537">
          <cell r="O34537" t="str">
            <v/>
          </cell>
        </row>
        <row r="34538">
          <cell r="O34538" t="str">
            <v/>
          </cell>
        </row>
        <row r="34539">
          <cell r="O34539" t="str">
            <v/>
          </cell>
        </row>
        <row r="34540">
          <cell r="O34540" t="str">
            <v/>
          </cell>
        </row>
        <row r="34541">
          <cell r="O34541" t="str">
            <v/>
          </cell>
        </row>
        <row r="34542">
          <cell r="O34542" t="str">
            <v/>
          </cell>
        </row>
        <row r="34543">
          <cell r="O34543" t="str">
            <v/>
          </cell>
        </row>
        <row r="34544">
          <cell r="O34544" t="str">
            <v/>
          </cell>
        </row>
        <row r="34545">
          <cell r="O34545" t="str">
            <v/>
          </cell>
        </row>
        <row r="34546">
          <cell r="O34546" t="str">
            <v/>
          </cell>
        </row>
        <row r="34547">
          <cell r="O34547" t="str">
            <v/>
          </cell>
        </row>
        <row r="34548">
          <cell r="O34548" t="str">
            <v/>
          </cell>
        </row>
        <row r="34549">
          <cell r="O34549" t="str">
            <v/>
          </cell>
        </row>
        <row r="34550">
          <cell r="O34550" t="str">
            <v/>
          </cell>
        </row>
        <row r="34551">
          <cell r="O34551" t="str">
            <v/>
          </cell>
        </row>
        <row r="34552">
          <cell r="O34552" t="str">
            <v/>
          </cell>
        </row>
        <row r="34553">
          <cell r="O34553" t="str">
            <v/>
          </cell>
        </row>
        <row r="34554">
          <cell r="O34554" t="str">
            <v/>
          </cell>
        </row>
        <row r="34555">
          <cell r="O34555" t="str">
            <v/>
          </cell>
        </row>
        <row r="34556">
          <cell r="O34556" t="str">
            <v/>
          </cell>
        </row>
        <row r="34557">
          <cell r="O34557" t="str">
            <v/>
          </cell>
        </row>
        <row r="34558">
          <cell r="O34558" t="str">
            <v/>
          </cell>
        </row>
        <row r="34559">
          <cell r="O34559" t="str">
            <v/>
          </cell>
        </row>
        <row r="34560">
          <cell r="O34560" t="str">
            <v/>
          </cell>
        </row>
        <row r="34561">
          <cell r="O34561" t="str">
            <v/>
          </cell>
        </row>
        <row r="34562">
          <cell r="O34562" t="str">
            <v/>
          </cell>
        </row>
        <row r="34563">
          <cell r="O34563" t="str">
            <v/>
          </cell>
        </row>
        <row r="34564">
          <cell r="O34564" t="str">
            <v/>
          </cell>
        </row>
        <row r="34565">
          <cell r="O34565" t="str">
            <v/>
          </cell>
        </row>
        <row r="34566">
          <cell r="O34566" t="str">
            <v/>
          </cell>
        </row>
        <row r="34567">
          <cell r="O34567" t="str">
            <v/>
          </cell>
        </row>
        <row r="34568">
          <cell r="O34568" t="str">
            <v/>
          </cell>
        </row>
        <row r="34569">
          <cell r="O34569" t="str">
            <v/>
          </cell>
        </row>
        <row r="34570">
          <cell r="O34570" t="str">
            <v/>
          </cell>
        </row>
        <row r="34571">
          <cell r="O34571" t="str">
            <v/>
          </cell>
        </row>
        <row r="34572">
          <cell r="O34572" t="str">
            <v/>
          </cell>
        </row>
        <row r="34573">
          <cell r="O34573" t="str">
            <v/>
          </cell>
        </row>
        <row r="34574">
          <cell r="O34574" t="str">
            <v/>
          </cell>
        </row>
        <row r="34575">
          <cell r="O34575" t="str">
            <v/>
          </cell>
        </row>
        <row r="34576">
          <cell r="O34576" t="str">
            <v/>
          </cell>
        </row>
        <row r="34577">
          <cell r="O34577" t="str">
            <v/>
          </cell>
        </row>
        <row r="34578">
          <cell r="O34578" t="str">
            <v/>
          </cell>
        </row>
        <row r="34579">
          <cell r="O34579" t="str">
            <v/>
          </cell>
        </row>
        <row r="34580">
          <cell r="O34580" t="str">
            <v/>
          </cell>
        </row>
        <row r="34581">
          <cell r="O34581" t="str">
            <v/>
          </cell>
        </row>
        <row r="34582">
          <cell r="O34582" t="str">
            <v/>
          </cell>
        </row>
        <row r="34583">
          <cell r="O34583" t="str">
            <v/>
          </cell>
        </row>
        <row r="34584">
          <cell r="O34584" t="str">
            <v/>
          </cell>
        </row>
        <row r="34585">
          <cell r="O34585" t="str">
            <v/>
          </cell>
        </row>
        <row r="34586">
          <cell r="O34586" t="str">
            <v/>
          </cell>
        </row>
        <row r="34587">
          <cell r="O34587" t="str">
            <v/>
          </cell>
        </row>
        <row r="34588">
          <cell r="O34588" t="str">
            <v/>
          </cell>
        </row>
        <row r="34589">
          <cell r="O34589" t="str">
            <v/>
          </cell>
        </row>
        <row r="34590">
          <cell r="O34590" t="str">
            <v/>
          </cell>
        </row>
        <row r="34591">
          <cell r="O34591" t="str">
            <v/>
          </cell>
        </row>
        <row r="34592">
          <cell r="O34592" t="str">
            <v/>
          </cell>
        </row>
        <row r="34593">
          <cell r="O34593" t="str">
            <v/>
          </cell>
        </row>
        <row r="34594">
          <cell r="O34594" t="str">
            <v/>
          </cell>
        </row>
        <row r="34595">
          <cell r="O34595" t="str">
            <v/>
          </cell>
        </row>
        <row r="34596">
          <cell r="O34596" t="str">
            <v/>
          </cell>
        </row>
        <row r="34597">
          <cell r="O34597" t="str">
            <v/>
          </cell>
        </row>
        <row r="34598">
          <cell r="O34598" t="str">
            <v/>
          </cell>
        </row>
        <row r="34599">
          <cell r="O34599" t="str">
            <v/>
          </cell>
        </row>
        <row r="34600">
          <cell r="O34600" t="str">
            <v/>
          </cell>
        </row>
        <row r="34601">
          <cell r="O34601" t="str">
            <v/>
          </cell>
        </row>
        <row r="34602">
          <cell r="O34602" t="str">
            <v/>
          </cell>
        </row>
        <row r="34603">
          <cell r="O34603" t="str">
            <v/>
          </cell>
        </row>
        <row r="34604">
          <cell r="O34604" t="str">
            <v/>
          </cell>
        </row>
        <row r="34605">
          <cell r="O34605" t="str">
            <v/>
          </cell>
        </row>
        <row r="34606">
          <cell r="O34606" t="str">
            <v/>
          </cell>
        </row>
        <row r="34607">
          <cell r="O34607" t="str">
            <v/>
          </cell>
        </row>
        <row r="34608">
          <cell r="O34608" t="str">
            <v/>
          </cell>
        </row>
        <row r="34609">
          <cell r="O34609" t="str">
            <v/>
          </cell>
        </row>
        <row r="34610">
          <cell r="O34610" t="str">
            <v/>
          </cell>
        </row>
        <row r="34611">
          <cell r="O34611" t="str">
            <v/>
          </cell>
        </row>
        <row r="34612">
          <cell r="O34612" t="str">
            <v/>
          </cell>
        </row>
        <row r="34613">
          <cell r="O34613" t="str">
            <v/>
          </cell>
        </row>
        <row r="34614">
          <cell r="O34614" t="str">
            <v/>
          </cell>
        </row>
        <row r="34615">
          <cell r="O34615" t="str">
            <v/>
          </cell>
        </row>
        <row r="34616">
          <cell r="O34616" t="str">
            <v/>
          </cell>
        </row>
        <row r="34617">
          <cell r="O34617" t="str">
            <v/>
          </cell>
        </row>
        <row r="34618">
          <cell r="O34618" t="str">
            <v/>
          </cell>
        </row>
        <row r="34619">
          <cell r="O34619" t="str">
            <v/>
          </cell>
        </row>
        <row r="34620">
          <cell r="O34620" t="str">
            <v/>
          </cell>
        </row>
        <row r="34621">
          <cell r="O34621" t="str">
            <v/>
          </cell>
        </row>
        <row r="34622">
          <cell r="O34622" t="str">
            <v/>
          </cell>
        </row>
        <row r="34623">
          <cell r="O34623" t="str">
            <v/>
          </cell>
        </row>
        <row r="34624">
          <cell r="O34624" t="str">
            <v/>
          </cell>
        </row>
        <row r="34625">
          <cell r="O34625" t="str">
            <v/>
          </cell>
        </row>
        <row r="34626">
          <cell r="O34626" t="str">
            <v/>
          </cell>
        </row>
        <row r="34627">
          <cell r="O34627" t="str">
            <v/>
          </cell>
        </row>
        <row r="34628">
          <cell r="O34628" t="str">
            <v/>
          </cell>
        </row>
        <row r="34629">
          <cell r="O34629" t="str">
            <v/>
          </cell>
        </row>
        <row r="34630">
          <cell r="O34630" t="str">
            <v/>
          </cell>
        </row>
        <row r="34631">
          <cell r="O34631" t="str">
            <v/>
          </cell>
        </row>
        <row r="34632">
          <cell r="O34632" t="str">
            <v/>
          </cell>
        </row>
        <row r="34633">
          <cell r="O34633" t="str">
            <v/>
          </cell>
        </row>
        <row r="34634">
          <cell r="O34634" t="str">
            <v/>
          </cell>
        </row>
        <row r="34635">
          <cell r="O34635" t="str">
            <v/>
          </cell>
        </row>
        <row r="34636">
          <cell r="O34636" t="str">
            <v/>
          </cell>
        </row>
        <row r="34637">
          <cell r="O34637" t="str">
            <v/>
          </cell>
        </row>
        <row r="34638">
          <cell r="O34638" t="str">
            <v/>
          </cell>
        </row>
        <row r="34639">
          <cell r="O34639" t="str">
            <v/>
          </cell>
        </row>
        <row r="34640">
          <cell r="O34640" t="str">
            <v/>
          </cell>
        </row>
        <row r="34641">
          <cell r="O34641" t="str">
            <v/>
          </cell>
        </row>
        <row r="34642">
          <cell r="O34642" t="str">
            <v/>
          </cell>
        </row>
        <row r="34643">
          <cell r="O34643" t="str">
            <v/>
          </cell>
        </row>
        <row r="34644">
          <cell r="O34644" t="str">
            <v/>
          </cell>
        </row>
        <row r="34645">
          <cell r="O34645" t="str">
            <v/>
          </cell>
        </row>
        <row r="34646">
          <cell r="O34646" t="str">
            <v/>
          </cell>
        </row>
        <row r="34647">
          <cell r="O34647" t="str">
            <v/>
          </cell>
        </row>
        <row r="34648">
          <cell r="O34648" t="str">
            <v/>
          </cell>
        </row>
        <row r="34649">
          <cell r="O34649" t="str">
            <v/>
          </cell>
        </row>
        <row r="34650">
          <cell r="O34650" t="str">
            <v/>
          </cell>
        </row>
        <row r="34651">
          <cell r="O34651" t="str">
            <v/>
          </cell>
        </row>
        <row r="34652">
          <cell r="O34652" t="str">
            <v/>
          </cell>
        </row>
        <row r="34653">
          <cell r="O34653" t="str">
            <v/>
          </cell>
        </row>
        <row r="34654">
          <cell r="O34654" t="str">
            <v/>
          </cell>
        </row>
        <row r="34655">
          <cell r="O34655" t="str">
            <v/>
          </cell>
        </row>
        <row r="34656">
          <cell r="O34656" t="str">
            <v/>
          </cell>
        </row>
        <row r="34657">
          <cell r="O34657" t="str">
            <v/>
          </cell>
        </row>
        <row r="34658">
          <cell r="O34658" t="str">
            <v/>
          </cell>
        </row>
        <row r="34659">
          <cell r="O34659" t="str">
            <v/>
          </cell>
        </row>
        <row r="34660">
          <cell r="O34660" t="str">
            <v/>
          </cell>
        </row>
        <row r="34661">
          <cell r="O34661" t="str">
            <v/>
          </cell>
        </row>
        <row r="34662">
          <cell r="O34662" t="str">
            <v/>
          </cell>
        </row>
        <row r="34663">
          <cell r="O34663" t="str">
            <v/>
          </cell>
        </row>
        <row r="34664">
          <cell r="O34664" t="str">
            <v/>
          </cell>
        </row>
        <row r="34665">
          <cell r="O34665" t="str">
            <v/>
          </cell>
        </row>
        <row r="34666">
          <cell r="O34666" t="str">
            <v/>
          </cell>
        </row>
        <row r="34667">
          <cell r="O34667" t="str">
            <v/>
          </cell>
        </row>
        <row r="34668">
          <cell r="O34668" t="str">
            <v/>
          </cell>
        </row>
        <row r="34669">
          <cell r="O34669" t="str">
            <v/>
          </cell>
        </row>
        <row r="34670">
          <cell r="O34670" t="str">
            <v/>
          </cell>
        </row>
        <row r="34671">
          <cell r="O34671" t="str">
            <v/>
          </cell>
        </row>
        <row r="34672">
          <cell r="O34672" t="str">
            <v/>
          </cell>
        </row>
        <row r="34673">
          <cell r="O34673" t="str">
            <v/>
          </cell>
        </row>
        <row r="34674">
          <cell r="O34674" t="str">
            <v/>
          </cell>
        </row>
        <row r="34675">
          <cell r="O34675" t="str">
            <v/>
          </cell>
        </row>
        <row r="34676">
          <cell r="O34676" t="str">
            <v/>
          </cell>
        </row>
        <row r="34677">
          <cell r="O34677" t="str">
            <v/>
          </cell>
        </row>
        <row r="34678">
          <cell r="O34678" t="str">
            <v/>
          </cell>
        </row>
        <row r="34679">
          <cell r="O34679" t="str">
            <v/>
          </cell>
        </row>
        <row r="34680">
          <cell r="O34680" t="str">
            <v/>
          </cell>
        </row>
        <row r="34681">
          <cell r="O34681" t="str">
            <v/>
          </cell>
        </row>
        <row r="34682">
          <cell r="O34682" t="str">
            <v/>
          </cell>
        </row>
        <row r="34683">
          <cell r="O34683" t="str">
            <v/>
          </cell>
        </row>
        <row r="34684">
          <cell r="O34684" t="str">
            <v/>
          </cell>
        </row>
        <row r="34685">
          <cell r="O34685" t="str">
            <v/>
          </cell>
        </row>
        <row r="34686">
          <cell r="O34686" t="str">
            <v/>
          </cell>
        </row>
        <row r="34687">
          <cell r="O34687" t="str">
            <v/>
          </cell>
        </row>
        <row r="34688">
          <cell r="O34688" t="str">
            <v/>
          </cell>
        </row>
        <row r="34689">
          <cell r="O34689" t="str">
            <v/>
          </cell>
        </row>
        <row r="34690">
          <cell r="O34690" t="str">
            <v/>
          </cell>
        </row>
        <row r="34691">
          <cell r="O34691" t="str">
            <v/>
          </cell>
        </row>
        <row r="34692">
          <cell r="O34692" t="str">
            <v/>
          </cell>
        </row>
        <row r="34693">
          <cell r="O34693" t="str">
            <v/>
          </cell>
        </row>
        <row r="34694">
          <cell r="O34694" t="str">
            <v/>
          </cell>
        </row>
        <row r="34695">
          <cell r="O34695" t="str">
            <v/>
          </cell>
        </row>
        <row r="34696">
          <cell r="O34696" t="str">
            <v/>
          </cell>
        </row>
        <row r="34697">
          <cell r="O34697" t="str">
            <v/>
          </cell>
        </row>
        <row r="34698">
          <cell r="O34698" t="str">
            <v/>
          </cell>
        </row>
        <row r="34699">
          <cell r="O34699" t="str">
            <v/>
          </cell>
        </row>
        <row r="34700">
          <cell r="O34700" t="str">
            <v/>
          </cell>
        </row>
        <row r="34701">
          <cell r="O34701" t="str">
            <v/>
          </cell>
        </row>
        <row r="34702">
          <cell r="O34702" t="str">
            <v/>
          </cell>
        </row>
        <row r="34703">
          <cell r="O34703" t="str">
            <v/>
          </cell>
        </row>
        <row r="34704">
          <cell r="O34704" t="str">
            <v/>
          </cell>
        </row>
        <row r="34705">
          <cell r="O34705" t="str">
            <v/>
          </cell>
        </row>
        <row r="34706">
          <cell r="O34706" t="str">
            <v/>
          </cell>
        </row>
        <row r="34707">
          <cell r="O34707" t="str">
            <v/>
          </cell>
        </row>
        <row r="34708">
          <cell r="O34708" t="str">
            <v/>
          </cell>
        </row>
        <row r="34709">
          <cell r="O34709" t="str">
            <v/>
          </cell>
        </row>
        <row r="34710">
          <cell r="O34710" t="str">
            <v/>
          </cell>
        </row>
        <row r="34711">
          <cell r="O34711" t="str">
            <v/>
          </cell>
        </row>
        <row r="34712">
          <cell r="O34712" t="str">
            <v/>
          </cell>
        </row>
        <row r="34713">
          <cell r="O34713" t="str">
            <v/>
          </cell>
        </row>
        <row r="34714">
          <cell r="O34714" t="str">
            <v/>
          </cell>
        </row>
        <row r="34715">
          <cell r="O34715" t="str">
            <v/>
          </cell>
        </row>
        <row r="34716">
          <cell r="O34716" t="str">
            <v/>
          </cell>
        </row>
        <row r="34717">
          <cell r="O34717" t="str">
            <v/>
          </cell>
        </row>
        <row r="34718">
          <cell r="O34718" t="str">
            <v/>
          </cell>
        </row>
        <row r="34719">
          <cell r="O34719" t="str">
            <v/>
          </cell>
        </row>
        <row r="34720">
          <cell r="O34720" t="str">
            <v/>
          </cell>
        </row>
        <row r="34721">
          <cell r="O34721" t="str">
            <v/>
          </cell>
        </row>
        <row r="34722">
          <cell r="O34722" t="str">
            <v/>
          </cell>
        </row>
        <row r="34723">
          <cell r="O34723" t="str">
            <v/>
          </cell>
        </row>
        <row r="34724">
          <cell r="O34724" t="str">
            <v/>
          </cell>
        </row>
        <row r="34725">
          <cell r="O34725" t="str">
            <v/>
          </cell>
        </row>
        <row r="34726">
          <cell r="O34726" t="str">
            <v/>
          </cell>
        </row>
        <row r="34727">
          <cell r="O34727" t="str">
            <v/>
          </cell>
        </row>
        <row r="34728">
          <cell r="O34728" t="str">
            <v/>
          </cell>
        </row>
        <row r="34729">
          <cell r="O34729" t="str">
            <v/>
          </cell>
        </row>
        <row r="34730">
          <cell r="O34730" t="str">
            <v/>
          </cell>
        </row>
        <row r="34731">
          <cell r="O34731" t="str">
            <v/>
          </cell>
        </row>
        <row r="34732">
          <cell r="O34732" t="str">
            <v/>
          </cell>
        </row>
        <row r="34733">
          <cell r="O34733" t="str">
            <v/>
          </cell>
        </row>
        <row r="34734">
          <cell r="O34734" t="str">
            <v/>
          </cell>
        </row>
        <row r="34735">
          <cell r="O34735" t="str">
            <v/>
          </cell>
        </row>
        <row r="34736">
          <cell r="O34736" t="str">
            <v/>
          </cell>
        </row>
        <row r="34737">
          <cell r="O34737" t="str">
            <v/>
          </cell>
        </row>
        <row r="34738">
          <cell r="O34738" t="str">
            <v/>
          </cell>
        </row>
        <row r="34739">
          <cell r="O34739" t="str">
            <v/>
          </cell>
        </row>
        <row r="34740">
          <cell r="O34740" t="str">
            <v/>
          </cell>
        </row>
        <row r="34741">
          <cell r="O34741" t="str">
            <v/>
          </cell>
        </row>
        <row r="34742">
          <cell r="O34742" t="str">
            <v/>
          </cell>
        </row>
        <row r="34743">
          <cell r="O34743" t="str">
            <v/>
          </cell>
        </row>
        <row r="34744">
          <cell r="O34744" t="str">
            <v/>
          </cell>
        </row>
        <row r="34745">
          <cell r="O34745" t="str">
            <v/>
          </cell>
        </row>
        <row r="34746">
          <cell r="O34746" t="str">
            <v/>
          </cell>
        </row>
        <row r="34747">
          <cell r="O34747" t="str">
            <v/>
          </cell>
        </row>
        <row r="34748">
          <cell r="O34748" t="str">
            <v/>
          </cell>
        </row>
        <row r="34749">
          <cell r="O34749" t="str">
            <v/>
          </cell>
        </row>
        <row r="34750">
          <cell r="O34750" t="str">
            <v/>
          </cell>
        </row>
        <row r="34751">
          <cell r="O34751" t="str">
            <v/>
          </cell>
        </row>
        <row r="34752">
          <cell r="O34752" t="str">
            <v/>
          </cell>
        </row>
        <row r="34753">
          <cell r="O34753" t="str">
            <v/>
          </cell>
        </row>
        <row r="34754">
          <cell r="O34754" t="str">
            <v/>
          </cell>
        </row>
        <row r="34755">
          <cell r="O34755" t="str">
            <v/>
          </cell>
        </row>
        <row r="34756">
          <cell r="O34756" t="str">
            <v/>
          </cell>
        </row>
        <row r="34757">
          <cell r="O34757" t="str">
            <v/>
          </cell>
        </row>
        <row r="34758">
          <cell r="O34758" t="str">
            <v/>
          </cell>
        </row>
        <row r="34759">
          <cell r="O34759" t="str">
            <v/>
          </cell>
        </row>
        <row r="34760">
          <cell r="O34760" t="str">
            <v/>
          </cell>
        </row>
        <row r="34761">
          <cell r="O34761" t="str">
            <v/>
          </cell>
        </row>
        <row r="34762">
          <cell r="O34762" t="str">
            <v/>
          </cell>
        </row>
        <row r="34763">
          <cell r="O34763" t="str">
            <v/>
          </cell>
        </row>
        <row r="34764">
          <cell r="O34764" t="str">
            <v/>
          </cell>
        </row>
        <row r="34765">
          <cell r="O34765" t="str">
            <v/>
          </cell>
        </row>
        <row r="34766">
          <cell r="O34766" t="str">
            <v/>
          </cell>
        </row>
        <row r="34767">
          <cell r="O34767" t="str">
            <v/>
          </cell>
        </row>
        <row r="34768">
          <cell r="O34768" t="str">
            <v/>
          </cell>
        </row>
        <row r="34769">
          <cell r="O34769" t="str">
            <v/>
          </cell>
        </row>
        <row r="34770">
          <cell r="O34770" t="str">
            <v/>
          </cell>
        </row>
        <row r="34771">
          <cell r="O34771" t="str">
            <v/>
          </cell>
        </row>
        <row r="34772">
          <cell r="O34772" t="str">
            <v/>
          </cell>
        </row>
        <row r="34773">
          <cell r="O34773" t="str">
            <v/>
          </cell>
        </row>
        <row r="34774">
          <cell r="O34774" t="str">
            <v/>
          </cell>
        </row>
        <row r="34775">
          <cell r="O34775" t="str">
            <v/>
          </cell>
        </row>
        <row r="34776">
          <cell r="O34776" t="str">
            <v/>
          </cell>
        </row>
        <row r="34777">
          <cell r="O34777" t="str">
            <v/>
          </cell>
        </row>
        <row r="34778">
          <cell r="O34778" t="str">
            <v/>
          </cell>
        </row>
        <row r="34779">
          <cell r="O34779" t="str">
            <v/>
          </cell>
        </row>
        <row r="34780">
          <cell r="O34780" t="str">
            <v/>
          </cell>
        </row>
        <row r="34781">
          <cell r="O34781" t="str">
            <v/>
          </cell>
        </row>
        <row r="34782">
          <cell r="O34782" t="str">
            <v/>
          </cell>
        </row>
        <row r="34783">
          <cell r="O34783" t="str">
            <v/>
          </cell>
        </row>
        <row r="34784">
          <cell r="O34784" t="str">
            <v/>
          </cell>
        </row>
        <row r="34785">
          <cell r="O34785" t="str">
            <v/>
          </cell>
        </row>
        <row r="34786">
          <cell r="O34786" t="str">
            <v/>
          </cell>
        </row>
        <row r="34787">
          <cell r="O34787" t="str">
            <v/>
          </cell>
        </row>
        <row r="34788">
          <cell r="O34788" t="str">
            <v/>
          </cell>
        </row>
        <row r="34789">
          <cell r="O34789" t="str">
            <v/>
          </cell>
        </row>
        <row r="34790">
          <cell r="O34790" t="str">
            <v/>
          </cell>
        </row>
        <row r="34791">
          <cell r="O34791" t="str">
            <v/>
          </cell>
        </row>
        <row r="34792">
          <cell r="O34792" t="str">
            <v/>
          </cell>
        </row>
        <row r="34793">
          <cell r="O34793" t="str">
            <v/>
          </cell>
        </row>
        <row r="34794">
          <cell r="O34794" t="str">
            <v/>
          </cell>
        </row>
        <row r="34795">
          <cell r="O34795" t="str">
            <v/>
          </cell>
        </row>
        <row r="34796">
          <cell r="O34796" t="str">
            <v/>
          </cell>
        </row>
        <row r="34797">
          <cell r="O34797" t="str">
            <v/>
          </cell>
        </row>
        <row r="34798">
          <cell r="O34798" t="str">
            <v/>
          </cell>
        </row>
        <row r="34799">
          <cell r="O34799" t="str">
            <v/>
          </cell>
        </row>
        <row r="34800">
          <cell r="O34800" t="str">
            <v/>
          </cell>
        </row>
        <row r="34801">
          <cell r="O34801" t="str">
            <v/>
          </cell>
        </row>
        <row r="34802">
          <cell r="O34802" t="str">
            <v/>
          </cell>
        </row>
        <row r="34803">
          <cell r="O34803" t="str">
            <v/>
          </cell>
        </row>
        <row r="34804">
          <cell r="O34804" t="str">
            <v/>
          </cell>
        </row>
        <row r="34805">
          <cell r="O34805" t="str">
            <v/>
          </cell>
        </row>
        <row r="34806">
          <cell r="O34806" t="str">
            <v/>
          </cell>
        </row>
        <row r="34807">
          <cell r="O34807" t="str">
            <v/>
          </cell>
        </row>
        <row r="34808">
          <cell r="O34808" t="str">
            <v/>
          </cell>
        </row>
        <row r="34809">
          <cell r="O34809" t="str">
            <v/>
          </cell>
        </row>
        <row r="34810">
          <cell r="O34810" t="str">
            <v/>
          </cell>
        </row>
        <row r="34811">
          <cell r="O34811" t="str">
            <v/>
          </cell>
        </row>
        <row r="34812">
          <cell r="O34812" t="str">
            <v/>
          </cell>
        </row>
        <row r="34813">
          <cell r="O34813" t="str">
            <v/>
          </cell>
        </row>
        <row r="34814">
          <cell r="O34814" t="str">
            <v/>
          </cell>
        </row>
        <row r="34815">
          <cell r="O34815" t="str">
            <v/>
          </cell>
        </row>
        <row r="34816">
          <cell r="O34816" t="str">
            <v/>
          </cell>
        </row>
        <row r="34817">
          <cell r="O34817" t="str">
            <v/>
          </cell>
        </row>
        <row r="34818">
          <cell r="O34818" t="str">
            <v/>
          </cell>
        </row>
        <row r="34819">
          <cell r="O34819" t="str">
            <v/>
          </cell>
        </row>
        <row r="34820">
          <cell r="O34820" t="str">
            <v/>
          </cell>
        </row>
        <row r="34821">
          <cell r="O34821" t="str">
            <v/>
          </cell>
        </row>
        <row r="34822">
          <cell r="O34822" t="str">
            <v/>
          </cell>
        </row>
        <row r="34823">
          <cell r="O34823" t="str">
            <v/>
          </cell>
        </row>
        <row r="34824">
          <cell r="O34824" t="str">
            <v/>
          </cell>
        </row>
        <row r="34825">
          <cell r="O34825" t="str">
            <v/>
          </cell>
        </row>
        <row r="34826">
          <cell r="O34826" t="str">
            <v/>
          </cell>
        </row>
        <row r="34827">
          <cell r="O34827" t="str">
            <v/>
          </cell>
        </row>
        <row r="34828">
          <cell r="O34828" t="str">
            <v/>
          </cell>
        </row>
        <row r="34829">
          <cell r="O34829" t="str">
            <v/>
          </cell>
        </row>
        <row r="34830">
          <cell r="O34830" t="str">
            <v/>
          </cell>
        </row>
        <row r="34831">
          <cell r="O34831" t="str">
            <v/>
          </cell>
        </row>
        <row r="34832">
          <cell r="O34832" t="str">
            <v/>
          </cell>
        </row>
        <row r="34833">
          <cell r="O34833" t="str">
            <v/>
          </cell>
        </row>
        <row r="34834">
          <cell r="O34834" t="str">
            <v/>
          </cell>
        </row>
        <row r="34835">
          <cell r="O34835" t="str">
            <v/>
          </cell>
        </row>
        <row r="34836">
          <cell r="O34836" t="str">
            <v/>
          </cell>
        </row>
        <row r="34837">
          <cell r="O34837" t="str">
            <v/>
          </cell>
        </row>
        <row r="34838">
          <cell r="O34838" t="str">
            <v/>
          </cell>
        </row>
        <row r="34839">
          <cell r="O34839" t="str">
            <v/>
          </cell>
        </row>
        <row r="34840">
          <cell r="O34840" t="str">
            <v/>
          </cell>
        </row>
        <row r="34841">
          <cell r="O34841" t="str">
            <v/>
          </cell>
        </row>
        <row r="34842">
          <cell r="O34842" t="str">
            <v/>
          </cell>
        </row>
        <row r="34843">
          <cell r="O34843" t="str">
            <v/>
          </cell>
        </row>
        <row r="34844">
          <cell r="O34844" t="str">
            <v/>
          </cell>
        </row>
        <row r="34845">
          <cell r="O34845" t="str">
            <v/>
          </cell>
        </row>
        <row r="34846">
          <cell r="O34846" t="str">
            <v/>
          </cell>
        </row>
        <row r="34847">
          <cell r="O34847" t="str">
            <v/>
          </cell>
        </row>
        <row r="34848">
          <cell r="O34848" t="str">
            <v/>
          </cell>
        </row>
        <row r="34849">
          <cell r="O34849" t="str">
            <v/>
          </cell>
        </row>
        <row r="34850">
          <cell r="O34850" t="str">
            <v/>
          </cell>
        </row>
        <row r="34851">
          <cell r="O34851" t="str">
            <v/>
          </cell>
        </row>
        <row r="34852">
          <cell r="O34852" t="str">
            <v/>
          </cell>
        </row>
        <row r="34853">
          <cell r="O34853" t="str">
            <v/>
          </cell>
        </row>
        <row r="34854">
          <cell r="O34854" t="str">
            <v/>
          </cell>
        </row>
        <row r="34855">
          <cell r="O34855" t="str">
            <v/>
          </cell>
        </row>
        <row r="34856">
          <cell r="O34856" t="str">
            <v/>
          </cell>
        </row>
        <row r="34857">
          <cell r="O34857" t="str">
            <v/>
          </cell>
        </row>
        <row r="34858">
          <cell r="O34858" t="str">
            <v/>
          </cell>
        </row>
        <row r="34859">
          <cell r="O34859" t="str">
            <v/>
          </cell>
        </row>
        <row r="34860">
          <cell r="O34860" t="str">
            <v/>
          </cell>
        </row>
        <row r="34861">
          <cell r="O34861" t="str">
            <v/>
          </cell>
        </row>
        <row r="34862">
          <cell r="O34862" t="str">
            <v/>
          </cell>
        </row>
        <row r="34863">
          <cell r="O34863" t="str">
            <v/>
          </cell>
        </row>
        <row r="34864">
          <cell r="O34864" t="str">
            <v/>
          </cell>
        </row>
        <row r="34865">
          <cell r="O34865" t="str">
            <v/>
          </cell>
        </row>
        <row r="34866">
          <cell r="O34866" t="str">
            <v/>
          </cell>
        </row>
        <row r="34867">
          <cell r="O34867" t="str">
            <v/>
          </cell>
        </row>
        <row r="34868">
          <cell r="O34868" t="str">
            <v/>
          </cell>
        </row>
        <row r="34869">
          <cell r="O34869" t="str">
            <v/>
          </cell>
        </row>
        <row r="34870">
          <cell r="O34870" t="str">
            <v/>
          </cell>
        </row>
        <row r="34871">
          <cell r="O34871" t="str">
            <v/>
          </cell>
        </row>
        <row r="34872">
          <cell r="O34872" t="str">
            <v/>
          </cell>
        </row>
        <row r="34873">
          <cell r="O34873" t="str">
            <v/>
          </cell>
        </row>
        <row r="34874">
          <cell r="O34874" t="str">
            <v/>
          </cell>
        </row>
        <row r="34875">
          <cell r="O34875" t="str">
            <v/>
          </cell>
        </row>
        <row r="34876">
          <cell r="O34876" t="str">
            <v/>
          </cell>
        </row>
        <row r="34877">
          <cell r="O34877" t="str">
            <v/>
          </cell>
        </row>
        <row r="34878">
          <cell r="O34878" t="str">
            <v/>
          </cell>
        </row>
        <row r="34879">
          <cell r="O34879" t="str">
            <v/>
          </cell>
        </row>
        <row r="34880">
          <cell r="O34880" t="str">
            <v/>
          </cell>
        </row>
        <row r="34881">
          <cell r="O34881" t="str">
            <v/>
          </cell>
        </row>
        <row r="34882">
          <cell r="O34882" t="str">
            <v/>
          </cell>
        </row>
        <row r="34883">
          <cell r="O34883" t="str">
            <v/>
          </cell>
        </row>
        <row r="34884">
          <cell r="O34884" t="str">
            <v/>
          </cell>
        </row>
        <row r="34885">
          <cell r="O34885" t="str">
            <v/>
          </cell>
        </row>
        <row r="34886">
          <cell r="O34886" t="str">
            <v/>
          </cell>
        </row>
        <row r="34887">
          <cell r="O34887" t="str">
            <v/>
          </cell>
        </row>
        <row r="34888">
          <cell r="O34888" t="str">
            <v/>
          </cell>
        </row>
        <row r="34889">
          <cell r="O34889" t="str">
            <v/>
          </cell>
        </row>
        <row r="34890">
          <cell r="O34890" t="str">
            <v/>
          </cell>
        </row>
        <row r="34891">
          <cell r="O34891" t="str">
            <v/>
          </cell>
        </row>
        <row r="34892">
          <cell r="O34892" t="str">
            <v/>
          </cell>
        </row>
        <row r="34893">
          <cell r="O34893" t="str">
            <v/>
          </cell>
        </row>
        <row r="34894">
          <cell r="O34894" t="str">
            <v/>
          </cell>
        </row>
        <row r="34895">
          <cell r="O34895" t="str">
            <v/>
          </cell>
        </row>
        <row r="34896">
          <cell r="O34896" t="str">
            <v/>
          </cell>
        </row>
        <row r="34897">
          <cell r="O34897" t="str">
            <v/>
          </cell>
        </row>
        <row r="34898">
          <cell r="O34898" t="str">
            <v/>
          </cell>
        </row>
        <row r="34899">
          <cell r="O34899" t="str">
            <v/>
          </cell>
        </row>
        <row r="34900">
          <cell r="O34900" t="str">
            <v/>
          </cell>
        </row>
        <row r="34901">
          <cell r="O34901" t="str">
            <v/>
          </cell>
        </row>
        <row r="34902">
          <cell r="O34902" t="str">
            <v/>
          </cell>
        </row>
        <row r="34903">
          <cell r="O34903" t="str">
            <v/>
          </cell>
        </row>
        <row r="34904">
          <cell r="O34904" t="str">
            <v/>
          </cell>
        </row>
        <row r="34905">
          <cell r="O34905" t="str">
            <v/>
          </cell>
        </row>
        <row r="34906">
          <cell r="O34906" t="str">
            <v/>
          </cell>
        </row>
        <row r="34907">
          <cell r="O34907" t="str">
            <v/>
          </cell>
        </row>
        <row r="34908">
          <cell r="O34908" t="str">
            <v/>
          </cell>
        </row>
        <row r="34909">
          <cell r="O34909" t="str">
            <v/>
          </cell>
        </row>
        <row r="34910">
          <cell r="O34910" t="str">
            <v/>
          </cell>
        </row>
        <row r="34911">
          <cell r="O34911" t="str">
            <v/>
          </cell>
        </row>
        <row r="34912">
          <cell r="O34912" t="str">
            <v/>
          </cell>
        </row>
        <row r="34913">
          <cell r="O34913" t="str">
            <v/>
          </cell>
        </row>
        <row r="34914">
          <cell r="O34914" t="str">
            <v/>
          </cell>
        </row>
        <row r="34915">
          <cell r="O34915" t="str">
            <v/>
          </cell>
        </row>
        <row r="34916">
          <cell r="O34916" t="str">
            <v/>
          </cell>
        </row>
        <row r="34917">
          <cell r="O34917" t="str">
            <v/>
          </cell>
        </row>
        <row r="34918">
          <cell r="O34918" t="str">
            <v/>
          </cell>
        </row>
        <row r="34919">
          <cell r="O34919" t="str">
            <v/>
          </cell>
        </row>
        <row r="34920">
          <cell r="O34920" t="str">
            <v/>
          </cell>
        </row>
        <row r="34921">
          <cell r="O34921" t="str">
            <v/>
          </cell>
        </row>
        <row r="34922">
          <cell r="O34922" t="str">
            <v/>
          </cell>
        </row>
        <row r="34923">
          <cell r="O34923" t="str">
            <v/>
          </cell>
        </row>
        <row r="34924">
          <cell r="O34924" t="str">
            <v/>
          </cell>
        </row>
        <row r="34925">
          <cell r="O34925" t="str">
            <v/>
          </cell>
        </row>
        <row r="34926">
          <cell r="O34926" t="str">
            <v/>
          </cell>
        </row>
        <row r="34927">
          <cell r="O34927" t="str">
            <v/>
          </cell>
        </row>
        <row r="34928">
          <cell r="O34928" t="str">
            <v/>
          </cell>
        </row>
        <row r="34929">
          <cell r="O34929" t="str">
            <v/>
          </cell>
        </row>
        <row r="34930">
          <cell r="O34930" t="str">
            <v/>
          </cell>
        </row>
        <row r="34931">
          <cell r="O34931" t="str">
            <v/>
          </cell>
        </row>
        <row r="34932">
          <cell r="O34932" t="str">
            <v/>
          </cell>
        </row>
        <row r="34933">
          <cell r="O34933" t="str">
            <v/>
          </cell>
        </row>
        <row r="34934">
          <cell r="O34934" t="str">
            <v/>
          </cell>
        </row>
        <row r="34935">
          <cell r="O34935" t="str">
            <v/>
          </cell>
        </row>
        <row r="34936">
          <cell r="O34936" t="str">
            <v/>
          </cell>
        </row>
        <row r="34937">
          <cell r="O34937" t="str">
            <v/>
          </cell>
        </row>
        <row r="34938">
          <cell r="O34938" t="str">
            <v/>
          </cell>
        </row>
        <row r="34939">
          <cell r="O34939" t="str">
            <v/>
          </cell>
        </row>
        <row r="34940">
          <cell r="O34940" t="str">
            <v/>
          </cell>
        </row>
        <row r="34941">
          <cell r="O34941" t="str">
            <v/>
          </cell>
        </row>
        <row r="34942">
          <cell r="O34942" t="str">
            <v/>
          </cell>
        </row>
        <row r="34943">
          <cell r="O34943" t="str">
            <v/>
          </cell>
        </row>
        <row r="34944">
          <cell r="O34944" t="str">
            <v/>
          </cell>
        </row>
        <row r="34945">
          <cell r="O34945" t="str">
            <v/>
          </cell>
        </row>
        <row r="34946">
          <cell r="O34946" t="str">
            <v/>
          </cell>
        </row>
        <row r="34947">
          <cell r="O34947" t="str">
            <v/>
          </cell>
        </row>
        <row r="34948">
          <cell r="O34948" t="str">
            <v/>
          </cell>
        </row>
        <row r="34949">
          <cell r="O34949" t="str">
            <v/>
          </cell>
        </row>
        <row r="34950">
          <cell r="O34950" t="str">
            <v/>
          </cell>
        </row>
        <row r="34951">
          <cell r="O34951" t="str">
            <v/>
          </cell>
        </row>
        <row r="34952">
          <cell r="O34952" t="str">
            <v/>
          </cell>
        </row>
        <row r="34953">
          <cell r="O34953" t="str">
            <v/>
          </cell>
        </row>
        <row r="34954">
          <cell r="O34954" t="str">
            <v/>
          </cell>
        </row>
        <row r="34955">
          <cell r="O34955" t="str">
            <v/>
          </cell>
        </row>
        <row r="34956">
          <cell r="O34956" t="str">
            <v/>
          </cell>
        </row>
        <row r="34957">
          <cell r="O34957" t="str">
            <v/>
          </cell>
        </row>
        <row r="34958">
          <cell r="O34958" t="str">
            <v/>
          </cell>
        </row>
        <row r="34959">
          <cell r="O34959" t="str">
            <v/>
          </cell>
        </row>
        <row r="34960">
          <cell r="O34960" t="str">
            <v/>
          </cell>
        </row>
        <row r="34961">
          <cell r="O34961" t="str">
            <v/>
          </cell>
        </row>
        <row r="34962">
          <cell r="O34962" t="str">
            <v/>
          </cell>
        </row>
        <row r="34963">
          <cell r="O34963" t="str">
            <v/>
          </cell>
        </row>
        <row r="34964">
          <cell r="O34964" t="str">
            <v/>
          </cell>
        </row>
        <row r="34965">
          <cell r="O34965" t="str">
            <v/>
          </cell>
        </row>
        <row r="34966">
          <cell r="O34966" t="str">
            <v/>
          </cell>
        </row>
        <row r="34967">
          <cell r="O34967" t="str">
            <v/>
          </cell>
        </row>
        <row r="34968">
          <cell r="O34968" t="str">
            <v/>
          </cell>
        </row>
        <row r="34969">
          <cell r="O34969" t="str">
            <v/>
          </cell>
        </row>
        <row r="34970">
          <cell r="O34970" t="str">
            <v/>
          </cell>
        </row>
        <row r="34971">
          <cell r="O34971" t="str">
            <v/>
          </cell>
        </row>
        <row r="34972">
          <cell r="O34972" t="str">
            <v/>
          </cell>
        </row>
        <row r="34973">
          <cell r="O34973" t="str">
            <v/>
          </cell>
        </row>
        <row r="34974">
          <cell r="O34974" t="str">
            <v/>
          </cell>
        </row>
        <row r="34975">
          <cell r="O34975" t="str">
            <v/>
          </cell>
        </row>
        <row r="34976">
          <cell r="O34976" t="str">
            <v/>
          </cell>
        </row>
        <row r="34977">
          <cell r="O34977" t="str">
            <v/>
          </cell>
        </row>
        <row r="34978">
          <cell r="O34978" t="str">
            <v/>
          </cell>
        </row>
        <row r="34979">
          <cell r="O34979" t="str">
            <v/>
          </cell>
        </row>
        <row r="34980">
          <cell r="O34980" t="str">
            <v/>
          </cell>
        </row>
        <row r="34981">
          <cell r="O34981" t="str">
            <v/>
          </cell>
        </row>
        <row r="34982">
          <cell r="O34982" t="str">
            <v/>
          </cell>
        </row>
        <row r="34983">
          <cell r="O34983" t="str">
            <v/>
          </cell>
        </row>
        <row r="34984">
          <cell r="O34984" t="str">
            <v/>
          </cell>
        </row>
        <row r="34985">
          <cell r="O34985" t="str">
            <v/>
          </cell>
        </row>
        <row r="34986">
          <cell r="O34986" t="str">
            <v/>
          </cell>
        </row>
        <row r="34987">
          <cell r="O34987" t="str">
            <v/>
          </cell>
        </row>
        <row r="34988">
          <cell r="O34988" t="str">
            <v/>
          </cell>
        </row>
        <row r="34989">
          <cell r="O34989" t="str">
            <v/>
          </cell>
        </row>
        <row r="34990">
          <cell r="O34990" t="str">
            <v/>
          </cell>
        </row>
        <row r="34991">
          <cell r="O34991" t="str">
            <v/>
          </cell>
        </row>
        <row r="34992">
          <cell r="O34992" t="str">
            <v/>
          </cell>
        </row>
        <row r="34993">
          <cell r="O34993" t="str">
            <v/>
          </cell>
        </row>
        <row r="34994">
          <cell r="O34994" t="str">
            <v/>
          </cell>
        </row>
        <row r="34995">
          <cell r="O34995" t="str">
            <v/>
          </cell>
        </row>
        <row r="34996">
          <cell r="O34996" t="str">
            <v/>
          </cell>
        </row>
        <row r="34997">
          <cell r="O34997" t="str">
            <v/>
          </cell>
        </row>
        <row r="34998">
          <cell r="O34998" t="str">
            <v/>
          </cell>
        </row>
        <row r="34999">
          <cell r="O34999" t="str">
            <v/>
          </cell>
        </row>
        <row r="35000">
          <cell r="O35000" t="str">
            <v/>
          </cell>
        </row>
        <row r="35001">
          <cell r="O35001" t="str">
            <v/>
          </cell>
        </row>
        <row r="35002">
          <cell r="O35002" t="str">
            <v/>
          </cell>
        </row>
        <row r="35003">
          <cell r="O35003" t="str">
            <v/>
          </cell>
        </row>
        <row r="35004">
          <cell r="O35004" t="str">
            <v/>
          </cell>
        </row>
        <row r="35005">
          <cell r="O35005" t="str">
            <v/>
          </cell>
        </row>
        <row r="35006">
          <cell r="O35006" t="str">
            <v/>
          </cell>
        </row>
        <row r="35007">
          <cell r="O35007" t="str">
            <v/>
          </cell>
        </row>
        <row r="35008">
          <cell r="O35008" t="str">
            <v/>
          </cell>
        </row>
        <row r="35009">
          <cell r="O35009" t="str">
            <v/>
          </cell>
        </row>
        <row r="35010">
          <cell r="O35010" t="str">
            <v/>
          </cell>
        </row>
        <row r="35011">
          <cell r="O35011" t="str">
            <v/>
          </cell>
        </row>
        <row r="35012">
          <cell r="O35012" t="str">
            <v/>
          </cell>
        </row>
        <row r="35013">
          <cell r="O35013" t="str">
            <v/>
          </cell>
        </row>
        <row r="35014">
          <cell r="O35014" t="str">
            <v/>
          </cell>
        </row>
        <row r="35015">
          <cell r="O35015" t="str">
            <v/>
          </cell>
        </row>
        <row r="35016">
          <cell r="O35016" t="str">
            <v/>
          </cell>
        </row>
        <row r="35017">
          <cell r="O35017" t="str">
            <v/>
          </cell>
        </row>
        <row r="35018">
          <cell r="O35018" t="str">
            <v/>
          </cell>
        </row>
        <row r="35019">
          <cell r="O35019" t="str">
            <v/>
          </cell>
        </row>
        <row r="35020">
          <cell r="O35020" t="str">
            <v/>
          </cell>
        </row>
        <row r="35021">
          <cell r="O35021" t="str">
            <v/>
          </cell>
        </row>
        <row r="35022">
          <cell r="O35022" t="str">
            <v/>
          </cell>
        </row>
        <row r="35023">
          <cell r="O35023" t="str">
            <v/>
          </cell>
        </row>
        <row r="35024">
          <cell r="O35024" t="str">
            <v/>
          </cell>
        </row>
        <row r="35025">
          <cell r="O35025" t="str">
            <v/>
          </cell>
        </row>
        <row r="35026">
          <cell r="O35026" t="str">
            <v/>
          </cell>
        </row>
        <row r="35027">
          <cell r="O35027" t="str">
            <v/>
          </cell>
        </row>
        <row r="35028">
          <cell r="O35028" t="str">
            <v/>
          </cell>
        </row>
        <row r="35029">
          <cell r="O35029" t="str">
            <v/>
          </cell>
        </row>
        <row r="35030">
          <cell r="O35030" t="str">
            <v/>
          </cell>
        </row>
        <row r="35031">
          <cell r="O35031" t="str">
            <v/>
          </cell>
        </row>
        <row r="35032">
          <cell r="O35032" t="str">
            <v/>
          </cell>
        </row>
        <row r="35033">
          <cell r="O35033" t="str">
            <v/>
          </cell>
        </row>
        <row r="35034">
          <cell r="O35034" t="str">
            <v/>
          </cell>
        </row>
        <row r="35035">
          <cell r="O35035" t="str">
            <v/>
          </cell>
        </row>
        <row r="35036">
          <cell r="O35036" t="str">
            <v/>
          </cell>
        </row>
        <row r="35037">
          <cell r="O35037" t="str">
            <v/>
          </cell>
        </row>
        <row r="35038">
          <cell r="O35038" t="str">
            <v/>
          </cell>
        </row>
        <row r="35039">
          <cell r="O35039" t="str">
            <v/>
          </cell>
        </row>
        <row r="35040">
          <cell r="O35040" t="str">
            <v/>
          </cell>
        </row>
        <row r="35041">
          <cell r="O35041" t="str">
            <v/>
          </cell>
        </row>
        <row r="35042">
          <cell r="O35042" t="str">
            <v/>
          </cell>
        </row>
        <row r="35043">
          <cell r="O35043" t="str">
            <v/>
          </cell>
        </row>
        <row r="35044">
          <cell r="O35044" t="str">
            <v/>
          </cell>
        </row>
        <row r="35045">
          <cell r="O35045" t="str">
            <v/>
          </cell>
        </row>
        <row r="35046">
          <cell r="O35046" t="str">
            <v/>
          </cell>
        </row>
        <row r="35047">
          <cell r="O35047" t="str">
            <v/>
          </cell>
        </row>
        <row r="35048">
          <cell r="O35048" t="str">
            <v/>
          </cell>
        </row>
        <row r="35049">
          <cell r="O35049" t="str">
            <v/>
          </cell>
        </row>
        <row r="35050">
          <cell r="O35050" t="str">
            <v/>
          </cell>
        </row>
        <row r="35051">
          <cell r="O35051" t="str">
            <v/>
          </cell>
        </row>
        <row r="35052">
          <cell r="O35052" t="str">
            <v/>
          </cell>
        </row>
        <row r="35053">
          <cell r="O35053" t="str">
            <v/>
          </cell>
        </row>
        <row r="35054">
          <cell r="O35054" t="str">
            <v/>
          </cell>
        </row>
        <row r="35055">
          <cell r="O35055" t="str">
            <v/>
          </cell>
        </row>
        <row r="35056">
          <cell r="O35056" t="str">
            <v/>
          </cell>
        </row>
        <row r="35057">
          <cell r="O35057" t="str">
            <v/>
          </cell>
        </row>
        <row r="35058">
          <cell r="O35058" t="str">
            <v/>
          </cell>
        </row>
        <row r="35059">
          <cell r="O35059" t="str">
            <v/>
          </cell>
        </row>
        <row r="35060">
          <cell r="O35060" t="str">
            <v/>
          </cell>
        </row>
        <row r="35061">
          <cell r="O35061" t="str">
            <v/>
          </cell>
        </row>
        <row r="35062">
          <cell r="O35062" t="str">
            <v/>
          </cell>
        </row>
        <row r="35063">
          <cell r="O35063" t="str">
            <v/>
          </cell>
        </row>
        <row r="35064">
          <cell r="O35064" t="str">
            <v/>
          </cell>
        </row>
        <row r="35065">
          <cell r="O35065" t="str">
            <v/>
          </cell>
        </row>
        <row r="35066">
          <cell r="O35066" t="str">
            <v/>
          </cell>
        </row>
        <row r="35067">
          <cell r="O35067" t="str">
            <v/>
          </cell>
        </row>
        <row r="35068">
          <cell r="O35068" t="str">
            <v/>
          </cell>
        </row>
        <row r="35069">
          <cell r="O35069" t="str">
            <v/>
          </cell>
        </row>
        <row r="35070">
          <cell r="O35070" t="str">
            <v/>
          </cell>
        </row>
        <row r="35071">
          <cell r="O35071" t="str">
            <v/>
          </cell>
        </row>
        <row r="35072">
          <cell r="O35072" t="str">
            <v/>
          </cell>
        </row>
        <row r="35073">
          <cell r="O35073" t="str">
            <v/>
          </cell>
        </row>
        <row r="35074">
          <cell r="O35074" t="str">
            <v/>
          </cell>
        </row>
        <row r="35075">
          <cell r="O35075" t="str">
            <v/>
          </cell>
        </row>
        <row r="35076">
          <cell r="O35076" t="str">
            <v/>
          </cell>
        </row>
        <row r="35077">
          <cell r="O35077" t="str">
            <v/>
          </cell>
        </row>
        <row r="35078">
          <cell r="O35078" t="str">
            <v/>
          </cell>
        </row>
        <row r="35079">
          <cell r="O35079" t="str">
            <v/>
          </cell>
        </row>
        <row r="35080">
          <cell r="O35080" t="str">
            <v/>
          </cell>
        </row>
        <row r="35081">
          <cell r="O35081" t="str">
            <v/>
          </cell>
        </row>
        <row r="35082">
          <cell r="O35082" t="str">
            <v/>
          </cell>
        </row>
        <row r="35083">
          <cell r="O35083" t="str">
            <v/>
          </cell>
        </row>
        <row r="35084">
          <cell r="O35084" t="str">
            <v/>
          </cell>
        </row>
        <row r="35085">
          <cell r="O35085" t="str">
            <v/>
          </cell>
        </row>
        <row r="35086">
          <cell r="O35086" t="str">
            <v/>
          </cell>
        </row>
        <row r="35087">
          <cell r="O35087" t="str">
            <v/>
          </cell>
        </row>
        <row r="35088">
          <cell r="O35088" t="str">
            <v/>
          </cell>
        </row>
        <row r="35089">
          <cell r="O35089" t="str">
            <v/>
          </cell>
        </row>
        <row r="35090">
          <cell r="O35090" t="str">
            <v/>
          </cell>
        </row>
        <row r="35091">
          <cell r="O35091" t="str">
            <v/>
          </cell>
        </row>
        <row r="35092">
          <cell r="O35092" t="str">
            <v/>
          </cell>
        </row>
        <row r="35093">
          <cell r="O35093" t="str">
            <v/>
          </cell>
        </row>
        <row r="35094">
          <cell r="O35094" t="str">
            <v/>
          </cell>
        </row>
        <row r="35095">
          <cell r="O35095" t="str">
            <v/>
          </cell>
        </row>
        <row r="35096">
          <cell r="O35096" t="str">
            <v/>
          </cell>
        </row>
        <row r="35097">
          <cell r="O35097" t="str">
            <v/>
          </cell>
        </row>
        <row r="35098">
          <cell r="O35098" t="str">
            <v/>
          </cell>
        </row>
        <row r="35099">
          <cell r="O35099" t="str">
            <v/>
          </cell>
        </row>
        <row r="35100">
          <cell r="O35100" t="str">
            <v/>
          </cell>
        </row>
        <row r="35101">
          <cell r="O35101" t="str">
            <v/>
          </cell>
        </row>
        <row r="35102">
          <cell r="O35102" t="str">
            <v/>
          </cell>
        </row>
        <row r="35103">
          <cell r="O35103" t="str">
            <v/>
          </cell>
        </row>
        <row r="35104">
          <cell r="O35104" t="str">
            <v/>
          </cell>
        </row>
        <row r="35105">
          <cell r="O35105" t="str">
            <v/>
          </cell>
        </row>
        <row r="35106">
          <cell r="O35106" t="str">
            <v/>
          </cell>
        </row>
        <row r="35107">
          <cell r="O35107" t="str">
            <v/>
          </cell>
        </row>
        <row r="35108">
          <cell r="O35108" t="str">
            <v/>
          </cell>
        </row>
        <row r="35109">
          <cell r="O35109" t="str">
            <v/>
          </cell>
        </row>
        <row r="35110">
          <cell r="O35110" t="str">
            <v/>
          </cell>
        </row>
        <row r="35111">
          <cell r="O35111" t="str">
            <v/>
          </cell>
        </row>
        <row r="35112">
          <cell r="O35112" t="str">
            <v/>
          </cell>
        </row>
        <row r="35113">
          <cell r="O35113" t="str">
            <v/>
          </cell>
        </row>
        <row r="35114">
          <cell r="O35114" t="str">
            <v/>
          </cell>
        </row>
        <row r="35115">
          <cell r="O35115" t="str">
            <v/>
          </cell>
        </row>
        <row r="35116">
          <cell r="O35116" t="str">
            <v/>
          </cell>
        </row>
        <row r="35117">
          <cell r="O35117" t="str">
            <v/>
          </cell>
        </row>
        <row r="35118">
          <cell r="O35118" t="str">
            <v/>
          </cell>
        </row>
        <row r="35119">
          <cell r="O35119" t="str">
            <v/>
          </cell>
        </row>
        <row r="35120">
          <cell r="O35120" t="str">
            <v/>
          </cell>
        </row>
        <row r="35121">
          <cell r="O35121" t="str">
            <v/>
          </cell>
        </row>
        <row r="35122">
          <cell r="O35122" t="str">
            <v/>
          </cell>
        </row>
        <row r="35123">
          <cell r="O35123" t="str">
            <v/>
          </cell>
        </row>
        <row r="35124">
          <cell r="O35124" t="str">
            <v/>
          </cell>
        </row>
        <row r="35125">
          <cell r="O35125" t="str">
            <v/>
          </cell>
        </row>
        <row r="35126">
          <cell r="O35126" t="str">
            <v/>
          </cell>
        </row>
        <row r="35127">
          <cell r="O35127" t="str">
            <v/>
          </cell>
        </row>
        <row r="35128">
          <cell r="O35128" t="str">
            <v/>
          </cell>
        </row>
        <row r="35129">
          <cell r="O35129" t="str">
            <v/>
          </cell>
        </row>
        <row r="35130">
          <cell r="O35130" t="str">
            <v/>
          </cell>
        </row>
        <row r="35131">
          <cell r="O35131" t="str">
            <v/>
          </cell>
        </row>
        <row r="35132">
          <cell r="O35132" t="str">
            <v/>
          </cell>
        </row>
        <row r="35133">
          <cell r="O35133" t="str">
            <v/>
          </cell>
        </row>
        <row r="35134">
          <cell r="O35134" t="str">
            <v/>
          </cell>
        </row>
        <row r="35135">
          <cell r="O35135" t="str">
            <v/>
          </cell>
        </row>
        <row r="35136">
          <cell r="O35136" t="str">
            <v/>
          </cell>
        </row>
        <row r="35137">
          <cell r="O35137" t="str">
            <v/>
          </cell>
        </row>
        <row r="35138">
          <cell r="O35138" t="str">
            <v/>
          </cell>
        </row>
        <row r="35139">
          <cell r="O35139" t="str">
            <v/>
          </cell>
        </row>
        <row r="35140">
          <cell r="O35140" t="str">
            <v/>
          </cell>
        </row>
        <row r="35141">
          <cell r="O35141" t="str">
            <v/>
          </cell>
        </row>
        <row r="35142">
          <cell r="O35142" t="str">
            <v/>
          </cell>
        </row>
        <row r="35143">
          <cell r="O35143" t="str">
            <v/>
          </cell>
        </row>
        <row r="35144">
          <cell r="O35144" t="str">
            <v/>
          </cell>
        </row>
        <row r="35145">
          <cell r="O35145" t="str">
            <v/>
          </cell>
        </row>
        <row r="35146">
          <cell r="O35146" t="str">
            <v/>
          </cell>
        </row>
        <row r="35147">
          <cell r="O35147" t="str">
            <v/>
          </cell>
        </row>
        <row r="35148">
          <cell r="O35148" t="str">
            <v/>
          </cell>
        </row>
        <row r="35149">
          <cell r="O35149" t="str">
            <v/>
          </cell>
        </row>
        <row r="35150">
          <cell r="O35150" t="str">
            <v/>
          </cell>
        </row>
        <row r="35151">
          <cell r="O35151" t="str">
            <v/>
          </cell>
        </row>
        <row r="35152">
          <cell r="O35152" t="str">
            <v/>
          </cell>
        </row>
        <row r="35153">
          <cell r="O35153" t="str">
            <v/>
          </cell>
        </row>
        <row r="35154">
          <cell r="O35154" t="str">
            <v/>
          </cell>
        </row>
        <row r="35155">
          <cell r="O35155" t="str">
            <v/>
          </cell>
        </row>
        <row r="35156">
          <cell r="O35156" t="str">
            <v/>
          </cell>
        </row>
        <row r="35157">
          <cell r="O35157" t="str">
            <v/>
          </cell>
        </row>
        <row r="35158">
          <cell r="O35158" t="str">
            <v/>
          </cell>
        </row>
        <row r="35159">
          <cell r="O35159" t="str">
            <v/>
          </cell>
        </row>
        <row r="35160">
          <cell r="O35160" t="str">
            <v/>
          </cell>
        </row>
        <row r="35161">
          <cell r="O35161" t="str">
            <v/>
          </cell>
        </row>
        <row r="35162">
          <cell r="O35162" t="str">
            <v/>
          </cell>
        </row>
        <row r="35163">
          <cell r="O35163" t="str">
            <v/>
          </cell>
        </row>
        <row r="35164">
          <cell r="O35164" t="str">
            <v/>
          </cell>
        </row>
        <row r="35165">
          <cell r="O35165" t="str">
            <v/>
          </cell>
        </row>
        <row r="35166">
          <cell r="O35166" t="str">
            <v/>
          </cell>
        </row>
        <row r="35167">
          <cell r="O35167" t="str">
            <v/>
          </cell>
        </row>
        <row r="35168">
          <cell r="O35168" t="str">
            <v/>
          </cell>
        </row>
        <row r="35169">
          <cell r="O35169" t="str">
            <v/>
          </cell>
        </row>
        <row r="35170">
          <cell r="O35170" t="str">
            <v/>
          </cell>
        </row>
        <row r="35171">
          <cell r="O35171" t="str">
            <v/>
          </cell>
        </row>
        <row r="35172">
          <cell r="O35172" t="str">
            <v/>
          </cell>
        </row>
        <row r="35173">
          <cell r="O35173" t="str">
            <v/>
          </cell>
        </row>
        <row r="35174">
          <cell r="O35174" t="str">
            <v/>
          </cell>
        </row>
        <row r="35175">
          <cell r="O35175" t="str">
            <v/>
          </cell>
        </row>
        <row r="35176">
          <cell r="O35176" t="str">
            <v/>
          </cell>
        </row>
        <row r="35177">
          <cell r="O35177" t="str">
            <v/>
          </cell>
        </row>
        <row r="35178">
          <cell r="O35178" t="str">
            <v/>
          </cell>
        </row>
        <row r="35179">
          <cell r="O35179" t="str">
            <v/>
          </cell>
        </row>
        <row r="35180">
          <cell r="O35180" t="str">
            <v/>
          </cell>
        </row>
        <row r="35181">
          <cell r="O35181" t="str">
            <v/>
          </cell>
        </row>
        <row r="35182">
          <cell r="O35182" t="str">
            <v/>
          </cell>
        </row>
        <row r="35183">
          <cell r="O35183" t="str">
            <v/>
          </cell>
        </row>
        <row r="35184">
          <cell r="O35184" t="str">
            <v/>
          </cell>
        </row>
        <row r="35185">
          <cell r="O35185" t="str">
            <v/>
          </cell>
        </row>
        <row r="35186">
          <cell r="O35186" t="str">
            <v/>
          </cell>
        </row>
        <row r="35187">
          <cell r="O35187" t="str">
            <v/>
          </cell>
        </row>
        <row r="35188">
          <cell r="O35188" t="str">
            <v/>
          </cell>
        </row>
        <row r="35189">
          <cell r="O35189" t="str">
            <v/>
          </cell>
        </row>
        <row r="35190">
          <cell r="O35190" t="str">
            <v/>
          </cell>
        </row>
        <row r="35191">
          <cell r="O35191" t="str">
            <v/>
          </cell>
        </row>
        <row r="35192">
          <cell r="O35192" t="str">
            <v/>
          </cell>
        </row>
        <row r="35193">
          <cell r="O35193" t="str">
            <v/>
          </cell>
        </row>
        <row r="35194">
          <cell r="O35194" t="str">
            <v/>
          </cell>
        </row>
        <row r="35195">
          <cell r="O35195" t="str">
            <v/>
          </cell>
        </row>
        <row r="35196">
          <cell r="O35196" t="str">
            <v/>
          </cell>
        </row>
        <row r="35197">
          <cell r="O35197" t="str">
            <v/>
          </cell>
        </row>
        <row r="35198">
          <cell r="O35198" t="str">
            <v/>
          </cell>
        </row>
        <row r="35199">
          <cell r="O35199" t="str">
            <v/>
          </cell>
        </row>
        <row r="35200">
          <cell r="O35200" t="str">
            <v/>
          </cell>
        </row>
        <row r="35201">
          <cell r="O35201" t="str">
            <v/>
          </cell>
        </row>
        <row r="35202">
          <cell r="O35202" t="str">
            <v/>
          </cell>
        </row>
        <row r="35203">
          <cell r="O35203" t="str">
            <v/>
          </cell>
        </row>
        <row r="35204">
          <cell r="O35204" t="str">
            <v/>
          </cell>
        </row>
        <row r="35205">
          <cell r="O35205" t="str">
            <v/>
          </cell>
        </row>
        <row r="35206">
          <cell r="O35206" t="str">
            <v/>
          </cell>
        </row>
        <row r="35207">
          <cell r="O35207" t="str">
            <v/>
          </cell>
        </row>
        <row r="35208">
          <cell r="O35208" t="str">
            <v/>
          </cell>
        </row>
        <row r="35209">
          <cell r="O35209" t="str">
            <v/>
          </cell>
        </row>
        <row r="35210">
          <cell r="O35210" t="str">
            <v/>
          </cell>
        </row>
        <row r="35211">
          <cell r="O35211" t="str">
            <v/>
          </cell>
        </row>
        <row r="35212">
          <cell r="O35212" t="str">
            <v/>
          </cell>
        </row>
        <row r="35213">
          <cell r="O35213" t="str">
            <v/>
          </cell>
        </row>
        <row r="35214">
          <cell r="O35214" t="str">
            <v/>
          </cell>
        </row>
        <row r="35215">
          <cell r="O35215" t="str">
            <v/>
          </cell>
        </row>
        <row r="35216">
          <cell r="O35216" t="str">
            <v/>
          </cell>
        </row>
        <row r="35217">
          <cell r="O35217" t="str">
            <v/>
          </cell>
        </row>
        <row r="35218">
          <cell r="O35218" t="str">
            <v/>
          </cell>
        </row>
        <row r="35219">
          <cell r="O35219" t="str">
            <v/>
          </cell>
        </row>
        <row r="35220">
          <cell r="O35220" t="str">
            <v/>
          </cell>
        </row>
        <row r="35221">
          <cell r="O35221" t="str">
            <v/>
          </cell>
        </row>
        <row r="35222">
          <cell r="O35222" t="str">
            <v/>
          </cell>
        </row>
        <row r="35223">
          <cell r="O35223" t="str">
            <v/>
          </cell>
        </row>
        <row r="35224">
          <cell r="O35224" t="str">
            <v/>
          </cell>
        </row>
        <row r="35225">
          <cell r="O35225" t="str">
            <v/>
          </cell>
        </row>
        <row r="35226">
          <cell r="O35226" t="str">
            <v/>
          </cell>
        </row>
        <row r="35227">
          <cell r="O35227" t="str">
            <v/>
          </cell>
        </row>
        <row r="35228">
          <cell r="O35228" t="str">
            <v/>
          </cell>
        </row>
        <row r="35229">
          <cell r="O35229" t="str">
            <v/>
          </cell>
        </row>
        <row r="35230">
          <cell r="O35230" t="str">
            <v/>
          </cell>
        </row>
        <row r="35231">
          <cell r="O35231" t="str">
            <v/>
          </cell>
        </row>
        <row r="35232">
          <cell r="O35232" t="str">
            <v/>
          </cell>
        </row>
        <row r="35233">
          <cell r="O35233" t="str">
            <v/>
          </cell>
        </row>
        <row r="35234">
          <cell r="O35234" t="str">
            <v/>
          </cell>
        </row>
        <row r="35235">
          <cell r="O35235" t="str">
            <v/>
          </cell>
        </row>
        <row r="35236">
          <cell r="O35236" t="str">
            <v/>
          </cell>
        </row>
        <row r="35237">
          <cell r="O35237" t="str">
            <v/>
          </cell>
        </row>
        <row r="35238">
          <cell r="O35238" t="str">
            <v/>
          </cell>
        </row>
        <row r="35239">
          <cell r="O35239" t="str">
            <v/>
          </cell>
        </row>
        <row r="35240">
          <cell r="O35240" t="str">
            <v/>
          </cell>
        </row>
        <row r="35241">
          <cell r="O35241" t="str">
            <v/>
          </cell>
        </row>
        <row r="35242">
          <cell r="O35242" t="str">
            <v/>
          </cell>
        </row>
        <row r="35243">
          <cell r="O35243" t="str">
            <v/>
          </cell>
        </row>
        <row r="35244">
          <cell r="O35244" t="str">
            <v/>
          </cell>
        </row>
        <row r="35245">
          <cell r="O35245" t="str">
            <v/>
          </cell>
        </row>
        <row r="35246">
          <cell r="O35246" t="str">
            <v/>
          </cell>
        </row>
        <row r="35247">
          <cell r="O35247" t="str">
            <v/>
          </cell>
        </row>
        <row r="35248">
          <cell r="O35248" t="str">
            <v/>
          </cell>
        </row>
        <row r="35249">
          <cell r="O35249" t="str">
            <v/>
          </cell>
        </row>
        <row r="35250">
          <cell r="O35250" t="str">
            <v/>
          </cell>
        </row>
        <row r="35251">
          <cell r="O35251" t="str">
            <v/>
          </cell>
        </row>
        <row r="35252">
          <cell r="O35252" t="str">
            <v/>
          </cell>
        </row>
        <row r="35253">
          <cell r="O35253" t="str">
            <v/>
          </cell>
        </row>
        <row r="35254">
          <cell r="O35254" t="str">
            <v/>
          </cell>
        </row>
        <row r="35255">
          <cell r="O35255" t="str">
            <v/>
          </cell>
        </row>
        <row r="35256">
          <cell r="O35256" t="str">
            <v/>
          </cell>
        </row>
        <row r="35257">
          <cell r="O35257" t="str">
            <v/>
          </cell>
        </row>
        <row r="35258">
          <cell r="O35258" t="str">
            <v/>
          </cell>
        </row>
        <row r="35259">
          <cell r="O35259" t="str">
            <v/>
          </cell>
        </row>
        <row r="35260">
          <cell r="O35260" t="str">
            <v/>
          </cell>
        </row>
        <row r="35261">
          <cell r="O35261" t="str">
            <v/>
          </cell>
        </row>
        <row r="35262">
          <cell r="O35262" t="str">
            <v/>
          </cell>
        </row>
        <row r="35263">
          <cell r="O35263" t="str">
            <v/>
          </cell>
        </row>
        <row r="35264">
          <cell r="O35264" t="str">
            <v/>
          </cell>
        </row>
        <row r="35265">
          <cell r="O35265" t="str">
            <v/>
          </cell>
        </row>
        <row r="35266">
          <cell r="O35266" t="str">
            <v/>
          </cell>
        </row>
        <row r="35267">
          <cell r="O35267" t="str">
            <v/>
          </cell>
        </row>
        <row r="35268">
          <cell r="O35268" t="str">
            <v/>
          </cell>
        </row>
        <row r="35269">
          <cell r="O35269" t="str">
            <v/>
          </cell>
        </row>
        <row r="35270">
          <cell r="O35270" t="str">
            <v/>
          </cell>
        </row>
        <row r="35271">
          <cell r="O35271" t="str">
            <v/>
          </cell>
        </row>
        <row r="35272">
          <cell r="O35272" t="str">
            <v/>
          </cell>
        </row>
        <row r="35273">
          <cell r="O35273" t="str">
            <v/>
          </cell>
        </row>
        <row r="35274">
          <cell r="O35274" t="str">
            <v/>
          </cell>
        </row>
        <row r="35275">
          <cell r="O35275" t="str">
            <v/>
          </cell>
        </row>
        <row r="35276">
          <cell r="O35276" t="str">
            <v/>
          </cell>
        </row>
        <row r="35277">
          <cell r="O35277" t="str">
            <v/>
          </cell>
        </row>
        <row r="35278">
          <cell r="O35278" t="str">
            <v/>
          </cell>
        </row>
        <row r="35279">
          <cell r="O35279" t="str">
            <v/>
          </cell>
        </row>
        <row r="35280">
          <cell r="O35280" t="str">
            <v/>
          </cell>
        </row>
        <row r="35281">
          <cell r="O35281" t="str">
            <v/>
          </cell>
        </row>
        <row r="35282">
          <cell r="O35282" t="str">
            <v/>
          </cell>
        </row>
        <row r="35283">
          <cell r="O35283" t="str">
            <v/>
          </cell>
        </row>
        <row r="35284">
          <cell r="O35284" t="str">
            <v/>
          </cell>
        </row>
        <row r="35285">
          <cell r="O35285" t="str">
            <v/>
          </cell>
        </row>
        <row r="35286">
          <cell r="O35286" t="str">
            <v/>
          </cell>
        </row>
        <row r="35287">
          <cell r="O35287" t="str">
            <v/>
          </cell>
        </row>
        <row r="35288">
          <cell r="O35288" t="str">
            <v/>
          </cell>
        </row>
        <row r="35289">
          <cell r="O35289" t="str">
            <v/>
          </cell>
        </row>
        <row r="35290">
          <cell r="O35290" t="str">
            <v/>
          </cell>
        </row>
        <row r="35291">
          <cell r="O35291" t="str">
            <v/>
          </cell>
        </row>
        <row r="35292">
          <cell r="O35292" t="str">
            <v/>
          </cell>
        </row>
        <row r="35293">
          <cell r="O35293" t="str">
            <v/>
          </cell>
        </row>
        <row r="35294">
          <cell r="O35294" t="str">
            <v/>
          </cell>
        </row>
        <row r="35295">
          <cell r="O35295" t="str">
            <v/>
          </cell>
        </row>
        <row r="35296">
          <cell r="O35296" t="str">
            <v/>
          </cell>
        </row>
        <row r="35297">
          <cell r="O35297" t="str">
            <v/>
          </cell>
        </row>
        <row r="35298">
          <cell r="O35298" t="str">
            <v/>
          </cell>
        </row>
        <row r="35299">
          <cell r="O35299" t="str">
            <v/>
          </cell>
        </row>
        <row r="35300">
          <cell r="O35300" t="str">
            <v/>
          </cell>
        </row>
        <row r="35301">
          <cell r="O35301" t="str">
            <v/>
          </cell>
        </row>
        <row r="35302">
          <cell r="O35302" t="str">
            <v/>
          </cell>
        </row>
        <row r="35303">
          <cell r="O35303" t="str">
            <v/>
          </cell>
        </row>
        <row r="35304">
          <cell r="O35304" t="str">
            <v/>
          </cell>
        </row>
        <row r="35305">
          <cell r="O35305" t="str">
            <v/>
          </cell>
        </row>
        <row r="35306">
          <cell r="O35306" t="str">
            <v/>
          </cell>
        </row>
        <row r="35307">
          <cell r="O35307" t="str">
            <v/>
          </cell>
        </row>
        <row r="35308">
          <cell r="O35308" t="str">
            <v/>
          </cell>
        </row>
        <row r="35309">
          <cell r="O35309" t="str">
            <v/>
          </cell>
        </row>
        <row r="35310">
          <cell r="O35310" t="str">
            <v/>
          </cell>
        </row>
        <row r="35311">
          <cell r="O35311" t="str">
            <v/>
          </cell>
        </row>
        <row r="35312">
          <cell r="O35312" t="str">
            <v/>
          </cell>
        </row>
        <row r="35313">
          <cell r="O35313" t="str">
            <v/>
          </cell>
        </row>
        <row r="35314">
          <cell r="O35314" t="str">
            <v/>
          </cell>
        </row>
        <row r="35315">
          <cell r="O35315" t="str">
            <v/>
          </cell>
        </row>
        <row r="35316">
          <cell r="O35316" t="str">
            <v/>
          </cell>
        </row>
        <row r="35317">
          <cell r="O35317" t="str">
            <v/>
          </cell>
        </row>
        <row r="35318">
          <cell r="O35318" t="str">
            <v/>
          </cell>
        </row>
        <row r="35319">
          <cell r="O35319" t="str">
            <v/>
          </cell>
        </row>
        <row r="35320">
          <cell r="O35320" t="str">
            <v/>
          </cell>
        </row>
        <row r="35321">
          <cell r="O35321" t="str">
            <v/>
          </cell>
        </row>
        <row r="35322">
          <cell r="O35322" t="str">
            <v/>
          </cell>
        </row>
        <row r="35323">
          <cell r="O35323" t="str">
            <v/>
          </cell>
        </row>
        <row r="35324">
          <cell r="O35324" t="str">
            <v/>
          </cell>
        </row>
        <row r="35325">
          <cell r="O35325" t="str">
            <v/>
          </cell>
        </row>
        <row r="35326">
          <cell r="O35326" t="str">
            <v/>
          </cell>
        </row>
        <row r="35327">
          <cell r="O35327" t="str">
            <v/>
          </cell>
        </row>
        <row r="35328">
          <cell r="O35328" t="str">
            <v/>
          </cell>
        </row>
        <row r="35329">
          <cell r="O35329" t="str">
            <v/>
          </cell>
        </row>
        <row r="35330">
          <cell r="O35330" t="str">
            <v/>
          </cell>
        </row>
        <row r="35331">
          <cell r="O35331" t="str">
            <v/>
          </cell>
        </row>
        <row r="35332">
          <cell r="O35332" t="str">
            <v/>
          </cell>
        </row>
        <row r="35333">
          <cell r="O35333" t="str">
            <v/>
          </cell>
        </row>
        <row r="35334">
          <cell r="O35334" t="str">
            <v/>
          </cell>
        </row>
        <row r="35335">
          <cell r="O35335" t="str">
            <v/>
          </cell>
        </row>
        <row r="35336">
          <cell r="O35336" t="str">
            <v/>
          </cell>
        </row>
        <row r="35337">
          <cell r="O35337" t="str">
            <v/>
          </cell>
        </row>
        <row r="35338">
          <cell r="O35338" t="str">
            <v/>
          </cell>
        </row>
        <row r="35339">
          <cell r="O35339" t="str">
            <v/>
          </cell>
        </row>
        <row r="35340">
          <cell r="O35340" t="str">
            <v/>
          </cell>
        </row>
        <row r="35341">
          <cell r="O35341" t="str">
            <v/>
          </cell>
        </row>
        <row r="35342">
          <cell r="O35342" t="str">
            <v/>
          </cell>
        </row>
        <row r="35343">
          <cell r="O35343" t="str">
            <v/>
          </cell>
        </row>
        <row r="35344">
          <cell r="O35344" t="str">
            <v/>
          </cell>
        </row>
        <row r="35345">
          <cell r="O35345" t="str">
            <v/>
          </cell>
        </row>
        <row r="35346">
          <cell r="O35346" t="str">
            <v/>
          </cell>
        </row>
        <row r="35347">
          <cell r="O35347" t="str">
            <v/>
          </cell>
        </row>
        <row r="35348">
          <cell r="O35348" t="str">
            <v/>
          </cell>
        </row>
        <row r="35349">
          <cell r="O35349" t="str">
            <v/>
          </cell>
        </row>
        <row r="35350">
          <cell r="O35350" t="str">
            <v/>
          </cell>
        </row>
        <row r="35351">
          <cell r="O35351" t="str">
            <v/>
          </cell>
        </row>
        <row r="35352">
          <cell r="O35352" t="str">
            <v/>
          </cell>
        </row>
        <row r="35353">
          <cell r="O35353" t="str">
            <v/>
          </cell>
        </row>
        <row r="35354">
          <cell r="O35354" t="str">
            <v/>
          </cell>
        </row>
        <row r="35355">
          <cell r="O35355" t="str">
            <v/>
          </cell>
        </row>
        <row r="35356">
          <cell r="O35356" t="str">
            <v/>
          </cell>
        </row>
        <row r="35357">
          <cell r="O35357" t="str">
            <v/>
          </cell>
        </row>
        <row r="35358">
          <cell r="O35358" t="str">
            <v/>
          </cell>
        </row>
        <row r="35359">
          <cell r="O35359" t="str">
            <v/>
          </cell>
        </row>
        <row r="35360">
          <cell r="O35360" t="str">
            <v/>
          </cell>
        </row>
        <row r="35361">
          <cell r="O35361" t="str">
            <v/>
          </cell>
        </row>
        <row r="35362">
          <cell r="O35362" t="str">
            <v/>
          </cell>
        </row>
        <row r="35363">
          <cell r="O35363" t="str">
            <v/>
          </cell>
        </row>
        <row r="35364">
          <cell r="O35364" t="str">
            <v/>
          </cell>
        </row>
        <row r="35365">
          <cell r="O35365" t="str">
            <v/>
          </cell>
        </row>
        <row r="35366">
          <cell r="O35366" t="str">
            <v/>
          </cell>
        </row>
        <row r="35367">
          <cell r="O35367" t="str">
            <v/>
          </cell>
        </row>
        <row r="35368">
          <cell r="O35368" t="str">
            <v/>
          </cell>
        </row>
        <row r="35369">
          <cell r="O35369" t="str">
            <v/>
          </cell>
        </row>
        <row r="35370">
          <cell r="O35370" t="str">
            <v/>
          </cell>
        </row>
        <row r="35371">
          <cell r="O35371" t="str">
            <v/>
          </cell>
        </row>
        <row r="35372">
          <cell r="O35372" t="str">
            <v/>
          </cell>
        </row>
        <row r="35373">
          <cell r="O35373" t="str">
            <v/>
          </cell>
        </row>
        <row r="35374">
          <cell r="O35374" t="str">
            <v/>
          </cell>
        </row>
        <row r="35375">
          <cell r="O35375" t="str">
            <v/>
          </cell>
        </row>
        <row r="35376">
          <cell r="O35376" t="str">
            <v/>
          </cell>
        </row>
        <row r="35377">
          <cell r="O35377" t="str">
            <v/>
          </cell>
        </row>
        <row r="35378">
          <cell r="O35378" t="str">
            <v/>
          </cell>
        </row>
        <row r="35379">
          <cell r="O35379" t="str">
            <v/>
          </cell>
        </row>
        <row r="35380">
          <cell r="O35380" t="str">
            <v/>
          </cell>
        </row>
        <row r="35381">
          <cell r="O35381" t="str">
            <v/>
          </cell>
        </row>
        <row r="35382">
          <cell r="O35382" t="str">
            <v/>
          </cell>
        </row>
        <row r="35383">
          <cell r="O35383" t="str">
            <v/>
          </cell>
        </row>
        <row r="35384">
          <cell r="O35384" t="str">
            <v/>
          </cell>
        </row>
        <row r="35385">
          <cell r="O35385" t="str">
            <v/>
          </cell>
        </row>
        <row r="35386">
          <cell r="O35386" t="str">
            <v/>
          </cell>
        </row>
        <row r="35387">
          <cell r="O35387" t="str">
            <v/>
          </cell>
        </row>
        <row r="35388">
          <cell r="O35388" t="str">
            <v/>
          </cell>
        </row>
        <row r="35389">
          <cell r="O35389" t="str">
            <v/>
          </cell>
        </row>
        <row r="35390">
          <cell r="O35390" t="str">
            <v/>
          </cell>
        </row>
        <row r="35391">
          <cell r="O35391" t="str">
            <v/>
          </cell>
        </row>
        <row r="35392">
          <cell r="O35392" t="str">
            <v/>
          </cell>
        </row>
        <row r="35393">
          <cell r="O35393" t="str">
            <v/>
          </cell>
        </row>
        <row r="35394">
          <cell r="O35394" t="str">
            <v/>
          </cell>
        </row>
        <row r="35395">
          <cell r="O35395" t="str">
            <v/>
          </cell>
        </row>
        <row r="35396">
          <cell r="O35396" t="str">
            <v/>
          </cell>
        </row>
        <row r="35397">
          <cell r="O35397" t="str">
            <v/>
          </cell>
        </row>
        <row r="35398">
          <cell r="O35398" t="str">
            <v/>
          </cell>
        </row>
        <row r="35399">
          <cell r="O35399" t="str">
            <v/>
          </cell>
        </row>
        <row r="35400">
          <cell r="O35400" t="str">
            <v/>
          </cell>
        </row>
        <row r="35401">
          <cell r="O35401" t="str">
            <v/>
          </cell>
        </row>
        <row r="35402">
          <cell r="O35402" t="str">
            <v/>
          </cell>
        </row>
        <row r="35403">
          <cell r="O35403" t="str">
            <v/>
          </cell>
        </row>
        <row r="35404">
          <cell r="O35404" t="str">
            <v/>
          </cell>
        </row>
        <row r="35405">
          <cell r="O35405" t="str">
            <v/>
          </cell>
        </row>
        <row r="35406">
          <cell r="O35406" t="str">
            <v/>
          </cell>
        </row>
        <row r="35407">
          <cell r="O35407" t="str">
            <v/>
          </cell>
        </row>
        <row r="35408">
          <cell r="O35408" t="str">
            <v/>
          </cell>
        </row>
        <row r="35409">
          <cell r="O35409" t="str">
            <v/>
          </cell>
        </row>
        <row r="35410">
          <cell r="O35410" t="str">
            <v/>
          </cell>
        </row>
        <row r="35411">
          <cell r="O35411" t="str">
            <v/>
          </cell>
        </row>
        <row r="35412">
          <cell r="O35412" t="str">
            <v/>
          </cell>
        </row>
        <row r="35413">
          <cell r="O35413" t="str">
            <v/>
          </cell>
        </row>
        <row r="35414">
          <cell r="O35414" t="str">
            <v/>
          </cell>
        </row>
        <row r="35415">
          <cell r="O35415" t="str">
            <v/>
          </cell>
        </row>
        <row r="35416">
          <cell r="O35416" t="str">
            <v/>
          </cell>
        </row>
        <row r="35417">
          <cell r="O35417" t="str">
            <v/>
          </cell>
        </row>
        <row r="35418">
          <cell r="O35418" t="str">
            <v/>
          </cell>
        </row>
        <row r="35419">
          <cell r="O35419" t="str">
            <v/>
          </cell>
        </row>
        <row r="35420">
          <cell r="O35420" t="str">
            <v/>
          </cell>
        </row>
        <row r="35421">
          <cell r="O35421" t="str">
            <v/>
          </cell>
        </row>
        <row r="35422">
          <cell r="O35422" t="str">
            <v/>
          </cell>
        </row>
        <row r="35423">
          <cell r="O35423" t="str">
            <v/>
          </cell>
        </row>
        <row r="35424">
          <cell r="O35424" t="str">
            <v/>
          </cell>
        </row>
        <row r="35425">
          <cell r="O35425" t="str">
            <v/>
          </cell>
        </row>
        <row r="35426">
          <cell r="O35426" t="str">
            <v/>
          </cell>
        </row>
        <row r="35427">
          <cell r="O35427" t="str">
            <v/>
          </cell>
        </row>
        <row r="35428">
          <cell r="O35428" t="str">
            <v/>
          </cell>
        </row>
        <row r="35429">
          <cell r="O35429" t="str">
            <v/>
          </cell>
        </row>
        <row r="35430">
          <cell r="O35430" t="str">
            <v/>
          </cell>
        </row>
        <row r="35431">
          <cell r="O35431" t="str">
            <v/>
          </cell>
        </row>
        <row r="35432">
          <cell r="O35432" t="str">
            <v/>
          </cell>
        </row>
        <row r="35433">
          <cell r="O35433" t="str">
            <v/>
          </cell>
        </row>
        <row r="35434">
          <cell r="O35434" t="str">
            <v/>
          </cell>
        </row>
        <row r="35435">
          <cell r="O35435" t="str">
            <v/>
          </cell>
        </row>
        <row r="35436">
          <cell r="O35436" t="str">
            <v/>
          </cell>
        </row>
        <row r="35437">
          <cell r="O35437" t="str">
            <v/>
          </cell>
        </row>
        <row r="35438">
          <cell r="O35438" t="str">
            <v/>
          </cell>
        </row>
        <row r="35439">
          <cell r="O35439" t="str">
            <v/>
          </cell>
        </row>
        <row r="35440">
          <cell r="O35440" t="str">
            <v/>
          </cell>
        </row>
        <row r="35441">
          <cell r="O35441" t="str">
            <v/>
          </cell>
        </row>
        <row r="35442">
          <cell r="O35442" t="str">
            <v/>
          </cell>
        </row>
        <row r="35443">
          <cell r="O35443" t="str">
            <v/>
          </cell>
        </row>
        <row r="35444">
          <cell r="O35444" t="str">
            <v/>
          </cell>
        </row>
        <row r="35445">
          <cell r="O35445" t="str">
            <v/>
          </cell>
        </row>
        <row r="35446">
          <cell r="O35446" t="str">
            <v/>
          </cell>
        </row>
        <row r="35447">
          <cell r="O35447" t="str">
            <v/>
          </cell>
        </row>
        <row r="35448">
          <cell r="O35448" t="str">
            <v/>
          </cell>
        </row>
        <row r="35449">
          <cell r="O35449" t="str">
            <v/>
          </cell>
        </row>
        <row r="35450">
          <cell r="O35450" t="str">
            <v/>
          </cell>
        </row>
        <row r="35451">
          <cell r="O35451" t="str">
            <v/>
          </cell>
        </row>
        <row r="35452">
          <cell r="O35452" t="str">
            <v/>
          </cell>
        </row>
        <row r="35453">
          <cell r="O35453" t="str">
            <v/>
          </cell>
        </row>
        <row r="35454">
          <cell r="O35454" t="str">
            <v/>
          </cell>
        </row>
        <row r="35455">
          <cell r="O35455" t="str">
            <v/>
          </cell>
        </row>
        <row r="35456">
          <cell r="O35456" t="str">
            <v/>
          </cell>
        </row>
        <row r="35457">
          <cell r="O35457" t="str">
            <v/>
          </cell>
        </row>
        <row r="35458">
          <cell r="O35458" t="str">
            <v/>
          </cell>
        </row>
        <row r="35459">
          <cell r="O35459" t="str">
            <v/>
          </cell>
        </row>
        <row r="35460">
          <cell r="O35460" t="str">
            <v/>
          </cell>
        </row>
        <row r="35461">
          <cell r="O35461" t="str">
            <v/>
          </cell>
        </row>
        <row r="35462">
          <cell r="O35462" t="str">
            <v/>
          </cell>
        </row>
        <row r="35463">
          <cell r="O35463" t="str">
            <v/>
          </cell>
        </row>
        <row r="35464">
          <cell r="O35464" t="str">
            <v/>
          </cell>
        </row>
        <row r="35465">
          <cell r="O35465" t="str">
            <v/>
          </cell>
        </row>
        <row r="35466">
          <cell r="O35466" t="str">
            <v/>
          </cell>
        </row>
        <row r="35467">
          <cell r="O35467" t="str">
            <v/>
          </cell>
        </row>
        <row r="35468">
          <cell r="O35468" t="str">
            <v/>
          </cell>
        </row>
        <row r="35469">
          <cell r="O35469" t="str">
            <v/>
          </cell>
        </row>
        <row r="35470">
          <cell r="O35470" t="str">
            <v/>
          </cell>
        </row>
        <row r="35471">
          <cell r="O35471" t="str">
            <v/>
          </cell>
        </row>
        <row r="35472">
          <cell r="O35472" t="str">
            <v/>
          </cell>
        </row>
        <row r="35473">
          <cell r="O35473" t="str">
            <v/>
          </cell>
        </row>
        <row r="35474">
          <cell r="O35474" t="str">
            <v/>
          </cell>
        </row>
        <row r="35475">
          <cell r="O35475" t="str">
            <v/>
          </cell>
        </row>
        <row r="35476">
          <cell r="O35476" t="str">
            <v/>
          </cell>
        </row>
        <row r="35477">
          <cell r="O35477" t="str">
            <v/>
          </cell>
        </row>
        <row r="35478">
          <cell r="O35478" t="str">
            <v/>
          </cell>
        </row>
        <row r="35479">
          <cell r="O35479" t="str">
            <v/>
          </cell>
        </row>
        <row r="35480">
          <cell r="O35480" t="str">
            <v/>
          </cell>
        </row>
        <row r="35481">
          <cell r="O35481" t="str">
            <v/>
          </cell>
        </row>
        <row r="35482">
          <cell r="O35482" t="str">
            <v/>
          </cell>
        </row>
        <row r="35483">
          <cell r="O35483" t="str">
            <v/>
          </cell>
        </row>
        <row r="35484">
          <cell r="O35484" t="str">
            <v/>
          </cell>
        </row>
        <row r="35485">
          <cell r="O35485" t="str">
            <v/>
          </cell>
        </row>
        <row r="35486">
          <cell r="O35486" t="str">
            <v/>
          </cell>
        </row>
        <row r="35487">
          <cell r="O35487" t="str">
            <v/>
          </cell>
        </row>
        <row r="35488">
          <cell r="O35488" t="str">
            <v/>
          </cell>
        </row>
        <row r="35489">
          <cell r="O35489" t="str">
            <v/>
          </cell>
        </row>
        <row r="35490">
          <cell r="O35490" t="str">
            <v/>
          </cell>
        </row>
        <row r="35491">
          <cell r="O35491" t="str">
            <v/>
          </cell>
        </row>
        <row r="35492">
          <cell r="O35492" t="str">
            <v/>
          </cell>
        </row>
        <row r="35493">
          <cell r="O35493" t="str">
            <v/>
          </cell>
        </row>
        <row r="35494">
          <cell r="O35494" t="str">
            <v/>
          </cell>
        </row>
        <row r="35495">
          <cell r="O35495" t="str">
            <v/>
          </cell>
        </row>
        <row r="35496">
          <cell r="O35496" t="str">
            <v/>
          </cell>
        </row>
        <row r="35497">
          <cell r="O35497" t="str">
            <v/>
          </cell>
        </row>
        <row r="35498">
          <cell r="O35498" t="str">
            <v/>
          </cell>
        </row>
        <row r="35499">
          <cell r="O35499" t="str">
            <v/>
          </cell>
        </row>
        <row r="35500">
          <cell r="O35500" t="str">
            <v/>
          </cell>
        </row>
        <row r="35501">
          <cell r="O35501" t="str">
            <v/>
          </cell>
        </row>
        <row r="35502">
          <cell r="O35502" t="str">
            <v/>
          </cell>
        </row>
        <row r="35503">
          <cell r="O35503" t="str">
            <v/>
          </cell>
        </row>
        <row r="35504">
          <cell r="O35504" t="str">
            <v/>
          </cell>
        </row>
        <row r="35505">
          <cell r="O35505" t="str">
            <v/>
          </cell>
        </row>
        <row r="35506">
          <cell r="O35506" t="str">
            <v/>
          </cell>
        </row>
        <row r="35507">
          <cell r="O35507" t="str">
            <v/>
          </cell>
        </row>
        <row r="35508">
          <cell r="O35508" t="str">
            <v/>
          </cell>
        </row>
        <row r="35509">
          <cell r="O35509" t="str">
            <v/>
          </cell>
        </row>
        <row r="35510">
          <cell r="O35510" t="str">
            <v/>
          </cell>
        </row>
        <row r="35511">
          <cell r="O35511" t="str">
            <v/>
          </cell>
        </row>
        <row r="35512">
          <cell r="O35512" t="str">
            <v/>
          </cell>
        </row>
        <row r="35513">
          <cell r="O35513" t="str">
            <v/>
          </cell>
        </row>
        <row r="35514">
          <cell r="O35514" t="str">
            <v/>
          </cell>
        </row>
        <row r="35515">
          <cell r="O35515" t="str">
            <v/>
          </cell>
        </row>
        <row r="35516">
          <cell r="O35516" t="str">
            <v/>
          </cell>
        </row>
        <row r="35517">
          <cell r="O35517" t="str">
            <v/>
          </cell>
        </row>
        <row r="35518">
          <cell r="O35518" t="str">
            <v/>
          </cell>
        </row>
        <row r="35519">
          <cell r="O35519" t="str">
            <v/>
          </cell>
        </row>
        <row r="35520">
          <cell r="O35520" t="str">
            <v/>
          </cell>
        </row>
        <row r="35521">
          <cell r="O35521" t="str">
            <v/>
          </cell>
        </row>
        <row r="35522">
          <cell r="O35522" t="str">
            <v/>
          </cell>
        </row>
        <row r="35523">
          <cell r="O35523" t="str">
            <v/>
          </cell>
        </row>
        <row r="35524">
          <cell r="O35524" t="str">
            <v/>
          </cell>
        </row>
        <row r="35525">
          <cell r="O35525" t="str">
            <v/>
          </cell>
        </row>
        <row r="35526">
          <cell r="O35526" t="str">
            <v/>
          </cell>
        </row>
        <row r="35527">
          <cell r="O35527" t="str">
            <v/>
          </cell>
        </row>
        <row r="35528">
          <cell r="O35528" t="str">
            <v/>
          </cell>
        </row>
        <row r="35529">
          <cell r="O35529" t="str">
            <v/>
          </cell>
        </row>
        <row r="35530">
          <cell r="O35530" t="str">
            <v/>
          </cell>
        </row>
        <row r="35531">
          <cell r="O35531" t="str">
            <v/>
          </cell>
        </row>
        <row r="35532">
          <cell r="O35532" t="str">
            <v/>
          </cell>
        </row>
        <row r="35533">
          <cell r="O35533" t="str">
            <v/>
          </cell>
        </row>
        <row r="35534">
          <cell r="O35534" t="str">
            <v/>
          </cell>
        </row>
        <row r="35535">
          <cell r="O35535" t="str">
            <v/>
          </cell>
        </row>
        <row r="35536">
          <cell r="O35536" t="str">
            <v/>
          </cell>
        </row>
        <row r="35537">
          <cell r="O35537" t="str">
            <v/>
          </cell>
        </row>
        <row r="35538">
          <cell r="O35538" t="str">
            <v/>
          </cell>
        </row>
        <row r="35539">
          <cell r="O35539" t="str">
            <v/>
          </cell>
        </row>
        <row r="35540">
          <cell r="O35540" t="str">
            <v/>
          </cell>
        </row>
        <row r="35541">
          <cell r="O35541" t="str">
            <v/>
          </cell>
        </row>
        <row r="35542">
          <cell r="O35542" t="str">
            <v/>
          </cell>
        </row>
        <row r="35543">
          <cell r="O35543" t="str">
            <v/>
          </cell>
        </row>
        <row r="35544">
          <cell r="O35544" t="str">
            <v/>
          </cell>
        </row>
        <row r="35545">
          <cell r="O35545" t="str">
            <v/>
          </cell>
        </row>
        <row r="35546">
          <cell r="O35546" t="str">
            <v/>
          </cell>
        </row>
        <row r="35547">
          <cell r="O35547" t="str">
            <v/>
          </cell>
        </row>
        <row r="35548">
          <cell r="O35548" t="str">
            <v/>
          </cell>
        </row>
        <row r="35549">
          <cell r="O35549" t="str">
            <v/>
          </cell>
        </row>
        <row r="35550">
          <cell r="O35550" t="str">
            <v/>
          </cell>
        </row>
        <row r="35551">
          <cell r="O35551" t="str">
            <v/>
          </cell>
        </row>
        <row r="35552">
          <cell r="O35552" t="str">
            <v/>
          </cell>
        </row>
        <row r="35553">
          <cell r="O35553" t="str">
            <v/>
          </cell>
        </row>
        <row r="35554">
          <cell r="O35554" t="str">
            <v/>
          </cell>
        </row>
        <row r="35555">
          <cell r="O35555" t="str">
            <v/>
          </cell>
        </row>
        <row r="35556">
          <cell r="O35556" t="str">
            <v/>
          </cell>
        </row>
        <row r="35557">
          <cell r="O35557" t="str">
            <v/>
          </cell>
        </row>
        <row r="35558">
          <cell r="O35558" t="str">
            <v/>
          </cell>
        </row>
        <row r="35559">
          <cell r="O35559" t="str">
            <v/>
          </cell>
        </row>
        <row r="35560">
          <cell r="O35560" t="str">
            <v/>
          </cell>
        </row>
        <row r="35561">
          <cell r="O35561" t="str">
            <v/>
          </cell>
        </row>
        <row r="35562">
          <cell r="O35562" t="str">
            <v/>
          </cell>
        </row>
        <row r="35563">
          <cell r="O35563" t="str">
            <v/>
          </cell>
        </row>
        <row r="35564">
          <cell r="O35564" t="str">
            <v/>
          </cell>
        </row>
        <row r="35565">
          <cell r="O35565" t="str">
            <v/>
          </cell>
        </row>
        <row r="35566">
          <cell r="O35566" t="str">
            <v/>
          </cell>
        </row>
        <row r="35567">
          <cell r="O35567" t="str">
            <v/>
          </cell>
        </row>
        <row r="35568">
          <cell r="O35568" t="str">
            <v/>
          </cell>
        </row>
        <row r="35569">
          <cell r="O35569" t="str">
            <v/>
          </cell>
        </row>
        <row r="35570">
          <cell r="O35570" t="str">
            <v/>
          </cell>
        </row>
        <row r="35571">
          <cell r="O35571" t="str">
            <v/>
          </cell>
        </row>
        <row r="35572">
          <cell r="O35572" t="str">
            <v/>
          </cell>
        </row>
        <row r="35573">
          <cell r="O35573" t="str">
            <v/>
          </cell>
        </row>
        <row r="35574">
          <cell r="O35574" t="str">
            <v/>
          </cell>
        </row>
        <row r="35575">
          <cell r="O35575" t="str">
            <v/>
          </cell>
        </row>
        <row r="35576">
          <cell r="O35576" t="str">
            <v/>
          </cell>
        </row>
        <row r="35577">
          <cell r="O35577" t="str">
            <v/>
          </cell>
        </row>
        <row r="35578">
          <cell r="O35578" t="str">
            <v/>
          </cell>
        </row>
        <row r="35579">
          <cell r="O35579" t="str">
            <v/>
          </cell>
        </row>
        <row r="35580">
          <cell r="O35580" t="str">
            <v/>
          </cell>
        </row>
        <row r="35581">
          <cell r="O35581" t="str">
            <v/>
          </cell>
        </row>
        <row r="35582">
          <cell r="O35582" t="str">
            <v/>
          </cell>
        </row>
        <row r="35583">
          <cell r="O35583" t="str">
            <v/>
          </cell>
        </row>
        <row r="35584">
          <cell r="O35584" t="str">
            <v/>
          </cell>
        </row>
        <row r="35585">
          <cell r="O35585" t="str">
            <v/>
          </cell>
        </row>
        <row r="35586">
          <cell r="O35586" t="str">
            <v/>
          </cell>
        </row>
        <row r="35587">
          <cell r="O35587" t="str">
            <v/>
          </cell>
        </row>
        <row r="35588">
          <cell r="O35588" t="str">
            <v/>
          </cell>
        </row>
        <row r="35589">
          <cell r="O35589" t="str">
            <v/>
          </cell>
        </row>
        <row r="35590">
          <cell r="O35590" t="str">
            <v/>
          </cell>
        </row>
        <row r="35591">
          <cell r="O35591" t="str">
            <v/>
          </cell>
        </row>
        <row r="35592">
          <cell r="O35592" t="str">
            <v/>
          </cell>
        </row>
        <row r="35593">
          <cell r="O35593" t="str">
            <v/>
          </cell>
        </row>
        <row r="35594">
          <cell r="O35594" t="str">
            <v/>
          </cell>
        </row>
        <row r="35595">
          <cell r="O35595" t="str">
            <v/>
          </cell>
        </row>
        <row r="35596">
          <cell r="O35596" t="str">
            <v/>
          </cell>
        </row>
        <row r="35597">
          <cell r="O35597" t="str">
            <v/>
          </cell>
        </row>
        <row r="35598">
          <cell r="O35598" t="str">
            <v/>
          </cell>
        </row>
        <row r="35599">
          <cell r="O35599" t="str">
            <v/>
          </cell>
        </row>
        <row r="35600">
          <cell r="O35600" t="str">
            <v/>
          </cell>
        </row>
        <row r="35601">
          <cell r="O35601" t="str">
            <v/>
          </cell>
        </row>
        <row r="35602">
          <cell r="O35602" t="str">
            <v/>
          </cell>
        </row>
        <row r="35603">
          <cell r="O35603" t="str">
            <v/>
          </cell>
        </row>
        <row r="35604">
          <cell r="O35604" t="str">
            <v/>
          </cell>
        </row>
        <row r="35605">
          <cell r="O35605" t="str">
            <v/>
          </cell>
        </row>
        <row r="35606">
          <cell r="O35606" t="str">
            <v/>
          </cell>
        </row>
        <row r="35607">
          <cell r="O35607" t="str">
            <v/>
          </cell>
        </row>
        <row r="35608">
          <cell r="O35608" t="str">
            <v/>
          </cell>
        </row>
        <row r="35609">
          <cell r="O35609" t="str">
            <v/>
          </cell>
        </row>
        <row r="35610">
          <cell r="O35610" t="str">
            <v/>
          </cell>
        </row>
        <row r="35611">
          <cell r="O35611" t="str">
            <v/>
          </cell>
        </row>
        <row r="35612">
          <cell r="O35612" t="str">
            <v/>
          </cell>
        </row>
        <row r="35613">
          <cell r="O35613" t="str">
            <v/>
          </cell>
        </row>
        <row r="35614">
          <cell r="O35614" t="str">
            <v/>
          </cell>
        </row>
        <row r="35615">
          <cell r="O35615" t="str">
            <v/>
          </cell>
        </row>
        <row r="35616">
          <cell r="O35616" t="str">
            <v/>
          </cell>
        </row>
        <row r="35617">
          <cell r="O35617" t="str">
            <v/>
          </cell>
        </row>
        <row r="35618">
          <cell r="O35618" t="str">
            <v/>
          </cell>
        </row>
        <row r="35619">
          <cell r="O35619" t="str">
            <v/>
          </cell>
        </row>
        <row r="35620">
          <cell r="O35620" t="str">
            <v/>
          </cell>
        </row>
        <row r="35621">
          <cell r="O35621" t="str">
            <v/>
          </cell>
        </row>
        <row r="35622">
          <cell r="O35622" t="str">
            <v/>
          </cell>
        </row>
        <row r="35623">
          <cell r="O35623" t="str">
            <v/>
          </cell>
        </row>
        <row r="35624">
          <cell r="O35624" t="str">
            <v/>
          </cell>
        </row>
        <row r="35625">
          <cell r="O35625" t="str">
            <v/>
          </cell>
        </row>
        <row r="35626">
          <cell r="O35626" t="str">
            <v/>
          </cell>
        </row>
        <row r="35627">
          <cell r="O35627" t="str">
            <v/>
          </cell>
        </row>
        <row r="35628">
          <cell r="O35628" t="str">
            <v/>
          </cell>
        </row>
        <row r="35629">
          <cell r="O35629" t="str">
            <v/>
          </cell>
        </row>
        <row r="35630">
          <cell r="O35630" t="str">
            <v/>
          </cell>
        </row>
        <row r="35631">
          <cell r="O35631" t="str">
            <v/>
          </cell>
        </row>
        <row r="35632">
          <cell r="O35632" t="str">
            <v/>
          </cell>
        </row>
        <row r="35633">
          <cell r="O35633" t="str">
            <v/>
          </cell>
        </row>
        <row r="35634">
          <cell r="O35634" t="str">
            <v/>
          </cell>
        </row>
        <row r="35635">
          <cell r="O35635" t="str">
            <v/>
          </cell>
        </row>
        <row r="35636">
          <cell r="O35636" t="str">
            <v/>
          </cell>
        </row>
        <row r="35637">
          <cell r="O35637" t="str">
            <v/>
          </cell>
        </row>
        <row r="35638">
          <cell r="O35638" t="str">
            <v/>
          </cell>
        </row>
        <row r="35639">
          <cell r="O35639" t="str">
            <v/>
          </cell>
        </row>
        <row r="35640">
          <cell r="O35640" t="str">
            <v/>
          </cell>
        </row>
        <row r="35641">
          <cell r="O35641" t="str">
            <v/>
          </cell>
        </row>
        <row r="35642">
          <cell r="O35642" t="str">
            <v/>
          </cell>
        </row>
        <row r="35643">
          <cell r="O35643" t="str">
            <v/>
          </cell>
        </row>
        <row r="35644">
          <cell r="O35644" t="str">
            <v/>
          </cell>
        </row>
        <row r="35645">
          <cell r="O35645" t="str">
            <v/>
          </cell>
        </row>
        <row r="35646">
          <cell r="O35646" t="str">
            <v/>
          </cell>
        </row>
        <row r="35647">
          <cell r="O35647" t="str">
            <v/>
          </cell>
        </row>
        <row r="35648">
          <cell r="O35648" t="str">
            <v/>
          </cell>
        </row>
        <row r="35649">
          <cell r="O35649" t="str">
            <v/>
          </cell>
        </row>
        <row r="35650">
          <cell r="O35650" t="str">
            <v/>
          </cell>
        </row>
        <row r="35651">
          <cell r="O35651" t="str">
            <v/>
          </cell>
        </row>
        <row r="35652">
          <cell r="O35652" t="str">
            <v/>
          </cell>
        </row>
        <row r="35653">
          <cell r="O35653" t="str">
            <v/>
          </cell>
        </row>
        <row r="35654">
          <cell r="O35654" t="str">
            <v/>
          </cell>
        </row>
        <row r="35655">
          <cell r="O35655" t="str">
            <v/>
          </cell>
        </row>
        <row r="35656">
          <cell r="O35656" t="str">
            <v/>
          </cell>
        </row>
        <row r="35657">
          <cell r="O35657" t="str">
            <v/>
          </cell>
        </row>
        <row r="35658">
          <cell r="O35658" t="str">
            <v/>
          </cell>
        </row>
        <row r="35659">
          <cell r="O35659" t="str">
            <v/>
          </cell>
        </row>
        <row r="35660">
          <cell r="O35660" t="str">
            <v/>
          </cell>
        </row>
        <row r="35661">
          <cell r="O35661" t="str">
            <v/>
          </cell>
        </row>
        <row r="35662">
          <cell r="O35662" t="str">
            <v/>
          </cell>
        </row>
        <row r="35663">
          <cell r="O35663" t="str">
            <v/>
          </cell>
        </row>
        <row r="35664">
          <cell r="O35664" t="str">
            <v/>
          </cell>
        </row>
        <row r="35665">
          <cell r="O35665" t="str">
            <v/>
          </cell>
        </row>
        <row r="35666">
          <cell r="O35666" t="str">
            <v/>
          </cell>
        </row>
        <row r="35667">
          <cell r="O35667" t="str">
            <v/>
          </cell>
        </row>
        <row r="35668">
          <cell r="O35668" t="str">
            <v/>
          </cell>
        </row>
        <row r="35669">
          <cell r="O35669" t="str">
            <v/>
          </cell>
        </row>
        <row r="35670">
          <cell r="O35670" t="str">
            <v/>
          </cell>
        </row>
        <row r="35671">
          <cell r="O35671" t="str">
            <v/>
          </cell>
        </row>
        <row r="35672">
          <cell r="O35672" t="str">
            <v/>
          </cell>
        </row>
        <row r="35673">
          <cell r="O35673" t="str">
            <v/>
          </cell>
        </row>
        <row r="35674">
          <cell r="O35674" t="str">
            <v/>
          </cell>
        </row>
        <row r="35675">
          <cell r="O35675" t="str">
            <v/>
          </cell>
        </row>
        <row r="35676">
          <cell r="O35676" t="str">
            <v/>
          </cell>
        </row>
        <row r="35677">
          <cell r="O35677" t="str">
            <v/>
          </cell>
        </row>
        <row r="35678">
          <cell r="O35678" t="str">
            <v/>
          </cell>
        </row>
        <row r="35679">
          <cell r="O35679" t="str">
            <v/>
          </cell>
        </row>
        <row r="35680">
          <cell r="O35680" t="str">
            <v/>
          </cell>
        </row>
        <row r="35681">
          <cell r="O35681" t="str">
            <v/>
          </cell>
        </row>
        <row r="35682">
          <cell r="O35682" t="str">
            <v/>
          </cell>
        </row>
        <row r="35683">
          <cell r="O35683" t="str">
            <v/>
          </cell>
        </row>
        <row r="35684">
          <cell r="O35684" t="str">
            <v/>
          </cell>
        </row>
        <row r="35685">
          <cell r="O35685" t="str">
            <v/>
          </cell>
        </row>
        <row r="35686">
          <cell r="O35686" t="str">
            <v/>
          </cell>
        </row>
        <row r="35687">
          <cell r="O35687" t="str">
            <v/>
          </cell>
        </row>
        <row r="35688">
          <cell r="O35688" t="str">
            <v/>
          </cell>
        </row>
        <row r="35689">
          <cell r="O35689" t="str">
            <v/>
          </cell>
        </row>
        <row r="35690">
          <cell r="O35690" t="str">
            <v/>
          </cell>
        </row>
        <row r="35691">
          <cell r="O35691" t="str">
            <v/>
          </cell>
        </row>
        <row r="35692">
          <cell r="O35692" t="str">
            <v/>
          </cell>
        </row>
        <row r="35693">
          <cell r="O35693" t="str">
            <v/>
          </cell>
        </row>
        <row r="35694">
          <cell r="O35694" t="str">
            <v/>
          </cell>
        </row>
        <row r="35695">
          <cell r="O35695" t="str">
            <v/>
          </cell>
        </row>
        <row r="35696">
          <cell r="O35696" t="str">
            <v/>
          </cell>
        </row>
        <row r="35697">
          <cell r="O35697" t="str">
            <v/>
          </cell>
        </row>
        <row r="35698">
          <cell r="O35698" t="str">
            <v/>
          </cell>
        </row>
        <row r="35699">
          <cell r="O35699" t="str">
            <v/>
          </cell>
        </row>
        <row r="35700">
          <cell r="O35700" t="str">
            <v/>
          </cell>
        </row>
        <row r="35701">
          <cell r="O35701" t="str">
            <v/>
          </cell>
        </row>
        <row r="35702">
          <cell r="O35702" t="str">
            <v/>
          </cell>
        </row>
        <row r="35703">
          <cell r="O35703" t="str">
            <v/>
          </cell>
        </row>
        <row r="35704">
          <cell r="O35704" t="str">
            <v/>
          </cell>
        </row>
        <row r="35705">
          <cell r="O35705" t="str">
            <v/>
          </cell>
        </row>
        <row r="35706">
          <cell r="O35706" t="str">
            <v/>
          </cell>
        </row>
        <row r="35707">
          <cell r="O35707" t="str">
            <v/>
          </cell>
        </row>
        <row r="35708">
          <cell r="O35708" t="str">
            <v/>
          </cell>
        </row>
        <row r="35709">
          <cell r="O35709" t="str">
            <v/>
          </cell>
        </row>
        <row r="35710">
          <cell r="O35710" t="str">
            <v/>
          </cell>
        </row>
        <row r="35711">
          <cell r="O35711" t="str">
            <v/>
          </cell>
        </row>
        <row r="35712">
          <cell r="O35712" t="str">
            <v/>
          </cell>
        </row>
        <row r="35713">
          <cell r="O35713" t="str">
            <v/>
          </cell>
        </row>
        <row r="35714">
          <cell r="O35714" t="str">
            <v/>
          </cell>
        </row>
        <row r="35715">
          <cell r="O35715" t="str">
            <v/>
          </cell>
        </row>
        <row r="35716">
          <cell r="O35716" t="str">
            <v/>
          </cell>
        </row>
        <row r="35717">
          <cell r="O35717" t="str">
            <v/>
          </cell>
        </row>
        <row r="35718">
          <cell r="O35718" t="str">
            <v/>
          </cell>
        </row>
        <row r="35719">
          <cell r="O35719" t="str">
            <v/>
          </cell>
        </row>
        <row r="35720">
          <cell r="O35720" t="str">
            <v/>
          </cell>
        </row>
        <row r="35721">
          <cell r="O35721" t="str">
            <v/>
          </cell>
        </row>
        <row r="35722">
          <cell r="O35722" t="str">
            <v/>
          </cell>
        </row>
        <row r="35723">
          <cell r="O35723" t="str">
            <v/>
          </cell>
        </row>
        <row r="35724">
          <cell r="O35724" t="str">
            <v/>
          </cell>
        </row>
        <row r="35725">
          <cell r="O35725" t="str">
            <v/>
          </cell>
        </row>
        <row r="35726">
          <cell r="O35726" t="str">
            <v/>
          </cell>
        </row>
        <row r="35727">
          <cell r="O35727" t="str">
            <v/>
          </cell>
        </row>
        <row r="35728">
          <cell r="O35728" t="str">
            <v/>
          </cell>
        </row>
        <row r="35729">
          <cell r="O35729" t="str">
            <v/>
          </cell>
        </row>
        <row r="35730">
          <cell r="O35730" t="str">
            <v/>
          </cell>
        </row>
        <row r="35731">
          <cell r="O35731" t="str">
            <v/>
          </cell>
        </row>
        <row r="35732">
          <cell r="O35732" t="str">
            <v/>
          </cell>
        </row>
        <row r="35733">
          <cell r="O35733" t="str">
            <v/>
          </cell>
        </row>
        <row r="35734">
          <cell r="O35734" t="str">
            <v/>
          </cell>
        </row>
        <row r="35735">
          <cell r="O35735" t="str">
            <v/>
          </cell>
        </row>
        <row r="35736">
          <cell r="O35736" t="str">
            <v/>
          </cell>
        </row>
        <row r="35737">
          <cell r="O35737" t="str">
            <v/>
          </cell>
        </row>
        <row r="35738">
          <cell r="O35738" t="str">
            <v/>
          </cell>
        </row>
        <row r="35739">
          <cell r="O35739" t="str">
            <v/>
          </cell>
        </row>
        <row r="35740">
          <cell r="O35740" t="str">
            <v/>
          </cell>
        </row>
        <row r="35741">
          <cell r="O35741" t="str">
            <v/>
          </cell>
        </row>
        <row r="35742">
          <cell r="O35742" t="str">
            <v/>
          </cell>
        </row>
        <row r="35743">
          <cell r="O35743" t="str">
            <v/>
          </cell>
        </row>
        <row r="35744">
          <cell r="O35744" t="str">
            <v/>
          </cell>
        </row>
        <row r="35745">
          <cell r="O35745" t="str">
            <v/>
          </cell>
        </row>
        <row r="35746">
          <cell r="O35746" t="str">
            <v/>
          </cell>
        </row>
        <row r="35747">
          <cell r="O35747" t="str">
            <v/>
          </cell>
        </row>
        <row r="35748">
          <cell r="O35748" t="str">
            <v/>
          </cell>
        </row>
        <row r="35749">
          <cell r="O35749" t="str">
            <v/>
          </cell>
        </row>
        <row r="35750">
          <cell r="O35750" t="str">
            <v/>
          </cell>
        </row>
        <row r="35751">
          <cell r="O35751" t="str">
            <v/>
          </cell>
        </row>
        <row r="35752">
          <cell r="O35752" t="str">
            <v/>
          </cell>
        </row>
        <row r="35753">
          <cell r="O35753" t="str">
            <v/>
          </cell>
        </row>
        <row r="35754">
          <cell r="O35754" t="str">
            <v/>
          </cell>
        </row>
        <row r="35755">
          <cell r="O35755" t="str">
            <v/>
          </cell>
        </row>
        <row r="35756">
          <cell r="O35756" t="str">
            <v/>
          </cell>
        </row>
        <row r="35757">
          <cell r="O35757" t="str">
            <v/>
          </cell>
        </row>
        <row r="35758">
          <cell r="O35758" t="str">
            <v/>
          </cell>
        </row>
        <row r="35759">
          <cell r="O35759" t="str">
            <v/>
          </cell>
        </row>
        <row r="35760">
          <cell r="O35760" t="str">
            <v/>
          </cell>
        </row>
        <row r="35761">
          <cell r="O35761" t="str">
            <v/>
          </cell>
        </row>
        <row r="35762">
          <cell r="O35762" t="str">
            <v/>
          </cell>
        </row>
        <row r="35763">
          <cell r="O35763" t="str">
            <v/>
          </cell>
        </row>
        <row r="35764">
          <cell r="O35764" t="str">
            <v/>
          </cell>
        </row>
        <row r="35765">
          <cell r="O35765" t="str">
            <v/>
          </cell>
        </row>
        <row r="35766">
          <cell r="O35766" t="str">
            <v/>
          </cell>
        </row>
        <row r="35767">
          <cell r="O35767" t="str">
            <v/>
          </cell>
        </row>
        <row r="35768">
          <cell r="O35768" t="str">
            <v/>
          </cell>
        </row>
        <row r="35769">
          <cell r="O35769" t="str">
            <v/>
          </cell>
        </row>
        <row r="35770">
          <cell r="O35770" t="str">
            <v/>
          </cell>
        </row>
        <row r="35771">
          <cell r="O35771" t="str">
            <v/>
          </cell>
        </row>
        <row r="35772">
          <cell r="O35772" t="str">
            <v/>
          </cell>
        </row>
        <row r="35773">
          <cell r="O35773" t="str">
            <v/>
          </cell>
        </row>
        <row r="35774">
          <cell r="O35774" t="str">
            <v/>
          </cell>
        </row>
        <row r="35775">
          <cell r="O35775" t="str">
            <v/>
          </cell>
        </row>
        <row r="35776">
          <cell r="O35776" t="str">
            <v/>
          </cell>
        </row>
        <row r="35777">
          <cell r="O35777" t="str">
            <v/>
          </cell>
        </row>
        <row r="35778">
          <cell r="O35778" t="str">
            <v/>
          </cell>
        </row>
        <row r="35779">
          <cell r="O35779" t="str">
            <v/>
          </cell>
        </row>
        <row r="35780">
          <cell r="O35780" t="str">
            <v/>
          </cell>
        </row>
        <row r="35781">
          <cell r="O35781" t="str">
            <v/>
          </cell>
        </row>
        <row r="35782">
          <cell r="O35782" t="str">
            <v/>
          </cell>
        </row>
        <row r="35783">
          <cell r="O35783" t="str">
            <v/>
          </cell>
        </row>
        <row r="35784">
          <cell r="O35784" t="str">
            <v/>
          </cell>
        </row>
        <row r="35785">
          <cell r="O35785" t="str">
            <v/>
          </cell>
        </row>
        <row r="35786">
          <cell r="O35786" t="str">
            <v/>
          </cell>
        </row>
        <row r="35787">
          <cell r="O35787" t="str">
            <v/>
          </cell>
        </row>
        <row r="35788">
          <cell r="O35788" t="str">
            <v/>
          </cell>
        </row>
        <row r="35789">
          <cell r="O35789" t="str">
            <v/>
          </cell>
        </row>
        <row r="35790">
          <cell r="O35790" t="str">
            <v/>
          </cell>
        </row>
        <row r="35791">
          <cell r="O35791" t="str">
            <v/>
          </cell>
        </row>
        <row r="35792">
          <cell r="O35792" t="str">
            <v/>
          </cell>
        </row>
        <row r="35793">
          <cell r="O35793" t="str">
            <v/>
          </cell>
        </row>
        <row r="35794">
          <cell r="O35794" t="str">
            <v/>
          </cell>
        </row>
        <row r="35795">
          <cell r="O35795" t="str">
            <v/>
          </cell>
        </row>
        <row r="35796">
          <cell r="O35796" t="str">
            <v/>
          </cell>
        </row>
        <row r="35797">
          <cell r="O35797" t="str">
            <v/>
          </cell>
        </row>
        <row r="35798">
          <cell r="O35798" t="str">
            <v/>
          </cell>
        </row>
        <row r="35799">
          <cell r="O35799" t="str">
            <v/>
          </cell>
        </row>
        <row r="35800">
          <cell r="O35800" t="str">
            <v/>
          </cell>
        </row>
        <row r="35801">
          <cell r="O35801" t="str">
            <v/>
          </cell>
        </row>
        <row r="35802">
          <cell r="O35802" t="str">
            <v/>
          </cell>
        </row>
        <row r="35803">
          <cell r="O35803" t="str">
            <v/>
          </cell>
        </row>
        <row r="35804">
          <cell r="O35804" t="str">
            <v/>
          </cell>
        </row>
        <row r="35805">
          <cell r="O35805" t="str">
            <v/>
          </cell>
        </row>
        <row r="35806">
          <cell r="O35806" t="str">
            <v/>
          </cell>
        </row>
        <row r="35807">
          <cell r="O35807" t="str">
            <v/>
          </cell>
        </row>
        <row r="35808">
          <cell r="O35808" t="str">
            <v/>
          </cell>
        </row>
        <row r="35809">
          <cell r="O35809" t="str">
            <v/>
          </cell>
        </row>
        <row r="35810">
          <cell r="O35810" t="str">
            <v/>
          </cell>
        </row>
        <row r="35811">
          <cell r="O35811" t="str">
            <v/>
          </cell>
        </row>
        <row r="35812">
          <cell r="O35812" t="str">
            <v/>
          </cell>
        </row>
        <row r="35813">
          <cell r="O35813" t="str">
            <v/>
          </cell>
        </row>
        <row r="35814">
          <cell r="O35814" t="str">
            <v/>
          </cell>
        </row>
        <row r="35815">
          <cell r="O35815" t="str">
            <v/>
          </cell>
        </row>
        <row r="35816">
          <cell r="O35816" t="str">
            <v/>
          </cell>
        </row>
        <row r="35817">
          <cell r="O35817" t="str">
            <v/>
          </cell>
        </row>
        <row r="35818">
          <cell r="O35818" t="str">
            <v/>
          </cell>
        </row>
        <row r="35819">
          <cell r="O35819" t="str">
            <v/>
          </cell>
        </row>
        <row r="35820">
          <cell r="O35820" t="str">
            <v/>
          </cell>
        </row>
        <row r="35821">
          <cell r="O35821" t="str">
            <v/>
          </cell>
        </row>
        <row r="35822">
          <cell r="O35822" t="str">
            <v/>
          </cell>
        </row>
        <row r="35823">
          <cell r="O35823" t="str">
            <v/>
          </cell>
        </row>
        <row r="35824">
          <cell r="O35824" t="str">
            <v/>
          </cell>
        </row>
        <row r="35825">
          <cell r="O35825" t="str">
            <v/>
          </cell>
        </row>
        <row r="35826">
          <cell r="O35826" t="str">
            <v/>
          </cell>
        </row>
        <row r="35827">
          <cell r="O35827" t="str">
            <v/>
          </cell>
        </row>
        <row r="35828">
          <cell r="O35828" t="str">
            <v/>
          </cell>
        </row>
        <row r="35829">
          <cell r="O35829" t="str">
            <v/>
          </cell>
        </row>
        <row r="35830">
          <cell r="O35830" t="str">
            <v/>
          </cell>
        </row>
        <row r="35831">
          <cell r="O35831" t="str">
            <v/>
          </cell>
        </row>
        <row r="35832">
          <cell r="O35832" t="str">
            <v/>
          </cell>
        </row>
        <row r="35833">
          <cell r="O35833" t="str">
            <v/>
          </cell>
        </row>
        <row r="35834">
          <cell r="O35834" t="str">
            <v/>
          </cell>
        </row>
        <row r="35835">
          <cell r="O35835" t="str">
            <v/>
          </cell>
        </row>
        <row r="35836">
          <cell r="O35836" t="str">
            <v/>
          </cell>
        </row>
        <row r="35837">
          <cell r="O35837" t="str">
            <v/>
          </cell>
        </row>
        <row r="35838">
          <cell r="O35838" t="str">
            <v/>
          </cell>
        </row>
        <row r="35839">
          <cell r="O35839" t="str">
            <v/>
          </cell>
        </row>
        <row r="35840">
          <cell r="O35840" t="str">
            <v/>
          </cell>
        </row>
        <row r="35841">
          <cell r="O35841" t="str">
            <v/>
          </cell>
        </row>
        <row r="35842">
          <cell r="O35842" t="str">
            <v/>
          </cell>
        </row>
        <row r="35843">
          <cell r="O35843" t="str">
            <v/>
          </cell>
        </row>
        <row r="35844">
          <cell r="O35844" t="str">
            <v/>
          </cell>
        </row>
        <row r="35845">
          <cell r="O35845" t="str">
            <v/>
          </cell>
        </row>
        <row r="35846">
          <cell r="O35846" t="str">
            <v/>
          </cell>
        </row>
        <row r="35847">
          <cell r="O35847" t="str">
            <v/>
          </cell>
        </row>
        <row r="35848">
          <cell r="O35848" t="str">
            <v/>
          </cell>
        </row>
        <row r="35849">
          <cell r="O35849" t="str">
            <v/>
          </cell>
        </row>
        <row r="35850">
          <cell r="O35850" t="str">
            <v/>
          </cell>
        </row>
        <row r="35851">
          <cell r="O35851" t="str">
            <v/>
          </cell>
        </row>
        <row r="35852">
          <cell r="O35852" t="str">
            <v/>
          </cell>
        </row>
        <row r="35853">
          <cell r="O35853" t="str">
            <v/>
          </cell>
        </row>
        <row r="35854">
          <cell r="O35854" t="str">
            <v/>
          </cell>
        </row>
        <row r="35855">
          <cell r="O35855" t="str">
            <v/>
          </cell>
        </row>
        <row r="35856">
          <cell r="O35856" t="str">
            <v/>
          </cell>
        </row>
        <row r="35857">
          <cell r="O35857" t="str">
            <v/>
          </cell>
        </row>
        <row r="35858">
          <cell r="O35858" t="str">
            <v/>
          </cell>
        </row>
        <row r="35859">
          <cell r="O35859" t="str">
            <v/>
          </cell>
        </row>
        <row r="35860">
          <cell r="O35860" t="str">
            <v/>
          </cell>
        </row>
        <row r="35861">
          <cell r="O35861" t="str">
            <v/>
          </cell>
        </row>
        <row r="35862">
          <cell r="O35862" t="str">
            <v/>
          </cell>
        </row>
        <row r="35863">
          <cell r="O35863" t="str">
            <v/>
          </cell>
        </row>
        <row r="35864">
          <cell r="O35864" t="str">
            <v/>
          </cell>
        </row>
        <row r="35865">
          <cell r="O35865" t="str">
            <v/>
          </cell>
        </row>
        <row r="35866">
          <cell r="O35866" t="str">
            <v/>
          </cell>
        </row>
        <row r="35867">
          <cell r="O35867" t="str">
            <v/>
          </cell>
        </row>
        <row r="35868">
          <cell r="O35868" t="str">
            <v/>
          </cell>
        </row>
        <row r="35869">
          <cell r="O35869" t="str">
            <v/>
          </cell>
        </row>
        <row r="35870">
          <cell r="O35870" t="str">
            <v/>
          </cell>
        </row>
        <row r="35871">
          <cell r="O35871" t="str">
            <v/>
          </cell>
        </row>
        <row r="35872">
          <cell r="O35872" t="str">
            <v/>
          </cell>
        </row>
        <row r="35873">
          <cell r="O35873" t="str">
            <v/>
          </cell>
        </row>
        <row r="35874">
          <cell r="O35874" t="str">
            <v/>
          </cell>
        </row>
        <row r="35875">
          <cell r="O35875" t="str">
            <v/>
          </cell>
        </row>
        <row r="35876">
          <cell r="O35876" t="str">
            <v/>
          </cell>
        </row>
        <row r="35877">
          <cell r="O35877" t="str">
            <v/>
          </cell>
        </row>
        <row r="35878">
          <cell r="O35878" t="str">
            <v/>
          </cell>
        </row>
        <row r="35879">
          <cell r="O35879" t="str">
            <v/>
          </cell>
        </row>
        <row r="35880">
          <cell r="O35880" t="str">
            <v/>
          </cell>
        </row>
        <row r="35881">
          <cell r="O35881" t="str">
            <v/>
          </cell>
        </row>
        <row r="35882">
          <cell r="O35882" t="str">
            <v/>
          </cell>
        </row>
        <row r="35883">
          <cell r="O35883" t="str">
            <v/>
          </cell>
        </row>
        <row r="35884">
          <cell r="O35884" t="str">
            <v/>
          </cell>
        </row>
        <row r="35885">
          <cell r="O35885" t="str">
            <v/>
          </cell>
        </row>
        <row r="35886">
          <cell r="O35886" t="str">
            <v/>
          </cell>
        </row>
        <row r="35887">
          <cell r="O35887" t="str">
            <v/>
          </cell>
        </row>
        <row r="35888">
          <cell r="O35888" t="str">
            <v/>
          </cell>
        </row>
        <row r="35889">
          <cell r="O35889" t="str">
            <v/>
          </cell>
        </row>
        <row r="35890">
          <cell r="O35890" t="str">
            <v/>
          </cell>
        </row>
        <row r="35891">
          <cell r="O35891" t="str">
            <v/>
          </cell>
        </row>
        <row r="35892">
          <cell r="O35892" t="str">
            <v/>
          </cell>
        </row>
        <row r="35893">
          <cell r="O35893" t="str">
            <v/>
          </cell>
        </row>
        <row r="35894">
          <cell r="O35894" t="str">
            <v/>
          </cell>
        </row>
        <row r="35895">
          <cell r="O35895" t="str">
            <v/>
          </cell>
        </row>
        <row r="35896">
          <cell r="O35896" t="str">
            <v/>
          </cell>
        </row>
        <row r="35897">
          <cell r="O35897" t="str">
            <v/>
          </cell>
        </row>
        <row r="35898">
          <cell r="O35898" t="str">
            <v/>
          </cell>
        </row>
        <row r="35899">
          <cell r="O35899" t="str">
            <v/>
          </cell>
        </row>
        <row r="35900">
          <cell r="O35900" t="str">
            <v/>
          </cell>
        </row>
        <row r="35901">
          <cell r="O35901" t="str">
            <v/>
          </cell>
        </row>
        <row r="35902">
          <cell r="O35902" t="str">
            <v/>
          </cell>
        </row>
        <row r="35903">
          <cell r="O35903" t="str">
            <v/>
          </cell>
        </row>
        <row r="35904">
          <cell r="O35904" t="str">
            <v/>
          </cell>
        </row>
        <row r="35905">
          <cell r="O35905" t="str">
            <v/>
          </cell>
        </row>
        <row r="35906">
          <cell r="O35906" t="str">
            <v/>
          </cell>
        </row>
        <row r="35907">
          <cell r="O35907" t="str">
            <v/>
          </cell>
        </row>
        <row r="35908">
          <cell r="O35908" t="str">
            <v/>
          </cell>
        </row>
        <row r="35909">
          <cell r="O35909" t="str">
            <v/>
          </cell>
        </row>
        <row r="35910">
          <cell r="O35910" t="str">
            <v/>
          </cell>
        </row>
        <row r="35911">
          <cell r="O35911" t="str">
            <v/>
          </cell>
        </row>
        <row r="35912">
          <cell r="O35912" t="str">
            <v/>
          </cell>
        </row>
        <row r="35913">
          <cell r="O35913" t="str">
            <v/>
          </cell>
        </row>
        <row r="35914">
          <cell r="O35914" t="str">
            <v/>
          </cell>
        </row>
        <row r="35915">
          <cell r="O35915" t="str">
            <v/>
          </cell>
        </row>
        <row r="35916">
          <cell r="O35916" t="str">
            <v/>
          </cell>
        </row>
        <row r="35917">
          <cell r="O35917" t="str">
            <v/>
          </cell>
        </row>
        <row r="35918">
          <cell r="O35918" t="str">
            <v/>
          </cell>
        </row>
        <row r="35919">
          <cell r="O35919" t="str">
            <v/>
          </cell>
        </row>
        <row r="35920">
          <cell r="O35920" t="str">
            <v/>
          </cell>
        </row>
        <row r="35921">
          <cell r="O35921" t="str">
            <v/>
          </cell>
        </row>
        <row r="35922">
          <cell r="O35922" t="str">
            <v/>
          </cell>
        </row>
        <row r="35923">
          <cell r="O35923" t="str">
            <v/>
          </cell>
        </row>
        <row r="35924">
          <cell r="O35924" t="str">
            <v/>
          </cell>
        </row>
        <row r="35925">
          <cell r="O35925" t="str">
            <v/>
          </cell>
        </row>
        <row r="35926">
          <cell r="O35926" t="str">
            <v/>
          </cell>
        </row>
        <row r="35927">
          <cell r="O35927" t="str">
            <v/>
          </cell>
        </row>
        <row r="35928">
          <cell r="O35928" t="str">
            <v/>
          </cell>
        </row>
        <row r="35929">
          <cell r="O35929" t="str">
            <v/>
          </cell>
        </row>
        <row r="35930">
          <cell r="O35930" t="str">
            <v/>
          </cell>
        </row>
        <row r="35931">
          <cell r="O35931" t="str">
            <v/>
          </cell>
        </row>
        <row r="35932">
          <cell r="O35932" t="str">
            <v/>
          </cell>
        </row>
        <row r="35933">
          <cell r="O35933" t="str">
            <v/>
          </cell>
        </row>
        <row r="35934">
          <cell r="O35934" t="str">
            <v/>
          </cell>
        </row>
        <row r="35935">
          <cell r="O35935" t="str">
            <v/>
          </cell>
        </row>
        <row r="35936">
          <cell r="O35936" t="str">
            <v/>
          </cell>
        </row>
        <row r="35937">
          <cell r="O35937" t="str">
            <v/>
          </cell>
        </row>
        <row r="35938">
          <cell r="O35938" t="str">
            <v/>
          </cell>
        </row>
        <row r="35939">
          <cell r="O35939" t="str">
            <v/>
          </cell>
        </row>
        <row r="35940">
          <cell r="O35940" t="str">
            <v/>
          </cell>
        </row>
        <row r="35941">
          <cell r="O35941" t="str">
            <v/>
          </cell>
        </row>
        <row r="35942">
          <cell r="O35942" t="str">
            <v/>
          </cell>
        </row>
        <row r="35943">
          <cell r="O35943" t="str">
            <v/>
          </cell>
        </row>
        <row r="35944">
          <cell r="O35944" t="str">
            <v/>
          </cell>
        </row>
        <row r="35945">
          <cell r="O35945" t="str">
            <v/>
          </cell>
        </row>
        <row r="35946">
          <cell r="O35946" t="str">
            <v/>
          </cell>
        </row>
        <row r="35947">
          <cell r="O35947" t="str">
            <v/>
          </cell>
        </row>
        <row r="35948">
          <cell r="O35948" t="str">
            <v/>
          </cell>
        </row>
        <row r="35949">
          <cell r="O35949" t="str">
            <v/>
          </cell>
        </row>
        <row r="35950">
          <cell r="O35950" t="str">
            <v/>
          </cell>
        </row>
        <row r="35951">
          <cell r="O35951" t="str">
            <v/>
          </cell>
        </row>
        <row r="35952">
          <cell r="O35952" t="str">
            <v/>
          </cell>
        </row>
        <row r="35953">
          <cell r="O35953" t="str">
            <v/>
          </cell>
        </row>
        <row r="35954">
          <cell r="O35954" t="str">
            <v/>
          </cell>
        </row>
        <row r="35955">
          <cell r="O35955" t="str">
            <v/>
          </cell>
        </row>
        <row r="35956">
          <cell r="O35956" t="str">
            <v/>
          </cell>
        </row>
        <row r="35957">
          <cell r="O35957" t="str">
            <v/>
          </cell>
        </row>
        <row r="35958">
          <cell r="O35958" t="str">
            <v/>
          </cell>
        </row>
        <row r="35959">
          <cell r="O35959" t="str">
            <v/>
          </cell>
        </row>
        <row r="35960">
          <cell r="O35960" t="str">
            <v/>
          </cell>
        </row>
        <row r="35961">
          <cell r="O35961" t="str">
            <v/>
          </cell>
        </row>
        <row r="35962">
          <cell r="O35962" t="str">
            <v/>
          </cell>
        </row>
        <row r="35963">
          <cell r="O35963" t="str">
            <v/>
          </cell>
        </row>
        <row r="35964">
          <cell r="O35964" t="str">
            <v/>
          </cell>
        </row>
        <row r="35965">
          <cell r="O35965" t="str">
            <v/>
          </cell>
        </row>
        <row r="35966">
          <cell r="O35966" t="str">
            <v/>
          </cell>
        </row>
        <row r="35967">
          <cell r="O35967" t="str">
            <v/>
          </cell>
        </row>
        <row r="35968">
          <cell r="O35968" t="str">
            <v/>
          </cell>
        </row>
        <row r="35969">
          <cell r="O35969" t="str">
            <v/>
          </cell>
        </row>
        <row r="35970">
          <cell r="O35970" t="str">
            <v/>
          </cell>
        </row>
        <row r="35971">
          <cell r="O35971" t="str">
            <v/>
          </cell>
        </row>
        <row r="35972">
          <cell r="O35972" t="str">
            <v/>
          </cell>
        </row>
        <row r="35973">
          <cell r="O35973" t="str">
            <v/>
          </cell>
        </row>
        <row r="35974">
          <cell r="O35974" t="str">
            <v/>
          </cell>
        </row>
        <row r="35975">
          <cell r="O35975" t="str">
            <v/>
          </cell>
        </row>
        <row r="35976">
          <cell r="O35976" t="str">
            <v/>
          </cell>
        </row>
        <row r="35977">
          <cell r="O35977" t="str">
            <v/>
          </cell>
        </row>
        <row r="35978">
          <cell r="O35978" t="str">
            <v/>
          </cell>
        </row>
        <row r="35979">
          <cell r="O35979" t="str">
            <v/>
          </cell>
        </row>
        <row r="35980">
          <cell r="O35980" t="str">
            <v/>
          </cell>
        </row>
        <row r="35981">
          <cell r="O35981" t="str">
            <v/>
          </cell>
        </row>
        <row r="35982">
          <cell r="O35982" t="str">
            <v/>
          </cell>
        </row>
        <row r="35983">
          <cell r="O35983" t="str">
            <v/>
          </cell>
        </row>
        <row r="35984">
          <cell r="O35984" t="str">
            <v/>
          </cell>
        </row>
        <row r="35985">
          <cell r="O35985" t="str">
            <v/>
          </cell>
        </row>
        <row r="35986">
          <cell r="O35986" t="str">
            <v/>
          </cell>
        </row>
        <row r="35987">
          <cell r="O35987" t="str">
            <v/>
          </cell>
        </row>
        <row r="35988">
          <cell r="O35988" t="str">
            <v/>
          </cell>
        </row>
        <row r="35989">
          <cell r="O35989" t="str">
            <v/>
          </cell>
        </row>
        <row r="35990">
          <cell r="O35990" t="str">
            <v/>
          </cell>
        </row>
        <row r="35991">
          <cell r="O35991" t="str">
            <v/>
          </cell>
        </row>
        <row r="35992">
          <cell r="O35992" t="str">
            <v/>
          </cell>
        </row>
        <row r="35993">
          <cell r="O35993" t="str">
            <v/>
          </cell>
        </row>
        <row r="35994">
          <cell r="O35994" t="str">
            <v/>
          </cell>
        </row>
        <row r="35995">
          <cell r="O35995" t="str">
            <v/>
          </cell>
        </row>
        <row r="35996">
          <cell r="O35996" t="str">
            <v/>
          </cell>
        </row>
        <row r="35997">
          <cell r="O35997" t="str">
            <v/>
          </cell>
        </row>
        <row r="35998">
          <cell r="O35998" t="str">
            <v/>
          </cell>
        </row>
        <row r="35999">
          <cell r="O35999" t="str">
            <v/>
          </cell>
        </row>
        <row r="36000">
          <cell r="O36000" t="str">
            <v/>
          </cell>
        </row>
        <row r="36001">
          <cell r="O36001" t="str">
            <v/>
          </cell>
        </row>
        <row r="36002">
          <cell r="O36002" t="str">
            <v/>
          </cell>
        </row>
        <row r="36003">
          <cell r="O36003" t="str">
            <v/>
          </cell>
        </row>
        <row r="36004">
          <cell r="O36004" t="str">
            <v/>
          </cell>
        </row>
        <row r="36005">
          <cell r="O36005" t="str">
            <v/>
          </cell>
        </row>
        <row r="36006">
          <cell r="O36006" t="str">
            <v/>
          </cell>
        </row>
        <row r="36007">
          <cell r="O36007" t="str">
            <v/>
          </cell>
        </row>
        <row r="36008">
          <cell r="O36008" t="str">
            <v/>
          </cell>
        </row>
        <row r="36009">
          <cell r="O36009" t="str">
            <v/>
          </cell>
        </row>
        <row r="36010">
          <cell r="O36010" t="str">
            <v/>
          </cell>
        </row>
        <row r="36011">
          <cell r="O36011" t="str">
            <v/>
          </cell>
        </row>
        <row r="36012">
          <cell r="O36012" t="str">
            <v/>
          </cell>
        </row>
        <row r="36013">
          <cell r="O36013" t="str">
            <v/>
          </cell>
        </row>
        <row r="36014">
          <cell r="O36014" t="str">
            <v/>
          </cell>
        </row>
        <row r="36015">
          <cell r="O36015" t="str">
            <v/>
          </cell>
        </row>
        <row r="36016">
          <cell r="O36016" t="str">
            <v/>
          </cell>
        </row>
        <row r="36017">
          <cell r="O36017" t="str">
            <v/>
          </cell>
        </row>
        <row r="36018">
          <cell r="O36018" t="str">
            <v/>
          </cell>
        </row>
        <row r="36019">
          <cell r="O36019" t="str">
            <v/>
          </cell>
        </row>
        <row r="36020">
          <cell r="O36020" t="str">
            <v/>
          </cell>
        </row>
        <row r="36021">
          <cell r="O36021" t="str">
            <v/>
          </cell>
        </row>
        <row r="36022">
          <cell r="O36022" t="str">
            <v/>
          </cell>
        </row>
        <row r="36023">
          <cell r="O36023" t="str">
            <v/>
          </cell>
        </row>
        <row r="36024">
          <cell r="O36024" t="str">
            <v/>
          </cell>
        </row>
        <row r="36025">
          <cell r="O36025" t="str">
            <v/>
          </cell>
        </row>
        <row r="36026">
          <cell r="O36026" t="str">
            <v/>
          </cell>
        </row>
        <row r="36027">
          <cell r="O36027" t="str">
            <v/>
          </cell>
        </row>
        <row r="36028">
          <cell r="O36028" t="str">
            <v/>
          </cell>
        </row>
        <row r="36029">
          <cell r="O36029" t="str">
            <v/>
          </cell>
        </row>
        <row r="36030">
          <cell r="O36030" t="str">
            <v/>
          </cell>
        </row>
        <row r="36031">
          <cell r="O36031" t="str">
            <v/>
          </cell>
        </row>
        <row r="36032">
          <cell r="O36032" t="str">
            <v/>
          </cell>
        </row>
        <row r="36033">
          <cell r="O36033" t="str">
            <v/>
          </cell>
        </row>
        <row r="36034">
          <cell r="O36034" t="str">
            <v/>
          </cell>
        </row>
        <row r="36035">
          <cell r="O36035" t="str">
            <v/>
          </cell>
        </row>
        <row r="36036">
          <cell r="O36036" t="str">
            <v/>
          </cell>
        </row>
        <row r="36037">
          <cell r="O36037" t="str">
            <v/>
          </cell>
        </row>
        <row r="36038">
          <cell r="O36038" t="str">
            <v/>
          </cell>
        </row>
        <row r="36039">
          <cell r="O36039" t="str">
            <v/>
          </cell>
        </row>
        <row r="36040">
          <cell r="O36040" t="str">
            <v/>
          </cell>
        </row>
        <row r="36041">
          <cell r="O36041" t="str">
            <v/>
          </cell>
        </row>
        <row r="36042">
          <cell r="O36042" t="str">
            <v/>
          </cell>
        </row>
        <row r="36043">
          <cell r="O36043" t="str">
            <v/>
          </cell>
        </row>
        <row r="36044">
          <cell r="O36044" t="str">
            <v/>
          </cell>
        </row>
        <row r="36045">
          <cell r="O36045" t="str">
            <v/>
          </cell>
        </row>
        <row r="36046">
          <cell r="O36046" t="str">
            <v/>
          </cell>
        </row>
        <row r="36047">
          <cell r="O36047" t="str">
            <v/>
          </cell>
        </row>
        <row r="36048">
          <cell r="O36048" t="str">
            <v/>
          </cell>
        </row>
        <row r="36049">
          <cell r="O36049" t="str">
            <v/>
          </cell>
        </row>
        <row r="36050">
          <cell r="O36050" t="str">
            <v/>
          </cell>
        </row>
        <row r="36051">
          <cell r="O36051" t="str">
            <v/>
          </cell>
        </row>
        <row r="36052">
          <cell r="O36052" t="str">
            <v/>
          </cell>
        </row>
        <row r="36053">
          <cell r="O36053" t="str">
            <v/>
          </cell>
        </row>
        <row r="36054">
          <cell r="O36054" t="str">
            <v/>
          </cell>
        </row>
        <row r="36055">
          <cell r="O36055" t="str">
            <v/>
          </cell>
        </row>
        <row r="36056">
          <cell r="O36056" t="str">
            <v/>
          </cell>
        </row>
        <row r="36057">
          <cell r="O36057" t="str">
            <v/>
          </cell>
        </row>
        <row r="36058">
          <cell r="O36058" t="str">
            <v/>
          </cell>
        </row>
        <row r="36059">
          <cell r="O36059" t="str">
            <v/>
          </cell>
        </row>
        <row r="36060">
          <cell r="O36060" t="str">
            <v/>
          </cell>
        </row>
        <row r="36061">
          <cell r="O36061" t="str">
            <v/>
          </cell>
        </row>
        <row r="36062">
          <cell r="O36062" t="str">
            <v/>
          </cell>
        </row>
        <row r="36063">
          <cell r="O36063" t="str">
            <v/>
          </cell>
        </row>
        <row r="36064">
          <cell r="O36064" t="str">
            <v/>
          </cell>
        </row>
        <row r="36065">
          <cell r="O36065" t="str">
            <v/>
          </cell>
        </row>
        <row r="36066">
          <cell r="O36066" t="str">
            <v/>
          </cell>
        </row>
        <row r="36067">
          <cell r="O36067" t="str">
            <v/>
          </cell>
        </row>
        <row r="36068">
          <cell r="O36068" t="str">
            <v/>
          </cell>
        </row>
        <row r="36069">
          <cell r="O36069" t="str">
            <v/>
          </cell>
        </row>
        <row r="36070">
          <cell r="O36070" t="str">
            <v/>
          </cell>
        </row>
        <row r="36071">
          <cell r="O36071" t="str">
            <v/>
          </cell>
        </row>
        <row r="36072">
          <cell r="O36072" t="str">
            <v/>
          </cell>
        </row>
        <row r="36073">
          <cell r="O36073" t="str">
            <v/>
          </cell>
        </row>
        <row r="36074">
          <cell r="O36074" t="str">
            <v/>
          </cell>
        </row>
        <row r="36075">
          <cell r="O36075" t="str">
            <v/>
          </cell>
        </row>
        <row r="36076">
          <cell r="O36076" t="str">
            <v/>
          </cell>
        </row>
        <row r="36077">
          <cell r="O36077" t="str">
            <v/>
          </cell>
        </row>
        <row r="36078">
          <cell r="O36078" t="str">
            <v/>
          </cell>
        </row>
        <row r="36079">
          <cell r="O36079" t="str">
            <v/>
          </cell>
        </row>
        <row r="36080">
          <cell r="O36080" t="str">
            <v/>
          </cell>
        </row>
        <row r="36081">
          <cell r="O36081" t="str">
            <v/>
          </cell>
        </row>
        <row r="36082">
          <cell r="O36082" t="str">
            <v/>
          </cell>
        </row>
        <row r="36083">
          <cell r="O36083" t="str">
            <v/>
          </cell>
        </row>
        <row r="36084">
          <cell r="O36084" t="str">
            <v/>
          </cell>
        </row>
        <row r="36085">
          <cell r="O36085" t="str">
            <v/>
          </cell>
        </row>
        <row r="36086">
          <cell r="O36086" t="str">
            <v/>
          </cell>
        </row>
        <row r="36087">
          <cell r="O36087" t="str">
            <v/>
          </cell>
        </row>
        <row r="36088">
          <cell r="O36088" t="str">
            <v/>
          </cell>
        </row>
        <row r="36089">
          <cell r="O36089" t="str">
            <v/>
          </cell>
        </row>
        <row r="36090">
          <cell r="O36090" t="str">
            <v/>
          </cell>
        </row>
        <row r="36091">
          <cell r="O36091" t="str">
            <v/>
          </cell>
        </row>
        <row r="36092">
          <cell r="O36092" t="str">
            <v/>
          </cell>
        </row>
        <row r="36093">
          <cell r="O36093" t="str">
            <v/>
          </cell>
        </row>
        <row r="36094">
          <cell r="O36094" t="str">
            <v/>
          </cell>
        </row>
        <row r="36095">
          <cell r="O36095" t="str">
            <v/>
          </cell>
        </row>
        <row r="36096">
          <cell r="O36096" t="str">
            <v/>
          </cell>
        </row>
        <row r="36097">
          <cell r="O36097" t="str">
            <v/>
          </cell>
        </row>
        <row r="36098">
          <cell r="O36098" t="str">
            <v/>
          </cell>
        </row>
        <row r="36099">
          <cell r="O36099" t="str">
            <v/>
          </cell>
        </row>
        <row r="36100">
          <cell r="O36100" t="str">
            <v/>
          </cell>
        </row>
        <row r="36101">
          <cell r="O36101" t="str">
            <v/>
          </cell>
        </row>
        <row r="36102">
          <cell r="O36102" t="str">
            <v/>
          </cell>
        </row>
        <row r="36103">
          <cell r="O36103" t="str">
            <v/>
          </cell>
        </row>
        <row r="36104">
          <cell r="O36104" t="str">
            <v/>
          </cell>
        </row>
        <row r="36105">
          <cell r="O36105" t="str">
            <v/>
          </cell>
        </row>
        <row r="36106">
          <cell r="O36106" t="str">
            <v/>
          </cell>
        </row>
        <row r="36107">
          <cell r="O36107" t="str">
            <v/>
          </cell>
        </row>
        <row r="36108">
          <cell r="O36108" t="str">
            <v/>
          </cell>
        </row>
        <row r="36109">
          <cell r="O36109" t="str">
            <v/>
          </cell>
        </row>
        <row r="36110">
          <cell r="O36110" t="str">
            <v/>
          </cell>
        </row>
        <row r="36111">
          <cell r="O36111" t="str">
            <v/>
          </cell>
        </row>
        <row r="36112">
          <cell r="O36112" t="str">
            <v/>
          </cell>
        </row>
        <row r="36113">
          <cell r="O36113" t="str">
            <v/>
          </cell>
        </row>
        <row r="36114">
          <cell r="O36114" t="str">
            <v/>
          </cell>
        </row>
        <row r="36115">
          <cell r="O36115" t="str">
            <v/>
          </cell>
        </row>
        <row r="36116">
          <cell r="O36116" t="str">
            <v/>
          </cell>
        </row>
        <row r="36117">
          <cell r="O36117" t="str">
            <v/>
          </cell>
        </row>
        <row r="36118">
          <cell r="O36118" t="str">
            <v/>
          </cell>
        </row>
        <row r="36119">
          <cell r="O36119" t="str">
            <v/>
          </cell>
        </row>
        <row r="36120">
          <cell r="O36120" t="str">
            <v/>
          </cell>
        </row>
        <row r="36121">
          <cell r="O36121" t="str">
            <v/>
          </cell>
        </row>
        <row r="36122">
          <cell r="O36122" t="str">
            <v/>
          </cell>
        </row>
        <row r="36123">
          <cell r="O36123" t="str">
            <v/>
          </cell>
        </row>
        <row r="36124">
          <cell r="O36124" t="str">
            <v/>
          </cell>
        </row>
        <row r="36125">
          <cell r="O36125" t="str">
            <v/>
          </cell>
        </row>
        <row r="36126">
          <cell r="O36126" t="str">
            <v/>
          </cell>
        </row>
        <row r="36127">
          <cell r="O36127" t="str">
            <v/>
          </cell>
        </row>
        <row r="36128">
          <cell r="O36128" t="str">
            <v/>
          </cell>
        </row>
        <row r="36129">
          <cell r="O36129" t="str">
            <v/>
          </cell>
        </row>
        <row r="36130">
          <cell r="O36130" t="str">
            <v/>
          </cell>
        </row>
        <row r="36131">
          <cell r="O36131" t="str">
            <v/>
          </cell>
        </row>
        <row r="36132">
          <cell r="O36132" t="str">
            <v/>
          </cell>
        </row>
        <row r="36133">
          <cell r="O36133" t="str">
            <v/>
          </cell>
        </row>
        <row r="36134">
          <cell r="O36134" t="str">
            <v/>
          </cell>
        </row>
        <row r="36135">
          <cell r="O36135" t="str">
            <v/>
          </cell>
        </row>
        <row r="36136">
          <cell r="O36136" t="str">
            <v/>
          </cell>
        </row>
        <row r="36137">
          <cell r="O36137" t="str">
            <v/>
          </cell>
        </row>
        <row r="36138">
          <cell r="O36138" t="str">
            <v/>
          </cell>
        </row>
        <row r="36139">
          <cell r="O36139" t="str">
            <v/>
          </cell>
        </row>
        <row r="36140">
          <cell r="O36140" t="str">
            <v/>
          </cell>
        </row>
        <row r="36141">
          <cell r="O36141" t="str">
            <v/>
          </cell>
        </row>
        <row r="36142">
          <cell r="O36142" t="str">
            <v/>
          </cell>
        </row>
        <row r="36143">
          <cell r="O36143" t="str">
            <v/>
          </cell>
        </row>
        <row r="36144">
          <cell r="O36144" t="str">
            <v/>
          </cell>
        </row>
        <row r="36145">
          <cell r="O36145" t="str">
            <v/>
          </cell>
        </row>
        <row r="36146">
          <cell r="O36146" t="str">
            <v/>
          </cell>
        </row>
        <row r="36147">
          <cell r="O36147" t="str">
            <v/>
          </cell>
        </row>
        <row r="36148">
          <cell r="O36148" t="str">
            <v/>
          </cell>
        </row>
        <row r="36149">
          <cell r="O36149" t="str">
            <v/>
          </cell>
        </row>
        <row r="36150">
          <cell r="O36150" t="str">
            <v/>
          </cell>
        </row>
        <row r="36151">
          <cell r="O36151" t="str">
            <v/>
          </cell>
        </row>
        <row r="36152">
          <cell r="O36152" t="str">
            <v/>
          </cell>
        </row>
        <row r="36153">
          <cell r="O36153" t="str">
            <v/>
          </cell>
        </row>
        <row r="36154">
          <cell r="O36154" t="str">
            <v/>
          </cell>
        </row>
        <row r="36155">
          <cell r="O36155" t="str">
            <v/>
          </cell>
        </row>
        <row r="36156">
          <cell r="O36156" t="str">
            <v/>
          </cell>
        </row>
        <row r="36157">
          <cell r="O36157" t="str">
            <v/>
          </cell>
        </row>
        <row r="36158">
          <cell r="O36158" t="str">
            <v/>
          </cell>
        </row>
        <row r="36159">
          <cell r="O36159" t="str">
            <v/>
          </cell>
        </row>
        <row r="36160">
          <cell r="O36160" t="str">
            <v/>
          </cell>
        </row>
        <row r="36161">
          <cell r="O36161" t="str">
            <v/>
          </cell>
        </row>
        <row r="36162">
          <cell r="O36162" t="str">
            <v/>
          </cell>
        </row>
        <row r="36163">
          <cell r="O36163" t="str">
            <v/>
          </cell>
        </row>
        <row r="36164">
          <cell r="O36164" t="str">
            <v/>
          </cell>
        </row>
        <row r="36165">
          <cell r="O36165" t="str">
            <v/>
          </cell>
        </row>
        <row r="36166">
          <cell r="O36166" t="str">
            <v/>
          </cell>
        </row>
        <row r="36167">
          <cell r="O36167" t="str">
            <v/>
          </cell>
        </row>
        <row r="36168">
          <cell r="O36168" t="str">
            <v/>
          </cell>
        </row>
        <row r="36169">
          <cell r="O36169" t="str">
            <v/>
          </cell>
        </row>
        <row r="36170">
          <cell r="O36170" t="str">
            <v/>
          </cell>
        </row>
        <row r="36171">
          <cell r="O36171" t="str">
            <v/>
          </cell>
        </row>
        <row r="36172">
          <cell r="O36172" t="str">
            <v/>
          </cell>
        </row>
        <row r="36173">
          <cell r="O36173" t="str">
            <v/>
          </cell>
        </row>
        <row r="36174">
          <cell r="O36174" t="str">
            <v/>
          </cell>
        </row>
        <row r="36175">
          <cell r="O36175" t="str">
            <v/>
          </cell>
        </row>
        <row r="36176">
          <cell r="O36176" t="str">
            <v/>
          </cell>
        </row>
        <row r="36177">
          <cell r="O36177" t="str">
            <v/>
          </cell>
        </row>
        <row r="36178">
          <cell r="O36178" t="str">
            <v/>
          </cell>
        </row>
        <row r="36179">
          <cell r="O36179" t="str">
            <v/>
          </cell>
        </row>
        <row r="36180">
          <cell r="O36180" t="str">
            <v/>
          </cell>
        </row>
        <row r="36181">
          <cell r="O36181" t="str">
            <v/>
          </cell>
        </row>
        <row r="36182">
          <cell r="O36182" t="str">
            <v/>
          </cell>
        </row>
        <row r="36183">
          <cell r="O36183" t="str">
            <v/>
          </cell>
        </row>
        <row r="36184">
          <cell r="O36184" t="str">
            <v/>
          </cell>
        </row>
        <row r="36185">
          <cell r="O36185" t="str">
            <v/>
          </cell>
        </row>
        <row r="36186">
          <cell r="O36186" t="str">
            <v/>
          </cell>
        </row>
        <row r="36187">
          <cell r="O36187" t="str">
            <v/>
          </cell>
        </row>
        <row r="36188">
          <cell r="O36188" t="str">
            <v/>
          </cell>
        </row>
        <row r="36189">
          <cell r="O36189" t="str">
            <v/>
          </cell>
        </row>
        <row r="36190">
          <cell r="O36190" t="str">
            <v/>
          </cell>
        </row>
        <row r="36191">
          <cell r="O36191" t="str">
            <v/>
          </cell>
        </row>
        <row r="36192">
          <cell r="O36192" t="str">
            <v/>
          </cell>
        </row>
        <row r="36193">
          <cell r="O36193" t="str">
            <v/>
          </cell>
        </row>
        <row r="36194">
          <cell r="O36194" t="str">
            <v/>
          </cell>
        </row>
        <row r="36195">
          <cell r="O36195" t="str">
            <v/>
          </cell>
        </row>
        <row r="36196">
          <cell r="O36196" t="str">
            <v/>
          </cell>
        </row>
        <row r="36197">
          <cell r="O36197" t="str">
            <v/>
          </cell>
        </row>
        <row r="36198">
          <cell r="O36198" t="str">
            <v/>
          </cell>
        </row>
        <row r="36199">
          <cell r="O36199" t="str">
            <v/>
          </cell>
        </row>
        <row r="36200">
          <cell r="O36200" t="str">
            <v/>
          </cell>
        </row>
        <row r="36201">
          <cell r="O36201" t="str">
            <v/>
          </cell>
        </row>
        <row r="36202">
          <cell r="O36202" t="str">
            <v/>
          </cell>
        </row>
        <row r="36203">
          <cell r="O36203" t="str">
            <v/>
          </cell>
        </row>
        <row r="36204">
          <cell r="O36204" t="str">
            <v/>
          </cell>
        </row>
        <row r="36205">
          <cell r="O36205" t="str">
            <v/>
          </cell>
        </row>
        <row r="36206">
          <cell r="O36206" t="str">
            <v/>
          </cell>
        </row>
        <row r="36207">
          <cell r="O36207" t="str">
            <v/>
          </cell>
        </row>
        <row r="36208">
          <cell r="O36208" t="str">
            <v/>
          </cell>
        </row>
        <row r="36209">
          <cell r="O36209" t="str">
            <v/>
          </cell>
        </row>
        <row r="36210">
          <cell r="O36210" t="str">
            <v/>
          </cell>
        </row>
        <row r="36211">
          <cell r="O36211" t="str">
            <v/>
          </cell>
        </row>
        <row r="36212">
          <cell r="O36212" t="str">
            <v/>
          </cell>
        </row>
        <row r="36213">
          <cell r="O36213" t="str">
            <v/>
          </cell>
        </row>
        <row r="36214">
          <cell r="O36214" t="str">
            <v/>
          </cell>
        </row>
        <row r="36215">
          <cell r="O36215" t="str">
            <v/>
          </cell>
        </row>
        <row r="36216">
          <cell r="O36216" t="str">
            <v/>
          </cell>
        </row>
        <row r="36217">
          <cell r="O36217" t="str">
            <v/>
          </cell>
        </row>
        <row r="36218">
          <cell r="O36218" t="str">
            <v/>
          </cell>
        </row>
        <row r="36219">
          <cell r="O36219" t="str">
            <v/>
          </cell>
        </row>
        <row r="36220">
          <cell r="O36220" t="str">
            <v/>
          </cell>
        </row>
        <row r="36221">
          <cell r="O36221" t="str">
            <v/>
          </cell>
        </row>
        <row r="36222">
          <cell r="O36222" t="str">
            <v/>
          </cell>
        </row>
        <row r="36223">
          <cell r="O36223" t="str">
            <v/>
          </cell>
        </row>
        <row r="36224">
          <cell r="O36224" t="str">
            <v/>
          </cell>
        </row>
        <row r="36225">
          <cell r="O36225" t="str">
            <v/>
          </cell>
        </row>
        <row r="36226">
          <cell r="O36226" t="str">
            <v/>
          </cell>
        </row>
        <row r="36227">
          <cell r="O36227" t="str">
            <v/>
          </cell>
        </row>
        <row r="36228">
          <cell r="O36228" t="str">
            <v/>
          </cell>
        </row>
        <row r="36229">
          <cell r="O36229" t="str">
            <v/>
          </cell>
        </row>
        <row r="36230">
          <cell r="O36230" t="str">
            <v/>
          </cell>
        </row>
        <row r="36231">
          <cell r="O36231" t="str">
            <v/>
          </cell>
        </row>
        <row r="36232">
          <cell r="O36232" t="str">
            <v/>
          </cell>
        </row>
        <row r="36233">
          <cell r="O36233" t="str">
            <v/>
          </cell>
        </row>
        <row r="36234">
          <cell r="O36234" t="str">
            <v/>
          </cell>
        </row>
        <row r="36235">
          <cell r="O36235" t="str">
            <v/>
          </cell>
        </row>
        <row r="36236">
          <cell r="O36236" t="str">
            <v/>
          </cell>
        </row>
        <row r="36237">
          <cell r="O36237" t="str">
            <v/>
          </cell>
        </row>
        <row r="36238">
          <cell r="O36238" t="str">
            <v/>
          </cell>
        </row>
        <row r="36239">
          <cell r="O36239" t="str">
            <v/>
          </cell>
        </row>
        <row r="36240">
          <cell r="O36240" t="str">
            <v/>
          </cell>
        </row>
        <row r="36241">
          <cell r="O36241" t="str">
            <v/>
          </cell>
        </row>
        <row r="36242">
          <cell r="O36242" t="str">
            <v/>
          </cell>
        </row>
        <row r="36243">
          <cell r="O36243" t="str">
            <v/>
          </cell>
        </row>
        <row r="36244">
          <cell r="O36244" t="str">
            <v/>
          </cell>
        </row>
        <row r="36245">
          <cell r="O36245" t="str">
            <v/>
          </cell>
        </row>
        <row r="36246">
          <cell r="O36246" t="str">
            <v/>
          </cell>
        </row>
        <row r="36247">
          <cell r="O36247" t="str">
            <v/>
          </cell>
        </row>
        <row r="36248">
          <cell r="O36248" t="str">
            <v/>
          </cell>
        </row>
        <row r="36249">
          <cell r="O36249" t="str">
            <v/>
          </cell>
        </row>
        <row r="36250">
          <cell r="O36250" t="str">
            <v/>
          </cell>
        </row>
        <row r="36251">
          <cell r="O36251" t="str">
            <v/>
          </cell>
        </row>
        <row r="36252">
          <cell r="O36252" t="str">
            <v/>
          </cell>
        </row>
        <row r="36253">
          <cell r="O36253" t="str">
            <v/>
          </cell>
        </row>
        <row r="36254">
          <cell r="O36254" t="str">
            <v/>
          </cell>
        </row>
        <row r="36255">
          <cell r="O36255" t="str">
            <v/>
          </cell>
        </row>
        <row r="36256">
          <cell r="O36256" t="str">
            <v/>
          </cell>
        </row>
        <row r="36257">
          <cell r="O36257" t="str">
            <v/>
          </cell>
        </row>
        <row r="36258">
          <cell r="O36258" t="str">
            <v/>
          </cell>
        </row>
        <row r="36259">
          <cell r="O36259" t="str">
            <v/>
          </cell>
        </row>
        <row r="36260">
          <cell r="O36260" t="str">
            <v/>
          </cell>
        </row>
        <row r="36261">
          <cell r="O36261" t="str">
            <v/>
          </cell>
        </row>
        <row r="36262">
          <cell r="O36262" t="str">
            <v/>
          </cell>
        </row>
        <row r="36263">
          <cell r="O36263" t="str">
            <v/>
          </cell>
        </row>
        <row r="36264">
          <cell r="O36264" t="str">
            <v/>
          </cell>
        </row>
        <row r="36265">
          <cell r="O36265" t="str">
            <v/>
          </cell>
        </row>
        <row r="36266">
          <cell r="O36266" t="str">
            <v/>
          </cell>
        </row>
        <row r="36267">
          <cell r="O36267" t="str">
            <v/>
          </cell>
        </row>
        <row r="36268">
          <cell r="O36268" t="str">
            <v/>
          </cell>
        </row>
        <row r="36269">
          <cell r="O36269" t="str">
            <v/>
          </cell>
        </row>
        <row r="36270">
          <cell r="O36270" t="str">
            <v/>
          </cell>
        </row>
        <row r="36271">
          <cell r="O36271" t="str">
            <v/>
          </cell>
        </row>
        <row r="36272">
          <cell r="O36272" t="str">
            <v/>
          </cell>
        </row>
        <row r="36273">
          <cell r="O36273" t="str">
            <v/>
          </cell>
        </row>
        <row r="36274">
          <cell r="O36274" t="str">
            <v/>
          </cell>
        </row>
        <row r="36275">
          <cell r="O36275" t="str">
            <v/>
          </cell>
        </row>
        <row r="36276">
          <cell r="O36276" t="str">
            <v/>
          </cell>
        </row>
        <row r="36277">
          <cell r="O36277" t="str">
            <v/>
          </cell>
        </row>
        <row r="36278">
          <cell r="O36278" t="str">
            <v/>
          </cell>
        </row>
        <row r="36279">
          <cell r="O36279" t="str">
            <v/>
          </cell>
        </row>
        <row r="36280">
          <cell r="O36280" t="str">
            <v/>
          </cell>
        </row>
        <row r="36281">
          <cell r="O36281" t="str">
            <v/>
          </cell>
        </row>
        <row r="36282">
          <cell r="O36282" t="str">
            <v/>
          </cell>
        </row>
        <row r="36283">
          <cell r="O36283" t="str">
            <v/>
          </cell>
        </row>
        <row r="36284">
          <cell r="O36284" t="str">
            <v/>
          </cell>
        </row>
        <row r="36285">
          <cell r="O36285" t="str">
            <v/>
          </cell>
        </row>
        <row r="36286">
          <cell r="O36286" t="str">
            <v/>
          </cell>
        </row>
        <row r="36287">
          <cell r="O36287" t="str">
            <v/>
          </cell>
        </row>
        <row r="36288">
          <cell r="O36288" t="str">
            <v/>
          </cell>
        </row>
        <row r="36289">
          <cell r="O36289" t="str">
            <v/>
          </cell>
        </row>
        <row r="36290">
          <cell r="O36290" t="str">
            <v/>
          </cell>
        </row>
        <row r="36291">
          <cell r="O36291" t="str">
            <v/>
          </cell>
        </row>
        <row r="36292">
          <cell r="O36292" t="str">
            <v/>
          </cell>
        </row>
        <row r="36293">
          <cell r="O36293" t="str">
            <v/>
          </cell>
        </row>
        <row r="36294">
          <cell r="O36294" t="str">
            <v/>
          </cell>
        </row>
        <row r="36295">
          <cell r="O36295" t="str">
            <v/>
          </cell>
        </row>
        <row r="36296">
          <cell r="O36296" t="str">
            <v/>
          </cell>
        </row>
        <row r="36297">
          <cell r="O36297" t="str">
            <v/>
          </cell>
        </row>
        <row r="36298">
          <cell r="O36298" t="str">
            <v/>
          </cell>
        </row>
        <row r="36299">
          <cell r="O36299" t="str">
            <v/>
          </cell>
        </row>
        <row r="36300">
          <cell r="O36300" t="str">
            <v/>
          </cell>
        </row>
        <row r="36301">
          <cell r="O36301" t="str">
            <v/>
          </cell>
        </row>
        <row r="36302">
          <cell r="O36302" t="str">
            <v/>
          </cell>
        </row>
        <row r="36303">
          <cell r="O36303" t="str">
            <v/>
          </cell>
        </row>
        <row r="36304">
          <cell r="O36304" t="str">
            <v/>
          </cell>
        </row>
        <row r="36305">
          <cell r="O36305" t="str">
            <v/>
          </cell>
        </row>
        <row r="36306">
          <cell r="O36306" t="str">
            <v/>
          </cell>
        </row>
        <row r="36307">
          <cell r="O36307" t="str">
            <v/>
          </cell>
        </row>
        <row r="36308">
          <cell r="O36308" t="str">
            <v/>
          </cell>
        </row>
        <row r="36309">
          <cell r="O36309" t="str">
            <v/>
          </cell>
        </row>
        <row r="36310">
          <cell r="O36310" t="str">
            <v/>
          </cell>
        </row>
        <row r="36311">
          <cell r="O36311" t="str">
            <v/>
          </cell>
        </row>
        <row r="36312">
          <cell r="O36312" t="str">
            <v/>
          </cell>
        </row>
        <row r="36313">
          <cell r="O36313" t="str">
            <v/>
          </cell>
        </row>
        <row r="36314">
          <cell r="O36314" t="str">
            <v/>
          </cell>
        </row>
        <row r="36315">
          <cell r="O36315" t="str">
            <v/>
          </cell>
        </row>
        <row r="36316">
          <cell r="O36316" t="str">
            <v/>
          </cell>
        </row>
        <row r="36317">
          <cell r="O36317" t="str">
            <v/>
          </cell>
        </row>
        <row r="36318">
          <cell r="O36318" t="str">
            <v/>
          </cell>
        </row>
        <row r="36319">
          <cell r="O36319" t="str">
            <v/>
          </cell>
        </row>
        <row r="36320">
          <cell r="O36320" t="str">
            <v/>
          </cell>
        </row>
        <row r="36321">
          <cell r="O36321" t="str">
            <v/>
          </cell>
        </row>
        <row r="36322">
          <cell r="O36322" t="str">
            <v/>
          </cell>
        </row>
        <row r="36323">
          <cell r="O36323" t="str">
            <v/>
          </cell>
        </row>
        <row r="36324">
          <cell r="O36324" t="str">
            <v/>
          </cell>
        </row>
        <row r="36325">
          <cell r="O36325" t="str">
            <v/>
          </cell>
        </row>
        <row r="36326">
          <cell r="O36326" t="str">
            <v/>
          </cell>
        </row>
        <row r="36327">
          <cell r="O36327" t="str">
            <v/>
          </cell>
        </row>
        <row r="36328">
          <cell r="O36328" t="str">
            <v/>
          </cell>
        </row>
        <row r="36329">
          <cell r="O36329" t="str">
            <v/>
          </cell>
        </row>
        <row r="36330">
          <cell r="O36330" t="str">
            <v/>
          </cell>
        </row>
        <row r="36331">
          <cell r="O36331" t="str">
            <v/>
          </cell>
        </row>
        <row r="36332">
          <cell r="O36332" t="str">
            <v/>
          </cell>
        </row>
        <row r="36333">
          <cell r="O36333" t="str">
            <v/>
          </cell>
        </row>
        <row r="36334">
          <cell r="O36334" t="str">
            <v/>
          </cell>
        </row>
        <row r="36335">
          <cell r="O36335" t="str">
            <v/>
          </cell>
        </row>
        <row r="36336">
          <cell r="O36336" t="str">
            <v/>
          </cell>
        </row>
        <row r="36337">
          <cell r="O36337" t="str">
            <v/>
          </cell>
        </row>
        <row r="36338">
          <cell r="O36338" t="str">
            <v/>
          </cell>
        </row>
        <row r="36339">
          <cell r="O36339" t="str">
            <v/>
          </cell>
        </row>
        <row r="36340">
          <cell r="O36340" t="str">
            <v/>
          </cell>
        </row>
        <row r="36341">
          <cell r="O36341" t="str">
            <v/>
          </cell>
        </row>
        <row r="36342">
          <cell r="O36342" t="str">
            <v/>
          </cell>
        </row>
        <row r="36343">
          <cell r="O36343" t="str">
            <v/>
          </cell>
        </row>
        <row r="36344">
          <cell r="O36344" t="str">
            <v/>
          </cell>
        </row>
        <row r="36345">
          <cell r="O36345" t="str">
            <v/>
          </cell>
        </row>
        <row r="36346">
          <cell r="O36346" t="str">
            <v/>
          </cell>
        </row>
        <row r="36347">
          <cell r="O36347" t="str">
            <v/>
          </cell>
        </row>
        <row r="36348">
          <cell r="O36348" t="str">
            <v/>
          </cell>
        </row>
        <row r="36349">
          <cell r="O36349" t="str">
            <v/>
          </cell>
        </row>
        <row r="36350">
          <cell r="O36350" t="str">
            <v/>
          </cell>
        </row>
        <row r="36351">
          <cell r="O36351" t="str">
            <v/>
          </cell>
        </row>
        <row r="36352">
          <cell r="O36352" t="str">
            <v/>
          </cell>
        </row>
        <row r="36353">
          <cell r="O36353" t="str">
            <v/>
          </cell>
        </row>
        <row r="36354">
          <cell r="O36354" t="str">
            <v/>
          </cell>
        </row>
        <row r="36355">
          <cell r="O36355" t="str">
            <v/>
          </cell>
        </row>
        <row r="36356">
          <cell r="O36356" t="str">
            <v/>
          </cell>
        </row>
        <row r="36357">
          <cell r="O36357" t="str">
            <v/>
          </cell>
        </row>
        <row r="36358">
          <cell r="O36358" t="str">
            <v/>
          </cell>
        </row>
        <row r="36359">
          <cell r="O36359" t="str">
            <v/>
          </cell>
        </row>
        <row r="36360">
          <cell r="O36360" t="str">
            <v/>
          </cell>
        </row>
        <row r="36361">
          <cell r="O36361" t="str">
            <v/>
          </cell>
        </row>
        <row r="36362">
          <cell r="O36362" t="str">
            <v/>
          </cell>
        </row>
        <row r="36363">
          <cell r="O36363" t="str">
            <v/>
          </cell>
        </row>
        <row r="36364">
          <cell r="O36364" t="str">
            <v/>
          </cell>
        </row>
        <row r="36365">
          <cell r="O36365" t="str">
            <v/>
          </cell>
        </row>
        <row r="36366">
          <cell r="O36366" t="str">
            <v/>
          </cell>
        </row>
        <row r="36367">
          <cell r="O36367" t="str">
            <v/>
          </cell>
        </row>
        <row r="36368">
          <cell r="O36368" t="str">
            <v/>
          </cell>
        </row>
        <row r="36369">
          <cell r="O36369" t="str">
            <v/>
          </cell>
        </row>
        <row r="36370">
          <cell r="O36370" t="str">
            <v/>
          </cell>
        </row>
        <row r="36371">
          <cell r="O36371" t="str">
            <v/>
          </cell>
        </row>
        <row r="36372">
          <cell r="O36372" t="str">
            <v/>
          </cell>
        </row>
        <row r="36373">
          <cell r="O36373" t="str">
            <v/>
          </cell>
        </row>
        <row r="36374">
          <cell r="O36374" t="str">
            <v/>
          </cell>
        </row>
        <row r="36375">
          <cell r="O36375" t="str">
            <v/>
          </cell>
        </row>
        <row r="36376">
          <cell r="O36376" t="str">
            <v/>
          </cell>
        </row>
        <row r="36377">
          <cell r="O36377" t="str">
            <v/>
          </cell>
        </row>
        <row r="36378">
          <cell r="O36378" t="str">
            <v/>
          </cell>
        </row>
        <row r="36379">
          <cell r="O36379" t="str">
            <v/>
          </cell>
        </row>
        <row r="36380">
          <cell r="O36380" t="str">
            <v/>
          </cell>
        </row>
        <row r="36381">
          <cell r="O36381" t="str">
            <v/>
          </cell>
        </row>
        <row r="36382">
          <cell r="O36382" t="str">
            <v/>
          </cell>
        </row>
        <row r="36383">
          <cell r="O36383" t="str">
            <v/>
          </cell>
        </row>
        <row r="36384">
          <cell r="O36384" t="str">
            <v/>
          </cell>
        </row>
        <row r="36385">
          <cell r="O36385" t="str">
            <v/>
          </cell>
        </row>
        <row r="36386">
          <cell r="O36386" t="str">
            <v/>
          </cell>
        </row>
        <row r="36387">
          <cell r="O36387" t="str">
            <v/>
          </cell>
        </row>
        <row r="36388">
          <cell r="O36388" t="str">
            <v/>
          </cell>
        </row>
        <row r="36389">
          <cell r="O36389" t="str">
            <v/>
          </cell>
        </row>
        <row r="36390">
          <cell r="O36390" t="str">
            <v/>
          </cell>
        </row>
        <row r="36391">
          <cell r="O36391" t="str">
            <v/>
          </cell>
        </row>
        <row r="36392">
          <cell r="O36392" t="str">
            <v/>
          </cell>
        </row>
        <row r="36393">
          <cell r="O36393" t="str">
            <v/>
          </cell>
        </row>
        <row r="36394">
          <cell r="O36394" t="str">
            <v/>
          </cell>
        </row>
        <row r="36395">
          <cell r="O36395" t="str">
            <v/>
          </cell>
        </row>
        <row r="36396">
          <cell r="O36396" t="str">
            <v/>
          </cell>
        </row>
        <row r="36397">
          <cell r="O36397" t="str">
            <v/>
          </cell>
        </row>
        <row r="36398">
          <cell r="O36398" t="str">
            <v/>
          </cell>
        </row>
        <row r="36399">
          <cell r="O36399" t="str">
            <v/>
          </cell>
        </row>
        <row r="36400">
          <cell r="O36400" t="str">
            <v/>
          </cell>
        </row>
        <row r="36401">
          <cell r="O36401" t="str">
            <v/>
          </cell>
        </row>
        <row r="36402">
          <cell r="O36402" t="str">
            <v/>
          </cell>
        </row>
        <row r="36403">
          <cell r="O36403" t="str">
            <v/>
          </cell>
        </row>
        <row r="36404">
          <cell r="O36404" t="str">
            <v/>
          </cell>
        </row>
        <row r="36405">
          <cell r="O36405" t="str">
            <v/>
          </cell>
        </row>
        <row r="36406">
          <cell r="O36406" t="str">
            <v/>
          </cell>
        </row>
        <row r="36407">
          <cell r="O36407" t="str">
            <v/>
          </cell>
        </row>
        <row r="36408">
          <cell r="O36408" t="str">
            <v/>
          </cell>
        </row>
        <row r="36409">
          <cell r="O36409" t="str">
            <v/>
          </cell>
        </row>
        <row r="36410">
          <cell r="O36410" t="str">
            <v/>
          </cell>
        </row>
        <row r="36411">
          <cell r="O36411" t="str">
            <v/>
          </cell>
        </row>
        <row r="36412">
          <cell r="O36412" t="str">
            <v/>
          </cell>
        </row>
        <row r="36413">
          <cell r="O36413" t="str">
            <v/>
          </cell>
        </row>
        <row r="36414">
          <cell r="O36414" t="str">
            <v/>
          </cell>
        </row>
        <row r="36415">
          <cell r="O36415" t="str">
            <v/>
          </cell>
        </row>
        <row r="36416">
          <cell r="O36416" t="str">
            <v/>
          </cell>
        </row>
        <row r="36417">
          <cell r="O36417" t="str">
            <v/>
          </cell>
        </row>
        <row r="36418">
          <cell r="O36418" t="str">
            <v/>
          </cell>
        </row>
        <row r="36419">
          <cell r="O36419" t="str">
            <v/>
          </cell>
        </row>
        <row r="36420">
          <cell r="O36420" t="str">
            <v/>
          </cell>
        </row>
        <row r="36421">
          <cell r="O36421" t="str">
            <v/>
          </cell>
        </row>
        <row r="36422">
          <cell r="O36422" t="str">
            <v/>
          </cell>
        </row>
        <row r="36423">
          <cell r="O36423" t="str">
            <v/>
          </cell>
        </row>
        <row r="36424">
          <cell r="O36424" t="str">
            <v/>
          </cell>
        </row>
        <row r="36425">
          <cell r="O36425" t="str">
            <v/>
          </cell>
        </row>
        <row r="36426">
          <cell r="O36426" t="str">
            <v/>
          </cell>
        </row>
        <row r="36427">
          <cell r="O36427" t="str">
            <v/>
          </cell>
        </row>
        <row r="36428">
          <cell r="O36428" t="str">
            <v/>
          </cell>
        </row>
        <row r="36429">
          <cell r="O36429" t="str">
            <v/>
          </cell>
        </row>
        <row r="36430">
          <cell r="O36430" t="str">
            <v/>
          </cell>
        </row>
        <row r="36431">
          <cell r="O36431" t="str">
            <v/>
          </cell>
        </row>
        <row r="36432">
          <cell r="O36432" t="str">
            <v/>
          </cell>
        </row>
        <row r="36433">
          <cell r="O36433" t="str">
            <v/>
          </cell>
        </row>
        <row r="36434">
          <cell r="O36434" t="str">
            <v/>
          </cell>
        </row>
        <row r="36435">
          <cell r="O36435" t="str">
            <v/>
          </cell>
        </row>
        <row r="36436">
          <cell r="O36436" t="str">
            <v/>
          </cell>
        </row>
        <row r="36437">
          <cell r="O36437" t="str">
            <v/>
          </cell>
        </row>
        <row r="36438">
          <cell r="O36438" t="str">
            <v/>
          </cell>
        </row>
        <row r="36439">
          <cell r="O36439" t="str">
            <v/>
          </cell>
        </row>
        <row r="36440">
          <cell r="O36440" t="str">
            <v/>
          </cell>
        </row>
        <row r="36441">
          <cell r="O36441" t="str">
            <v/>
          </cell>
        </row>
        <row r="36442">
          <cell r="O36442" t="str">
            <v/>
          </cell>
        </row>
        <row r="36443">
          <cell r="O36443" t="str">
            <v/>
          </cell>
        </row>
        <row r="36444">
          <cell r="O36444" t="str">
            <v/>
          </cell>
        </row>
        <row r="36445">
          <cell r="O36445" t="str">
            <v/>
          </cell>
        </row>
        <row r="36446">
          <cell r="O36446" t="str">
            <v/>
          </cell>
        </row>
        <row r="36447">
          <cell r="O36447" t="str">
            <v/>
          </cell>
        </row>
        <row r="36448">
          <cell r="O36448" t="str">
            <v/>
          </cell>
        </row>
        <row r="36449">
          <cell r="O36449" t="str">
            <v/>
          </cell>
        </row>
        <row r="36450">
          <cell r="O36450" t="str">
            <v/>
          </cell>
        </row>
        <row r="36451">
          <cell r="O36451" t="str">
            <v/>
          </cell>
        </row>
        <row r="36452">
          <cell r="O36452" t="str">
            <v/>
          </cell>
        </row>
        <row r="36453">
          <cell r="O36453" t="str">
            <v/>
          </cell>
        </row>
        <row r="36454">
          <cell r="O36454" t="str">
            <v/>
          </cell>
        </row>
        <row r="36455">
          <cell r="O36455" t="str">
            <v/>
          </cell>
        </row>
        <row r="36456">
          <cell r="O36456" t="str">
            <v/>
          </cell>
        </row>
        <row r="36457">
          <cell r="O36457" t="str">
            <v/>
          </cell>
        </row>
        <row r="36458">
          <cell r="O36458" t="str">
            <v/>
          </cell>
        </row>
        <row r="36459">
          <cell r="O36459" t="str">
            <v/>
          </cell>
        </row>
        <row r="36460">
          <cell r="O36460" t="str">
            <v/>
          </cell>
        </row>
        <row r="36461">
          <cell r="O36461" t="str">
            <v/>
          </cell>
        </row>
        <row r="36462">
          <cell r="O36462" t="str">
            <v/>
          </cell>
        </row>
        <row r="36463">
          <cell r="O36463" t="str">
            <v/>
          </cell>
        </row>
        <row r="36464">
          <cell r="O36464" t="str">
            <v/>
          </cell>
        </row>
        <row r="36465">
          <cell r="O36465" t="str">
            <v/>
          </cell>
        </row>
        <row r="36466">
          <cell r="O36466" t="str">
            <v/>
          </cell>
        </row>
        <row r="36467">
          <cell r="O36467" t="str">
            <v/>
          </cell>
        </row>
        <row r="36468">
          <cell r="O36468" t="str">
            <v/>
          </cell>
        </row>
        <row r="36469">
          <cell r="O36469" t="str">
            <v/>
          </cell>
        </row>
        <row r="36470">
          <cell r="O36470" t="str">
            <v/>
          </cell>
        </row>
        <row r="36471">
          <cell r="O36471" t="str">
            <v/>
          </cell>
        </row>
        <row r="36472">
          <cell r="O36472" t="str">
            <v/>
          </cell>
        </row>
        <row r="36473">
          <cell r="O36473" t="str">
            <v/>
          </cell>
        </row>
        <row r="36474">
          <cell r="O36474" t="str">
            <v/>
          </cell>
        </row>
        <row r="36475">
          <cell r="O36475" t="str">
            <v/>
          </cell>
        </row>
        <row r="36476">
          <cell r="O36476" t="str">
            <v/>
          </cell>
        </row>
        <row r="36477">
          <cell r="O36477" t="str">
            <v/>
          </cell>
        </row>
        <row r="36478">
          <cell r="O36478" t="str">
            <v/>
          </cell>
        </row>
        <row r="36479">
          <cell r="O36479" t="str">
            <v/>
          </cell>
        </row>
        <row r="36480">
          <cell r="O36480" t="str">
            <v/>
          </cell>
        </row>
        <row r="36481">
          <cell r="O36481" t="str">
            <v/>
          </cell>
        </row>
        <row r="36482">
          <cell r="O36482" t="str">
            <v/>
          </cell>
        </row>
        <row r="36483">
          <cell r="O36483" t="str">
            <v/>
          </cell>
        </row>
        <row r="36484">
          <cell r="O36484" t="str">
            <v/>
          </cell>
        </row>
        <row r="36485">
          <cell r="O36485" t="str">
            <v/>
          </cell>
        </row>
        <row r="36486">
          <cell r="O36486" t="str">
            <v/>
          </cell>
        </row>
        <row r="36487">
          <cell r="O36487" t="str">
            <v/>
          </cell>
        </row>
        <row r="36488">
          <cell r="O36488" t="str">
            <v/>
          </cell>
        </row>
        <row r="36489">
          <cell r="O36489" t="str">
            <v/>
          </cell>
        </row>
        <row r="36490">
          <cell r="O36490" t="str">
            <v/>
          </cell>
        </row>
        <row r="36491">
          <cell r="O36491" t="str">
            <v/>
          </cell>
        </row>
        <row r="36492">
          <cell r="O36492" t="str">
            <v/>
          </cell>
        </row>
        <row r="36493">
          <cell r="O36493" t="str">
            <v/>
          </cell>
        </row>
        <row r="36494">
          <cell r="O36494" t="str">
            <v/>
          </cell>
        </row>
        <row r="36495">
          <cell r="O36495" t="str">
            <v/>
          </cell>
        </row>
        <row r="36496">
          <cell r="O36496" t="str">
            <v/>
          </cell>
        </row>
        <row r="36497">
          <cell r="O36497" t="str">
            <v/>
          </cell>
        </row>
        <row r="36498">
          <cell r="O36498" t="str">
            <v/>
          </cell>
        </row>
        <row r="36499">
          <cell r="O36499" t="str">
            <v/>
          </cell>
        </row>
        <row r="36500">
          <cell r="O36500" t="str">
            <v/>
          </cell>
        </row>
        <row r="36501">
          <cell r="O36501" t="str">
            <v/>
          </cell>
        </row>
        <row r="36502">
          <cell r="O36502" t="str">
            <v/>
          </cell>
        </row>
        <row r="36503">
          <cell r="O36503" t="str">
            <v/>
          </cell>
        </row>
        <row r="36504">
          <cell r="O36504" t="str">
            <v/>
          </cell>
        </row>
        <row r="36505">
          <cell r="O36505" t="str">
            <v/>
          </cell>
        </row>
        <row r="36506">
          <cell r="O36506" t="str">
            <v/>
          </cell>
        </row>
        <row r="36507">
          <cell r="O36507" t="str">
            <v/>
          </cell>
        </row>
        <row r="36508">
          <cell r="O36508" t="str">
            <v/>
          </cell>
        </row>
        <row r="36509">
          <cell r="O36509" t="str">
            <v/>
          </cell>
        </row>
        <row r="36510">
          <cell r="O36510" t="str">
            <v/>
          </cell>
        </row>
        <row r="36511">
          <cell r="O36511" t="str">
            <v/>
          </cell>
        </row>
        <row r="36512">
          <cell r="O36512" t="str">
            <v/>
          </cell>
        </row>
        <row r="36513">
          <cell r="O36513" t="str">
            <v/>
          </cell>
        </row>
        <row r="36514">
          <cell r="O36514" t="str">
            <v/>
          </cell>
        </row>
        <row r="36515">
          <cell r="O36515" t="str">
            <v/>
          </cell>
        </row>
        <row r="36516">
          <cell r="O36516" t="str">
            <v/>
          </cell>
        </row>
        <row r="36517">
          <cell r="O36517" t="str">
            <v/>
          </cell>
        </row>
        <row r="36518">
          <cell r="O36518" t="str">
            <v/>
          </cell>
        </row>
        <row r="36519">
          <cell r="O36519" t="str">
            <v/>
          </cell>
        </row>
        <row r="36520">
          <cell r="O36520" t="str">
            <v/>
          </cell>
        </row>
        <row r="36521">
          <cell r="O36521" t="str">
            <v/>
          </cell>
        </row>
        <row r="36522">
          <cell r="O36522" t="str">
            <v/>
          </cell>
        </row>
        <row r="36523">
          <cell r="O36523" t="str">
            <v/>
          </cell>
        </row>
        <row r="36524">
          <cell r="O36524" t="str">
            <v/>
          </cell>
        </row>
        <row r="36525">
          <cell r="O36525" t="str">
            <v/>
          </cell>
        </row>
        <row r="36526">
          <cell r="O36526" t="str">
            <v/>
          </cell>
        </row>
        <row r="36527">
          <cell r="O36527" t="str">
            <v/>
          </cell>
        </row>
        <row r="36528">
          <cell r="O36528" t="str">
            <v/>
          </cell>
        </row>
        <row r="36529">
          <cell r="O36529" t="str">
            <v/>
          </cell>
        </row>
        <row r="36530">
          <cell r="O36530" t="str">
            <v/>
          </cell>
        </row>
        <row r="36531">
          <cell r="O36531" t="str">
            <v/>
          </cell>
        </row>
        <row r="36532">
          <cell r="O36532" t="str">
            <v/>
          </cell>
        </row>
        <row r="36533">
          <cell r="O36533" t="str">
            <v/>
          </cell>
        </row>
        <row r="36534">
          <cell r="O36534" t="str">
            <v/>
          </cell>
        </row>
        <row r="36535">
          <cell r="O36535" t="str">
            <v/>
          </cell>
        </row>
        <row r="36536">
          <cell r="O36536" t="str">
            <v/>
          </cell>
        </row>
        <row r="36537">
          <cell r="O36537" t="str">
            <v/>
          </cell>
        </row>
        <row r="36538">
          <cell r="O36538" t="str">
            <v/>
          </cell>
        </row>
        <row r="36539">
          <cell r="O36539" t="str">
            <v/>
          </cell>
        </row>
        <row r="36540">
          <cell r="O36540" t="str">
            <v/>
          </cell>
        </row>
        <row r="36541">
          <cell r="O36541" t="str">
            <v/>
          </cell>
        </row>
        <row r="36542">
          <cell r="O36542" t="str">
            <v/>
          </cell>
        </row>
        <row r="36543">
          <cell r="O36543" t="str">
            <v/>
          </cell>
        </row>
        <row r="36544">
          <cell r="O36544" t="str">
            <v/>
          </cell>
        </row>
        <row r="36545">
          <cell r="O36545" t="str">
            <v/>
          </cell>
        </row>
        <row r="36546">
          <cell r="O36546" t="str">
            <v/>
          </cell>
        </row>
        <row r="36547">
          <cell r="O36547" t="str">
            <v/>
          </cell>
        </row>
        <row r="36548">
          <cell r="O36548" t="str">
            <v/>
          </cell>
        </row>
        <row r="36549">
          <cell r="O36549" t="str">
            <v/>
          </cell>
        </row>
        <row r="36550">
          <cell r="O36550" t="str">
            <v/>
          </cell>
        </row>
        <row r="36551">
          <cell r="O36551" t="str">
            <v/>
          </cell>
        </row>
        <row r="36552">
          <cell r="O36552" t="str">
            <v/>
          </cell>
        </row>
        <row r="36553">
          <cell r="O36553" t="str">
            <v/>
          </cell>
        </row>
        <row r="36554">
          <cell r="O36554" t="str">
            <v/>
          </cell>
        </row>
        <row r="36555">
          <cell r="O36555" t="str">
            <v/>
          </cell>
        </row>
        <row r="36556">
          <cell r="O36556" t="str">
            <v/>
          </cell>
        </row>
        <row r="36557">
          <cell r="O36557" t="str">
            <v/>
          </cell>
        </row>
        <row r="36558">
          <cell r="O36558" t="str">
            <v/>
          </cell>
        </row>
        <row r="36559">
          <cell r="O36559" t="str">
            <v/>
          </cell>
        </row>
        <row r="36560">
          <cell r="O36560" t="str">
            <v/>
          </cell>
        </row>
        <row r="36561">
          <cell r="O36561" t="str">
            <v/>
          </cell>
        </row>
        <row r="36562">
          <cell r="O36562" t="str">
            <v/>
          </cell>
        </row>
        <row r="36563">
          <cell r="O36563" t="str">
            <v/>
          </cell>
        </row>
        <row r="36564">
          <cell r="O36564" t="str">
            <v/>
          </cell>
        </row>
        <row r="36565">
          <cell r="O36565" t="str">
            <v/>
          </cell>
        </row>
        <row r="36566">
          <cell r="O36566" t="str">
            <v/>
          </cell>
        </row>
        <row r="36567">
          <cell r="O36567" t="str">
            <v/>
          </cell>
        </row>
        <row r="36568">
          <cell r="O36568" t="str">
            <v/>
          </cell>
        </row>
        <row r="36569">
          <cell r="O36569" t="str">
            <v/>
          </cell>
        </row>
        <row r="36570">
          <cell r="O36570" t="str">
            <v/>
          </cell>
        </row>
        <row r="36571">
          <cell r="O36571" t="str">
            <v/>
          </cell>
        </row>
        <row r="36572">
          <cell r="O36572" t="str">
            <v/>
          </cell>
        </row>
        <row r="36573">
          <cell r="O36573" t="str">
            <v/>
          </cell>
        </row>
        <row r="36574">
          <cell r="O36574" t="str">
            <v/>
          </cell>
        </row>
        <row r="36575">
          <cell r="O36575" t="str">
            <v/>
          </cell>
        </row>
        <row r="36576">
          <cell r="O36576" t="str">
            <v/>
          </cell>
        </row>
        <row r="36577">
          <cell r="O36577" t="str">
            <v/>
          </cell>
        </row>
        <row r="36578">
          <cell r="O36578" t="str">
            <v/>
          </cell>
        </row>
        <row r="36579">
          <cell r="O36579" t="str">
            <v/>
          </cell>
        </row>
        <row r="36580">
          <cell r="O36580" t="str">
            <v/>
          </cell>
        </row>
        <row r="36581">
          <cell r="O36581" t="str">
            <v/>
          </cell>
        </row>
        <row r="36582">
          <cell r="O36582" t="str">
            <v/>
          </cell>
        </row>
        <row r="36583">
          <cell r="O36583" t="str">
            <v/>
          </cell>
        </row>
        <row r="36584">
          <cell r="O36584" t="str">
            <v/>
          </cell>
        </row>
        <row r="36585">
          <cell r="O36585" t="str">
            <v/>
          </cell>
        </row>
        <row r="36586">
          <cell r="O36586" t="str">
            <v/>
          </cell>
        </row>
        <row r="36587">
          <cell r="O36587" t="str">
            <v/>
          </cell>
        </row>
        <row r="36588">
          <cell r="O36588" t="str">
            <v/>
          </cell>
        </row>
        <row r="36589">
          <cell r="O36589" t="str">
            <v/>
          </cell>
        </row>
        <row r="36590">
          <cell r="O36590" t="str">
            <v/>
          </cell>
        </row>
        <row r="36591">
          <cell r="O36591" t="str">
            <v/>
          </cell>
        </row>
        <row r="36592">
          <cell r="O36592" t="str">
            <v/>
          </cell>
        </row>
        <row r="36593">
          <cell r="O36593" t="str">
            <v/>
          </cell>
        </row>
        <row r="36594">
          <cell r="O36594" t="str">
            <v/>
          </cell>
        </row>
        <row r="36595">
          <cell r="O36595" t="str">
            <v/>
          </cell>
        </row>
        <row r="36596">
          <cell r="O36596" t="str">
            <v/>
          </cell>
        </row>
        <row r="36597">
          <cell r="O36597" t="str">
            <v/>
          </cell>
        </row>
        <row r="36598">
          <cell r="O36598" t="str">
            <v/>
          </cell>
        </row>
        <row r="36599">
          <cell r="O36599" t="str">
            <v/>
          </cell>
        </row>
        <row r="36600">
          <cell r="O36600" t="str">
            <v/>
          </cell>
        </row>
        <row r="36601">
          <cell r="O36601" t="str">
            <v/>
          </cell>
        </row>
        <row r="36602">
          <cell r="O36602" t="str">
            <v/>
          </cell>
        </row>
        <row r="36603">
          <cell r="O36603" t="str">
            <v/>
          </cell>
        </row>
        <row r="36604">
          <cell r="O36604" t="str">
            <v/>
          </cell>
        </row>
        <row r="36605">
          <cell r="O36605" t="str">
            <v/>
          </cell>
        </row>
        <row r="36606">
          <cell r="O36606" t="str">
            <v/>
          </cell>
        </row>
        <row r="36607">
          <cell r="O36607" t="str">
            <v/>
          </cell>
        </row>
        <row r="36608">
          <cell r="O36608" t="str">
            <v/>
          </cell>
        </row>
        <row r="36609">
          <cell r="O36609" t="str">
            <v/>
          </cell>
        </row>
        <row r="36610">
          <cell r="O36610" t="str">
            <v/>
          </cell>
        </row>
        <row r="36611">
          <cell r="O36611" t="str">
            <v/>
          </cell>
        </row>
        <row r="36612">
          <cell r="O36612" t="str">
            <v/>
          </cell>
        </row>
        <row r="36613">
          <cell r="O36613" t="str">
            <v/>
          </cell>
        </row>
        <row r="36614">
          <cell r="O36614" t="str">
            <v/>
          </cell>
        </row>
        <row r="36615">
          <cell r="O36615" t="str">
            <v/>
          </cell>
        </row>
        <row r="36616">
          <cell r="O36616" t="str">
            <v/>
          </cell>
        </row>
        <row r="36617">
          <cell r="O36617" t="str">
            <v/>
          </cell>
        </row>
        <row r="36618">
          <cell r="O36618" t="str">
            <v/>
          </cell>
        </row>
        <row r="36619">
          <cell r="O36619" t="str">
            <v/>
          </cell>
        </row>
        <row r="36620">
          <cell r="O36620" t="str">
            <v/>
          </cell>
        </row>
        <row r="36621">
          <cell r="O36621" t="str">
            <v/>
          </cell>
        </row>
        <row r="36622">
          <cell r="O36622" t="str">
            <v/>
          </cell>
        </row>
        <row r="36623">
          <cell r="O36623" t="str">
            <v/>
          </cell>
        </row>
        <row r="36624">
          <cell r="O36624" t="str">
            <v/>
          </cell>
        </row>
        <row r="36625">
          <cell r="O36625" t="str">
            <v/>
          </cell>
        </row>
        <row r="36626">
          <cell r="O36626" t="str">
            <v/>
          </cell>
        </row>
        <row r="36627">
          <cell r="O36627" t="str">
            <v/>
          </cell>
        </row>
        <row r="36628">
          <cell r="O36628" t="str">
            <v/>
          </cell>
        </row>
        <row r="36629">
          <cell r="O36629" t="str">
            <v/>
          </cell>
        </row>
        <row r="36630">
          <cell r="O36630" t="str">
            <v/>
          </cell>
        </row>
        <row r="36631">
          <cell r="O36631" t="str">
            <v/>
          </cell>
        </row>
        <row r="36632">
          <cell r="O36632" t="str">
            <v/>
          </cell>
        </row>
        <row r="36633">
          <cell r="O36633" t="str">
            <v/>
          </cell>
        </row>
        <row r="36634">
          <cell r="O36634" t="str">
            <v/>
          </cell>
        </row>
        <row r="36635">
          <cell r="O36635" t="str">
            <v/>
          </cell>
        </row>
        <row r="36636">
          <cell r="O36636" t="str">
            <v/>
          </cell>
        </row>
        <row r="36637">
          <cell r="O36637" t="str">
            <v/>
          </cell>
        </row>
        <row r="36638">
          <cell r="O36638" t="str">
            <v/>
          </cell>
        </row>
        <row r="36639">
          <cell r="O36639" t="str">
            <v/>
          </cell>
        </row>
        <row r="36640">
          <cell r="O36640" t="str">
            <v/>
          </cell>
        </row>
        <row r="36641">
          <cell r="O36641" t="str">
            <v/>
          </cell>
        </row>
        <row r="36642">
          <cell r="O36642" t="str">
            <v/>
          </cell>
        </row>
        <row r="36643">
          <cell r="O36643" t="str">
            <v/>
          </cell>
        </row>
        <row r="36644">
          <cell r="O36644" t="str">
            <v/>
          </cell>
        </row>
        <row r="36645">
          <cell r="O36645" t="str">
            <v/>
          </cell>
        </row>
        <row r="36646">
          <cell r="O36646" t="str">
            <v/>
          </cell>
        </row>
        <row r="36647">
          <cell r="O36647" t="str">
            <v/>
          </cell>
        </row>
        <row r="36648">
          <cell r="O36648" t="str">
            <v/>
          </cell>
        </row>
        <row r="36649">
          <cell r="O36649" t="str">
            <v/>
          </cell>
        </row>
        <row r="36650">
          <cell r="O36650" t="str">
            <v/>
          </cell>
        </row>
        <row r="36651">
          <cell r="O36651" t="str">
            <v/>
          </cell>
        </row>
        <row r="36652">
          <cell r="O36652" t="str">
            <v/>
          </cell>
        </row>
        <row r="36653">
          <cell r="O36653" t="str">
            <v/>
          </cell>
        </row>
        <row r="36654">
          <cell r="O36654" t="str">
            <v/>
          </cell>
        </row>
        <row r="36655">
          <cell r="O36655" t="str">
            <v/>
          </cell>
        </row>
        <row r="36656">
          <cell r="O36656" t="str">
            <v/>
          </cell>
        </row>
        <row r="36657">
          <cell r="O36657" t="str">
            <v/>
          </cell>
        </row>
        <row r="36658">
          <cell r="O36658" t="str">
            <v/>
          </cell>
        </row>
        <row r="36659">
          <cell r="O36659" t="str">
            <v/>
          </cell>
        </row>
        <row r="36660">
          <cell r="O36660" t="str">
            <v/>
          </cell>
        </row>
        <row r="36661">
          <cell r="O36661" t="str">
            <v/>
          </cell>
        </row>
        <row r="36662">
          <cell r="O36662" t="str">
            <v/>
          </cell>
        </row>
        <row r="36663">
          <cell r="O36663" t="str">
            <v/>
          </cell>
        </row>
        <row r="36664">
          <cell r="O36664" t="str">
            <v/>
          </cell>
        </row>
        <row r="36665">
          <cell r="O36665" t="str">
            <v/>
          </cell>
        </row>
        <row r="36666">
          <cell r="O36666" t="str">
            <v/>
          </cell>
        </row>
        <row r="36667">
          <cell r="O36667" t="str">
            <v/>
          </cell>
        </row>
        <row r="36668">
          <cell r="O36668" t="str">
            <v/>
          </cell>
        </row>
        <row r="36669">
          <cell r="O36669" t="str">
            <v/>
          </cell>
        </row>
        <row r="36670">
          <cell r="O36670" t="str">
            <v/>
          </cell>
        </row>
        <row r="36671">
          <cell r="O36671" t="str">
            <v/>
          </cell>
        </row>
        <row r="36672">
          <cell r="O36672" t="str">
            <v/>
          </cell>
        </row>
        <row r="36673">
          <cell r="O36673" t="str">
            <v/>
          </cell>
        </row>
        <row r="36674">
          <cell r="O36674" t="str">
            <v/>
          </cell>
        </row>
        <row r="36675">
          <cell r="O36675" t="str">
            <v/>
          </cell>
        </row>
        <row r="36676">
          <cell r="O36676" t="str">
            <v/>
          </cell>
        </row>
        <row r="36677">
          <cell r="O36677" t="str">
            <v/>
          </cell>
        </row>
        <row r="36678">
          <cell r="O36678" t="str">
            <v/>
          </cell>
        </row>
        <row r="36679">
          <cell r="O36679" t="str">
            <v/>
          </cell>
        </row>
        <row r="36680">
          <cell r="O36680" t="str">
            <v/>
          </cell>
        </row>
        <row r="36681">
          <cell r="O36681" t="str">
            <v/>
          </cell>
        </row>
        <row r="36682">
          <cell r="O36682" t="str">
            <v/>
          </cell>
        </row>
        <row r="36683">
          <cell r="O36683" t="str">
            <v/>
          </cell>
        </row>
        <row r="36684">
          <cell r="O36684" t="str">
            <v/>
          </cell>
        </row>
        <row r="36685">
          <cell r="O36685" t="str">
            <v/>
          </cell>
        </row>
        <row r="36686">
          <cell r="O36686" t="str">
            <v/>
          </cell>
        </row>
        <row r="36687">
          <cell r="O36687" t="str">
            <v/>
          </cell>
        </row>
        <row r="36688">
          <cell r="O36688" t="str">
            <v/>
          </cell>
        </row>
        <row r="36689">
          <cell r="O36689" t="str">
            <v/>
          </cell>
        </row>
        <row r="36690">
          <cell r="O36690" t="str">
            <v/>
          </cell>
        </row>
        <row r="36691">
          <cell r="O36691" t="str">
            <v/>
          </cell>
        </row>
        <row r="36692">
          <cell r="O36692" t="str">
            <v/>
          </cell>
        </row>
        <row r="36693">
          <cell r="O36693" t="str">
            <v/>
          </cell>
        </row>
        <row r="36694">
          <cell r="O36694" t="str">
            <v/>
          </cell>
        </row>
        <row r="36695">
          <cell r="O36695" t="str">
            <v/>
          </cell>
        </row>
        <row r="36696">
          <cell r="O36696" t="str">
            <v/>
          </cell>
        </row>
        <row r="36697">
          <cell r="O36697" t="str">
            <v/>
          </cell>
        </row>
        <row r="36698">
          <cell r="O36698" t="str">
            <v/>
          </cell>
        </row>
        <row r="36699">
          <cell r="O36699" t="str">
            <v/>
          </cell>
        </row>
        <row r="36700">
          <cell r="O36700" t="str">
            <v/>
          </cell>
        </row>
        <row r="36701">
          <cell r="O36701" t="str">
            <v/>
          </cell>
        </row>
        <row r="36702">
          <cell r="O36702" t="str">
            <v/>
          </cell>
        </row>
        <row r="36703">
          <cell r="O36703" t="str">
            <v/>
          </cell>
        </row>
        <row r="36704">
          <cell r="O36704" t="str">
            <v/>
          </cell>
        </row>
        <row r="36705">
          <cell r="O36705" t="str">
            <v/>
          </cell>
        </row>
        <row r="36706">
          <cell r="O36706" t="str">
            <v/>
          </cell>
        </row>
        <row r="36707">
          <cell r="O36707" t="str">
            <v/>
          </cell>
        </row>
        <row r="36708">
          <cell r="O36708" t="str">
            <v/>
          </cell>
        </row>
        <row r="36709">
          <cell r="O36709" t="str">
            <v/>
          </cell>
        </row>
        <row r="36710">
          <cell r="O36710" t="str">
            <v/>
          </cell>
        </row>
        <row r="36711">
          <cell r="O36711" t="str">
            <v/>
          </cell>
        </row>
        <row r="36712">
          <cell r="O36712" t="str">
            <v/>
          </cell>
        </row>
        <row r="36713">
          <cell r="O36713" t="str">
            <v/>
          </cell>
        </row>
        <row r="36714">
          <cell r="O36714" t="str">
            <v/>
          </cell>
        </row>
        <row r="36715">
          <cell r="O36715" t="str">
            <v/>
          </cell>
        </row>
        <row r="36716">
          <cell r="O36716" t="str">
            <v/>
          </cell>
        </row>
        <row r="36717">
          <cell r="O36717" t="str">
            <v/>
          </cell>
        </row>
        <row r="36718">
          <cell r="O36718" t="str">
            <v/>
          </cell>
        </row>
        <row r="36719">
          <cell r="O36719" t="str">
            <v/>
          </cell>
        </row>
        <row r="36720">
          <cell r="O36720" t="str">
            <v/>
          </cell>
        </row>
        <row r="36721">
          <cell r="O36721" t="str">
            <v/>
          </cell>
        </row>
        <row r="36722">
          <cell r="O36722" t="str">
            <v/>
          </cell>
        </row>
        <row r="36723">
          <cell r="O36723" t="str">
            <v/>
          </cell>
        </row>
        <row r="36724">
          <cell r="O36724" t="str">
            <v/>
          </cell>
        </row>
        <row r="36725">
          <cell r="O36725" t="str">
            <v/>
          </cell>
        </row>
        <row r="36726">
          <cell r="O36726" t="str">
            <v/>
          </cell>
        </row>
        <row r="36727">
          <cell r="O36727" t="str">
            <v/>
          </cell>
        </row>
        <row r="36728">
          <cell r="O36728" t="str">
            <v/>
          </cell>
        </row>
        <row r="36729">
          <cell r="O36729" t="str">
            <v/>
          </cell>
        </row>
        <row r="36730">
          <cell r="O36730" t="str">
            <v/>
          </cell>
        </row>
        <row r="36731">
          <cell r="O36731" t="str">
            <v/>
          </cell>
        </row>
        <row r="36732">
          <cell r="O36732" t="str">
            <v/>
          </cell>
        </row>
        <row r="36733">
          <cell r="O36733" t="str">
            <v/>
          </cell>
        </row>
        <row r="36734">
          <cell r="O36734" t="str">
            <v/>
          </cell>
        </row>
        <row r="36735">
          <cell r="O36735" t="str">
            <v/>
          </cell>
        </row>
        <row r="36736">
          <cell r="O36736" t="str">
            <v/>
          </cell>
        </row>
        <row r="36737">
          <cell r="O36737" t="str">
            <v/>
          </cell>
        </row>
        <row r="36738">
          <cell r="O36738" t="str">
            <v/>
          </cell>
        </row>
        <row r="36739">
          <cell r="O36739" t="str">
            <v/>
          </cell>
        </row>
        <row r="36740">
          <cell r="O36740" t="str">
            <v/>
          </cell>
        </row>
        <row r="36741">
          <cell r="O36741" t="str">
            <v/>
          </cell>
        </row>
        <row r="36742">
          <cell r="O36742" t="str">
            <v/>
          </cell>
        </row>
        <row r="36743">
          <cell r="O36743" t="str">
            <v/>
          </cell>
        </row>
        <row r="36744">
          <cell r="O36744" t="str">
            <v/>
          </cell>
        </row>
        <row r="36745">
          <cell r="O36745" t="str">
            <v/>
          </cell>
        </row>
        <row r="36746">
          <cell r="O36746" t="str">
            <v/>
          </cell>
        </row>
        <row r="36747">
          <cell r="O36747" t="str">
            <v/>
          </cell>
        </row>
        <row r="36748">
          <cell r="O36748" t="str">
            <v/>
          </cell>
        </row>
        <row r="36749">
          <cell r="O36749" t="str">
            <v/>
          </cell>
        </row>
        <row r="36750">
          <cell r="O36750" t="str">
            <v/>
          </cell>
        </row>
        <row r="36751">
          <cell r="O36751" t="str">
            <v/>
          </cell>
        </row>
        <row r="36752">
          <cell r="O36752" t="str">
            <v/>
          </cell>
        </row>
        <row r="36753">
          <cell r="O36753" t="str">
            <v/>
          </cell>
        </row>
        <row r="36754">
          <cell r="O36754" t="str">
            <v/>
          </cell>
        </row>
        <row r="36755">
          <cell r="O36755" t="str">
            <v/>
          </cell>
        </row>
        <row r="36756">
          <cell r="O36756" t="str">
            <v/>
          </cell>
        </row>
        <row r="36757">
          <cell r="O36757" t="str">
            <v/>
          </cell>
        </row>
        <row r="36758">
          <cell r="O36758" t="str">
            <v/>
          </cell>
        </row>
        <row r="36759">
          <cell r="O36759" t="str">
            <v/>
          </cell>
        </row>
        <row r="36760">
          <cell r="O36760" t="str">
            <v/>
          </cell>
        </row>
        <row r="36761">
          <cell r="O36761" t="str">
            <v/>
          </cell>
        </row>
        <row r="36762">
          <cell r="O36762" t="str">
            <v/>
          </cell>
        </row>
        <row r="36763">
          <cell r="O36763" t="str">
            <v/>
          </cell>
        </row>
        <row r="36764">
          <cell r="O36764" t="str">
            <v/>
          </cell>
        </row>
        <row r="36765">
          <cell r="O36765" t="str">
            <v/>
          </cell>
        </row>
        <row r="36766">
          <cell r="O36766" t="str">
            <v/>
          </cell>
        </row>
        <row r="36767">
          <cell r="O36767" t="str">
            <v/>
          </cell>
        </row>
        <row r="36768">
          <cell r="O36768" t="str">
            <v/>
          </cell>
        </row>
        <row r="36769">
          <cell r="O36769" t="str">
            <v/>
          </cell>
        </row>
        <row r="36770">
          <cell r="O36770" t="str">
            <v/>
          </cell>
        </row>
        <row r="36771">
          <cell r="O36771" t="str">
            <v/>
          </cell>
        </row>
        <row r="36772">
          <cell r="O36772" t="str">
            <v/>
          </cell>
        </row>
        <row r="36773">
          <cell r="O36773" t="str">
            <v/>
          </cell>
        </row>
        <row r="36774">
          <cell r="O36774" t="str">
            <v/>
          </cell>
        </row>
        <row r="36775">
          <cell r="O36775" t="str">
            <v/>
          </cell>
        </row>
        <row r="36776">
          <cell r="O36776" t="str">
            <v/>
          </cell>
        </row>
        <row r="36777">
          <cell r="O36777" t="str">
            <v/>
          </cell>
        </row>
        <row r="36778">
          <cell r="O36778" t="str">
            <v/>
          </cell>
        </row>
        <row r="36779">
          <cell r="O36779" t="str">
            <v/>
          </cell>
        </row>
        <row r="36780">
          <cell r="O36780" t="str">
            <v/>
          </cell>
        </row>
        <row r="36781">
          <cell r="O36781" t="str">
            <v/>
          </cell>
        </row>
        <row r="36782">
          <cell r="O36782" t="str">
            <v/>
          </cell>
        </row>
        <row r="36783">
          <cell r="O36783" t="str">
            <v/>
          </cell>
        </row>
        <row r="36784">
          <cell r="O36784" t="str">
            <v/>
          </cell>
        </row>
        <row r="36785">
          <cell r="O36785" t="str">
            <v/>
          </cell>
        </row>
        <row r="36786">
          <cell r="O36786" t="str">
            <v/>
          </cell>
        </row>
        <row r="36787">
          <cell r="O36787" t="str">
            <v/>
          </cell>
        </row>
        <row r="36788">
          <cell r="O36788" t="str">
            <v/>
          </cell>
        </row>
        <row r="36789">
          <cell r="O36789" t="str">
            <v/>
          </cell>
        </row>
        <row r="36790">
          <cell r="O36790" t="str">
            <v/>
          </cell>
        </row>
        <row r="36791">
          <cell r="O36791" t="str">
            <v/>
          </cell>
        </row>
        <row r="36792">
          <cell r="O36792" t="str">
            <v/>
          </cell>
        </row>
        <row r="36793">
          <cell r="O36793" t="str">
            <v/>
          </cell>
        </row>
        <row r="36794">
          <cell r="O36794" t="str">
            <v/>
          </cell>
        </row>
        <row r="36795">
          <cell r="O36795" t="str">
            <v/>
          </cell>
        </row>
        <row r="36796">
          <cell r="O36796" t="str">
            <v/>
          </cell>
        </row>
        <row r="36797">
          <cell r="O36797" t="str">
            <v/>
          </cell>
        </row>
        <row r="36798">
          <cell r="O36798" t="str">
            <v/>
          </cell>
        </row>
        <row r="36799">
          <cell r="O36799" t="str">
            <v/>
          </cell>
        </row>
        <row r="36800">
          <cell r="O36800" t="str">
            <v/>
          </cell>
        </row>
        <row r="36801">
          <cell r="O36801" t="str">
            <v/>
          </cell>
        </row>
        <row r="36802">
          <cell r="O36802" t="str">
            <v/>
          </cell>
        </row>
        <row r="36803">
          <cell r="O36803" t="str">
            <v/>
          </cell>
        </row>
        <row r="36804">
          <cell r="O36804" t="str">
            <v/>
          </cell>
        </row>
        <row r="36805">
          <cell r="O36805" t="str">
            <v/>
          </cell>
        </row>
        <row r="36806">
          <cell r="O36806" t="str">
            <v/>
          </cell>
        </row>
        <row r="36807">
          <cell r="O36807" t="str">
            <v/>
          </cell>
        </row>
        <row r="36808">
          <cell r="O36808" t="str">
            <v/>
          </cell>
        </row>
        <row r="36809">
          <cell r="O36809" t="str">
            <v/>
          </cell>
        </row>
        <row r="36810">
          <cell r="O36810" t="str">
            <v/>
          </cell>
        </row>
        <row r="36811">
          <cell r="O36811" t="str">
            <v/>
          </cell>
        </row>
        <row r="36812">
          <cell r="O36812" t="str">
            <v/>
          </cell>
        </row>
        <row r="36813">
          <cell r="O36813" t="str">
            <v/>
          </cell>
        </row>
        <row r="36814">
          <cell r="O36814" t="str">
            <v/>
          </cell>
        </row>
        <row r="36815">
          <cell r="O36815" t="str">
            <v/>
          </cell>
        </row>
        <row r="36816">
          <cell r="O36816" t="str">
            <v/>
          </cell>
        </row>
        <row r="36817">
          <cell r="O36817" t="str">
            <v/>
          </cell>
        </row>
        <row r="36818">
          <cell r="O36818" t="str">
            <v/>
          </cell>
        </row>
        <row r="36819">
          <cell r="O36819" t="str">
            <v/>
          </cell>
        </row>
        <row r="36820">
          <cell r="O36820" t="str">
            <v/>
          </cell>
        </row>
        <row r="36821">
          <cell r="O36821" t="str">
            <v/>
          </cell>
        </row>
        <row r="36822">
          <cell r="O36822" t="str">
            <v/>
          </cell>
        </row>
        <row r="36823">
          <cell r="O36823" t="str">
            <v/>
          </cell>
        </row>
        <row r="36824">
          <cell r="O36824" t="str">
            <v/>
          </cell>
        </row>
        <row r="36825">
          <cell r="O36825" t="str">
            <v/>
          </cell>
        </row>
        <row r="36826">
          <cell r="O36826" t="str">
            <v/>
          </cell>
        </row>
        <row r="36827">
          <cell r="O36827" t="str">
            <v/>
          </cell>
        </row>
        <row r="36828">
          <cell r="O36828" t="str">
            <v/>
          </cell>
        </row>
        <row r="36829">
          <cell r="O36829" t="str">
            <v/>
          </cell>
        </row>
        <row r="36830">
          <cell r="O36830" t="str">
            <v/>
          </cell>
        </row>
        <row r="36831">
          <cell r="O36831" t="str">
            <v/>
          </cell>
        </row>
        <row r="36832">
          <cell r="O36832" t="str">
            <v/>
          </cell>
        </row>
        <row r="36833">
          <cell r="O36833" t="str">
            <v/>
          </cell>
        </row>
        <row r="36834">
          <cell r="O36834" t="str">
            <v/>
          </cell>
        </row>
        <row r="36835">
          <cell r="O36835" t="str">
            <v/>
          </cell>
        </row>
        <row r="36836">
          <cell r="O36836" t="str">
            <v/>
          </cell>
        </row>
        <row r="36837">
          <cell r="O36837" t="str">
            <v/>
          </cell>
        </row>
        <row r="36838">
          <cell r="O36838" t="str">
            <v/>
          </cell>
        </row>
        <row r="36839">
          <cell r="O36839" t="str">
            <v/>
          </cell>
        </row>
        <row r="36840">
          <cell r="O36840" t="str">
            <v/>
          </cell>
        </row>
        <row r="36841">
          <cell r="O36841" t="str">
            <v/>
          </cell>
        </row>
        <row r="36842">
          <cell r="O36842" t="str">
            <v/>
          </cell>
        </row>
        <row r="36843">
          <cell r="O36843" t="str">
            <v/>
          </cell>
        </row>
        <row r="36844">
          <cell r="O36844" t="str">
            <v/>
          </cell>
        </row>
        <row r="36845">
          <cell r="O36845" t="str">
            <v/>
          </cell>
        </row>
        <row r="36846">
          <cell r="O36846" t="str">
            <v/>
          </cell>
        </row>
        <row r="36847">
          <cell r="O36847" t="str">
            <v/>
          </cell>
        </row>
        <row r="36848">
          <cell r="O36848" t="str">
            <v/>
          </cell>
        </row>
        <row r="36849">
          <cell r="O36849" t="str">
            <v/>
          </cell>
        </row>
        <row r="36850">
          <cell r="O36850" t="str">
            <v/>
          </cell>
        </row>
        <row r="36851">
          <cell r="O36851" t="str">
            <v/>
          </cell>
        </row>
        <row r="36852">
          <cell r="O36852" t="str">
            <v/>
          </cell>
        </row>
        <row r="36853">
          <cell r="O36853" t="str">
            <v/>
          </cell>
        </row>
        <row r="36854">
          <cell r="O36854" t="str">
            <v/>
          </cell>
        </row>
        <row r="36855">
          <cell r="O36855" t="str">
            <v/>
          </cell>
        </row>
        <row r="36856">
          <cell r="O36856" t="str">
            <v/>
          </cell>
        </row>
        <row r="36857">
          <cell r="O36857" t="str">
            <v/>
          </cell>
        </row>
        <row r="36858">
          <cell r="O36858" t="str">
            <v/>
          </cell>
        </row>
        <row r="36859">
          <cell r="O36859" t="str">
            <v/>
          </cell>
        </row>
        <row r="36860">
          <cell r="O36860" t="str">
            <v/>
          </cell>
        </row>
        <row r="36861">
          <cell r="O36861" t="str">
            <v/>
          </cell>
        </row>
        <row r="36862">
          <cell r="O36862" t="str">
            <v/>
          </cell>
        </row>
        <row r="36863">
          <cell r="O36863" t="str">
            <v/>
          </cell>
        </row>
        <row r="36864">
          <cell r="O36864" t="str">
            <v/>
          </cell>
        </row>
        <row r="36865">
          <cell r="O36865" t="str">
            <v/>
          </cell>
        </row>
        <row r="36866">
          <cell r="O36866" t="str">
            <v/>
          </cell>
        </row>
        <row r="36867">
          <cell r="O36867" t="str">
            <v/>
          </cell>
        </row>
        <row r="36868">
          <cell r="O36868" t="str">
            <v/>
          </cell>
        </row>
        <row r="36869">
          <cell r="O36869" t="str">
            <v/>
          </cell>
        </row>
        <row r="36870">
          <cell r="O36870" t="str">
            <v/>
          </cell>
        </row>
        <row r="36871">
          <cell r="O36871" t="str">
            <v/>
          </cell>
        </row>
        <row r="36872">
          <cell r="O36872" t="str">
            <v/>
          </cell>
        </row>
        <row r="36873">
          <cell r="O36873" t="str">
            <v/>
          </cell>
        </row>
        <row r="36874">
          <cell r="O36874" t="str">
            <v/>
          </cell>
        </row>
        <row r="36875">
          <cell r="O36875" t="str">
            <v/>
          </cell>
        </row>
        <row r="36876">
          <cell r="O36876" t="str">
            <v/>
          </cell>
        </row>
        <row r="36877">
          <cell r="O36877" t="str">
            <v/>
          </cell>
        </row>
        <row r="36878">
          <cell r="O36878" t="str">
            <v/>
          </cell>
        </row>
        <row r="36879">
          <cell r="O36879" t="str">
            <v/>
          </cell>
        </row>
        <row r="36880">
          <cell r="O36880" t="str">
            <v/>
          </cell>
        </row>
        <row r="36881">
          <cell r="O36881" t="str">
            <v/>
          </cell>
        </row>
        <row r="36882">
          <cell r="O36882" t="str">
            <v/>
          </cell>
        </row>
        <row r="36883">
          <cell r="O36883" t="str">
            <v/>
          </cell>
        </row>
        <row r="36884">
          <cell r="O36884" t="str">
            <v/>
          </cell>
        </row>
        <row r="36885">
          <cell r="O36885" t="str">
            <v/>
          </cell>
        </row>
        <row r="36886">
          <cell r="O36886" t="str">
            <v/>
          </cell>
        </row>
        <row r="36887">
          <cell r="O36887" t="str">
            <v/>
          </cell>
        </row>
        <row r="36888">
          <cell r="O36888" t="str">
            <v/>
          </cell>
        </row>
        <row r="36889">
          <cell r="O36889" t="str">
            <v/>
          </cell>
        </row>
        <row r="36890">
          <cell r="O36890" t="str">
            <v/>
          </cell>
        </row>
        <row r="36891">
          <cell r="O36891" t="str">
            <v/>
          </cell>
        </row>
        <row r="36892">
          <cell r="O36892" t="str">
            <v/>
          </cell>
        </row>
        <row r="36893">
          <cell r="O36893" t="str">
            <v/>
          </cell>
        </row>
        <row r="36894">
          <cell r="O36894" t="str">
            <v/>
          </cell>
        </row>
        <row r="36895">
          <cell r="O36895" t="str">
            <v/>
          </cell>
        </row>
        <row r="36896">
          <cell r="O36896" t="str">
            <v/>
          </cell>
        </row>
        <row r="36897">
          <cell r="O36897" t="str">
            <v/>
          </cell>
        </row>
        <row r="36898">
          <cell r="O36898" t="str">
            <v/>
          </cell>
        </row>
        <row r="36899">
          <cell r="O36899" t="str">
            <v/>
          </cell>
        </row>
        <row r="36900">
          <cell r="O36900" t="str">
            <v/>
          </cell>
        </row>
        <row r="36901">
          <cell r="O36901" t="str">
            <v/>
          </cell>
        </row>
        <row r="36902">
          <cell r="O36902" t="str">
            <v/>
          </cell>
        </row>
        <row r="36903">
          <cell r="O36903" t="str">
            <v/>
          </cell>
        </row>
        <row r="36904">
          <cell r="O36904" t="str">
            <v/>
          </cell>
        </row>
        <row r="36905">
          <cell r="O36905" t="str">
            <v/>
          </cell>
        </row>
        <row r="36906">
          <cell r="O36906" t="str">
            <v/>
          </cell>
        </row>
        <row r="36907">
          <cell r="O36907" t="str">
            <v/>
          </cell>
        </row>
        <row r="36908">
          <cell r="O36908" t="str">
            <v/>
          </cell>
        </row>
        <row r="36909">
          <cell r="O36909" t="str">
            <v/>
          </cell>
        </row>
        <row r="36910">
          <cell r="O36910" t="str">
            <v/>
          </cell>
        </row>
        <row r="36911">
          <cell r="O36911" t="str">
            <v/>
          </cell>
        </row>
        <row r="36912">
          <cell r="O36912" t="str">
            <v/>
          </cell>
        </row>
        <row r="36913">
          <cell r="O36913" t="str">
            <v/>
          </cell>
        </row>
        <row r="36914">
          <cell r="O36914" t="str">
            <v/>
          </cell>
        </row>
        <row r="36915">
          <cell r="O36915" t="str">
            <v/>
          </cell>
        </row>
        <row r="36916">
          <cell r="O36916" t="str">
            <v/>
          </cell>
        </row>
        <row r="36917">
          <cell r="O36917" t="str">
            <v/>
          </cell>
        </row>
        <row r="36918">
          <cell r="O36918" t="str">
            <v/>
          </cell>
        </row>
        <row r="36919">
          <cell r="O36919" t="str">
            <v/>
          </cell>
        </row>
        <row r="36920">
          <cell r="O36920" t="str">
            <v/>
          </cell>
        </row>
        <row r="36921">
          <cell r="O36921" t="str">
            <v/>
          </cell>
        </row>
        <row r="36922">
          <cell r="O36922" t="str">
            <v/>
          </cell>
        </row>
        <row r="36923">
          <cell r="O36923" t="str">
            <v/>
          </cell>
        </row>
        <row r="36924">
          <cell r="O36924" t="str">
            <v/>
          </cell>
        </row>
        <row r="36925">
          <cell r="O36925" t="str">
            <v/>
          </cell>
        </row>
        <row r="36926">
          <cell r="O36926" t="str">
            <v/>
          </cell>
        </row>
        <row r="36927">
          <cell r="O36927" t="str">
            <v/>
          </cell>
        </row>
        <row r="36928">
          <cell r="O36928" t="str">
            <v/>
          </cell>
        </row>
        <row r="36929">
          <cell r="O36929" t="str">
            <v/>
          </cell>
        </row>
        <row r="36930">
          <cell r="O36930" t="str">
            <v/>
          </cell>
        </row>
        <row r="36931">
          <cell r="O36931" t="str">
            <v/>
          </cell>
        </row>
        <row r="36932">
          <cell r="O36932" t="str">
            <v/>
          </cell>
        </row>
        <row r="36933">
          <cell r="O36933" t="str">
            <v/>
          </cell>
        </row>
        <row r="36934">
          <cell r="O36934" t="str">
            <v/>
          </cell>
        </row>
        <row r="36935">
          <cell r="O36935" t="str">
            <v/>
          </cell>
        </row>
        <row r="36936">
          <cell r="O36936" t="str">
            <v/>
          </cell>
        </row>
        <row r="36937">
          <cell r="O36937" t="str">
            <v/>
          </cell>
        </row>
        <row r="36938">
          <cell r="O36938" t="str">
            <v/>
          </cell>
        </row>
        <row r="36939">
          <cell r="O36939" t="str">
            <v/>
          </cell>
        </row>
        <row r="36940">
          <cell r="O36940" t="str">
            <v/>
          </cell>
        </row>
        <row r="36941">
          <cell r="O36941" t="str">
            <v/>
          </cell>
        </row>
        <row r="36942">
          <cell r="O36942" t="str">
            <v/>
          </cell>
        </row>
        <row r="36943">
          <cell r="O36943" t="str">
            <v/>
          </cell>
        </row>
        <row r="36944">
          <cell r="O36944" t="str">
            <v/>
          </cell>
        </row>
        <row r="36945">
          <cell r="O36945" t="str">
            <v/>
          </cell>
        </row>
        <row r="36946">
          <cell r="O36946" t="str">
            <v/>
          </cell>
        </row>
        <row r="36947">
          <cell r="O36947" t="str">
            <v/>
          </cell>
        </row>
        <row r="36948">
          <cell r="O36948" t="str">
            <v/>
          </cell>
        </row>
        <row r="36949">
          <cell r="O36949" t="str">
            <v/>
          </cell>
        </row>
        <row r="36950">
          <cell r="O36950" t="str">
            <v/>
          </cell>
        </row>
        <row r="36951">
          <cell r="O36951" t="str">
            <v/>
          </cell>
        </row>
        <row r="36952">
          <cell r="O36952" t="str">
            <v/>
          </cell>
        </row>
        <row r="36953">
          <cell r="O36953" t="str">
            <v/>
          </cell>
        </row>
        <row r="36954">
          <cell r="O36954" t="str">
            <v/>
          </cell>
        </row>
        <row r="36955">
          <cell r="O36955" t="str">
            <v/>
          </cell>
        </row>
        <row r="36956">
          <cell r="O36956" t="str">
            <v/>
          </cell>
        </row>
        <row r="36957">
          <cell r="O36957" t="str">
            <v/>
          </cell>
        </row>
        <row r="36958">
          <cell r="O36958" t="str">
            <v/>
          </cell>
        </row>
        <row r="36959">
          <cell r="O36959" t="str">
            <v/>
          </cell>
        </row>
        <row r="36960">
          <cell r="O36960" t="str">
            <v/>
          </cell>
        </row>
        <row r="36961">
          <cell r="O36961" t="str">
            <v/>
          </cell>
        </row>
        <row r="36962">
          <cell r="O36962" t="str">
            <v/>
          </cell>
        </row>
        <row r="36963">
          <cell r="O36963" t="str">
            <v/>
          </cell>
        </row>
        <row r="36964">
          <cell r="O36964" t="str">
            <v/>
          </cell>
        </row>
        <row r="36965">
          <cell r="O36965" t="str">
            <v/>
          </cell>
        </row>
        <row r="36966">
          <cell r="O36966" t="str">
            <v/>
          </cell>
        </row>
        <row r="36967">
          <cell r="O36967" t="str">
            <v/>
          </cell>
        </row>
        <row r="36968">
          <cell r="O36968" t="str">
            <v/>
          </cell>
        </row>
        <row r="36969">
          <cell r="O36969" t="str">
            <v/>
          </cell>
        </row>
        <row r="36970">
          <cell r="O36970" t="str">
            <v/>
          </cell>
        </row>
        <row r="36971">
          <cell r="O36971" t="str">
            <v/>
          </cell>
        </row>
        <row r="36972">
          <cell r="O36972" t="str">
            <v/>
          </cell>
        </row>
        <row r="36973">
          <cell r="O36973" t="str">
            <v/>
          </cell>
        </row>
        <row r="36974">
          <cell r="O36974" t="str">
            <v/>
          </cell>
        </row>
        <row r="36975">
          <cell r="O36975" t="str">
            <v/>
          </cell>
        </row>
        <row r="36976">
          <cell r="O36976" t="str">
            <v/>
          </cell>
        </row>
        <row r="36977">
          <cell r="O36977" t="str">
            <v/>
          </cell>
        </row>
        <row r="36978">
          <cell r="O36978" t="str">
            <v/>
          </cell>
        </row>
        <row r="36979">
          <cell r="O36979" t="str">
            <v/>
          </cell>
        </row>
        <row r="36980">
          <cell r="O36980" t="str">
            <v/>
          </cell>
        </row>
        <row r="36981">
          <cell r="O36981" t="str">
            <v/>
          </cell>
        </row>
        <row r="36982">
          <cell r="O36982" t="str">
            <v/>
          </cell>
        </row>
        <row r="36983">
          <cell r="O36983" t="str">
            <v/>
          </cell>
        </row>
        <row r="36984">
          <cell r="O36984" t="str">
            <v/>
          </cell>
        </row>
        <row r="36985">
          <cell r="O36985" t="str">
            <v/>
          </cell>
        </row>
        <row r="36986">
          <cell r="O36986" t="str">
            <v/>
          </cell>
        </row>
        <row r="36987">
          <cell r="O36987" t="str">
            <v/>
          </cell>
        </row>
        <row r="36988">
          <cell r="O36988" t="str">
            <v/>
          </cell>
        </row>
        <row r="36989">
          <cell r="O36989" t="str">
            <v/>
          </cell>
        </row>
        <row r="36990">
          <cell r="O36990" t="str">
            <v/>
          </cell>
        </row>
        <row r="36991">
          <cell r="O36991" t="str">
            <v/>
          </cell>
        </row>
        <row r="36992">
          <cell r="O36992" t="str">
            <v/>
          </cell>
        </row>
        <row r="36993">
          <cell r="O36993" t="str">
            <v/>
          </cell>
        </row>
        <row r="36994">
          <cell r="O36994" t="str">
            <v/>
          </cell>
        </row>
        <row r="36995">
          <cell r="O36995" t="str">
            <v/>
          </cell>
        </row>
        <row r="36996">
          <cell r="O36996" t="str">
            <v/>
          </cell>
        </row>
        <row r="36997">
          <cell r="O36997" t="str">
            <v/>
          </cell>
        </row>
        <row r="36998">
          <cell r="O36998" t="str">
            <v/>
          </cell>
        </row>
        <row r="36999">
          <cell r="O36999" t="str">
            <v/>
          </cell>
        </row>
        <row r="37000">
          <cell r="O37000" t="str">
            <v/>
          </cell>
        </row>
        <row r="37001">
          <cell r="O37001" t="str">
            <v/>
          </cell>
        </row>
        <row r="37002">
          <cell r="O37002" t="str">
            <v/>
          </cell>
        </row>
        <row r="37003">
          <cell r="O37003" t="str">
            <v/>
          </cell>
        </row>
        <row r="37004">
          <cell r="O37004" t="str">
            <v/>
          </cell>
        </row>
        <row r="37005">
          <cell r="O37005" t="str">
            <v/>
          </cell>
        </row>
        <row r="37006">
          <cell r="O37006" t="str">
            <v/>
          </cell>
        </row>
        <row r="37007">
          <cell r="O37007" t="str">
            <v/>
          </cell>
        </row>
        <row r="37008">
          <cell r="O37008" t="str">
            <v/>
          </cell>
        </row>
        <row r="37009">
          <cell r="O37009" t="str">
            <v/>
          </cell>
        </row>
        <row r="37010">
          <cell r="O37010" t="str">
            <v/>
          </cell>
        </row>
        <row r="37011">
          <cell r="O37011" t="str">
            <v/>
          </cell>
        </row>
        <row r="37012">
          <cell r="O37012" t="str">
            <v/>
          </cell>
        </row>
        <row r="37013">
          <cell r="O37013" t="str">
            <v/>
          </cell>
        </row>
        <row r="37014">
          <cell r="O37014" t="str">
            <v/>
          </cell>
        </row>
        <row r="37015">
          <cell r="O37015" t="str">
            <v/>
          </cell>
        </row>
        <row r="37016">
          <cell r="O37016" t="str">
            <v/>
          </cell>
        </row>
        <row r="37017">
          <cell r="O37017" t="str">
            <v/>
          </cell>
        </row>
        <row r="37018">
          <cell r="O37018" t="str">
            <v/>
          </cell>
        </row>
        <row r="37019">
          <cell r="O37019" t="str">
            <v/>
          </cell>
        </row>
        <row r="37020">
          <cell r="O37020" t="str">
            <v/>
          </cell>
        </row>
        <row r="37021">
          <cell r="O37021" t="str">
            <v/>
          </cell>
        </row>
        <row r="37022">
          <cell r="O37022" t="str">
            <v/>
          </cell>
        </row>
        <row r="37023">
          <cell r="O37023" t="str">
            <v/>
          </cell>
        </row>
        <row r="37024">
          <cell r="O37024" t="str">
            <v/>
          </cell>
        </row>
        <row r="37025">
          <cell r="O37025" t="str">
            <v/>
          </cell>
        </row>
        <row r="37026">
          <cell r="O37026" t="str">
            <v/>
          </cell>
        </row>
        <row r="37027">
          <cell r="O37027" t="str">
            <v/>
          </cell>
        </row>
        <row r="37028">
          <cell r="O37028" t="str">
            <v/>
          </cell>
        </row>
        <row r="37029">
          <cell r="O37029" t="str">
            <v/>
          </cell>
        </row>
        <row r="37030">
          <cell r="O37030" t="str">
            <v/>
          </cell>
        </row>
        <row r="37031">
          <cell r="O37031" t="str">
            <v/>
          </cell>
        </row>
        <row r="37032">
          <cell r="O37032" t="str">
            <v/>
          </cell>
        </row>
        <row r="37033">
          <cell r="O37033" t="str">
            <v/>
          </cell>
        </row>
        <row r="37034">
          <cell r="O37034" t="str">
            <v/>
          </cell>
        </row>
        <row r="37035">
          <cell r="O37035" t="str">
            <v/>
          </cell>
        </row>
        <row r="37036">
          <cell r="O37036" t="str">
            <v/>
          </cell>
        </row>
        <row r="37037">
          <cell r="O37037" t="str">
            <v/>
          </cell>
        </row>
        <row r="37038">
          <cell r="O37038" t="str">
            <v/>
          </cell>
        </row>
        <row r="37039">
          <cell r="O37039" t="str">
            <v/>
          </cell>
        </row>
        <row r="37040">
          <cell r="O37040" t="str">
            <v/>
          </cell>
        </row>
        <row r="37041">
          <cell r="O37041" t="str">
            <v/>
          </cell>
        </row>
        <row r="37042">
          <cell r="O37042" t="str">
            <v/>
          </cell>
        </row>
        <row r="37043">
          <cell r="O37043" t="str">
            <v/>
          </cell>
        </row>
        <row r="37044">
          <cell r="O37044" t="str">
            <v/>
          </cell>
        </row>
        <row r="37045">
          <cell r="O37045" t="str">
            <v/>
          </cell>
        </row>
        <row r="37046">
          <cell r="O37046" t="str">
            <v/>
          </cell>
        </row>
        <row r="37047">
          <cell r="O37047" t="str">
            <v/>
          </cell>
        </row>
        <row r="37048">
          <cell r="O37048" t="str">
            <v/>
          </cell>
        </row>
        <row r="37049">
          <cell r="O37049" t="str">
            <v/>
          </cell>
        </row>
        <row r="37050">
          <cell r="O37050" t="str">
            <v/>
          </cell>
        </row>
        <row r="37051">
          <cell r="O37051" t="str">
            <v/>
          </cell>
        </row>
        <row r="37052">
          <cell r="O37052" t="str">
            <v/>
          </cell>
        </row>
        <row r="37053">
          <cell r="O37053" t="str">
            <v/>
          </cell>
        </row>
        <row r="37054">
          <cell r="O37054" t="str">
            <v/>
          </cell>
        </row>
        <row r="37055">
          <cell r="O37055" t="str">
            <v/>
          </cell>
        </row>
        <row r="37056">
          <cell r="O37056" t="str">
            <v/>
          </cell>
        </row>
        <row r="37057">
          <cell r="O37057" t="str">
            <v/>
          </cell>
        </row>
        <row r="37058">
          <cell r="O37058" t="str">
            <v/>
          </cell>
        </row>
        <row r="37059">
          <cell r="O37059" t="str">
            <v/>
          </cell>
        </row>
        <row r="37060">
          <cell r="O37060" t="str">
            <v/>
          </cell>
        </row>
        <row r="37061">
          <cell r="O37061" t="str">
            <v/>
          </cell>
        </row>
        <row r="37062">
          <cell r="O37062" t="str">
            <v/>
          </cell>
        </row>
        <row r="37063">
          <cell r="O37063" t="str">
            <v/>
          </cell>
        </row>
        <row r="37064">
          <cell r="O37064" t="str">
            <v/>
          </cell>
        </row>
        <row r="37065">
          <cell r="O37065" t="str">
            <v/>
          </cell>
        </row>
        <row r="37066">
          <cell r="O37066" t="str">
            <v/>
          </cell>
        </row>
        <row r="37067">
          <cell r="O37067" t="str">
            <v/>
          </cell>
        </row>
        <row r="37068">
          <cell r="O37068" t="str">
            <v/>
          </cell>
        </row>
        <row r="37069">
          <cell r="O37069" t="str">
            <v/>
          </cell>
        </row>
        <row r="37070">
          <cell r="O37070" t="str">
            <v/>
          </cell>
        </row>
        <row r="37071">
          <cell r="O37071" t="str">
            <v/>
          </cell>
        </row>
        <row r="37072">
          <cell r="O37072" t="str">
            <v/>
          </cell>
        </row>
        <row r="37073">
          <cell r="O37073" t="str">
            <v/>
          </cell>
        </row>
        <row r="37074">
          <cell r="O37074" t="str">
            <v/>
          </cell>
        </row>
        <row r="37075">
          <cell r="O37075" t="str">
            <v/>
          </cell>
        </row>
        <row r="37076">
          <cell r="O37076" t="str">
            <v/>
          </cell>
        </row>
        <row r="37077">
          <cell r="O37077" t="str">
            <v/>
          </cell>
        </row>
        <row r="37078">
          <cell r="O37078" t="str">
            <v/>
          </cell>
        </row>
        <row r="37079">
          <cell r="O37079" t="str">
            <v/>
          </cell>
        </row>
        <row r="37080">
          <cell r="O37080" t="str">
            <v/>
          </cell>
        </row>
        <row r="37081">
          <cell r="O37081" t="str">
            <v/>
          </cell>
        </row>
        <row r="37082">
          <cell r="O37082" t="str">
            <v/>
          </cell>
        </row>
        <row r="37083">
          <cell r="O37083" t="str">
            <v/>
          </cell>
        </row>
        <row r="37084">
          <cell r="O37084" t="str">
            <v/>
          </cell>
        </row>
        <row r="37085">
          <cell r="O37085" t="str">
            <v/>
          </cell>
        </row>
        <row r="37086">
          <cell r="O37086" t="str">
            <v/>
          </cell>
        </row>
        <row r="37087">
          <cell r="O37087" t="str">
            <v/>
          </cell>
        </row>
        <row r="37088">
          <cell r="O37088" t="str">
            <v/>
          </cell>
        </row>
        <row r="37089">
          <cell r="O37089" t="str">
            <v/>
          </cell>
        </row>
        <row r="37090">
          <cell r="O37090" t="str">
            <v/>
          </cell>
        </row>
        <row r="37091">
          <cell r="O37091" t="str">
            <v/>
          </cell>
        </row>
        <row r="37092">
          <cell r="O37092" t="str">
            <v/>
          </cell>
        </row>
        <row r="37093">
          <cell r="O37093" t="str">
            <v/>
          </cell>
        </row>
        <row r="37094">
          <cell r="O37094" t="str">
            <v/>
          </cell>
        </row>
        <row r="37095">
          <cell r="O37095" t="str">
            <v/>
          </cell>
        </row>
        <row r="37096">
          <cell r="O37096" t="str">
            <v/>
          </cell>
        </row>
        <row r="37097">
          <cell r="O37097" t="str">
            <v/>
          </cell>
        </row>
        <row r="37098">
          <cell r="O37098" t="str">
            <v/>
          </cell>
        </row>
        <row r="37099">
          <cell r="O37099" t="str">
            <v/>
          </cell>
        </row>
        <row r="37100">
          <cell r="O37100" t="str">
            <v/>
          </cell>
        </row>
        <row r="37101">
          <cell r="O37101" t="str">
            <v/>
          </cell>
        </row>
        <row r="37102">
          <cell r="O37102" t="str">
            <v/>
          </cell>
        </row>
        <row r="37103">
          <cell r="O37103" t="str">
            <v/>
          </cell>
        </row>
        <row r="37104">
          <cell r="O37104" t="str">
            <v/>
          </cell>
        </row>
        <row r="37105">
          <cell r="O37105" t="str">
            <v/>
          </cell>
        </row>
        <row r="37106">
          <cell r="O37106" t="str">
            <v/>
          </cell>
        </row>
        <row r="37107">
          <cell r="O37107" t="str">
            <v/>
          </cell>
        </row>
        <row r="37108">
          <cell r="O37108" t="str">
            <v/>
          </cell>
        </row>
        <row r="37109">
          <cell r="O37109" t="str">
            <v/>
          </cell>
        </row>
        <row r="37110">
          <cell r="O37110" t="str">
            <v/>
          </cell>
        </row>
        <row r="37111">
          <cell r="O37111" t="str">
            <v/>
          </cell>
        </row>
        <row r="37112">
          <cell r="O37112" t="str">
            <v/>
          </cell>
        </row>
        <row r="37113">
          <cell r="O37113" t="str">
            <v/>
          </cell>
        </row>
        <row r="37114">
          <cell r="O37114" t="str">
            <v/>
          </cell>
        </row>
        <row r="37115">
          <cell r="O37115" t="str">
            <v/>
          </cell>
        </row>
        <row r="37116">
          <cell r="O37116" t="str">
            <v/>
          </cell>
        </row>
        <row r="37117">
          <cell r="O37117" t="str">
            <v/>
          </cell>
        </row>
        <row r="37118">
          <cell r="O37118" t="str">
            <v/>
          </cell>
        </row>
        <row r="37119">
          <cell r="O37119" t="str">
            <v/>
          </cell>
        </row>
        <row r="37120">
          <cell r="O37120" t="str">
            <v/>
          </cell>
        </row>
        <row r="37121">
          <cell r="O37121" t="str">
            <v/>
          </cell>
        </row>
        <row r="37122">
          <cell r="O37122" t="str">
            <v/>
          </cell>
        </row>
        <row r="37123">
          <cell r="O37123" t="str">
            <v/>
          </cell>
        </row>
        <row r="37124">
          <cell r="O37124" t="str">
            <v/>
          </cell>
        </row>
        <row r="37125">
          <cell r="O37125" t="str">
            <v/>
          </cell>
        </row>
        <row r="37126">
          <cell r="O37126" t="str">
            <v/>
          </cell>
        </row>
        <row r="37127">
          <cell r="O37127" t="str">
            <v/>
          </cell>
        </row>
        <row r="37128">
          <cell r="O37128" t="str">
            <v/>
          </cell>
        </row>
        <row r="37129">
          <cell r="O37129" t="str">
            <v/>
          </cell>
        </row>
        <row r="37130">
          <cell r="O37130" t="str">
            <v/>
          </cell>
        </row>
        <row r="37131">
          <cell r="O37131" t="str">
            <v/>
          </cell>
        </row>
        <row r="37132">
          <cell r="O37132" t="str">
            <v/>
          </cell>
        </row>
        <row r="37133">
          <cell r="O37133" t="str">
            <v/>
          </cell>
        </row>
        <row r="37134">
          <cell r="O37134" t="str">
            <v/>
          </cell>
        </row>
        <row r="37135">
          <cell r="O37135" t="str">
            <v/>
          </cell>
        </row>
        <row r="37136">
          <cell r="O37136" t="str">
            <v/>
          </cell>
        </row>
        <row r="37137">
          <cell r="O37137" t="str">
            <v/>
          </cell>
        </row>
        <row r="37138">
          <cell r="O37138" t="str">
            <v/>
          </cell>
        </row>
        <row r="37139">
          <cell r="O37139" t="str">
            <v/>
          </cell>
        </row>
        <row r="37140">
          <cell r="O37140" t="str">
            <v/>
          </cell>
        </row>
        <row r="37141">
          <cell r="O37141" t="str">
            <v/>
          </cell>
        </row>
        <row r="37142">
          <cell r="O37142" t="str">
            <v/>
          </cell>
        </row>
        <row r="37143">
          <cell r="O37143" t="str">
            <v/>
          </cell>
        </row>
        <row r="37144">
          <cell r="O37144" t="str">
            <v/>
          </cell>
        </row>
        <row r="37145">
          <cell r="O37145" t="str">
            <v/>
          </cell>
        </row>
        <row r="37146">
          <cell r="O37146" t="str">
            <v/>
          </cell>
        </row>
        <row r="37147">
          <cell r="O37147" t="str">
            <v/>
          </cell>
        </row>
        <row r="37148">
          <cell r="O37148" t="str">
            <v/>
          </cell>
        </row>
        <row r="37149">
          <cell r="O37149" t="str">
            <v/>
          </cell>
        </row>
        <row r="37150">
          <cell r="O37150" t="str">
            <v/>
          </cell>
        </row>
        <row r="37151">
          <cell r="O37151" t="str">
            <v/>
          </cell>
        </row>
        <row r="37152">
          <cell r="O37152" t="str">
            <v/>
          </cell>
        </row>
        <row r="37153">
          <cell r="O37153" t="str">
            <v/>
          </cell>
        </row>
        <row r="37154">
          <cell r="O37154" t="str">
            <v/>
          </cell>
        </row>
        <row r="37155">
          <cell r="O37155" t="str">
            <v/>
          </cell>
        </row>
        <row r="37156">
          <cell r="O37156" t="str">
            <v/>
          </cell>
        </row>
        <row r="37157">
          <cell r="O37157" t="str">
            <v/>
          </cell>
        </row>
        <row r="37158">
          <cell r="O37158" t="str">
            <v/>
          </cell>
        </row>
        <row r="37159">
          <cell r="O37159" t="str">
            <v/>
          </cell>
        </row>
        <row r="37160">
          <cell r="O37160" t="str">
            <v/>
          </cell>
        </row>
        <row r="37161">
          <cell r="O37161" t="str">
            <v/>
          </cell>
        </row>
        <row r="37162">
          <cell r="O37162" t="str">
            <v/>
          </cell>
        </row>
        <row r="37163">
          <cell r="O37163" t="str">
            <v/>
          </cell>
        </row>
        <row r="37164">
          <cell r="O37164" t="str">
            <v/>
          </cell>
        </row>
        <row r="37165">
          <cell r="O37165" t="str">
            <v/>
          </cell>
        </row>
        <row r="37166">
          <cell r="O37166" t="str">
            <v/>
          </cell>
        </row>
        <row r="37167">
          <cell r="O37167" t="str">
            <v/>
          </cell>
        </row>
        <row r="37168">
          <cell r="O37168" t="str">
            <v/>
          </cell>
        </row>
        <row r="37169">
          <cell r="O37169" t="str">
            <v/>
          </cell>
        </row>
        <row r="37170">
          <cell r="O37170" t="str">
            <v/>
          </cell>
        </row>
        <row r="37171">
          <cell r="O37171" t="str">
            <v/>
          </cell>
        </row>
        <row r="37172">
          <cell r="O37172" t="str">
            <v/>
          </cell>
        </row>
        <row r="37173">
          <cell r="O37173" t="str">
            <v/>
          </cell>
        </row>
        <row r="37174">
          <cell r="O37174" t="str">
            <v/>
          </cell>
        </row>
        <row r="37175">
          <cell r="O37175" t="str">
            <v/>
          </cell>
        </row>
        <row r="37176">
          <cell r="O37176" t="str">
            <v/>
          </cell>
        </row>
        <row r="37177">
          <cell r="O37177" t="str">
            <v/>
          </cell>
        </row>
        <row r="37178">
          <cell r="O37178" t="str">
            <v/>
          </cell>
        </row>
        <row r="37179">
          <cell r="O37179" t="str">
            <v/>
          </cell>
        </row>
        <row r="37180">
          <cell r="O37180" t="str">
            <v/>
          </cell>
        </row>
        <row r="37181">
          <cell r="O37181" t="str">
            <v/>
          </cell>
        </row>
        <row r="37182">
          <cell r="O37182" t="str">
            <v/>
          </cell>
        </row>
        <row r="37183">
          <cell r="O37183" t="str">
            <v/>
          </cell>
        </row>
        <row r="37184">
          <cell r="O37184" t="str">
            <v/>
          </cell>
        </row>
        <row r="37185">
          <cell r="O37185" t="str">
            <v/>
          </cell>
        </row>
        <row r="37186">
          <cell r="O37186" t="str">
            <v/>
          </cell>
        </row>
        <row r="37187">
          <cell r="O37187" t="str">
            <v/>
          </cell>
        </row>
        <row r="37188">
          <cell r="O37188" t="str">
            <v/>
          </cell>
        </row>
        <row r="37189">
          <cell r="O37189" t="str">
            <v/>
          </cell>
        </row>
        <row r="37190">
          <cell r="O37190" t="str">
            <v/>
          </cell>
        </row>
        <row r="37191">
          <cell r="O37191" t="str">
            <v/>
          </cell>
        </row>
        <row r="37192">
          <cell r="O37192" t="str">
            <v/>
          </cell>
        </row>
        <row r="37193">
          <cell r="O37193" t="str">
            <v/>
          </cell>
        </row>
        <row r="37194">
          <cell r="O37194" t="str">
            <v/>
          </cell>
        </row>
        <row r="37195">
          <cell r="O37195" t="str">
            <v/>
          </cell>
        </row>
        <row r="37196">
          <cell r="O37196" t="str">
            <v/>
          </cell>
        </row>
        <row r="37197">
          <cell r="O37197" t="str">
            <v/>
          </cell>
        </row>
        <row r="37198">
          <cell r="O37198" t="str">
            <v/>
          </cell>
        </row>
        <row r="37199">
          <cell r="O37199" t="str">
            <v/>
          </cell>
        </row>
        <row r="37200">
          <cell r="O37200" t="str">
            <v/>
          </cell>
        </row>
        <row r="37201">
          <cell r="O37201" t="str">
            <v/>
          </cell>
        </row>
        <row r="37202">
          <cell r="O37202" t="str">
            <v/>
          </cell>
        </row>
        <row r="37203">
          <cell r="O37203" t="str">
            <v/>
          </cell>
        </row>
        <row r="37204">
          <cell r="O37204" t="str">
            <v/>
          </cell>
        </row>
        <row r="37205">
          <cell r="O37205" t="str">
            <v/>
          </cell>
        </row>
        <row r="37206">
          <cell r="O37206" t="str">
            <v/>
          </cell>
        </row>
        <row r="37207">
          <cell r="O37207" t="str">
            <v/>
          </cell>
        </row>
        <row r="37208">
          <cell r="O37208" t="str">
            <v/>
          </cell>
        </row>
        <row r="37209">
          <cell r="O37209" t="str">
            <v/>
          </cell>
        </row>
        <row r="37210">
          <cell r="O37210" t="str">
            <v/>
          </cell>
        </row>
        <row r="37211">
          <cell r="O37211" t="str">
            <v/>
          </cell>
        </row>
        <row r="37212">
          <cell r="O37212" t="str">
            <v/>
          </cell>
        </row>
        <row r="37213">
          <cell r="O37213" t="str">
            <v/>
          </cell>
        </row>
        <row r="37214">
          <cell r="O37214" t="str">
            <v/>
          </cell>
        </row>
        <row r="37215">
          <cell r="O37215" t="str">
            <v/>
          </cell>
        </row>
        <row r="37216">
          <cell r="O37216" t="str">
            <v/>
          </cell>
        </row>
        <row r="37217">
          <cell r="O37217" t="str">
            <v/>
          </cell>
        </row>
        <row r="37218">
          <cell r="O37218" t="str">
            <v/>
          </cell>
        </row>
        <row r="37219">
          <cell r="O37219" t="str">
            <v/>
          </cell>
        </row>
        <row r="37220">
          <cell r="O37220" t="str">
            <v/>
          </cell>
        </row>
        <row r="37221">
          <cell r="O37221" t="str">
            <v/>
          </cell>
        </row>
        <row r="37222">
          <cell r="O37222" t="str">
            <v/>
          </cell>
        </row>
        <row r="37223">
          <cell r="O37223" t="str">
            <v/>
          </cell>
        </row>
        <row r="37224">
          <cell r="O37224" t="str">
            <v/>
          </cell>
        </row>
        <row r="37225">
          <cell r="O37225" t="str">
            <v/>
          </cell>
        </row>
        <row r="37226">
          <cell r="O37226" t="str">
            <v/>
          </cell>
        </row>
        <row r="37227">
          <cell r="O37227" t="str">
            <v/>
          </cell>
        </row>
        <row r="37228">
          <cell r="O37228" t="str">
            <v/>
          </cell>
        </row>
        <row r="37229">
          <cell r="O37229" t="str">
            <v/>
          </cell>
        </row>
        <row r="37230">
          <cell r="O37230" t="str">
            <v/>
          </cell>
        </row>
        <row r="37231">
          <cell r="O37231" t="str">
            <v/>
          </cell>
        </row>
        <row r="37232">
          <cell r="O37232" t="str">
            <v/>
          </cell>
        </row>
        <row r="37233">
          <cell r="O37233" t="str">
            <v/>
          </cell>
        </row>
        <row r="37234">
          <cell r="O37234" t="str">
            <v/>
          </cell>
        </row>
        <row r="37235">
          <cell r="O37235" t="str">
            <v/>
          </cell>
        </row>
        <row r="37236">
          <cell r="O37236" t="str">
            <v/>
          </cell>
        </row>
        <row r="37237">
          <cell r="O37237" t="str">
            <v/>
          </cell>
        </row>
        <row r="37238">
          <cell r="O37238" t="str">
            <v/>
          </cell>
        </row>
        <row r="37239">
          <cell r="O37239" t="str">
            <v/>
          </cell>
        </row>
        <row r="37240">
          <cell r="O37240" t="str">
            <v/>
          </cell>
        </row>
        <row r="37241">
          <cell r="O37241" t="str">
            <v/>
          </cell>
        </row>
        <row r="37242">
          <cell r="O37242" t="str">
            <v/>
          </cell>
        </row>
        <row r="37243">
          <cell r="O37243" t="str">
            <v/>
          </cell>
        </row>
        <row r="37244">
          <cell r="O37244" t="str">
            <v/>
          </cell>
        </row>
        <row r="37245">
          <cell r="O37245" t="str">
            <v/>
          </cell>
        </row>
        <row r="37246">
          <cell r="O37246" t="str">
            <v/>
          </cell>
        </row>
        <row r="37247">
          <cell r="O37247" t="str">
            <v/>
          </cell>
        </row>
        <row r="37248">
          <cell r="O37248" t="str">
            <v/>
          </cell>
        </row>
        <row r="37249">
          <cell r="O37249" t="str">
            <v/>
          </cell>
        </row>
        <row r="37250">
          <cell r="O37250" t="str">
            <v/>
          </cell>
        </row>
        <row r="37251">
          <cell r="O37251" t="str">
            <v/>
          </cell>
        </row>
        <row r="37252">
          <cell r="O37252" t="str">
            <v/>
          </cell>
        </row>
        <row r="37253">
          <cell r="O37253" t="str">
            <v/>
          </cell>
        </row>
        <row r="37254">
          <cell r="O37254" t="str">
            <v/>
          </cell>
        </row>
        <row r="37255">
          <cell r="O37255" t="str">
            <v/>
          </cell>
        </row>
        <row r="37256">
          <cell r="O37256" t="str">
            <v/>
          </cell>
        </row>
        <row r="37257">
          <cell r="O37257" t="str">
            <v/>
          </cell>
        </row>
        <row r="37258">
          <cell r="O37258" t="str">
            <v/>
          </cell>
        </row>
        <row r="37259">
          <cell r="O37259" t="str">
            <v/>
          </cell>
        </row>
        <row r="37260">
          <cell r="O37260" t="str">
            <v/>
          </cell>
        </row>
        <row r="37261">
          <cell r="O37261" t="str">
            <v/>
          </cell>
        </row>
        <row r="37262">
          <cell r="O37262" t="str">
            <v/>
          </cell>
        </row>
        <row r="37263">
          <cell r="O37263" t="str">
            <v/>
          </cell>
        </row>
        <row r="37264">
          <cell r="O37264" t="str">
            <v/>
          </cell>
        </row>
        <row r="37265">
          <cell r="O37265" t="str">
            <v/>
          </cell>
        </row>
        <row r="37266">
          <cell r="O37266" t="str">
            <v/>
          </cell>
        </row>
        <row r="37267">
          <cell r="O37267" t="str">
            <v/>
          </cell>
        </row>
        <row r="37268">
          <cell r="O37268" t="str">
            <v/>
          </cell>
        </row>
        <row r="37269">
          <cell r="O37269" t="str">
            <v/>
          </cell>
        </row>
        <row r="37270">
          <cell r="O37270" t="str">
            <v/>
          </cell>
        </row>
        <row r="37271">
          <cell r="O37271" t="str">
            <v/>
          </cell>
        </row>
        <row r="37272">
          <cell r="O37272" t="str">
            <v/>
          </cell>
        </row>
        <row r="37273">
          <cell r="O37273" t="str">
            <v/>
          </cell>
        </row>
        <row r="37274">
          <cell r="O37274" t="str">
            <v/>
          </cell>
        </row>
        <row r="37275">
          <cell r="O37275" t="str">
            <v/>
          </cell>
        </row>
        <row r="37276">
          <cell r="O37276" t="str">
            <v/>
          </cell>
        </row>
        <row r="37277">
          <cell r="O37277" t="str">
            <v/>
          </cell>
        </row>
        <row r="37278">
          <cell r="O37278" t="str">
            <v/>
          </cell>
        </row>
        <row r="37279">
          <cell r="O37279" t="str">
            <v/>
          </cell>
        </row>
        <row r="37280">
          <cell r="O37280" t="str">
            <v/>
          </cell>
        </row>
        <row r="37281">
          <cell r="O37281" t="str">
            <v/>
          </cell>
        </row>
        <row r="37282">
          <cell r="O37282" t="str">
            <v/>
          </cell>
        </row>
        <row r="37283">
          <cell r="O37283" t="str">
            <v/>
          </cell>
        </row>
        <row r="37284">
          <cell r="O37284" t="str">
            <v/>
          </cell>
        </row>
        <row r="37285">
          <cell r="O37285" t="str">
            <v/>
          </cell>
        </row>
        <row r="37286">
          <cell r="O37286" t="str">
            <v/>
          </cell>
        </row>
        <row r="37287">
          <cell r="O37287" t="str">
            <v/>
          </cell>
        </row>
        <row r="37288">
          <cell r="O37288" t="str">
            <v/>
          </cell>
        </row>
        <row r="37289">
          <cell r="O37289" t="str">
            <v/>
          </cell>
        </row>
        <row r="37290">
          <cell r="O37290" t="str">
            <v/>
          </cell>
        </row>
        <row r="37291">
          <cell r="O37291" t="str">
            <v/>
          </cell>
        </row>
        <row r="37292">
          <cell r="O37292" t="str">
            <v/>
          </cell>
        </row>
        <row r="37293">
          <cell r="O37293" t="str">
            <v/>
          </cell>
        </row>
        <row r="37294">
          <cell r="O37294" t="str">
            <v/>
          </cell>
        </row>
        <row r="37295">
          <cell r="O37295" t="str">
            <v/>
          </cell>
        </row>
        <row r="37296">
          <cell r="O37296" t="str">
            <v/>
          </cell>
        </row>
        <row r="37297">
          <cell r="O37297" t="str">
            <v/>
          </cell>
        </row>
        <row r="37298">
          <cell r="O37298" t="str">
            <v/>
          </cell>
        </row>
        <row r="37299">
          <cell r="O37299" t="str">
            <v/>
          </cell>
        </row>
        <row r="37300">
          <cell r="O37300" t="str">
            <v/>
          </cell>
        </row>
        <row r="37301">
          <cell r="O37301" t="str">
            <v/>
          </cell>
        </row>
        <row r="37302">
          <cell r="O37302" t="str">
            <v/>
          </cell>
        </row>
        <row r="37303">
          <cell r="O37303" t="str">
            <v/>
          </cell>
        </row>
        <row r="37304">
          <cell r="O37304" t="str">
            <v/>
          </cell>
        </row>
        <row r="37305">
          <cell r="O37305" t="str">
            <v/>
          </cell>
        </row>
        <row r="37306">
          <cell r="O37306" t="str">
            <v/>
          </cell>
        </row>
        <row r="37307">
          <cell r="O37307" t="str">
            <v/>
          </cell>
        </row>
        <row r="37308">
          <cell r="O37308" t="str">
            <v/>
          </cell>
        </row>
        <row r="37309">
          <cell r="O37309" t="str">
            <v/>
          </cell>
        </row>
        <row r="37310">
          <cell r="O37310" t="str">
            <v/>
          </cell>
        </row>
        <row r="37311">
          <cell r="O37311" t="str">
            <v/>
          </cell>
        </row>
        <row r="37312">
          <cell r="O37312" t="str">
            <v/>
          </cell>
        </row>
        <row r="37313">
          <cell r="O37313" t="str">
            <v/>
          </cell>
        </row>
        <row r="37314">
          <cell r="O37314" t="str">
            <v/>
          </cell>
        </row>
        <row r="37315">
          <cell r="O37315" t="str">
            <v/>
          </cell>
        </row>
        <row r="37316">
          <cell r="O37316" t="str">
            <v/>
          </cell>
        </row>
        <row r="37317">
          <cell r="O37317" t="str">
            <v/>
          </cell>
        </row>
        <row r="37318">
          <cell r="O37318" t="str">
            <v/>
          </cell>
        </row>
        <row r="37319">
          <cell r="O37319" t="str">
            <v/>
          </cell>
        </row>
        <row r="37320">
          <cell r="O37320" t="str">
            <v/>
          </cell>
        </row>
        <row r="37321">
          <cell r="O37321" t="str">
            <v/>
          </cell>
        </row>
        <row r="37322">
          <cell r="O37322" t="str">
            <v/>
          </cell>
        </row>
        <row r="37323">
          <cell r="O37323" t="str">
            <v/>
          </cell>
        </row>
        <row r="37324">
          <cell r="O37324" t="str">
            <v/>
          </cell>
        </row>
        <row r="37325">
          <cell r="O37325" t="str">
            <v/>
          </cell>
        </row>
        <row r="37326">
          <cell r="O37326" t="str">
            <v/>
          </cell>
        </row>
        <row r="37327">
          <cell r="O37327" t="str">
            <v/>
          </cell>
        </row>
        <row r="37328">
          <cell r="O37328" t="str">
            <v/>
          </cell>
        </row>
        <row r="37329">
          <cell r="O37329" t="str">
            <v/>
          </cell>
        </row>
        <row r="37330">
          <cell r="O37330" t="str">
            <v/>
          </cell>
        </row>
        <row r="37331">
          <cell r="O37331" t="str">
            <v/>
          </cell>
        </row>
        <row r="37332">
          <cell r="O37332" t="str">
            <v/>
          </cell>
        </row>
        <row r="37333">
          <cell r="O37333" t="str">
            <v/>
          </cell>
        </row>
        <row r="37334">
          <cell r="O37334" t="str">
            <v/>
          </cell>
        </row>
        <row r="37335">
          <cell r="O37335" t="str">
            <v/>
          </cell>
        </row>
        <row r="37336">
          <cell r="O37336" t="str">
            <v/>
          </cell>
        </row>
        <row r="37337">
          <cell r="O37337" t="str">
            <v/>
          </cell>
        </row>
        <row r="37338">
          <cell r="O37338" t="str">
            <v/>
          </cell>
        </row>
        <row r="37339">
          <cell r="O37339" t="str">
            <v/>
          </cell>
        </row>
        <row r="37340">
          <cell r="O37340" t="str">
            <v/>
          </cell>
        </row>
        <row r="37341">
          <cell r="O37341" t="str">
            <v/>
          </cell>
        </row>
        <row r="37342">
          <cell r="O37342" t="str">
            <v/>
          </cell>
        </row>
        <row r="37343">
          <cell r="O37343" t="str">
            <v/>
          </cell>
        </row>
        <row r="37344">
          <cell r="O37344" t="str">
            <v/>
          </cell>
        </row>
        <row r="37345">
          <cell r="O37345" t="str">
            <v/>
          </cell>
        </row>
        <row r="37346">
          <cell r="O37346" t="str">
            <v/>
          </cell>
        </row>
        <row r="37347">
          <cell r="O37347" t="str">
            <v/>
          </cell>
        </row>
        <row r="37348">
          <cell r="O37348" t="str">
            <v/>
          </cell>
        </row>
        <row r="37349">
          <cell r="O37349" t="str">
            <v/>
          </cell>
        </row>
        <row r="37350">
          <cell r="O37350" t="str">
            <v/>
          </cell>
        </row>
        <row r="37351">
          <cell r="O37351" t="str">
            <v/>
          </cell>
        </row>
        <row r="37352">
          <cell r="O37352" t="str">
            <v/>
          </cell>
        </row>
        <row r="37353">
          <cell r="O37353" t="str">
            <v/>
          </cell>
        </row>
        <row r="37354">
          <cell r="O37354" t="str">
            <v/>
          </cell>
        </row>
        <row r="37355">
          <cell r="O37355" t="str">
            <v/>
          </cell>
        </row>
        <row r="37356">
          <cell r="O37356" t="str">
            <v/>
          </cell>
        </row>
        <row r="37357">
          <cell r="O37357" t="str">
            <v/>
          </cell>
        </row>
        <row r="37358">
          <cell r="O37358" t="str">
            <v/>
          </cell>
        </row>
        <row r="37359">
          <cell r="O37359" t="str">
            <v/>
          </cell>
        </row>
        <row r="37360">
          <cell r="O37360" t="str">
            <v/>
          </cell>
        </row>
        <row r="37361">
          <cell r="O37361" t="str">
            <v/>
          </cell>
        </row>
        <row r="37362">
          <cell r="O37362" t="str">
            <v/>
          </cell>
        </row>
        <row r="37363">
          <cell r="O37363" t="str">
            <v/>
          </cell>
        </row>
        <row r="37364">
          <cell r="O37364" t="str">
            <v/>
          </cell>
        </row>
        <row r="37365">
          <cell r="O37365" t="str">
            <v/>
          </cell>
        </row>
        <row r="37366">
          <cell r="O37366" t="str">
            <v/>
          </cell>
        </row>
        <row r="37367">
          <cell r="O37367" t="str">
            <v/>
          </cell>
        </row>
        <row r="37368">
          <cell r="O37368" t="str">
            <v/>
          </cell>
        </row>
        <row r="37369">
          <cell r="O37369" t="str">
            <v/>
          </cell>
        </row>
        <row r="37370">
          <cell r="O37370" t="str">
            <v/>
          </cell>
        </row>
        <row r="37371">
          <cell r="O37371" t="str">
            <v/>
          </cell>
        </row>
        <row r="37372">
          <cell r="O37372" t="str">
            <v/>
          </cell>
        </row>
        <row r="37373">
          <cell r="O37373" t="str">
            <v/>
          </cell>
        </row>
        <row r="37374">
          <cell r="O37374" t="str">
            <v/>
          </cell>
        </row>
        <row r="37375">
          <cell r="O37375" t="str">
            <v/>
          </cell>
        </row>
        <row r="37376">
          <cell r="O37376" t="str">
            <v/>
          </cell>
        </row>
        <row r="37377">
          <cell r="O37377" t="str">
            <v/>
          </cell>
        </row>
        <row r="37378">
          <cell r="O37378" t="str">
            <v/>
          </cell>
        </row>
        <row r="37379">
          <cell r="O37379" t="str">
            <v/>
          </cell>
        </row>
        <row r="37380">
          <cell r="O37380" t="str">
            <v/>
          </cell>
        </row>
        <row r="37381">
          <cell r="O37381" t="str">
            <v/>
          </cell>
        </row>
        <row r="37382">
          <cell r="O37382" t="str">
            <v/>
          </cell>
        </row>
        <row r="37383">
          <cell r="O37383" t="str">
            <v/>
          </cell>
        </row>
        <row r="37384">
          <cell r="O37384" t="str">
            <v/>
          </cell>
        </row>
        <row r="37385">
          <cell r="O37385" t="str">
            <v/>
          </cell>
        </row>
        <row r="37386">
          <cell r="O37386" t="str">
            <v/>
          </cell>
        </row>
        <row r="37387">
          <cell r="O37387" t="str">
            <v/>
          </cell>
        </row>
        <row r="37388">
          <cell r="O37388" t="str">
            <v/>
          </cell>
        </row>
        <row r="37389">
          <cell r="O37389" t="str">
            <v/>
          </cell>
        </row>
        <row r="37390">
          <cell r="O37390" t="str">
            <v/>
          </cell>
        </row>
        <row r="37391">
          <cell r="O37391" t="str">
            <v/>
          </cell>
        </row>
        <row r="37392">
          <cell r="O37392" t="str">
            <v/>
          </cell>
        </row>
        <row r="37393">
          <cell r="O37393" t="str">
            <v/>
          </cell>
        </row>
        <row r="37394">
          <cell r="O37394" t="str">
            <v/>
          </cell>
        </row>
        <row r="37395">
          <cell r="O37395" t="str">
            <v/>
          </cell>
        </row>
        <row r="37396">
          <cell r="O37396" t="str">
            <v/>
          </cell>
        </row>
        <row r="37397">
          <cell r="O37397" t="str">
            <v/>
          </cell>
        </row>
        <row r="37398">
          <cell r="O37398" t="str">
            <v/>
          </cell>
        </row>
        <row r="37399">
          <cell r="O37399" t="str">
            <v/>
          </cell>
        </row>
        <row r="37400">
          <cell r="O37400" t="str">
            <v/>
          </cell>
        </row>
        <row r="37401">
          <cell r="O37401" t="str">
            <v/>
          </cell>
        </row>
        <row r="37402">
          <cell r="O37402" t="str">
            <v/>
          </cell>
        </row>
        <row r="37403">
          <cell r="O37403" t="str">
            <v/>
          </cell>
        </row>
        <row r="37404">
          <cell r="O37404" t="str">
            <v/>
          </cell>
        </row>
        <row r="37405">
          <cell r="O37405" t="str">
            <v/>
          </cell>
        </row>
        <row r="37406">
          <cell r="O37406" t="str">
            <v/>
          </cell>
        </row>
        <row r="37407">
          <cell r="O37407" t="str">
            <v/>
          </cell>
        </row>
        <row r="37408">
          <cell r="O37408" t="str">
            <v/>
          </cell>
        </row>
        <row r="37409">
          <cell r="O37409" t="str">
            <v/>
          </cell>
        </row>
        <row r="37410">
          <cell r="O37410" t="str">
            <v/>
          </cell>
        </row>
        <row r="37411">
          <cell r="O37411" t="str">
            <v/>
          </cell>
        </row>
        <row r="37412">
          <cell r="O37412" t="str">
            <v/>
          </cell>
        </row>
        <row r="37413">
          <cell r="O37413" t="str">
            <v/>
          </cell>
        </row>
        <row r="37414">
          <cell r="O37414" t="str">
            <v/>
          </cell>
        </row>
        <row r="37415">
          <cell r="O37415" t="str">
            <v/>
          </cell>
        </row>
        <row r="37416">
          <cell r="O37416" t="str">
            <v/>
          </cell>
        </row>
        <row r="37417">
          <cell r="O37417" t="str">
            <v/>
          </cell>
        </row>
        <row r="37418">
          <cell r="O37418" t="str">
            <v/>
          </cell>
        </row>
        <row r="37419">
          <cell r="O37419" t="str">
            <v/>
          </cell>
        </row>
        <row r="37420">
          <cell r="O37420" t="str">
            <v/>
          </cell>
        </row>
        <row r="37421">
          <cell r="O37421" t="str">
            <v/>
          </cell>
        </row>
        <row r="37422">
          <cell r="O37422" t="str">
            <v/>
          </cell>
        </row>
        <row r="37423">
          <cell r="O37423" t="str">
            <v/>
          </cell>
        </row>
        <row r="37424">
          <cell r="O37424" t="str">
            <v/>
          </cell>
        </row>
        <row r="37425">
          <cell r="O37425" t="str">
            <v/>
          </cell>
        </row>
        <row r="37426">
          <cell r="O37426" t="str">
            <v/>
          </cell>
        </row>
        <row r="37427">
          <cell r="O37427" t="str">
            <v/>
          </cell>
        </row>
        <row r="37428">
          <cell r="O37428" t="str">
            <v/>
          </cell>
        </row>
        <row r="37429">
          <cell r="O37429" t="str">
            <v/>
          </cell>
        </row>
        <row r="37430">
          <cell r="O37430" t="str">
            <v/>
          </cell>
        </row>
        <row r="37431">
          <cell r="O37431" t="str">
            <v/>
          </cell>
        </row>
        <row r="37432">
          <cell r="O37432" t="str">
            <v/>
          </cell>
        </row>
        <row r="37433">
          <cell r="O37433" t="str">
            <v/>
          </cell>
        </row>
        <row r="37434">
          <cell r="O37434" t="str">
            <v/>
          </cell>
        </row>
        <row r="37435">
          <cell r="O37435" t="str">
            <v/>
          </cell>
        </row>
        <row r="37436">
          <cell r="O37436" t="str">
            <v/>
          </cell>
        </row>
        <row r="37437">
          <cell r="O37437" t="str">
            <v/>
          </cell>
        </row>
        <row r="37438">
          <cell r="O37438" t="str">
            <v/>
          </cell>
        </row>
        <row r="37439">
          <cell r="O37439" t="str">
            <v/>
          </cell>
        </row>
        <row r="37440">
          <cell r="O37440" t="str">
            <v/>
          </cell>
        </row>
        <row r="37441">
          <cell r="O37441" t="str">
            <v/>
          </cell>
        </row>
        <row r="37442">
          <cell r="O37442" t="str">
            <v/>
          </cell>
        </row>
        <row r="37443">
          <cell r="O37443" t="str">
            <v/>
          </cell>
        </row>
        <row r="37444">
          <cell r="O37444" t="str">
            <v/>
          </cell>
        </row>
        <row r="37445">
          <cell r="O37445" t="str">
            <v/>
          </cell>
        </row>
        <row r="37446">
          <cell r="O37446" t="str">
            <v/>
          </cell>
        </row>
        <row r="37447">
          <cell r="O37447" t="str">
            <v/>
          </cell>
        </row>
        <row r="37448">
          <cell r="O37448" t="str">
            <v/>
          </cell>
        </row>
        <row r="37449">
          <cell r="O37449" t="str">
            <v/>
          </cell>
        </row>
        <row r="37450">
          <cell r="O37450" t="str">
            <v/>
          </cell>
        </row>
        <row r="37451">
          <cell r="O37451" t="str">
            <v/>
          </cell>
        </row>
        <row r="37452">
          <cell r="O37452" t="str">
            <v/>
          </cell>
        </row>
        <row r="37453">
          <cell r="O37453" t="str">
            <v/>
          </cell>
        </row>
        <row r="37454">
          <cell r="O37454" t="str">
            <v/>
          </cell>
        </row>
        <row r="37455">
          <cell r="O37455" t="str">
            <v/>
          </cell>
        </row>
        <row r="37456">
          <cell r="O37456" t="str">
            <v/>
          </cell>
        </row>
        <row r="37457">
          <cell r="O37457" t="str">
            <v/>
          </cell>
        </row>
        <row r="37458">
          <cell r="O37458" t="str">
            <v/>
          </cell>
        </row>
        <row r="37459">
          <cell r="O37459" t="str">
            <v/>
          </cell>
        </row>
        <row r="37460">
          <cell r="O37460" t="str">
            <v/>
          </cell>
        </row>
        <row r="37461">
          <cell r="O37461" t="str">
            <v/>
          </cell>
        </row>
        <row r="37462">
          <cell r="O37462" t="str">
            <v/>
          </cell>
        </row>
        <row r="37463">
          <cell r="O37463" t="str">
            <v/>
          </cell>
        </row>
        <row r="37464">
          <cell r="O37464" t="str">
            <v/>
          </cell>
        </row>
        <row r="37465">
          <cell r="O37465" t="str">
            <v/>
          </cell>
        </row>
        <row r="37466">
          <cell r="O37466" t="str">
            <v/>
          </cell>
        </row>
        <row r="37467">
          <cell r="O37467" t="str">
            <v/>
          </cell>
        </row>
        <row r="37468">
          <cell r="O37468" t="str">
            <v/>
          </cell>
        </row>
        <row r="37469">
          <cell r="O37469" t="str">
            <v/>
          </cell>
        </row>
        <row r="37470">
          <cell r="O37470" t="str">
            <v/>
          </cell>
        </row>
        <row r="37471">
          <cell r="O37471" t="str">
            <v/>
          </cell>
        </row>
        <row r="37472">
          <cell r="O37472" t="str">
            <v/>
          </cell>
        </row>
        <row r="37473">
          <cell r="O37473" t="str">
            <v/>
          </cell>
        </row>
        <row r="37474">
          <cell r="O37474" t="str">
            <v/>
          </cell>
        </row>
        <row r="37475">
          <cell r="O37475" t="str">
            <v/>
          </cell>
        </row>
        <row r="37476">
          <cell r="O37476" t="str">
            <v/>
          </cell>
        </row>
        <row r="37477">
          <cell r="O37477" t="str">
            <v/>
          </cell>
        </row>
        <row r="37478">
          <cell r="O37478" t="str">
            <v/>
          </cell>
        </row>
        <row r="37479">
          <cell r="O37479" t="str">
            <v/>
          </cell>
        </row>
        <row r="37480">
          <cell r="O37480" t="str">
            <v/>
          </cell>
        </row>
        <row r="37481">
          <cell r="O37481" t="str">
            <v/>
          </cell>
        </row>
        <row r="37482">
          <cell r="O37482" t="str">
            <v/>
          </cell>
        </row>
        <row r="37483">
          <cell r="O37483" t="str">
            <v/>
          </cell>
        </row>
        <row r="37484">
          <cell r="O37484" t="str">
            <v/>
          </cell>
        </row>
        <row r="37485">
          <cell r="O37485" t="str">
            <v/>
          </cell>
        </row>
        <row r="37486">
          <cell r="O37486" t="str">
            <v/>
          </cell>
        </row>
        <row r="37487">
          <cell r="O37487" t="str">
            <v/>
          </cell>
        </row>
        <row r="37488">
          <cell r="O37488" t="str">
            <v/>
          </cell>
        </row>
        <row r="37489">
          <cell r="O37489" t="str">
            <v/>
          </cell>
        </row>
        <row r="37490">
          <cell r="O37490" t="str">
            <v/>
          </cell>
        </row>
        <row r="37491">
          <cell r="O37491" t="str">
            <v/>
          </cell>
        </row>
        <row r="37492">
          <cell r="O37492" t="str">
            <v/>
          </cell>
        </row>
        <row r="37493">
          <cell r="O37493" t="str">
            <v/>
          </cell>
        </row>
        <row r="37494">
          <cell r="O37494" t="str">
            <v/>
          </cell>
        </row>
        <row r="37495">
          <cell r="O37495" t="str">
            <v/>
          </cell>
        </row>
        <row r="37496">
          <cell r="O37496" t="str">
            <v/>
          </cell>
        </row>
        <row r="37497">
          <cell r="O37497" t="str">
            <v/>
          </cell>
        </row>
        <row r="37498">
          <cell r="O37498" t="str">
            <v/>
          </cell>
        </row>
        <row r="37499">
          <cell r="O37499" t="str">
            <v/>
          </cell>
        </row>
        <row r="37500">
          <cell r="O37500" t="str">
            <v/>
          </cell>
        </row>
        <row r="37501">
          <cell r="O37501" t="str">
            <v/>
          </cell>
        </row>
        <row r="37502">
          <cell r="O37502" t="str">
            <v/>
          </cell>
        </row>
        <row r="37503">
          <cell r="O37503" t="str">
            <v/>
          </cell>
        </row>
        <row r="37504">
          <cell r="O37504" t="str">
            <v/>
          </cell>
        </row>
        <row r="37505">
          <cell r="O37505" t="str">
            <v/>
          </cell>
        </row>
        <row r="37506">
          <cell r="O37506" t="str">
            <v/>
          </cell>
        </row>
        <row r="37507">
          <cell r="O37507" t="str">
            <v/>
          </cell>
        </row>
        <row r="37508">
          <cell r="O37508" t="str">
            <v/>
          </cell>
        </row>
        <row r="37509">
          <cell r="O37509" t="str">
            <v/>
          </cell>
        </row>
        <row r="37510">
          <cell r="O37510" t="str">
            <v/>
          </cell>
        </row>
        <row r="37511">
          <cell r="O37511" t="str">
            <v/>
          </cell>
        </row>
        <row r="37512">
          <cell r="O37512" t="str">
            <v/>
          </cell>
        </row>
        <row r="37513">
          <cell r="O37513" t="str">
            <v/>
          </cell>
        </row>
        <row r="37514">
          <cell r="O37514" t="str">
            <v/>
          </cell>
        </row>
        <row r="37515">
          <cell r="O37515" t="str">
            <v/>
          </cell>
        </row>
        <row r="37516">
          <cell r="O37516" t="str">
            <v/>
          </cell>
        </row>
        <row r="37517">
          <cell r="O37517" t="str">
            <v/>
          </cell>
        </row>
        <row r="37518">
          <cell r="O37518" t="str">
            <v/>
          </cell>
        </row>
        <row r="37519">
          <cell r="O37519" t="str">
            <v/>
          </cell>
        </row>
        <row r="37520">
          <cell r="O37520" t="str">
            <v/>
          </cell>
        </row>
        <row r="37521">
          <cell r="O37521" t="str">
            <v/>
          </cell>
        </row>
        <row r="37522">
          <cell r="O37522" t="str">
            <v/>
          </cell>
        </row>
        <row r="37523">
          <cell r="O37523" t="str">
            <v/>
          </cell>
        </row>
        <row r="37524">
          <cell r="O37524" t="str">
            <v/>
          </cell>
        </row>
        <row r="37525">
          <cell r="O37525" t="str">
            <v/>
          </cell>
        </row>
        <row r="37526">
          <cell r="O37526" t="str">
            <v/>
          </cell>
        </row>
        <row r="37527">
          <cell r="O37527" t="str">
            <v/>
          </cell>
        </row>
        <row r="37528">
          <cell r="O37528" t="str">
            <v/>
          </cell>
        </row>
        <row r="37529">
          <cell r="O37529" t="str">
            <v/>
          </cell>
        </row>
        <row r="37530">
          <cell r="O37530" t="str">
            <v/>
          </cell>
        </row>
        <row r="37531">
          <cell r="O37531" t="str">
            <v/>
          </cell>
        </row>
        <row r="37532">
          <cell r="O37532" t="str">
            <v/>
          </cell>
        </row>
        <row r="37533">
          <cell r="O37533" t="str">
            <v/>
          </cell>
        </row>
        <row r="37534">
          <cell r="O37534" t="str">
            <v/>
          </cell>
        </row>
        <row r="37535">
          <cell r="O37535" t="str">
            <v/>
          </cell>
        </row>
        <row r="37536">
          <cell r="O37536" t="str">
            <v/>
          </cell>
        </row>
        <row r="37537">
          <cell r="O37537" t="str">
            <v/>
          </cell>
        </row>
        <row r="37538">
          <cell r="O37538" t="str">
            <v/>
          </cell>
        </row>
        <row r="37539">
          <cell r="O37539" t="str">
            <v/>
          </cell>
        </row>
        <row r="37540">
          <cell r="O37540" t="str">
            <v/>
          </cell>
        </row>
        <row r="37541">
          <cell r="O37541" t="str">
            <v/>
          </cell>
        </row>
        <row r="37542">
          <cell r="O37542" t="str">
            <v/>
          </cell>
        </row>
        <row r="37543">
          <cell r="O37543" t="str">
            <v/>
          </cell>
        </row>
        <row r="37544">
          <cell r="O37544" t="str">
            <v/>
          </cell>
        </row>
        <row r="37545">
          <cell r="O37545" t="str">
            <v/>
          </cell>
        </row>
        <row r="37546">
          <cell r="O37546" t="str">
            <v/>
          </cell>
        </row>
        <row r="37547">
          <cell r="O37547" t="str">
            <v/>
          </cell>
        </row>
        <row r="37548">
          <cell r="O37548" t="str">
            <v/>
          </cell>
        </row>
        <row r="37549">
          <cell r="O37549" t="str">
            <v/>
          </cell>
        </row>
        <row r="37550">
          <cell r="O37550" t="str">
            <v/>
          </cell>
        </row>
        <row r="37551">
          <cell r="O37551" t="str">
            <v/>
          </cell>
        </row>
        <row r="37552">
          <cell r="O37552" t="str">
            <v/>
          </cell>
        </row>
        <row r="37553">
          <cell r="O37553" t="str">
            <v/>
          </cell>
        </row>
        <row r="37554">
          <cell r="O37554" t="str">
            <v/>
          </cell>
        </row>
        <row r="37555">
          <cell r="O37555" t="str">
            <v/>
          </cell>
        </row>
        <row r="37556">
          <cell r="O37556" t="str">
            <v/>
          </cell>
        </row>
        <row r="37557">
          <cell r="O37557" t="str">
            <v/>
          </cell>
        </row>
        <row r="37558">
          <cell r="O37558" t="str">
            <v/>
          </cell>
        </row>
        <row r="37559">
          <cell r="O37559" t="str">
            <v/>
          </cell>
        </row>
        <row r="37560">
          <cell r="O37560" t="str">
            <v/>
          </cell>
        </row>
        <row r="37561">
          <cell r="O37561" t="str">
            <v/>
          </cell>
        </row>
        <row r="37562">
          <cell r="O37562" t="str">
            <v/>
          </cell>
        </row>
        <row r="37563">
          <cell r="O37563" t="str">
            <v/>
          </cell>
        </row>
        <row r="37564">
          <cell r="O37564" t="str">
            <v/>
          </cell>
        </row>
        <row r="37565">
          <cell r="O37565" t="str">
            <v/>
          </cell>
        </row>
        <row r="37566">
          <cell r="O37566" t="str">
            <v/>
          </cell>
        </row>
        <row r="37567">
          <cell r="O37567" t="str">
            <v/>
          </cell>
        </row>
        <row r="37568">
          <cell r="O37568" t="str">
            <v/>
          </cell>
        </row>
        <row r="37569">
          <cell r="O37569" t="str">
            <v/>
          </cell>
        </row>
        <row r="37570">
          <cell r="O37570" t="str">
            <v/>
          </cell>
        </row>
        <row r="37571">
          <cell r="O37571" t="str">
            <v/>
          </cell>
        </row>
        <row r="37572">
          <cell r="O37572" t="str">
            <v/>
          </cell>
        </row>
        <row r="37573">
          <cell r="O37573" t="str">
            <v/>
          </cell>
        </row>
        <row r="37574">
          <cell r="O37574" t="str">
            <v/>
          </cell>
        </row>
        <row r="37575">
          <cell r="O37575" t="str">
            <v/>
          </cell>
        </row>
        <row r="37576">
          <cell r="O37576" t="str">
            <v/>
          </cell>
        </row>
        <row r="37577">
          <cell r="O37577" t="str">
            <v/>
          </cell>
        </row>
        <row r="37578">
          <cell r="O37578" t="str">
            <v/>
          </cell>
        </row>
        <row r="37579">
          <cell r="O37579" t="str">
            <v/>
          </cell>
        </row>
        <row r="37580">
          <cell r="O37580" t="str">
            <v/>
          </cell>
        </row>
        <row r="37581">
          <cell r="O37581" t="str">
            <v/>
          </cell>
        </row>
        <row r="37582">
          <cell r="O37582" t="str">
            <v/>
          </cell>
        </row>
        <row r="37583">
          <cell r="O37583" t="str">
            <v/>
          </cell>
        </row>
        <row r="37584">
          <cell r="O37584" t="str">
            <v/>
          </cell>
        </row>
        <row r="37585">
          <cell r="O37585" t="str">
            <v/>
          </cell>
        </row>
        <row r="37586">
          <cell r="O37586" t="str">
            <v/>
          </cell>
        </row>
        <row r="37587">
          <cell r="O37587" t="str">
            <v/>
          </cell>
        </row>
        <row r="37588">
          <cell r="O37588" t="str">
            <v/>
          </cell>
        </row>
        <row r="37589">
          <cell r="O37589" t="str">
            <v/>
          </cell>
        </row>
        <row r="37590">
          <cell r="O37590" t="str">
            <v/>
          </cell>
        </row>
        <row r="37591">
          <cell r="O37591" t="str">
            <v/>
          </cell>
        </row>
        <row r="37592">
          <cell r="O37592" t="str">
            <v/>
          </cell>
        </row>
        <row r="37593">
          <cell r="O37593" t="str">
            <v/>
          </cell>
        </row>
        <row r="37594">
          <cell r="O37594" t="str">
            <v/>
          </cell>
        </row>
        <row r="37595">
          <cell r="O37595" t="str">
            <v/>
          </cell>
        </row>
        <row r="37596">
          <cell r="O37596" t="str">
            <v/>
          </cell>
        </row>
        <row r="37597">
          <cell r="O37597" t="str">
            <v/>
          </cell>
        </row>
        <row r="37598">
          <cell r="O37598" t="str">
            <v/>
          </cell>
        </row>
        <row r="37599">
          <cell r="O37599" t="str">
            <v/>
          </cell>
        </row>
        <row r="37600">
          <cell r="O37600" t="str">
            <v/>
          </cell>
        </row>
        <row r="37601">
          <cell r="O37601" t="str">
            <v/>
          </cell>
        </row>
        <row r="37602">
          <cell r="O37602" t="str">
            <v/>
          </cell>
        </row>
        <row r="37603">
          <cell r="O37603" t="str">
            <v/>
          </cell>
        </row>
        <row r="37604">
          <cell r="O37604" t="str">
            <v/>
          </cell>
        </row>
        <row r="37605">
          <cell r="O37605" t="str">
            <v/>
          </cell>
        </row>
        <row r="37606">
          <cell r="O37606" t="str">
            <v/>
          </cell>
        </row>
        <row r="37607">
          <cell r="O37607" t="str">
            <v/>
          </cell>
        </row>
        <row r="37608">
          <cell r="O37608" t="str">
            <v/>
          </cell>
        </row>
        <row r="37609">
          <cell r="O37609" t="str">
            <v/>
          </cell>
        </row>
        <row r="37610">
          <cell r="O37610" t="str">
            <v/>
          </cell>
        </row>
        <row r="37611">
          <cell r="O37611" t="str">
            <v/>
          </cell>
        </row>
        <row r="37612">
          <cell r="O37612" t="str">
            <v/>
          </cell>
        </row>
        <row r="37613">
          <cell r="O37613" t="str">
            <v/>
          </cell>
        </row>
        <row r="37614">
          <cell r="O37614" t="str">
            <v/>
          </cell>
        </row>
        <row r="37615">
          <cell r="O37615" t="str">
            <v/>
          </cell>
        </row>
        <row r="37616">
          <cell r="O37616" t="str">
            <v/>
          </cell>
        </row>
        <row r="37617">
          <cell r="O37617" t="str">
            <v/>
          </cell>
        </row>
        <row r="37618">
          <cell r="O37618" t="str">
            <v/>
          </cell>
        </row>
        <row r="37619">
          <cell r="O37619" t="str">
            <v/>
          </cell>
        </row>
        <row r="37620">
          <cell r="O37620" t="str">
            <v/>
          </cell>
        </row>
        <row r="37621">
          <cell r="O37621" t="str">
            <v/>
          </cell>
        </row>
        <row r="37622">
          <cell r="O37622" t="str">
            <v/>
          </cell>
        </row>
        <row r="37623">
          <cell r="O37623" t="str">
            <v/>
          </cell>
        </row>
        <row r="37624">
          <cell r="O37624" t="str">
            <v/>
          </cell>
        </row>
        <row r="37625">
          <cell r="O37625" t="str">
            <v/>
          </cell>
        </row>
        <row r="37626">
          <cell r="O37626" t="str">
            <v/>
          </cell>
        </row>
        <row r="37627">
          <cell r="O37627" t="str">
            <v/>
          </cell>
        </row>
        <row r="37628">
          <cell r="O37628" t="str">
            <v/>
          </cell>
        </row>
        <row r="37629">
          <cell r="O37629" t="str">
            <v/>
          </cell>
        </row>
        <row r="37630">
          <cell r="O37630" t="str">
            <v/>
          </cell>
        </row>
        <row r="37631">
          <cell r="O37631" t="str">
            <v/>
          </cell>
        </row>
        <row r="37632">
          <cell r="O37632" t="str">
            <v/>
          </cell>
        </row>
        <row r="37633">
          <cell r="O37633" t="str">
            <v/>
          </cell>
        </row>
        <row r="37634">
          <cell r="O37634" t="str">
            <v/>
          </cell>
        </row>
        <row r="37635">
          <cell r="O37635" t="str">
            <v/>
          </cell>
        </row>
        <row r="37636">
          <cell r="O37636" t="str">
            <v/>
          </cell>
        </row>
        <row r="37637">
          <cell r="O37637" t="str">
            <v/>
          </cell>
        </row>
        <row r="37638">
          <cell r="O37638" t="str">
            <v/>
          </cell>
        </row>
        <row r="37639">
          <cell r="O37639" t="str">
            <v/>
          </cell>
        </row>
        <row r="37640">
          <cell r="O37640" t="str">
            <v/>
          </cell>
        </row>
        <row r="37641">
          <cell r="O37641" t="str">
            <v/>
          </cell>
        </row>
        <row r="37642">
          <cell r="O37642" t="str">
            <v/>
          </cell>
        </row>
        <row r="37643">
          <cell r="O37643" t="str">
            <v/>
          </cell>
        </row>
        <row r="37644">
          <cell r="O37644" t="str">
            <v/>
          </cell>
        </row>
        <row r="37645">
          <cell r="O37645" t="str">
            <v/>
          </cell>
        </row>
        <row r="37646">
          <cell r="O37646" t="str">
            <v/>
          </cell>
        </row>
        <row r="37647">
          <cell r="O37647" t="str">
            <v/>
          </cell>
        </row>
        <row r="37648">
          <cell r="O37648" t="str">
            <v/>
          </cell>
        </row>
        <row r="37649">
          <cell r="O37649" t="str">
            <v/>
          </cell>
        </row>
        <row r="37650">
          <cell r="O37650" t="str">
            <v/>
          </cell>
        </row>
        <row r="37651">
          <cell r="O37651" t="str">
            <v/>
          </cell>
        </row>
        <row r="37652">
          <cell r="O37652" t="str">
            <v/>
          </cell>
        </row>
        <row r="37653">
          <cell r="O37653" t="str">
            <v/>
          </cell>
        </row>
        <row r="37654">
          <cell r="O37654" t="str">
            <v/>
          </cell>
        </row>
        <row r="37655">
          <cell r="O37655" t="str">
            <v/>
          </cell>
        </row>
        <row r="37656">
          <cell r="O37656" t="str">
            <v/>
          </cell>
        </row>
        <row r="37657">
          <cell r="O37657" t="str">
            <v/>
          </cell>
        </row>
        <row r="37658">
          <cell r="O37658" t="str">
            <v/>
          </cell>
        </row>
        <row r="37659">
          <cell r="O37659" t="str">
            <v/>
          </cell>
        </row>
        <row r="37660">
          <cell r="O37660" t="str">
            <v/>
          </cell>
        </row>
        <row r="37661">
          <cell r="O37661" t="str">
            <v/>
          </cell>
        </row>
        <row r="37662">
          <cell r="O37662" t="str">
            <v/>
          </cell>
        </row>
        <row r="37663">
          <cell r="O37663" t="str">
            <v/>
          </cell>
        </row>
        <row r="37664">
          <cell r="O37664" t="str">
            <v/>
          </cell>
        </row>
        <row r="37665">
          <cell r="O37665" t="str">
            <v/>
          </cell>
        </row>
        <row r="37666">
          <cell r="O37666" t="str">
            <v/>
          </cell>
        </row>
        <row r="37667">
          <cell r="O37667" t="str">
            <v/>
          </cell>
        </row>
        <row r="37668">
          <cell r="O37668" t="str">
            <v/>
          </cell>
        </row>
        <row r="37669">
          <cell r="O37669" t="str">
            <v/>
          </cell>
        </row>
        <row r="37670">
          <cell r="O37670" t="str">
            <v/>
          </cell>
        </row>
        <row r="37671">
          <cell r="O37671" t="str">
            <v/>
          </cell>
        </row>
        <row r="37672">
          <cell r="O37672" t="str">
            <v/>
          </cell>
        </row>
        <row r="37673">
          <cell r="O37673" t="str">
            <v/>
          </cell>
        </row>
        <row r="37674">
          <cell r="O37674" t="str">
            <v/>
          </cell>
        </row>
        <row r="37675">
          <cell r="O37675" t="str">
            <v/>
          </cell>
        </row>
        <row r="37676">
          <cell r="O37676" t="str">
            <v/>
          </cell>
        </row>
        <row r="37677">
          <cell r="O37677" t="str">
            <v/>
          </cell>
        </row>
        <row r="37678">
          <cell r="O37678" t="str">
            <v/>
          </cell>
        </row>
        <row r="37679">
          <cell r="O37679" t="str">
            <v/>
          </cell>
        </row>
        <row r="37680">
          <cell r="O37680" t="str">
            <v/>
          </cell>
        </row>
        <row r="37681">
          <cell r="O37681" t="str">
            <v/>
          </cell>
        </row>
        <row r="37682">
          <cell r="O37682" t="str">
            <v/>
          </cell>
        </row>
        <row r="37683">
          <cell r="O37683" t="str">
            <v/>
          </cell>
        </row>
        <row r="37684">
          <cell r="O37684" t="str">
            <v/>
          </cell>
        </row>
        <row r="37685">
          <cell r="O37685" t="str">
            <v/>
          </cell>
        </row>
        <row r="37686">
          <cell r="O37686" t="str">
            <v/>
          </cell>
        </row>
        <row r="37687">
          <cell r="O37687" t="str">
            <v/>
          </cell>
        </row>
        <row r="37688">
          <cell r="O37688" t="str">
            <v/>
          </cell>
        </row>
        <row r="37689">
          <cell r="O37689" t="str">
            <v/>
          </cell>
        </row>
        <row r="37690">
          <cell r="O37690" t="str">
            <v/>
          </cell>
        </row>
        <row r="37691">
          <cell r="O37691" t="str">
            <v/>
          </cell>
        </row>
        <row r="37692">
          <cell r="O37692" t="str">
            <v/>
          </cell>
        </row>
        <row r="37693">
          <cell r="O37693" t="str">
            <v/>
          </cell>
        </row>
        <row r="37694">
          <cell r="O37694" t="str">
            <v/>
          </cell>
        </row>
        <row r="37695">
          <cell r="O37695" t="str">
            <v/>
          </cell>
        </row>
        <row r="37696">
          <cell r="O37696" t="str">
            <v/>
          </cell>
        </row>
        <row r="37697">
          <cell r="O37697" t="str">
            <v/>
          </cell>
        </row>
        <row r="37698">
          <cell r="O37698" t="str">
            <v/>
          </cell>
        </row>
        <row r="37699">
          <cell r="O37699" t="str">
            <v/>
          </cell>
        </row>
        <row r="37700">
          <cell r="O37700" t="str">
            <v/>
          </cell>
        </row>
        <row r="37701">
          <cell r="O37701" t="str">
            <v/>
          </cell>
        </row>
        <row r="37702">
          <cell r="O37702" t="str">
            <v/>
          </cell>
        </row>
        <row r="37703">
          <cell r="O37703" t="str">
            <v/>
          </cell>
        </row>
        <row r="37704">
          <cell r="O37704" t="str">
            <v/>
          </cell>
        </row>
        <row r="37705">
          <cell r="O37705" t="str">
            <v/>
          </cell>
        </row>
        <row r="37706">
          <cell r="O37706" t="str">
            <v/>
          </cell>
        </row>
        <row r="37707">
          <cell r="O37707" t="str">
            <v/>
          </cell>
        </row>
        <row r="37708">
          <cell r="O37708" t="str">
            <v/>
          </cell>
        </row>
        <row r="37709">
          <cell r="O37709" t="str">
            <v/>
          </cell>
        </row>
        <row r="37710">
          <cell r="O37710" t="str">
            <v/>
          </cell>
        </row>
        <row r="37711">
          <cell r="O37711" t="str">
            <v/>
          </cell>
        </row>
        <row r="37712">
          <cell r="O37712" t="str">
            <v/>
          </cell>
        </row>
        <row r="37713">
          <cell r="O37713" t="str">
            <v/>
          </cell>
        </row>
        <row r="37714">
          <cell r="O37714" t="str">
            <v/>
          </cell>
        </row>
        <row r="37715">
          <cell r="O37715" t="str">
            <v/>
          </cell>
        </row>
        <row r="37716">
          <cell r="O37716" t="str">
            <v/>
          </cell>
        </row>
        <row r="37717">
          <cell r="O37717" t="str">
            <v/>
          </cell>
        </row>
        <row r="37718">
          <cell r="O37718" t="str">
            <v/>
          </cell>
        </row>
        <row r="37719">
          <cell r="O37719" t="str">
            <v/>
          </cell>
        </row>
        <row r="37720">
          <cell r="O37720" t="str">
            <v/>
          </cell>
        </row>
        <row r="37721">
          <cell r="O37721" t="str">
            <v/>
          </cell>
        </row>
        <row r="37722">
          <cell r="O37722" t="str">
            <v/>
          </cell>
        </row>
        <row r="37723">
          <cell r="O37723" t="str">
            <v/>
          </cell>
        </row>
        <row r="37724">
          <cell r="O37724" t="str">
            <v/>
          </cell>
        </row>
        <row r="37725">
          <cell r="O37725" t="str">
            <v/>
          </cell>
        </row>
        <row r="37726">
          <cell r="O37726" t="str">
            <v/>
          </cell>
        </row>
        <row r="37727">
          <cell r="O37727" t="str">
            <v/>
          </cell>
        </row>
        <row r="37728">
          <cell r="O37728" t="str">
            <v/>
          </cell>
        </row>
        <row r="37729">
          <cell r="O37729" t="str">
            <v/>
          </cell>
        </row>
        <row r="37730">
          <cell r="O37730" t="str">
            <v/>
          </cell>
        </row>
        <row r="37731">
          <cell r="O37731" t="str">
            <v/>
          </cell>
        </row>
        <row r="37732">
          <cell r="O37732" t="str">
            <v/>
          </cell>
        </row>
        <row r="37733">
          <cell r="O37733" t="str">
            <v/>
          </cell>
        </row>
        <row r="37734">
          <cell r="O37734" t="str">
            <v/>
          </cell>
        </row>
        <row r="37735">
          <cell r="O37735" t="str">
            <v/>
          </cell>
        </row>
        <row r="37736">
          <cell r="O37736" t="str">
            <v/>
          </cell>
        </row>
        <row r="37737">
          <cell r="O37737" t="str">
            <v/>
          </cell>
        </row>
        <row r="37738">
          <cell r="O37738" t="str">
            <v/>
          </cell>
        </row>
        <row r="37739">
          <cell r="O37739" t="str">
            <v/>
          </cell>
        </row>
        <row r="37740">
          <cell r="O37740" t="str">
            <v/>
          </cell>
        </row>
        <row r="37741">
          <cell r="O37741" t="str">
            <v/>
          </cell>
        </row>
        <row r="37742">
          <cell r="O37742" t="str">
            <v/>
          </cell>
        </row>
        <row r="37743">
          <cell r="O37743" t="str">
            <v/>
          </cell>
        </row>
        <row r="37744">
          <cell r="O37744" t="str">
            <v/>
          </cell>
        </row>
        <row r="37745">
          <cell r="O37745" t="str">
            <v/>
          </cell>
        </row>
        <row r="37746">
          <cell r="O37746" t="str">
            <v/>
          </cell>
        </row>
        <row r="37747">
          <cell r="O37747" t="str">
            <v/>
          </cell>
        </row>
        <row r="37748">
          <cell r="O37748" t="str">
            <v/>
          </cell>
        </row>
        <row r="37749">
          <cell r="O37749" t="str">
            <v/>
          </cell>
        </row>
        <row r="37750">
          <cell r="O37750" t="str">
            <v/>
          </cell>
        </row>
        <row r="37751">
          <cell r="O37751" t="str">
            <v/>
          </cell>
        </row>
        <row r="37752">
          <cell r="O37752" t="str">
            <v/>
          </cell>
        </row>
        <row r="37753">
          <cell r="O37753" t="str">
            <v/>
          </cell>
        </row>
        <row r="37754">
          <cell r="O37754" t="str">
            <v/>
          </cell>
        </row>
        <row r="37755">
          <cell r="O37755" t="str">
            <v/>
          </cell>
        </row>
        <row r="37756">
          <cell r="O37756" t="str">
            <v/>
          </cell>
        </row>
        <row r="37757">
          <cell r="O37757" t="str">
            <v/>
          </cell>
        </row>
        <row r="37758">
          <cell r="O37758" t="str">
            <v/>
          </cell>
        </row>
        <row r="37759">
          <cell r="O37759" t="str">
            <v/>
          </cell>
        </row>
        <row r="37760">
          <cell r="O37760" t="str">
            <v/>
          </cell>
        </row>
        <row r="37761">
          <cell r="O37761" t="str">
            <v/>
          </cell>
        </row>
        <row r="37762">
          <cell r="O37762" t="str">
            <v/>
          </cell>
        </row>
        <row r="37763">
          <cell r="O37763" t="str">
            <v/>
          </cell>
        </row>
        <row r="37764">
          <cell r="O37764" t="str">
            <v/>
          </cell>
        </row>
        <row r="37765">
          <cell r="O37765" t="str">
            <v/>
          </cell>
        </row>
        <row r="37766">
          <cell r="O37766" t="str">
            <v/>
          </cell>
        </row>
        <row r="37767">
          <cell r="O37767" t="str">
            <v/>
          </cell>
        </row>
        <row r="37768">
          <cell r="O37768" t="str">
            <v/>
          </cell>
        </row>
        <row r="37769">
          <cell r="O37769" t="str">
            <v/>
          </cell>
        </row>
        <row r="37770">
          <cell r="O37770" t="str">
            <v/>
          </cell>
        </row>
        <row r="37771">
          <cell r="O37771" t="str">
            <v/>
          </cell>
        </row>
        <row r="37772">
          <cell r="O37772" t="str">
            <v/>
          </cell>
        </row>
        <row r="37773">
          <cell r="O37773" t="str">
            <v/>
          </cell>
        </row>
        <row r="37774">
          <cell r="O37774" t="str">
            <v/>
          </cell>
        </row>
        <row r="37775">
          <cell r="O37775" t="str">
            <v/>
          </cell>
        </row>
        <row r="37776">
          <cell r="O37776" t="str">
            <v/>
          </cell>
        </row>
        <row r="37777">
          <cell r="O37777" t="str">
            <v/>
          </cell>
        </row>
        <row r="37778">
          <cell r="O37778" t="str">
            <v/>
          </cell>
        </row>
        <row r="37779">
          <cell r="O37779" t="str">
            <v/>
          </cell>
        </row>
        <row r="37780">
          <cell r="O37780" t="str">
            <v/>
          </cell>
        </row>
        <row r="37781">
          <cell r="O37781" t="str">
            <v/>
          </cell>
        </row>
        <row r="37782">
          <cell r="O37782" t="str">
            <v/>
          </cell>
        </row>
        <row r="37783">
          <cell r="O37783" t="str">
            <v/>
          </cell>
        </row>
        <row r="37784">
          <cell r="O37784" t="str">
            <v/>
          </cell>
        </row>
        <row r="37785">
          <cell r="O37785" t="str">
            <v/>
          </cell>
        </row>
        <row r="37786">
          <cell r="O37786" t="str">
            <v/>
          </cell>
        </row>
        <row r="37787">
          <cell r="O37787" t="str">
            <v/>
          </cell>
        </row>
        <row r="37788">
          <cell r="O37788" t="str">
            <v/>
          </cell>
        </row>
        <row r="37789">
          <cell r="O37789" t="str">
            <v/>
          </cell>
        </row>
        <row r="37790">
          <cell r="O37790" t="str">
            <v/>
          </cell>
        </row>
        <row r="37791">
          <cell r="O37791" t="str">
            <v/>
          </cell>
        </row>
        <row r="37792">
          <cell r="O37792" t="str">
            <v/>
          </cell>
        </row>
        <row r="37793">
          <cell r="O37793" t="str">
            <v/>
          </cell>
        </row>
        <row r="37794">
          <cell r="O37794" t="str">
            <v/>
          </cell>
        </row>
        <row r="37795">
          <cell r="O37795" t="str">
            <v/>
          </cell>
        </row>
        <row r="37796">
          <cell r="O37796" t="str">
            <v/>
          </cell>
        </row>
        <row r="37797">
          <cell r="O37797" t="str">
            <v/>
          </cell>
        </row>
        <row r="37798">
          <cell r="O37798" t="str">
            <v/>
          </cell>
        </row>
        <row r="37799">
          <cell r="O37799" t="str">
            <v/>
          </cell>
        </row>
        <row r="37800">
          <cell r="O37800" t="str">
            <v/>
          </cell>
        </row>
        <row r="37801">
          <cell r="O37801" t="str">
            <v/>
          </cell>
        </row>
        <row r="37802">
          <cell r="O37802" t="str">
            <v/>
          </cell>
        </row>
        <row r="37803">
          <cell r="O37803" t="str">
            <v/>
          </cell>
        </row>
        <row r="37804">
          <cell r="O37804" t="str">
            <v/>
          </cell>
        </row>
        <row r="37805">
          <cell r="O37805" t="str">
            <v/>
          </cell>
        </row>
        <row r="37806">
          <cell r="O37806" t="str">
            <v/>
          </cell>
        </row>
        <row r="37807">
          <cell r="O37807" t="str">
            <v/>
          </cell>
        </row>
        <row r="37808">
          <cell r="O37808" t="str">
            <v/>
          </cell>
        </row>
        <row r="37809">
          <cell r="O37809" t="str">
            <v/>
          </cell>
        </row>
        <row r="37810">
          <cell r="O37810" t="str">
            <v/>
          </cell>
        </row>
        <row r="37811">
          <cell r="O37811" t="str">
            <v/>
          </cell>
        </row>
        <row r="37812">
          <cell r="O37812" t="str">
            <v/>
          </cell>
        </row>
        <row r="37813">
          <cell r="O37813" t="str">
            <v/>
          </cell>
        </row>
        <row r="37814">
          <cell r="O37814" t="str">
            <v/>
          </cell>
        </row>
        <row r="37815">
          <cell r="O37815" t="str">
            <v/>
          </cell>
        </row>
        <row r="37816">
          <cell r="O37816" t="str">
            <v/>
          </cell>
        </row>
        <row r="37817">
          <cell r="O37817" t="str">
            <v/>
          </cell>
        </row>
        <row r="37818">
          <cell r="O37818" t="str">
            <v/>
          </cell>
        </row>
        <row r="37819">
          <cell r="O37819" t="str">
            <v/>
          </cell>
        </row>
        <row r="37820">
          <cell r="O37820" t="str">
            <v/>
          </cell>
        </row>
        <row r="37821">
          <cell r="O37821" t="str">
            <v/>
          </cell>
        </row>
        <row r="37822">
          <cell r="O37822" t="str">
            <v/>
          </cell>
        </row>
        <row r="37823">
          <cell r="O37823" t="str">
            <v/>
          </cell>
        </row>
        <row r="37824">
          <cell r="O37824" t="str">
            <v/>
          </cell>
        </row>
        <row r="37825">
          <cell r="O37825" t="str">
            <v/>
          </cell>
        </row>
        <row r="37826">
          <cell r="O37826" t="str">
            <v/>
          </cell>
        </row>
        <row r="37827">
          <cell r="O37827" t="str">
            <v/>
          </cell>
        </row>
        <row r="37828">
          <cell r="O37828" t="str">
            <v/>
          </cell>
        </row>
        <row r="37829">
          <cell r="O37829" t="str">
            <v/>
          </cell>
        </row>
        <row r="37830">
          <cell r="O37830" t="str">
            <v/>
          </cell>
        </row>
        <row r="37831">
          <cell r="O37831" t="str">
            <v/>
          </cell>
        </row>
        <row r="37832">
          <cell r="O37832" t="str">
            <v/>
          </cell>
        </row>
        <row r="37833">
          <cell r="O37833" t="str">
            <v/>
          </cell>
        </row>
        <row r="37834">
          <cell r="O37834" t="str">
            <v/>
          </cell>
        </row>
        <row r="37835">
          <cell r="O37835" t="str">
            <v/>
          </cell>
        </row>
        <row r="37836">
          <cell r="O37836" t="str">
            <v/>
          </cell>
        </row>
        <row r="37837">
          <cell r="O37837" t="str">
            <v/>
          </cell>
        </row>
        <row r="37838">
          <cell r="O37838" t="str">
            <v/>
          </cell>
        </row>
        <row r="37839">
          <cell r="O37839" t="str">
            <v/>
          </cell>
        </row>
        <row r="37840">
          <cell r="O37840" t="str">
            <v/>
          </cell>
        </row>
        <row r="37841">
          <cell r="O37841" t="str">
            <v/>
          </cell>
        </row>
        <row r="37842">
          <cell r="O37842" t="str">
            <v/>
          </cell>
        </row>
        <row r="37843">
          <cell r="O37843" t="str">
            <v/>
          </cell>
        </row>
        <row r="37844">
          <cell r="O37844" t="str">
            <v/>
          </cell>
        </row>
        <row r="37845">
          <cell r="O37845" t="str">
            <v/>
          </cell>
        </row>
        <row r="37846">
          <cell r="O37846" t="str">
            <v/>
          </cell>
        </row>
        <row r="37847">
          <cell r="O37847" t="str">
            <v/>
          </cell>
        </row>
        <row r="37848">
          <cell r="O37848" t="str">
            <v/>
          </cell>
        </row>
        <row r="37849">
          <cell r="O37849" t="str">
            <v/>
          </cell>
        </row>
        <row r="37850">
          <cell r="O37850" t="str">
            <v/>
          </cell>
        </row>
        <row r="37851">
          <cell r="O37851" t="str">
            <v/>
          </cell>
        </row>
        <row r="37852">
          <cell r="O37852" t="str">
            <v/>
          </cell>
        </row>
        <row r="37853">
          <cell r="O37853" t="str">
            <v/>
          </cell>
        </row>
        <row r="37854">
          <cell r="O37854" t="str">
            <v/>
          </cell>
        </row>
        <row r="37855">
          <cell r="O37855" t="str">
            <v/>
          </cell>
        </row>
        <row r="37856">
          <cell r="O37856" t="str">
            <v/>
          </cell>
        </row>
        <row r="37857">
          <cell r="O37857" t="str">
            <v/>
          </cell>
        </row>
        <row r="37858">
          <cell r="O37858" t="str">
            <v/>
          </cell>
        </row>
        <row r="37859">
          <cell r="O37859" t="str">
            <v/>
          </cell>
        </row>
        <row r="37860">
          <cell r="O37860" t="str">
            <v/>
          </cell>
        </row>
        <row r="37861">
          <cell r="O37861" t="str">
            <v/>
          </cell>
        </row>
        <row r="37862">
          <cell r="O37862" t="str">
            <v/>
          </cell>
        </row>
        <row r="37863">
          <cell r="O37863" t="str">
            <v/>
          </cell>
        </row>
        <row r="37864">
          <cell r="O37864" t="str">
            <v/>
          </cell>
        </row>
        <row r="37865">
          <cell r="O37865" t="str">
            <v/>
          </cell>
        </row>
        <row r="37866">
          <cell r="O37866" t="str">
            <v/>
          </cell>
        </row>
        <row r="37867">
          <cell r="O37867" t="str">
            <v/>
          </cell>
        </row>
        <row r="37868">
          <cell r="O37868" t="str">
            <v/>
          </cell>
        </row>
        <row r="37869">
          <cell r="O37869" t="str">
            <v/>
          </cell>
        </row>
        <row r="37870">
          <cell r="O37870" t="str">
            <v/>
          </cell>
        </row>
        <row r="37871">
          <cell r="O37871" t="str">
            <v/>
          </cell>
        </row>
        <row r="37872">
          <cell r="O37872" t="str">
            <v/>
          </cell>
        </row>
        <row r="37873">
          <cell r="O37873" t="str">
            <v/>
          </cell>
        </row>
        <row r="37874">
          <cell r="O37874" t="str">
            <v/>
          </cell>
        </row>
        <row r="37875">
          <cell r="O37875" t="str">
            <v/>
          </cell>
        </row>
        <row r="37876">
          <cell r="O37876" t="str">
            <v/>
          </cell>
        </row>
        <row r="37877">
          <cell r="O37877" t="str">
            <v/>
          </cell>
        </row>
        <row r="37878">
          <cell r="O37878" t="str">
            <v/>
          </cell>
        </row>
        <row r="37879">
          <cell r="O37879" t="str">
            <v/>
          </cell>
        </row>
        <row r="37880">
          <cell r="O37880" t="str">
            <v/>
          </cell>
        </row>
        <row r="37881">
          <cell r="O37881" t="str">
            <v/>
          </cell>
        </row>
        <row r="37882">
          <cell r="O37882" t="str">
            <v/>
          </cell>
        </row>
        <row r="37883">
          <cell r="O37883" t="str">
            <v/>
          </cell>
        </row>
        <row r="37884">
          <cell r="O37884" t="str">
            <v/>
          </cell>
        </row>
        <row r="37885">
          <cell r="O37885" t="str">
            <v/>
          </cell>
        </row>
        <row r="37886">
          <cell r="O37886" t="str">
            <v/>
          </cell>
        </row>
        <row r="37887">
          <cell r="O37887" t="str">
            <v/>
          </cell>
        </row>
        <row r="37888">
          <cell r="O37888" t="str">
            <v/>
          </cell>
        </row>
        <row r="37889">
          <cell r="O37889" t="str">
            <v/>
          </cell>
        </row>
        <row r="37890">
          <cell r="O37890" t="str">
            <v/>
          </cell>
        </row>
        <row r="37891">
          <cell r="O37891" t="str">
            <v/>
          </cell>
        </row>
        <row r="37892">
          <cell r="O37892" t="str">
            <v/>
          </cell>
        </row>
        <row r="37893">
          <cell r="O37893" t="str">
            <v/>
          </cell>
        </row>
        <row r="37894">
          <cell r="O37894" t="str">
            <v/>
          </cell>
        </row>
        <row r="37895">
          <cell r="O37895" t="str">
            <v/>
          </cell>
        </row>
        <row r="37896">
          <cell r="O37896" t="str">
            <v/>
          </cell>
        </row>
        <row r="37897">
          <cell r="O37897" t="str">
            <v/>
          </cell>
        </row>
        <row r="37898">
          <cell r="O37898" t="str">
            <v/>
          </cell>
        </row>
        <row r="37899">
          <cell r="O37899" t="str">
            <v/>
          </cell>
        </row>
        <row r="37900">
          <cell r="O37900" t="str">
            <v/>
          </cell>
        </row>
        <row r="37901">
          <cell r="O37901" t="str">
            <v/>
          </cell>
        </row>
        <row r="37902">
          <cell r="O37902" t="str">
            <v/>
          </cell>
        </row>
        <row r="37903">
          <cell r="O37903" t="str">
            <v/>
          </cell>
        </row>
        <row r="37904">
          <cell r="O37904" t="str">
            <v/>
          </cell>
        </row>
        <row r="37905">
          <cell r="O37905" t="str">
            <v/>
          </cell>
        </row>
        <row r="37906">
          <cell r="O37906" t="str">
            <v/>
          </cell>
        </row>
        <row r="37907">
          <cell r="O37907" t="str">
            <v/>
          </cell>
        </row>
        <row r="37908">
          <cell r="O37908" t="str">
            <v/>
          </cell>
        </row>
        <row r="37909">
          <cell r="O37909" t="str">
            <v/>
          </cell>
        </row>
        <row r="37910">
          <cell r="O37910" t="str">
            <v/>
          </cell>
        </row>
        <row r="37911">
          <cell r="O37911" t="str">
            <v/>
          </cell>
        </row>
        <row r="37912">
          <cell r="O37912" t="str">
            <v/>
          </cell>
        </row>
        <row r="37913">
          <cell r="O37913" t="str">
            <v/>
          </cell>
        </row>
        <row r="37914">
          <cell r="O37914" t="str">
            <v/>
          </cell>
        </row>
        <row r="37915">
          <cell r="O37915" t="str">
            <v/>
          </cell>
        </row>
        <row r="37916">
          <cell r="O37916" t="str">
            <v/>
          </cell>
        </row>
        <row r="37917">
          <cell r="O37917" t="str">
            <v/>
          </cell>
        </row>
        <row r="37918">
          <cell r="O37918" t="str">
            <v/>
          </cell>
        </row>
        <row r="37919">
          <cell r="O37919" t="str">
            <v/>
          </cell>
        </row>
        <row r="37920">
          <cell r="O37920" t="str">
            <v/>
          </cell>
        </row>
        <row r="37921">
          <cell r="O37921" t="str">
            <v/>
          </cell>
        </row>
        <row r="37922">
          <cell r="O37922" t="str">
            <v/>
          </cell>
        </row>
        <row r="37923">
          <cell r="O37923" t="str">
            <v/>
          </cell>
        </row>
        <row r="37924">
          <cell r="O37924" t="str">
            <v/>
          </cell>
        </row>
        <row r="37925">
          <cell r="O37925" t="str">
            <v/>
          </cell>
        </row>
        <row r="37926">
          <cell r="O37926" t="str">
            <v/>
          </cell>
        </row>
        <row r="37927">
          <cell r="O37927" t="str">
            <v/>
          </cell>
        </row>
        <row r="37928">
          <cell r="O37928" t="str">
            <v/>
          </cell>
        </row>
        <row r="37929">
          <cell r="O37929" t="str">
            <v/>
          </cell>
        </row>
        <row r="37930">
          <cell r="O37930" t="str">
            <v/>
          </cell>
        </row>
        <row r="37931">
          <cell r="O37931" t="str">
            <v/>
          </cell>
        </row>
        <row r="37932">
          <cell r="O37932" t="str">
            <v/>
          </cell>
        </row>
        <row r="37933">
          <cell r="O37933" t="str">
            <v/>
          </cell>
        </row>
        <row r="37934">
          <cell r="O37934" t="str">
            <v/>
          </cell>
        </row>
        <row r="37935">
          <cell r="O37935" t="str">
            <v/>
          </cell>
        </row>
        <row r="37936">
          <cell r="O37936" t="str">
            <v/>
          </cell>
        </row>
        <row r="37937">
          <cell r="O37937" t="str">
            <v/>
          </cell>
        </row>
        <row r="37938">
          <cell r="O37938" t="str">
            <v/>
          </cell>
        </row>
        <row r="37939">
          <cell r="O37939" t="str">
            <v/>
          </cell>
        </row>
        <row r="37940">
          <cell r="O37940" t="str">
            <v/>
          </cell>
        </row>
        <row r="37941">
          <cell r="O37941" t="str">
            <v/>
          </cell>
        </row>
        <row r="37942">
          <cell r="O37942" t="str">
            <v/>
          </cell>
        </row>
        <row r="37943">
          <cell r="O37943" t="str">
            <v/>
          </cell>
        </row>
        <row r="37944">
          <cell r="O37944" t="str">
            <v/>
          </cell>
        </row>
        <row r="37945">
          <cell r="O37945" t="str">
            <v/>
          </cell>
        </row>
        <row r="37946">
          <cell r="O37946" t="str">
            <v/>
          </cell>
        </row>
        <row r="37947">
          <cell r="O37947" t="str">
            <v/>
          </cell>
        </row>
        <row r="37948">
          <cell r="O37948" t="str">
            <v/>
          </cell>
        </row>
        <row r="37949">
          <cell r="O37949" t="str">
            <v/>
          </cell>
        </row>
        <row r="37950">
          <cell r="O37950" t="str">
            <v/>
          </cell>
        </row>
        <row r="37951">
          <cell r="O37951" t="str">
            <v/>
          </cell>
        </row>
        <row r="37952">
          <cell r="O37952" t="str">
            <v/>
          </cell>
        </row>
        <row r="37953">
          <cell r="O37953" t="str">
            <v/>
          </cell>
        </row>
        <row r="37954">
          <cell r="O37954" t="str">
            <v/>
          </cell>
        </row>
        <row r="37955">
          <cell r="O37955" t="str">
            <v/>
          </cell>
        </row>
        <row r="37956">
          <cell r="O37956" t="str">
            <v/>
          </cell>
        </row>
        <row r="37957">
          <cell r="O37957" t="str">
            <v/>
          </cell>
        </row>
        <row r="37958">
          <cell r="O37958" t="str">
            <v/>
          </cell>
        </row>
        <row r="37959">
          <cell r="O37959" t="str">
            <v/>
          </cell>
        </row>
        <row r="37960">
          <cell r="O37960" t="str">
            <v/>
          </cell>
        </row>
        <row r="37961">
          <cell r="O37961" t="str">
            <v/>
          </cell>
        </row>
        <row r="37962">
          <cell r="O37962" t="str">
            <v/>
          </cell>
        </row>
        <row r="37963">
          <cell r="O37963" t="str">
            <v/>
          </cell>
        </row>
        <row r="37964">
          <cell r="O37964" t="str">
            <v/>
          </cell>
        </row>
        <row r="37965">
          <cell r="O37965" t="str">
            <v/>
          </cell>
        </row>
        <row r="37966">
          <cell r="O37966" t="str">
            <v/>
          </cell>
        </row>
        <row r="37967">
          <cell r="O37967" t="str">
            <v/>
          </cell>
        </row>
        <row r="37968">
          <cell r="O37968" t="str">
            <v/>
          </cell>
        </row>
        <row r="37969">
          <cell r="O37969" t="str">
            <v/>
          </cell>
        </row>
        <row r="37970">
          <cell r="O37970" t="str">
            <v/>
          </cell>
        </row>
        <row r="37971">
          <cell r="O37971" t="str">
            <v/>
          </cell>
        </row>
        <row r="37972">
          <cell r="O37972" t="str">
            <v/>
          </cell>
        </row>
        <row r="37973">
          <cell r="O37973" t="str">
            <v/>
          </cell>
        </row>
        <row r="37974">
          <cell r="O37974" t="str">
            <v/>
          </cell>
        </row>
        <row r="37975">
          <cell r="O37975" t="str">
            <v/>
          </cell>
        </row>
        <row r="37976">
          <cell r="O37976" t="str">
            <v/>
          </cell>
        </row>
        <row r="37977">
          <cell r="O37977" t="str">
            <v/>
          </cell>
        </row>
        <row r="37978">
          <cell r="O37978" t="str">
            <v/>
          </cell>
        </row>
        <row r="37979">
          <cell r="O37979" t="str">
            <v/>
          </cell>
        </row>
        <row r="37980">
          <cell r="O37980" t="str">
            <v/>
          </cell>
        </row>
        <row r="37981">
          <cell r="O37981" t="str">
            <v/>
          </cell>
        </row>
        <row r="37982">
          <cell r="O37982" t="str">
            <v/>
          </cell>
        </row>
        <row r="37983">
          <cell r="O37983" t="str">
            <v/>
          </cell>
        </row>
        <row r="37984">
          <cell r="O37984" t="str">
            <v/>
          </cell>
        </row>
        <row r="37985">
          <cell r="O37985" t="str">
            <v/>
          </cell>
        </row>
        <row r="37986">
          <cell r="O37986" t="str">
            <v/>
          </cell>
        </row>
        <row r="37987">
          <cell r="O37987" t="str">
            <v/>
          </cell>
        </row>
        <row r="37988">
          <cell r="O37988" t="str">
            <v/>
          </cell>
        </row>
        <row r="37989">
          <cell r="O37989" t="str">
            <v/>
          </cell>
        </row>
        <row r="37990">
          <cell r="O37990" t="str">
            <v/>
          </cell>
        </row>
        <row r="37991">
          <cell r="O37991" t="str">
            <v/>
          </cell>
        </row>
        <row r="37992">
          <cell r="O37992" t="str">
            <v/>
          </cell>
        </row>
        <row r="37993">
          <cell r="O37993" t="str">
            <v/>
          </cell>
        </row>
        <row r="37994">
          <cell r="O37994" t="str">
            <v/>
          </cell>
        </row>
        <row r="37995">
          <cell r="O37995" t="str">
            <v/>
          </cell>
        </row>
        <row r="37996">
          <cell r="O37996" t="str">
            <v/>
          </cell>
        </row>
        <row r="37997">
          <cell r="O37997" t="str">
            <v/>
          </cell>
        </row>
        <row r="37998">
          <cell r="O37998" t="str">
            <v/>
          </cell>
        </row>
        <row r="37999">
          <cell r="O37999" t="str">
            <v/>
          </cell>
        </row>
        <row r="38000">
          <cell r="O38000" t="str">
            <v/>
          </cell>
        </row>
        <row r="38001">
          <cell r="O38001" t="str">
            <v/>
          </cell>
        </row>
        <row r="38002">
          <cell r="O38002" t="str">
            <v/>
          </cell>
        </row>
        <row r="38003">
          <cell r="O38003" t="str">
            <v/>
          </cell>
        </row>
        <row r="38004">
          <cell r="O38004" t="str">
            <v/>
          </cell>
        </row>
        <row r="38005">
          <cell r="O38005" t="str">
            <v/>
          </cell>
        </row>
        <row r="38006">
          <cell r="O38006" t="str">
            <v/>
          </cell>
        </row>
        <row r="38007">
          <cell r="O38007" t="str">
            <v/>
          </cell>
        </row>
        <row r="38008">
          <cell r="O38008" t="str">
            <v/>
          </cell>
        </row>
        <row r="38009">
          <cell r="O38009" t="str">
            <v/>
          </cell>
        </row>
        <row r="38010">
          <cell r="O38010" t="str">
            <v/>
          </cell>
        </row>
        <row r="38011">
          <cell r="O38011" t="str">
            <v/>
          </cell>
        </row>
        <row r="38012">
          <cell r="O38012" t="str">
            <v/>
          </cell>
        </row>
        <row r="38013">
          <cell r="O38013" t="str">
            <v/>
          </cell>
        </row>
        <row r="38014">
          <cell r="O38014" t="str">
            <v/>
          </cell>
        </row>
        <row r="38015">
          <cell r="O38015" t="str">
            <v/>
          </cell>
        </row>
        <row r="38016">
          <cell r="O38016" t="str">
            <v/>
          </cell>
        </row>
        <row r="38017">
          <cell r="O38017" t="str">
            <v/>
          </cell>
        </row>
        <row r="38018">
          <cell r="O38018" t="str">
            <v/>
          </cell>
        </row>
        <row r="38019">
          <cell r="O38019" t="str">
            <v/>
          </cell>
        </row>
        <row r="38020">
          <cell r="O38020" t="str">
            <v/>
          </cell>
        </row>
        <row r="38021">
          <cell r="O38021" t="str">
            <v/>
          </cell>
        </row>
        <row r="38022">
          <cell r="O38022" t="str">
            <v/>
          </cell>
        </row>
        <row r="38023">
          <cell r="O38023" t="str">
            <v/>
          </cell>
        </row>
        <row r="38024">
          <cell r="O38024" t="str">
            <v/>
          </cell>
        </row>
        <row r="38025">
          <cell r="O38025" t="str">
            <v/>
          </cell>
        </row>
        <row r="38026">
          <cell r="O38026" t="str">
            <v/>
          </cell>
        </row>
        <row r="38027">
          <cell r="O38027" t="str">
            <v/>
          </cell>
        </row>
        <row r="38028">
          <cell r="O38028" t="str">
            <v/>
          </cell>
        </row>
        <row r="38029">
          <cell r="O38029" t="str">
            <v/>
          </cell>
        </row>
        <row r="38030">
          <cell r="O38030" t="str">
            <v/>
          </cell>
        </row>
        <row r="38031">
          <cell r="O38031" t="str">
            <v/>
          </cell>
        </row>
        <row r="38032">
          <cell r="O38032" t="str">
            <v/>
          </cell>
        </row>
        <row r="38033">
          <cell r="O38033" t="str">
            <v/>
          </cell>
        </row>
        <row r="38034">
          <cell r="O38034" t="str">
            <v/>
          </cell>
        </row>
        <row r="38035">
          <cell r="O38035" t="str">
            <v/>
          </cell>
        </row>
        <row r="38036">
          <cell r="O38036" t="str">
            <v/>
          </cell>
        </row>
        <row r="38037">
          <cell r="O38037" t="str">
            <v/>
          </cell>
        </row>
        <row r="38038">
          <cell r="O38038" t="str">
            <v/>
          </cell>
        </row>
        <row r="38039">
          <cell r="O38039" t="str">
            <v/>
          </cell>
        </row>
        <row r="38040">
          <cell r="O38040" t="str">
            <v/>
          </cell>
        </row>
        <row r="38041">
          <cell r="O38041" t="str">
            <v/>
          </cell>
        </row>
        <row r="38042">
          <cell r="O38042" t="str">
            <v/>
          </cell>
        </row>
        <row r="38043">
          <cell r="O38043" t="str">
            <v/>
          </cell>
        </row>
        <row r="38044">
          <cell r="O38044" t="str">
            <v/>
          </cell>
        </row>
        <row r="38045">
          <cell r="O38045" t="str">
            <v/>
          </cell>
        </row>
        <row r="38046">
          <cell r="O38046" t="str">
            <v/>
          </cell>
        </row>
        <row r="38047">
          <cell r="O38047" t="str">
            <v/>
          </cell>
        </row>
        <row r="38048">
          <cell r="O38048" t="str">
            <v/>
          </cell>
        </row>
        <row r="38049">
          <cell r="O38049" t="str">
            <v/>
          </cell>
        </row>
        <row r="38050">
          <cell r="O38050" t="str">
            <v/>
          </cell>
        </row>
        <row r="38051">
          <cell r="O38051" t="str">
            <v/>
          </cell>
        </row>
        <row r="38052">
          <cell r="O38052" t="str">
            <v/>
          </cell>
        </row>
        <row r="38053">
          <cell r="O38053" t="str">
            <v/>
          </cell>
        </row>
        <row r="38054">
          <cell r="O38054" t="str">
            <v/>
          </cell>
        </row>
        <row r="38055">
          <cell r="O38055" t="str">
            <v/>
          </cell>
        </row>
        <row r="38056">
          <cell r="O38056" t="str">
            <v/>
          </cell>
        </row>
        <row r="38057">
          <cell r="O38057" t="str">
            <v/>
          </cell>
        </row>
        <row r="38058">
          <cell r="O38058" t="str">
            <v/>
          </cell>
        </row>
        <row r="38059">
          <cell r="O38059" t="str">
            <v/>
          </cell>
        </row>
        <row r="38060">
          <cell r="O38060" t="str">
            <v/>
          </cell>
        </row>
        <row r="38061">
          <cell r="O38061" t="str">
            <v/>
          </cell>
        </row>
        <row r="38062">
          <cell r="O38062" t="str">
            <v/>
          </cell>
        </row>
        <row r="38063">
          <cell r="O38063" t="str">
            <v/>
          </cell>
        </row>
        <row r="38064">
          <cell r="O38064" t="str">
            <v/>
          </cell>
        </row>
        <row r="38065">
          <cell r="O38065" t="str">
            <v/>
          </cell>
        </row>
        <row r="38066">
          <cell r="O38066" t="str">
            <v/>
          </cell>
        </row>
        <row r="38067">
          <cell r="O38067" t="str">
            <v/>
          </cell>
        </row>
        <row r="38068">
          <cell r="O38068" t="str">
            <v/>
          </cell>
        </row>
        <row r="38069">
          <cell r="O38069" t="str">
            <v/>
          </cell>
        </row>
        <row r="38070">
          <cell r="O38070" t="str">
            <v/>
          </cell>
        </row>
        <row r="38071">
          <cell r="O38071" t="str">
            <v/>
          </cell>
        </row>
        <row r="38072">
          <cell r="O38072" t="str">
            <v/>
          </cell>
        </row>
        <row r="38073">
          <cell r="O38073" t="str">
            <v/>
          </cell>
        </row>
        <row r="38074">
          <cell r="O38074" t="str">
            <v/>
          </cell>
        </row>
        <row r="38075">
          <cell r="O38075" t="str">
            <v/>
          </cell>
        </row>
        <row r="38076">
          <cell r="O38076" t="str">
            <v/>
          </cell>
        </row>
        <row r="38077">
          <cell r="O38077" t="str">
            <v/>
          </cell>
        </row>
        <row r="38078">
          <cell r="O38078" t="str">
            <v/>
          </cell>
        </row>
        <row r="38079">
          <cell r="O38079" t="str">
            <v/>
          </cell>
        </row>
        <row r="38080">
          <cell r="O38080" t="str">
            <v/>
          </cell>
        </row>
        <row r="38081">
          <cell r="O38081" t="str">
            <v/>
          </cell>
        </row>
        <row r="38082">
          <cell r="O38082" t="str">
            <v/>
          </cell>
        </row>
        <row r="38083">
          <cell r="O38083" t="str">
            <v/>
          </cell>
        </row>
        <row r="38084">
          <cell r="O38084" t="str">
            <v/>
          </cell>
        </row>
        <row r="38085">
          <cell r="O38085" t="str">
            <v/>
          </cell>
        </row>
        <row r="38086">
          <cell r="O38086" t="str">
            <v/>
          </cell>
        </row>
        <row r="38087">
          <cell r="O38087" t="str">
            <v/>
          </cell>
        </row>
        <row r="38088">
          <cell r="O38088" t="str">
            <v/>
          </cell>
        </row>
        <row r="38089">
          <cell r="O38089" t="str">
            <v/>
          </cell>
        </row>
        <row r="38090">
          <cell r="O38090" t="str">
            <v/>
          </cell>
        </row>
        <row r="38091">
          <cell r="O38091" t="str">
            <v/>
          </cell>
        </row>
        <row r="38092">
          <cell r="O38092" t="str">
            <v/>
          </cell>
        </row>
        <row r="38093">
          <cell r="O38093" t="str">
            <v/>
          </cell>
        </row>
        <row r="38094">
          <cell r="O38094" t="str">
            <v/>
          </cell>
        </row>
        <row r="38095">
          <cell r="O38095" t="str">
            <v/>
          </cell>
        </row>
        <row r="38096">
          <cell r="O38096" t="str">
            <v/>
          </cell>
        </row>
        <row r="38097">
          <cell r="O38097" t="str">
            <v/>
          </cell>
        </row>
        <row r="38098">
          <cell r="O38098" t="str">
            <v/>
          </cell>
        </row>
        <row r="38099">
          <cell r="O38099" t="str">
            <v/>
          </cell>
        </row>
        <row r="38100">
          <cell r="O38100" t="str">
            <v/>
          </cell>
        </row>
        <row r="38101">
          <cell r="O38101" t="str">
            <v/>
          </cell>
        </row>
        <row r="38102">
          <cell r="O38102" t="str">
            <v/>
          </cell>
        </row>
        <row r="38103">
          <cell r="O38103" t="str">
            <v/>
          </cell>
        </row>
        <row r="38104">
          <cell r="O38104" t="str">
            <v/>
          </cell>
        </row>
        <row r="38105">
          <cell r="O38105" t="str">
            <v/>
          </cell>
        </row>
        <row r="38106">
          <cell r="O38106" t="str">
            <v/>
          </cell>
        </row>
        <row r="38107">
          <cell r="O38107" t="str">
            <v/>
          </cell>
        </row>
        <row r="38108">
          <cell r="O38108" t="str">
            <v/>
          </cell>
        </row>
        <row r="38109">
          <cell r="O38109" t="str">
            <v/>
          </cell>
        </row>
        <row r="38110">
          <cell r="O38110" t="str">
            <v/>
          </cell>
        </row>
        <row r="38111">
          <cell r="O38111" t="str">
            <v/>
          </cell>
        </row>
        <row r="38112">
          <cell r="O38112" t="str">
            <v/>
          </cell>
        </row>
        <row r="38113">
          <cell r="O38113" t="str">
            <v/>
          </cell>
        </row>
        <row r="38114">
          <cell r="O38114" t="str">
            <v/>
          </cell>
        </row>
        <row r="38115">
          <cell r="O38115" t="str">
            <v/>
          </cell>
        </row>
        <row r="38116">
          <cell r="O38116" t="str">
            <v/>
          </cell>
        </row>
        <row r="38117">
          <cell r="O38117" t="str">
            <v/>
          </cell>
        </row>
        <row r="38118">
          <cell r="O38118" t="str">
            <v/>
          </cell>
        </row>
        <row r="38119">
          <cell r="O38119" t="str">
            <v/>
          </cell>
        </row>
        <row r="38120">
          <cell r="O38120" t="str">
            <v/>
          </cell>
        </row>
        <row r="38121">
          <cell r="O38121" t="str">
            <v/>
          </cell>
        </row>
        <row r="38122">
          <cell r="O38122" t="str">
            <v/>
          </cell>
        </row>
        <row r="38123">
          <cell r="O38123" t="str">
            <v/>
          </cell>
        </row>
        <row r="38124">
          <cell r="O38124" t="str">
            <v/>
          </cell>
        </row>
        <row r="38125">
          <cell r="O38125" t="str">
            <v/>
          </cell>
        </row>
        <row r="38126">
          <cell r="O38126" t="str">
            <v/>
          </cell>
        </row>
        <row r="38127">
          <cell r="O38127" t="str">
            <v/>
          </cell>
        </row>
        <row r="38128">
          <cell r="O38128" t="str">
            <v/>
          </cell>
        </row>
        <row r="38129">
          <cell r="O38129" t="str">
            <v/>
          </cell>
        </row>
        <row r="38130">
          <cell r="O38130" t="str">
            <v/>
          </cell>
        </row>
        <row r="38131">
          <cell r="O38131" t="str">
            <v/>
          </cell>
        </row>
        <row r="38132">
          <cell r="O38132" t="str">
            <v/>
          </cell>
        </row>
        <row r="38133">
          <cell r="O38133" t="str">
            <v/>
          </cell>
        </row>
        <row r="38134">
          <cell r="O38134" t="str">
            <v/>
          </cell>
        </row>
        <row r="38135">
          <cell r="O38135" t="str">
            <v/>
          </cell>
        </row>
        <row r="38136">
          <cell r="O38136" t="str">
            <v/>
          </cell>
        </row>
        <row r="38137">
          <cell r="O38137" t="str">
            <v/>
          </cell>
        </row>
        <row r="38138">
          <cell r="O38138" t="str">
            <v/>
          </cell>
        </row>
        <row r="38139">
          <cell r="O38139" t="str">
            <v/>
          </cell>
        </row>
        <row r="38140">
          <cell r="O38140" t="str">
            <v/>
          </cell>
        </row>
        <row r="38141">
          <cell r="O38141" t="str">
            <v/>
          </cell>
        </row>
        <row r="38142">
          <cell r="O38142" t="str">
            <v/>
          </cell>
        </row>
        <row r="38143">
          <cell r="O38143" t="str">
            <v/>
          </cell>
        </row>
        <row r="38144">
          <cell r="O38144" t="str">
            <v/>
          </cell>
        </row>
        <row r="38145">
          <cell r="O38145" t="str">
            <v/>
          </cell>
        </row>
        <row r="38146">
          <cell r="O38146" t="str">
            <v/>
          </cell>
        </row>
        <row r="38147">
          <cell r="O38147" t="str">
            <v/>
          </cell>
        </row>
        <row r="38148">
          <cell r="O38148" t="str">
            <v/>
          </cell>
        </row>
        <row r="38149">
          <cell r="O38149" t="str">
            <v/>
          </cell>
        </row>
        <row r="38150">
          <cell r="O38150" t="str">
            <v/>
          </cell>
        </row>
        <row r="38151">
          <cell r="O38151" t="str">
            <v/>
          </cell>
        </row>
        <row r="38152">
          <cell r="O38152" t="str">
            <v/>
          </cell>
        </row>
        <row r="38153">
          <cell r="O38153" t="str">
            <v/>
          </cell>
        </row>
        <row r="38154">
          <cell r="O38154" t="str">
            <v/>
          </cell>
        </row>
        <row r="38155">
          <cell r="O38155" t="str">
            <v/>
          </cell>
        </row>
        <row r="38156">
          <cell r="O38156" t="str">
            <v/>
          </cell>
        </row>
        <row r="38157">
          <cell r="O38157" t="str">
            <v/>
          </cell>
        </row>
        <row r="38158">
          <cell r="O38158" t="str">
            <v/>
          </cell>
        </row>
        <row r="38159">
          <cell r="O38159" t="str">
            <v/>
          </cell>
        </row>
        <row r="38160">
          <cell r="O38160" t="str">
            <v/>
          </cell>
        </row>
        <row r="38161">
          <cell r="O38161" t="str">
            <v/>
          </cell>
        </row>
        <row r="38162">
          <cell r="O38162" t="str">
            <v/>
          </cell>
        </row>
        <row r="38163">
          <cell r="O38163" t="str">
            <v/>
          </cell>
        </row>
        <row r="38164">
          <cell r="O38164" t="str">
            <v/>
          </cell>
        </row>
        <row r="38165">
          <cell r="O38165" t="str">
            <v/>
          </cell>
        </row>
        <row r="38166">
          <cell r="O38166" t="str">
            <v/>
          </cell>
        </row>
        <row r="38167">
          <cell r="O38167" t="str">
            <v/>
          </cell>
        </row>
        <row r="38168">
          <cell r="O38168" t="str">
            <v/>
          </cell>
        </row>
        <row r="38169">
          <cell r="O38169" t="str">
            <v/>
          </cell>
        </row>
        <row r="38170">
          <cell r="O38170" t="str">
            <v/>
          </cell>
        </row>
        <row r="38171">
          <cell r="O38171" t="str">
            <v/>
          </cell>
        </row>
        <row r="38172">
          <cell r="O38172" t="str">
            <v/>
          </cell>
        </row>
        <row r="38173">
          <cell r="O38173" t="str">
            <v/>
          </cell>
        </row>
        <row r="38174">
          <cell r="O38174" t="str">
            <v/>
          </cell>
        </row>
        <row r="38175">
          <cell r="O38175" t="str">
            <v/>
          </cell>
        </row>
        <row r="38176">
          <cell r="O38176" t="str">
            <v/>
          </cell>
        </row>
        <row r="38177">
          <cell r="O38177" t="str">
            <v/>
          </cell>
        </row>
        <row r="38178">
          <cell r="O38178" t="str">
            <v/>
          </cell>
        </row>
        <row r="38179">
          <cell r="O38179" t="str">
            <v/>
          </cell>
        </row>
        <row r="38180">
          <cell r="O38180" t="str">
            <v/>
          </cell>
        </row>
        <row r="38181">
          <cell r="O38181" t="str">
            <v/>
          </cell>
        </row>
        <row r="38182">
          <cell r="O38182" t="str">
            <v/>
          </cell>
        </row>
        <row r="38183">
          <cell r="O38183" t="str">
            <v/>
          </cell>
        </row>
        <row r="38184">
          <cell r="O38184" t="str">
            <v/>
          </cell>
        </row>
        <row r="38185">
          <cell r="O38185" t="str">
            <v/>
          </cell>
        </row>
        <row r="38186">
          <cell r="O38186" t="str">
            <v/>
          </cell>
        </row>
        <row r="38187">
          <cell r="O38187" t="str">
            <v/>
          </cell>
        </row>
        <row r="38188">
          <cell r="O38188" t="str">
            <v/>
          </cell>
        </row>
        <row r="38189">
          <cell r="O38189" t="str">
            <v/>
          </cell>
        </row>
        <row r="38190">
          <cell r="O38190" t="str">
            <v/>
          </cell>
        </row>
        <row r="38191">
          <cell r="O38191" t="str">
            <v/>
          </cell>
        </row>
        <row r="38192">
          <cell r="O38192" t="str">
            <v/>
          </cell>
        </row>
        <row r="38193">
          <cell r="O38193" t="str">
            <v/>
          </cell>
        </row>
        <row r="38194">
          <cell r="O38194" t="str">
            <v/>
          </cell>
        </row>
        <row r="38195">
          <cell r="O38195" t="str">
            <v/>
          </cell>
        </row>
        <row r="38196">
          <cell r="O38196" t="str">
            <v/>
          </cell>
        </row>
        <row r="38197">
          <cell r="O38197" t="str">
            <v/>
          </cell>
        </row>
        <row r="38198">
          <cell r="O38198" t="str">
            <v/>
          </cell>
        </row>
        <row r="38199">
          <cell r="O38199" t="str">
            <v/>
          </cell>
        </row>
        <row r="38200">
          <cell r="O38200" t="str">
            <v/>
          </cell>
        </row>
        <row r="38201">
          <cell r="O38201" t="str">
            <v/>
          </cell>
        </row>
        <row r="38202">
          <cell r="O38202" t="str">
            <v/>
          </cell>
        </row>
        <row r="38203">
          <cell r="O38203" t="str">
            <v/>
          </cell>
        </row>
        <row r="38204">
          <cell r="O38204" t="str">
            <v/>
          </cell>
        </row>
        <row r="38205">
          <cell r="O38205" t="str">
            <v/>
          </cell>
        </row>
        <row r="38206">
          <cell r="O38206" t="str">
            <v/>
          </cell>
        </row>
        <row r="38207">
          <cell r="O38207" t="str">
            <v/>
          </cell>
        </row>
        <row r="38208">
          <cell r="O38208" t="str">
            <v/>
          </cell>
        </row>
        <row r="38209">
          <cell r="O38209" t="str">
            <v/>
          </cell>
        </row>
        <row r="38210">
          <cell r="O38210" t="str">
            <v/>
          </cell>
        </row>
        <row r="38211">
          <cell r="O38211" t="str">
            <v/>
          </cell>
        </row>
        <row r="38212">
          <cell r="O38212" t="str">
            <v/>
          </cell>
        </row>
        <row r="38213">
          <cell r="O38213" t="str">
            <v/>
          </cell>
        </row>
        <row r="38214">
          <cell r="O38214" t="str">
            <v/>
          </cell>
        </row>
        <row r="38215">
          <cell r="O38215" t="str">
            <v/>
          </cell>
        </row>
        <row r="38216">
          <cell r="O38216" t="str">
            <v/>
          </cell>
        </row>
        <row r="38217">
          <cell r="O38217" t="str">
            <v/>
          </cell>
        </row>
        <row r="38218">
          <cell r="O38218" t="str">
            <v/>
          </cell>
        </row>
        <row r="38219">
          <cell r="O38219" t="str">
            <v/>
          </cell>
        </row>
        <row r="38220">
          <cell r="O38220" t="str">
            <v/>
          </cell>
        </row>
        <row r="38221">
          <cell r="O38221" t="str">
            <v/>
          </cell>
        </row>
        <row r="38222">
          <cell r="O38222" t="str">
            <v/>
          </cell>
        </row>
        <row r="38223">
          <cell r="O38223" t="str">
            <v/>
          </cell>
        </row>
        <row r="38224">
          <cell r="O38224" t="str">
            <v/>
          </cell>
        </row>
        <row r="38225">
          <cell r="O38225" t="str">
            <v/>
          </cell>
        </row>
        <row r="38226">
          <cell r="O38226" t="str">
            <v/>
          </cell>
        </row>
        <row r="38227">
          <cell r="O38227" t="str">
            <v/>
          </cell>
        </row>
        <row r="38228">
          <cell r="O38228" t="str">
            <v/>
          </cell>
        </row>
        <row r="38229">
          <cell r="O38229" t="str">
            <v/>
          </cell>
        </row>
        <row r="38230">
          <cell r="O38230" t="str">
            <v/>
          </cell>
        </row>
        <row r="38231">
          <cell r="O38231" t="str">
            <v/>
          </cell>
        </row>
        <row r="38232">
          <cell r="O38232" t="str">
            <v/>
          </cell>
        </row>
        <row r="38233">
          <cell r="O38233" t="str">
            <v/>
          </cell>
        </row>
        <row r="38234">
          <cell r="O38234" t="str">
            <v/>
          </cell>
        </row>
        <row r="38235">
          <cell r="O38235" t="str">
            <v/>
          </cell>
        </row>
        <row r="38236">
          <cell r="O38236" t="str">
            <v/>
          </cell>
        </row>
        <row r="38237">
          <cell r="O38237" t="str">
            <v/>
          </cell>
        </row>
        <row r="38238">
          <cell r="O38238" t="str">
            <v/>
          </cell>
        </row>
        <row r="38239">
          <cell r="O38239" t="str">
            <v/>
          </cell>
        </row>
        <row r="38240">
          <cell r="O38240" t="str">
            <v/>
          </cell>
        </row>
        <row r="38241">
          <cell r="O38241" t="str">
            <v/>
          </cell>
        </row>
        <row r="38242">
          <cell r="O38242" t="str">
            <v/>
          </cell>
        </row>
        <row r="38243">
          <cell r="O38243" t="str">
            <v/>
          </cell>
        </row>
        <row r="38244">
          <cell r="O38244" t="str">
            <v/>
          </cell>
        </row>
        <row r="38245">
          <cell r="O38245" t="str">
            <v/>
          </cell>
        </row>
        <row r="38246">
          <cell r="O38246" t="str">
            <v/>
          </cell>
        </row>
        <row r="38247">
          <cell r="O38247" t="str">
            <v/>
          </cell>
        </row>
        <row r="38248">
          <cell r="O38248" t="str">
            <v/>
          </cell>
        </row>
        <row r="38249">
          <cell r="O38249" t="str">
            <v/>
          </cell>
        </row>
        <row r="38250">
          <cell r="O38250" t="str">
            <v/>
          </cell>
        </row>
        <row r="38251">
          <cell r="O38251" t="str">
            <v/>
          </cell>
        </row>
        <row r="38252">
          <cell r="O38252" t="str">
            <v/>
          </cell>
        </row>
        <row r="38253">
          <cell r="O38253" t="str">
            <v/>
          </cell>
        </row>
        <row r="38254">
          <cell r="O38254" t="str">
            <v/>
          </cell>
        </row>
        <row r="38255">
          <cell r="O38255" t="str">
            <v/>
          </cell>
        </row>
        <row r="38256">
          <cell r="O38256" t="str">
            <v/>
          </cell>
        </row>
        <row r="38257">
          <cell r="O38257" t="str">
            <v/>
          </cell>
        </row>
        <row r="38258">
          <cell r="O38258" t="str">
            <v/>
          </cell>
        </row>
        <row r="38259">
          <cell r="O38259" t="str">
            <v/>
          </cell>
        </row>
        <row r="38260">
          <cell r="O38260" t="str">
            <v/>
          </cell>
        </row>
        <row r="38261">
          <cell r="O38261" t="str">
            <v/>
          </cell>
        </row>
        <row r="38262">
          <cell r="O38262" t="str">
            <v/>
          </cell>
        </row>
        <row r="38263">
          <cell r="O38263" t="str">
            <v/>
          </cell>
        </row>
        <row r="38264">
          <cell r="O38264" t="str">
            <v/>
          </cell>
        </row>
        <row r="38265">
          <cell r="O38265" t="str">
            <v/>
          </cell>
        </row>
        <row r="38266">
          <cell r="O38266" t="str">
            <v/>
          </cell>
        </row>
        <row r="38267">
          <cell r="O38267" t="str">
            <v/>
          </cell>
        </row>
        <row r="38268">
          <cell r="O38268" t="str">
            <v/>
          </cell>
        </row>
        <row r="38269">
          <cell r="O38269" t="str">
            <v/>
          </cell>
        </row>
        <row r="38270">
          <cell r="O38270" t="str">
            <v/>
          </cell>
        </row>
        <row r="38271">
          <cell r="O38271" t="str">
            <v/>
          </cell>
        </row>
        <row r="38272">
          <cell r="O38272" t="str">
            <v/>
          </cell>
        </row>
        <row r="38273">
          <cell r="O38273" t="str">
            <v/>
          </cell>
        </row>
        <row r="38274">
          <cell r="O38274" t="str">
            <v/>
          </cell>
        </row>
        <row r="38275">
          <cell r="O38275" t="str">
            <v/>
          </cell>
        </row>
        <row r="38276">
          <cell r="O38276" t="str">
            <v/>
          </cell>
        </row>
        <row r="38277">
          <cell r="O38277" t="str">
            <v/>
          </cell>
        </row>
        <row r="38278">
          <cell r="O38278" t="str">
            <v/>
          </cell>
        </row>
        <row r="38279">
          <cell r="O38279" t="str">
            <v/>
          </cell>
        </row>
        <row r="38280">
          <cell r="O38280" t="str">
            <v/>
          </cell>
        </row>
        <row r="38281">
          <cell r="O38281" t="str">
            <v/>
          </cell>
        </row>
        <row r="38282">
          <cell r="O38282" t="str">
            <v/>
          </cell>
        </row>
        <row r="38283">
          <cell r="O38283" t="str">
            <v/>
          </cell>
        </row>
        <row r="38284">
          <cell r="O38284" t="str">
            <v/>
          </cell>
        </row>
        <row r="38285">
          <cell r="O38285" t="str">
            <v/>
          </cell>
        </row>
        <row r="38286">
          <cell r="O38286" t="str">
            <v/>
          </cell>
        </row>
        <row r="38287">
          <cell r="O38287" t="str">
            <v/>
          </cell>
        </row>
        <row r="38288">
          <cell r="O38288" t="str">
            <v/>
          </cell>
        </row>
        <row r="38289">
          <cell r="O38289" t="str">
            <v/>
          </cell>
        </row>
        <row r="38290">
          <cell r="O38290" t="str">
            <v/>
          </cell>
        </row>
        <row r="38291">
          <cell r="O38291" t="str">
            <v/>
          </cell>
        </row>
        <row r="38292">
          <cell r="O38292" t="str">
            <v/>
          </cell>
        </row>
        <row r="38293">
          <cell r="O38293" t="str">
            <v/>
          </cell>
        </row>
        <row r="38294">
          <cell r="O38294" t="str">
            <v/>
          </cell>
        </row>
        <row r="38295">
          <cell r="O38295" t="str">
            <v/>
          </cell>
        </row>
        <row r="38296">
          <cell r="O38296" t="str">
            <v/>
          </cell>
        </row>
        <row r="38297">
          <cell r="O38297" t="str">
            <v/>
          </cell>
        </row>
        <row r="38298">
          <cell r="O38298" t="str">
            <v/>
          </cell>
        </row>
        <row r="38299">
          <cell r="O38299" t="str">
            <v/>
          </cell>
        </row>
        <row r="38300">
          <cell r="O38300" t="str">
            <v/>
          </cell>
        </row>
        <row r="38301">
          <cell r="O38301" t="str">
            <v/>
          </cell>
        </row>
        <row r="38302">
          <cell r="O38302" t="str">
            <v/>
          </cell>
        </row>
        <row r="38303">
          <cell r="O38303" t="str">
            <v/>
          </cell>
        </row>
        <row r="38304">
          <cell r="O38304" t="str">
            <v/>
          </cell>
        </row>
        <row r="38305">
          <cell r="O38305" t="str">
            <v/>
          </cell>
        </row>
        <row r="38306">
          <cell r="O38306" t="str">
            <v/>
          </cell>
        </row>
        <row r="38307">
          <cell r="O38307" t="str">
            <v/>
          </cell>
        </row>
        <row r="38308">
          <cell r="O38308" t="str">
            <v/>
          </cell>
        </row>
        <row r="38309">
          <cell r="O38309" t="str">
            <v/>
          </cell>
        </row>
        <row r="38310">
          <cell r="O38310" t="str">
            <v/>
          </cell>
        </row>
        <row r="38311">
          <cell r="O38311" t="str">
            <v/>
          </cell>
        </row>
        <row r="38312">
          <cell r="O38312" t="str">
            <v/>
          </cell>
        </row>
        <row r="38313">
          <cell r="O38313" t="str">
            <v/>
          </cell>
        </row>
        <row r="38314">
          <cell r="O38314" t="str">
            <v/>
          </cell>
        </row>
        <row r="38315">
          <cell r="O38315" t="str">
            <v/>
          </cell>
        </row>
        <row r="38316">
          <cell r="O38316" t="str">
            <v/>
          </cell>
        </row>
        <row r="38317">
          <cell r="O38317" t="str">
            <v/>
          </cell>
        </row>
        <row r="38318">
          <cell r="O38318" t="str">
            <v/>
          </cell>
        </row>
        <row r="38319">
          <cell r="O38319" t="str">
            <v/>
          </cell>
        </row>
        <row r="38320">
          <cell r="O38320" t="str">
            <v/>
          </cell>
        </row>
        <row r="38321">
          <cell r="O38321" t="str">
            <v/>
          </cell>
        </row>
        <row r="38322">
          <cell r="O38322" t="str">
            <v/>
          </cell>
        </row>
        <row r="38323">
          <cell r="O38323" t="str">
            <v/>
          </cell>
        </row>
        <row r="38324">
          <cell r="O38324" t="str">
            <v/>
          </cell>
        </row>
        <row r="38325">
          <cell r="O38325" t="str">
            <v/>
          </cell>
        </row>
        <row r="38326">
          <cell r="O38326" t="str">
            <v/>
          </cell>
        </row>
        <row r="38327">
          <cell r="O38327" t="str">
            <v/>
          </cell>
        </row>
        <row r="38328">
          <cell r="O38328" t="str">
            <v/>
          </cell>
        </row>
        <row r="38329">
          <cell r="O38329" t="str">
            <v/>
          </cell>
        </row>
        <row r="38330">
          <cell r="O38330" t="str">
            <v/>
          </cell>
        </row>
        <row r="38331">
          <cell r="O38331" t="str">
            <v/>
          </cell>
        </row>
        <row r="38332">
          <cell r="O38332" t="str">
            <v/>
          </cell>
        </row>
        <row r="38333">
          <cell r="O38333" t="str">
            <v/>
          </cell>
        </row>
        <row r="38334">
          <cell r="O38334" t="str">
            <v/>
          </cell>
        </row>
        <row r="38335">
          <cell r="O38335" t="str">
            <v/>
          </cell>
        </row>
        <row r="38336">
          <cell r="O38336" t="str">
            <v/>
          </cell>
        </row>
        <row r="38337">
          <cell r="O38337" t="str">
            <v/>
          </cell>
        </row>
        <row r="38338">
          <cell r="O38338" t="str">
            <v/>
          </cell>
        </row>
        <row r="38339">
          <cell r="O38339" t="str">
            <v/>
          </cell>
        </row>
        <row r="38340">
          <cell r="O38340" t="str">
            <v/>
          </cell>
        </row>
        <row r="38341">
          <cell r="O38341" t="str">
            <v/>
          </cell>
        </row>
        <row r="38342">
          <cell r="O38342" t="str">
            <v/>
          </cell>
        </row>
        <row r="38343">
          <cell r="O38343" t="str">
            <v/>
          </cell>
        </row>
        <row r="38344">
          <cell r="O38344" t="str">
            <v/>
          </cell>
        </row>
        <row r="38345">
          <cell r="O38345" t="str">
            <v/>
          </cell>
        </row>
        <row r="38346">
          <cell r="O38346" t="str">
            <v/>
          </cell>
        </row>
        <row r="38347">
          <cell r="O38347" t="str">
            <v/>
          </cell>
        </row>
        <row r="38348">
          <cell r="O38348" t="str">
            <v/>
          </cell>
        </row>
        <row r="38349">
          <cell r="O38349" t="str">
            <v/>
          </cell>
        </row>
        <row r="38350">
          <cell r="O38350" t="str">
            <v/>
          </cell>
        </row>
        <row r="38351">
          <cell r="O38351" t="str">
            <v/>
          </cell>
        </row>
        <row r="38352">
          <cell r="O38352" t="str">
            <v/>
          </cell>
        </row>
        <row r="38353">
          <cell r="O38353" t="str">
            <v/>
          </cell>
        </row>
        <row r="38354">
          <cell r="O38354" t="str">
            <v/>
          </cell>
        </row>
        <row r="38355">
          <cell r="O38355" t="str">
            <v/>
          </cell>
        </row>
        <row r="38356">
          <cell r="O38356" t="str">
            <v/>
          </cell>
        </row>
        <row r="38357">
          <cell r="O38357" t="str">
            <v/>
          </cell>
        </row>
        <row r="38358">
          <cell r="O38358" t="str">
            <v/>
          </cell>
        </row>
        <row r="38359">
          <cell r="O38359" t="str">
            <v/>
          </cell>
        </row>
        <row r="38360">
          <cell r="O38360" t="str">
            <v/>
          </cell>
        </row>
        <row r="38361">
          <cell r="O38361" t="str">
            <v/>
          </cell>
        </row>
        <row r="38362">
          <cell r="O38362" t="str">
            <v/>
          </cell>
        </row>
        <row r="38363">
          <cell r="O38363" t="str">
            <v/>
          </cell>
        </row>
        <row r="38364">
          <cell r="O38364" t="str">
            <v/>
          </cell>
        </row>
        <row r="38365">
          <cell r="O38365" t="str">
            <v/>
          </cell>
        </row>
        <row r="38366">
          <cell r="O38366" t="str">
            <v/>
          </cell>
        </row>
        <row r="38367">
          <cell r="O38367" t="str">
            <v/>
          </cell>
        </row>
        <row r="38368">
          <cell r="O38368" t="str">
            <v/>
          </cell>
        </row>
        <row r="38369">
          <cell r="O38369" t="str">
            <v/>
          </cell>
        </row>
        <row r="38370">
          <cell r="O38370" t="str">
            <v/>
          </cell>
        </row>
        <row r="38371">
          <cell r="O38371" t="str">
            <v/>
          </cell>
        </row>
        <row r="38372">
          <cell r="O38372" t="str">
            <v/>
          </cell>
        </row>
        <row r="38373">
          <cell r="O38373" t="str">
            <v/>
          </cell>
        </row>
        <row r="38374">
          <cell r="O38374" t="str">
            <v/>
          </cell>
        </row>
        <row r="38375">
          <cell r="O38375" t="str">
            <v/>
          </cell>
        </row>
        <row r="38376">
          <cell r="O38376" t="str">
            <v/>
          </cell>
        </row>
        <row r="38377">
          <cell r="O38377" t="str">
            <v/>
          </cell>
        </row>
        <row r="38378">
          <cell r="O38378" t="str">
            <v/>
          </cell>
        </row>
        <row r="38379">
          <cell r="O38379" t="str">
            <v/>
          </cell>
        </row>
        <row r="38380">
          <cell r="O38380" t="str">
            <v/>
          </cell>
        </row>
        <row r="38381">
          <cell r="O38381" t="str">
            <v/>
          </cell>
        </row>
        <row r="38382">
          <cell r="O38382" t="str">
            <v/>
          </cell>
        </row>
        <row r="38383">
          <cell r="O38383" t="str">
            <v/>
          </cell>
        </row>
        <row r="38384">
          <cell r="O38384" t="str">
            <v/>
          </cell>
        </row>
        <row r="38385">
          <cell r="O38385" t="str">
            <v/>
          </cell>
        </row>
        <row r="38386">
          <cell r="O38386" t="str">
            <v/>
          </cell>
        </row>
        <row r="38387">
          <cell r="O38387" t="str">
            <v/>
          </cell>
        </row>
        <row r="38388">
          <cell r="O38388" t="str">
            <v/>
          </cell>
        </row>
        <row r="38389">
          <cell r="O38389" t="str">
            <v/>
          </cell>
        </row>
        <row r="38390">
          <cell r="O38390" t="str">
            <v/>
          </cell>
        </row>
        <row r="38391">
          <cell r="O38391" t="str">
            <v/>
          </cell>
        </row>
        <row r="38392">
          <cell r="O38392" t="str">
            <v/>
          </cell>
        </row>
        <row r="38393">
          <cell r="O38393" t="str">
            <v/>
          </cell>
        </row>
        <row r="38394">
          <cell r="O38394" t="str">
            <v/>
          </cell>
        </row>
        <row r="38395">
          <cell r="O38395" t="str">
            <v/>
          </cell>
        </row>
        <row r="38396">
          <cell r="O38396" t="str">
            <v/>
          </cell>
        </row>
        <row r="38397">
          <cell r="O38397" t="str">
            <v/>
          </cell>
        </row>
        <row r="38398">
          <cell r="O38398" t="str">
            <v/>
          </cell>
        </row>
        <row r="38399">
          <cell r="O38399" t="str">
            <v/>
          </cell>
        </row>
        <row r="38400">
          <cell r="O38400" t="str">
            <v/>
          </cell>
        </row>
        <row r="38401">
          <cell r="O38401" t="str">
            <v/>
          </cell>
        </row>
        <row r="38402">
          <cell r="O38402" t="str">
            <v/>
          </cell>
        </row>
        <row r="38403">
          <cell r="O38403" t="str">
            <v/>
          </cell>
        </row>
        <row r="38404">
          <cell r="O38404" t="str">
            <v/>
          </cell>
        </row>
        <row r="38405">
          <cell r="O38405" t="str">
            <v/>
          </cell>
        </row>
        <row r="38406">
          <cell r="O38406" t="str">
            <v/>
          </cell>
        </row>
        <row r="38407">
          <cell r="O38407" t="str">
            <v/>
          </cell>
        </row>
        <row r="38408">
          <cell r="O38408" t="str">
            <v/>
          </cell>
        </row>
        <row r="38409">
          <cell r="O38409" t="str">
            <v/>
          </cell>
        </row>
        <row r="38410">
          <cell r="O38410" t="str">
            <v/>
          </cell>
        </row>
        <row r="38411">
          <cell r="O38411" t="str">
            <v/>
          </cell>
        </row>
        <row r="38412">
          <cell r="O38412" t="str">
            <v/>
          </cell>
        </row>
        <row r="38413">
          <cell r="O38413" t="str">
            <v/>
          </cell>
        </row>
        <row r="38414">
          <cell r="O38414" t="str">
            <v/>
          </cell>
        </row>
        <row r="38415">
          <cell r="O38415" t="str">
            <v/>
          </cell>
        </row>
        <row r="38416">
          <cell r="O38416" t="str">
            <v/>
          </cell>
        </row>
        <row r="38417">
          <cell r="O38417" t="str">
            <v/>
          </cell>
        </row>
        <row r="38418">
          <cell r="O38418" t="str">
            <v/>
          </cell>
        </row>
        <row r="38419">
          <cell r="O38419" t="str">
            <v/>
          </cell>
        </row>
        <row r="38420">
          <cell r="O38420" t="str">
            <v/>
          </cell>
        </row>
        <row r="38421">
          <cell r="O38421" t="str">
            <v/>
          </cell>
        </row>
        <row r="38422">
          <cell r="O38422" t="str">
            <v/>
          </cell>
        </row>
        <row r="38423">
          <cell r="O38423" t="str">
            <v/>
          </cell>
        </row>
        <row r="38424">
          <cell r="O38424" t="str">
            <v/>
          </cell>
        </row>
        <row r="38425">
          <cell r="O38425" t="str">
            <v/>
          </cell>
        </row>
        <row r="38426">
          <cell r="O38426" t="str">
            <v/>
          </cell>
        </row>
        <row r="38427">
          <cell r="O38427" t="str">
            <v/>
          </cell>
        </row>
        <row r="38428">
          <cell r="O38428" t="str">
            <v/>
          </cell>
        </row>
        <row r="38429">
          <cell r="O38429" t="str">
            <v/>
          </cell>
        </row>
        <row r="38430">
          <cell r="O38430" t="str">
            <v/>
          </cell>
        </row>
        <row r="38431">
          <cell r="O38431" t="str">
            <v/>
          </cell>
        </row>
        <row r="38432">
          <cell r="O38432" t="str">
            <v/>
          </cell>
        </row>
        <row r="38433">
          <cell r="O38433" t="str">
            <v/>
          </cell>
        </row>
        <row r="38434">
          <cell r="O38434" t="str">
            <v/>
          </cell>
        </row>
        <row r="38435">
          <cell r="O38435" t="str">
            <v/>
          </cell>
        </row>
        <row r="38436">
          <cell r="O38436" t="str">
            <v/>
          </cell>
        </row>
        <row r="38437">
          <cell r="O38437" t="str">
            <v/>
          </cell>
        </row>
        <row r="38438">
          <cell r="O38438" t="str">
            <v/>
          </cell>
        </row>
        <row r="38439">
          <cell r="O38439" t="str">
            <v/>
          </cell>
        </row>
        <row r="38440">
          <cell r="O38440" t="str">
            <v/>
          </cell>
        </row>
        <row r="38441">
          <cell r="O38441" t="str">
            <v/>
          </cell>
        </row>
        <row r="38442">
          <cell r="O38442" t="str">
            <v/>
          </cell>
        </row>
        <row r="38443">
          <cell r="O38443" t="str">
            <v/>
          </cell>
        </row>
        <row r="38444">
          <cell r="O38444" t="str">
            <v/>
          </cell>
        </row>
        <row r="38445">
          <cell r="O38445" t="str">
            <v/>
          </cell>
        </row>
        <row r="38446">
          <cell r="O38446" t="str">
            <v/>
          </cell>
        </row>
        <row r="38447">
          <cell r="O38447" t="str">
            <v/>
          </cell>
        </row>
        <row r="38448">
          <cell r="O38448" t="str">
            <v/>
          </cell>
        </row>
        <row r="38449">
          <cell r="O38449" t="str">
            <v/>
          </cell>
        </row>
        <row r="38450">
          <cell r="O38450" t="str">
            <v/>
          </cell>
        </row>
        <row r="38451">
          <cell r="O38451" t="str">
            <v/>
          </cell>
        </row>
        <row r="38452">
          <cell r="O38452" t="str">
            <v/>
          </cell>
        </row>
        <row r="38453">
          <cell r="O38453" t="str">
            <v/>
          </cell>
        </row>
        <row r="38454">
          <cell r="O38454" t="str">
            <v/>
          </cell>
        </row>
        <row r="38455">
          <cell r="O38455" t="str">
            <v/>
          </cell>
        </row>
        <row r="38456">
          <cell r="O38456" t="str">
            <v/>
          </cell>
        </row>
        <row r="38457">
          <cell r="O38457" t="str">
            <v/>
          </cell>
        </row>
        <row r="38458">
          <cell r="O38458" t="str">
            <v/>
          </cell>
        </row>
        <row r="38459">
          <cell r="O38459" t="str">
            <v/>
          </cell>
        </row>
        <row r="38460">
          <cell r="O38460" t="str">
            <v/>
          </cell>
        </row>
        <row r="38461">
          <cell r="O38461" t="str">
            <v/>
          </cell>
        </row>
        <row r="38462">
          <cell r="O38462" t="str">
            <v/>
          </cell>
        </row>
        <row r="38463">
          <cell r="O38463" t="str">
            <v/>
          </cell>
        </row>
        <row r="38464">
          <cell r="O38464" t="str">
            <v/>
          </cell>
        </row>
        <row r="38465">
          <cell r="O38465" t="str">
            <v/>
          </cell>
        </row>
        <row r="38466">
          <cell r="O38466" t="str">
            <v/>
          </cell>
        </row>
        <row r="38467">
          <cell r="O38467" t="str">
            <v/>
          </cell>
        </row>
        <row r="38468">
          <cell r="O38468" t="str">
            <v/>
          </cell>
        </row>
        <row r="38469">
          <cell r="O38469" t="str">
            <v/>
          </cell>
        </row>
        <row r="38470">
          <cell r="O38470" t="str">
            <v/>
          </cell>
        </row>
        <row r="38471">
          <cell r="O38471" t="str">
            <v/>
          </cell>
        </row>
        <row r="38472">
          <cell r="O38472" t="str">
            <v/>
          </cell>
        </row>
        <row r="38473">
          <cell r="O38473" t="str">
            <v/>
          </cell>
        </row>
        <row r="38474">
          <cell r="O38474" t="str">
            <v/>
          </cell>
        </row>
        <row r="38475">
          <cell r="O38475" t="str">
            <v/>
          </cell>
        </row>
        <row r="38476">
          <cell r="O38476" t="str">
            <v/>
          </cell>
        </row>
        <row r="38477">
          <cell r="O38477" t="str">
            <v/>
          </cell>
        </row>
        <row r="38478">
          <cell r="O38478" t="str">
            <v/>
          </cell>
        </row>
        <row r="38479">
          <cell r="O38479" t="str">
            <v/>
          </cell>
        </row>
        <row r="38480">
          <cell r="O38480" t="str">
            <v/>
          </cell>
        </row>
        <row r="38481">
          <cell r="O38481" t="str">
            <v/>
          </cell>
        </row>
        <row r="38482">
          <cell r="O38482" t="str">
            <v/>
          </cell>
        </row>
        <row r="38483">
          <cell r="O38483" t="str">
            <v/>
          </cell>
        </row>
        <row r="38484">
          <cell r="O38484" t="str">
            <v/>
          </cell>
        </row>
        <row r="38485">
          <cell r="O38485" t="str">
            <v/>
          </cell>
        </row>
        <row r="38486">
          <cell r="O38486" t="str">
            <v/>
          </cell>
        </row>
        <row r="38487">
          <cell r="O38487" t="str">
            <v/>
          </cell>
        </row>
        <row r="38488">
          <cell r="O38488" t="str">
            <v/>
          </cell>
        </row>
        <row r="38489">
          <cell r="O38489" t="str">
            <v/>
          </cell>
        </row>
        <row r="38490">
          <cell r="O38490" t="str">
            <v/>
          </cell>
        </row>
        <row r="38491">
          <cell r="O38491" t="str">
            <v/>
          </cell>
        </row>
        <row r="38492">
          <cell r="O38492" t="str">
            <v/>
          </cell>
        </row>
        <row r="38493">
          <cell r="O38493" t="str">
            <v/>
          </cell>
        </row>
        <row r="38494">
          <cell r="O38494" t="str">
            <v/>
          </cell>
        </row>
        <row r="38495">
          <cell r="O38495" t="str">
            <v/>
          </cell>
        </row>
        <row r="38496">
          <cell r="O38496" t="str">
            <v/>
          </cell>
        </row>
        <row r="38497">
          <cell r="O38497" t="str">
            <v/>
          </cell>
        </row>
        <row r="38498">
          <cell r="O38498" t="str">
            <v/>
          </cell>
        </row>
        <row r="38499">
          <cell r="O38499" t="str">
            <v/>
          </cell>
        </row>
        <row r="38500">
          <cell r="O38500" t="str">
            <v/>
          </cell>
        </row>
        <row r="38501">
          <cell r="O38501" t="str">
            <v/>
          </cell>
        </row>
        <row r="38502">
          <cell r="O38502" t="str">
            <v/>
          </cell>
        </row>
        <row r="38503">
          <cell r="O38503" t="str">
            <v/>
          </cell>
        </row>
        <row r="38504">
          <cell r="O38504" t="str">
            <v/>
          </cell>
        </row>
        <row r="38505">
          <cell r="O38505" t="str">
            <v/>
          </cell>
        </row>
        <row r="38506">
          <cell r="O38506" t="str">
            <v/>
          </cell>
        </row>
        <row r="38507">
          <cell r="O38507" t="str">
            <v/>
          </cell>
        </row>
        <row r="38508">
          <cell r="O38508" t="str">
            <v/>
          </cell>
        </row>
        <row r="38509">
          <cell r="O38509" t="str">
            <v/>
          </cell>
        </row>
        <row r="38510">
          <cell r="O38510" t="str">
            <v/>
          </cell>
        </row>
        <row r="38511">
          <cell r="O38511" t="str">
            <v/>
          </cell>
        </row>
        <row r="38512">
          <cell r="O38512" t="str">
            <v/>
          </cell>
        </row>
        <row r="38513">
          <cell r="O38513" t="str">
            <v/>
          </cell>
        </row>
        <row r="38514">
          <cell r="O38514" t="str">
            <v/>
          </cell>
        </row>
        <row r="38515">
          <cell r="O38515" t="str">
            <v/>
          </cell>
        </row>
        <row r="38516">
          <cell r="O38516" t="str">
            <v/>
          </cell>
        </row>
        <row r="38517">
          <cell r="O38517" t="str">
            <v/>
          </cell>
        </row>
        <row r="38518">
          <cell r="O38518" t="str">
            <v/>
          </cell>
        </row>
        <row r="38519">
          <cell r="O38519" t="str">
            <v/>
          </cell>
        </row>
        <row r="38520">
          <cell r="O38520" t="str">
            <v/>
          </cell>
        </row>
        <row r="38521">
          <cell r="O38521" t="str">
            <v/>
          </cell>
        </row>
        <row r="38522">
          <cell r="O38522" t="str">
            <v/>
          </cell>
        </row>
        <row r="38523">
          <cell r="O38523" t="str">
            <v/>
          </cell>
        </row>
        <row r="38524">
          <cell r="O38524" t="str">
            <v/>
          </cell>
        </row>
        <row r="38525">
          <cell r="O38525" t="str">
            <v/>
          </cell>
        </row>
        <row r="38526">
          <cell r="O38526" t="str">
            <v/>
          </cell>
        </row>
        <row r="38527">
          <cell r="O38527" t="str">
            <v/>
          </cell>
        </row>
        <row r="38528">
          <cell r="O38528" t="str">
            <v/>
          </cell>
        </row>
        <row r="38529">
          <cell r="O38529" t="str">
            <v/>
          </cell>
        </row>
        <row r="38530">
          <cell r="O38530" t="str">
            <v/>
          </cell>
        </row>
        <row r="38531">
          <cell r="O38531" t="str">
            <v/>
          </cell>
        </row>
        <row r="38532">
          <cell r="O38532" t="str">
            <v/>
          </cell>
        </row>
        <row r="38533">
          <cell r="O38533" t="str">
            <v/>
          </cell>
        </row>
        <row r="38534">
          <cell r="O38534" t="str">
            <v/>
          </cell>
        </row>
        <row r="38535">
          <cell r="O38535" t="str">
            <v/>
          </cell>
        </row>
        <row r="38536">
          <cell r="O38536" t="str">
            <v/>
          </cell>
        </row>
        <row r="38537">
          <cell r="O38537" t="str">
            <v/>
          </cell>
        </row>
        <row r="38538">
          <cell r="O38538" t="str">
            <v/>
          </cell>
        </row>
        <row r="38539">
          <cell r="O38539" t="str">
            <v/>
          </cell>
        </row>
        <row r="38540">
          <cell r="O38540" t="str">
            <v/>
          </cell>
        </row>
        <row r="38541">
          <cell r="O38541" t="str">
            <v/>
          </cell>
        </row>
        <row r="38542">
          <cell r="O38542" t="str">
            <v/>
          </cell>
        </row>
        <row r="38543">
          <cell r="O38543" t="str">
            <v/>
          </cell>
        </row>
        <row r="38544">
          <cell r="O38544" t="str">
            <v/>
          </cell>
        </row>
        <row r="38545">
          <cell r="O38545" t="str">
            <v/>
          </cell>
        </row>
        <row r="38546">
          <cell r="O38546" t="str">
            <v/>
          </cell>
        </row>
        <row r="38547">
          <cell r="O38547" t="str">
            <v/>
          </cell>
        </row>
        <row r="38548">
          <cell r="O38548" t="str">
            <v/>
          </cell>
        </row>
        <row r="38549">
          <cell r="O38549" t="str">
            <v/>
          </cell>
        </row>
        <row r="38550">
          <cell r="O38550" t="str">
            <v/>
          </cell>
        </row>
        <row r="38551">
          <cell r="O38551" t="str">
            <v/>
          </cell>
        </row>
        <row r="38552">
          <cell r="O38552" t="str">
            <v/>
          </cell>
        </row>
        <row r="38553">
          <cell r="O38553" t="str">
            <v/>
          </cell>
        </row>
        <row r="38554">
          <cell r="O38554" t="str">
            <v/>
          </cell>
        </row>
        <row r="38555">
          <cell r="O38555" t="str">
            <v/>
          </cell>
        </row>
        <row r="38556">
          <cell r="O38556" t="str">
            <v/>
          </cell>
        </row>
        <row r="38557">
          <cell r="O38557" t="str">
            <v/>
          </cell>
        </row>
        <row r="38558">
          <cell r="O38558" t="str">
            <v/>
          </cell>
        </row>
        <row r="38559">
          <cell r="O38559" t="str">
            <v/>
          </cell>
        </row>
        <row r="38560">
          <cell r="O38560" t="str">
            <v/>
          </cell>
        </row>
        <row r="38561">
          <cell r="O38561" t="str">
            <v/>
          </cell>
        </row>
        <row r="38562">
          <cell r="O38562" t="str">
            <v/>
          </cell>
        </row>
        <row r="38563">
          <cell r="O38563" t="str">
            <v/>
          </cell>
        </row>
        <row r="38564">
          <cell r="O38564" t="str">
            <v/>
          </cell>
        </row>
        <row r="38565">
          <cell r="O38565" t="str">
            <v/>
          </cell>
        </row>
        <row r="38566">
          <cell r="O38566" t="str">
            <v/>
          </cell>
        </row>
        <row r="38567">
          <cell r="O38567" t="str">
            <v/>
          </cell>
        </row>
        <row r="38568">
          <cell r="O38568" t="str">
            <v/>
          </cell>
        </row>
        <row r="38569">
          <cell r="O38569" t="str">
            <v/>
          </cell>
        </row>
        <row r="38570">
          <cell r="O38570" t="str">
            <v/>
          </cell>
        </row>
        <row r="38571">
          <cell r="O38571" t="str">
            <v/>
          </cell>
        </row>
        <row r="38572">
          <cell r="O38572" t="str">
            <v/>
          </cell>
        </row>
        <row r="38573">
          <cell r="O38573" t="str">
            <v/>
          </cell>
        </row>
        <row r="38574">
          <cell r="O38574" t="str">
            <v/>
          </cell>
        </row>
        <row r="38575">
          <cell r="O38575" t="str">
            <v/>
          </cell>
        </row>
        <row r="38576">
          <cell r="O38576" t="str">
            <v/>
          </cell>
        </row>
        <row r="38577">
          <cell r="O38577" t="str">
            <v/>
          </cell>
        </row>
        <row r="38578">
          <cell r="O38578" t="str">
            <v/>
          </cell>
        </row>
        <row r="38579">
          <cell r="O38579" t="str">
            <v/>
          </cell>
        </row>
        <row r="38580">
          <cell r="O38580" t="str">
            <v/>
          </cell>
        </row>
        <row r="38581">
          <cell r="O38581" t="str">
            <v/>
          </cell>
        </row>
        <row r="38582">
          <cell r="O38582" t="str">
            <v/>
          </cell>
        </row>
        <row r="38583">
          <cell r="O38583" t="str">
            <v/>
          </cell>
        </row>
        <row r="38584">
          <cell r="O38584" t="str">
            <v/>
          </cell>
        </row>
        <row r="38585">
          <cell r="O38585" t="str">
            <v/>
          </cell>
        </row>
        <row r="38586">
          <cell r="O38586" t="str">
            <v/>
          </cell>
        </row>
        <row r="38587">
          <cell r="O38587" t="str">
            <v/>
          </cell>
        </row>
        <row r="38588">
          <cell r="O38588" t="str">
            <v/>
          </cell>
        </row>
        <row r="38589">
          <cell r="O38589" t="str">
            <v/>
          </cell>
        </row>
        <row r="38590">
          <cell r="O38590" t="str">
            <v/>
          </cell>
        </row>
        <row r="38591">
          <cell r="O38591" t="str">
            <v/>
          </cell>
        </row>
        <row r="38592">
          <cell r="O38592" t="str">
            <v/>
          </cell>
        </row>
        <row r="38593">
          <cell r="O38593" t="str">
            <v/>
          </cell>
        </row>
        <row r="38594">
          <cell r="O38594" t="str">
            <v/>
          </cell>
        </row>
        <row r="38595">
          <cell r="O38595" t="str">
            <v/>
          </cell>
        </row>
        <row r="38596">
          <cell r="O38596" t="str">
            <v/>
          </cell>
        </row>
        <row r="38597">
          <cell r="O38597" t="str">
            <v/>
          </cell>
        </row>
        <row r="38598">
          <cell r="O38598" t="str">
            <v/>
          </cell>
        </row>
        <row r="38599">
          <cell r="O38599" t="str">
            <v/>
          </cell>
        </row>
        <row r="38600">
          <cell r="O38600" t="str">
            <v/>
          </cell>
        </row>
        <row r="38601">
          <cell r="O38601" t="str">
            <v/>
          </cell>
        </row>
        <row r="38602">
          <cell r="O38602" t="str">
            <v/>
          </cell>
        </row>
        <row r="38603">
          <cell r="O38603" t="str">
            <v/>
          </cell>
        </row>
        <row r="38604">
          <cell r="O38604" t="str">
            <v/>
          </cell>
        </row>
        <row r="38605">
          <cell r="O38605" t="str">
            <v/>
          </cell>
        </row>
        <row r="38606">
          <cell r="O38606" t="str">
            <v/>
          </cell>
        </row>
        <row r="38607">
          <cell r="O38607" t="str">
            <v/>
          </cell>
        </row>
        <row r="38608">
          <cell r="O38608" t="str">
            <v/>
          </cell>
        </row>
        <row r="38609">
          <cell r="O38609" t="str">
            <v/>
          </cell>
        </row>
        <row r="38610">
          <cell r="O38610" t="str">
            <v/>
          </cell>
        </row>
        <row r="38611">
          <cell r="O38611" t="str">
            <v/>
          </cell>
        </row>
        <row r="38612">
          <cell r="O38612" t="str">
            <v/>
          </cell>
        </row>
        <row r="38613">
          <cell r="O38613" t="str">
            <v/>
          </cell>
        </row>
        <row r="38614">
          <cell r="O38614" t="str">
            <v/>
          </cell>
        </row>
        <row r="38615">
          <cell r="O38615" t="str">
            <v/>
          </cell>
        </row>
        <row r="38616">
          <cell r="O38616" t="str">
            <v/>
          </cell>
        </row>
        <row r="38617">
          <cell r="O38617" t="str">
            <v/>
          </cell>
        </row>
        <row r="38618">
          <cell r="O38618" t="str">
            <v/>
          </cell>
        </row>
        <row r="38619">
          <cell r="O38619" t="str">
            <v/>
          </cell>
        </row>
        <row r="38620">
          <cell r="O38620" t="str">
            <v/>
          </cell>
        </row>
        <row r="38621">
          <cell r="O38621" t="str">
            <v/>
          </cell>
        </row>
        <row r="38622">
          <cell r="O38622" t="str">
            <v/>
          </cell>
        </row>
        <row r="38623">
          <cell r="O38623" t="str">
            <v/>
          </cell>
        </row>
        <row r="38624">
          <cell r="O38624" t="str">
            <v/>
          </cell>
        </row>
        <row r="38625">
          <cell r="O38625" t="str">
            <v/>
          </cell>
        </row>
        <row r="38626">
          <cell r="O38626" t="str">
            <v/>
          </cell>
        </row>
        <row r="38627">
          <cell r="O38627" t="str">
            <v/>
          </cell>
        </row>
        <row r="38628">
          <cell r="O38628" t="str">
            <v/>
          </cell>
        </row>
        <row r="38629">
          <cell r="O38629" t="str">
            <v/>
          </cell>
        </row>
        <row r="38630">
          <cell r="O38630" t="str">
            <v/>
          </cell>
        </row>
        <row r="38631">
          <cell r="O38631" t="str">
            <v/>
          </cell>
        </row>
        <row r="38632">
          <cell r="O38632" t="str">
            <v/>
          </cell>
        </row>
        <row r="38633">
          <cell r="O38633" t="str">
            <v/>
          </cell>
        </row>
        <row r="38634">
          <cell r="O38634" t="str">
            <v/>
          </cell>
        </row>
        <row r="38635">
          <cell r="O38635" t="str">
            <v/>
          </cell>
        </row>
        <row r="38636">
          <cell r="O38636" t="str">
            <v/>
          </cell>
        </row>
        <row r="38637">
          <cell r="O38637" t="str">
            <v/>
          </cell>
        </row>
        <row r="38638">
          <cell r="O38638" t="str">
            <v/>
          </cell>
        </row>
        <row r="38639">
          <cell r="O38639" t="str">
            <v/>
          </cell>
        </row>
        <row r="38640">
          <cell r="O38640" t="str">
            <v/>
          </cell>
        </row>
        <row r="38641">
          <cell r="O38641" t="str">
            <v/>
          </cell>
        </row>
        <row r="38642">
          <cell r="O38642" t="str">
            <v/>
          </cell>
        </row>
        <row r="38643">
          <cell r="O38643" t="str">
            <v/>
          </cell>
        </row>
        <row r="38644">
          <cell r="O38644" t="str">
            <v/>
          </cell>
        </row>
        <row r="38645">
          <cell r="O38645" t="str">
            <v/>
          </cell>
        </row>
        <row r="38646">
          <cell r="O38646" t="str">
            <v/>
          </cell>
        </row>
        <row r="38647">
          <cell r="O38647" t="str">
            <v/>
          </cell>
        </row>
        <row r="38648">
          <cell r="O38648" t="str">
            <v/>
          </cell>
        </row>
        <row r="38649">
          <cell r="O38649" t="str">
            <v/>
          </cell>
        </row>
        <row r="38650">
          <cell r="O38650" t="str">
            <v/>
          </cell>
        </row>
        <row r="38651">
          <cell r="O38651" t="str">
            <v/>
          </cell>
        </row>
        <row r="38652">
          <cell r="O38652" t="str">
            <v/>
          </cell>
        </row>
        <row r="38653">
          <cell r="O38653" t="str">
            <v/>
          </cell>
        </row>
        <row r="38654">
          <cell r="O38654" t="str">
            <v/>
          </cell>
        </row>
        <row r="38655">
          <cell r="O38655" t="str">
            <v/>
          </cell>
        </row>
        <row r="38656">
          <cell r="O38656" t="str">
            <v/>
          </cell>
        </row>
        <row r="38657">
          <cell r="O38657" t="str">
            <v/>
          </cell>
        </row>
        <row r="38658">
          <cell r="O38658" t="str">
            <v/>
          </cell>
        </row>
        <row r="38659">
          <cell r="O38659" t="str">
            <v/>
          </cell>
        </row>
        <row r="38660">
          <cell r="O38660" t="str">
            <v/>
          </cell>
        </row>
        <row r="38661">
          <cell r="O38661" t="str">
            <v/>
          </cell>
        </row>
        <row r="38662">
          <cell r="O38662" t="str">
            <v/>
          </cell>
        </row>
        <row r="38663">
          <cell r="O38663" t="str">
            <v/>
          </cell>
        </row>
        <row r="38664">
          <cell r="O38664" t="str">
            <v/>
          </cell>
        </row>
        <row r="38665">
          <cell r="O38665" t="str">
            <v/>
          </cell>
        </row>
        <row r="38666">
          <cell r="O38666" t="str">
            <v/>
          </cell>
        </row>
        <row r="38667">
          <cell r="O38667" t="str">
            <v/>
          </cell>
        </row>
        <row r="38668">
          <cell r="O38668" t="str">
            <v/>
          </cell>
        </row>
        <row r="38669">
          <cell r="O38669" t="str">
            <v/>
          </cell>
        </row>
        <row r="38670">
          <cell r="O38670" t="str">
            <v/>
          </cell>
        </row>
        <row r="38671">
          <cell r="O38671" t="str">
            <v/>
          </cell>
        </row>
        <row r="38672">
          <cell r="O38672" t="str">
            <v/>
          </cell>
        </row>
        <row r="38673">
          <cell r="O38673" t="str">
            <v/>
          </cell>
        </row>
        <row r="38674">
          <cell r="O38674" t="str">
            <v/>
          </cell>
        </row>
        <row r="38675">
          <cell r="O38675" t="str">
            <v/>
          </cell>
        </row>
        <row r="38676">
          <cell r="O38676" t="str">
            <v/>
          </cell>
        </row>
        <row r="38677">
          <cell r="O38677" t="str">
            <v/>
          </cell>
        </row>
        <row r="38678">
          <cell r="O38678" t="str">
            <v/>
          </cell>
        </row>
        <row r="38679">
          <cell r="O38679" t="str">
            <v/>
          </cell>
        </row>
        <row r="38680">
          <cell r="O38680" t="str">
            <v/>
          </cell>
        </row>
        <row r="38681">
          <cell r="O38681" t="str">
            <v/>
          </cell>
        </row>
        <row r="38682">
          <cell r="O38682" t="str">
            <v/>
          </cell>
        </row>
        <row r="38683">
          <cell r="O38683" t="str">
            <v/>
          </cell>
        </row>
        <row r="38684">
          <cell r="O38684" t="str">
            <v/>
          </cell>
        </row>
        <row r="38685">
          <cell r="O38685" t="str">
            <v/>
          </cell>
        </row>
        <row r="38686">
          <cell r="O38686" t="str">
            <v/>
          </cell>
        </row>
        <row r="38687">
          <cell r="O38687" t="str">
            <v/>
          </cell>
        </row>
        <row r="38688">
          <cell r="O38688" t="str">
            <v/>
          </cell>
        </row>
        <row r="38689">
          <cell r="O38689" t="str">
            <v/>
          </cell>
        </row>
        <row r="38690">
          <cell r="O38690" t="str">
            <v/>
          </cell>
        </row>
        <row r="38691">
          <cell r="O38691" t="str">
            <v/>
          </cell>
        </row>
        <row r="38692">
          <cell r="O38692" t="str">
            <v/>
          </cell>
        </row>
        <row r="38693">
          <cell r="O38693" t="str">
            <v/>
          </cell>
        </row>
        <row r="38694">
          <cell r="O38694" t="str">
            <v/>
          </cell>
        </row>
        <row r="38695">
          <cell r="O38695" t="str">
            <v/>
          </cell>
        </row>
        <row r="38696">
          <cell r="O38696" t="str">
            <v/>
          </cell>
        </row>
        <row r="38697">
          <cell r="O38697" t="str">
            <v/>
          </cell>
        </row>
        <row r="38698">
          <cell r="O38698" t="str">
            <v/>
          </cell>
        </row>
        <row r="38699">
          <cell r="O38699" t="str">
            <v/>
          </cell>
        </row>
        <row r="38700">
          <cell r="O38700" t="str">
            <v/>
          </cell>
        </row>
        <row r="38701">
          <cell r="O38701" t="str">
            <v/>
          </cell>
        </row>
        <row r="38702">
          <cell r="O38702" t="str">
            <v/>
          </cell>
        </row>
        <row r="38703">
          <cell r="O38703" t="str">
            <v/>
          </cell>
        </row>
        <row r="38704">
          <cell r="O38704" t="str">
            <v/>
          </cell>
        </row>
        <row r="38705">
          <cell r="O38705" t="str">
            <v/>
          </cell>
        </row>
        <row r="38706">
          <cell r="O38706" t="str">
            <v/>
          </cell>
        </row>
        <row r="38707">
          <cell r="O38707" t="str">
            <v/>
          </cell>
        </row>
        <row r="38708">
          <cell r="O38708" t="str">
            <v/>
          </cell>
        </row>
        <row r="38709">
          <cell r="O38709" t="str">
            <v/>
          </cell>
        </row>
        <row r="38710">
          <cell r="O38710" t="str">
            <v/>
          </cell>
        </row>
        <row r="38711">
          <cell r="O38711" t="str">
            <v/>
          </cell>
        </row>
        <row r="38712">
          <cell r="O38712" t="str">
            <v/>
          </cell>
        </row>
        <row r="38713">
          <cell r="O38713" t="str">
            <v/>
          </cell>
        </row>
        <row r="38714">
          <cell r="O38714" t="str">
            <v/>
          </cell>
        </row>
        <row r="38715">
          <cell r="O38715" t="str">
            <v/>
          </cell>
        </row>
        <row r="38716">
          <cell r="O38716" t="str">
            <v/>
          </cell>
        </row>
        <row r="38717">
          <cell r="O38717" t="str">
            <v/>
          </cell>
        </row>
        <row r="38718">
          <cell r="O38718" t="str">
            <v/>
          </cell>
        </row>
        <row r="38719">
          <cell r="O38719" t="str">
            <v/>
          </cell>
        </row>
        <row r="38720">
          <cell r="O38720" t="str">
            <v/>
          </cell>
        </row>
        <row r="38721">
          <cell r="O38721" t="str">
            <v/>
          </cell>
        </row>
        <row r="38722">
          <cell r="O38722" t="str">
            <v/>
          </cell>
        </row>
        <row r="38723">
          <cell r="O38723" t="str">
            <v/>
          </cell>
        </row>
        <row r="38724">
          <cell r="O38724" t="str">
            <v/>
          </cell>
        </row>
        <row r="38725">
          <cell r="O38725" t="str">
            <v/>
          </cell>
        </row>
        <row r="38726">
          <cell r="O38726" t="str">
            <v/>
          </cell>
        </row>
        <row r="38727">
          <cell r="O38727" t="str">
            <v/>
          </cell>
        </row>
        <row r="38728">
          <cell r="O38728" t="str">
            <v/>
          </cell>
        </row>
        <row r="38729">
          <cell r="O38729" t="str">
            <v/>
          </cell>
        </row>
        <row r="38730">
          <cell r="O38730" t="str">
            <v/>
          </cell>
        </row>
        <row r="38731">
          <cell r="O38731" t="str">
            <v/>
          </cell>
        </row>
        <row r="38732">
          <cell r="O38732" t="str">
            <v/>
          </cell>
        </row>
        <row r="38733">
          <cell r="O38733" t="str">
            <v/>
          </cell>
        </row>
        <row r="38734">
          <cell r="O38734" t="str">
            <v/>
          </cell>
        </row>
        <row r="38735">
          <cell r="O38735" t="str">
            <v/>
          </cell>
        </row>
        <row r="38736">
          <cell r="O38736" t="str">
            <v/>
          </cell>
        </row>
        <row r="38737">
          <cell r="O38737" t="str">
            <v/>
          </cell>
        </row>
        <row r="38738">
          <cell r="O38738" t="str">
            <v/>
          </cell>
        </row>
        <row r="38739">
          <cell r="O38739" t="str">
            <v/>
          </cell>
        </row>
        <row r="38740">
          <cell r="O38740" t="str">
            <v/>
          </cell>
        </row>
        <row r="38741">
          <cell r="O38741" t="str">
            <v/>
          </cell>
        </row>
        <row r="38742">
          <cell r="O38742" t="str">
            <v/>
          </cell>
        </row>
        <row r="38743">
          <cell r="O38743" t="str">
            <v/>
          </cell>
        </row>
        <row r="38744">
          <cell r="O38744" t="str">
            <v/>
          </cell>
        </row>
        <row r="38745">
          <cell r="O38745" t="str">
            <v/>
          </cell>
        </row>
        <row r="38746">
          <cell r="O38746" t="str">
            <v/>
          </cell>
        </row>
        <row r="38747">
          <cell r="O38747" t="str">
            <v/>
          </cell>
        </row>
        <row r="38748">
          <cell r="O38748" t="str">
            <v/>
          </cell>
        </row>
        <row r="38749">
          <cell r="O38749" t="str">
            <v/>
          </cell>
        </row>
        <row r="38750">
          <cell r="O38750" t="str">
            <v/>
          </cell>
        </row>
        <row r="38751">
          <cell r="O38751" t="str">
            <v/>
          </cell>
        </row>
        <row r="38752">
          <cell r="O38752" t="str">
            <v/>
          </cell>
        </row>
        <row r="38753">
          <cell r="O38753" t="str">
            <v/>
          </cell>
        </row>
        <row r="38754">
          <cell r="O38754" t="str">
            <v/>
          </cell>
        </row>
        <row r="38755">
          <cell r="O38755" t="str">
            <v/>
          </cell>
        </row>
        <row r="38756">
          <cell r="O38756" t="str">
            <v/>
          </cell>
        </row>
        <row r="38757">
          <cell r="O38757" t="str">
            <v/>
          </cell>
        </row>
        <row r="38758">
          <cell r="O38758" t="str">
            <v/>
          </cell>
        </row>
        <row r="38759">
          <cell r="O38759" t="str">
            <v/>
          </cell>
        </row>
        <row r="38760">
          <cell r="O38760" t="str">
            <v/>
          </cell>
        </row>
        <row r="38761">
          <cell r="O38761" t="str">
            <v/>
          </cell>
        </row>
        <row r="38762">
          <cell r="O38762" t="str">
            <v/>
          </cell>
        </row>
        <row r="38763">
          <cell r="O38763" t="str">
            <v/>
          </cell>
        </row>
        <row r="38764">
          <cell r="O38764" t="str">
            <v/>
          </cell>
        </row>
        <row r="38765">
          <cell r="O38765" t="str">
            <v/>
          </cell>
        </row>
        <row r="38766">
          <cell r="O38766" t="str">
            <v/>
          </cell>
        </row>
        <row r="38767">
          <cell r="O38767" t="str">
            <v/>
          </cell>
        </row>
        <row r="38768">
          <cell r="O38768" t="str">
            <v/>
          </cell>
        </row>
        <row r="38769">
          <cell r="O38769" t="str">
            <v/>
          </cell>
        </row>
        <row r="38770">
          <cell r="O38770" t="str">
            <v/>
          </cell>
        </row>
        <row r="38771">
          <cell r="O38771" t="str">
            <v/>
          </cell>
        </row>
        <row r="38772">
          <cell r="O38772" t="str">
            <v/>
          </cell>
        </row>
        <row r="38773">
          <cell r="O38773" t="str">
            <v/>
          </cell>
        </row>
        <row r="38774">
          <cell r="O38774" t="str">
            <v/>
          </cell>
        </row>
        <row r="38775">
          <cell r="O38775" t="str">
            <v/>
          </cell>
        </row>
        <row r="38776">
          <cell r="O38776" t="str">
            <v/>
          </cell>
        </row>
        <row r="38777">
          <cell r="O38777" t="str">
            <v/>
          </cell>
        </row>
        <row r="38778">
          <cell r="O38778" t="str">
            <v/>
          </cell>
        </row>
        <row r="38779">
          <cell r="O38779" t="str">
            <v/>
          </cell>
        </row>
        <row r="38780">
          <cell r="O38780" t="str">
            <v/>
          </cell>
        </row>
        <row r="38781">
          <cell r="O38781" t="str">
            <v/>
          </cell>
        </row>
        <row r="38782">
          <cell r="O38782" t="str">
            <v/>
          </cell>
        </row>
        <row r="38783">
          <cell r="O38783" t="str">
            <v/>
          </cell>
        </row>
        <row r="38784">
          <cell r="O38784" t="str">
            <v/>
          </cell>
        </row>
        <row r="38785">
          <cell r="O38785" t="str">
            <v/>
          </cell>
        </row>
        <row r="38786">
          <cell r="O38786" t="str">
            <v/>
          </cell>
        </row>
        <row r="38787">
          <cell r="O38787" t="str">
            <v/>
          </cell>
        </row>
        <row r="38788">
          <cell r="O38788" t="str">
            <v/>
          </cell>
        </row>
        <row r="38789">
          <cell r="O38789" t="str">
            <v/>
          </cell>
        </row>
        <row r="38790">
          <cell r="O38790" t="str">
            <v/>
          </cell>
        </row>
        <row r="38791">
          <cell r="O38791" t="str">
            <v/>
          </cell>
        </row>
        <row r="38792">
          <cell r="O38792" t="str">
            <v/>
          </cell>
        </row>
        <row r="38793">
          <cell r="O38793" t="str">
            <v/>
          </cell>
        </row>
        <row r="38794">
          <cell r="O38794" t="str">
            <v/>
          </cell>
        </row>
        <row r="38795">
          <cell r="O38795" t="str">
            <v/>
          </cell>
        </row>
        <row r="38796">
          <cell r="O38796" t="str">
            <v/>
          </cell>
        </row>
        <row r="38797">
          <cell r="O38797" t="str">
            <v/>
          </cell>
        </row>
        <row r="38798">
          <cell r="O38798" t="str">
            <v/>
          </cell>
        </row>
        <row r="38799">
          <cell r="O38799" t="str">
            <v/>
          </cell>
        </row>
        <row r="38800">
          <cell r="O38800" t="str">
            <v/>
          </cell>
        </row>
        <row r="38801">
          <cell r="O38801" t="str">
            <v/>
          </cell>
        </row>
        <row r="38802">
          <cell r="O38802" t="str">
            <v/>
          </cell>
        </row>
        <row r="38803">
          <cell r="O38803" t="str">
            <v/>
          </cell>
        </row>
        <row r="38804">
          <cell r="O38804" t="str">
            <v/>
          </cell>
        </row>
        <row r="38805">
          <cell r="O38805" t="str">
            <v/>
          </cell>
        </row>
        <row r="38806">
          <cell r="O38806" t="str">
            <v/>
          </cell>
        </row>
        <row r="38807">
          <cell r="O38807" t="str">
            <v/>
          </cell>
        </row>
        <row r="38808">
          <cell r="O38808" t="str">
            <v/>
          </cell>
        </row>
        <row r="38809">
          <cell r="O38809" t="str">
            <v/>
          </cell>
        </row>
        <row r="38810">
          <cell r="O38810" t="str">
            <v/>
          </cell>
        </row>
        <row r="38811">
          <cell r="O38811" t="str">
            <v/>
          </cell>
        </row>
        <row r="38812">
          <cell r="O38812" t="str">
            <v/>
          </cell>
        </row>
        <row r="38813">
          <cell r="O38813" t="str">
            <v/>
          </cell>
        </row>
        <row r="38814">
          <cell r="O38814" t="str">
            <v/>
          </cell>
        </row>
        <row r="38815">
          <cell r="O38815" t="str">
            <v/>
          </cell>
        </row>
        <row r="38816">
          <cell r="O38816" t="str">
            <v/>
          </cell>
        </row>
        <row r="38817">
          <cell r="O38817" t="str">
            <v/>
          </cell>
        </row>
        <row r="38818">
          <cell r="O38818" t="str">
            <v/>
          </cell>
        </row>
        <row r="38819">
          <cell r="O38819" t="str">
            <v/>
          </cell>
        </row>
        <row r="38820">
          <cell r="O38820" t="str">
            <v/>
          </cell>
        </row>
        <row r="38821">
          <cell r="O38821" t="str">
            <v/>
          </cell>
        </row>
        <row r="38822">
          <cell r="O38822" t="str">
            <v/>
          </cell>
        </row>
        <row r="38823">
          <cell r="O38823" t="str">
            <v/>
          </cell>
        </row>
        <row r="38824">
          <cell r="O38824" t="str">
            <v/>
          </cell>
        </row>
        <row r="38825">
          <cell r="O38825" t="str">
            <v/>
          </cell>
        </row>
        <row r="38826">
          <cell r="O38826" t="str">
            <v/>
          </cell>
        </row>
        <row r="38827">
          <cell r="O38827" t="str">
            <v/>
          </cell>
        </row>
        <row r="38828">
          <cell r="O38828" t="str">
            <v/>
          </cell>
        </row>
        <row r="38829">
          <cell r="O38829" t="str">
            <v/>
          </cell>
        </row>
        <row r="38830">
          <cell r="O38830" t="str">
            <v/>
          </cell>
        </row>
        <row r="38831">
          <cell r="O38831" t="str">
            <v/>
          </cell>
        </row>
        <row r="38832">
          <cell r="O38832" t="str">
            <v/>
          </cell>
        </row>
        <row r="38833">
          <cell r="O38833" t="str">
            <v/>
          </cell>
        </row>
        <row r="38834">
          <cell r="O38834" t="str">
            <v/>
          </cell>
        </row>
        <row r="38835">
          <cell r="O38835" t="str">
            <v/>
          </cell>
        </row>
        <row r="38836">
          <cell r="O38836" t="str">
            <v/>
          </cell>
        </row>
        <row r="38837">
          <cell r="O38837" t="str">
            <v/>
          </cell>
        </row>
        <row r="38838">
          <cell r="O38838" t="str">
            <v/>
          </cell>
        </row>
        <row r="38839">
          <cell r="O38839" t="str">
            <v/>
          </cell>
        </row>
        <row r="38840">
          <cell r="O38840" t="str">
            <v/>
          </cell>
        </row>
        <row r="38841">
          <cell r="O38841" t="str">
            <v/>
          </cell>
        </row>
        <row r="38842">
          <cell r="O38842" t="str">
            <v/>
          </cell>
        </row>
        <row r="38843">
          <cell r="O38843" t="str">
            <v/>
          </cell>
        </row>
        <row r="38844">
          <cell r="O38844" t="str">
            <v/>
          </cell>
        </row>
        <row r="38845">
          <cell r="O38845" t="str">
            <v/>
          </cell>
        </row>
        <row r="38846">
          <cell r="O38846" t="str">
            <v/>
          </cell>
        </row>
        <row r="38847">
          <cell r="O38847" t="str">
            <v/>
          </cell>
        </row>
        <row r="38848">
          <cell r="O38848" t="str">
            <v/>
          </cell>
        </row>
        <row r="38849">
          <cell r="O38849" t="str">
            <v/>
          </cell>
        </row>
        <row r="38850">
          <cell r="O38850" t="str">
            <v/>
          </cell>
        </row>
        <row r="38851">
          <cell r="O38851" t="str">
            <v/>
          </cell>
        </row>
        <row r="38852">
          <cell r="O38852" t="str">
            <v/>
          </cell>
        </row>
        <row r="38853">
          <cell r="O38853" t="str">
            <v/>
          </cell>
        </row>
        <row r="38854">
          <cell r="O38854" t="str">
            <v/>
          </cell>
        </row>
        <row r="38855">
          <cell r="O38855" t="str">
            <v/>
          </cell>
        </row>
        <row r="38856">
          <cell r="O38856" t="str">
            <v/>
          </cell>
        </row>
        <row r="38857">
          <cell r="O38857" t="str">
            <v/>
          </cell>
        </row>
        <row r="38858">
          <cell r="O38858" t="str">
            <v/>
          </cell>
        </row>
        <row r="38859">
          <cell r="O38859" t="str">
            <v/>
          </cell>
        </row>
        <row r="38860">
          <cell r="O38860" t="str">
            <v/>
          </cell>
        </row>
        <row r="38861">
          <cell r="O38861" t="str">
            <v/>
          </cell>
        </row>
        <row r="38862">
          <cell r="O38862" t="str">
            <v/>
          </cell>
        </row>
        <row r="38863">
          <cell r="O38863" t="str">
            <v/>
          </cell>
        </row>
        <row r="38864">
          <cell r="O38864" t="str">
            <v/>
          </cell>
        </row>
        <row r="38865">
          <cell r="O38865" t="str">
            <v/>
          </cell>
        </row>
        <row r="38866">
          <cell r="O38866" t="str">
            <v/>
          </cell>
        </row>
        <row r="38867">
          <cell r="O38867" t="str">
            <v/>
          </cell>
        </row>
        <row r="38868">
          <cell r="O38868" t="str">
            <v/>
          </cell>
        </row>
        <row r="38869">
          <cell r="O38869" t="str">
            <v/>
          </cell>
        </row>
        <row r="38870">
          <cell r="O38870" t="str">
            <v/>
          </cell>
        </row>
        <row r="38871">
          <cell r="O38871" t="str">
            <v/>
          </cell>
        </row>
        <row r="38872">
          <cell r="O38872" t="str">
            <v/>
          </cell>
        </row>
        <row r="38873">
          <cell r="O38873" t="str">
            <v/>
          </cell>
        </row>
        <row r="38874">
          <cell r="O38874" t="str">
            <v/>
          </cell>
        </row>
        <row r="38875">
          <cell r="O38875" t="str">
            <v/>
          </cell>
        </row>
        <row r="38876">
          <cell r="O38876" t="str">
            <v/>
          </cell>
        </row>
        <row r="38877">
          <cell r="O38877" t="str">
            <v/>
          </cell>
        </row>
        <row r="38878">
          <cell r="O38878" t="str">
            <v/>
          </cell>
        </row>
        <row r="38879">
          <cell r="O38879" t="str">
            <v/>
          </cell>
        </row>
        <row r="38880">
          <cell r="O38880" t="str">
            <v/>
          </cell>
        </row>
        <row r="38881">
          <cell r="O38881" t="str">
            <v/>
          </cell>
        </row>
        <row r="38882">
          <cell r="O38882" t="str">
            <v/>
          </cell>
        </row>
        <row r="38883">
          <cell r="O38883" t="str">
            <v/>
          </cell>
        </row>
        <row r="38884">
          <cell r="O38884" t="str">
            <v/>
          </cell>
        </row>
        <row r="38885">
          <cell r="O38885" t="str">
            <v/>
          </cell>
        </row>
        <row r="38886">
          <cell r="O38886" t="str">
            <v/>
          </cell>
        </row>
        <row r="38887">
          <cell r="O38887" t="str">
            <v/>
          </cell>
        </row>
        <row r="38888">
          <cell r="O38888" t="str">
            <v/>
          </cell>
        </row>
        <row r="38889">
          <cell r="O38889" t="str">
            <v/>
          </cell>
        </row>
        <row r="38890">
          <cell r="O38890" t="str">
            <v/>
          </cell>
        </row>
        <row r="38891">
          <cell r="O38891" t="str">
            <v/>
          </cell>
        </row>
        <row r="38892">
          <cell r="O38892" t="str">
            <v/>
          </cell>
        </row>
        <row r="38893">
          <cell r="O38893" t="str">
            <v/>
          </cell>
        </row>
        <row r="38894">
          <cell r="O38894" t="str">
            <v/>
          </cell>
        </row>
        <row r="38895">
          <cell r="O38895" t="str">
            <v/>
          </cell>
        </row>
        <row r="38896">
          <cell r="O38896" t="str">
            <v/>
          </cell>
        </row>
        <row r="38897">
          <cell r="O38897" t="str">
            <v/>
          </cell>
        </row>
        <row r="38898">
          <cell r="O38898" t="str">
            <v/>
          </cell>
        </row>
        <row r="38899">
          <cell r="O38899" t="str">
            <v/>
          </cell>
        </row>
        <row r="38900">
          <cell r="O38900" t="str">
            <v/>
          </cell>
        </row>
        <row r="38901">
          <cell r="O38901" t="str">
            <v/>
          </cell>
        </row>
        <row r="38902">
          <cell r="O38902" t="str">
            <v/>
          </cell>
        </row>
        <row r="38903">
          <cell r="O38903" t="str">
            <v/>
          </cell>
        </row>
        <row r="38904">
          <cell r="O38904" t="str">
            <v/>
          </cell>
        </row>
        <row r="38905">
          <cell r="O38905" t="str">
            <v/>
          </cell>
        </row>
        <row r="38906">
          <cell r="O38906" t="str">
            <v/>
          </cell>
        </row>
        <row r="38907">
          <cell r="O38907" t="str">
            <v/>
          </cell>
        </row>
        <row r="38908">
          <cell r="O38908" t="str">
            <v/>
          </cell>
        </row>
        <row r="38909">
          <cell r="O38909" t="str">
            <v/>
          </cell>
        </row>
        <row r="38910">
          <cell r="O38910" t="str">
            <v/>
          </cell>
        </row>
        <row r="38911">
          <cell r="O38911" t="str">
            <v/>
          </cell>
        </row>
        <row r="38912">
          <cell r="O38912" t="str">
            <v/>
          </cell>
        </row>
        <row r="38913">
          <cell r="O38913" t="str">
            <v/>
          </cell>
        </row>
        <row r="38914">
          <cell r="O38914" t="str">
            <v/>
          </cell>
        </row>
        <row r="38915">
          <cell r="O38915" t="str">
            <v/>
          </cell>
        </row>
        <row r="38916">
          <cell r="O38916" t="str">
            <v/>
          </cell>
        </row>
        <row r="38917">
          <cell r="O38917" t="str">
            <v/>
          </cell>
        </row>
        <row r="38918">
          <cell r="O38918" t="str">
            <v/>
          </cell>
        </row>
        <row r="38919">
          <cell r="O38919" t="str">
            <v/>
          </cell>
        </row>
        <row r="38920">
          <cell r="O38920" t="str">
            <v/>
          </cell>
        </row>
        <row r="38921">
          <cell r="O38921" t="str">
            <v/>
          </cell>
        </row>
        <row r="38922">
          <cell r="O38922" t="str">
            <v/>
          </cell>
        </row>
        <row r="38923">
          <cell r="O38923" t="str">
            <v/>
          </cell>
        </row>
        <row r="38924">
          <cell r="O38924" t="str">
            <v/>
          </cell>
        </row>
        <row r="38925">
          <cell r="O38925" t="str">
            <v/>
          </cell>
        </row>
        <row r="38926">
          <cell r="O38926" t="str">
            <v/>
          </cell>
        </row>
        <row r="38927">
          <cell r="O38927" t="str">
            <v/>
          </cell>
        </row>
        <row r="38928">
          <cell r="O38928" t="str">
            <v/>
          </cell>
        </row>
        <row r="38929">
          <cell r="O38929" t="str">
            <v/>
          </cell>
        </row>
        <row r="38930">
          <cell r="O38930" t="str">
            <v/>
          </cell>
        </row>
        <row r="38931">
          <cell r="O38931" t="str">
            <v/>
          </cell>
        </row>
        <row r="38932">
          <cell r="O38932" t="str">
            <v/>
          </cell>
        </row>
        <row r="38933">
          <cell r="O38933" t="str">
            <v/>
          </cell>
        </row>
        <row r="38934">
          <cell r="O38934" t="str">
            <v/>
          </cell>
        </row>
        <row r="38935">
          <cell r="O38935" t="str">
            <v/>
          </cell>
        </row>
        <row r="38936">
          <cell r="O38936" t="str">
            <v/>
          </cell>
        </row>
        <row r="38937">
          <cell r="O38937" t="str">
            <v/>
          </cell>
        </row>
        <row r="38938">
          <cell r="O38938" t="str">
            <v/>
          </cell>
        </row>
        <row r="38939">
          <cell r="O38939" t="str">
            <v/>
          </cell>
        </row>
        <row r="38940">
          <cell r="O38940" t="str">
            <v/>
          </cell>
        </row>
        <row r="38941">
          <cell r="O38941" t="str">
            <v/>
          </cell>
        </row>
        <row r="38942">
          <cell r="O38942" t="str">
            <v/>
          </cell>
        </row>
        <row r="38943">
          <cell r="O38943" t="str">
            <v/>
          </cell>
        </row>
        <row r="38944">
          <cell r="O38944" t="str">
            <v/>
          </cell>
        </row>
        <row r="38945">
          <cell r="O38945" t="str">
            <v/>
          </cell>
        </row>
        <row r="38946">
          <cell r="O38946" t="str">
            <v/>
          </cell>
        </row>
        <row r="38947">
          <cell r="O38947" t="str">
            <v/>
          </cell>
        </row>
        <row r="38948">
          <cell r="O38948" t="str">
            <v/>
          </cell>
        </row>
        <row r="38949">
          <cell r="O38949" t="str">
            <v/>
          </cell>
        </row>
        <row r="38950">
          <cell r="O38950" t="str">
            <v/>
          </cell>
        </row>
        <row r="38951">
          <cell r="O38951" t="str">
            <v/>
          </cell>
        </row>
        <row r="38952">
          <cell r="O38952" t="str">
            <v/>
          </cell>
        </row>
        <row r="38953">
          <cell r="O38953" t="str">
            <v/>
          </cell>
        </row>
        <row r="38954">
          <cell r="O38954" t="str">
            <v/>
          </cell>
        </row>
        <row r="38955">
          <cell r="O38955" t="str">
            <v/>
          </cell>
        </row>
        <row r="38956">
          <cell r="O38956" t="str">
            <v/>
          </cell>
        </row>
        <row r="38957">
          <cell r="O38957" t="str">
            <v/>
          </cell>
        </row>
        <row r="38958">
          <cell r="O38958" t="str">
            <v/>
          </cell>
        </row>
        <row r="38959">
          <cell r="O38959" t="str">
            <v/>
          </cell>
        </row>
        <row r="38960">
          <cell r="O38960" t="str">
            <v/>
          </cell>
        </row>
        <row r="38961">
          <cell r="O38961" t="str">
            <v/>
          </cell>
        </row>
        <row r="38962">
          <cell r="O38962" t="str">
            <v/>
          </cell>
        </row>
        <row r="38963">
          <cell r="O38963" t="str">
            <v/>
          </cell>
        </row>
        <row r="38964">
          <cell r="O38964" t="str">
            <v/>
          </cell>
        </row>
        <row r="38965">
          <cell r="O38965" t="str">
            <v/>
          </cell>
        </row>
        <row r="38966">
          <cell r="O38966" t="str">
            <v/>
          </cell>
        </row>
        <row r="38967">
          <cell r="O38967" t="str">
            <v/>
          </cell>
        </row>
        <row r="38968">
          <cell r="O38968" t="str">
            <v/>
          </cell>
        </row>
        <row r="38969">
          <cell r="O38969" t="str">
            <v/>
          </cell>
        </row>
        <row r="38970">
          <cell r="O38970" t="str">
            <v/>
          </cell>
        </row>
        <row r="38971">
          <cell r="O38971" t="str">
            <v/>
          </cell>
        </row>
        <row r="38972">
          <cell r="O38972" t="str">
            <v/>
          </cell>
        </row>
        <row r="38973">
          <cell r="O38973" t="str">
            <v/>
          </cell>
        </row>
        <row r="38974">
          <cell r="O38974" t="str">
            <v/>
          </cell>
        </row>
        <row r="38975">
          <cell r="O38975" t="str">
            <v/>
          </cell>
        </row>
        <row r="38976">
          <cell r="O38976" t="str">
            <v/>
          </cell>
        </row>
        <row r="38977">
          <cell r="O38977" t="str">
            <v/>
          </cell>
        </row>
        <row r="38978">
          <cell r="O38978" t="str">
            <v/>
          </cell>
        </row>
        <row r="38979">
          <cell r="O38979" t="str">
            <v/>
          </cell>
        </row>
        <row r="38980">
          <cell r="O38980" t="str">
            <v/>
          </cell>
        </row>
        <row r="38981">
          <cell r="O38981" t="str">
            <v/>
          </cell>
        </row>
        <row r="38982">
          <cell r="O38982" t="str">
            <v/>
          </cell>
        </row>
        <row r="38983">
          <cell r="O38983" t="str">
            <v/>
          </cell>
        </row>
        <row r="38984">
          <cell r="O38984" t="str">
            <v/>
          </cell>
        </row>
        <row r="38985">
          <cell r="O38985" t="str">
            <v/>
          </cell>
        </row>
        <row r="38986">
          <cell r="O38986" t="str">
            <v/>
          </cell>
        </row>
        <row r="38987">
          <cell r="O38987" t="str">
            <v/>
          </cell>
        </row>
        <row r="38988">
          <cell r="O38988" t="str">
            <v/>
          </cell>
        </row>
        <row r="38989">
          <cell r="O38989" t="str">
            <v/>
          </cell>
        </row>
        <row r="38990">
          <cell r="O38990" t="str">
            <v/>
          </cell>
        </row>
        <row r="38991">
          <cell r="O38991" t="str">
            <v/>
          </cell>
        </row>
        <row r="38992">
          <cell r="O38992" t="str">
            <v/>
          </cell>
        </row>
        <row r="38993">
          <cell r="O38993" t="str">
            <v/>
          </cell>
        </row>
        <row r="38994">
          <cell r="O38994" t="str">
            <v/>
          </cell>
        </row>
        <row r="38995">
          <cell r="O38995" t="str">
            <v/>
          </cell>
        </row>
        <row r="38996">
          <cell r="O38996" t="str">
            <v/>
          </cell>
        </row>
        <row r="38997">
          <cell r="O38997" t="str">
            <v/>
          </cell>
        </row>
        <row r="38998">
          <cell r="O38998" t="str">
            <v/>
          </cell>
        </row>
        <row r="38999">
          <cell r="O38999" t="str">
            <v/>
          </cell>
        </row>
        <row r="39000">
          <cell r="O39000" t="str">
            <v/>
          </cell>
        </row>
        <row r="39001">
          <cell r="O39001" t="str">
            <v/>
          </cell>
        </row>
        <row r="39002">
          <cell r="O39002" t="str">
            <v/>
          </cell>
        </row>
        <row r="39003">
          <cell r="O39003" t="str">
            <v/>
          </cell>
        </row>
        <row r="39004">
          <cell r="O39004" t="str">
            <v/>
          </cell>
        </row>
        <row r="39005">
          <cell r="O39005" t="str">
            <v/>
          </cell>
        </row>
        <row r="39006">
          <cell r="O39006" t="str">
            <v/>
          </cell>
        </row>
        <row r="39007">
          <cell r="O39007" t="str">
            <v/>
          </cell>
        </row>
        <row r="39008">
          <cell r="O39008" t="str">
            <v/>
          </cell>
        </row>
        <row r="39009">
          <cell r="O39009" t="str">
            <v/>
          </cell>
        </row>
        <row r="39010">
          <cell r="O39010" t="str">
            <v/>
          </cell>
        </row>
        <row r="39011">
          <cell r="O39011" t="str">
            <v/>
          </cell>
        </row>
        <row r="39012">
          <cell r="O39012" t="str">
            <v/>
          </cell>
        </row>
        <row r="39013">
          <cell r="O39013" t="str">
            <v/>
          </cell>
        </row>
        <row r="39014">
          <cell r="O39014" t="str">
            <v/>
          </cell>
        </row>
        <row r="39015">
          <cell r="O39015" t="str">
            <v/>
          </cell>
        </row>
        <row r="39016">
          <cell r="O39016" t="str">
            <v/>
          </cell>
        </row>
        <row r="39017">
          <cell r="O39017" t="str">
            <v/>
          </cell>
        </row>
        <row r="39018">
          <cell r="O39018" t="str">
            <v/>
          </cell>
        </row>
        <row r="39019">
          <cell r="O39019" t="str">
            <v/>
          </cell>
        </row>
        <row r="39020">
          <cell r="O39020" t="str">
            <v/>
          </cell>
        </row>
        <row r="39021">
          <cell r="O39021" t="str">
            <v/>
          </cell>
        </row>
        <row r="39022">
          <cell r="O39022" t="str">
            <v/>
          </cell>
        </row>
        <row r="39023">
          <cell r="O39023" t="str">
            <v/>
          </cell>
        </row>
        <row r="39024">
          <cell r="O39024" t="str">
            <v/>
          </cell>
        </row>
        <row r="39025">
          <cell r="O39025" t="str">
            <v/>
          </cell>
        </row>
        <row r="39026">
          <cell r="O39026" t="str">
            <v/>
          </cell>
        </row>
        <row r="39027">
          <cell r="O39027" t="str">
            <v/>
          </cell>
        </row>
        <row r="39028">
          <cell r="O39028" t="str">
            <v/>
          </cell>
        </row>
        <row r="39029">
          <cell r="O39029" t="str">
            <v/>
          </cell>
        </row>
        <row r="39030">
          <cell r="O39030" t="str">
            <v/>
          </cell>
        </row>
        <row r="39031">
          <cell r="O39031" t="str">
            <v/>
          </cell>
        </row>
        <row r="39032">
          <cell r="O39032" t="str">
            <v/>
          </cell>
        </row>
        <row r="39033">
          <cell r="O39033" t="str">
            <v/>
          </cell>
        </row>
        <row r="39034">
          <cell r="O39034" t="str">
            <v/>
          </cell>
        </row>
        <row r="39035">
          <cell r="O39035" t="str">
            <v/>
          </cell>
        </row>
        <row r="39036">
          <cell r="O39036" t="str">
            <v/>
          </cell>
        </row>
        <row r="39037">
          <cell r="O39037" t="str">
            <v/>
          </cell>
        </row>
        <row r="39038">
          <cell r="O39038" t="str">
            <v/>
          </cell>
        </row>
        <row r="39039">
          <cell r="O39039" t="str">
            <v/>
          </cell>
        </row>
        <row r="39040">
          <cell r="O39040" t="str">
            <v/>
          </cell>
        </row>
        <row r="39041">
          <cell r="O39041" t="str">
            <v/>
          </cell>
        </row>
        <row r="39042">
          <cell r="O39042" t="str">
            <v/>
          </cell>
        </row>
        <row r="39043">
          <cell r="O39043" t="str">
            <v/>
          </cell>
        </row>
        <row r="39044">
          <cell r="O39044" t="str">
            <v/>
          </cell>
        </row>
        <row r="39045">
          <cell r="O39045" t="str">
            <v/>
          </cell>
        </row>
        <row r="39046">
          <cell r="O39046" t="str">
            <v/>
          </cell>
        </row>
        <row r="39047">
          <cell r="O39047" t="str">
            <v/>
          </cell>
        </row>
        <row r="39048">
          <cell r="O39048" t="str">
            <v/>
          </cell>
        </row>
        <row r="39049">
          <cell r="O39049" t="str">
            <v/>
          </cell>
        </row>
        <row r="39050">
          <cell r="O39050" t="str">
            <v/>
          </cell>
        </row>
        <row r="39051">
          <cell r="O39051" t="str">
            <v/>
          </cell>
        </row>
        <row r="39052">
          <cell r="O39052" t="str">
            <v/>
          </cell>
        </row>
        <row r="39053">
          <cell r="O39053" t="str">
            <v/>
          </cell>
        </row>
        <row r="39054">
          <cell r="O39054" t="str">
            <v/>
          </cell>
        </row>
        <row r="39055">
          <cell r="O39055" t="str">
            <v/>
          </cell>
        </row>
        <row r="39056">
          <cell r="O39056" t="str">
            <v/>
          </cell>
        </row>
        <row r="39057">
          <cell r="O39057" t="str">
            <v/>
          </cell>
        </row>
        <row r="39058">
          <cell r="O39058" t="str">
            <v/>
          </cell>
        </row>
        <row r="39059">
          <cell r="O39059" t="str">
            <v/>
          </cell>
        </row>
        <row r="39060">
          <cell r="O39060" t="str">
            <v/>
          </cell>
        </row>
        <row r="39061">
          <cell r="O39061" t="str">
            <v/>
          </cell>
        </row>
        <row r="39062">
          <cell r="O39062" t="str">
            <v/>
          </cell>
        </row>
        <row r="39063">
          <cell r="O39063" t="str">
            <v/>
          </cell>
        </row>
        <row r="39064">
          <cell r="O39064" t="str">
            <v/>
          </cell>
        </row>
        <row r="39065">
          <cell r="O39065" t="str">
            <v/>
          </cell>
        </row>
        <row r="39066">
          <cell r="O39066" t="str">
            <v/>
          </cell>
        </row>
        <row r="39067">
          <cell r="O39067" t="str">
            <v/>
          </cell>
        </row>
        <row r="39068">
          <cell r="O39068" t="str">
            <v/>
          </cell>
        </row>
        <row r="39069">
          <cell r="O39069" t="str">
            <v/>
          </cell>
        </row>
        <row r="39070">
          <cell r="O39070" t="str">
            <v/>
          </cell>
        </row>
        <row r="39071">
          <cell r="O39071" t="str">
            <v/>
          </cell>
        </row>
        <row r="39072">
          <cell r="O39072" t="str">
            <v/>
          </cell>
        </row>
        <row r="39073">
          <cell r="O39073" t="str">
            <v/>
          </cell>
        </row>
        <row r="39074">
          <cell r="O39074" t="str">
            <v/>
          </cell>
        </row>
        <row r="39075">
          <cell r="O39075" t="str">
            <v/>
          </cell>
        </row>
        <row r="39076">
          <cell r="O39076" t="str">
            <v/>
          </cell>
        </row>
        <row r="39077">
          <cell r="O39077" t="str">
            <v/>
          </cell>
        </row>
        <row r="39078">
          <cell r="O39078" t="str">
            <v/>
          </cell>
        </row>
        <row r="39079">
          <cell r="O39079" t="str">
            <v/>
          </cell>
        </row>
        <row r="39080">
          <cell r="O39080" t="str">
            <v/>
          </cell>
        </row>
        <row r="39081">
          <cell r="O39081" t="str">
            <v/>
          </cell>
        </row>
        <row r="39082">
          <cell r="O39082" t="str">
            <v/>
          </cell>
        </row>
        <row r="39083">
          <cell r="O39083" t="str">
            <v/>
          </cell>
        </row>
        <row r="39084">
          <cell r="O39084" t="str">
            <v/>
          </cell>
        </row>
        <row r="39085">
          <cell r="O39085" t="str">
            <v/>
          </cell>
        </row>
        <row r="39086">
          <cell r="O39086" t="str">
            <v/>
          </cell>
        </row>
        <row r="39087">
          <cell r="O39087" t="str">
            <v/>
          </cell>
        </row>
        <row r="39088">
          <cell r="O39088" t="str">
            <v/>
          </cell>
        </row>
        <row r="39089">
          <cell r="O39089" t="str">
            <v/>
          </cell>
        </row>
        <row r="39090">
          <cell r="O39090" t="str">
            <v/>
          </cell>
        </row>
        <row r="39091">
          <cell r="O39091" t="str">
            <v/>
          </cell>
        </row>
        <row r="39092">
          <cell r="O39092" t="str">
            <v/>
          </cell>
        </row>
        <row r="39093">
          <cell r="O39093" t="str">
            <v/>
          </cell>
        </row>
        <row r="39094">
          <cell r="O39094" t="str">
            <v/>
          </cell>
        </row>
        <row r="39095">
          <cell r="O39095" t="str">
            <v/>
          </cell>
        </row>
        <row r="39096">
          <cell r="O39096" t="str">
            <v/>
          </cell>
        </row>
        <row r="39097">
          <cell r="O39097" t="str">
            <v/>
          </cell>
        </row>
        <row r="39098">
          <cell r="O39098" t="str">
            <v/>
          </cell>
        </row>
        <row r="39099">
          <cell r="O39099" t="str">
            <v/>
          </cell>
        </row>
        <row r="39100">
          <cell r="O39100" t="str">
            <v/>
          </cell>
        </row>
        <row r="39101">
          <cell r="O39101" t="str">
            <v/>
          </cell>
        </row>
        <row r="39102">
          <cell r="O39102" t="str">
            <v/>
          </cell>
        </row>
        <row r="39103">
          <cell r="O39103" t="str">
            <v/>
          </cell>
        </row>
        <row r="39104">
          <cell r="O39104" t="str">
            <v/>
          </cell>
        </row>
        <row r="39105">
          <cell r="O39105" t="str">
            <v/>
          </cell>
        </row>
        <row r="39106">
          <cell r="O39106" t="str">
            <v/>
          </cell>
        </row>
        <row r="39107">
          <cell r="O39107" t="str">
            <v/>
          </cell>
        </row>
        <row r="39108">
          <cell r="O39108" t="str">
            <v/>
          </cell>
        </row>
        <row r="39109">
          <cell r="O39109" t="str">
            <v/>
          </cell>
        </row>
        <row r="39110">
          <cell r="O39110" t="str">
            <v/>
          </cell>
        </row>
        <row r="39111">
          <cell r="O39111" t="str">
            <v/>
          </cell>
        </row>
        <row r="39112">
          <cell r="O39112" t="str">
            <v/>
          </cell>
        </row>
        <row r="39113">
          <cell r="O39113" t="str">
            <v/>
          </cell>
        </row>
        <row r="39114">
          <cell r="O39114" t="str">
            <v/>
          </cell>
        </row>
        <row r="39115">
          <cell r="O39115" t="str">
            <v/>
          </cell>
        </row>
        <row r="39116">
          <cell r="O39116" t="str">
            <v/>
          </cell>
        </row>
        <row r="39117">
          <cell r="O39117" t="str">
            <v/>
          </cell>
        </row>
        <row r="39118">
          <cell r="O39118" t="str">
            <v/>
          </cell>
        </row>
        <row r="39119">
          <cell r="O39119" t="str">
            <v/>
          </cell>
        </row>
        <row r="39120">
          <cell r="O39120" t="str">
            <v/>
          </cell>
        </row>
        <row r="39121">
          <cell r="O39121" t="str">
            <v/>
          </cell>
        </row>
        <row r="39122">
          <cell r="O39122" t="str">
            <v/>
          </cell>
        </row>
        <row r="39123">
          <cell r="O39123" t="str">
            <v/>
          </cell>
        </row>
        <row r="39124">
          <cell r="O39124" t="str">
            <v/>
          </cell>
        </row>
        <row r="39125">
          <cell r="O39125" t="str">
            <v/>
          </cell>
        </row>
        <row r="39126">
          <cell r="O39126" t="str">
            <v/>
          </cell>
        </row>
        <row r="39127">
          <cell r="O39127" t="str">
            <v/>
          </cell>
        </row>
        <row r="39128">
          <cell r="O39128" t="str">
            <v/>
          </cell>
        </row>
        <row r="39129">
          <cell r="O39129" t="str">
            <v/>
          </cell>
        </row>
        <row r="39130">
          <cell r="O39130" t="str">
            <v/>
          </cell>
        </row>
        <row r="39131">
          <cell r="O39131" t="str">
            <v/>
          </cell>
        </row>
        <row r="39132">
          <cell r="O39132" t="str">
            <v/>
          </cell>
        </row>
        <row r="39133">
          <cell r="O39133" t="str">
            <v/>
          </cell>
        </row>
        <row r="39134">
          <cell r="O39134" t="str">
            <v/>
          </cell>
        </row>
        <row r="39135">
          <cell r="O39135" t="str">
            <v/>
          </cell>
        </row>
        <row r="39136">
          <cell r="O39136" t="str">
            <v/>
          </cell>
        </row>
        <row r="39137">
          <cell r="O39137" t="str">
            <v/>
          </cell>
        </row>
        <row r="39138">
          <cell r="O39138" t="str">
            <v/>
          </cell>
        </row>
        <row r="39139">
          <cell r="O39139" t="str">
            <v/>
          </cell>
        </row>
        <row r="39140">
          <cell r="O39140" t="str">
            <v/>
          </cell>
        </row>
        <row r="39141">
          <cell r="O39141" t="str">
            <v/>
          </cell>
        </row>
        <row r="39142">
          <cell r="O39142" t="str">
            <v/>
          </cell>
        </row>
        <row r="39143">
          <cell r="O39143" t="str">
            <v/>
          </cell>
        </row>
        <row r="39144">
          <cell r="O39144" t="str">
            <v/>
          </cell>
        </row>
        <row r="39145">
          <cell r="O39145" t="str">
            <v/>
          </cell>
        </row>
        <row r="39146">
          <cell r="O39146" t="str">
            <v/>
          </cell>
        </row>
        <row r="39147">
          <cell r="O39147" t="str">
            <v/>
          </cell>
        </row>
        <row r="39148">
          <cell r="O39148" t="str">
            <v/>
          </cell>
        </row>
        <row r="39149">
          <cell r="O39149" t="str">
            <v/>
          </cell>
        </row>
        <row r="39150">
          <cell r="O39150" t="str">
            <v/>
          </cell>
        </row>
        <row r="39151">
          <cell r="O39151" t="str">
            <v/>
          </cell>
        </row>
        <row r="39152">
          <cell r="O39152" t="str">
            <v/>
          </cell>
        </row>
        <row r="39153">
          <cell r="O39153" t="str">
            <v/>
          </cell>
        </row>
        <row r="39154">
          <cell r="O39154" t="str">
            <v/>
          </cell>
        </row>
        <row r="39155">
          <cell r="O39155" t="str">
            <v/>
          </cell>
        </row>
        <row r="39156">
          <cell r="O39156" t="str">
            <v/>
          </cell>
        </row>
        <row r="39157">
          <cell r="O39157" t="str">
            <v/>
          </cell>
        </row>
        <row r="39158">
          <cell r="O39158" t="str">
            <v/>
          </cell>
        </row>
        <row r="39159">
          <cell r="O39159" t="str">
            <v/>
          </cell>
        </row>
        <row r="39160">
          <cell r="O39160" t="str">
            <v/>
          </cell>
        </row>
        <row r="39161">
          <cell r="O39161" t="str">
            <v/>
          </cell>
        </row>
        <row r="39162">
          <cell r="O39162" t="str">
            <v/>
          </cell>
        </row>
        <row r="39163">
          <cell r="O39163" t="str">
            <v/>
          </cell>
        </row>
        <row r="39164">
          <cell r="O39164" t="str">
            <v/>
          </cell>
        </row>
        <row r="39165">
          <cell r="O39165" t="str">
            <v/>
          </cell>
        </row>
        <row r="39166">
          <cell r="O39166" t="str">
            <v/>
          </cell>
        </row>
        <row r="39167">
          <cell r="O39167" t="str">
            <v/>
          </cell>
        </row>
        <row r="39168">
          <cell r="O39168" t="str">
            <v/>
          </cell>
        </row>
        <row r="39169">
          <cell r="O39169" t="str">
            <v/>
          </cell>
        </row>
        <row r="39170">
          <cell r="O39170" t="str">
            <v/>
          </cell>
        </row>
        <row r="39171">
          <cell r="O39171" t="str">
            <v/>
          </cell>
        </row>
        <row r="39172">
          <cell r="O39172" t="str">
            <v/>
          </cell>
        </row>
        <row r="39173">
          <cell r="O39173" t="str">
            <v/>
          </cell>
        </row>
        <row r="39174">
          <cell r="O39174" t="str">
            <v/>
          </cell>
        </row>
        <row r="39175">
          <cell r="O39175" t="str">
            <v/>
          </cell>
        </row>
        <row r="39176">
          <cell r="O39176" t="str">
            <v/>
          </cell>
        </row>
        <row r="39177">
          <cell r="O39177" t="str">
            <v/>
          </cell>
        </row>
        <row r="39178">
          <cell r="O39178" t="str">
            <v/>
          </cell>
        </row>
        <row r="39179">
          <cell r="O39179" t="str">
            <v/>
          </cell>
        </row>
        <row r="39180">
          <cell r="O39180" t="str">
            <v/>
          </cell>
        </row>
        <row r="39181">
          <cell r="O39181" t="str">
            <v/>
          </cell>
        </row>
        <row r="39182">
          <cell r="O39182" t="str">
            <v/>
          </cell>
        </row>
        <row r="39183">
          <cell r="O39183" t="str">
            <v/>
          </cell>
        </row>
        <row r="39184">
          <cell r="O39184" t="str">
            <v/>
          </cell>
        </row>
        <row r="39185">
          <cell r="O39185" t="str">
            <v/>
          </cell>
        </row>
        <row r="39186">
          <cell r="O39186" t="str">
            <v/>
          </cell>
        </row>
        <row r="39187">
          <cell r="O39187" t="str">
            <v/>
          </cell>
        </row>
        <row r="39188">
          <cell r="O39188" t="str">
            <v/>
          </cell>
        </row>
        <row r="39189">
          <cell r="O39189" t="str">
            <v/>
          </cell>
        </row>
        <row r="39190">
          <cell r="O39190" t="str">
            <v/>
          </cell>
        </row>
        <row r="39191">
          <cell r="O39191" t="str">
            <v/>
          </cell>
        </row>
        <row r="39192">
          <cell r="O39192" t="str">
            <v/>
          </cell>
        </row>
        <row r="39193">
          <cell r="O39193" t="str">
            <v/>
          </cell>
        </row>
        <row r="39194">
          <cell r="O39194" t="str">
            <v/>
          </cell>
        </row>
        <row r="39195">
          <cell r="O39195" t="str">
            <v/>
          </cell>
        </row>
        <row r="39196">
          <cell r="O39196" t="str">
            <v/>
          </cell>
        </row>
        <row r="39197">
          <cell r="O39197" t="str">
            <v/>
          </cell>
        </row>
        <row r="39198">
          <cell r="O39198" t="str">
            <v/>
          </cell>
        </row>
        <row r="39199">
          <cell r="O39199" t="str">
            <v/>
          </cell>
        </row>
        <row r="39200">
          <cell r="O39200" t="str">
            <v/>
          </cell>
        </row>
        <row r="39201">
          <cell r="O39201" t="str">
            <v/>
          </cell>
        </row>
        <row r="39202">
          <cell r="O39202" t="str">
            <v/>
          </cell>
        </row>
        <row r="39203">
          <cell r="O39203" t="str">
            <v/>
          </cell>
        </row>
        <row r="39204">
          <cell r="O39204" t="str">
            <v/>
          </cell>
        </row>
        <row r="39205">
          <cell r="O39205" t="str">
            <v/>
          </cell>
        </row>
        <row r="39206">
          <cell r="O39206" t="str">
            <v/>
          </cell>
        </row>
        <row r="39207">
          <cell r="O39207" t="str">
            <v/>
          </cell>
        </row>
        <row r="39208">
          <cell r="O39208" t="str">
            <v/>
          </cell>
        </row>
        <row r="39209">
          <cell r="O39209" t="str">
            <v/>
          </cell>
        </row>
        <row r="39210">
          <cell r="O39210" t="str">
            <v/>
          </cell>
        </row>
        <row r="39211">
          <cell r="O39211" t="str">
            <v/>
          </cell>
        </row>
        <row r="39212">
          <cell r="O39212" t="str">
            <v/>
          </cell>
        </row>
        <row r="39213">
          <cell r="O39213" t="str">
            <v/>
          </cell>
        </row>
        <row r="39214">
          <cell r="O39214" t="str">
            <v/>
          </cell>
        </row>
        <row r="39215">
          <cell r="O39215" t="str">
            <v/>
          </cell>
        </row>
        <row r="39216">
          <cell r="O39216" t="str">
            <v/>
          </cell>
        </row>
        <row r="39217">
          <cell r="O39217" t="str">
            <v/>
          </cell>
        </row>
        <row r="39218">
          <cell r="O39218" t="str">
            <v/>
          </cell>
        </row>
        <row r="39219">
          <cell r="O39219" t="str">
            <v/>
          </cell>
        </row>
        <row r="39220">
          <cell r="O39220" t="str">
            <v/>
          </cell>
        </row>
        <row r="39221">
          <cell r="O39221" t="str">
            <v/>
          </cell>
        </row>
        <row r="39222">
          <cell r="O39222" t="str">
            <v/>
          </cell>
        </row>
        <row r="39223">
          <cell r="O39223" t="str">
            <v/>
          </cell>
        </row>
        <row r="39224">
          <cell r="O39224" t="str">
            <v/>
          </cell>
        </row>
        <row r="39225">
          <cell r="O39225" t="str">
            <v/>
          </cell>
        </row>
        <row r="39226">
          <cell r="O39226" t="str">
            <v/>
          </cell>
        </row>
        <row r="39227">
          <cell r="O39227" t="str">
            <v/>
          </cell>
        </row>
        <row r="39228">
          <cell r="O39228" t="str">
            <v/>
          </cell>
        </row>
        <row r="39229">
          <cell r="O39229" t="str">
            <v/>
          </cell>
        </row>
        <row r="39230">
          <cell r="O39230" t="str">
            <v/>
          </cell>
        </row>
        <row r="39231">
          <cell r="O39231" t="str">
            <v/>
          </cell>
        </row>
        <row r="39232">
          <cell r="O39232" t="str">
            <v/>
          </cell>
        </row>
        <row r="39233">
          <cell r="O39233" t="str">
            <v/>
          </cell>
        </row>
        <row r="39234">
          <cell r="O39234" t="str">
            <v/>
          </cell>
        </row>
        <row r="39235">
          <cell r="O39235" t="str">
            <v/>
          </cell>
        </row>
        <row r="39236">
          <cell r="O39236" t="str">
            <v/>
          </cell>
        </row>
        <row r="39237">
          <cell r="O39237" t="str">
            <v/>
          </cell>
        </row>
        <row r="39238">
          <cell r="O39238" t="str">
            <v/>
          </cell>
        </row>
        <row r="39239">
          <cell r="O39239" t="str">
            <v/>
          </cell>
        </row>
        <row r="39240">
          <cell r="O39240" t="str">
            <v/>
          </cell>
        </row>
        <row r="39241">
          <cell r="O39241" t="str">
            <v/>
          </cell>
        </row>
        <row r="39242">
          <cell r="O39242" t="str">
            <v/>
          </cell>
        </row>
        <row r="39243">
          <cell r="O39243" t="str">
            <v/>
          </cell>
        </row>
        <row r="39244">
          <cell r="O39244" t="str">
            <v/>
          </cell>
        </row>
        <row r="39245">
          <cell r="O39245" t="str">
            <v/>
          </cell>
        </row>
        <row r="39246">
          <cell r="O39246" t="str">
            <v/>
          </cell>
        </row>
        <row r="39247">
          <cell r="O39247" t="str">
            <v/>
          </cell>
        </row>
        <row r="39248">
          <cell r="O39248" t="str">
            <v/>
          </cell>
        </row>
        <row r="39249">
          <cell r="O39249" t="str">
            <v/>
          </cell>
        </row>
        <row r="39250">
          <cell r="O39250" t="str">
            <v/>
          </cell>
        </row>
        <row r="39251">
          <cell r="O39251" t="str">
            <v/>
          </cell>
        </row>
        <row r="39252">
          <cell r="O39252" t="str">
            <v/>
          </cell>
        </row>
        <row r="39253">
          <cell r="O39253" t="str">
            <v/>
          </cell>
        </row>
        <row r="39254">
          <cell r="O39254" t="str">
            <v/>
          </cell>
        </row>
        <row r="39255">
          <cell r="O39255" t="str">
            <v/>
          </cell>
        </row>
        <row r="39256">
          <cell r="O39256" t="str">
            <v/>
          </cell>
        </row>
        <row r="39257">
          <cell r="O39257" t="str">
            <v/>
          </cell>
        </row>
        <row r="39258">
          <cell r="O39258" t="str">
            <v/>
          </cell>
        </row>
        <row r="39259">
          <cell r="O39259" t="str">
            <v/>
          </cell>
        </row>
        <row r="39260">
          <cell r="O39260" t="str">
            <v/>
          </cell>
        </row>
        <row r="39261">
          <cell r="O39261" t="str">
            <v/>
          </cell>
        </row>
        <row r="39262">
          <cell r="O39262" t="str">
            <v/>
          </cell>
        </row>
        <row r="39263">
          <cell r="O39263" t="str">
            <v/>
          </cell>
        </row>
        <row r="39264">
          <cell r="O39264" t="str">
            <v/>
          </cell>
        </row>
        <row r="39265">
          <cell r="O39265" t="str">
            <v/>
          </cell>
        </row>
        <row r="39266">
          <cell r="O39266" t="str">
            <v/>
          </cell>
        </row>
        <row r="39267">
          <cell r="O39267" t="str">
            <v/>
          </cell>
        </row>
        <row r="39268">
          <cell r="O39268" t="str">
            <v/>
          </cell>
        </row>
        <row r="39269">
          <cell r="O39269" t="str">
            <v/>
          </cell>
        </row>
        <row r="39270">
          <cell r="O39270" t="str">
            <v/>
          </cell>
        </row>
        <row r="39271">
          <cell r="O39271" t="str">
            <v/>
          </cell>
        </row>
        <row r="39272">
          <cell r="O39272" t="str">
            <v/>
          </cell>
        </row>
        <row r="39273">
          <cell r="O39273" t="str">
            <v/>
          </cell>
        </row>
        <row r="39274">
          <cell r="O39274" t="str">
            <v/>
          </cell>
        </row>
        <row r="39275">
          <cell r="O39275" t="str">
            <v/>
          </cell>
        </row>
        <row r="39276">
          <cell r="O39276" t="str">
            <v/>
          </cell>
        </row>
        <row r="39277">
          <cell r="O39277" t="str">
            <v/>
          </cell>
        </row>
        <row r="39278">
          <cell r="O39278" t="str">
            <v/>
          </cell>
        </row>
        <row r="39279">
          <cell r="O39279" t="str">
            <v/>
          </cell>
        </row>
        <row r="39280">
          <cell r="O39280" t="str">
            <v/>
          </cell>
        </row>
        <row r="39281">
          <cell r="O39281" t="str">
            <v/>
          </cell>
        </row>
        <row r="39282">
          <cell r="O39282" t="str">
            <v/>
          </cell>
        </row>
        <row r="39283">
          <cell r="O39283" t="str">
            <v/>
          </cell>
        </row>
        <row r="39284">
          <cell r="O39284" t="str">
            <v/>
          </cell>
        </row>
        <row r="39285">
          <cell r="O39285" t="str">
            <v/>
          </cell>
        </row>
        <row r="39286">
          <cell r="O39286" t="str">
            <v/>
          </cell>
        </row>
        <row r="39287">
          <cell r="O39287" t="str">
            <v/>
          </cell>
        </row>
        <row r="39288">
          <cell r="O39288" t="str">
            <v/>
          </cell>
        </row>
        <row r="39289">
          <cell r="O39289" t="str">
            <v/>
          </cell>
        </row>
        <row r="39290">
          <cell r="O39290" t="str">
            <v/>
          </cell>
        </row>
        <row r="39291">
          <cell r="O39291" t="str">
            <v/>
          </cell>
        </row>
        <row r="39292">
          <cell r="O39292" t="str">
            <v/>
          </cell>
        </row>
        <row r="39293">
          <cell r="O39293" t="str">
            <v/>
          </cell>
        </row>
        <row r="39294">
          <cell r="O39294" t="str">
            <v/>
          </cell>
        </row>
        <row r="39295">
          <cell r="O39295" t="str">
            <v/>
          </cell>
        </row>
        <row r="39296">
          <cell r="O39296" t="str">
            <v/>
          </cell>
        </row>
        <row r="39297">
          <cell r="O39297" t="str">
            <v/>
          </cell>
        </row>
        <row r="39298">
          <cell r="O39298" t="str">
            <v/>
          </cell>
        </row>
        <row r="39299">
          <cell r="O39299" t="str">
            <v/>
          </cell>
        </row>
        <row r="39300">
          <cell r="O39300" t="str">
            <v/>
          </cell>
        </row>
        <row r="39301">
          <cell r="O39301" t="str">
            <v/>
          </cell>
        </row>
        <row r="39302">
          <cell r="O39302" t="str">
            <v/>
          </cell>
        </row>
        <row r="39303">
          <cell r="O39303" t="str">
            <v/>
          </cell>
        </row>
        <row r="39304">
          <cell r="O39304" t="str">
            <v/>
          </cell>
        </row>
        <row r="39305">
          <cell r="O39305" t="str">
            <v/>
          </cell>
        </row>
        <row r="39306">
          <cell r="O39306" t="str">
            <v/>
          </cell>
        </row>
        <row r="39307">
          <cell r="O39307" t="str">
            <v/>
          </cell>
        </row>
        <row r="39308">
          <cell r="O39308" t="str">
            <v/>
          </cell>
        </row>
        <row r="39309">
          <cell r="O39309" t="str">
            <v/>
          </cell>
        </row>
        <row r="39310">
          <cell r="O39310" t="str">
            <v/>
          </cell>
        </row>
        <row r="39311">
          <cell r="O39311" t="str">
            <v/>
          </cell>
        </row>
        <row r="39312">
          <cell r="O39312" t="str">
            <v/>
          </cell>
        </row>
        <row r="39313">
          <cell r="O39313" t="str">
            <v/>
          </cell>
        </row>
        <row r="39314">
          <cell r="O39314" t="str">
            <v/>
          </cell>
        </row>
        <row r="39315">
          <cell r="O39315" t="str">
            <v/>
          </cell>
        </row>
        <row r="39316">
          <cell r="O39316" t="str">
            <v/>
          </cell>
        </row>
        <row r="39317">
          <cell r="O39317" t="str">
            <v/>
          </cell>
        </row>
        <row r="39318">
          <cell r="O39318" t="str">
            <v/>
          </cell>
        </row>
        <row r="39319">
          <cell r="O39319" t="str">
            <v/>
          </cell>
        </row>
        <row r="39320">
          <cell r="O39320" t="str">
            <v/>
          </cell>
        </row>
        <row r="39321">
          <cell r="O39321" t="str">
            <v/>
          </cell>
        </row>
        <row r="39322">
          <cell r="O39322" t="str">
            <v/>
          </cell>
        </row>
        <row r="39323">
          <cell r="O39323" t="str">
            <v/>
          </cell>
        </row>
        <row r="39324">
          <cell r="O39324" t="str">
            <v/>
          </cell>
        </row>
        <row r="39325">
          <cell r="O39325" t="str">
            <v/>
          </cell>
        </row>
        <row r="39326">
          <cell r="O39326" t="str">
            <v/>
          </cell>
        </row>
        <row r="39327">
          <cell r="O39327" t="str">
            <v/>
          </cell>
        </row>
        <row r="39328">
          <cell r="O39328" t="str">
            <v/>
          </cell>
        </row>
        <row r="39329">
          <cell r="O39329" t="str">
            <v/>
          </cell>
        </row>
        <row r="39330">
          <cell r="O39330" t="str">
            <v/>
          </cell>
        </row>
        <row r="39331">
          <cell r="O39331" t="str">
            <v/>
          </cell>
        </row>
        <row r="39332">
          <cell r="O39332" t="str">
            <v/>
          </cell>
        </row>
        <row r="39333">
          <cell r="O39333" t="str">
            <v/>
          </cell>
        </row>
        <row r="39334">
          <cell r="O39334" t="str">
            <v/>
          </cell>
        </row>
        <row r="39335">
          <cell r="O39335" t="str">
            <v/>
          </cell>
        </row>
        <row r="39336">
          <cell r="O39336" t="str">
            <v/>
          </cell>
        </row>
        <row r="39337">
          <cell r="O39337" t="str">
            <v/>
          </cell>
        </row>
        <row r="39338">
          <cell r="O39338" t="str">
            <v/>
          </cell>
        </row>
        <row r="39339">
          <cell r="O39339" t="str">
            <v/>
          </cell>
        </row>
        <row r="39340">
          <cell r="O39340" t="str">
            <v/>
          </cell>
        </row>
        <row r="39341">
          <cell r="O39341" t="str">
            <v/>
          </cell>
        </row>
        <row r="39342">
          <cell r="O39342" t="str">
            <v/>
          </cell>
        </row>
        <row r="39343">
          <cell r="O39343" t="str">
            <v/>
          </cell>
        </row>
        <row r="39344">
          <cell r="O39344" t="str">
            <v/>
          </cell>
        </row>
        <row r="39345">
          <cell r="O39345" t="str">
            <v/>
          </cell>
        </row>
        <row r="39346">
          <cell r="O39346" t="str">
            <v/>
          </cell>
        </row>
        <row r="39347">
          <cell r="O39347" t="str">
            <v/>
          </cell>
        </row>
        <row r="39348">
          <cell r="O39348" t="str">
            <v/>
          </cell>
        </row>
        <row r="39349">
          <cell r="O39349" t="str">
            <v/>
          </cell>
        </row>
        <row r="39350">
          <cell r="O39350" t="str">
            <v/>
          </cell>
        </row>
        <row r="39351">
          <cell r="O39351" t="str">
            <v/>
          </cell>
        </row>
        <row r="39352">
          <cell r="O39352" t="str">
            <v/>
          </cell>
        </row>
        <row r="39353">
          <cell r="O39353" t="str">
            <v/>
          </cell>
        </row>
        <row r="39354">
          <cell r="O39354" t="str">
            <v/>
          </cell>
        </row>
        <row r="39355">
          <cell r="O39355" t="str">
            <v/>
          </cell>
        </row>
        <row r="39356">
          <cell r="O39356" t="str">
            <v/>
          </cell>
        </row>
        <row r="39357">
          <cell r="O39357" t="str">
            <v/>
          </cell>
        </row>
        <row r="39358">
          <cell r="O39358" t="str">
            <v/>
          </cell>
        </row>
        <row r="39359">
          <cell r="O39359" t="str">
            <v/>
          </cell>
        </row>
        <row r="39360">
          <cell r="O39360" t="str">
            <v/>
          </cell>
        </row>
        <row r="39361">
          <cell r="O39361" t="str">
            <v/>
          </cell>
        </row>
        <row r="39362">
          <cell r="O39362" t="str">
            <v/>
          </cell>
        </row>
        <row r="39363">
          <cell r="O39363" t="str">
            <v/>
          </cell>
        </row>
        <row r="39364">
          <cell r="O39364" t="str">
            <v/>
          </cell>
        </row>
        <row r="39365">
          <cell r="O39365" t="str">
            <v/>
          </cell>
        </row>
        <row r="39366">
          <cell r="O39366" t="str">
            <v/>
          </cell>
        </row>
        <row r="39367">
          <cell r="O39367" t="str">
            <v/>
          </cell>
        </row>
        <row r="39368">
          <cell r="O39368" t="str">
            <v/>
          </cell>
        </row>
        <row r="39369">
          <cell r="O39369" t="str">
            <v/>
          </cell>
        </row>
        <row r="39370">
          <cell r="O39370" t="str">
            <v/>
          </cell>
        </row>
        <row r="39371">
          <cell r="O39371" t="str">
            <v/>
          </cell>
        </row>
        <row r="39372">
          <cell r="O39372" t="str">
            <v/>
          </cell>
        </row>
        <row r="39373">
          <cell r="O39373" t="str">
            <v/>
          </cell>
        </row>
        <row r="39374">
          <cell r="O39374" t="str">
            <v/>
          </cell>
        </row>
        <row r="39375">
          <cell r="O39375" t="str">
            <v/>
          </cell>
        </row>
        <row r="39376">
          <cell r="O39376" t="str">
            <v/>
          </cell>
        </row>
        <row r="39377">
          <cell r="O39377" t="str">
            <v/>
          </cell>
        </row>
        <row r="39378">
          <cell r="O39378" t="str">
            <v/>
          </cell>
        </row>
        <row r="39379">
          <cell r="O39379" t="str">
            <v/>
          </cell>
        </row>
        <row r="39380">
          <cell r="O39380" t="str">
            <v/>
          </cell>
        </row>
        <row r="39381">
          <cell r="O39381" t="str">
            <v/>
          </cell>
        </row>
        <row r="39382">
          <cell r="O39382" t="str">
            <v/>
          </cell>
        </row>
        <row r="39383">
          <cell r="O39383" t="str">
            <v/>
          </cell>
        </row>
        <row r="39384">
          <cell r="O39384" t="str">
            <v/>
          </cell>
        </row>
        <row r="39385">
          <cell r="O39385" t="str">
            <v/>
          </cell>
        </row>
        <row r="39386">
          <cell r="O39386" t="str">
            <v/>
          </cell>
        </row>
        <row r="39387">
          <cell r="O39387" t="str">
            <v/>
          </cell>
        </row>
        <row r="39388">
          <cell r="O39388" t="str">
            <v/>
          </cell>
        </row>
        <row r="39389">
          <cell r="O39389" t="str">
            <v/>
          </cell>
        </row>
        <row r="39390">
          <cell r="O39390" t="str">
            <v/>
          </cell>
        </row>
        <row r="39391">
          <cell r="O39391" t="str">
            <v/>
          </cell>
        </row>
        <row r="39392">
          <cell r="O39392" t="str">
            <v/>
          </cell>
        </row>
        <row r="39393">
          <cell r="O39393" t="str">
            <v/>
          </cell>
        </row>
        <row r="39394">
          <cell r="O39394" t="str">
            <v/>
          </cell>
        </row>
        <row r="39395">
          <cell r="O39395" t="str">
            <v/>
          </cell>
        </row>
        <row r="39396">
          <cell r="O39396" t="str">
            <v/>
          </cell>
        </row>
        <row r="39397">
          <cell r="O39397" t="str">
            <v/>
          </cell>
        </row>
        <row r="39398">
          <cell r="O39398" t="str">
            <v/>
          </cell>
        </row>
        <row r="39399">
          <cell r="O39399" t="str">
            <v/>
          </cell>
        </row>
        <row r="39400">
          <cell r="O39400" t="str">
            <v/>
          </cell>
        </row>
        <row r="39401">
          <cell r="O39401" t="str">
            <v/>
          </cell>
        </row>
        <row r="39402">
          <cell r="O39402" t="str">
            <v/>
          </cell>
        </row>
        <row r="39403">
          <cell r="O39403" t="str">
            <v/>
          </cell>
        </row>
        <row r="39404">
          <cell r="O39404" t="str">
            <v/>
          </cell>
        </row>
        <row r="39405">
          <cell r="O39405" t="str">
            <v/>
          </cell>
        </row>
        <row r="39406">
          <cell r="O39406" t="str">
            <v/>
          </cell>
        </row>
        <row r="39407">
          <cell r="O39407" t="str">
            <v/>
          </cell>
        </row>
        <row r="39408">
          <cell r="O39408" t="str">
            <v/>
          </cell>
        </row>
        <row r="39409">
          <cell r="O39409" t="str">
            <v/>
          </cell>
        </row>
        <row r="39410">
          <cell r="O39410" t="str">
            <v/>
          </cell>
        </row>
        <row r="39411">
          <cell r="O39411" t="str">
            <v/>
          </cell>
        </row>
        <row r="39412">
          <cell r="O39412" t="str">
            <v/>
          </cell>
        </row>
        <row r="39413">
          <cell r="O39413" t="str">
            <v/>
          </cell>
        </row>
        <row r="39414">
          <cell r="O39414" t="str">
            <v/>
          </cell>
        </row>
        <row r="39415">
          <cell r="O39415" t="str">
            <v/>
          </cell>
        </row>
        <row r="39416">
          <cell r="O39416" t="str">
            <v/>
          </cell>
        </row>
        <row r="39417">
          <cell r="O39417" t="str">
            <v/>
          </cell>
        </row>
        <row r="39418">
          <cell r="O39418" t="str">
            <v/>
          </cell>
        </row>
        <row r="39419">
          <cell r="O39419" t="str">
            <v/>
          </cell>
        </row>
        <row r="39420">
          <cell r="O39420" t="str">
            <v/>
          </cell>
        </row>
        <row r="39421">
          <cell r="O39421" t="str">
            <v/>
          </cell>
        </row>
        <row r="39422">
          <cell r="O39422" t="str">
            <v/>
          </cell>
        </row>
        <row r="39423">
          <cell r="O39423" t="str">
            <v/>
          </cell>
        </row>
        <row r="39424">
          <cell r="O39424" t="str">
            <v/>
          </cell>
        </row>
        <row r="39425">
          <cell r="O39425" t="str">
            <v/>
          </cell>
        </row>
        <row r="39426">
          <cell r="O39426" t="str">
            <v/>
          </cell>
        </row>
        <row r="39427">
          <cell r="O39427" t="str">
            <v/>
          </cell>
        </row>
        <row r="39428">
          <cell r="O39428" t="str">
            <v/>
          </cell>
        </row>
        <row r="39429">
          <cell r="O39429" t="str">
            <v/>
          </cell>
        </row>
        <row r="39430">
          <cell r="O39430" t="str">
            <v/>
          </cell>
        </row>
        <row r="39431">
          <cell r="O39431" t="str">
            <v/>
          </cell>
        </row>
        <row r="39432">
          <cell r="O39432" t="str">
            <v/>
          </cell>
        </row>
        <row r="39433">
          <cell r="O39433" t="str">
            <v/>
          </cell>
        </row>
        <row r="39434">
          <cell r="O39434" t="str">
            <v/>
          </cell>
        </row>
        <row r="39435">
          <cell r="O39435" t="str">
            <v/>
          </cell>
        </row>
        <row r="39436">
          <cell r="O39436" t="str">
            <v/>
          </cell>
        </row>
        <row r="39437">
          <cell r="O39437" t="str">
            <v/>
          </cell>
        </row>
        <row r="39438">
          <cell r="O39438" t="str">
            <v/>
          </cell>
        </row>
        <row r="39439">
          <cell r="O39439" t="str">
            <v/>
          </cell>
        </row>
        <row r="39440">
          <cell r="O39440" t="str">
            <v/>
          </cell>
        </row>
        <row r="39441">
          <cell r="O39441" t="str">
            <v/>
          </cell>
        </row>
        <row r="39442">
          <cell r="O39442" t="str">
            <v/>
          </cell>
        </row>
        <row r="39443">
          <cell r="O39443" t="str">
            <v/>
          </cell>
        </row>
        <row r="39444">
          <cell r="O39444" t="str">
            <v/>
          </cell>
        </row>
        <row r="39445">
          <cell r="O39445" t="str">
            <v/>
          </cell>
        </row>
        <row r="39446">
          <cell r="O39446" t="str">
            <v/>
          </cell>
        </row>
        <row r="39447">
          <cell r="O39447" t="str">
            <v/>
          </cell>
        </row>
        <row r="39448">
          <cell r="O39448" t="str">
            <v/>
          </cell>
        </row>
        <row r="39449">
          <cell r="O39449" t="str">
            <v/>
          </cell>
        </row>
        <row r="39450">
          <cell r="O39450" t="str">
            <v/>
          </cell>
        </row>
        <row r="39451">
          <cell r="O39451" t="str">
            <v/>
          </cell>
        </row>
        <row r="39452">
          <cell r="O39452" t="str">
            <v/>
          </cell>
        </row>
        <row r="39453">
          <cell r="O39453" t="str">
            <v/>
          </cell>
        </row>
        <row r="39454">
          <cell r="O39454" t="str">
            <v/>
          </cell>
        </row>
        <row r="39455">
          <cell r="O39455" t="str">
            <v/>
          </cell>
        </row>
        <row r="39456">
          <cell r="O39456" t="str">
            <v/>
          </cell>
        </row>
        <row r="39457">
          <cell r="O39457" t="str">
            <v/>
          </cell>
        </row>
        <row r="39458">
          <cell r="O39458" t="str">
            <v/>
          </cell>
        </row>
        <row r="39459">
          <cell r="O39459" t="str">
            <v/>
          </cell>
        </row>
        <row r="39460">
          <cell r="O39460" t="str">
            <v/>
          </cell>
        </row>
        <row r="39461">
          <cell r="O39461" t="str">
            <v/>
          </cell>
        </row>
        <row r="39462">
          <cell r="O39462" t="str">
            <v/>
          </cell>
        </row>
        <row r="39463">
          <cell r="O39463" t="str">
            <v/>
          </cell>
        </row>
        <row r="39464">
          <cell r="O39464" t="str">
            <v/>
          </cell>
        </row>
        <row r="39465">
          <cell r="O39465" t="str">
            <v/>
          </cell>
        </row>
        <row r="39466">
          <cell r="O39466" t="str">
            <v/>
          </cell>
        </row>
        <row r="39467">
          <cell r="O39467" t="str">
            <v/>
          </cell>
        </row>
        <row r="39468">
          <cell r="O39468" t="str">
            <v/>
          </cell>
        </row>
        <row r="39469">
          <cell r="O39469" t="str">
            <v/>
          </cell>
        </row>
        <row r="39470">
          <cell r="O39470" t="str">
            <v/>
          </cell>
        </row>
        <row r="39471">
          <cell r="O39471" t="str">
            <v/>
          </cell>
        </row>
        <row r="39472">
          <cell r="O39472" t="str">
            <v/>
          </cell>
        </row>
        <row r="39473">
          <cell r="O39473" t="str">
            <v/>
          </cell>
        </row>
        <row r="39474">
          <cell r="O39474" t="str">
            <v/>
          </cell>
        </row>
        <row r="39475">
          <cell r="O39475" t="str">
            <v/>
          </cell>
        </row>
        <row r="39476">
          <cell r="O39476" t="str">
            <v/>
          </cell>
        </row>
        <row r="39477">
          <cell r="O39477" t="str">
            <v/>
          </cell>
        </row>
        <row r="39478">
          <cell r="O39478" t="str">
            <v/>
          </cell>
        </row>
        <row r="39479">
          <cell r="O39479" t="str">
            <v/>
          </cell>
        </row>
        <row r="39480">
          <cell r="O39480" t="str">
            <v/>
          </cell>
        </row>
        <row r="39481">
          <cell r="O39481" t="str">
            <v/>
          </cell>
        </row>
        <row r="39482">
          <cell r="O39482" t="str">
            <v/>
          </cell>
        </row>
        <row r="39483">
          <cell r="O39483" t="str">
            <v/>
          </cell>
        </row>
        <row r="39484">
          <cell r="O39484" t="str">
            <v/>
          </cell>
        </row>
        <row r="39485">
          <cell r="O39485" t="str">
            <v/>
          </cell>
        </row>
        <row r="39486">
          <cell r="O39486" t="str">
            <v/>
          </cell>
        </row>
        <row r="39487">
          <cell r="O39487" t="str">
            <v/>
          </cell>
        </row>
        <row r="39488">
          <cell r="O39488" t="str">
            <v/>
          </cell>
        </row>
        <row r="39489">
          <cell r="O39489" t="str">
            <v/>
          </cell>
        </row>
        <row r="39490">
          <cell r="O39490" t="str">
            <v/>
          </cell>
        </row>
        <row r="39491">
          <cell r="O39491" t="str">
            <v/>
          </cell>
        </row>
        <row r="39492">
          <cell r="O39492" t="str">
            <v/>
          </cell>
        </row>
        <row r="39493">
          <cell r="O39493" t="str">
            <v/>
          </cell>
        </row>
        <row r="39494">
          <cell r="O39494" t="str">
            <v/>
          </cell>
        </row>
        <row r="39495">
          <cell r="O39495" t="str">
            <v/>
          </cell>
        </row>
        <row r="39496">
          <cell r="O39496" t="str">
            <v/>
          </cell>
        </row>
        <row r="39497">
          <cell r="O39497" t="str">
            <v/>
          </cell>
        </row>
        <row r="39498">
          <cell r="O39498" t="str">
            <v/>
          </cell>
        </row>
        <row r="39499">
          <cell r="O39499" t="str">
            <v/>
          </cell>
        </row>
        <row r="39500">
          <cell r="O39500" t="str">
            <v/>
          </cell>
        </row>
        <row r="39501">
          <cell r="O39501" t="str">
            <v/>
          </cell>
        </row>
        <row r="39502">
          <cell r="O39502" t="str">
            <v/>
          </cell>
        </row>
        <row r="39503">
          <cell r="O39503" t="str">
            <v/>
          </cell>
        </row>
        <row r="39504">
          <cell r="O39504" t="str">
            <v/>
          </cell>
        </row>
        <row r="39505">
          <cell r="O39505" t="str">
            <v/>
          </cell>
        </row>
        <row r="39506">
          <cell r="O39506" t="str">
            <v/>
          </cell>
        </row>
        <row r="39507">
          <cell r="O39507" t="str">
            <v/>
          </cell>
        </row>
        <row r="39508">
          <cell r="O39508" t="str">
            <v/>
          </cell>
        </row>
        <row r="39509">
          <cell r="O39509" t="str">
            <v/>
          </cell>
        </row>
        <row r="39510">
          <cell r="O39510" t="str">
            <v/>
          </cell>
        </row>
        <row r="39511">
          <cell r="O39511" t="str">
            <v/>
          </cell>
        </row>
        <row r="39512">
          <cell r="O39512" t="str">
            <v/>
          </cell>
        </row>
        <row r="39513">
          <cell r="O39513" t="str">
            <v/>
          </cell>
        </row>
        <row r="39514">
          <cell r="O39514" t="str">
            <v/>
          </cell>
        </row>
        <row r="39515">
          <cell r="O39515" t="str">
            <v/>
          </cell>
        </row>
        <row r="39516">
          <cell r="O39516" t="str">
            <v/>
          </cell>
        </row>
        <row r="39517">
          <cell r="O39517" t="str">
            <v/>
          </cell>
        </row>
        <row r="39518">
          <cell r="O39518" t="str">
            <v/>
          </cell>
        </row>
        <row r="39519">
          <cell r="O39519" t="str">
            <v/>
          </cell>
        </row>
        <row r="39520">
          <cell r="O39520" t="str">
            <v/>
          </cell>
        </row>
        <row r="39521">
          <cell r="O39521" t="str">
            <v/>
          </cell>
        </row>
        <row r="39522">
          <cell r="O39522" t="str">
            <v/>
          </cell>
        </row>
        <row r="39523">
          <cell r="O39523" t="str">
            <v/>
          </cell>
        </row>
        <row r="39524">
          <cell r="O39524" t="str">
            <v/>
          </cell>
        </row>
        <row r="39525">
          <cell r="O39525" t="str">
            <v/>
          </cell>
        </row>
        <row r="39526">
          <cell r="O39526" t="str">
            <v/>
          </cell>
        </row>
        <row r="39527">
          <cell r="O39527" t="str">
            <v/>
          </cell>
        </row>
        <row r="39528">
          <cell r="O39528" t="str">
            <v/>
          </cell>
        </row>
        <row r="39529">
          <cell r="O39529" t="str">
            <v/>
          </cell>
        </row>
        <row r="39530">
          <cell r="O39530" t="str">
            <v/>
          </cell>
        </row>
        <row r="39531">
          <cell r="O39531" t="str">
            <v/>
          </cell>
        </row>
        <row r="39532">
          <cell r="O39532" t="str">
            <v/>
          </cell>
        </row>
        <row r="39533">
          <cell r="O39533" t="str">
            <v/>
          </cell>
        </row>
        <row r="39534">
          <cell r="O39534" t="str">
            <v/>
          </cell>
        </row>
        <row r="39535">
          <cell r="O39535" t="str">
            <v/>
          </cell>
        </row>
        <row r="39536">
          <cell r="O39536" t="str">
            <v/>
          </cell>
        </row>
        <row r="39537">
          <cell r="O39537" t="str">
            <v/>
          </cell>
        </row>
        <row r="39538">
          <cell r="O39538" t="str">
            <v/>
          </cell>
        </row>
        <row r="39539">
          <cell r="O39539" t="str">
            <v/>
          </cell>
        </row>
        <row r="39540">
          <cell r="O39540" t="str">
            <v/>
          </cell>
        </row>
        <row r="39541">
          <cell r="O39541" t="str">
            <v/>
          </cell>
        </row>
        <row r="39542">
          <cell r="O39542" t="str">
            <v/>
          </cell>
        </row>
        <row r="39543">
          <cell r="O39543" t="str">
            <v/>
          </cell>
        </row>
        <row r="39544">
          <cell r="O39544" t="str">
            <v/>
          </cell>
        </row>
        <row r="39545">
          <cell r="O39545" t="str">
            <v/>
          </cell>
        </row>
        <row r="39546">
          <cell r="O39546" t="str">
            <v/>
          </cell>
        </row>
        <row r="39547">
          <cell r="O39547" t="str">
            <v/>
          </cell>
        </row>
        <row r="39548">
          <cell r="O39548" t="str">
            <v/>
          </cell>
        </row>
        <row r="39549">
          <cell r="O39549" t="str">
            <v/>
          </cell>
        </row>
        <row r="39550">
          <cell r="O39550" t="str">
            <v/>
          </cell>
        </row>
        <row r="39551">
          <cell r="O39551" t="str">
            <v/>
          </cell>
        </row>
        <row r="39552">
          <cell r="O39552" t="str">
            <v/>
          </cell>
        </row>
        <row r="39553">
          <cell r="O39553" t="str">
            <v/>
          </cell>
        </row>
        <row r="39554">
          <cell r="O39554" t="str">
            <v/>
          </cell>
        </row>
        <row r="39555">
          <cell r="O39555" t="str">
            <v/>
          </cell>
        </row>
        <row r="39556">
          <cell r="O39556" t="str">
            <v/>
          </cell>
        </row>
        <row r="39557">
          <cell r="O39557" t="str">
            <v/>
          </cell>
        </row>
        <row r="39558">
          <cell r="O39558" t="str">
            <v/>
          </cell>
        </row>
        <row r="39559">
          <cell r="O39559" t="str">
            <v/>
          </cell>
        </row>
        <row r="39560">
          <cell r="O39560" t="str">
            <v/>
          </cell>
        </row>
        <row r="39561">
          <cell r="O39561" t="str">
            <v/>
          </cell>
        </row>
        <row r="39562">
          <cell r="O39562" t="str">
            <v/>
          </cell>
        </row>
        <row r="39563">
          <cell r="O39563" t="str">
            <v/>
          </cell>
        </row>
        <row r="39564">
          <cell r="O39564" t="str">
            <v/>
          </cell>
        </row>
        <row r="39565">
          <cell r="O39565" t="str">
            <v/>
          </cell>
        </row>
        <row r="39566">
          <cell r="O39566" t="str">
            <v/>
          </cell>
        </row>
        <row r="39567">
          <cell r="O39567" t="str">
            <v/>
          </cell>
        </row>
        <row r="39568">
          <cell r="O39568" t="str">
            <v/>
          </cell>
        </row>
        <row r="39569">
          <cell r="O39569" t="str">
            <v/>
          </cell>
        </row>
        <row r="39570">
          <cell r="O39570" t="str">
            <v/>
          </cell>
        </row>
        <row r="39571">
          <cell r="O39571" t="str">
            <v/>
          </cell>
        </row>
        <row r="39572">
          <cell r="O39572" t="str">
            <v/>
          </cell>
        </row>
        <row r="39573">
          <cell r="O39573" t="str">
            <v/>
          </cell>
        </row>
        <row r="39574">
          <cell r="O39574" t="str">
            <v/>
          </cell>
        </row>
        <row r="39575">
          <cell r="O39575" t="str">
            <v/>
          </cell>
        </row>
        <row r="39576">
          <cell r="O39576" t="str">
            <v/>
          </cell>
        </row>
        <row r="39577">
          <cell r="O39577" t="str">
            <v/>
          </cell>
        </row>
        <row r="39578">
          <cell r="O39578" t="str">
            <v/>
          </cell>
        </row>
        <row r="39579">
          <cell r="O39579" t="str">
            <v/>
          </cell>
        </row>
        <row r="39580">
          <cell r="O39580" t="str">
            <v/>
          </cell>
        </row>
        <row r="39581">
          <cell r="O39581" t="str">
            <v/>
          </cell>
        </row>
        <row r="39582">
          <cell r="O39582" t="str">
            <v/>
          </cell>
        </row>
        <row r="39583">
          <cell r="O39583" t="str">
            <v/>
          </cell>
        </row>
        <row r="39584">
          <cell r="O39584" t="str">
            <v/>
          </cell>
        </row>
        <row r="39585">
          <cell r="O39585" t="str">
            <v/>
          </cell>
        </row>
        <row r="39586">
          <cell r="O39586" t="str">
            <v/>
          </cell>
        </row>
        <row r="39587">
          <cell r="O39587" t="str">
            <v/>
          </cell>
        </row>
        <row r="39588">
          <cell r="O39588" t="str">
            <v/>
          </cell>
        </row>
        <row r="39589">
          <cell r="O39589" t="str">
            <v/>
          </cell>
        </row>
        <row r="39590">
          <cell r="O39590" t="str">
            <v/>
          </cell>
        </row>
        <row r="39591">
          <cell r="O39591" t="str">
            <v/>
          </cell>
        </row>
        <row r="39592">
          <cell r="O39592" t="str">
            <v/>
          </cell>
        </row>
        <row r="39593">
          <cell r="O39593" t="str">
            <v/>
          </cell>
        </row>
        <row r="39594">
          <cell r="O39594" t="str">
            <v/>
          </cell>
        </row>
        <row r="39595">
          <cell r="O39595" t="str">
            <v/>
          </cell>
        </row>
        <row r="39596">
          <cell r="O39596" t="str">
            <v/>
          </cell>
        </row>
        <row r="39597">
          <cell r="O39597" t="str">
            <v/>
          </cell>
        </row>
        <row r="39598">
          <cell r="O39598" t="str">
            <v/>
          </cell>
        </row>
        <row r="39599">
          <cell r="O39599" t="str">
            <v/>
          </cell>
        </row>
        <row r="39600">
          <cell r="O39600" t="str">
            <v/>
          </cell>
        </row>
        <row r="39601">
          <cell r="O39601" t="str">
            <v/>
          </cell>
        </row>
        <row r="39602">
          <cell r="O39602" t="str">
            <v/>
          </cell>
        </row>
        <row r="39603">
          <cell r="O39603" t="str">
            <v/>
          </cell>
        </row>
        <row r="39604">
          <cell r="O39604" t="str">
            <v/>
          </cell>
        </row>
        <row r="39605">
          <cell r="O39605" t="str">
            <v/>
          </cell>
        </row>
        <row r="39606">
          <cell r="O39606" t="str">
            <v/>
          </cell>
        </row>
        <row r="39607">
          <cell r="O39607" t="str">
            <v/>
          </cell>
        </row>
        <row r="39608">
          <cell r="O39608" t="str">
            <v/>
          </cell>
        </row>
        <row r="39609">
          <cell r="O39609" t="str">
            <v/>
          </cell>
        </row>
        <row r="39610">
          <cell r="O39610" t="str">
            <v/>
          </cell>
        </row>
        <row r="39611">
          <cell r="O39611" t="str">
            <v/>
          </cell>
        </row>
        <row r="39612">
          <cell r="O39612" t="str">
            <v/>
          </cell>
        </row>
        <row r="39613">
          <cell r="O39613" t="str">
            <v/>
          </cell>
        </row>
        <row r="39614">
          <cell r="O39614" t="str">
            <v/>
          </cell>
        </row>
        <row r="39615">
          <cell r="O39615" t="str">
            <v/>
          </cell>
        </row>
        <row r="39616">
          <cell r="O39616" t="str">
            <v/>
          </cell>
        </row>
        <row r="39617">
          <cell r="O39617" t="str">
            <v/>
          </cell>
        </row>
        <row r="39618">
          <cell r="O39618" t="str">
            <v/>
          </cell>
        </row>
        <row r="39619">
          <cell r="O39619" t="str">
            <v/>
          </cell>
        </row>
        <row r="39620">
          <cell r="O39620" t="str">
            <v/>
          </cell>
        </row>
        <row r="39621">
          <cell r="O39621" t="str">
            <v/>
          </cell>
        </row>
        <row r="39622">
          <cell r="O39622" t="str">
            <v/>
          </cell>
        </row>
        <row r="39623">
          <cell r="O39623" t="str">
            <v/>
          </cell>
        </row>
        <row r="39624">
          <cell r="O39624" t="str">
            <v/>
          </cell>
        </row>
        <row r="39625">
          <cell r="O39625" t="str">
            <v/>
          </cell>
        </row>
        <row r="39626">
          <cell r="O39626" t="str">
            <v/>
          </cell>
        </row>
        <row r="39627">
          <cell r="O39627" t="str">
            <v/>
          </cell>
        </row>
        <row r="39628">
          <cell r="O39628" t="str">
            <v/>
          </cell>
        </row>
        <row r="39629">
          <cell r="O39629" t="str">
            <v/>
          </cell>
        </row>
        <row r="39630">
          <cell r="O39630" t="str">
            <v/>
          </cell>
        </row>
        <row r="39631">
          <cell r="O39631" t="str">
            <v/>
          </cell>
        </row>
        <row r="39632">
          <cell r="O39632" t="str">
            <v/>
          </cell>
        </row>
        <row r="39633">
          <cell r="O39633" t="str">
            <v/>
          </cell>
        </row>
        <row r="39634">
          <cell r="O39634" t="str">
            <v/>
          </cell>
        </row>
        <row r="39635">
          <cell r="O39635" t="str">
            <v/>
          </cell>
        </row>
        <row r="39636">
          <cell r="O39636" t="str">
            <v/>
          </cell>
        </row>
        <row r="39637">
          <cell r="O39637" t="str">
            <v/>
          </cell>
        </row>
        <row r="39638">
          <cell r="O39638" t="str">
            <v/>
          </cell>
        </row>
        <row r="39639">
          <cell r="O39639" t="str">
            <v/>
          </cell>
        </row>
        <row r="39640">
          <cell r="O39640" t="str">
            <v/>
          </cell>
        </row>
        <row r="39641">
          <cell r="O39641" t="str">
            <v/>
          </cell>
        </row>
        <row r="39642">
          <cell r="O39642" t="str">
            <v/>
          </cell>
        </row>
        <row r="39643">
          <cell r="O39643" t="str">
            <v/>
          </cell>
        </row>
        <row r="39644">
          <cell r="O39644" t="str">
            <v/>
          </cell>
        </row>
        <row r="39645">
          <cell r="O39645" t="str">
            <v/>
          </cell>
        </row>
        <row r="39646">
          <cell r="O39646" t="str">
            <v/>
          </cell>
        </row>
        <row r="39647">
          <cell r="O39647" t="str">
            <v/>
          </cell>
        </row>
        <row r="39648">
          <cell r="O39648" t="str">
            <v/>
          </cell>
        </row>
        <row r="39649">
          <cell r="O39649" t="str">
            <v/>
          </cell>
        </row>
        <row r="39650">
          <cell r="O39650" t="str">
            <v/>
          </cell>
        </row>
        <row r="39651">
          <cell r="O39651" t="str">
            <v/>
          </cell>
        </row>
        <row r="39652">
          <cell r="O39652" t="str">
            <v/>
          </cell>
        </row>
        <row r="39653">
          <cell r="O39653" t="str">
            <v/>
          </cell>
        </row>
        <row r="39654">
          <cell r="O39654" t="str">
            <v/>
          </cell>
        </row>
        <row r="39655">
          <cell r="O39655" t="str">
            <v/>
          </cell>
        </row>
        <row r="39656">
          <cell r="O39656" t="str">
            <v/>
          </cell>
        </row>
        <row r="39657">
          <cell r="O39657" t="str">
            <v/>
          </cell>
        </row>
        <row r="39658">
          <cell r="O39658" t="str">
            <v/>
          </cell>
        </row>
        <row r="39659">
          <cell r="O39659" t="str">
            <v/>
          </cell>
        </row>
        <row r="39660">
          <cell r="O39660" t="str">
            <v/>
          </cell>
        </row>
        <row r="39661">
          <cell r="O39661" t="str">
            <v/>
          </cell>
        </row>
        <row r="39662">
          <cell r="O39662" t="str">
            <v/>
          </cell>
        </row>
        <row r="39663">
          <cell r="O39663" t="str">
            <v/>
          </cell>
        </row>
        <row r="39664">
          <cell r="O39664" t="str">
            <v/>
          </cell>
        </row>
        <row r="39665">
          <cell r="O39665" t="str">
            <v/>
          </cell>
        </row>
        <row r="39666">
          <cell r="O39666" t="str">
            <v/>
          </cell>
        </row>
        <row r="39667">
          <cell r="O39667" t="str">
            <v/>
          </cell>
        </row>
        <row r="39668">
          <cell r="O39668" t="str">
            <v/>
          </cell>
        </row>
        <row r="39669">
          <cell r="O39669" t="str">
            <v/>
          </cell>
        </row>
        <row r="39670">
          <cell r="O39670" t="str">
            <v/>
          </cell>
        </row>
        <row r="39671">
          <cell r="O39671" t="str">
            <v/>
          </cell>
        </row>
        <row r="39672">
          <cell r="O39672" t="str">
            <v/>
          </cell>
        </row>
        <row r="39673">
          <cell r="O39673" t="str">
            <v/>
          </cell>
        </row>
        <row r="39674">
          <cell r="O39674" t="str">
            <v/>
          </cell>
        </row>
        <row r="39675">
          <cell r="O39675" t="str">
            <v/>
          </cell>
        </row>
        <row r="39676">
          <cell r="O39676" t="str">
            <v/>
          </cell>
        </row>
        <row r="39677">
          <cell r="O39677" t="str">
            <v/>
          </cell>
        </row>
        <row r="39678">
          <cell r="O39678" t="str">
            <v/>
          </cell>
        </row>
        <row r="39679">
          <cell r="O39679" t="str">
            <v/>
          </cell>
        </row>
        <row r="39680">
          <cell r="O39680" t="str">
            <v/>
          </cell>
        </row>
        <row r="39681">
          <cell r="O39681" t="str">
            <v/>
          </cell>
        </row>
        <row r="39682">
          <cell r="O39682" t="str">
            <v/>
          </cell>
        </row>
        <row r="39683">
          <cell r="O39683" t="str">
            <v/>
          </cell>
        </row>
        <row r="39684">
          <cell r="O39684" t="str">
            <v/>
          </cell>
        </row>
        <row r="39685">
          <cell r="O39685" t="str">
            <v/>
          </cell>
        </row>
        <row r="39686">
          <cell r="O39686" t="str">
            <v/>
          </cell>
        </row>
        <row r="39687">
          <cell r="O39687" t="str">
            <v/>
          </cell>
        </row>
        <row r="39688">
          <cell r="O39688" t="str">
            <v/>
          </cell>
        </row>
        <row r="39689">
          <cell r="O39689" t="str">
            <v/>
          </cell>
        </row>
        <row r="39690">
          <cell r="O39690" t="str">
            <v/>
          </cell>
        </row>
        <row r="39691">
          <cell r="O39691" t="str">
            <v/>
          </cell>
        </row>
        <row r="39692">
          <cell r="O39692" t="str">
            <v/>
          </cell>
        </row>
        <row r="39693">
          <cell r="O39693" t="str">
            <v/>
          </cell>
        </row>
        <row r="39694">
          <cell r="O39694" t="str">
            <v/>
          </cell>
        </row>
        <row r="39695">
          <cell r="O39695" t="str">
            <v/>
          </cell>
        </row>
        <row r="39696">
          <cell r="O39696" t="str">
            <v/>
          </cell>
        </row>
        <row r="39697">
          <cell r="O39697" t="str">
            <v/>
          </cell>
        </row>
        <row r="39698">
          <cell r="O39698" t="str">
            <v/>
          </cell>
        </row>
        <row r="39699">
          <cell r="O39699" t="str">
            <v/>
          </cell>
        </row>
        <row r="39700">
          <cell r="O39700" t="str">
            <v/>
          </cell>
        </row>
        <row r="39701">
          <cell r="O39701" t="str">
            <v/>
          </cell>
        </row>
        <row r="39702">
          <cell r="O39702" t="str">
            <v/>
          </cell>
        </row>
        <row r="39703">
          <cell r="O39703" t="str">
            <v/>
          </cell>
        </row>
        <row r="39704">
          <cell r="O39704" t="str">
            <v/>
          </cell>
        </row>
        <row r="39705">
          <cell r="O39705" t="str">
            <v/>
          </cell>
        </row>
        <row r="39706">
          <cell r="O39706" t="str">
            <v/>
          </cell>
        </row>
        <row r="39707">
          <cell r="O39707" t="str">
            <v/>
          </cell>
        </row>
        <row r="39708">
          <cell r="O39708" t="str">
            <v/>
          </cell>
        </row>
        <row r="39709">
          <cell r="O39709" t="str">
            <v/>
          </cell>
        </row>
        <row r="39710">
          <cell r="O39710" t="str">
            <v/>
          </cell>
        </row>
        <row r="39711">
          <cell r="O39711" t="str">
            <v/>
          </cell>
        </row>
        <row r="39712">
          <cell r="O39712" t="str">
            <v/>
          </cell>
        </row>
        <row r="39713">
          <cell r="O39713" t="str">
            <v/>
          </cell>
        </row>
        <row r="39714">
          <cell r="O39714" t="str">
            <v/>
          </cell>
        </row>
        <row r="39715">
          <cell r="O39715" t="str">
            <v/>
          </cell>
        </row>
        <row r="39716">
          <cell r="O39716" t="str">
            <v/>
          </cell>
        </row>
        <row r="39717">
          <cell r="O39717" t="str">
            <v/>
          </cell>
        </row>
        <row r="39718">
          <cell r="O39718" t="str">
            <v/>
          </cell>
        </row>
        <row r="39719">
          <cell r="O39719" t="str">
            <v/>
          </cell>
        </row>
        <row r="39720">
          <cell r="O39720" t="str">
            <v/>
          </cell>
        </row>
        <row r="39721">
          <cell r="O39721" t="str">
            <v/>
          </cell>
        </row>
        <row r="39722">
          <cell r="O39722" t="str">
            <v/>
          </cell>
        </row>
        <row r="39723">
          <cell r="O39723" t="str">
            <v/>
          </cell>
        </row>
        <row r="39724">
          <cell r="O39724" t="str">
            <v/>
          </cell>
        </row>
        <row r="39725">
          <cell r="O39725" t="str">
            <v/>
          </cell>
        </row>
        <row r="39726">
          <cell r="O39726" t="str">
            <v/>
          </cell>
        </row>
        <row r="39727">
          <cell r="O39727" t="str">
            <v/>
          </cell>
        </row>
        <row r="39728">
          <cell r="O39728" t="str">
            <v/>
          </cell>
        </row>
        <row r="39729">
          <cell r="O39729" t="str">
            <v/>
          </cell>
        </row>
        <row r="39730">
          <cell r="O39730" t="str">
            <v/>
          </cell>
        </row>
        <row r="39731">
          <cell r="O39731" t="str">
            <v/>
          </cell>
        </row>
        <row r="39732">
          <cell r="O39732" t="str">
            <v/>
          </cell>
        </row>
        <row r="39733">
          <cell r="O39733" t="str">
            <v/>
          </cell>
        </row>
        <row r="39734">
          <cell r="O39734" t="str">
            <v/>
          </cell>
        </row>
        <row r="39735">
          <cell r="O39735" t="str">
            <v/>
          </cell>
        </row>
        <row r="39736">
          <cell r="O39736" t="str">
            <v/>
          </cell>
        </row>
        <row r="39737">
          <cell r="O39737" t="str">
            <v/>
          </cell>
        </row>
        <row r="39738">
          <cell r="O39738" t="str">
            <v/>
          </cell>
        </row>
        <row r="39739">
          <cell r="O39739" t="str">
            <v/>
          </cell>
        </row>
        <row r="39740">
          <cell r="O39740" t="str">
            <v/>
          </cell>
        </row>
        <row r="39741">
          <cell r="O39741" t="str">
            <v/>
          </cell>
        </row>
        <row r="39742">
          <cell r="O39742" t="str">
            <v/>
          </cell>
        </row>
        <row r="39743">
          <cell r="O39743" t="str">
            <v/>
          </cell>
        </row>
        <row r="39744">
          <cell r="O39744" t="str">
            <v/>
          </cell>
        </row>
        <row r="39745">
          <cell r="O39745" t="str">
            <v/>
          </cell>
        </row>
        <row r="39746">
          <cell r="O39746" t="str">
            <v/>
          </cell>
        </row>
        <row r="39747">
          <cell r="O39747" t="str">
            <v/>
          </cell>
        </row>
        <row r="39748">
          <cell r="O39748" t="str">
            <v/>
          </cell>
        </row>
        <row r="39749">
          <cell r="O39749" t="str">
            <v/>
          </cell>
        </row>
        <row r="39750">
          <cell r="O39750" t="str">
            <v/>
          </cell>
        </row>
        <row r="39751">
          <cell r="O39751" t="str">
            <v/>
          </cell>
        </row>
        <row r="39752">
          <cell r="O39752" t="str">
            <v/>
          </cell>
        </row>
        <row r="39753">
          <cell r="O39753" t="str">
            <v/>
          </cell>
        </row>
        <row r="39754">
          <cell r="O39754" t="str">
            <v/>
          </cell>
        </row>
        <row r="39755">
          <cell r="O39755" t="str">
            <v/>
          </cell>
        </row>
        <row r="39756">
          <cell r="O39756" t="str">
            <v/>
          </cell>
        </row>
        <row r="39757">
          <cell r="O39757" t="str">
            <v/>
          </cell>
        </row>
        <row r="39758">
          <cell r="O39758" t="str">
            <v/>
          </cell>
        </row>
        <row r="39759">
          <cell r="O39759" t="str">
            <v/>
          </cell>
        </row>
        <row r="39760">
          <cell r="O39760" t="str">
            <v/>
          </cell>
        </row>
        <row r="39761">
          <cell r="O39761" t="str">
            <v/>
          </cell>
        </row>
        <row r="39762">
          <cell r="O39762" t="str">
            <v/>
          </cell>
        </row>
        <row r="39763">
          <cell r="O39763" t="str">
            <v/>
          </cell>
        </row>
        <row r="39764">
          <cell r="O39764" t="str">
            <v/>
          </cell>
        </row>
        <row r="39765">
          <cell r="O39765" t="str">
            <v/>
          </cell>
        </row>
        <row r="39766">
          <cell r="O39766" t="str">
            <v/>
          </cell>
        </row>
        <row r="39767">
          <cell r="O39767" t="str">
            <v/>
          </cell>
        </row>
        <row r="39768">
          <cell r="O39768" t="str">
            <v/>
          </cell>
        </row>
        <row r="39769">
          <cell r="O39769" t="str">
            <v/>
          </cell>
        </row>
        <row r="39770">
          <cell r="O39770" t="str">
            <v/>
          </cell>
        </row>
        <row r="39771">
          <cell r="O39771" t="str">
            <v/>
          </cell>
        </row>
        <row r="39772">
          <cell r="O39772" t="str">
            <v/>
          </cell>
        </row>
        <row r="39773">
          <cell r="O39773" t="str">
            <v/>
          </cell>
        </row>
        <row r="39774">
          <cell r="O39774" t="str">
            <v/>
          </cell>
        </row>
        <row r="39775">
          <cell r="O39775" t="str">
            <v/>
          </cell>
        </row>
        <row r="39776">
          <cell r="O39776" t="str">
            <v/>
          </cell>
        </row>
        <row r="39777">
          <cell r="O39777" t="str">
            <v/>
          </cell>
        </row>
        <row r="39778">
          <cell r="O39778" t="str">
            <v/>
          </cell>
        </row>
        <row r="39779">
          <cell r="O39779" t="str">
            <v/>
          </cell>
        </row>
        <row r="39780">
          <cell r="O39780" t="str">
            <v/>
          </cell>
        </row>
        <row r="39781">
          <cell r="O39781" t="str">
            <v/>
          </cell>
        </row>
        <row r="39782">
          <cell r="O39782" t="str">
            <v/>
          </cell>
        </row>
        <row r="39783">
          <cell r="O39783" t="str">
            <v/>
          </cell>
        </row>
        <row r="39784">
          <cell r="O39784" t="str">
            <v/>
          </cell>
        </row>
        <row r="39785">
          <cell r="O39785" t="str">
            <v/>
          </cell>
        </row>
        <row r="39786">
          <cell r="O39786" t="str">
            <v/>
          </cell>
        </row>
        <row r="39787">
          <cell r="O39787" t="str">
            <v/>
          </cell>
        </row>
        <row r="39788">
          <cell r="O39788" t="str">
            <v/>
          </cell>
        </row>
        <row r="39789">
          <cell r="O39789" t="str">
            <v/>
          </cell>
        </row>
        <row r="39790">
          <cell r="O39790" t="str">
            <v/>
          </cell>
        </row>
        <row r="39791">
          <cell r="O39791" t="str">
            <v/>
          </cell>
        </row>
        <row r="39792">
          <cell r="O39792" t="str">
            <v/>
          </cell>
        </row>
        <row r="39793">
          <cell r="O39793" t="str">
            <v/>
          </cell>
        </row>
        <row r="39794">
          <cell r="O39794" t="str">
            <v/>
          </cell>
        </row>
        <row r="39795">
          <cell r="O39795" t="str">
            <v/>
          </cell>
        </row>
        <row r="39796">
          <cell r="O39796" t="str">
            <v/>
          </cell>
        </row>
        <row r="39797">
          <cell r="O39797" t="str">
            <v/>
          </cell>
        </row>
        <row r="39798">
          <cell r="O39798" t="str">
            <v/>
          </cell>
        </row>
        <row r="39799">
          <cell r="O39799" t="str">
            <v/>
          </cell>
        </row>
        <row r="39800">
          <cell r="O39800" t="str">
            <v/>
          </cell>
        </row>
        <row r="39801">
          <cell r="O39801" t="str">
            <v/>
          </cell>
        </row>
        <row r="39802">
          <cell r="O39802" t="str">
            <v/>
          </cell>
        </row>
        <row r="39803">
          <cell r="O39803" t="str">
            <v/>
          </cell>
        </row>
        <row r="39804">
          <cell r="O39804" t="str">
            <v/>
          </cell>
        </row>
        <row r="39805">
          <cell r="O39805" t="str">
            <v/>
          </cell>
        </row>
        <row r="39806">
          <cell r="O39806" t="str">
            <v/>
          </cell>
        </row>
        <row r="39807">
          <cell r="O39807" t="str">
            <v/>
          </cell>
        </row>
        <row r="39808">
          <cell r="O39808" t="str">
            <v/>
          </cell>
        </row>
        <row r="39809">
          <cell r="O39809" t="str">
            <v/>
          </cell>
        </row>
        <row r="39810">
          <cell r="O39810" t="str">
            <v/>
          </cell>
        </row>
        <row r="39811">
          <cell r="O39811" t="str">
            <v/>
          </cell>
        </row>
        <row r="39812">
          <cell r="O39812" t="str">
            <v/>
          </cell>
        </row>
        <row r="39813">
          <cell r="O39813" t="str">
            <v/>
          </cell>
        </row>
        <row r="39814">
          <cell r="O39814" t="str">
            <v/>
          </cell>
        </row>
        <row r="39815">
          <cell r="O39815" t="str">
            <v/>
          </cell>
        </row>
        <row r="39816">
          <cell r="O39816" t="str">
            <v/>
          </cell>
        </row>
        <row r="39817">
          <cell r="O39817" t="str">
            <v/>
          </cell>
        </row>
        <row r="39818">
          <cell r="O39818" t="str">
            <v/>
          </cell>
        </row>
        <row r="39819">
          <cell r="O39819" t="str">
            <v/>
          </cell>
        </row>
        <row r="39820">
          <cell r="O39820" t="str">
            <v/>
          </cell>
        </row>
        <row r="39821">
          <cell r="O39821" t="str">
            <v/>
          </cell>
        </row>
        <row r="39822">
          <cell r="O39822" t="str">
            <v/>
          </cell>
        </row>
        <row r="39823">
          <cell r="O39823" t="str">
            <v/>
          </cell>
        </row>
        <row r="39824">
          <cell r="O39824" t="str">
            <v/>
          </cell>
        </row>
        <row r="39825">
          <cell r="O39825" t="str">
            <v/>
          </cell>
        </row>
        <row r="39826">
          <cell r="O39826" t="str">
            <v/>
          </cell>
        </row>
        <row r="39827">
          <cell r="O39827" t="str">
            <v/>
          </cell>
        </row>
        <row r="39828">
          <cell r="O39828" t="str">
            <v/>
          </cell>
        </row>
        <row r="39829">
          <cell r="O39829" t="str">
            <v/>
          </cell>
        </row>
        <row r="39830">
          <cell r="O39830" t="str">
            <v/>
          </cell>
        </row>
        <row r="39831">
          <cell r="O39831" t="str">
            <v/>
          </cell>
        </row>
        <row r="39832">
          <cell r="O39832" t="str">
            <v/>
          </cell>
        </row>
        <row r="39833">
          <cell r="O39833" t="str">
            <v/>
          </cell>
        </row>
        <row r="39834">
          <cell r="O39834" t="str">
            <v/>
          </cell>
        </row>
        <row r="39835">
          <cell r="O39835" t="str">
            <v/>
          </cell>
        </row>
        <row r="39836">
          <cell r="O39836" t="str">
            <v/>
          </cell>
        </row>
        <row r="39837">
          <cell r="O39837" t="str">
            <v/>
          </cell>
        </row>
        <row r="39838">
          <cell r="O39838" t="str">
            <v/>
          </cell>
        </row>
        <row r="39839">
          <cell r="O39839" t="str">
            <v/>
          </cell>
        </row>
        <row r="39840">
          <cell r="O39840" t="str">
            <v/>
          </cell>
        </row>
        <row r="39841">
          <cell r="O39841" t="str">
            <v/>
          </cell>
        </row>
        <row r="39842">
          <cell r="O39842" t="str">
            <v/>
          </cell>
        </row>
        <row r="39843">
          <cell r="O39843" t="str">
            <v/>
          </cell>
        </row>
        <row r="39844">
          <cell r="O39844" t="str">
            <v/>
          </cell>
        </row>
        <row r="39845">
          <cell r="O39845" t="str">
            <v/>
          </cell>
        </row>
        <row r="39846">
          <cell r="O39846" t="str">
            <v/>
          </cell>
        </row>
        <row r="39847">
          <cell r="O39847" t="str">
            <v/>
          </cell>
        </row>
        <row r="39848">
          <cell r="O39848" t="str">
            <v/>
          </cell>
        </row>
        <row r="39849">
          <cell r="O39849" t="str">
            <v/>
          </cell>
        </row>
        <row r="39850">
          <cell r="O39850" t="str">
            <v/>
          </cell>
        </row>
        <row r="39851">
          <cell r="O39851" t="str">
            <v/>
          </cell>
        </row>
        <row r="39852">
          <cell r="O39852" t="str">
            <v/>
          </cell>
        </row>
        <row r="39853">
          <cell r="O39853" t="str">
            <v/>
          </cell>
        </row>
        <row r="39854">
          <cell r="O39854" t="str">
            <v/>
          </cell>
        </row>
        <row r="39855">
          <cell r="O39855" t="str">
            <v/>
          </cell>
        </row>
        <row r="39856">
          <cell r="O39856" t="str">
            <v/>
          </cell>
        </row>
        <row r="39857">
          <cell r="O39857" t="str">
            <v/>
          </cell>
        </row>
        <row r="39858">
          <cell r="O39858" t="str">
            <v/>
          </cell>
        </row>
        <row r="39859">
          <cell r="O39859" t="str">
            <v/>
          </cell>
        </row>
        <row r="39860">
          <cell r="O39860" t="str">
            <v/>
          </cell>
        </row>
        <row r="39861">
          <cell r="O39861" t="str">
            <v/>
          </cell>
        </row>
        <row r="39862">
          <cell r="O39862" t="str">
            <v/>
          </cell>
        </row>
        <row r="39863">
          <cell r="O39863" t="str">
            <v/>
          </cell>
        </row>
        <row r="39864">
          <cell r="O39864" t="str">
            <v/>
          </cell>
        </row>
        <row r="39865">
          <cell r="O39865" t="str">
            <v/>
          </cell>
        </row>
        <row r="39866">
          <cell r="O39866" t="str">
            <v/>
          </cell>
        </row>
        <row r="39867">
          <cell r="O39867" t="str">
            <v/>
          </cell>
        </row>
        <row r="39868">
          <cell r="O39868" t="str">
            <v/>
          </cell>
        </row>
        <row r="39869">
          <cell r="O39869" t="str">
            <v/>
          </cell>
        </row>
        <row r="39870">
          <cell r="O39870" t="str">
            <v/>
          </cell>
        </row>
        <row r="39871">
          <cell r="O39871" t="str">
            <v/>
          </cell>
        </row>
        <row r="39872">
          <cell r="O39872" t="str">
            <v/>
          </cell>
        </row>
        <row r="39873">
          <cell r="O39873" t="str">
            <v/>
          </cell>
        </row>
        <row r="39874">
          <cell r="O39874" t="str">
            <v/>
          </cell>
        </row>
        <row r="39875">
          <cell r="O39875" t="str">
            <v/>
          </cell>
        </row>
        <row r="39876">
          <cell r="O39876" t="str">
            <v/>
          </cell>
        </row>
        <row r="39877">
          <cell r="O39877" t="str">
            <v/>
          </cell>
        </row>
        <row r="39878">
          <cell r="O39878" t="str">
            <v/>
          </cell>
        </row>
        <row r="39879">
          <cell r="O39879" t="str">
            <v/>
          </cell>
        </row>
        <row r="39880">
          <cell r="O39880" t="str">
            <v/>
          </cell>
        </row>
        <row r="39881">
          <cell r="O39881" t="str">
            <v/>
          </cell>
        </row>
        <row r="39882">
          <cell r="O39882" t="str">
            <v/>
          </cell>
        </row>
        <row r="39883">
          <cell r="O39883" t="str">
            <v/>
          </cell>
        </row>
        <row r="39884">
          <cell r="O39884" t="str">
            <v/>
          </cell>
        </row>
        <row r="39885">
          <cell r="O39885" t="str">
            <v/>
          </cell>
        </row>
        <row r="39886">
          <cell r="O39886" t="str">
            <v/>
          </cell>
        </row>
        <row r="39887">
          <cell r="O39887" t="str">
            <v/>
          </cell>
        </row>
        <row r="39888">
          <cell r="O39888" t="str">
            <v/>
          </cell>
        </row>
        <row r="39889">
          <cell r="O39889" t="str">
            <v/>
          </cell>
        </row>
        <row r="39890">
          <cell r="O39890" t="str">
            <v/>
          </cell>
        </row>
        <row r="39891">
          <cell r="O39891" t="str">
            <v/>
          </cell>
        </row>
        <row r="39892">
          <cell r="O39892" t="str">
            <v/>
          </cell>
        </row>
        <row r="39893">
          <cell r="O39893" t="str">
            <v/>
          </cell>
        </row>
        <row r="39894">
          <cell r="O39894" t="str">
            <v/>
          </cell>
        </row>
        <row r="39895">
          <cell r="O39895" t="str">
            <v/>
          </cell>
        </row>
        <row r="39896">
          <cell r="O39896" t="str">
            <v/>
          </cell>
        </row>
        <row r="39897">
          <cell r="O39897" t="str">
            <v/>
          </cell>
        </row>
        <row r="39898">
          <cell r="O39898" t="str">
            <v/>
          </cell>
        </row>
        <row r="39899">
          <cell r="O39899" t="str">
            <v/>
          </cell>
        </row>
        <row r="39900">
          <cell r="O39900" t="str">
            <v/>
          </cell>
        </row>
        <row r="39901">
          <cell r="O39901" t="str">
            <v/>
          </cell>
        </row>
        <row r="39902">
          <cell r="O39902" t="str">
            <v/>
          </cell>
        </row>
        <row r="39903">
          <cell r="O39903" t="str">
            <v/>
          </cell>
        </row>
        <row r="39904">
          <cell r="O39904" t="str">
            <v/>
          </cell>
        </row>
        <row r="39905">
          <cell r="O39905" t="str">
            <v/>
          </cell>
        </row>
        <row r="39906">
          <cell r="O39906" t="str">
            <v/>
          </cell>
        </row>
        <row r="39907">
          <cell r="O39907" t="str">
            <v/>
          </cell>
        </row>
        <row r="39908">
          <cell r="O39908" t="str">
            <v/>
          </cell>
        </row>
        <row r="39909">
          <cell r="O39909" t="str">
            <v/>
          </cell>
        </row>
        <row r="39910">
          <cell r="O39910" t="str">
            <v/>
          </cell>
        </row>
        <row r="39911">
          <cell r="O39911" t="str">
            <v/>
          </cell>
        </row>
        <row r="39912">
          <cell r="O39912" t="str">
            <v/>
          </cell>
        </row>
        <row r="39913">
          <cell r="O39913" t="str">
            <v/>
          </cell>
        </row>
        <row r="39914">
          <cell r="O39914" t="str">
            <v/>
          </cell>
        </row>
        <row r="39915">
          <cell r="O39915" t="str">
            <v/>
          </cell>
        </row>
        <row r="39916">
          <cell r="O39916" t="str">
            <v/>
          </cell>
        </row>
        <row r="39917">
          <cell r="O39917" t="str">
            <v/>
          </cell>
        </row>
        <row r="39918">
          <cell r="O39918" t="str">
            <v/>
          </cell>
        </row>
        <row r="39919">
          <cell r="O39919" t="str">
            <v/>
          </cell>
        </row>
        <row r="39920">
          <cell r="O39920" t="str">
            <v/>
          </cell>
        </row>
        <row r="39921">
          <cell r="O39921" t="str">
            <v/>
          </cell>
        </row>
        <row r="39922">
          <cell r="O39922" t="str">
            <v/>
          </cell>
        </row>
        <row r="39923">
          <cell r="O39923" t="str">
            <v/>
          </cell>
        </row>
        <row r="39924">
          <cell r="O39924" t="str">
            <v/>
          </cell>
        </row>
        <row r="39925">
          <cell r="O39925" t="str">
            <v/>
          </cell>
        </row>
        <row r="39926">
          <cell r="O39926" t="str">
            <v/>
          </cell>
        </row>
        <row r="39927">
          <cell r="O39927" t="str">
            <v/>
          </cell>
        </row>
        <row r="39928">
          <cell r="O39928" t="str">
            <v/>
          </cell>
        </row>
        <row r="39929">
          <cell r="O39929" t="str">
            <v/>
          </cell>
        </row>
        <row r="39930">
          <cell r="O39930" t="str">
            <v/>
          </cell>
        </row>
        <row r="39931">
          <cell r="O39931" t="str">
            <v/>
          </cell>
        </row>
        <row r="39932">
          <cell r="O39932" t="str">
            <v/>
          </cell>
        </row>
        <row r="39933">
          <cell r="O39933" t="str">
            <v/>
          </cell>
        </row>
        <row r="39934">
          <cell r="O39934" t="str">
            <v/>
          </cell>
        </row>
        <row r="39935">
          <cell r="O39935" t="str">
            <v/>
          </cell>
        </row>
        <row r="39936">
          <cell r="O39936" t="str">
            <v/>
          </cell>
        </row>
        <row r="39937">
          <cell r="O39937" t="str">
            <v/>
          </cell>
        </row>
        <row r="39938">
          <cell r="O39938" t="str">
            <v/>
          </cell>
        </row>
        <row r="39939">
          <cell r="O39939" t="str">
            <v/>
          </cell>
        </row>
        <row r="39940">
          <cell r="O39940" t="str">
            <v/>
          </cell>
        </row>
        <row r="39941">
          <cell r="O39941" t="str">
            <v/>
          </cell>
        </row>
        <row r="39942">
          <cell r="O39942" t="str">
            <v/>
          </cell>
        </row>
        <row r="39943">
          <cell r="O39943" t="str">
            <v/>
          </cell>
        </row>
        <row r="39944">
          <cell r="O39944" t="str">
            <v/>
          </cell>
        </row>
        <row r="39945">
          <cell r="O39945" t="str">
            <v/>
          </cell>
        </row>
        <row r="39946">
          <cell r="O39946" t="str">
            <v/>
          </cell>
        </row>
        <row r="39947">
          <cell r="O39947" t="str">
            <v/>
          </cell>
        </row>
        <row r="39948">
          <cell r="O39948" t="str">
            <v/>
          </cell>
        </row>
        <row r="39949">
          <cell r="O39949" t="str">
            <v/>
          </cell>
        </row>
        <row r="39950">
          <cell r="O39950" t="str">
            <v/>
          </cell>
        </row>
        <row r="39951">
          <cell r="O39951" t="str">
            <v/>
          </cell>
        </row>
        <row r="39952">
          <cell r="O39952" t="str">
            <v/>
          </cell>
        </row>
        <row r="39953">
          <cell r="O39953" t="str">
            <v/>
          </cell>
        </row>
        <row r="39954">
          <cell r="O39954" t="str">
            <v/>
          </cell>
        </row>
        <row r="39955">
          <cell r="O39955" t="str">
            <v/>
          </cell>
        </row>
        <row r="39956">
          <cell r="O39956" t="str">
            <v/>
          </cell>
        </row>
        <row r="39957">
          <cell r="O39957" t="str">
            <v/>
          </cell>
        </row>
        <row r="39958">
          <cell r="O39958" t="str">
            <v/>
          </cell>
        </row>
        <row r="39959">
          <cell r="O39959" t="str">
            <v/>
          </cell>
        </row>
        <row r="39960">
          <cell r="O39960" t="str">
            <v/>
          </cell>
        </row>
        <row r="39961">
          <cell r="O39961" t="str">
            <v/>
          </cell>
        </row>
        <row r="39962">
          <cell r="O39962" t="str">
            <v/>
          </cell>
        </row>
        <row r="39963">
          <cell r="O39963" t="str">
            <v/>
          </cell>
        </row>
        <row r="39964">
          <cell r="O39964" t="str">
            <v/>
          </cell>
        </row>
        <row r="39965">
          <cell r="O39965" t="str">
            <v/>
          </cell>
        </row>
        <row r="39966">
          <cell r="O39966" t="str">
            <v/>
          </cell>
        </row>
        <row r="39967">
          <cell r="O39967" t="str">
            <v/>
          </cell>
        </row>
        <row r="39968">
          <cell r="O39968" t="str">
            <v/>
          </cell>
        </row>
        <row r="39969">
          <cell r="O39969" t="str">
            <v/>
          </cell>
        </row>
        <row r="39970">
          <cell r="O39970" t="str">
            <v/>
          </cell>
        </row>
        <row r="39971">
          <cell r="O39971" t="str">
            <v/>
          </cell>
        </row>
        <row r="39972">
          <cell r="O39972" t="str">
            <v/>
          </cell>
        </row>
        <row r="39973">
          <cell r="O39973" t="str">
            <v/>
          </cell>
        </row>
        <row r="39974">
          <cell r="O39974" t="str">
            <v/>
          </cell>
        </row>
        <row r="39975">
          <cell r="O39975" t="str">
            <v/>
          </cell>
        </row>
        <row r="39976">
          <cell r="O39976" t="str">
            <v/>
          </cell>
        </row>
        <row r="39977">
          <cell r="O39977" t="str">
            <v/>
          </cell>
        </row>
        <row r="39978">
          <cell r="O39978" t="str">
            <v/>
          </cell>
        </row>
        <row r="39979">
          <cell r="O39979" t="str">
            <v/>
          </cell>
        </row>
        <row r="39980">
          <cell r="O39980" t="str">
            <v/>
          </cell>
        </row>
        <row r="39981">
          <cell r="O39981" t="str">
            <v/>
          </cell>
        </row>
        <row r="39982">
          <cell r="O39982" t="str">
            <v/>
          </cell>
        </row>
        <row r="39983">
          <cell r="O39983" t="str">
            <v/>
          </cell>
        </row>
        <row r="39984">
          <cell r="O39984" t="str">
            <v/>
          </cell>
        </row>
        <row r="39985">
          <cell r="O39985" t="str">
            <v/>
          </cell>
        </row>
        <row r="39986">
          <cell r="O39986" t="str">
            <v/>
          </cell>
        </row>
        <row r="39987">
          <cell r="O39987" t="str">
            <v/>
          </cell>
        </row>
        <row r="39988">
          <cell r="O39988" t="str">
            <v/>
          </cell>
        </row>
        <row r="39989">
          <cell r="O39989" t="str">
            <v/>
          </cell>
        </row>
        <row r="39990">
          <cell r="O39990" t="str">
            <v/>
          </cell>
        </row>
        <row r="39991">
          <cell r="O39991" t="str">
            <v/>
          </cell>
        </row>
        <row r="39992">
          <cell r="O39992" t="str">
            <v/>
          </cell>
        </row>
        <row r="39993">
          <cell r="O39993" t="str">
            <v/>
          </cell>
        </row>
        <row r="39994">
          <cell r="O39994" t="str">
            <v/>
          </cell>
        </row>
        <row r="39995">
          <cell r="O39995" t="str">
            <v/>
          </cell>
        </row>
        <row r="39996">
          <cell r="O39996" t="str">
            <v/>
          </cell>
        </row>
        <row r="39997">
          <cell r="O39997" t="str">
            <v/>
          </cell>
        </row>
        <row r="39998">
          <cell r="O39998" t="str">
            <v/>
          </cell>
        </row>
        <row r="39999">
          <cell r="O39999" t="str">
            <v/>
          </cell>
        </row>
        <row r="40000">
          <cell r="O40000" t="str">
            <v/>
          </cell>
        </row>
        <row r="40001">
          <cell r="O40001" t="str">
            <v/>
          </cell>
        </row>
        <row r="40002">
          <cell r="O40002" t="str">
            <v/>
          </cell>
        </row>
        <row r="40003">
          <cell r="O40003" t="str">
            <v/>
          </cell>
        </row>
        <row r="40004">
          <cell r="O40004" t="str">
            <v/>
          </cell>
        </row>
        <row r="40005">
          <cell r="O40005" t="str">
            <v/>
          </cell>
        </row>
        <row r="40006">
          <cell r="O40006" t="str">
            <v/>
          </cell>
        </row>
        <row r="40007">
          <cell r="O40007" t="str">
            <v/>
          </cell>
        </row>
        <row r="40008">
          <cell r="O40008" t="str">
            <v/>
          </cell>
        </row>
        <row r="40009">
          <cell r="O40009" t="str">
            <v/>
          </cell>
        </row>
        <row r="40010">
          <cell r="O40010" t="str">
            <v/>
          </cell>
        </row>
        <row r="40011">
          <cell r="O40011" t="str">
            <v/>
          </cell>
        </row>
        <row r="40012">
          <cell r="O40012" t="str">
            <v/>
          </cell>
        </row>
        <row r="40013">
          <cell r="O40013" t="str">
            <v/>
          </cell>
        </row>
        <row r="40014">
          <cell r="O40014" t="str">
            <v/>
          </cell>
        </row>
        <row r="40015">
          <cell r="O40015" t="str">
            <v/>
          </cell>
        </row>
        <row r="40016">
          <cell r="O40016" t="str">
            <v/>
          </cell>
        </row>
        <row r="40017">
          <cell r="O40017" t="str">
            <v/>
          </cell>
        </row>
        <row r="40018">
          <cell r="O40018" t="str">
            <v/>
          </cell>
        </row>
        <row r="40019">
          <cell r="O40019" t="str">
            <v/>
          </cell>
        </row>
        <row r="40020">
          <cell r="O40020" t="str">
            <v/>
          </cell>
        </row>
        <row r="40021">
          <cell r="O40021" t="str">
            <v/>
          </cell>
        </row>
        <row r="40022">
          <cell r="O40022" t="str">
            <v/>
          </cell>
        </row>
        <row r="40023">
          <cell r="O40023" t="str">
            <v/>
          </cell>
        </row>
        <row r="40024">
          <cell r="O40024" t="str">
            <v/>
          </cell>
        </row>
        <row r="40025">
          <cell r="O40025" t="str">
            <v/>
          </cell>
        </row>
        <row r="40026">
          <cell r="O40026" t="str">
            <v/>
          </cell>
        </row>
        <row r="40027">
          <cell r="O40027" t="str">
            <v/>
          </cell>
        </row>
        <row r="40028">
          <cell r="O40028" t="str">
            <v/>
          </cell>
        </row>
        <row r="40029">
          <cell r="O40029" t="str">
            <v/>
          </cell>
        </row>
        <row r="40030">
          <cell r="O40030" t="str">
            <v/>
          </cell>
        </row>
        <row r="40031">
          <cell r="O40031" t="str">
            <v/>
          </cell>
        </row>
        <row r="40032">
          <cell r="O40032" t="str">
            <v/>
          </cell>
        </row>
        <row r="40033">
          <cell r="O40033" t="str">
            <v/>
          </cell>
        </row>
        <row r="40034">
          <cell r="O40034" t="str">
            <v/>
          </cell>
        </row>
        <row r="40035">
          <cell r="O40035" t="str">
            <v/>
          </cell>
        </row>
        <row r="40036">
          <cell r="O40036" t="str">
            <v/>
          </cell>
        </row>
        <row r="40037">
          <cell r="O40037" t="str">
            <v/>
          </cell>
        </row>
        <row r="40038">
          <cell r="O40038" t="str">
            <v/>
          </cell>
        </row>
        <row r="40039">
          <cell r="O40039" t="str">
            <v/>
          </cell>
        </row>
        <row r="40040">
          <cell r="O40040" t="str">
            <v/>
          </cell>
        </row>
        <row r="40041">
          <cell r="O40041" t="str">
            <v/>
          </cell>
        </row>
        <row r="40042">
          <cell r="O40042" t="str">
            <v/>
          </cell>
        </row>
        <row r="40043">
          <cell r="O40043" t="str">
            <v/>
          </cell>
        </row>
        <row r="40044">
          <cell r="O40044" t="str">
            <v/>
          </cell>
        </row>
        <row r="40045">
          <cell r="O40045" t="str">
            <v/>
          </cell>
        </row>
        <row r="40046">
          <cell r="O40046" t="str">
            <v/>
          </cell>
        </row>
        <row r="40047">
          <cell r="O40047" t="str">
            <v/>
          </cell>
        </row>
        <row r="40048">
          <cell r="O40048" t="str">
            <v/>
          </cell>
        </row>
        <row r="40049">
          <cell r="O40049" t="str">
            <v/>
          </cell>
        </row>
        <row r="40050">
          <cell r="O40050" t="str">
            <v/>
          </cell>
        </row>
        <row r="40051">
          <cell r="O40051" t="str">
            <v/>
          </cell>
        </row>
        <row r="40052">
          <cell r="O40052" t="str">
            <v/>
          </cell>
        </row>
        <row r="40053">
          <cell r="O40053" t="str">
            <v/>
          </cell>
        </row>
        <row r="40054">
          <cell r="O40054" t="str">
            <v/>
          </cell>
        </row>
        <row r="40055">
          <cell r="O40055" t="str">
            <v/>
          </cell>
        </row>
        <row r="40056">
          <cell r="O40056" t="str">
            <v/>
          </cell>
        </row>
        <row r="40057">
          <cell r="O40057" t="str">
            <v/>
          </cell>
        </row>
        <row r="40058">
          <cell r="O40058" t="str">
            <v/>
          </cell>
        </row>
        <row r="40059">
          <cell r="O40059" t="str">
            <v/>
          </cell>
        </row>
        <row r="40060">
          <cell r="O40060" t="str">
            <v/>
          </cell>
        </row>
        <row r="40061">
          <cell r="O40061" t="str">
            <v/>
          </cell>
        </row>
        <row r="40062">
          <cell r="O40062" t="str">
            <v/>
          </cell>
        </row>
        <row r="40063">
          <cell r="O40063" t="str">
            <v/>
          </cell>
        </row>
        <row r="40064">
          <cell r="O40064" t="str">
            <v/>
          </cell>
        </row>
        <row r="40065">
          <cell r="O40065" t="str">
            <v/>
          </cell>
        </row>
        <row r="40066">
          <cell r="O40066" t="str">
            <v/>
          </cell>
        </row>
        <row r="40067">
          <cell r="O40067" t="str">
            <v/>
          </cell>
        </row>
        <row r="40068">
          <cell r="O40068" t="str">
            <v/>
          </cell>
        </row>
        <row r="40069">
          <cell r="O40069" t="str">
            <v/>
          </cell>
        </row>
        <row r="40070">
          <cell r="O40070" t="str">
            <v/>
          </cell>
        </row>
        <row r="40071">
          <cell r="O40071" t="str">
            <v/>
          </cell>
        </row>
        <row r="40072">
          <cell r="O40072" t="str">
            <v/>
          </cell>
        </row>
        <row r="40073">
          <cell r="O40073" t="str">
            <v/>
          </cell>
        </row>
        <row r="40074">
          <cell r="O40074" t="str">
            <v/>
          </cell>
        </row>
        <row r="40075">
          <cell r="O40075" t="str">
            <v/>
          </cell>
        </row>
        <row r="40076">
          <cell r="O40076" t="str">
            <v/>
          </cell>
        </row>
        <row r="40077">
          <cell r="O40077" t="str">
            <v/>
          </cell>
        </row>
        <row r="40078">
          <cell r="O40078" t="str">
            <v/>
          </cell>
        </row>
        <row r="40079">
          <cell r="O40079" t="str">
            <v/>
          </cell>
        </row>
        <row r="40080">
          <cell r="O40080" t="str">
            <v/>
          </cell>
        </row>
        <row r="40081">
          <cell r="O40081" t="str">
            <v/>
          </cell>
        </row>
        <row r="40082">
          <cell r="O40082" t="str">
            <v/>
          </cell>
        </row>
        <row r="40083">
          <cell r="O40083" t="str">
            <v/>
          </cell>
        </row>
        <row r="40084">
          <cell r="O40084" t="str">
            <v/>
          </cell>
        </row>
        <row r="40085">
          <cell r="O40085" t="str">
            <v/>
          </cell>
        </row>
        <row r="40086">
          <cell r="O40086" t="str">
            <v/>
          </cell>
        </row>
        <row r="40087">
          <cell r="O40087" t="str">
            <v/>
          </cell>
        </row>
        <row r="40088">
          <cell r="O40088" t="str">
            <v/>
          </cell>
        </row>
        <row r="40089">
          <cell r="O40089" t="str">
            <v/>
          </cell>
        </row>
        <row r="40090">
          <cell r="O40090" t="str">
            <v/>
          </cell>
        </row>
        <row r="40091">
          <cell r="O40091" t="str">
            <v/>
          </cell>
        </row>
        <row r="40092">
          <cell r="O40092" t="str">
            <v/>
          </cell>
        </row>
        <row r="40093">
          <cell r="O40093" t="str">
            <v/>
          </cell>
        </row>
        <row r="40094">
          <cell r="O40094" t="str">
            <v/>
          </cell>
        </row>
        <row r="40095">
          <cell r="O40095" t="str">
            <v/>
          </cell>
        </row>
        <row r="40096">
          <cell r="O40096" t="str">
            <v/>
          </cell>
        </row>
        <row r="40097">
          <cell r="O40097" t="str">
            <v/>
          </cell>
        </row>
        <row r="40098">
          <cell r="O40098" t="str">
            <v/>
          </cell>
        </row>
        <row r="40099">
          <cell r="O40099" t="str">
            <v/>
          </cell>
        </row>
        <row r="40100">
          <cell r="O40100" t="str">
            <v/>
          </cell>
        </row>
        <row r="40101">
          <cell r="O40101" t="str">
            <v/>
          </cell>
        </row>
        <row r="40102">
          <cell r="O40102" t="str">
            <v/>
          </cell>
        </row>
        <row r="40103">
          <cell r="O40103" t="str">
            <v/>
          </cell>
        </row>
        <row r="40104">
          <cell r="O40104" t="str">
            <v/>
          </cell>
        </row>
        <row r="40105">
          <cell r="O40105" t="str">
            <v/>
          </cell>
        </row>
        <row r="40106">
          <cell r="O40106" t="str">
            <v/>
          </cell>
        </row>
        <row r="40107">
          <cell r="O40107" t="str">
            <v/>
          </cell>
        </row>
        <row r="40108">
          <cell r="O40108" t="str">
            <v/>
          </cell>
        </row>
        <row r="40109">
          <cell r="O40109" t="str">
            <v/>
          </cell>
        </row>
        <row r="40110">
          <cell r="O40110" t="str">
            <v/>
          </cell>
        </row>
        <row r="40111">
          <cell r="O40111" t="str">
            <v/>
          </cell>
        </row>
        <row r="40112">
          <cell r="O40112" t="str">
            <v/>
          </cell>
        </row>
        <row r="40113">
          <cell r="O40113" t="str">
            <v/>
          </cell>
        </row>
        <row r="40114">
          <cell r="O40114" t="str">
            <v/>
          </cell>
        </row>
        <row r="40115">
          <cell r="O40115" t="str">
            <v/>
          </cell>
        </row>
        <row r="40116">
          <cell r="O40116" t="str">
            <v/>
          </cell>
        </row>
        <row r="40117">
          <cell r="O40117" t="str">
            <v/>
          </cell>
        </row>
        <row r="40118">
          <cell r="O40118" t="str">
            <v/>
          </cell>
        </row>
        <row r="40119">
          <cell r="O40119" t="str">
            <v/>
          </cell>
        </row>
        <row r="40120">
          <cell r="O40120" t="str">
            <v/>
          </cell>
        </row>
        <row r="40121">
          <cell r="O40121" t="str">
            <v/>
          </cell>
        </row>
        <row r="40122">
          <cell r="O40122" t="str">
            <v/>
          </cell>
        </row>
        <row r="40123">
          <cell r="O40123" t="str">
            <v/>
          </cell>
        </row>
        <row r="40124">
          <cell r="O40124" t="str">
            <v/>
          </cell>
        </row>
        <row r="40125">
          <cell r="O40125" t="str">
            <v/>
          </cell>
        </row>
        <row r="40126">
          <cell r="O40126" t="str">
            <v/>
          </cell>
        </row>
        <row r="40127">
          <cell r="O40127" t="str">
            <v/>
          </cell>
        </row>
        <row r="40128">
          <cell r="O40128" t="str">
            <v/>
          </cell>
        </row>
        <row r="40129">
          <cell r="O40129" t="str">
            <v/>
          </cell>
        </row>
        <row r="40130">
          <cell r="O40130" t="str">
            <v/>
          </cell>
        </row>
        <row r="40131">
          <cell r="O40131" t="str">
            <v/>
          </cell>
        </row>
        <row r="40132">
          <cell r="O40132" t="str">
            <v/>
          </cell>
        </row>
        <row r="40133">
          <cell r="O40133" t="str">
            <v/>
          </cell>
        </row>
        <row r="40134">
          <cell r="O40134" t="str">
            <v/>
          </cell>
        </row>
        <row r="40135">
          <cell r="O40135" t="str">
            <v/>
          </cell>
        </row>
        <row r="40136">
          <cell r="O40136" t="str">
            <v/>
          </cell>
        </row>
        <row r="40137">
          <cell r="O40137" t="str">
            <v/>
          </cell>
        </row>
        <row r="40138">
          <cell r="O40138" t="str">
            <v/>
          </cell>
        </row>
        <row r="40139">
          <cell r="O40139" t="str">
            <v/>
          </cell>
        </row>
        <row r="40140">
          <cell r="O40140" t="str">
            <v/>
          </cell>
        </row>
        <row r="40141">
          <cell r="O40141" t="str">
            <v/>
          </cell>
        </row>
        <row r="40142">
          <cell r="O40142" t="str">
            <v/>
          </cell>
        </row>
        <row r="40143">
          <cell r="O40143" t="str">
            <v/>
          </cell>
        </row>
        <row r="40144">
          <cell r="O40144" t="str">
            <v/>
          </cell>
        </row>
        <row r="40145">
          <cell r="O40145" t="str">
            <v/>
          </cell>
        </row>
        <row r="40146">
          <cell r="O40146" t="str">
            <v/>
          </cell>
        </row>
        <row r="40147">
          <cell r="O40147" t="str">
            <v/>
          </cell>
        </row>
        <row r="40148">
          <cell r="O40148" t="str">
            <v/>
          </cell>
        </row>
        <row r="40149">
          <cell r="O40149" t="str">
            <v/>
          </cell>
        </row>
        <row r="40150">
          <cell r="O40150" t="str">
            <v/>
          </cell>
        </row>
        <row r="40151">
          <cell r="O40151" t="str">
            <v/>
          </cell>
        </row>
        <row r="40152">
          <cell r="O40152" t="str">
            <v/>
          </cell>
        </row>
        <row r="40153">
          <cell r="O40153" t="str">
            <v/>
          </cell>
        </row>
        <row r="40154">
          <cell r="O40154" t="str">
            <v/>
          </cell>
        </row>
        <row r="40155">
          <cell r="O40155" t="str">
            <v/>
          </cell>
        </row>
        <row r="40156">
          <cell r="O40156" t="str">
            <v/>
          </cell>
        </row>
        <row r="40157">
          <cell r="O40157" t="str">
            <v/>
          </cell>
        </row>
        <row r="40158">
          <cell r="O40158" t="str">
            <v/>
          </cell>
        </row>
        <row r="40159">
          <cell r="O40159" t="str">
            <v/>
          </cell>
        </row>
        <row r="40160">
          <cell r="O40160" t="str">
            <v/>
          </cell>
        </row>
        <row r="40161">
          <cell r="O40161" t="str">
            <v/>
          </cell>
        </row>
        <row r="40162">
          <cell r="O40162" t="str">
            <v/>
          </cell>
        </row>
        <row r="40163">
          <cell r="O40163" t="str">
            <v/>
          </cell>
        </row>
        <row r="40164">
          <cell r="O40164" t="str">
            <v/>
          </cell>
        </row>
        <row r="40165">
          <cell r="O40165" t="str">
            <v/>
          </cell>
        </row>
        <row r="40166">
          <cell r="O40166" t="str">
            <v/>
          </cell>
        </row>
        <row r="40167">
          <cell r="O40167" t="str">
            <v/>
          </cell>
        </row>
        <row r="40168">
          <cell r="O40168" t="str">
            <v/>
          </cell>
        </row>
        <row r="40169">
          <cell r="O40169" t="str">
            <v/>
          </cell>
        </row>
        <row r="40170">
          <cell r="O40170" t="str">
            <v/>
          </cell>
        </row>
        <row r="40171">
          <cell r="O40171" t="str">
            <v/>
          </cell>
        </row>
        <row r="40172">
          <cell r="O40172" t="str">
            <v/>
          </cell>
        </row>
        <row r="40173">
          <cell r="O40173" t="str">
            <v/>
          </cell>
        </row>
        <row r="40174">
          <cell r="O40174" t="str">
            <v/>
          </cell>
        </row>
        <row r="40175">
          <cell r="O40175" t="str">
            <v/>
          </cell>
        </row>
        <row r="40176">
          <cell r="O40176" t="str">
            <v/>
          </cell>
        </row>
        <row r="40177">
          <cell r="O40177" t="str">
            <v/>
          </cell>
        </row>
        <row r="40178">
          <cell r="O40178" t="str">
            <v/>
          </cell>
        </row>
        <row r="40179">
          <cell r="O40179" t="str">
            <v/>
          </cell>
        </row>
        <row r="40180">
          <cell r="O40180" t="str">
            <v/>
          </cell>
        </row>
        <row r="40181">
          <cell r="O40181" t="str">
            <v/>
          </cell>
        </row>
        <row r="40182">
          <cell r="O40182" t="str">
            <v/>
          </cell>
        </row>
        <row r="40183">
          <cell r="O40183" t="str">
            <v/>
          </cell>
        </row>
        <row r="40184">
          <cell r="O40184" t="str">
            <v/>
          </cell>
        </row>
        <row r="40185">
          <cell r="O40185" t="str">
            <v/>
          </cell>
        </row>
        <row r="40186">
          <cell r="O40186" t="str">
            <v/>
          </cell>
        </row>
        <row r="40187">
          <cell r="O40187" t="str">
            <v/>
          </cell>
        </row>
        <row r="40188">
          <cell r="O40188" t="str">
            <v/>
          </cell>
        </row>
        <row r="40189">
          <cell r="O40189" t="str">
            <v/>
          </cell>
        </row>
        <row r="40190">
          <cell r="O40190" t="str">
            <v/>
          </cell>
        </row>
        <row r="40191">
          <cell r="O40191" t="str">
            <v/>
          </cell>
        </row>
        <row r="40192">
          <cell r="O40192" t="str">
            <v/>
          </cell>
        </row>
        <row r="40193">
          <cell r="O40193" t="str">
            <v/>
          </cell>
        </row>
        <row r="40194">
          <cell r="O40194" t="str">
            <v/>
          </cell>
        </row>
        <row r="40195">
          <cell r="O40195" t="str">
            <v/>
          </cell>
        </row>
        <row r="40196">
          <cell r="O40196" t="str">
            <v/>
          </cell>
        </row>
        <row r="40197">
          <cell r="O40197" t="str">
            <v/>
          </cell>
        </row>
        <row r="40198">
          <cell r="O40198" t="str">
            <v/>
          </cell>
        </row>
        <row r="40199">
          <cell r="O40199" t="str">
            <v/>
          </cell>
        </row>
        <row r="40200">
          <cell r="O40200" t="str">
            <v/>
          </cell>
        </row>
        <row r="40201">
          <cell r="O40201" t="str">
            <v/>
          </cell>
        </row>
        <row r="40202">
          <cell r="O40202" t="str">
            <v/>
          </cell>
        </row>
        <row r="40203">
          <cell r="O40203" t="str">
            <v/>
          </cell>
        </row>
        <row r="40204">
          <cell r="O40204" t="str">
            <v/>
          </cell>
        </row>
        <row r="40205">
          <cell r="O40205" t="str">
            <v/>
          </cell>
        </row>
        <row r="40206">
          <cell r="O40206" t="str">
            <v/>
          </cell>
        </row>
        <row r="40207">
          <cell r="O40207" t="str">
            <v/>
          </cell>
        </row>
        <row r="40208">
          <cell r="O40208" t="str">
            <v/>
          </cell>
        </row>
        <row r="40209">
          <cell r="O40209" t="str">
            <v/>
          </cell>
        </row>
        <row r="40210">
          <cell r="O40210" t="str">
            <v/>
          </cell>
        </row>
        <row r="40211">
          <cell r="O40211" t="str">
            <v/>
          </cell>
        </row>
        <row r="40212">
          <cell r="O40212" t="str">
            <v/>
          </cell>
        </row>
        <row r="40213">
          <cell r="O40213" t="str">
            <v/>
          </cell>
        </row>
        <row r="40214">
          <cell r="O40214" t="str">
            <v/>
          </cell>
        </row>
        <row r="40215">
          <cell r="O40215" t="str">
            <v/>
          </cell>
        </row>
        <row r="40216">
          <cell r="O40216" t="str">
            <v/>
          </cell>
        </row>
        <row r="40217">
          <cell r="O40217" t="str">
            <v/>
          </cell>
        </row>
        <row r="40218">
          <cell r="O40218" t="str">
            <v/>
          </cell>
        </row>
        <row r="40219">
          <cell r="O40219" t="str">
            <v/>
          </cell>
        </row>
        <row r="40220">
          <cell r="O40220" t="str">
            <v/>
          </cell>
        </row>
        <row r="40221">
          <cell r="O40221" t="str">
            <v/>
          </cell>
        </row>
        <row r="40222">
          <cell r="O40222" t="str">
            <v/>
          </cell>
        </row>
        <row r="40223">
          <cell r="O40223" t="str">
            <v/>
          </cell>
        </row>
        <row r="40224">
          <cell r="O40224" t="str">
            <v/>
          </cell>
        </row>
        <row r="40225">
          <cell r="O40225" t="str">
            <v/>
          </cell>
        </row>
        <row r="40226">
          <cell r="O40226" t="str">
            <v/>
          </cell>
        </row>
        <row r="40227">
          <cell r="O40227" t="str">
            <v/>
          </cell>
        </row>
        <row r="40228">
          <cell r="O40228" t="str">
            <v/>
          </cell>
        </row>
        <row r="40229">
          <cell r="O40229" t="str">
            <v/>
          </cell>
        </row>
        <row r="40230">
          <cell r="O40230" t="str">
            <v/>
          </cell>
        </row>
        <row r="40231">
          <cell r="O40231" t="str">
            <v/>
          </cell>
        </row>
        <row r="40232">
          <cell r="O40232" t="str">
            <v/>
          </cell>
        </row>
        <row r="40233">
          <cell r="O40233" t="str">
            <v/>
          </cell>
        </row>
        <row r="40234">
          <cell r="O40234" t="str">
            <v/>
          </cell>
        </row>
        <row r="40235">
          <cell r="O40235" t="str">
            <v/>
          </cell>
        </row>
        <row r="40236">
          <cell r="O40236" t="str">
            <v/>
          </cell>
        </row>
        <row r="40237">
          <cell r="O40237" t="str">
            <v/>
          </cell>
        </row>
        <row r="40238">
          <cell r="O40238" t="str">
            <v/>
          </cell>
        </row>
        <row r="40239">
          <cell r="O40239" t="str">
            <v/>
          </cell>
        </row>
        <row r="40240">
          <cell r="O40240" t="str">
            <v/>
          </cell>
        </row>
        <row r="40241">
          <cell r="O40241" t="str">
            <v/>
          </cell>
        </row>
        <row r="40242">
          <cell r="O40242" t="str">
            <v/>
          </cell>
        </row>
        <row r="40243">
          <cell r="O40243" t="str">
            <v/>
          </cell>
        </row>
        <row r="40244">
          <cell r="O40244" t="str">
            <v/>
          </cell>
        </row>
        <row r="40245">
          <cell r="O40245" t="str">
            <v/>
          </cell>
        </row>
        <row r="40246">
          <cell r="O40246" t="str">
            <v/>
          </cell>
        </row>
        <row r="40247">
          <cell r="O40247" t="str">
            <v/>
          </cell>
        </row>
        <row r="40248">
          <cell r="O40248" t="str">
            <v/>
          </cell>
        </row>
        <row r="40249">
          <cell r="O40249" t="str">
            <v/>
          </cell>
        </row>
        <row r="40250">
          <cell r="O40250" t="str">
            <v/>
          </cell>
        </row>
        <row r="40251">
          <cell r="O40251" t="str">
            <v/>
          </cell>
        </row>
        <row r="40252">
          <cell r="O40252" t="str">
            <v/>
          </cell>
        </row>
        <row r="40253">
          <cell r="O40253" t="str">
            <v/>
          </cell>
        </row>
        <row r="40254">
          <cell r="O40254" t="str">
            <v/>
          </cell>
        </row>
        <row r="40255">
          <cell r="O40255" t="str">
            <v/>
          </cell>
        </row>
        <row r="40256">
          <cell r="O40256" t="str">
            <v/>
          </cell>
        </row>
        <row r="40257">
          <cell r="O40257" t="str">
            <v/>
          </cell>
        </row>
        <row r="40258">
          <cell r="O40258" t="str">
            <v/>
          </cell>
        </row>
        <row r="40259">
          <cell r="O40259" t="str">
            <v/>
          </cell>
        </row>
        <row r="40260">
          <cell r="O40260" t="str">
            <v/>
          </cell>
        </row>
        <row r="40261">
          <cell r="O40261" t="str">
            <v/>
          </cell>
        </row>
        <row r="40262">
          <cell r="O40262" t="str">
            <v/>
          </cell>
        </row>
        <row r="40263">
          <cell r="O40263" t="str">
            <v/>
          </cell>
        </row>
        <row r="40264">
          <cell r="O40264" t="str">
            <v/>
          </cell>
        </row>
        <row r="40265">
          <cell r="O40265" t="str">
            <v/>
          </cell>
        </row>
        <row r="40266">
          <cell r="O40266" t="str">
            <v/>
          </cell>
        </row>
        <row r="40267">
          <cell r="O40267" t="str">
            <v/>
          </cell>
        </row>
        <row r="40268">
          <cell r="O40268" t="str">
            <v/>
          </cell>
        </row>
        <row r="40269">
          <cell r="O40269" t="str">
            <v/>
          </cell>
        </row>
        <row r="40270">
          <cell r="O40270" t="str">
            <v/>
          </cell>
        </row>
        <row r="40271">
          <cell r="O40271" t="str">
            <v/>
          </cell>
        </row>
        <row r="40272">
          <cell r="O40272" t="str">
            <v/>
          </cell>
        </row>
        <row r="40273">
          <cell r="O40273" t="str">
            <v/>
          </cell>
        </row>
        <row r="40274">
          <cell r="O40274" t="str">
            <v/>
          </cell>
        </row>
        <row r="40275">
          <cell r="O40275" t="str">
            <v/>
          </cell>
        </row>
        <row r="40276">
          <cell r="O40276" t="str">
            <v/>
          </cell>
        </row>
        <row r="40277">
          <cell r="O40277" t="str">
            <v/>
          </cell>
        </row>
        <row r="40278">
          <cell r="O40278" t="str">
            <v/>
          </cell>
        </row>
        <row r="40279">
          <cell r="O40279" t="str">
            <v/>
          </cell>
        </row>
        <row r="40280">
          <cell r="O40280" t="str">
            <v/>
          </cell>
        </row>
        <row r="40281">
          <cell r="O40281" t="str">
            <v/>
          </cell>
        </row>
        <row r="40282">
          <cell r="O40282" t="str">
            <v/>
          </cell>
        </row>
        <row r="40283">
          <cell r="O40283" t="str">
            <v/>
          </cell>
        </row>
        <row r="40284">
          <cell r="O40284" t="str">
            <v/>
          </cell>
        </row>
        <row r="40285">
          <cell r="O40285" t="str">
            <v/>
          </cell>
        </row>
        <row r="40286">
          <cell r="O40286" t="str">
            <v/>
          </cell>
        </row>
        <row r="40287">
          <cell r="O40287" t="str">
            <v/>
          </cell>
        </row>
        <row r="40288">
          <cell r="O40288" t="str">
            <v/>
          </cell>
        </row>
        <row r="40289">
          <cell r="O40289" t="str">
            <v/>
          </cell>
        </row>
        <row r="40290">
          <cell r="O40290" t="str">
            <v/>
          </cell>
        </row>
        <row r="40291">
          <cell r="O40291" t="str">
            <v/>
          </cell>
        </row>
        <row r="40292">
          <cell r="O40292" t="str">
            <v/>
          </cell>
        </row>
        <row r="40293">
          <cell r="O40293" t="str">
            <v/>
          </cell>
        </row>
        <row r="40294">
          <cell r="O40294" t="str">
            <v/>
          </cell>
        </row>
        <row r="40295">
          <cell r="O40295" t="str">
            <v/>
          </cell>
        </row>
        <row r="40296">
          <cell r="O40296" t="str">
            <v/>
          </cell>
        </row>
        <row r="40297">
          <cell r="O40297" t="str">
            <v/>
          </cell>
        </row>
        <row r="40298">
          <cell r="O40298" t="str">
            <v/>
          </cell>
        </row>
        <row r="40299">
          <cell r="O40299" t="str">
            <v/>
          </cell>
        </row>
        <row r="40300">
          <cell r="O40300" t="str">
            <v/>
          </cell>
        </row>
        <row r="40301">
          <cell r="O40301" t="str">
            <v/>
          </cell>
        </row>
        <row r="40302">
          <cell r="O40302" t="str">
            <v/>
          </cell>
        </row>
        <row r="40303">
          <cell r="O40303" t="str">
            <v/>
          </cell>
        </row>
        <row r="40304">
          <cell r="O40304" t="str">
            <v/>
          </cell>
        </row>
        <row r="40305">
          <cell r="O40305" t="str">
            <v/>
          </cell>
        </row>
        <row r="40306">
          <cell r="O40306" t="str">
            <v/>
          </cell>
        </row>
        <row r="40307">
          <cell r="O40307" t="str">
            <v/>
          </cell>
        </row>
        <row r="40308">
          <cell r="O40308" t="str">
            <v/>
          </cell>
        </row>
        <row r="40309">
          <cell r="O40309" t="str">
            <v/>
          </cell>
        </row>
        <row r="40310">
          <cell r="O40310" t="str">
            <v/>
          </cell>
        </row>
        <row r="40311">
          <cell r="O40311" t="str">
            <v/>
          </cell>
        </row>
        <row r="40312">
          <cell r="O40312" t="str">
            <v/>
          </cell>
        </row>
        <row r="40313">
          <cell r="O40313" t="str">
            <v/>
          </cell>
        </row>
        <row r="40314">
          <cell r="O40314" t="str">
            <v/>
          </cell>
        </row>
        <row r="40315">
          <cell r="O40315" t="str">
            <v/>
          </cell>
        </row>
        <row r="40316">
          <cell r="O40316" t="str">
            <v/>
          </cell>
        </row>
        <row r="40317">
          <cell r="O40317" t="str">
            <v/>
          </cell>
        </row>
        <row r="40318">
          <cell r="O40318" t="str">
            <v/>
          </cell>
        </row>
        <row r="40319">
          <cell r="O40319" t="str">
            <v/>
          </cell>
        </row>
        <row r="40320">
          <cell r="O40320" t="str">
            <v/>
          </cell>
        </row>
        <row r="40321">
          <cell r="O40321" t="str">
            <v/>
          </cell>
        </row>
        <row r="40322">
          <cell r="O40322" t="str">
            <v/>
          </cell>
        </row>
        <row r="40323">
          <cell r="O40323" t="str">
            <v/>
          </cell>
        </row>
        <row r="40324">
          <cell r="O40324" t="str">
            <v/>
          </cell>
        </row>
        <row r="40325">
          <cell r="O40325" t="str">
            <v/>
          </cell>
        </row>
        <row r="40326">
          <cell r="O40326" t="str">
            <v/>
          </cell>
        </row>
        <row r="40327">
          <cell r="O40327" t="str">
            <v/>
          </cell>
        </row>
        <row r="40328">
          <cell r="O40328" t="str">
            <v/>
          </cell>
        </row>
        <row r="40329">
          <cell r="O40329" t="str">
            <v/>
          </cell>
        </row>
        <row r="40330">
          <cell r="O40330" t="str">
            <v/>
          </cell>
        </row>
        <row r="40331">
          <cell r="O40331" t="str">
            <v/>
          </cell>
        </row>
        <row r="40332">
          <cell r="O40332" t="str">
            <v/>
          </cell>
        </row>
        <row r="40333">
          <cell r="O40333" t="str">
            <v/>
          </cell>
        </row>
        <row r="40334">
          <cell r="O40334" t="str">
            <v/>
          </cell>
        </row>
        <row r="40335">
          <cell r="O40335" t="str">
            <v/>
          </cell>
        </row>
        <row r="40336">
          <cell r="O40336" t="str">
            <v/>
          </cell>
        </row>
        <row r="40337">
          <cell r="O40337" t="str">
            <v/>
          </cell>
        </row>
        <row r="40338">
          <cell r="O40338" t="str">
            <v/>
          </cell>
        </row>
        <row r="40339">
          <cell r="O40339" t="str">
            <v/>
          </cell>
        </row>
        <row r="40340">
          <cell r="O40340" t="str">
            <v/>
          </cell>
        </row>
        <row r="40341">
          <cell r="O40341" t="str">
            <v/>
          </cell>
        </row>
        <row r="40342">
          <cell r="O40342" t="str">
            <v/>
          </cell>
        </row>
        <row r="40343">
          <cell r="O40343" t="str">
            <v/>
          </cell>
        </row>
        <row r="40344">
          <cell r="O40344" t="str">
            <v/>
          </cell>
        </row>
        <row r="40345">
          <cell r="O40345" t="str">
            <v/>
          </cell>
        </row>
        <row r="40346">
          <cell r="O40346" t="str">
            <v/>
          </cell>
        </row>
        <row r="40347">
          <cell r="O40347" t="str">
            <v/>
          </cell>
        </row>
        <row r="40348">
          <cell r="O40348" t="str">
            <v/>
          </cell>
        </row>
        <row r="40349">
          <cell r="O40349" t="str">
            <v/>
          </cell>
        </row>
        <row r="40350">
          <cell r="O40350" t="str">
            <v/>
          </cell>
        </row>
        <row r="40351">
          <cell r="O40351" t="str">
            <v/>
          </cell>
        </row>
        <row r="40352">
          <cell r="O40352" t="str">
            <v/>
          </cell>
        </row>
        <row r="40353">
          <cell r="O40353" t="str">
            <v/>
          </cell>
        </row>
        <row r="40354">
          <cell r="O40354" t="str">
            <v/>
          </cell>
        </row>
        <row r="40355">
          <cell r="O40355" t="str">
            <v/>
          </cell>
        </row>
        <row r="40356">
          <cell r="O40356" t="str">
            <v/>
          </cell>
        </row>
        <row r="40357">
          <cell r="O40357" t="str">
            <v/>
          </cell>
        </row>
        <row r="40358">
          <cell r="O40358" t="str">
            <v/>
          </cell>
        </row>
        <row r="40359">
          <cell r="O40359" t="str">
            <v/>
          </cell>
        </row>
        <row r="40360">
          <cell r="O40360" t="str">
            <v/>
          </cell>
        </row>
        <row r="40361">
          <cell r="O40361" t="str">
            <v/>
          </cell>
        </row>
        <row r="40362">
          <cell r="O40362" t="str">
            <v/>
          </cell>
        </row>
        <row r="40363">
          <cell r="O40363" t="str">
            <v/>
          </cell>
        </row>
        <row r="40364">
          <cell r="O40364" t="str">
            <v/>
          </cell>
        </row>
        <row r="40365">
          <cell r="O40365" t="str">
            <v/>
          </cell>
        </row>
        <row r="40366">
          <cell r="O40366" t="str">
            <v/>
          </cell>
        </row>
        <row r="40367">
          <cell r="O40367" t="str">
            <v/>
          </cell>
        </row>
        <row r="40368">
          <cell r="O40368" t="str">
            <v/>
          </cell>
        </row>
        <row r="40369">
          <cell r="O40369" t="str">
            <v/>
          </cell>
        </row>
        <row r="40370">
          <cell r="O40370" t="str">
            <v/>
          </cell>
        </row>
        <row r="40371">
          <cell r="O40371" t="str">
            <v/>
          </cell>
        </row>
        <row r="40372">
          <cell r="O40372" t="str">
            <v/>
          </cell>
        </row>
        <row r="40373">
          <cell r="O40373" t="str">
            <v/>
          </cell>
        </row>
        <row r="40374">
          <cell r="O40374" t="str">
            <v/>
          </cell>
        </row>
        <row r="40375">
          <cell r="O40375" t="str">
            <v/>
          </cell>
        </row>
        <row r="40376">
          <cell r="O40376" t="str">
            <v/>
          </cell>
        </row>
        <row r="40377">
          <cell r="O40377" t="str">
            <v/>
          </cell>
        </row>
        <row r="40378">
          <cell r="O40378" t="str">
            <v/>
          </cell>
        </row>
        <row r="40379">
          <cell r="O40379" t="str">
            <v/>
          </cell>
        </row>
        <row r="40380">
          <cell r="O40380" t="str">
            <v/>
          </cell>
        </row>
        <row r="40381">
          <cell r="O40381" t="str">
            <v/>
          </cell>
        </row>
        <row r="40382">
          <cell r="O40382" t="str">
            <v/>
          </cell>
        </row>
        <row r="40383">
          <cell r="O40383" t="str">
            <v/>
          </cell>
        </row>
        <row r="40384">
          <cell r="O40384" t="str">
            <v/>
          </cell>
        </row>
        <row r="40385">
          <cell r="O40385" t="str">
            <v/>
          </cell>
        </row>
        <row r="40386">
          <cell r="O40386" t="str">
            <v/>
          </cell>
        </row>
        <row r="40387">
          <cell r="O40387" t="str">
            <v/>
          </cell>
        </row>
        <row r="40388">
          <cell r="O40388" t="str">
            <v/>
          </cell>
        </row>
        <row r="40389">
          <cell r="O40389" t="str">
            <v/>
          </cell>
        </row>
        <row r="40390">
          <cell r="O40390" t="str">
            <v/>
          </cell>
        </row>
        <row r="40391">
          <cell r="O40391" t="str">
            <v/>
          </cell>
        </row>
        <row r="40392">
          <cell r="O40392" t="str">
            <v/>
          </cell>
        </row>
        <row r="40393">
          <cell r="O40393" t="str">
            <v/>
          </cell>
        </row>
        <row r="40394">
          <cell r="O40394" t="str">
            <v/>
          </cell>
        </row>
        <row r="40395">
          <cell r="O40395" t="str">
            <v/>
          </cell>
        </row>
        <row r="40396">
          <cell r="O40396" t="str">
            <v/>
          </cell>
        </row>
        <row r="40397">
          <cell r="O40397" t="str">
            <v/>
          </cell>
        </row>
        <row r="40398">
          <cell r="O40398" t="str">
            <v/>
          </cell>
        </row>
        <row r="40399">
          <cell r="O40399" t="str">
            <v/>
          </cell>
        </row>
        <row r="40400">
          <cell r="O40400" t="str">
            <v/>
          </cell>
        </row>
        <row r="40401">
          <cell r="O40401" t="str">
            <v/>
          </cell>
        </row>
        <row r="40402">
          <cell r="O40402" t="str">
            <v/>
          </cell>
        </row>
        <row r="40403">
          <cell r="O40403" t="str">
            <v/>
          </cell>
        </row>
        <row r="40404">
          <cell r="O40404" t="str">
            <v/>
          </cell>
        </row>
        <row r="40405">
          <cell r="O40405" t="str">
            <v/>
          </cell>
        </row>
        <row r="40406">
          <cell r="O40406" t="str">
            <v/>
          </cell>
        </row>
        <row r="40407">
          <cell r="O40407" t="str">
            <v/>
          </cell>
        </row>
        <row r="40408">
          <cell r="O40408" t="str">
            <v/>
          </cell>
        </row>
        <row r="40409">
          <cell r="O40409" t="str">
            <v/>
          </cell>
        </row>
        <row r="40410">
          <cell r="O40410" t="str">
            <v/>
          </cell>
        </row>
        <row r="40411">
          <cell r="O40411" t="str">
            <v/>
          </cell>
        </row>
        <row r="40412">
          <cell r="O40412" t="str">
            <v/>
          </cell>
        </row>
        <row r="40413">
          <cell r="O40413" t="str">
            <v/>
          </cell>
        </row>
        <row r="40414">
          <cell r="O40414" t="str">
            <v/>
          </cell>
        </row>
        <row r="40415">
          <cell r="O40415" t="str">
            <v/>
          </cell>
        </row>
        <row r="40416">
          <cell r="O40416" t="str">
            <v/>
          </cell>
        </row>
        <row r="40417">
          <cell r="O40417" t="str">
            <v/>
          </cell>
        </row>
        <row r="40418">
          <cell r="O40418" t="str">
            <v/>
          </cell>
        </row>
        <row r="40419">
          <cell r="O40419" t="str">
            <v/>
          </cell>
        </row>
        <row r="40420">
          <cell r="O40420" t="str">
            <v/>
          </cell>
        </row>
        <row r="40421">
          <cell r="O40421" t="str">
            <v/>
          </cell>
        </row>
        <row r="40422">
          <cell r="O40422" t="str">
            <v/>
          </cell>
        </row>
        <row r="40423">
          <cell r="O40423" t="str">
            <v/>
          </cell>
        </row>
        <row r="40424">
          <cell r="O40424" t="str">
            <v/>
          </cell>
        </row>
        <row r="40425">
          <cell r="O40425" t="str">
            <v/>
          </cell>
        </row>
        <row r="40426">
          <cell r="O40426" t="str">
            <v/>
          </cell>
        </row>
        <row r="40427">
          <cell r="O40427" t="str">
            <v/>
          </cell>
        </row>
        <row r="40428">
          <cell r="O40428" t="str">
            <v/>
          </cell>
        </row>
        <row r="40429">
          <cell r="O40429" t="str">
            <v/>
          </cell>
        </row>
        <row r="40430">
          <cell r="O40430" t="str">
            <v/>
          </cell>
        </row>
        <row r="40431">
          <cell r="O40431" t="str">
            <v/>
          </cell>
        </row>
        <row r="40432">
          <cell r="O40432" t="str">
            <v/>
          </cell>
        </row>
        <row r="40433">
          <cell r="O40433" t="str">
            <v/>
          </cell>
        </row>
        <row r="40434">
          <cell r="O40434" t="str">
            <v/>
          </cell>
        </row>
        <row r="40435">
          <cell r="O40435" t="str">
            <v/>
          </cell>
        </row>
        <row r="40436">
          <cell r="O40436" t="str">
            <v/>
          </cell>
        </row>
        <row r="40437">
          <cell r="O40437" t="str">
            <v/>
          </cell>
        </row>
        <row r="40438">
          <cell r="O40438" t="str">
            <v/>
          </cell>
        </row>
        <row r="40439">
          <cell r="O40439" t="str">
            <v/>
          </cell>
        </row>
        <row r="40440">
          <cell r="O40440" t="str">
            <v/>
          </cell>
        </row>
        <row r="40441">
          <cell r="O40441" t="str">
            <v/>
          </cell>
        </row>
        <row r="40442">
          <cell r="O40442" t="str">
            <v/>
          </cell>
        </row>
        <row r="40443">
          <cell r="O40443" t="str">
            <v/>
          </cell>
        </row>
        <row r="40444">
          <cell r="O40444" t="str">
            <v/>
          </cell>
        </row>
        <row r="40445">
          <cell r="O40445" t="str">
            <v/>
          </cell>
        </row>
        <row r="40446">
          <cell r="O40446" t="str">
            <v/>
          </cell>
        </row>
        <row r="40447">
          <cell r="O40447" t="str">
            <v/>
          </cell>
        </row>
        <row r="40448">
          <cell r="O40448" t="str">
            <v/>
          </cell>
        </row>
        <row r="40449">
          <cell r="O40449" t="str">
            <v/>
          </cell>
        </row>
        <row r="40450">
          <cell r="O40450" t="str">
            <v/>
          </cell>
        </row>
        <row r="40451">
          <cell r="O40451" t="str">
            <v/>
          </cell>
        </row>
        <row r="40452">
          <cell r="O40452" t="str">
            <v/>
          </cell>
        </row>
        <row r="40453">
          <cell r="O40453" t="str">
            <v/>
          </cell>
        </row>
        <row r="40454">
          <cell r="O40454" t="str">
            <v/>
          </cell>
        </row>
        <row r="40455">
          <cell r="O40455" t="str">
            <v/>
          </cell>
        </row>
        <row r="40456">
          <cell r="O40456" t="str">
            <v/>
          </cell>
        </row>
        <row r="40457">
          <cell r="O40457" t="str">
            <v/>
          </cell>
        </row>
        <row r="40458">
          <cell r="O40458" t="str">
            <v/>
          </cell>
        </row>
        <row r="40459">
          <cell r="O40459" t="str">
            <v/>
          </cell>
        </row>
        <row r="40460">
          <cell r="O40460" t="str">
            <v/>
          </cell>
        </row>
        <row r="40461">
          <cell r="O40461" t="str">
            <v/>
          </cell>
        </row>
        <row r="40462">
          <cell r="O40462" t="str">
            <v/>
          </cell>
        </row>
        <row r="40463">
          <cell r="O40463" t="str">
            <v/>
          </cell>
        </row>
        <row r="40464">
          <cell r="O40464" t="str">
            <v/>
          </cell>
        </row>
        <row r="40465">
          <cell r="O40465" t="str">
            <v/>
          </cell>
        </row>
        <row r="40466">
          <cell r="O40466" t="str">
            <v/>
          </cell>
        </row>
        <row r="40467">
          <cell r="O40467" t="str">
            <v/>
          </cell>
        </row>
        <row r="40468">
          <cell r="O40468" t="str">
            <v/>
          </cell>
        </row>
        <row r="40469">
          <cell r="O40469" t="str">
            <v/>
          </cell>
        </row>
        <row r="40470">
          <cell r="O40470" t="str">
            <v/>
          </cell>
        </row>
        <row r="40471">
          <cell r="O40471" t="str">
            <v/>
          </cell>
        </row>
        <row r="40472">
          <cell r="O40472" t="str">
            <v/>
          </cell>
        </row>
        <row r="40473">
          <cell r="O40473" t="str">
            <v/>
          </cell>
        </row>
        <row r="40474">
          <cell r="O40474" t="str">
            <v/>
          </cell>
        </row>
        <row r="40475">
          <cell r="O40475" t="str">
            <v/>
          </cell>
        </row>
        <row r="40476">
          <cell r="O40476" t="str">
            <v/>
          </cell>
        </row>
        <row r="40477">
          <cell r="O40477" t="str">
            <v/>
          </cell>
        </row>
        <row r="40478">
          <cell r="O40478" t="str">
            <v/>
          </cell>
        </row>
        <row r="40479">
          <cell r="O40479" t="str">
            <v/>
          </cell>
        </row>
        <row r="40480">
          <cell r="O40480" t="str">
            <v/>
          </cell>
        </row>
        <row r="40481">
          <cell r="O40481" t="str">
            <v/>
          </cell>
        </row>
        <row r="40482">
          <cell r="O40482" t="str">
            <v/>
          </cell>
        </row>
        <row r="40483">
          <cell r="O40483" t="str">
            <v/>
          </cell>
        </row>
        <row r="40484">
          <cell r="O40484" t="str">
            <v/>
          </cell>
        </row>
        <row r="40485">
          <cell r="O40485" t="str">
            <v/>
          </cell>
        </row>
        <row r="40486">
          <cell r="O40486" t="str">
            <v/>
          </cell>
        </row>
        <row r="40487">
          <cell r="O40487" t="str">
            <v/>
          </cell>
        </row>
        <row r="40488">
          <cell r="O40488" t="str">
            <v/>
          </cell>
        </row>
        <row r="40489">
          <cell r="O40489" t="str">
            <v/>
          </cell>
        </row>
        <row r="40490">
          <cell r="O40490" t="str">
            <v/>
          </cell>
        </row>
        <row r="40491">
          <cell r="O40491" t="str">
            <v/>
          </cell>
        </row>
        <row r="40492">
          <cell r="O40492" t="str">
            <v/>
          </cell>
        </row>
        <row r="40493">
          <cell r="O40493" t="str">
            <v/>
          </cell>
        </row>
        <row r="40494">
          <cell r="O40494" t="str">
            <v/>
          </cell>
        </row>
        <row r="40495">
          <cell r="O40495" t="str">
            <v/>
          </cell>
        </row>
        <row r="40496">
          <cell r="O40496" t="str">
            <v/>
          </cell>
        </row>
        <row r="40497">
          <cell r="O40497" t="str">
            <v/>
          </cell>
        </row>
        <row r="40498">
          <cell r="O40498" t="str">
            <v/>
          </cell>
        </row>
        <row r="40499">
          <cell r="O40499" t="str">
            <v/>
          </cell>
        </row>
        <row r="40500">
          <cell r="O40500" t="str">
            <v/>
          </cell>
        </row>
        <row r="40501">
          <cell r="O40501" t="str">
            <v/>
          </cell>
        </row>
        <row r="40502">
          <cell r="O40502" t="str">
            <v/>
          </cell>
        </row>
        <row r="40503">
          <cell r="O40503" t="str">
            <v/>
          </cell>
        </row>
        <row r="40504">
          <cell r="O40504" t="str">
            <v/>
          </cell>
        </row>
        <row r="40505">
          <cell r="O40505" t="str">
            <v/>
          </cell>
        </row>
        <row r="40506">
          <cell r="O40506" t="str">
            <v/>
          </cell>
        </row>
        <row r="40507">
          <cell r="O40507" t="str">
            <v/>
          </cell>
        </row>
        <row r="40508">
          <cell r="O40508" t="str">
            <v/>
          </cell>
        </row>
        <row r="40509">
          <cell r="O40509" t="str">
            <v/>
          </cell>
        </row>
        <row r="40510">
          <cell r="O40510" t="str">
            <v/>
          </cell>
        </row>
        <row r="40511">
          <cell r="O40511" t="str">
            <v/>
          </cell>
        </row>
        <row r="40512">
          <cell r="O40512" t="str">
            <v/>
          </cell>
        </row>
        <row r="40513">
          <cell r="O40513" t="str">
            <v/>
          </cell>
        </row>
        <row r="40514">
          <cell r="O40514" t="str">
            <v/>
          </cell>
        </row>
        <row r="40515">
          <cell r="O40515" t="str">
            <v/>
          </cell>
        </row>
        <row r="40516">
          <cell r="O40516" t="str">
            <v/>
          </cell>
        </row>
        <row r="40517">
          <cell r="O40517" t="str">
            <v/>
          </cell>
        </row>
        <row r="40518">
          <cell r="O40518" t="str">
            <v/>
          </cell>
        </row>
        <row r="40519">
          <cell r="O40519" t="str">
            <v/>
          </cell>
        </row>
        <row r="40520">
          <cell r="O40520" t="str">
            <v/>
          </cell>
        </row>
        <row r="40521">
          <cell r="O40521" t="str">
            <v/>
          </cell>
        </row>
        <row r="40522">
          <cell r="O40522" t="str">
            <v/>
          </cell>
        </row>
        <row r="40523">
          <cell r="O40523" t="str">
            <v/>
          </cell>
        </row>
        <row r="40524">
          <cell r="O40524" t="str">
            <v/>
          </cell>
        </row>
        <row r="40525">
          <cell r="O40525" t="str">
            <v/>
          </cell>
        </row>
        <row r="40526">
          <cell r="O40526" t="str">
            <v/>
          </cell>
        </row>
        <row r="40527">
          <cell r="O40527" t="str">
            <v/>
          </cell>
        </row>
        <row r="40528">
          <cell r="O40528" t="str">
            <v/>
          </cell>
        </row>
        <row r="40529">
          <cell r="O40529" t="str">
            <v/>
          </cell>
        </row>
        <row r="40530">
          <cell r="O40530" t="str">
            <v/>
          </cell>
        </row>
        <row r="40531">
          <cell r="O40531" t="str">
            <v/>
          </cell>
        </row>
        <row r="40532">
          <cell r="O40532" t="str">
            <v/>
          </cell>
        </row>
        <row r="40533">
          <cell r="O40533" t="str">
            <v/>
          </cell>
        </row>
        <row r="40534">
          <cell r="O40534" t="str">
            <v/>
          </cell>
        </row>
        <row r="40535">
          <cell r="O40535" t="str">
            <v/>
          </cell>
        </row>
        <row r="40536">
          <cell r="O40536" t="str">
            <v/>
          </cell>
        </row>
        <row r="40537">
          <cell r="O40537" t="str">
            <v/>
          </cell>
        </row>
        <row r="40538">
          <cell r="O40538" t="str">
            <v/>
          </cell>
        </row>
        <row r="40539">
          <cell r="O40539" t="str">
            <v/>
          </cell>
        </row>
        <row r="40540">
          <cell r="O40540" t="str">
            <v/>
          </cell>
        </row>
        <row r="40541">
          <cell r="O40541" t="str">
            <v/>
          </cell>
        </row>
        <row r="40542">
          <cell r="O40542" t="str">
            <v/>
          </cell>
        </row>
        <row r="40543">
          <cell r="O40543" t="str">
            <v/>
          </cell>
        </row>
        <row r="40544">
          <cell r="O40544" t="str">
            <v/>
          </cell>
        </row>
        <row r="40545">
          <cell r="O40545" t="str">
            <v/>
          </cell>
        </row>
        <row r="40546">
          <cell r="O40546" t="str">
            <v/>
          </cell>
        </row>
        <row r="40547">
          <cell r="O40547" t="str">
            <v/>
          </cell>
        </row>
        <row r="40548">
          <cell r="O40548" t="str">
            <v/>
          </cell>
        </row>
        <row r="40549">
          <cell r="O40549" t="str">
            <v/>
          </cell>
        </row>
        <row r="40550">
          <cell r="O40550" t="str">
            <v/>
          </cell>
        </row>
        <row r="40551">
          <cell r="O40551" t="str">
            <v/>
          </cell>
        </row>
        <row r="40552">
          <cell r="O40552" t="str">
            <v/>
          </cell>
        </row>
        <row r="40553">
          <cell r="O40553" t="str">
            <v/>
          </cell>
        </row>
        <row r="40554">
          <cell r="O40554" t="str">
            <v/>
          </cell>
        </row>
        <row r="40555">
          <cell r="O40555" t="str">
            <v/>
          </cell>
        </row>
        <row r="40556">
          <cell r="O40556" t="str">
            <v/>
          </cell>
        </row>
        <row r="40557">
          <cell r="O40557" t="str">
            <v/>
          </cell>
        </row>
        <row r="40558">
          <cell r="O40558" t="str">
            <v/>
          </cell>
        </row>
        <row r="40559">
          <cell r="O40559" t="str">
            <v/>
          </cell>
        </row>
        <row r="40560">
          <cell r="O40560" t="str">
            <v/>
          </cell>
        </row>
        <row r="40561">
          <cell r="O40561" t="str">
            <v/>
          </cell>
        </row>
        <row r="40562">
          <cell r="O40562" t="str">
            <v/>
          </cell>
        </row>
        <row r="40563">
          <cell r="O40563" t="str">
            <v/>
          </cell>
        </row>
        <row r="40564">
          <cell r="O40564" t="str">
            <v/>
          </cell>
        </row>
        <row r="40565">
          <cell r="O40565" t="str">
            <v/>
          </cell>
        </row>
        <row r="40566">
          <cell r="O40566" t="str">
            <v/>
          </cell>
        </row>
        <row r="40567">
          <cell r="O40567" t="str">
            <v/>
          </cell>
        </row>
        <row r="40568">
          <cell r="O40568" t="str">
            <v/>
          </cell>
        </row>
        <row r="40569">
          <cell r="O40569" t="str">
            <v/>
          </cell>
        </row>
        <row r="40570">
          <cell r="O40570" t="str">
            <v/>
          </cell>
        </row>
        <row r="40571">
          <cell r="O40571" t="str">
            <v/>
          </cell>
        </row>
        <row r="40572">
          <cell r="O40572" t="str">
            <v/>
          </cell>
        </row>
        <row r="40573">
          <cell r="O40573" t="str">
            <v/>
          </cell>
        </row>
        <row r="40574">
          <cell r="O40574" t="str">
            <v/>
          </cell>
        </row>
        <row r="40575">
          <cell r="O40575" t="str">
            <v/>
          </cell>
        </row>
        <row r="40576">
          <cell r="O40576" t="str">
            <v/>
          </cell>
        </row>
        <row r="40577">
          <cell r="O40577" t="str">
            <v/>
          </cell>
        </row>
        <row r="40578">
          <cell r="O40578" t="str">
            <v/>
          </cell>
        </row>
        <row r="40579">
          <cell r="O40579" t="str">
            <v/>
          </cell>
        </row>
        <row r="40580">
          <cell r="O40580" t="str">
            <v/>
          </cell>
        </row>
        <row r="40581">
          <cell r="O40581" t="str">
            <v/>
          </cell>
        </row>
        <row r="40582">
          <cell r="O40582" t="str">
            <v/>
          </cell>
        </row>
        <row r="40583">
          <cell r="O40583" t="str">
            <v/>
          </cell>
        </row>
        <row r="40584">
          <cell r="O40584" t="str">
            <v/>
          </cell>
        </row>
        <row r="40585">
          <cell r="O40585" t="str">
            <v/>
          </cell>
        </row>
        <row r="40586">
          <cell r="O40586" t="str">
            <v/>
          </cell>
        </row>
        <row r="40587">
          <cell r="O40587" t="str">
            <v/>
          </cell>
        </row>
        <row r="40588">
          <cell r="O40588" t="str">
            <v/>
          </cell>
        </row>
        <row r="40589">
          <cell r="O40589" t="str">
            <v/>
          </cell>
        </row>
        <row r="40590">
          <cell r="O40590" t="str">
            <v/>
          </cell>
        </row>
        <row r="40591">
          <cell r="O40591" t="str">
            <v/>
          </cell>
        </row>
        <row r="40592">
          <cell r="O40592" t="str">
            <v/>
          </cell>
        </row>
        <row r="40593">
          <cell r="O40593" t="str">
            <v/>
          </cell>
        </row>
        <row r="40594">
          <cell r="O40594" t="str">
            <v/>
          </cell>
        </row>
        <row r="40595">
          <cell r="O40595" t="str">
            <v/>
          </cell>
        </row>
        <row r="40596">
          <cell r="O40596" t="str">
            <v/>
          </cell>
        </row>
        <row r="40597">
          <cell r="O40597" t="str">
            <v/>
          </cell>
        </row>
        <row r="40598">
          <cell r="O40598" t="str">
            <v/>
          </cell>
        </row>
        <row r="40599">
          <cell r="O40599" t="str">
            <v/>
          </cell>
        </row>
        <row r="40600">
          <cell r="O40600" t="str">
            <v/>
          </cell>
        </row>
        <row r="40601">
          <cell r="O40601" t="str">
            <v/>
          </cell>
        </row>
        <row r="40602">
          <cell r="O40602" t="str">
            <v/>
          </cell>
        </row>
        <row r="40603">
          <cell r="O40603" t="str">
            <v/>
          </cell>
        </row>
        <row r="40604">
          <cell r="O40604" t="str">
            <v/>
          </cell>
        </row>
        <row r="40605">
          <cell r="O40605" t="str">
            <v/>
          </cell>
        </row>
        <row r="40606">
          <cell r="O40606" t="str">
            <v/>
          </cell>
        </row>
        <row r="40607">
          <cell r="O40607" t="str">
            <v/>
          </cell>
        </row>
        <row r="40608">
          <cell r="O40608" t="str">
            <v/>
          </cell>
        </row>
        <row r="40609">
          <cell r="O40609" t="str">
            <v/>
          </cell>
        </row>
        <row r="40610">
          <cell r="O40610" t="str">
            <v/>
          </cell>
        </row>
        <row r="40611">
          <cell r="O40611" t="str">
            <v/>
          </cell>
        </row>
        <row r="40612">
          <cell r="O40612" t="str">
            <v/>
          </cell>
        </row>
        <row r="40613">
          <cell r="O40613" t="str">
            <v/>
          </cell>
        </row>
        <row r="40614">
          <cell r="O40614" t="str">
            <v/>
          </cell>
        </row>
        <row r="40615">
          <cell r="O40615" t="str">
            <v/>
          </cell>
        </row>
        <row r="40616">
          <cell r="O40616" t="str">
            <v/>
          </cell>
        </row>
        <row r="40617">
          <cell r="O40617" t="str">
            <v/>
          </cell>
        </row>
        <row r="40618">
          <cell r="O40618" t="str">
            <v/>
          </cell>
        </row>
        <row r="40619">
          <cell r="O40619" t="str">
            <v/>
          </cell>
        </row>
        <row r="40620">
          <cell r="O40620" t="str">
            <v/>
          </cell>
        </row>
        <row r="40621">
          <cell r="O40621" t="str">
            <v/>
          </cell>
        </row>
        <row r="40622">
          <cell r="O40622" t="str">
            <v/>
          </cell>
        </row>
        <row r="40623">
          <cell r="O40623" t="str">
            <v/>
          </cell>
        </row>
        <row r="40624">
          <cell r="O40624" t="str">
            <v/>
          </cell>
        </row>
        <row r="40625">
          <cell r="O40625" t="str">
            <v/>
          </cell>
        </row>
        <row r="40626">
          <cell r="O40626" t="str">
            <v/>
          </cell>
        </row>
        <row r="40627">
          <cell r="O40627" t="str">
            <v/>
          </cell>
        </row>
        <row r="40628">
          <cell r="O40628" t="str">
            <v/>
          </cell>
        </row>
        <row r="40629">
          <cell r="O40629" t="str">
            <v/>
          </cell>
        </row>
        <row r="40630">
          <cell r="O40630" t="str">
            <v/>
          </cell>
        </row>
        <row r="40631">
          <cell r="O40631" t="str">
            <v/>
          </cell>
        </row>
        <row r="40632">
          <cell r="O40632" t="str">
            <v/>
          </cell>
        </row>
        <row r="40633">
          <cell r="O40633" t="str">
            <v/>
          </cell>
        </row>
        <row r="40634">
          <cell r="O40634" t="str">
            <v/>
          </cell>
        </row>
        <row r="40635">
          <cell r="O40635" t="str">
            <v/>
          </cell>
        </row>
        <row r="40636">
          <cell r="O40636" t="str">
            <v/>
          </cell>
        </row>
        <row r="40637">
          <cell r="O40637" t="str">
            <v/>
          </cell>
        </row>
        <row r="40638">
          <cell r="O40638" t="str">
            <v/>
          </cell>
        </row>
        <row r="40639">
          <cell r="O40639" t="str">
            <v/>
          </cell>
        </row>
        <row r="40640">
          <cell r="O40640" t="str">
            <v/>
          </cell>
        </row>
        <row r="40641">
          <cell r="O40641" t="str">
            <v/>
          </cell>
        </row>
        <row r="40642">
          <cell r="O40642" t="str">
            <v/>
          </cell>
        </row>
        <row r="40643">
          <cell r="O40643" t="str">
            <v/>
          </cell>
        </row>
        <row r="40644">
          <cell r="O40644" t="str">
            <v/>
          </cell>
        </row>
        <row r="40645">
          <cell r="O40645" t="str">
            <v/>
          </cell>
        </row>
        <row r="40646">
          <cell r="O40646" t="str">
            <v/>
          </cell>
        </row>
        <row r="40647">
          <cell r="O40647" t="str">
            <v/>
          </cell>
        </row>
        <row r="40648">
          <cell r="O40648" t="str">
            <v/>
          </cell>
        </row>
        <row r="40649">
          <cell r="O40649" t="str">
            <v/>
          </cell>
        </row>
        <row r="40650">
          <cell r="O40650" t="str">
            <v/>
          </cell>
        </row>
        <row r="40651">
          <cell r="O40651" t="str">
            <v/>
          </cell>
        </row>
        <row r="40652">
          <cell r="O40652" t="str">
            <v/>
          </cell>
        </row>
        <row r="40653">
          <cell r="O40653" t="str">
            <v/>
          </cell>
        </row>
        <row r="40654">
          <cell r="O40654" t="str">
            <v/>
          </cell>
        </row>
        <row r="40655">
          <cell r="O40655" t="str">
            <v/>
          </cell>
        </row>
        <row r="40656">
          <cell r="O40656" t="str">
            <v/>
          </cell>
        </row>
        <row r="40657">
          <cell r="O40657" t="str">
            <v/>
          </cell>
        </row>
        <row r="40658">
          <cell r="O40658" t="str">
            <v/>
          </cell>
        </row>
        <row r="40659">
          <cell r="O40659" t="str">
            <v/>
          </cell>
        </row>
        <row r="40660">
          <cell r="O40660" t="str">
            <v/>
          </cell>
        </row>
        <row r="40661">
          <cell r="O40661" t="str">
            <v/>
          </cell>
        </row>
        <row r="40662">
          <cell r="O40662" t="str">
            <v/>
          </cell>
        </row>
        <row r="40663">
          <cell r="O40663" t="str">
            <v/>
          </cell>
        </row>
        <row r="40664">
          <cell r="O40664" t="str">
            <v/>
          </cell>
        </row>
        <row r="40665">
          <cell r="O40665" t="str">
            <v/>
          </cell>
        </row>
        <row r="40666">
          <cell r="O40666" t="str">
            <v/>
          </cell>
        </row>
        <row r="40667">
          <cell r="O40667" t="str">
            <v/>
          </cell>
        </row>
        <row r="40668">
          <cell r="O40668" t="str">
            <v/>
          </cell>
        </row>
        <row r="40669">
          <cell r="O40669" t="str">
            <v/>
          </cell>
        </row>
        <row r="40670">
          <cell r="O40670" t="str">
            <v/>
          </cell>
        </row>
        <row r="40671">
          <cell r="O40671" t="str">
            <v/>
          </cell>
        </row>
        <row r="40672">
          <cell r="O40672" t="str">
            <v/>
          </cell>
        </row>
        <row r="40673">
          <cell r="O40673" t="str">
            <v/>
          </cell>
        </row>
        <row r="40674">
          <cell r="O40674" t="str">
            <v/>
          </cell>
        </row>
        <row r="40675">
          <cell r="O40675" t="str">
            <v/>
          </cell>
        </row>
        <row r="40676">
          <cell r="O40676" t="str">
            <v/>
          </cell>
        </row>
        <row r="40677">
          <cell r="O40677" t="str">
            <v/>
          </cell>
        </row>
        <row r="40678">
          <cell r="O40678" t="str">
            <v/>
          </cell>
        </row>
        <row r="40679">
          <cell r="O40679" t="str">
            <v/>
          </cell>
        </row>
        <row r="40680">
          <cell r="O40680" t="str">
            <v/>
          </cell>
        </row>
        <row r="40681">
          <cell r="O40681" t="str">
            <v/>
          </cell>
        </row>
        <row r="40682">
          <cell r="O40682" t="str">
            <v/>
          </cell>
        </row>
        <row r="40683">
          <cell r="O40683" t="str">
            <v/>
          </cell>
        </row>
        <row r="40684">
          <cell r="O40684" t="str">
            <v/>
          </cell>
        </row>
        <row r="40685">
          <cell r="O40685" t="str">
            <v/>
          </cell>
        </row>
        <row r="40686">
          <cell r="O40686" t="str">
            <v/>
          </cell>
        </row>
        <row r="40687">
          <cell r="O40687" t="str">
            <v/>
          </cell>
        </row>
        <row r="40688">
          <cell r="O40688" t="str">
            <v/>
          </cell>
        </row>
        <row r="40689">
          <cell r="O40689" t="str">
            <v/>
          </cell>
        </row>
        <row r="40690">
          <cell r="O40690" t="str">
            <v/>
          </cell>
        </row>
        <row r="40691">
          <cell r="O40691" t="str">
            <v/>
          </cell>
        </row>
        <row r="40692">
          <cell r="O40692" t="str">
            <v/>
          </cell>
        </row>
        <row r="40693">
          <cell r="O40693" t="str">
            <v/>
          </cell>
        </row>
        <row r="40694">
          <cell r="O40694" t="str">
            <v/>
          </cell>
        </row>
        <row r="40695">
          <cell r="O40695" t="str">
            <v/>
          </cell>
        </row>
        <row r="40696">
          <cell r="O40696" t="str">
            <v/>
          </cell>
        </row>
        <row r="40697">
          <cell r="O40697" t="str">
            <v/>
          </cell>
        </row>
        <row r="40698">
          <cell r="O40698" t="str">
            <v/>
          </cell>
        </row>
        <row r="40699">
          <cell r="O40699" t="str">
            <v/>
          </cell>
        </row>
        <row r="40700">
          <cell r="O40700" t="str">
            <v/>
          </cell>
        </row>
        <row r="40701">
          <cell r="O40701" t="str">
            <v/>
          </cell>
        </row>
        <row r="40702">
          <cell r="O40702" t="str">
            <v/>
          </cell>
        </row>
        <row r="40703">
          <cell r="O40703" t="str">
            <v/>
          </cell>
        </row>
        <row r="40704">
          <cell r="O40704" t="str">
            <v/>
          </cell>
        </row>
        <row r="40705">
          <cell r="O40705" t="str">
            <v/>
          </cell>
        </row>
        <row r="40706">
          <cell r="O40706" t="str">
            <v/>
          </cell>
        </row>
        <row r="40707">
          <cell r="O40707" t="str">
            <v/>
          </cell>
        </row>
        <row r="40708">
          <cell r="O40708" t="str">
            <v/>
          </cell>
        </row>
        <row r="40709">
          <cell r="O40709" t="str">
            <v/>
          </cell>
        </row>
        <row r="40710">
          <cell r="O40710" t="str">
            <v/>
          </cell>
        </row>
        <row r="40711">
          <cell r="O40711" t="str">
            <v/>
          </cell>
        </row>
        <row r="40712">
          <cell r="O40712" t="str">
            <v/>
          </cell>
        </row>
        <row r="40713">
          <cell r="O40713" t="str">
            <v/>
          </cell>
        </row>
        <row r="40714">
          <cell r="O40714" t="str">
            <v/>
          </cell>
        </row>
        <row r="40715">
          <cell r="O40715" t="str">
            <v/>
          </cell>
        </row>
        <row r="40716">
          <cell r="O40716" t="str">
            <v/>
          </cell>
        </row>
        <row r="40717">
          <cell r="O40717" t="str">
            <v/>
          </cell>
        </row>
        <row r="40718">
          <cell r="O40718" t="str">
            <v/>
          </cell>
        </row>
        <row r="40719">
          <cell r="O40719" t="str">
            <v/>
          </cell>
        </row>
        <row r="40720">
          <cell r="O40720" t="str">
            <v/>
          </cell>
        </row>
        <row r="40721">
          <cell r="O40721" t="str">
            <v/>
          </cell>
        </row>
        <row r="40722">
          <cell r="O40722" t="str">
            <v/>
          </cell>
        </row>
        <row r="40723">
          <cell r="O40723" t="str">
            <v/>
          </cell>
        </row>
        <row r="40724">
          <cell r="O40724" t="str">
            <v/>
          </cell>
        </row>
        <row r="40725">
          <cell r="O40725" t="str">
            <v/>
          </cell>
        </row>
        <row r="40726">
          <cell r="O40726" t="str">
            <v/>
          </cell>
        </row>
        <row r="40727">
          <cell r="O40727" t="str">
            <v/>
          </cell>
        </row>
        <row r="40728">
          <cell r="O40728" t="str">
            <v/>
          </cell>
        </row>
        <row r="40729">
          <cell r="O40729" t="str">
            <v/>
          </cell>
        </row>
        <row r="40730">
          <cell r="O40730" t="str">
            <v/>
          </cell>
        </row>
        <row r="40731">
          <cell r="O40731" t="str">
            <v/>
          </cell>
        </row>
        <row r="40732">
          <cell r="O40732" t="str">
            <v/>
          </cell>
        </row>
        <row r="40733">
          <cell r="O40733" t="str">
            <v/>
          </cell>
        </row>
        <row r="40734">
          <cell r="O40734" t="str">
            <v/>
          </cell>
        </row>
        <row r="40735">
          <cell r="O40735" t="str">
            <v/>
          </cell>
        </row>
        <row r="40736">
          <cell r="O40736" t="str">
            <v/>
          </cell>
        </row>
        <row r="40737">
          <cell r="O40737" t="str">
            <v/>
          </cell>
        </row>
        <row r="40738">
          <cell r="O40738" t="str">
            <v/>
          </cell>
        </row>
        <row r="40739">
          <cell r="O40739" t="str">
            <v/>
          </cell>
        </row>
        <row r="40740">
          <cell r="O40740" t="str">
            <v/>
          </cell>
        </row>
        <row r="40741">
          <cell r="O40741" t="str">
            <v/>
          </cell>
        </row>
        <row r="40742">
          <cell r="O40742" t="str">
            <v/>
          </cell>
        </row>
        <row r="40743">
          <cell r="O40743" t="str">
            <v/>
          </cell>
        </row>
        <row r="40744">
          <cell r="O40744" t="str">
            <v/>
          </cell>
        </row>
        <row r="40745">
          <cell r="O40745" t="str">
            <v/>
          </cell>
        </row>
        <row r="40746">
          <cell r="O40746" t="str">
            <v/>
          </cell>
        </row>
        <row r="40747">
          <cell r="O40747" t="str">
            <v/>
          </cell>
        </row>
        <row r="40748">
          <cell r="O40748" t="str">
            <v/>
          </cell>
        </row>
        <row r="40749">
          <cell r="O40749" t="str">
            <v/>
          </cell>
        </row>
        <row r="40750">
          <cell r="O40750" t="str">
            <v/>
          </cell>
        </row>
        <row r="40751">
          <cell r="O40751" t="str">
            <v/>
          </cell>
        </row>
        <row r="40752">
          <cell r="O40752" t="str">
            <v/>
          </cell>
        </row>
        <row r="40753">
          <cell r="O40753" t="str">
            <v/>
          </cell>
        </row>
        <row r="40754">
          <cell r="O40754" t="str">
            <v/>
          </cell>
        </row>
        <row r="40755">
          <cell r="O40755" t="str">
            <v/>
          </cell>
        </row>
        <row r="40756">
          <cell r="O40756" t="str">
            <v/>
          </cell>
        </row>
        <row r="40757">
          <cell r="O40757" t="str">
            <v/>
          </cell>
        </row>
        <row r="40758">
          <cell r="O40758" t="str">
            <v/>
          </cell>
        </row>
        <row r="40759">
          <cell r="O40759" t="str">
            <v/>
          </cell>
        </row>
        <row r="40760">
          <cell r="O40760" t="str">
            <v/>
          </cell>
        </row>
        <row r="40761">
          <cell r="O40761" t="str">
            <v/>
          </cell>
        </row>
        <row r="40762">
          <cell r="O40762" t="str">
            <v/>
          </cell>
        </row>
        <row r="40763">
          <cell r="O40763" t="str">
            <v/>
          </cell>
        </row>
        <row r="40764">
          <cell r="O40764" t="str">
            <v/>
          </cell>
        </row>
        <row r="40765">
          <cell r="O40765" t="str">
            <v/>
          </cell>
        </row>
        <row r="40766">
          <cell r="O40766" t="str">
            <v/>
          </cell>
        </row>
        <row r="40767">
          <cell r="O40767" t="str">
            <v/>
          </cell>
        </row>
        <row r="40768">
          <cell r="O40768" t="str">
            <v/>
          </cell>
        </row>
        <row r="40769">
          <cell r="O40769" t="str">
            <v/>
          </cell>
        </row>
        <row r="40770">
          <cell r="O40770" t="str">
            <v/>
          </cell>
        </row>
        <row r="40771">
          <cell r="O40771" t="str">
            <v/>
          </cell>
        </row>
        <row r="40772">
          <cell r="O40772" t="str">
            <v/>
          </cell>
        </row>
        <row r="40773">
          <cell r="O40773" t="str">
            <v/>
          </cell>
        </row>
        <row r="40774">
          <cell r="O40774" t="str">
            <v/>
          </cell>
        </row>
        <row r="40775">
          <cell r="O40775" t="str">
            <v/>
          </cell>
        </row>
        <row r="40776">
          <cell r="O40776" t="str">
            <v/>
          </cell>
        </row>
        <row r="40777">
          <cell r="O40777" t="str">
            <v/>
          </cell>
        </row>
        <row r="40778">
          <cell r="O40778" t="str">
            <v/>
          </cell>
        </row>
        <row r="40779">
          <cell r="O40779" t="str">
            <v/>
          </cell>
        </row>
        <row r="40780">
          <cell r="O40780" t="str">
            <v/>
          </cell>
        </row>
        <row r="40781">
          <cell r="O40781" t="str">
            <v/>
          </cell>
        </row>
        <row r="40782">
          <cell r="O40782" t="str">
            <v/>
          </cell>
        </row>
        <row r="40783">
          <cell r="O40783" t="str">
            <v/>
          </cell>
        </row>
        <row r="40784">
          <cell r="O40784" t="str">
            <v/>
          </cell>
        </row>
        <row r="40785">
          <cell r="O40785" t="str">
            <v/>
          </cell>
        </row>
        <row r="40786">
          <cell r="O40786" t="str">
            <v/>
          </cell>
        </row>
        <row r="40787">
          <cell r="O40787" t="str">
            <v/>
          </cell>
        </row>
        <row r="40788">
          <cell r="O40788" t="str">
            <v/>
          </cell>
        </row>
        <row r="40789">
          <cell r="O40789" t="str">
            <v/>
          </cell>
        </row>
        <row r="40790">
          <cell r="O40790" t="str">
            <v/>
          </cell>
        </row>
        <row r="40791">
          <cell r="O40791" t="str">
            <v/>
          </cell>
        </row>
        <row r="40792">
          <cell r="O40792" t="str">
            <v/>
          </cell>
        </row>
        <row r="40793">
          <cell r="O40793" t="str">
            <v/>
          </cell>
        </row>
        <row r="40794">
          <cell r="O40794" t="str">
            <v/>
          </cell>
        </row>
        <row r="40795">
          <cell r="O40795" t="str">
            <v/>
          </cell>
        </row>
        <row r="40796">
          <cell r="O40796" t="str">
            <v/>
          </cell>
        </row>
        <row r="40797">
          <cell r="O40797" t="str">
            <v/>
          </cell>
        </row>
        <row r="40798">
          <cell r="O40798" t="str">
            <v/>
          </cell>
        </row>
        <row r="40799">
          <cell r="O40799" t="str">
            <v/>
          </cell>
        </row>
        <row r="40800">
          <cell r="O40800" t="str">
            <v/>
          </cell>
        </row>
        <row r="40801">
          <cell r="O40801" t="str">
            <v/>
          </cell>
        </row>
        <row r="40802">
          <cell r="O40802" t="str">
            <v/>
          </cell>
        </row>
        <row r="40803">
          <cell r="O40803" t="str">
            <v/>
          </cell>
        </row>
        <row r="40804">
          <cell r="O40804" t="str">
            <v/>
          </cell>
        </row>
        <row r="40805">
          <cell r="O40805" t="str">
            <v/>
          </cell>
        </row>
        <row r="40806">
          <cell r="O40806" t="str">
            <v/>
          </cell>
        </row>
        <row r="40807">
          <cell r="O40807" t="str">
            <v/>
          </cell>
        </row>
        <row r="40808">
          <cell r="O40808" t="str">
            <v/>
          </cell>
        </row>
        <row r="40809">
          <cell r="O40809" t="str">
            <v/>
          </cell>
        </row>
        <row r="40810">
          <cell r="O40810" t="str">
            <v/>
          </cell>
        </row>
        <row r="40811">
          <cell r="O40811" t="str">
            <v/>
          </cell>
        </row>
        <row r="40812">
          <cell r="O40812" t="str">
            <v/>
          </cell>
        </row>
        <row r="40813">
          <cell r="O40813" t="str">
            <v/>
          </cell>
        </row>
        <row r="40814">
          <cell r="O40814" t="str">
            <v/>
          </cell>
        </row>
        <row r="40815">
          <cell r="O40815" t="str">
            <v/>
          </cell>
        </row>
        <row r="40816">
          <cell r="O40816" t="str">
            <v/>
          </cell>
        </row>
        <row r="40817">
          <cell r="O40817" t="str">
            <v/>
          </cell>
        </row>
        <row r="40818">
          <cell r="O40818" t="str">
            <v/>
          </cell>
        </row>
        <row r="40819">
          <cell r="O40819" t="str">
            <v/>
          </cell>
        </row>
        <row r="40820">
          <cell r="O40820" t="str">
            <v/>
          </cell>
        </row>
        <row r="40821">
          <cell r="O40821" t="str">
            <v/>
          </cell>
        </row>
        <row r="40822">
          <cell r="O40822" t="str">
            <v/>
          </cell>
        </row>
        <row r="40823">
          <cell r="O40823" t="str">
            <v/>
          </cell>
        </row>
        <row r="40824">
          <cell r="O40824" t="str">
            <v/>
          </cell>
        </row>
        <row r="40825">
          <cell r="O40825" t="str">
            <v/>
          </cell>
        </row>
        <row r="40826">
          <cell r="O40826" t="str">
            <v/>
          </cell>
        </row>
        <row r="40827">
          <cell r="O40827" t="str">
            <v/>
          </cell>
        </row>
        <row r="40828">
          <cell r="O40828" t="str">
            <v/>
          </cell>
        </row>
        <row r="40829">
          <cell r="O40829" t="str">
            <v/>
          </cell>
        </row>
        <row r="40830">
          <cell r="O40830" t="str">
            <v/>
          </cell>
        </row>
        <row r="40831">
          <cell r="O40831" t="str">
            <v/>
          </cell>
        </row>
        <row r="40832">
          <cell r="O40832" t="str">
            <v/>
          </cell>
        </row>
        <row r="40833">
          <cell r="O40833" t="str">
            <v/>
          </cell>
        </row>
        <row r="40834">
          <cell r="O40834" t="str">
            <v/>
          </cell>
        </row>
        <row r="40835">
          <cell r="O40835" t="str">
            <v/>
          </cell>
        </row>
        <row r="40836">
          <cell r="O40836" t="str">
            <v/>
          </cell>
        </row>
        <row r="40837">
          <cell r="O40837" t="str">
            <v/>
          </cell>
        </row>
        <row r="40838">
          <cell r="O40838" t="str">
            <v/>
          </cell>
        </row>
        <row r="40839">
          <cell r="O40839" t="str">
            <v/>
          </cell>
        </row>
        <row r="40840">
          <cell r="O40840" t="str">
            <v/>
          </cell>
        </row>
        <row r="40841">
          <cell r="O40841" t="str">
            <v/>
          </cell>
        </row>
        <row r="40842">
          <cell r="O40842" t="str">
            <v/>
          </cell>
        </row>
        <row r="40843">
          <cell r="O40843" t="str">
            <v/>
          </cell>
        </row>
        <row r="40844">
          <cell r="O40844" t="str">
            <v/>
          </cell>
        </row>
        <row r="40845">
          <cell r="O40845" t="str">
            <v/>
          </cell>
        </row>
        <row r="40846">
          <cell r="O40846" t="str">
            <v/>
          </cell>
        </row>
        <row r="40847">
          <cell r="O40847" t="str">
            <v/>
          </cell>
        </row>
        <row r="40848">
          <cell r="O40848" t="str">
            <v/>
          </cell>
        </row>
        <row r="40849">
          <cell r="O40849" t="str">
            <v/>
          </cell>
        </row>
        <row r="40850">
          <cell r="O40850" t="str">
            <v/>
          </cell>
        </row>
        <row r="40851">
          <cell r="O40851" t="str">
            <v/>
          </cell>
        </row>
        <row r="40852">
          <cell r="O40852" t="str">
            <v/>
          </cell>
        </row>
        <row r="40853">
          <cell r="O40853" t="str">
            <v/>
          </cell>
        </row>
        <row r="40854">
          <cell r="O40854" t="str">
            <v/>
          </cell>
        </row>
        <row r="40855">
          <cell r="O40855" t="str">
            <v/>
          </cell>
        </row>
        <row r="40856">
          <cell r="O40856" t="str">
            <v/>
          </cell>
        </row>
        <row r="40857">
          <cell r="O40857" t="str">
            <v/>
          </cell>
        </row>
        <row r="40858">
          <cell r="O40858" t="str">
            <v/>
          </cell>
        </row>
        <row r="40859">
          <cell r="O40859" t="str">
            <v/>
          </cell>
        </row>
        <row r="40860">
          <cell r="O40860" t="str">
            <v/>
          </cell>
        </row>
        <row r="40861">
          <cell r="O40861" t="str">
            <v/>
          </cell>
        </row>
        <row r="40862">
          <cell r="O40862" t="str">
            <v/>
          </cell>
        </row>
        <row r="40863">
          <cell r="O40863" t="str">
            <v/>
          </cell>
        </row>
        <row r="40864">
          <cell r="O40864" t="str">
            <v/>
          </cell>
        </row>
        <row r="40865">
          <cell r="O40865" t="str">
            <v/>
          </cell>
        </row>
        <row r="40866">
          <cell r="O40866" t="str">
            <v/>
          </cell>
        </row>
        <row r="40867">
          <cell r="O40867" t="str">
            <v/>
          </cell>
        </row>
        <row r="40868">
          <cell r="O40868" t="str">
            <v/>
          </cell>
        </row>
        <row r="40869">
          <cell r="O40869" t="str">
            <v/>
          </cell>
        </row>
        <row r="40870">
          <cell r="O40870" t="str">
            <v/>
          </cell>
        </row>
        <row r="40871">
          <cell r="O40871" t="str">
            <v/>
          </cell>
        </row>
        <row r="40872">
          <cell r="O40872" t="str">
            <v/>
          </cell>
        </row>
        <row r="40873">
          <cell r="O40873" t="str">
            <v/>
          </cell>
        </row>
        <row r="40874">
          <cell r="O40874" t="str">
            <v/>
          </cell>
        </row>
        <row r="40875">
          <cell r="O40875" t="str">
            <v/>
          </cell>
        </row>
        <row r="40876">
          <cell r="O40876" t="str">
            <v/>
          </cell>
        </row>
        <row r="40877">
          <cell r="O40877" t="str">
            <v/>
          </cell>
        </row>
        <row r="40878">
          <cell r="O40878" t="str">
            <v/>
          </cell>
        </row>
        <row r="40879">
          <cell r="O40879" t="str">
            <v/>
          </cell>
        </row>
        <row r="40880">
          <cell r="O40880" t="str">
            <v/>
          </cell>
        </row>
        <row r="40881">
          <cell r="O40881" t="str">
            <v/>
          </cell>
        </row>
        <row r="40882">
          <cell r="O40882" t="str">
            <v/>
          </cell>
        </row>
        <row r="40883">
          <cell r="O40883" t="str">
            <v/>
          </cell>
        </row>
        <row r="40884">
          <cell r="O40884" t="str">
            <v/>
          </cell>
        </row>
        <row r="40885">
          <cell r="O40885" t="str">
            <v/>
          </cell>
        </row>
        <row r="40886">
          <cell r="O40886" t="str">
            <v/>
          </cell>
        </row>
        <row r="40887">
          <cell r="O40887" t="str">
            <v/>
          </cell>
        </row>
        <row r="40888">
          <cell r="O40888" t="str">
            <v/>
          </cell>
        </row>
        <row r="40889">
          <cell r="O40889" t="str">
            <v/>
          </cell>
        </row>
        <row r="40890">
          <cell r="O40890" t="str">
            <v/>
          </cell>
        </row>
        <row r="40891">
          <cell r="O40891" t="str">
            <v/>
          </cell>
        </row>
        <row r="40892">
          <cell r="O40892" t="str">
            <v/>
          </cell>
        </row>
        <row r="40893">
          <cell r="O40893" t="str">
            <v/>
          </cell>
        </row>
        <row r="40894">
          <cell r="O40894" t="str">
            <v/>
          </cell>
        </row>
        <row r="40895">
          <cell r="O40895" t="str">
            <v/>
          </cell>
        </row>
        <row r="40896">
          <cell r="O40896" t="str">
            <v/>
          </cell>
        </row>
        <row r="40897">
          <cell r="O40897" t="str">
            <v/>
          </cell>
        </row>
        <row r="40898">
          <cell r="O40898" t="str">
            <v/>
          </cell>
        </row>
        <row r="40899">
          <cell r="O40899" t="str">
            <v/>
          </cell>
        </row>
        <row r="40900">
          <cell r="O40900" t="str">
            <v/>
          </cell>
        </row>
        <row r="40901">
          <cell r="O40901" t="str">
            <v/>
          </cell>
        </row>
        <row r="40902">
          <cell r="O40902" t="str">
            <v/>
          </cell>
        </row>
        <row r="40903">
          <cell r="O40903" t="str">
            <v/>
          </cell>
        </row>
        <row r="40904">
          <cell r="O40904" t="str">
            <v/>
          </cell>
        </row>
        <row r="40905">
          <cell r="O40905" t="str">
            <v/>
          </cell>
        </row>
        <row r="40906">
          <cell r="O40906" t="str">
            <v/>
          </cell>
        </row>
        <row r="40907">
          <cell r="O40907" t="str">
            <v/>
          </cell>
        </row>
        <row r="40908">
          <cell r="O40908" t="str">
            <v/>
          </cell>
        </row>
        <row r="40909">
          <cell r="O40909" t="str">
            <v/>
          </cell>
        </row>
        <row r="40910">
          <cell r="O40910" t="str">
            <v/>
          </cell>
        </row>
        <row r="40911">
          <cell r="O40911" t="str">
            <v/>
          </cell>
        </row>
        <row r="40912">
          <cell r="O40912" t="str">
            <v/>
          </cell>
        </row>
        <row r="40913">
          <cell r="O40913" t="str">
            <v/>
          </cell>
        </row>
        <row r="40914">
          <cell r="O40914" t="str">
            <v/>
          </cell>
        </row>
        <row r="40915">
          <cell r="O40915" t="str">
            <v/>
          </cell>
        </row>
        <row r="40916">
          <cell r="O40916" t="str">
            <v/>
          </cell>
        </row>
        <row r="40917">
          <cell r="O40917" t="str">
            <v/>
          </cell>
        </row>
        <row r="40918">
          <cell r="O40918" t="str">
            <v/>
          </cell>
        </row>
        <row r="40919">
          <cell r="O40919" t="str">
            <v/>
          </cell>
        </row>
        <row r="40920">
          <cell r="O40920" t="str">
            <v/>
          </cell>
        </row>
        <row r="40921">
          <cell r="O40921" t="str">
            <v/>
          </cell>
        </row>
        <row r="40922">
          <cell r="O40922" t="str">
            <v/>
          </cell>
        </row>
        <row r="40923">
          <cell r="O40923" t="str">
            <v/>
          </cell>
        </row>
        <row r="40924">
          <cell r="O40924" t="str">
            <v/>
          </cell>
        </row>
        <row r="40925">
          <cell r="O40925" t="str">
            <v/>
          </cell>
        </row>
        <row r="40926">
          <cell r="O40926" t="str">
            <v/>
          </cell>
        </row>
        <row r="40927">
          <cell r="O40927" t="str">
            <v/>
          </cell>
        </row>
        <row r="40928">
          <cell r="O40928" t="str">
            <v/>
          </cell>
        </row>
        <row r="40929">
          <cell r="O40929" t="str">
            <v/>
          </cell>
        </row>
        <row r="40930">
          <cell r="O40930" t="str">
            <v/>
          </cell>
        </row>
        <row r="40931">
          <cell r="O40931" t="str">
            <v/>
          </cell>
        </row>
        <row r="40932">
          <cell r="O40932" t="str">
            <v/>
          </cell>
        </row>
        <row r="40933">
          <cell r="O40933" t="str">
            <v/>
          </cell>
        </row>
        <row r="40934">
          <cell r="O40934" t="str">
            <v/>
          </cell>
        </row>
        <row r="40935">
          <cell r="O40935" t="str">
            <v/>
          </cell>
        </row>
        <row r="40936">
          <cell r="O40936" t="str">
            <v/>
          </cell>
        </row>
        <row r="40937">
          <cell r="O40937" t="str">
            <v/>
          </cell>
        </row>
        <row r="40938">
          <cell r="O40938" t="str">
            <v/>
          </cell>
        </row>
        <row r="40939">
          <cell r="O40939" t="str">
            <v/>
          </cell>
        </row>
        <row r="40940">
          <cell r="O40940" t="str">
            <v/>
          </cell>
        </row>
        <row r="40941">
          <cell r="O40941" t="str">
            <v/>
          </cell>
        </row>
        <row r="40942">
          <cell r="O40942" t="str">
            <v/>
          </cell>
        </row>
        <row r="40943">
          <cell r="O40943" t="str">
            <v/>
          </cell>
        </row>
        <row r="40944">
          <cell r="O40944" t="str">
            <v/>
          </cell>
        </row>
        <row r="40945">
          <cell r="O40945" t="str">
            <v/>
          </cell>
        </row>
        <row r="40946">
          <cell r="O40946" t="str">
            <v/>
          </cell>
        </row>
        <row r="40947">
          <cell r="O40947" t="str">
            <v/>
          </cell>
        </row>
        <row r="40948">
          <cell r="O40948" t="str">
            <v/>
          </cell>
        </row>
        <row r="40949">
          <cell r="O40949" t="str">
            <v/>
          </cell>
        </row>
        <row r="40950">
          <cell r="O40950" t="str">
            <v/>
          </cell>
        </row>
        <row r="40951">
          <cell r="O40951" t="str">
            <v/>
          </cell>
        </row>
        <row r="40952">
          <cell r="O40952" t="str">
            <v/>
          </cell>
        </row>
        <row r="40953">
          <cell r="O40953" t="str">
            <v/>
          </cell>
        </row>
        <row r="40954">
          <cell r="O40954" t="str">
            <v/>
          </cell>
        </row>
        <row r="40955">
          <cell r="O40955" t="str">
            <v/>
          </cell>
        </row>
        <row r="40956">
          <cell r="O40956" t="str">
            <v/>
          </cell>
        </row>
        <row r="40957">
          <cell r="O40957" t="str">
            <v/>
          </cell>
        </row>
        <row r="40958">
          <cell r="O40958" t="str">
            <v/>
          </cell>
        </row>
        <row r="40959">
          <cell r="O40959" t="str">
            <v/>
          </cell>
        </row>
        <row r="40960">
          <cell r="O40960" t="str">
            <v/>
          </cell>
        </row>
        <row r="40961">
          <cell r="O40961" t="str">
            <v/>
          </cell>
        </row>
        <row r="40962">
          <cell r="O40962" t="str">
            <v/>
          </cell>
        </row>
        <row r="40963">
          <cell r="O40963" t="str">
            <v/>
          </cell>
        </row>
        <row r="40964">
          <cell r="O40964" t="str">
            <v/>
          </cell>
        </row>
        <row r="40965">
          <cell r="O40965" t="str">
            <v/>
          </cell>
        </row>
        <row r="40966">
          <cell r="O40966" t="str">
            <v/>
          </cell>
        </row>
        <row r="40967">
          <cell r="O40967" t="str">
            <v/>
          </cell>
        </row>
        <row r="40968">
          <cell r="O40968" t="str">
            <v/>
          </cell>
        </row>
        <row r="40969">
          <cell r="O40969" t="str">
            <v/>
          </cell>
        </row>
        <row r="40970">
          <cell r="O40970" t="str">
            <v/>
          </cell>
        </row>
        <row r="40971">
          <cell r="O40971" t="str">
            <v/>
          </cell>
        </row>
        <row r="40972">
          <cell r="O40972" t="str">
            <v/>
          </cell>
        </row>
        <row r="40973">
          <cell r="O40973" t="str">
            <v/>
          </cell>
        </row>
        <row r="40974">
          <cell r="O40974" t="str">
            <v/>
          </cell>
        </row>
        <row r="40975">
          <cell r="O40975" t="str">
            <v/>
          </cell>
        </row>
        <row r="40976">
          <cell r="O40976" t="str">
            <v/>
          </cell>
        </row>
        <row r="40977">
          <cell r="O40977" t="str">
            <v/>
          </cell>
        </row>
        <row r="40978">
          <cell r="O40978" t="str">
            <v/>
          </cell>
        </row>
        <row r="40979">
          <cell r="O40979" t="str">
            <v/>
          </cell>
        </row>
        <row r="40980">
          <cell r="O40980" t="str">
            <v/>
          </cell>
        </row>
        <row r="40981">
          <cell r="O40981" t="str">
            <v/>
          </cell>
        </row>
        <row r="40982">
          <cell r="O40982" t="str">
            <v/>
          </cell>
        </row>
        <row r="40983">
          <cell r="O40983" t="str">
            <v/>
          </cell>
        </row>
        <row r="40984">
          <cell r="O40984" t="str">
            <v/>
          </cell>
        </row>
        <row r="40985">
          <cell r="O40985" t="str">
            <v/>
          </cell>
        </row>
        <row r="40986">
          <cell r="O40986" t="str">
            <v/>
          </cell>
        </row>
        <row r="40987">
          <cell r="O40987" t="str">
            <v/>
          </cell>
        </row>
        <row r="40988">
          <cell r="O40988" t="str">
            <v/>
          </cell>
        </row>
        <row r="40989">
          <cell r="O40989" t="str">
            <v/>
          </cell>
        </row>
        <row r="40990">
          <cell r="O40990" t="str">
            <v/>
          </cell>
        </row>
        <row r="40991">
          <cell r="O40991" t="str">
            <v/>
          </cell>
        </row>
        <row r="40992">
          <cell r="O40992" t="str">
            <v/>
          </cell>
        </row>
        <row r="40993">
          <cell r="O40993" t="str">
            <v/>
          </cell>
        </row>
        <row r="40994">
          <cell r="O40994" t="str">
            <v/>
          </cell>
        </row>
        <row r="40995">
          <cell r="O40995" t="str">
            <v/>
          </cell>
        </row>
        <row r="40996">
          <cell r="O40996" t="str">
            <v/>
          </cell>
        </row>
        <row r="40997">
          <cell r="O40997" t="str">
            <v/>
          </cell>
        </row>
        <row r="40998">
          <cell r="O40998" t="str">
            <v/>
          </cell>
        </row>
        <row r="40999">
          <cell r="O40999" t="str">
            <v/>
          </cell>
        </row>
        <row r="41000">
          <cell r="O41000" t="str">
            <v/>
          </cell>
        </row>
        <row r="41001">
          <cell r="O41001" t="str">
            <v/>
          </cell>
        </row>
        <row r="41002">
          <cell r="O41002" t="str">
            <v/>
          </cell>
        </row>
        <row r="41003">
          <cell r="O41003" t="str">
            <v/>
          </cell>
        </row>
        <row r="41004">
          <cell r="O41004" t="str">
            <v/>
          </cell>
        </row>
        <row r="41005">
          <cell r="O41005" t="str">
            <v/>
          </cell>
        </row>
        <row r="41006">
          <cell r="O41006" t="str">
            <v/>
          </cell>
        </row>
        <row r="41007">
          <cell r="O41007" t="str">
            <v/>
          </cell>
        </row>
        <row r="41008">
          <cell r="O41008" t="str">
            <v/>
          </cell>
        </row>
        <row r="41009">
          <cell r="O41009" t="str">
            <v/>
          </cell>
        </row>
        <row r="41010">
          <cell r="O41010" t="str">
            <v/>
          </cell>
        </row>
        <row r="41011">
          <cell r="O41011" t="str">
            <v/>
          </cell>
        </row>
        <row r="41012">
          <cell r="O41012" t="str">
            <v/>
          </cell>
        </row>
        <row r="41013">
          <cell r="O41013" t="str">
            <v/>
          </cell>
        </row>
        <row r="41014">
          <cell r="O41014" t="str">
            <v/>
          </cell>
        </row>
        <row r="41015">
          <cell r="O41015" t="str">
            <v/>
          </cell>
        </row>
        <row r="41016">
          <cell r="O41016" t="str">
            <v/>
          </cell>
        </row>
        <row r="41017">
          <cell r="O41017" t="str">
            <v/>
          </cell>
        </row>
        <row r="41018">
          <cell r="O41018" t="str">
            <v/>
          </cell>
        </row>
        <row r="41019">
          <cell r="O41019" t="str">
            <v/>
          </cell>
        </row>
        <row r="41020">
          <cell r="O41020" t="str">
            <v/>
          </cell>
        </row>
        <row r="41021">
          <cell r="O41021" t="str">
            <v/>
          </cell>
        </row>
        <row r="41022">
          <cell r="O41022" t="str">
            <v/>
          </cell>
        </row>
        <row r="41023">
          <cell r="O41023" t="str">
            <v/>
          </cell>
        </row>
        <row r="41024">
          <cell r="O41024" t="str">
            <v/>
          </cell>
        </row>
        <row r="41025">
          <cell r="O41025" t="str">
            <v/>
          </cell>
        </row>
        <row r="41026">
          <cell r="O41026" t="str">
            <v/>
          </cell>
        </row>
        <row r="41027">
          <cell r="O41027" t="str">
            <v/>
          </cell>
        </row>
        <row r="41028">
          <cell r="O41028" t="str">
            <v/>
          </cell>
        </row>
        <row r="41029">
          <cell r="O41029" t="str">
            <v/>
          </cell>
        </row>
        <row r="41030">
          <cell r="O41030" t="str">
            <v/>
          </cell>
        </row>
        <row r="41031">
          <cell r="O41031" t="str">
            <v/>
          </cell>
        </row>
        <row r="41032">
          <cell r="O41032" t="str">
            <v/>
          </cell>
        </row>
        <row r="41033">
          <cell r="O41033" t="str">
            <v/>
          </cell>
        </row>
        <row r="41034">
          <cell r="O41034" t="str">
            <v/>
          </cell>
        </row>
        <row r="41035">
          <cell r="O41035" t="str">
            <v/>
          </cell>
        </row>
        <row r="41036">
          <cell r="O41036" t="str">
            <v/>
          </cell>
        </row>
        <row r="41037">
          <cell r="O41037" t="str">
            <v/>
          </cell>
        </row>
        <row r="41038">
          <cell r="O41038" t="str">
            <v/>
          </cell>
        </row>
        <row r="41039">
          <cell r="O41039" t="str">
            <v/>
          </cell>
        </row>
        <row r="41040">
          <cell r="O41040" t="str">
            <v/>
          </cell>
        </row>
        <row r="41041">
          <cell r="O41041" t="str">
            <v/>
          </cell>
        </row>
        <row r="41042">
          <cell r="O41042" t="str">
            <v/>
          </cell>
        </row>
        <row r="41043">
          <cell r="O41043" t="str">
            <v/>
          </cell>
        </row>
        <row r="41044">
          <cell r="O41044" t="str">
            <v/>
          </cell>
        </row>
        <row r="41045">
          <cell r="O41045" t="str">
            <v/>
          </cell>
        </row>
        <row r="41046">
          <cell r="O41046" t="str">
            <v/>
          </cell>
        </row>
        <row r="41047">
          <cell r="O41047" t="str">
            <v/>
          </cell>
        </row>
        <row r="41048">
          <cell r="O41048" t="str">
            <v/>
          </cell>
        </row>
        <row r="41049">
          <cell r="O41049" t="str">
            <v/>
          </cell>
        </row>
        <row r="41050">
          <cell r="O41050" t="str">
            <v/>
          </cell>
        </row>
        <row r="41051">
          <cell r="O41051" t="str">
            <v/>
          </cell>
        </row>
        <row r="41052">
          <cell r="O41052" t="str">
            <v/>
          </cell>
        </row>
        <row r="41053">
          <cell r="O41053" t="str">
            <v/>
          </cell>
        </row>
        <row r="41054">
          <cell r="O41054" t="str">
            <v/>
          </cell>
        </row>
        <row r="41055">
          <cell r="O41055" t="str">
            <v/>
          </cell>
        </row>
        <row r="41056">
          <cell r="O41056" t="str">
            <v/>
          </cell>
        </row>
        <row r="41057">
          <cell r="O41057" t="str">
            <v/>
          </cell>
        </row>
        <row r="41058">
          <cell r="O41058" t="str">
            <v/>
          </cell>
        </row>
        <row r="41059">
          <cell r="O41059" t="str">
            <v/>
          </cell>
        </row>
        <row r="41060">
          <cell r="O41060" t="str">
            <v/>
          </cell>
        </row>
        <row r="41061">
          <cell r="O41061" t="str">
            <v/>
          </cell>
        </row>
        <row r="41062">
          <cell r="O41062" t="str">
            <v/>
          </cell>
        </row>
        <row r="41063">
          <cell r="O41063" t="str">
            <v/>
          </cell>
        </row>
        <row r="41064">
          <cell r="O41064" t="str">
            <v/>
          </cell>
        </row>
        <row r="41065">
          <cell r="O41065" t="str">
            <v/>
          </cell>
        </row>
        <row r="41066">
          <cell r="O41066" t="str">
            <v/>
          </cell>
        </row>
        <row r="41067">
          <cell r="O41067" t="str">
            <v/>
          </cell>
        </row>
        <row r="41068">
          <cell r="O41068" t="str">
            <v/>
          </cell>
        </row>
        <row r="41069">
          <cell r="O41069" t="str">
            <v/>
          </cell>
        </row>
        <row r="41070">
          <cell r="O41070" t="str">
            <v/>
          </cell>
        </row>
        <row r="41071">
          <cell r="O41071" t="str">
            <v/>
          </cell>
        </row>
        <row r="41072">
          <cell r="O41072" t="str">
            <v/>
          </cell>
        </row>
        <row r="41073">
          <cell r="O41073" t="str">
            <v/>
          </cell>
        </row>
        <row r="41074">
          <cell r="O41074" t="str">
            <v/>
          </cell>
        </row>
        <row r="41075">
          <cell r="O41075" t="str">
            <v/>
          </cell>
        </row>
        <row r="41076">
          <cell r="O41076" t="str">
            <v/>
          </cell>
        </row>
        <row r="41077">
          <cell r="O41077" t="str">
            <v/>
          </cell>
        </row>
        <row r="41078">
          <cell r="O41078" t="str">
            <v/>
          </cell>
        </row>
        <row r="41079">
          <cell r="O41079" t="str">
            <v/>
          </cell>
        </row>
        <row r="41080">
          <cell r="O41080" t="str">
            <v/>
          </cell>
        </row>
        <row r="41081">
          <cell r="O41081" t="str">
            <v/>
          </cell>
        </row>
        <row r="41082">
          <cell r="O41082" t="str">
            <v/>
          </cell>
        </row>
        <row r="41083">
          <cell r="O41083" t="str">
            <v/>
          </cell>
        </row>
        <row r="41084">
          <cell r="O41084" t="str">
            <v/>
          </cell>
        </row>
        <row r="41085">
          <cell r="O41085" t="str">
            <v/>
          </cell>
        </row>
        <row r="41086">
          <cell r="O41086" t="str">
            <v/>
          </cell>
        </row>
        <row r="41087">
          <cell r="O41087" t="str">
            <v/>
          </cell>
        </row>
        <row r="41088">
          <cell r="O41088" t="str">
            <v/>
          </cell>
        </row>
        <row r="41089">
          <cell r="O41089" t="str">
            <v/>
          </cell>
        </row>
        <row r="41090">
          <cell r="O41090" t="str">
            <v/>
          </cell>
        </row>
        <row r="41091">
          <cell r="O41091" t="str">
            <v/>
          </cell>
        </row>
        <row r="41092">
          <cell r="O41092" t="str">
            <v/>
          </cell>
        </row>
        <row r="41093">
          <cell r="O41093" t="str">
            <v/>
          </cell>
        </row>
        <row r="41094">
          <cell r="O41094" t="str">
            <v/>
          </cell>
        </row>
        <row r="41095">
          <cell r="O41095" t="str">
            <v/>
          </cell>
        </row>
        <row r="41096">
          <cell r="O41096" t="str">
            <v/>
          </cell>
        </row>
        <row r="41097">
          <cell r="O41097" t="str">
            <v/>
          </cell>
        </row>
        <row r="41098">
          <cell r="O41098" t="str">
            <v/>
          </cell>
        </row>
        <row r="41099">
          <cell r="O41099" t="str">
            <v/>
          </cell>
        </row>
        <row r="41100">
          <cell r="O41100" t="str">
            <v/>
          </cell>
        </row>
        <row r="41101">
          <cell r="O41101" t="str">
            <v/>
          </cell>
        </row>
        <row r="41102">
          <cell r="O41102" t="str">
            <v/>
          </cell>
        </row>
        <row r="41103">
          <cell r="O41103" t="str">
            <v/>
          </cell>
        </row>
        <row r="41104">
          <cell r="O41104" t="str">
            <v/>
          </cell>
        </row>
        <row r="41105">
          <cell r="O41105" t="str">
            <v/>
          </cell>
        </row>
        <row r="41106">
          <cell r="O41106" t="str">
            <v/>
          </cell>
        </row>
        <row r="41107">
          <cell r="O41107" t="str">
            <v/>
          </cell>
        </row>
        <row r="41108">
          <cell r="O41108" t="str">
            <v/>
          </cell>
        </row>
        <row r="41109">
          <cell r="O41109" t="str">
            <v/>
          </cell>
        </row>
        <row r="41110">
          <cell r="O41110" t="str">
            <v/>
          </cell>
        </row>
        <row r="41111">
          <cell r="O41111" t="str">
            <v/>
          </cell>
        </row>
        <row r="41112">
          <cell r="O41112" t="str">
            <v/>
          </cell>
        </row>
        <row r="41113">
          <cell r="O41113" t="str">
            <v/>
          </cell>
        </row>
        <row r="41114">
          <cell r="O41114" t="str">
            <v/>
          </cell>
        </row>
        <row r="41115">
          <cell r="O41115" t="str">
            <v/>
          </cell>
        </row>
        <row r="41116">
          <cell r="O41116" t="str">
            <v/>
          </cell>
        </row>
        <row r="41117">
          <cell r="O41117" t="str">
            <v/>
          </cell>
        </row>
        <row r="41118">
          <cell r="O41118" t="str">
            <v/>
          </cell>
        </row>
        <row r="41119">
          <cell r="O41119" t="str">
            <v/>
          </cell>
        </row>
        <row r="41120">
          <cell r="O41120" t="str">
            <v/>
          </cell>
        </row>
        <row r="41121">
          <cell r="O41121" t="str">
            <v/>
          </cell>
        </row>
        <row r="41122">
          <cell r="O41122" t="str">
            <v/>
          </cell>
        </row>
        <row r="41123">
          <cell r="O41123" t="str">
            <v/>
          </cell>
        </row>
        <row r="41124">
          <cell r="O41124" t="str">
            <v/>
          </cell>
        </row>
        <row r="41125">
          <cell r="O41125" t="str">
            <v/>
          </cell>
        </row>
        <row r="41126">
          <cell r="O41126" t="str">
            <v/>
          </cell>
        </row>
        <row r="41127">
          <cell r="O41127" t="str">
            <v/>
          </cell>
        </row>
        <row r="41128">
          <cell r="O41128" t="str">
            <v/>
          </cell>
        </row>
        <row r="41129">
          <cell r="O41129" t="str">
            <v/>
          </cell>
        </row>
        <row r="41130">
          <cell r="O41130" t="str">
            <v/>
          </cell>
        </row>
        <row r="41131">
          <cell r="O41131" t="str">
            <v/>
          </cell>
        </row>
        <row r="41132">
          <cell r="O41132" t="str">
            <v/>
          </cell>
        </row>
        <row r="41133">
          <cell r="O41133" t="str">
            <v/>
          </cell>
        </row>
        <row r="41134">
          <cell r="O41134" t="str">
            <v/>
          </cell>
        </row>
        <row r="41135">
          <cell r="O41135" t="str">
            <v/>
          </cell>
        </row>
        <row r="41136">
          <cell r="O41136" t="str">
            <v/>
          </cell>
        </row>
        <row r="41137">
          <cell r="O41137" t="str">
            <v/>
          </cell>
        </row>
        <row r="41138">
          <cell r="O41138" t="str">
            <v/>
          </cell>
        </row>
        <row r="41139">
          <cell r="O41139" t="str">
            <v/>
          </cell>
        </row>
        <row r="41140">
          <cell r="O41140" t="str">
            <v/>
          </cell>
        </row>
        <row r="41141">
          <cell r="O41141" t="str">
            <v/>
          </cell>
        </row>
        <row r="41142">
          <cell r="O41142" t="str">
            <v/>
          </cell>
        </row>
        <row r="41143">
          <cell r="O41143" t="str">
            <v/>
          </cell>
        </row>
        <row r="41144">
          <cell r="O41144" t="str">
            <v/>
          </cell>
        </row>
        <row r="41145">
          <cell r="O41145" t="str">
            <v/>
          </cell>
        </row>
        <row r="41146">
          <cell r="O41146" t="str">
            <v/>
          </cell>
        </row>
        <row r="41147">
          <cell r="O41147" t="str">
            <v/>
          </cell>
        </row>
        <row r="41148">
          <cell r="O41148" t="str">
            <v/>
          </cell>
        </row>
        <row r="41149">
          <cell r="O41149" t="str">
            <v/>
          </cell>
        </row>
        <row r="41150">
          <cell r="O41150" t="str">
            <v/>
          </cell>
        </row>
        <row r="41151">
          <cell r="O41151" t="str">
            <v/>
          </cell>
        </row>
        <row r="41152">
          <cell r="O41152" t="str">
            <v/>
          </cell>
        </row>
        <row r="41153">
          <cell r="O41153" t="str">
            <v/>
          </cell>
        </row>
        <row r="41154">
          <cell r="O41154" t="str">
            <v/>
          </cell>
        </row>
        <row r="41155">
          <cell r="O41155" t="str">
            <v/>
          </cell>
        </row>
        <row r="41156">
          <cell r="O41156" t="str">
            <v/>
          </cell>
        </row>
        <row r="41157">
          <cell r="O41157" t="str">
            <v/>
          </cell>
        </row>
        <row r="41158">
          <cell r="O41158" t="str">
            <v/>
          </cell>
        </row>
        <row r="41159">
          <cell r="O41159" t="str">
            <v/>
          </cell>
        </row>
        <row r="41160">
          <cell r="O41160" t="str">
            <v/>
          </cell>
        </row>
        <row r="41161">
          <cell r="O41161" t="str">
            <v/>
          </cell>
        </row>
        <row r="41162">
          <cell r="O41162" t="str">
            <v/>
          </cell>
        </row>
        <row r="41163">
          <cell r="O41163" t="str">
            <v/>
          </cell>
        </row>
        <row r="41164">
          <cell r="O41164" t="str">
            <v/>
          </cell>
        </row>
        <row r="41165">
          <cell r="O41165" t="str">
            <v/>
          </cell>
        </row>
        <row r="41166">
          <cell r="O41166" t="str">
            <v/>
          </cell>
        </row>
        <row r="41167">
          <cell r="O41167" t="str">
            <v/>
          </cell>
        </row>
        <row r="41168">
          <cell r="O41168" t="str">
            <v/>
          </cell>
        </row>
        <row r="41169">
          <cell r="O41169" t="str">
            <v/>
          </cell>
        </row>
        <row r="41170">
          <cell r="O41170" t="str">
            <v/>
          </cell>
        </row>
        <row r="41171">
          <cell r="O41171" t="str">
            <v/>
          </cell>
        </row>
        <row r="41172">
          <cell r="O41172" t="str">
            <v/>
          </cell>
        </row>
        <row r="41173">
          <cell r="O41173" t="str">
            <v/>
          </cell>
        </row>
        <row r="41174">
          <cell r="O41174" t="str">
            <v/>
          </cell>
        </row>
        <row r="41175">
          <cell r="O41175" t="str">
            <v/>
          </cell>
        </row>
        <row r="41176">
          <cell r="O41176" t="str">
            <v/>
          </cell>
        </row>
        <row r="41177">
          <cell r="O41177" t="str">
            <v/>
          </cell>
        </row>
        <row r="41178">
          <cell r="O41178" t="str">
            <v/>
          </cell>
        </row>
        <row r="41179">
          <cell r="O41179" t="str">
            <v/>
          </cell>
        </row>
        <row r="41180">
          <cell r="O41180" t="str">
            <v/>
          </cell>
        </row>
        <row r="41181">
          <cell r="O41181" t="str">
            <v/>
          </cell>
        </row>
        <row r="41182">
          <cell r="O41182" t="str">
            <v/>
          </cell>
        </row>
        <row r="41183">
          <cell r="O41183" t="str">
            <v/>
          </cell>
        </row>
        <row r="41184">
          <cell r="O41184" t="str">
            <v/>
          </cell>
        </row>
        <row r="41185">
          <cell r="O41185" t="str">
            <v/>
          </cell>
        </row>
        <row r="41186">
          <cell r="O41186" t="str">
            <v/>
          </cell>
        </row>
        <row r="41187">
          <cell r="O41187" t="str">
            <v/>
          </cell>
        </row>
        <row r="41188">
          <cell r="O41188" t="str">
            <v/>
          </cell>
        </row>
        <row r="41189">
          <cell r="O41189" t="str">
            <v/>
          </cell>
        </row>
        <row r="41190">
          <cell r="O41190" t="str">
            <v/>
          </cell>
        </row>
        <row r="41191">
          <cell r="O41191" t="str">
            <v/>
          </cell>
        </row>
        <row r="41192">
          <cell r="O41192" t="str">
            <v/>
          </cell>
        </row>
        <row r="41193">
          <cell r="O41193" t="str">
            <v/>
          </cell>
        </row>
        <row r="41194">
          <cell r="O41194" t="str">
            <v/>
          </cell>
        </row>
        <row r="41195">
          <cell r="O41195" t="str">
            <v/>
          </cell>
        </row>
        <row r="41196">
          <cell r="O41196" t="str">
            <v/>
          </cell>
        </row>
        <row r="41197">
          <cell r="O41197" t="str">
            <v/>
          </cell>
        </row>
        <row r="41198">
          <cell r="O41198" t="str">
            <v/>
          </cell>
        </row>
        <row r="41199">
          <cell r="O41199" t="str">
            <v/>
          </cell>
        </row>
        <row r="41200">
          <cell r="O41200" t="str">
            <v/>
          </cell>
        </row>
        <row r="41201">
          <cell r="O41201" t="str">
            <v/>
          </cell>
        </row>
        <row r="41202">
          <cell r="O41202" t="str">
            <v/>
          </cell>
        </row>
        <row r="41203">
          <cell r="O41203" t="str">
            <v/>
          </cell>
        </row>
        <row r="41204">
          <cell r="O41204" t="str">
            <v/>
          </cell>
        </row>
        <row r="41205">
          <cell r="O41205" t="str">
            <v/>
          </cell>
        </row>
        <row r="41206">
          <cell r="O41206" t="str">
            <v/>
          </cell>
        </row>
        <row r="41207">
          <cell r="O41207" t="str">
            <v/>
          </cell>
        </row>
        <row r="41208">
          <cell r="O41208" t="str">
            <v/>
          </cell>
        </row>
        <row r="41209">
          <cell r="O41209" t="str">
            <v/>
          </cell>
        </row>
        <row r="41210">
          <cell r="O41210" t="str">
            <v/>
          </cell>
        </row>
        <row r="41211">
          <cell r="O41211" t="str">
            <v/>
          </cell>
        </row>
        <row r="41212">
          <cell r="O41212" t="str">
            <v/>
          </cell>
        </row>
        <row r="41213">
          <cell r="O41213" t="str">
            <v/>
          </cell>
        </row>
        <row r="41214">
          <cell r="O41214" t="str">
            <v/>
          </cell>
        </row>
        <row r="41215">
          <cell r="O41215" t="str">
            <v/>
          </cell>
        </row>
        <row r="41216">
          <cell r="O41216" t="str">
            <v/>
          </cell>
        </row>
        <row r="41217">
          <cell r="O41217" t="str">
            <v/>
          </cell>
        </row>
        <row r="41218">
          <cell r="O41218" t="str">
            <v/>
          </cell>
        </row>
        <row r="41219">
          <cell r="O41219" t="str">
            <v/>
          </cell>
        </row>
        <row r="41220">
          <cell r="O41220" t="str">
            <v/>
          </cell>
        </row>
        <row r="41221">
          <cell r="O41221" t="str">
            <v/>
          </cell>
        </row>
        <row r="41222">
          <cell r="O41222" t="str">
            <v/>
          </cell>
        </row>
        <row r="41223">
          <cell r="O41223" t="str">
            <v/>
          </cell>
        </row>
        <row r="41224">
          <cell r="O41224" t="str">
            <v/>
          </cell>
        </row>
        <row r="41225">
          <cell r="O41225" t="str">
            <v/>
          </cell>
        </row>
        <row r="41226">
          <cell r="O41226" t="str">
            <v/>
          </cell>
        </row>
        <row r="41227">
          <cell r="O41227" t="str">
            <v/>
          </cell>
        </row>
        <row r="41228">
          <cell r="O41228" t="str">
            <v/>
          </cell>
        </row>
        <row r="41229">
          <cell r="O41229" t="str">
            <v/>
          </cell>
        </row>
        <row r="41230">
          <cell r="O41230" t="str">
            <v/>
          </cell>
        </row>
        <row r="41231">
          <cell r="O41231" t="str">
            <v/>
          </cell>
        </row>
        <row r="41232">
          <cell r="O41232" t="str">
            <v/>
          </cell>
        </row>
        <row r="41233">
          <cell r="O41233" t="str">
            <v/>
          </cell>
        </row>
        <row r="41234">
          <cell r="O41234" t="str">
            <v/>
          </cell>
        </row>
        <row r="41235">
          <cell r="O41235" t="str">
            <v/>
          </cell>
        </row>
        <row r="41236">
          <cell r="O41236" t="str">
            <v/>
          </cell>
        </row>
        <row r="41237">
          <cell r="O41237" t="str">
            <v/>
          </cell>
        </row>
        <row r="41238">
          <cell r="O41238" t="str">
            <v/>
          </cell>
        </row>
        <row r="41239">
          <cell r="O41239" t="str">
            <v/>
          </cell>
        </row>
        <row r="41240">
          <cell r="O41240" t="str">
            <v/>
          </cell>
        </row>
        <row r="41241">
          <cell r="O41241" t="str">
            <v/>
          </cell>
        </row>
        <row r="41242">
          <cell r="O41242" t="str">
            <v/>
          </cell>
        </row>
        <row r="41243">
          <cell r="O41243" t="str">
            <v/>
          </cell>
        </row>
        <row r="41244">
          <cell r="O41244" t="str">
            <v/>
          </cell>
        </row>
        <row r="41245">
          <cell r="O41245" t="str">
            <v/>
          </cell>
        </row>
        <row r="41246">
          <cell r="O41246" t="str">
            <v/>
          </cell>
        </row>
        <row r="41247">
          <cell r="O41247" t="str">
            <v/>
          </cell>
        </row>
        <row r="41248">
          <cell r="O41248" t="str">
            <v/>
          </cell>
        </row>
        <row r="41249">
          <cell r="O41249" t="str">
            <v/>
          </cell>
        </row>
        <row r="41250">
          <cell r="O41250" t="str">
            <v/>
          </cell>
        </row>
        <row r="41251">
          <cell r="O41251" t="str">
            <v/>
          </cell>
        </row>
        <row r="41252">
          <cell r="O41252" t="str">
            <v/>
          </cell>
        </row>
        <row r="41253">
          <cell r="O41253" t="str">
            <v/>
          </cell>
        </row>
        <row r="41254">
          <cell r="O41254" t="str">
            <v/>
          </cell>
        </row>
        <row r="41255">
          <cell r="O41255" t="str">
            <v/>
          </cell>
        </row>
        <row r="41256">
          <cell r="O41256" t="str">
            <v/>
          </cell>
        </row>
        <row r="41257">
          <cell r="O41257" t="str">
            <v/>
          </cell>
        </row>
        <row r="41258">
          <cell r="O41258" t="str">
            <v/>
          </cell>
        </row>
        <row r="41259">
          <cell r="O41259" t="str">
            <v/>
          </cell>
        </row>
        <row r="41260">
          <cell r="O41260" t="str">
            <v/>
          </cell>
        </row>
        <row r="41261">
          <cell r="O41261" t="str">
            <v/>
          </cell>
        </row>
        <row r="41262">
          <cell r="O41262" t="str">
            <v/>
          </cell>
        </row>
        <row r="41263">
          <cell r="O41263" t="str">
            <v/>
          </cell>
        </row>
        <row r="41264">
          <cell r="O41264" t="str">
            <v/>
          </cell>
        </row>
        <row r="41265">
          <cell r="O41265" t="str">
            <v/>
          </cell>
        </row>
        <row r="41266">
          <cell r="O41266" t="str">
            <v/>
          </cell>
        </row>
        <row r="41267">
          <cell r="O41267" t="str">
            <v/>
          </cell>
        </row>
        <row r="41268">
          <cell r="O41268" t="str">
            <v/>
          </cell>
        </row>
        <row r="41269">
          <cell r="O41269" t="str">
            <v/>
          </cell>
        </row>
        <row r="41270">
          <cell r="O41270" t="str">
            <v/>
          </cell>
        </row>
        <row r="41271">
          <cell r="O41271" t="str">
            <v/>
          </cell>
        </row>
        <row r="41272">
          <cell r="O41272" t="str">
            <v/>
          </cell>
        </row>
        <row r="41273">
          <cell r="O41273" t="str">
            <v/>
          </cell>
        </row>
        <row r="41274">
          <cell r="O41274" t="str">
            <v/>
          </cell>
        </row>
        <row r="41275">
          <cell r="O41275" t="str">
            <v/>
          </cell>
        </row>
        <row r="41276">
          <cell r="O41276" t="str">
            <v/>
          </cell>
        </row>
        <row r="41277">
          <cell r="O41277" t="str">
            <v/>
          </cell>
        </row>
        <row r="41278">
          <cell r="O41278" t="str">
            <v/>
          </cell>
        </row>
        <row r="41279">
          <cell r="O41279" t="str">
            <v/>
          </cell>
        </row>
        <row r="41280">
          <cell r="O41280" t="str">
            <v/>
          </cell>
        </row>
        <row r="41281">
          <cell r="O41281" t="str">
            <v/>
          </cell>
        </row>
        <row r="41282">
          <cell r="O41282" t="str">
            <v/>
          </cell>
        </row>
        <row r="41283">
          <cell r="O41283" t="str">
            <v/>
          </cell>
        </row>
        <row r="41284">
          <cell r="O41284" t="str">
            <v/>
          </cell>
        </row>
        <row r="41285">
          <cell r="O41285" t="str">
            <v/>
          </cell>
        </row>
        <row r="41286">
          <cell r="O41286" t="str">
            <v/>
          </cell>
        </row>
        <row r="41287">
          <cell r="O41287" t="str">
            <v/>
          </cell>
        </row>
        <row r="41288">
          <cell r="O41288" t="str">
            <v/>
          </cell>
        </row>
        <row r="41289">
          <cell r="O41289" t="str">
            <v/>
          </cell>
        </row>
        <row r="41290">
          <cell r="O41290" t="str">
            <v/>
          </cell>
        </row>
        <row r="41291">
          <cell r="O41291" t="str">
            <v/>
          </cell>
        </row>
        <row r="41292">
          <cell r="O41292" t="str">
            <v/>
          </cell>
        </row>
        <row r="41293">
          <cell r="O41293" t="str">
            <v/>
          </cell>
        </row>
        <row r="41294">
          <cell r="O41294" t="str">
            <v/>
          </cell>
        </row>
        <row r="41295">
          <cell r="O41295" t="str">
            <v/>
          </cell>
        </row>
        <row r="41296">
          <cell r="O41296" t="str">
            <v/>
          </cell>
        </row>
        <row r="41297">
          <cell r="O41297" t="str">
            <v/>
          </cell>
        </row>
        <row r="41298">
          <cell r="O41298" t="str">
            <v/>
          </cell>
        </row>
        <row r="41299">
          <cell r="O41299" t="str">
            <v/>
          </cell>
        </row>
        <row r="41300">
          <cell r="O41300" t="str">
            <v/>
          </cell>
        </row>
        <row r="41301">
          <cell r="O41301" t="str">
            <v/>
          </cell>
        </row>
        <row r="41302">
          <cell r="O41302" t="str">
            <v/>
          </cell>
        </row>
        <row r="41303">
          <cell r="O41303" t="str">
            <v/>
          </cell>
        </row>
        <row r="41304">
          <cell r="O41304" t="str">
            <v/>
          </cell>
        </row>
        <row r="41305">
          <cell r="O41305" t="str">
            <v/>
          </cell>
        </row>
        <row r="41306">
          <cell r="O41306" t="str">
            <v/>
          </cell>
        </row>
        <row r="41307">
          <cell r="O41307" t="str">
            <v/>
          </cell>
        </row>
        <row r="41308">
          <cell r="O41308" t="str">
            <v/>
          </cell>
        </row>
        <row r="41309">
          <cell r="O41309" t="str">
            <v/>
          </cell>
        </row>
        <row r="41310">
          <cell r="O41310" t="str">
            <v/>
          </cell>
        </row>
        <row r="41311">
          <cell r="O41311" t="str">
            <v/>
          </cell>
        </row>
        <row r="41312">
          <cell r="O41312" t="str">
            <v/>
          </cell>
        </row>
        <row r="41313">
          <cell r="O41313" t="str">
            <v/>
          </cell>
        </row>
        <row r="41314">
          <cell r="O41314" t="str">
            <v/>
          </cell>
        </row>
        <row r="41315">
          <cell r="O41315" t="str">
            <v/>
          </cell>
        </row>
        <row r="41316">
          <cell r="O41316" t="str">
            <v/>
          </cell>
        </row>
        <row r="41317">
          <cell r="O41317" t="str">
            <v/>
          </cell>
        </row>
        <row r="41318">
          <cell r="O41318" t="str">
            <v/>
          </cell>
        </row>
        <row r="41319">
          <cell r="O41319" t="str">
            <v/>
          </cell>
        </row>
        <row r="41320">
          <cell r="O41320" t="str">
            <v/>
          </cell>
        </row>
        <row r="41321">
          <cell r="O41321" t="str">
            <v/>
          </cell>
        </row>
        <row r="41322">
          <cell r="O41322" t="str">
            <v/>
          </cell>
        </row>
        <row r="41323">
          <cell r="O41323" t="str">
            <v/>
          </cell>
        </row>
        <row r="41324">
          <cell r="O41324" t="str">
            <v/>
          </cell>
        </row>
        <row r="41325">
          <cell r="O41325" t="str">
            <v/>
          </cell>
        </row>
        <row r="41326">
          <cell r="O41326" t="str">
            <v/>
          </cell>
        </row>
        <row r="41327">
          <cell r="O41327" t="str">
            <v/>
          </cell>
        </row>
        <row r="41328">
          <cell r="O41328" t="str">
            <v/>
          </cell>
        </row>
        <row r="41329">
          <cell r="O41329" t="str">
            <v/>
          </cell>
        </row>
        <row r="41330">
          <cell r="O41330" t="str">
            <v/>
          </cell>
        </row>
        <row r="41331">
          <cell r="O41331" t="str">
            <v/>
          </cell>
        </row>
        <row r="41332">
          <cell r="O41332" t="str">
            <v/>
          </cell>
        </row>
        <row r="41333">
          <cell r="O41333" t="str">
            <v/>
          </cell>
        </row>
        <row r="41334">
          <cell r="O41334" t="str">
            <v/>
          </cell>
        </row>
        <row r="41335">
          <cell r="O41335" t="str">
            <v/>
          </cell>
        </row>
        <row r="41336">
          <cell r="O41336" t="str">
            <v/>
          </cell>
        </row>
        <row r="41337">
          <cell r="O41337" t="str">
            <v/>
          </cell>
        </row>
        <row r="41338">
          <cell r="O41338" t="str">
            <v/>
          </cell>
        </row>
        <row r="41339">
          <cell r="O41339" t="str">
            <v/>
          </cell>
        </row>
        <row r="41340">
          <cell r="O41340" t="str">
            <v/>
          </cell>
        </row>
        <row r="41341">
          <cell r="O41341" t="str">
            <v/>
          </cell>
        </row>
        <row r="41342">
          <cell r="O41342" t="str">
            <v/>
          </cell>
        </row>
        <row r="41343">
          <cell r="O41343" t="str">
            <v/>
          </cell>
        </row>
        <row r="41344">
          <cell r="O41344" t="str">
            <v/>
          </cell>
        </row>
        <row r="41345">
          <cell r="O41345" t="str">
            <v/>
          </cell>
        </row>
        <row r="41346">
          <cell r="O41346" t="str">
            <v/>
          </cell>
        </row>
        <row r="41347">
          <cell r="O41347" t="str">
            <v/>
          </cell>
        </row>
        <row r="41348">
          <cell r="O41348" t="str">
            <v/>
          </cell>
        </row>
        <row r="41349">
          <cell r="O41349" t="str">
            <v/>
          </cell>
        </row>
        <row r="41350">
          <cell r="O41350" t="str">
            <v/>
          </cell>
        </row>
        <row r="41351">
          <cell r="O41351" t="str">
            <v/>
          </cell>
        </row>
        <row r="41352">
          <cell r="O41352" t="str">
            <v/>
          </cell>
        </row>
        <row r="41353">
          <cell r="O41353" t="str">
            <v/>
          </cell>
        </row>
        <row r="41354">
          <cell r="O41354" t="str">
            <v/>
          </cell>
        </row>
        <row r="41355">
          <cell r="O41355" t="str">
            <v/>
          </cell>
        </row>
        <row r="41356">
          <cell r="O41356" t="str">
            <v/>
          </cell>
        </row>
        <row r="41357">
          <cell r="O41357" t="str">
            <v/>
          </cell>
        </row>
        <row r="41358">
          <cell r="O41358" t="str">
            <v/>
          </cell>
        </row>
        <row r="41359">
          <cell r="O41359" t="str">
            <v/>
          </cell>
        </row>
        <row r="41360">
          <cell r="O41360" t="str">
            <v/>
          </cell>
        </row>
        <row r="41361">
          <cell r="O41361" t="str">
            <v/>
          </cell>
        </row>
        <row r="41362">
          <cell r="O41362" t="str">
            <v/>
          </cell>
        </row>
        <row r="41363">
          <cell r="O41363" t="str">
            <v/>
          </cell>
        </row>
        <row r="41364">
          <cell r="O41364" t="str">
            <v/>
          </cell>
        </row>
        <row r="41365">
          <cell r="O41365" t="str">
            <v/>
          </cell>
        </row>
        <row r="41366">
          <cell r="O41366" t="str">
            <v/>
          </cell>
        </row>
        <row r="41367">
          <cell r="O41367" t="str">
            <v/>
          </cell>
        </row>
        <row r="41368">
          <cell r="O41368" t="str">
            <v/>
          </cell>
        </row>
        <row r="41369">
          <cell r="O41369" t="str">
            <v/>
          </cell>
        </row>
        <row r="41370">
          <cell r="O41370" t="str">
            <v/>
          </cell>
        </row>
        <row r="41371">
          <cell r="O41371" t="str">
            <v/>
          </cell>
        </row>
        <row r="41372">
          <cell r="O41372" t="str">
            <v/>
          </cell>
        </row>
        <row r="41373">
          <cell r="O41373" t="str">
            <v/>
          </cell>
        </row>
        <row r="41374">
          <cell r="O41374" t="str">
            <v/>
          </cell>
        </row>
        <row r="41375">
          <cell r="O41375" t="str">
            <v/>
          </cell>
        </row>
        <row r="41376">
          <cell r="O41376" t="str">
            <v/>
          </cell>
        </row>
        <row r="41377">
          <cell r="O41377" t="str">
            <v/>
          </cell>
        </row>
        <row r="41378">
          <cell r="O41378" t="str">
            <v/>
          </cell>
        </row>
        <row r="41379">
          <cell r="O41379" t="str">
            <v/>
          </cell>
        </row>
        <row r="41380">
          <cell r="O41380" t="str">
            <v/>
          </cell>
        </row>
        <row r="41381">
          <cell r="O41381" t="str">
            <v/>
          </cell>
        </row>
        <row r="41382">
          <cell r="O41382" t="str">
            <v/>
          </cell>
        </row>
        <row r="41383">
          <cell r="O41383" t="str">
            <v/>
          </cell>
        </row>
        <row r="41384">
          <cell r="O41384" t="str">
            <v/>
          </cell>
        </row>
        <row r="41385">
          <cell r="O41385" t="str">
            <v/>
          </cell>
        </row>
        <row r="41386">
          <cell r="O41386" t="str">
            <v/>
          </cell>
        </row>
        <row r="41387">
          <cell r="O41387" t="str">
            <v/>
          </cell>
        </row>
        <row r="41388">
          <cell r="O41388" t="str">
            <v/>
          </cell>
        </row>
        <row r="41389">
          <cell r="O41389" t="str">
            <v/>
          </cell>
        </row>
        <row r="41390">
          <cell r="O41390" t="str">
            <v/>
          </cell>
        </row>
        <row r="41391">
          <cell r="O41391" t="str">
            <v/>
          </cell>
        </row>
        <row r="41392">
          <cell r="O41392" t="str">
            <v/>
          </cell>
        </row>
        <row r="41393">
          <cell r="O41393" t="str">
            <v/>
          </cell>
        </row>
        <row r="41394">
          <cell r="O41394" t="str">
            <v/>
          </cell>
        </row>
        <row r="41395">
          <cell r="O41395" t="str">
            <v/>
          </cell>
        </row>
        <row r="41396">
          <cell r="O41396" t="str">
            <v/>
          </cell>
        </row>
        <row r="41397">
          <cell r="O41397" t="str">
            <v/>
          </cell>
        </row>
        <row r="41398">
          <cell r="O41398" t="str">
            <v/>
          </cell>
        </row>
        <row r="41399">
          <cell r="O41399" t="str">
            <v/>
          </cell>
        </row>
        <row r="41400">
          <cell r="O41400" t="str">
            <v/>
          </cell>
        </row>
        <row r="41401">
          <cell r="O41401" t="str">
            <v/>
          </cell>
        </row>
        <row r="41402">
          <cell r="O41402" t="str">
            <v/>
          </cell>
        </row>
        <row r="41403">
          <cell r="O41403" t="str">
            <v/>
          </cell>
        </row>
        <row r="41404">
          <cell r="O41404" t="str">
            <v/>
          </cell>
        </row>
        <row r="41405">
          <cell r="O41405" t="str">
            <v/>
          </cell>
        </row>
        <row r="41406">
          <cell r="O41406" t="str">
            <v/>
          </cell>
        </row>
        <row r="41407">
          <cell r="O41407" t="str">
            <v/>
          </cell>
        </row>
        <row r="41408">
          <cell r="O41408" t="str">
            <v/>
          </cell>
        </row>
        <row r="41409">
          <cell r="O41409" t="str">
            <v/>
          </cell>
        </row>
        <row r="41410">
          <cell r="O41410" t="str">
            <v/>
          </cell>
        </row>
        <row r="41411">
          <cell r="O41411" t="str">
            <v/>
          </cell>
        </row>
        <row r="41412">
          <cell r="O41412" t="str">
            <v/>
          </cell>
        </row>
        <row r="41413">
          <cell r="O41413" t="str">
            <v/>
          </cell>
        </row>
        <row r="41414">
          <cell r="O41414" t="str">
            <v/>
          </cell>
        </row>
        <row r="41415">
          <cell r="O41415" t="str">
            <v/>
          </cell>
        </row>
        <row r="41416">
          <cell r="O41416" t="str">
            <v/>
          </cell>
        </row>
        <row r="41417">
          <cell r="O41417" t="str">
            <v/>
          </cell>
        </row>
        <row r="41418">
          <cell r="O41418" t="str">
            <v/>
          </cell>
        </row>
        <row r="41419">
          <cell r="O41419" t="str">
            <v/>
          </cell>
        </row>
        <row r="41420">
          <cell r="O41420" t="str">
            <v/>
          </cell>
        </row>
        <row r="41421">
          <cell r="O41421" t="str">
            <v/>
          </cell>
        </row>
        <row r="41422">
          <cell r="O41422" t="str">
            <v/>
          </cell>
        </row>
        <row r="41423">
          <cell r="O41423" t="str">
            <v/>
          </cell>
        </row>
        <row r="41424">
          <cell r="O41424" t="str">
            <v/>
          </cell>
        </row>
        <row r="41425">
          <cell r="O41425" t="str">
            <v/>
          </cell>
        </row>
        <row r="41426">
          <cell r="O41426" t="str">
            <v/>
          </cell>
        </row>
        <row r="41427">
          <cell r="O41427" t="str">
            <v/>
          </cell>
        </row>
        <row r="41428">
          <cell r="O41428" t="str">
            <v/>
          </cell>
        </row>
        <row r="41429">
          <cell r="O41429" t="str">
            <v/>
          </cell>
        </row>
        <row r="41430">
          <cell r="O41430" t="str">
            <v/>
          </cell>
        </row>
        <row r="41431">
          <cell r="O41431" t="str">
            <v/>
          </cell>
        </row>
        <row r="41432">
          <cell r="O41432" t="str">
            <v/>
          </cell>
        </row>
        <row r="41433">
          <cell r="O41433" t="str">
            <v/>
          </cell>
        </row>
        <row r="41434">
          <cell r="O41434" t="str">
            <v/>
          </cell>
        </row>
        <row r="41435">
          <cell r="O41435" t="str">
            <v/>
          </cell>
        </row>
        <row r="41436">
          <cell r="O41436" t="str">
            <v/>
          </cell>
        </row>
        <row r="41437">
          <cell r="O41437" t="str">
            <v/>
          </cell>
        </row>
        <row r="41438">
          <cell r="O41438" t="str">
            <v/>
          </cell>
        </row>
        <row r="41439">
          <cell r="O41439" t="str">
            <v/>
          </cell>
        </row>
        <row r="41440">
          <cell r="O41440" t="str">
            <v/>
          </cell>
        </row>
        <row r="41441">
          <cell r="O41441" t="str">
            <v/>
          </cell>
        </row>
        <row r="41442">
          <cell r="O41442" t="str">
            <v/>
          </cell>
        </row>
        <row r="41443">
          <cell r="O41443" t="str">
            <v/>
          </cell>
        </row>
        <row r="41444">
          <cell r="O41444" t="str">
            <v/>
          </cell>
        </row>
        <row r="41445">
          <cell r="O41445" t="str">
            <v/>
          </cell>
        </row>
        <row r="41446">
          <cell r="O41446" t="str">
            <v/>
          </cell>
        </row>
        <row r="41447">
          <cell r="O41447" t="str">
            <v/>
          </cell>
        </row>
        <row r="41448">
          <cell r="O41448" t="str">
            <v/>
          </cell>
        </row>
        <row r="41449">
          <cell r="O41449" t="str">
            <v/>
          </cell>
        </row>
        <row r="41450">
          <cell r="O41450" t="str">
            <v/>
          </cell>
        </row>
        <row r="41451">
          <cell r="O41451" t="str">
            <v/>
          </cell>
        </row>
        <row r="41452">
          <cell r="O41452" t="str">
            <v/>
          </cell>
        </row>
        <row r="41453">
          <cell r="O41453" t="str">
            <v/>
          </cell>
        </row>
        <row r="41454">
          <cell r="O41454" t="str">
            <v/>
          </cell>
        </row>
        <row r="41455">
          <cell r="O41455" t="str">
            <v/>
          </cell>
        </row>
        <row r="41456">
          <cell r="O41456" t="str">
            <v/>
          </cell>
        </row>
        <row r="41457">
          <cell r="O41457" t="str">
            <v/>
          </cell>
        </row>
        <row r="41458">
          <cell r="O41458" t="str">
            <v/>
          </cell>
        </row>
        <row r="41459">
          <cell r="O41459" t="str">
            <v/>
          </cell>
        </row>
        <row r="41460">
          <cell r="O41460" t="str">
            <v/>
          </cell>
        </row>
        <row r="41461">
          <cell r="O41461" t="str">
            <v/>
          </cell>
        </row>
        <row r="41462">
          <cell r="O41462" t="str">
            <v/>
          </cell>
        </row>
        <row r="41463">
          <cell r="O41463" t="str">
            <v/>
          </cell>
        </row>
        <row r="41464">
          <cell r="O41464" t="str">
            <v/>
          </cell>
        </row>
        <row r="41465">
          <cell r="O41465" t="str">
            <v/>
          </cell>
        </row>
        <row r="41466">
          <cell r="O41466" t="str">
            <v/>
          </cell>
        </row>
        <row r="41467">
          <cell r="O41467" t="str">
            <v/>
          </cell>
        </row>
        <row r="41468">
          <cell r="O41468" t="str">
            <v/>
          </cell>
        </row>
        <row r="41469">
          <cell r="O41469" t="str">
            <v/>
          </cell>
        </row>
        <row r="41470">
          <cell r="O41470" t="str">
            <v/>
          </cell>
        </row>
        <row r="41471">
          <cell r="O41471" t="str">
            <v/>
          </cell>
        </row>
        <row r="41472">
          <cell r="O41472" t="str">
            <v/>
          </cell>
        </row>
        <row r="41473">
          <cell r="O41473" t="str">
            <v/>
          </cell>
        </row>
        <row r="41474">
          <cell r="O41474" t="str">
            <v/>
          </cell>
        </row>
        <row r="41475">
          <cell r="O41475" t="str">
            <v/>
          </cell>
        </row>
        <row r="41476">
          <cell r="O41476" t="str">
            <v/>
          </cell>
        </row>
        <row r="41477">
          <cell r="O41477" t="str">
            <v/>
          </cell>
        </row>
        <row r="41478">
          <cell r="O41478" t="str">
            <v/>
          </cell>
        </row>
        <row r="41479">
          <cell r="O41479" t="str">
            <v/>
          </cell>
        </row>
        <row r="41480">
          <cell r="O41480" t="str">
            <v/>
          </cell>
        </row>
        <row r="41481">
          <cell r="O41481" t="str">
            <v/>
          </cell>
        </row>
        <row r="41482">
          <cell r="O41482" t="str">
            <v/>
          </cell>
        </row>
        <row r="41483">
          <cell r="O41483" t="str">
            <v/>
          </cell>
        </row>
        <row r="41484">
          <cell r="O41484" t="str">
            <v/>
          </cell>
        </row>
        <row r="41485">
          <cell r="O41485" t="str">
            <v/>
          </cell>
        </row>
        <row r="41486">
          <cell r="O41486" t="str">
            <v/>
          </cell>
        </row>
        <row r="41487">
          <cell r="O41487" t="str">
            <v/>
          </cell>
        </row>
        <row r="41488">
          <cell r="O41488" t="str">
            <v/>
          </cell>
        </row>
        <row r="41489">
          <cell r="O41489" t="str">
            <v/>
          </cell>
        </row>
        <row r="41490">
          <cell r="O41490" t="str">
            <v/>
          </cell>
        </row>
        <row r="41491">
          <cell r="O41491" t="str">
            <v/>
          </cell>
        </row>
        <row r="41492">
          <cell r="O41492" t="str">
            <v/>
          </cell>
        </row>
        <row r="41493">
          <cell r="O41493" t="str">
            <v/>
          </cell>
        </row>
        <row r="41494">
          <cell r="O41494" t="str">
            <v/>
          </cell>
        </row>
        <row r="41495">
          <cell r="O41495" t="str">
            <v/>
          </cell>
        </row>
        <row r="41496">
          <cell r="O41496" t="str">
            <v/>
          </cell>
        </row>
        <row r="41497">
          <cell r="O41497" t="str">
            <v/>
          </cell>
        </row>
        <row r="41498">
          <cell r="O41498" t="str">
            <v/>
          </cell>
        </row>
        <row r="41499">
          <cell r="O41499" t="str">
            <v/>
          </cell>
        </row>
        <row r="41500">
          <cell r="O41500" t="str">
            <v/>
          </cell>
        </row>
        <row r="41501">
          <cell r="O41501" t="str">
            <v/>
          </cell>
        </row>
        <row r="41502">
          <cell r="O41502" t="str">
            <v/>
          </cell>
        </row>
        <row r="41503">
          <cell r="O41503" t="str">
            <v/>
          </cell>
        </row>
        <row r="41504">
          <cell r="O41504" t="str">
            <v/>
          </cell>
        </row>
        <row r="41505">
          <cell r="O41505" t="str">
            <v/>
          </cell>
        </row>
        <row r="41506">
          <cell r="O41506" t="str">
            <v/>
          </cell>
        </row>
        <row r="41507">
          <cell r="O41507" t="str">
            <v/>
          </cell>
        </row>
        <row r="41508">
          <cell r="O41508" t="str">
            <v/>
          </cell>
        </row>
        <row r="41509">
          <cell r="O41509" t="str">
            <v/>
          </cell>
        </row>
        <row r="41510">
          <cell r="O41510" t="str">
            <v/>
          </cell>
        </row>
        <row r="41511">
          <cell r="O41511" t="str">
            <v/>
          </cell>
        </row>
        <row r="41512">
          <cell r="O41512" t="str">
            <v/>
          </cell>
        </row>
        <row r="41513">
          <cell r="O41513" t="str">
            <v/>
          </cell>
        </row>
        <row r="41514">
          <cell r="O41514" t="str">
            <v/>
          </cell>
        </row>
        <row r="41515">
          <cell r="O41515" t="str">
            <v/>
          </cell>
        </row>
        <row r="41516">
          <cell r="O41516" t="str">
            <v/>
          </cell>
        </row>
        <row r="41517">
          <cell r="O41517" t="str">
            <v/>
          </cell>
        </row>
        <row r="41518">
          <cell r="O41518" t="str">
            <v/>
          </cell>
        </row>
        <row r="41519">
          <cell r="O41519" t="str">
            <v/>
          </cell>
        </row>
        <row r="41520">
          <cell r="O41520" t="str">
            <v/>
          </cell>
        </row>
        <row r="41521">
          <cell r="O41521" t="str">
            <v/>
          </cell>
        </row>
        <row r="41522">
          <cell r="O41522" t="str">
            <v/>
          </cell>
        </row>
        <row r="41523">
          <cell r="O41523" t="str">
            <v/>
          </cell>
        </row>
        <row r="41524">
          <cell r="O41524" t="str">
            <v/>
          </cell>
        </row>
        <row r="41525">
          <cell r="O41525" t="str">
            <v/>
          </cell>
        </row>
        <row r="41526">
          <cell r="O41526" t="str">
            <v/>
          </cell>
        </row>
        <row r="41527">
          <cell r="O41527" t="str">
            <v/>
          </cell>
        </row>
        <row r="41528">
          <cell r="O41528" t="str">
            <v/>
          </cell>
        </row>
        <row r="41529">
          <cell r="O41529" t="str">
            <v/>
          </cell>
        </row>
        <row r="41530">
          <cell r="O41530" t="str">
            <v/>
          </cell>
        </row>
        <row r="41531">
          <cell r="O41531" t="str">
            <v/>
          </cell>
        </row>
        <row r="41532">
          <cell r="O41532" t="str">
            <v/>
          </cell>
        </row>
        <row r="41533">
          <cell r="O41533" t="str">
            <v/>
          </cell>
        </row>
        <row r="41534">
          <cell r="O41534" t="str">
            <v/>
          </cell>
        </row>
        <row r="41535">
          <cell r="O41535" t="str">
            <v/>
          </cell>
        </row>
        <row r="41536">
          <cell r="O41536" t="str">
            <v/>
          </cell>
        </row>
        <row r="41537">
          <cell r="O41537" t="str">
            <v/>
          </cell>
        </row>
        <row r="41538">
          <cell r="O41538" t="str">
            <v/>
          </cell>
        </row>
        <row r="41539">
          <cell r="O41539" t="str">
            <v/>
          </cell>
        </row>
        <row r="41540">
          <cell r="O41540" t="str">
            <v/>
          </cell>
        </row>
        <row r="41541">
          <cell r="O41541" t="str">
            <v/>
          </cell>
        </row>
        <row r="41542">
          <cell r="O41542" t="str">
            <v/>
          </cell>
        </row>
        <row r="41543">
          <cell r="O41543" t="str">
            <v/>
          </cell>
        </row>
        <row r="41544">
          <cell r="O41544" t="str">
            <v/>
          </cell>
        </row>
        <row r="41545">
          <cell r="O41545" t="str">
            <v/>
          </cell>
        </row>
        <row r="41546">
          <cell r="O41546" t="str">
            <v/>
          </cell>
        </row>
        <row r="41547">
          <cell r="O41547" t="str">
            <v/>
          </cell>
        </row>
        <row r="41548">
          <cell r="O41548" t="str">
            <v/>
          </cell>
        </row>
        <row r="41549">
          <cell r="O41549" t="str">
            <v/>
          </cell>
        </row>
        <row r="41550">
          <cell r="O41550" t="str">
            <v/>
          </cell>
        </row>
        <row r="41551">
          <cell r="O41551" t="str">
            <v/>
          </cell>
        </row>
        <row r="41552">
          <cell r="O41552" t="str">
            <v/>
          </cell>
        </row>
        <row r="41553">
          <cell r="O41553" t="str">
            <v/>
          </cell>
        </row>
        <row r="41554">
          <cell r="O41554" t="str">
            <v/>
          </cell>
        </row>
        <row r="41555">
          <cell r="O41555" t="str">
            <v/>
          </cell>
        </row>
        <row r="41556">
          <cell r="O41556" t="str">
            <v/>
          </cell>
        </row>
        <row r="41557">
          <cell r="O41557" t="str">
            <v/>
          </cell>
        </row>
        <row r="41558">
          <cell r="O41558" t="str">
            <v/>
          </cell>
        </row>
        <row r="41559">
          <cell r="O41559" t="str">
            <v/>
          </cell>
        </row>
        <row r="41560">
          <cell r="O41560" t="str">
            <v/>
          </cell>
        </row>
        <row r="41561">
          <cell r="O41561" t="str">
            <v/>
          </cell>
        </row>
        <row r="41562">
          <cell r="O41562" t="str">
            <v/>
          </cell>
        </row>
        <row r="41563">
          <cell r="O41563" t="str">
            <v/>
          </cell>
        </row>
        <row r="41564">
          <cell r="O41564" t="str">
            <v/>
          </cell>
        </row>
        <row r="41565">
          <cell r="O41565" t="str">
            <v/>
          </cell>
        </row>
        <row r="41566">
          <cell r="O41566" t="str">
            <v/>
          </cell>
        </row>
        <row r="41567">
          <cell r="O41567" t="str">
            <v/>
          </cell>
        </row>
        <row r="41568">
          <cell r="O41568" t="str">
            <v/>
          </cell>
        </row>
        <row r="41569">
          <cell r="O41569" t="str">
            <v/>
          </cell>
        </row>
        <row r="41570">
          <cell r="O41570" t="str">
            <v/>
          </cell>
        </row>
        <row r="41571">
          <cell r="O41571" t="str">
            <v/>
          </cell>
        </row>
        <row r="41572">
          <cell r="O41572" t="str">
            <v/>
          </cell>
        </row>
        <row r="41573">
          <cell r="O41573" t="str">
            <v/>
          </cell>
        </row>
        <row r="41574">
          <cell r="O41574" t="str">
            <v/>
          </cell>
        </row>
        <row r="41575">
          <cell r="O41575" t="str">
            <v/>
          </cell>
        </row>
        <row r="41576">
          <cell r="O41576" t="str">
            <v/>
          </cell>
        </row>
        <row r="41577">
          <cell r="O41577" t="str">
            <v/>
          </cell>
        </row>
        <row r="41578">
          <cell r="O41578" t="str">
            <v/>
          </cell>
        </row>
        <row r="41579">
          <cell r="O41579" t="str">
            <v/>
          </cell>
        </row>
        <row r="41580">
          <cell r="O41580" t="str">
            <v/>
          </cell>
        </row>
        <row r="41581">
          <cell r="O41581" t="str">
            <v/>
          </cell>
        </row>
        <row r="41582">
          <cell r="O41582" t="str">
            <v/>
          </cell>
        </row>
        <row r="41583">
          <cell r="O41583" t="str">
            <v/>
          </cell>
        </row>
        <row r="41584">
          <cell r="O41584" t="str">
            <v/>
          </cell>
        </row>
        <row r="41585">
          <cell r="O41585" t="str">
            <v/>
          </cell>
        </row>
        <row r="41586">
          <cell r="O41586" t="str">
            <v/>
          </cell>
        </row>
        <row r="41587">
          <cell r="O41587" t="str">
            <v/>
          </cell>
        </row>
        <row r="41588">
          <cell r="O41588" t="str">
            <v/>
          </cell>
        </row>
        <row r="41589">
          <cell r="O41589" t="str">
            <v/>
          </cell>
        </row>
        <row r="41590">
          <cell r="O41590" t="str">
            <v/>
          </cell>
        </row>
        <row r="41591">
          <cell r="O41591" t="str">
            <v/>
          </cell>
        </row>
        <row r="41592">
          <cell r="O41592" t="str">
            <v/>
          </cell>
        </row>
        <row r="41593">
          <cell r="O41593" t="str">
            <v/>
          </cell>
        </row>
        <row r="41594">
          <cell r="O41594" t="str">
            <v/>
          </cell>
        </row>
        <row r="41595">
          <cell r="O41595" t="str">
            <v/>
          </cell>
        </row>
        <row r="41596">
          <cell r="O41596" t="str">
            <v/>
          </cell>
        </row>
        <row r="41597">
          <cell r="O41597" t="str">
            <v/>
          </cell>
        </row>
        <row r="41598">
          <cell r="O41598" t="str">
            <v/>
          </cell>
        </row>
        <row r="41599">
          <cell r="O41599" t="str">
            <v/>
          </cell>
        </row>
        <row r="41600">
          <cell r="O41600" t="str">
            <v/>
          </cell>
        </row>
        <row r="41601">
          <cell r="O41601" t="str">
            <v/>
          </cell>
        </row>
        <row r="41602">
          <cell r="O41602" t="str">
            <v/>
          </cell>
        </row>
        <row r="41603">
          <cell r="O41603" t="str">
            <v/>
          </cell>
        </row>
        <row r="41604">
          <cell r="O41604" t="str">
            <v/>
          </cell>
        </row>
        <row r="41605">
          <cell r="O41605" t="str">
            <v/>
          </cell>
        </row>
        <row r="41606">
          <cell r="O41606" t="str">
            <v/>
          </cell>
        </row>
        <row r="41607">
          <cell r="O41607" t="str">
            <v/>
          </cell>
        </row>
        <row r="41608">
          <cell r="O41608" t="str">
            <v/>
          </cell>
        </row>
        <row r="41609">
          <cell r="O41609" t="str">
            <v/>
          </cell>
        </row>
        <row r="41610">
          <cell r="O41610" t="str">
            <v/>
          </cell>
        </row>
        <row r="41611">
          <cell r="O41611" t="str">
            <v/>
          </cell>
        </row>
        <row r="41612">
          <cell r="O41612" t="str">
            <v/>
          </cell>
        </row>
        <row r="41613">
          <cell r="O41613" t="str">
            <v/>
          </cell>
        </row>
        <row r="41614">
          <cell r="O41614" t="str">
            <v/>
          </cell>
        </row>
        <row r="41615">
          <cell r="O41615" t="str">
            <v/>
          </cell>
        </row>
        <row r="41616">
          <cell r="O41616" t="str">
            <v/>
          </cell>
        </row>
        <row r="41617">
          <cell r="O41617" t="str">
            <v/>
          </cell>
        </row>
        <row r="41618">
          <cell r="O41618" t="str">
            <v/>
          </cell>
        </row>
        <row r="41619">
          <cell r="O41619" t="str">
            <v/>
          </cell>
        </row>
        <row r="41620">
          <cell r="O41620" t="str">
            <v/>
          </cell>
        </row>
        <row r="41621">
          <cell r="O41621" t="str">
            <v/>
          </cell>
        </row>
        <row r="41622">
          <cell r="O41622" t="str">
            <v/>
          </cell>
        </row>
        <row r="41623">
          <cell r="O41623" t="str">
            <v/>
          </cell>
        </row>
        <row r="41624">
          <cell r="O41624" t="str">
            <v/>
          </cell>
        </row>
        <row r="41625">
          <cell r="O41625" t="str">
            <v/>
          </cell>
        </row>
        <row r="41626">
          <cell r="O41626" t="str">
            <v/>
          </cell>
        </row>
        <row r="41627">
          <cell r="O41627" t="str">
            <v/>
          </cell>
        </row>
        <row r="41628">
          <cell r="O41628" t="str">
            <v/>
          </cell>
        </row>
        <row r="41629">
          <cell r="O41629" t="str">
            <v/>
          </cell>
        </row>
        <row r="41630">
          <cell r="O41630" t="str">
            <v/>
          </cell>
        </row>
        <row r="41631">
          <cell r="O41631" t="str">
            <v/>
          </cell>
        </row>
        <row r="41632">
          <cell r="O41632" t="str">
            <v/>
          </cell>
        </row>
        <row r="41633">
          <cell r="O41633" t="str">
            <v/>
          </cell>
        </row>
        <row r="41634">
          <cell r="O41634" t="str">
            <v/>
          </cell>
        </row>
        <row r="41635">
          <cell r="O41635" t="str">
            <v/>
          </cell>
        </row>
        <row r="41636">
          <cell r="O41636" t="str">
            <v/>
          </cell>
        </row>
        <row r="41637">
          <cell r="O41637" t="str">
            <v/>
          </cell>
        </row>
        <row r="41638">
          <cell r="O41638" t="str">
            <v/>
          </cell>
        </row>
        <row r="41639">
          <cell r="O41639" t="str">
            <v/>
          </cell>
        </row>
        <row r="41640">
          <cell r="O41640" t="str">
            <v/>
          </cell>
        </row>
        <row r="41641">
          <cell r="O41641" t="str">
            <v/>
          </cell>
        </row>
        <row r="41642">
          <cell r="O41642" t="str">
            <v/>
          </cell>
        </row>
        <row r="41643">
          <cell r="O41643" t="str">
            <v/>
          </cell>
        </row>
        <row r="41644">
          <cell r="O41644" t="str">
            <v/>
          </cell>
        </row>
        <row r="41645">
          <cell r="O41645" t="str">
            <v/>
          </cell>
        </row>
        <row r="41646">
          <cell r="O41646" t="str">
            <v/>
          </cell>
        </row>
        <row r="41647">
          <cell r="O41647" t="str">
            <v/>
          </cell>
        </row>
        <row r="41648">
          <cell r="O41648" t="str">
            <v/>
          </cell>
        </row>
        <row r="41649">
          <cell r="O41649" t="str">
            <v/>
          </cell>
        </row>
        <row r="41650">
          <cell r="O41650" t="str">
            <v/>
          </cell>
        </row>
        <row r="41651">
          <cell r="O41651" t="str">
            <v/>
          </cell>
        </row>
        <row r="41652">
          <cell r="O41652" t="str">
            <v/>
          </cell>
        </row>
        <row r="41653">
          <cell r="O41653" t="str">
            <v/>
          </cell>
        </row>
        <row r="41654">
          <cell r="O41654" t="str">
            <v/>
          </cell>
        </row>
        <row r="41655">
          <cell r="O41655" t="str">
            <v/>
          </cell>
        </row>
        <row r="41656">
          <cell r="O41656" t="str">
            <v/>
          </cell>
        </row>
        <row r="41657">
          <cell r="O41657" t="str">
            <v/>
          </cell>
        </row>
        <row r="41658">
          <cell r="O41658" t="str">
            <v/>
          </cell>
        </row>
        <row r="41659">
          <cell r="O41659" t="str">
            <v/>
          </cell>
        </row>
        <row r="41660">
          <cell r="O41660" t="str">
            <v/>
          </cell>
        </row>
        <row r="41661">
          <cell r="O41661" t="str">
            <v/>
          </cell>
        </row>
        <row r="41662">
          <cell r="O41662" t="str">
            <v/>
          </cell>
        </row>
        <row r="41663">
          <cell r="O41663" t="str">
            <v/>
          </cell>
        </row>
        <row r="41664">
          <cell r="O41664" t="str">
            <v/>
          </cell>
        </row>
        <row r="41665">
          <cell r="O41665" t="str">
            <v/>
          </cell>
        </row>
        <row r="41666">
          <cell r="O41666" t="str">
            <v/>
          </cell>
        </row>
        <row r="41667">
          <cell r="O41667" t="str">
            <v/>
          </cell>
        </row>
        <row r="41668">
          <cell r="O41668" t="str">
            <v/>
          </cell>
        </row>
        <row r="41669">
          <cell r="O41669" t="str">
            <v/>
          </cell>
        </row>
        <row r="41670">
          <cell r="O41670" t="str">
            <v/>
          </cell>
        </row>
        <row r="41671">
          <cell r="O41671" t="str">
            <v/>
          </cell>
        </row>
        <row r="41672">
          <cell r="O41672" t="str">
            <v/>
          </cell>
        </row>
        <row r="41673">
          <cell r="O41673" t="str">
            <v/>
          </cell>
        </row>
        <row r="41674">
          <cell r="O41674" t="str">
            <v/>
          </cell>
        </row>
        <row r="41675">
          <cell r="O41675" t="str">
            <v/>
          </cell>
        </row>
        <row r="41676">
          <cell r="O41676" t="str">
            <v/>
          </cell>
        </row>
        <row r="41677">
          <cell r="O41677" t="str">
            <v/>
          </cell>
        </row>
        <row r="41678">
          <cell r="O41678" t="str">
            <v/>
          </cell>
        </row>
        <row r="41679">
          <cell r="O41679" t="str">
            <v/>
          </cell>
        </row>
        <row r="41680">
          <cell r="O41680" t="str">
            <v/>
          </cell>
        </row>
        <row r="41681">
          <cell r="O41681" t="str">
            <v/>
          </cell>
        </row>
        <row r="41682">
          <cell r="O41682" t="str">
            <v/>
          </cell>
        </row>
        <row r="41683">
          <cell r="O41683" t="str">
            <v/>
          </cell>
        </row>
        <row r="41684">
          <cell r="O41684" t="str">
            <v/>
          </cell>
        </row>
        <row r="41685">
          <cell r="O41685" t="str">
            <v/>
          </cell>
        </row>
        <row r="41686">
          <cell r="O41686" t="str">
            <v/>
          </cell>
        </row>
        <row r="41687">
          <cell r="O41687" t="str">
            <v/>
          </cell>
        </row>
        <row r="41688">
          <cell r="O41688" t="str">
            <v/>
          </cell>
        </row>
        <row r="41689">
          <cell r="O41689" t="str">
            <v/>
          </cell>
        </row>
        <row r="41690">
          <cell r="O41690" t="str">
            <v/>
          </cell>
        </row>
        <row r="41691">
          <cell r="O41691" t="str">
            <v/>
          </cell>
        </row>
        <row r="41692">
          <cell r="O41692" t="str">
            <v/>
          </cell>
        </row>
        <row r="41693">
          <cell r="O41693" t="str">
            <v/>
          </cell>
        </row>
        <row r="41694">
          <cell r="O41694" t="str">
            <v/>
          </cell>
        </row>
        <row r="41695">
          <cell r="O41695" t="str">
            <v/>
          </cell>
        </row>
        <row r="41696">
          <cell r="O41696" t="str">
            <v/>
          </cell>
        </row>
        <row r="41697">
          <cell r="O41697" t="str">
            <v/>
          </cell>
        </row>
        <row r="41698">
          <cell r="O41698" t="str">
            <v/>
          </cell>
        </row>
        <row r="41699">
          <cell r="O41699" t="str">
            <v/>
          </cell>
        </row>
        <row r="41700">
          <cell r="O41700" t="str">
            <v/>
          </cell>
        </row>
        <row r="41701">
          <cell r="O41701" t="str">
            <v/>
          </cell>
        </row>
        <row r="41702">
          <cell r="O41702" t="str">
            <v/>
          </cell>
        </row>
        <row r="41703">
          <cell r="O41703" t="str">
            <v/>
          </cell>
        </row>
        <row r="41704">
          <cell r="O41704" t="str">
            <v/>
          </cell>
        </row>
        <row r="41705">
          <cell r="O41705" t="str">
            <v/>
          </cell>
        </row>
        <row r="41706">
          <cell r="O41706" t="str">
            <v/>
          </cell>
        </row>
        <row r="41707">
          <cell r="O41707" t="str">
            <v/>
          </cell>
        </row>
        <row r="41708">
          <cell r="O41708" t="str">
            <v/>
          </cell>
        </row>
        <row r="41709">
          <cell r="O41709" t="str">
            <v/>
          </cell>
        </row>
        <row r="41710">
          <cell r="O41710" t="str">
            <v/>
          </cell>
        </row>
        <row r="41711">
          <cell r="O41711" t="str">
            <v/>
          </cell>
        </row>
        <row r="41712">
          <cell r="O41712" t="str">
            <v/>
          </cell>
        </row>
        <row r="41713">
          <cell r="O41713" t="str">
            <v/>
          </cell>
        </row>
        <row r="41714">
          <cell r="O41714" t="str">
            <v/>
          </cell>
        </row>
        <row r="41715">
          <cell r="O41715" t="str">
            <v/>
          </cell>
        </row>
        <row r="41716">
          <cell r="O41716" t="str">
            <v/>
          </cell>
        </row>
        <row r="41717">
          <cell r="O41717" t="str">
            <v/>
          </cell>
        </row>
        <row r="41718">
          <cell r="O41718" t="str">
            <v/>
          </cell>
        </row>
        <row r="41719">
          <cell r="O41719" t="str">
            <v/>
          </cell>
        </row>
        <row r="41720">
          <cell r="O41720" t="str">
            <v/>
          </cell>
        </row>
        <row r="41721">
          <cell r="O41721" t="str">
            <v/>
          </cell>
        </row>
        <row r="41722">
          <cell r="O41722" t="str">
            <v/>
          </cell>
        </row>
        <row r="41723">
          <cell r="O41723" t="str">
            <v/>
          </cell>
        </row>
        <row r="41724">
          <cell r="O41724" t="str">
            <v/>
          </cell>
        </row>
        <row r="41725">
          <cell r="O41725" t="str">
            <v/>
          </cell>
        </row>
        <row r="41726">
          <cell r="O41726" t="str">
            <v/>
          </cell>
        </row>
        <row r="41727">
          <cell r="O41727" t="str">
            <v/>
          </cell>
        </row>
        <row r="41728">
          <cell r="O41728" t="str">
            <v/>
          </cell>
        </row>
        <row r="41729">
          <cell r="O41729" t="str">
            <v/>
          </cell>
        </row>
        <row r="41730">
          <cell r="O41730" t="str">
            <v/>
          </cell>
        </row>
        <row r="41731">
          <cell r="O41731" t="str">
            <v/>
          </cell>
        </row>
        <row r="41732">
          <cell r="O41732" t="str">
            <v/>
          </cell>
        </row>
        <row r="41733">
          <cell r="O41733" t="str">
            <v/>
          </cell>
        </row>
        <row r="41734">
          <cell r="O41734" t="str">
            <v/>
          </cell>
        </row>
        <row r="41735">
          <cell r="O41735" t="str">
            <v/>
          </cell>
        </row>
        <row r="41736">
          <cell r="O41736" t="str">
            <v/>
          </cell>
        </row>
        <row r="41737">
          <cell r="O41737" t="str">
            <v/>
          </cell>
        </row>
        <row r="41738">
          <cell r="O41738" t="str">
            <v/>
          </cell>
        </row>
        <row r="41739">
          <cell r="O41739" t="str">
            <v/>
          </cell>
        </row>
        <row r="41740">
          <cell r="O41740" t="str">
            <v/>
          </cell>
        </row>
        <row r="41741">
          <cell r="O41741" t="str">
            <v/>
          </cell>
        </row>
        <row r="41742">
          <cell r="O41742" t="str">
            <v/>
          </cell>
        </row>
        <row r="41743">
          <cell r="O41743" t="str">
            <v/>
          </cell>
        </row>
        <row r="41744">
          <cell r="O41744" t="str">
            <v/>
          </cell>
        </row>
        <row r="41745">
          <cell r="O41745" t="str">
            <v/>
          </cell>
        </row>
        <row r="41746">
          <cell r="O41746" t="str">
            <v/>
          </cell>
        </row>
        <row r="41747">
          <cell r="O41747" t="str">
            <v/>
          </cell>
        </row>
        <row r="41748">
          <cell r="O41748" t="str">
            <v/>
          </cell>
        </row>
        <row r="41749">
          <cell r="O41749" t="str">
            <v/>
          </cell>
        </row>
        <row r="41750">
          <cell r="O41750" t="str">
            <v/>
          </cell>
        </row>
        <row r="41751">
          <cell r="O41751" t="str">
            <v/>
          </cell>
        </row>
        <row r="41752">
          <cell r="O41752" t="str">
            <v/>
          </cell>
        </row>
        <row r="41753">
          <cell r="O41753" t="str">
            <v/>
          </cell>
        </row>
        <row r="41754">
          <cell r="O41754" t="str">
            <v/>
          </cell>
        </row>
        <row r="41755">
          <cell r="O41755" t="str">
            <v/>
          </cell>
        </row>
        <row r="41756">
          <cell r="O41756" t="str">
            <v/>
          </cell>
        </row>
        <row r="41757">
          <cell r="O41757" t="str">
            <v/>
          </cell>
        </row>
        <row r="41758">
          <cell r="O41758" t="str">
            <v/>
          </cell>
        </row>
        <row r="41759">
          <cell r="O41759" t="str">
            <v/>
          </cell>
        </row>
        <row r="41760">
          <cell r="O41760" t="str">
            <v/>
          </cell>
        </row>
        <row r="41761">
          <cell r="O41761" t="str">
            <v/>
          </cell>
        </row>
        <row r="41762">
          <cell r="O41762" t="str">
            <v/>
          </cell>
        </row>
        <row r="41763">
          <cell r="O41763" t="str">
            <v/>
          </cell>
        </row>
        <row r="41764">
          <cell r="O41764" t="str">
            <v/>
          </cell>
        </row>
        <row r="41765">
          <cell r="O41765" t="str">
            <v/>
          </cell>
        </row>
        <row r="41766">
          <cell r="O41766" t="str">
            <v/>
          </cell>
        </row>
        <row r="41767">
          <cell r="O41767" t="str">
            <v/>
          </cell>
        </row>
        <row r="41768">
          <cell r="O41768" t="str">
            <v/>
          </cell>
        </row>
        <row r="41769">
          <cell r="O41769" t="str">
            <v/>
          </cell>
        </row>
        <row r="41770">
          <cell r="O41770" t="str">
            <v/>
          </cell>
        </row>
        <row r="41771">
          <cell r="O41771" t="str">
            <v/>
          </cell>
        </row>
        <row r="41772">
          <cell r="O41772" t="str">
            <v/>
          </cell>
        </row>
        <row r="41773">
          <cell r="O41773" t="str">
            <v/>
          </cell>
        </row>
        <row r="41774">
          <cell r="O41774" t="str">
            <v/>
          </cell>
        </row>
        <row r="41775">
          <cell r="O41775" t="str">
            <v/>
          </cell>
        </row>
        <row r="41776">
          <cell r="O41776" t="str">
            <v/>
          </cell>
        </row>
        <row r="41777">
          <cell r="O41777" t="str">
            <v/>
          </cell>
        </row>
        <row r="41778">
          <cell r="O41778" t="str">
            <v/>
          </cell>
        </row>
        <row r="41779">
          <cell r="O41779" t="str">
            <v/>
          </cell>
        </row>
        <row r="41780">
          <cell r="O41780" t="str">
            <v/>
          </cell>
        </row>
        <row r="41781">
          <cell r="O41781" t="str">
            <v/>
          </cell>
        </row>
        <row r="41782">
          <cell r="O41782" t="str">
            <v/>
          </cell>
        </row>
        <row r="41783">
          <cell r="O41783" t="str">
            <v/>
          </cell>
        </row>
        <row r="41784">
          <cell r="O41784" t="str">
            <v/>
          </cell>
        </row>
        <row r="41785">
          <cell r="O41785" t="str">
            <v/>
          </cell>
        </row>
        <row r="41786">
          <cell r="O41786" t="str">
            <v/>
          </cell>
        </row>
        <row r="41787">
          <cell r="O41787" t="str">
            <v/>
          </cell>
        </row>
        <row r="41788">
          <cell r="O41788" t="str">
            <v/>
          </cell>
        </row>
        <row r="41789">
          <cell r="O41789" t="str">
            <v/>
          </cell>
        </row>
        <row r="41790">
          <cell r="O41790" t="str">
            <v/>
          </cell>
        </row>
        <row r="41791">
          <cell r="O41791" t="str">
            <v/>
          </cell>
        </row>
        <row r="41792">
          <cell r="O41792" t="str">
            <v/>
          </cell>
        </row>
        <row r="41793">
          <cell r="O41793" t="str">
            <v/>
          </cell>
        </row>
        <row r="41794">
          <cell r="O41794" t="str">
            <v/>
          </cell>
        </row>
        <row r="41795">
          <cell r="O41795" t="str">
            <v/>
          </cell>
        </row>
        <row r="41796">
          <cell r="O41796" t="str">
            <v/>
          </cell>
        </row>
        <row r="41797">
          <cell r="O41797" t="str">
            <v/>
          </cell>
        </row>
        <row r="41798">
          <cell r="O41798" t="str">
            <v/>
          </cell>
        </row>
        <row r="41799">
          <cell r="O41799" t="str">
            <v/>
          </cell>
        </row>
        <row r="41800">
          <cell r="O41800" t="str">
            <v/>
          </cell>
        </row>
        <row r="41801">
          <cell r="O41801" t="str">
            <v/>
          </cell>
        </row>
        <row r="41802">
          <cell r="O41802" t="str">
            <v/>
          </cell>
        </row>
        <row r="41803">
          <cell r="O41803" t="str">
            <v/>
          </cell>
        </row>
        <row r="41804">
          <cell r="O41804" t="str">
            <v/>
          </cell>
        </row>
        <row r="41805">
          <cell r="O41805" t="str">
            <v/>
          </cell>
        </row>
        <row r="41806">
          <cell r="O41806" t="str">
            <v/>
          </cell>
        </row>
        <row r="41807">
          <cell r="O41807" t="str">
            <v/>
          </cell>
        </row>
        <row r="41808">
          <cell r="O41808" t="str">
            <v/>
          </cell>
        </row>
        <row r="41809">
          <cell r="O41809" t="str">
            <v/>
          </cell>
        </row>
        <row r="41810">
          <cell r="O41810" t="str">
            <v/>
          </cell>
        </row>
        <row r="41811">
          <cell r="O41811" t="str">
            <v/>
          </cell>
        </row>
        <row r="41812">
          <cell r="O41812" t="str">
            <v/>
          </cell>
        </row>
        <row r="41813">
          <cell r="O41813" t="str">
            <v/>
          </cell>
        </row>
        <row r="41814">
          <cell r="O41814" t="str">
            <v/>
          </cell>
        </row>
        <row r="41815">
          <cell r="O41815" t="str">
            <v/>
          </cell>
        </row>
        <row r="41816">
          <cell r="O41816" t="str">
            <v/>
          </cell>
        </row>
        <row r="41817">
          <cell r="O41817" t="str">
            <v/>
          </cell>
        </row>
        <row r="41818">
          <cell r="O41818" t="str">
            <v/>
          </cell>
        </row>
        <row r="41819">
          <cell r="O41819" t="str">
            <v/>
          </cell>
        </row>
        <row r="41820">
          <cell r="O41820" t="str">
            <v/>
          </cell>
        </row>
        <row r="41821">
          <cell r="O41821" t="str">
            <v/>
          </cell>
        </row>
        <row r="41822">
          <cell r="O41822" t="str">
            <v/>
          </cell>
        </row>
        <row r="41823">
          <cell r="O41823" t="str">
            <v/>
          </cell>
        </row>
        <row r="41824">
          <cell r="O41824" t="str">
            <v/>
          </cell>
        </row>
        <row r="41825">
          <cell r="O41825" t="str">
            <v/>
          </cell>
        </row>
        <row r="41826">
          <cell r="O41826" t="str">
            <v/>
          </cell>
        </row>
        <row r="41827">
          <cell r="O41827" t="str">
            <v/>
          </cell>
        </row>
        <row r="41828">
          <cell r="O41828" t="str">
            <v/>
          </cell>
        </row>
        <row r="41829">
          <cell r="O41829" t="str">
            <v/>
          </cell>
        </row>
        <row r="41830">
          <cell r="O41830" t="str">
            <v/>
          </cell>
        </row>
        <row r="41831">
          <cell r="O41831" t="str">
            <v/>
          </cell>
        </row>
        <row r="41832">
          <cell r="O41832" t="str">
            <v/>
          </cell>
        </row>
        <row r="41833">
          <cell r="O41833" t="str">
            <v/>
          </cell>
        </row>
        <row r="41834">
          <cell r="O41834" t="str">
            <v/>
          </cell>
        </row>
        <row r="41835">
          <cell r="O41835" t="str">
            <v/>
          </cell>
        </row>
        <row r="41836">
          <cell r="O41836" t="str">
            <v/>
          </cell>
        </row>
        <row r="41837">
          <cell r="O41837" t="str">
            <v/>
          </cell>
        </row>
        <row r="41838">
          <cell r="O41838" t="str">
            <v/>
          </cell>
        </row>
        <row r="41839">
          <cell r="O41839" t="str">
            <v/>
          </cell>
        </row>
        <row r="41840">
          <cell r="O41840" t="str">
            <v/>
          </cell>
        </row>
        <row r="41841">
          <cell r="O41841" t="str">
            <v/>
          </cell>
        </row>
        <row r="41842">
          <cell r="O41842" t="str">
            <v/>
          </cell>
        </row>
        <row r="41843">
          <cell r="O41843" t="str">
            <v/>
          </cell>
        </row>
        <row r="41844">
          <cell r="O41844" t="str">
            <v/>
          </cell>
        </row>
        <row r="41845">
          <cell r="O41845" t="str">
            <v/>
          </cell>
        </row>
        <row r="41846">
          <cell r="O41846" t="str">
            <v/>
          </cell>
        </row>
        <row r="41847">
          <cell r="O41847" t="str">
            <v/>
          </cell>
        </row>
        <row r="41848">
          <cell r="O41848" t="str">
            <v/>
          </cell>
        </row>
        <row r="41849">
          <cell r="O41849" t="str">
            <v/>
          </cell>
        </row>
        <row r="41850">
          <cell r="O41850" t="str">
            <v/>
          </cell>
        </row>
        <row r="41851">
          <cell r="O41851" t="str">
            <v/>
          </cell>
        </row>
        <row r="41852">
          <cell r="O41852" t="str">
            <v/>
          </cell>
        </row>
        <row r="41853">
          <cell r="O41853" t="str">
            <v/>
          </cell>
        </row>
        <row r="41854">
          <cell r="O41854" t="str">
            <v/>
          </cell>
        </row>
        <row r="41855">
          <cell r="O41855" t="str">
            <v/>
          </cell>
        </row>
        <row r="41856">
          <cell r="O41856" t="str">
            <v/>
          </cell>
        </row>
        <row r="41857">
          <cell r="O41857" t="str">
            <v/>
          </cell>
        </row>
        <row r="41858">
          <cell r="O41858" t="str">
            <v/>
          </cell>
        </row>
        <row r="41859">
          <cell r="O41859" t="str">
            <v/>
          </cell>
        </row>
        <row r="41860">
          <cell r="O41860" t="str">
            <v/>
          </cell>
        </row>
        <row r="41861">
          <cell r="O41861" t="str">
            <v/>
          </cell>
        </row>
        <row r="41862">
          <cell r="O41862" t="str">
            <v/>
          </cell>
        </row>
        <row r="41863">
          <cell r="O41863" t="str">
            <v/>
          </cell>
        </row>
        <row r="41864">
          <cell r="O41864" t="str">
            <v/>
          </cell>
        </row>
        <row r="41865">
          <cell r="O41865" t="str">
            <v/>
          </cell>
        </row>
        <row r="41866">
          <cell r="O41866" t="str">
            <v/>
          </cell>
        </row>
        <row r="41867">
          <cell r="O41867" t="str">
            <v/>
          </cell>
        </row>
        <row r="41868">
          <cell r="O41868" t="str">
            <v/>
          </cell>
        </row>
        <row r="41869">
          <cell r="O41869" t="str">
            <v/>
          </cell>
        </row>
        <row r="41870">
          <cell r="O41870" t="str">
            <v/>
          </cell>
        </row>
        <row r="41871">
          <cell r="O41871" t="str">
            <v/>
          </cell>
        </row>
        <row r="41872">
          <cell r="O41872" t="str">
            <v/>
          </cell>
        </row>
        <row r="41873">
          <cell r="O41873" t="str">
            <v/>
          </cell>
        </row>
        <row r="41874">
          <cell r="O41874" t="str">
            <v/>
          </cell>
        </row>
        <row r="41875">
          <cell r="O41875" t="str">
            <v/>
          </cell>
        </row>
        <row r="41876">
          <cell r="O41876" t="str">
            <v/>
          </cell>
        </row>
        <row r="41877">
          <cell r="O41877" t="str">
            <v/>
          </cell>
        </row>
        <row r="41878">
          <cell r="O41878" t="str">
            <v/>
          </cell>
        </row>
        <row r="41879">
          <cell r="O41879" t="str">
            <v/>
          </cell>
        </row>
        <row r="41880">
          <cell r="O41880" t="str">
            <v/>
          </cell>
        </row>
        <row r="41881">
          <cell r="O41881" t="str">
            <v/>
          </cell>
        </row>
        <row r="41882">
          <cell r="O41882" t="str">
            <v/>
          </cell>
        </row>
        <row r="41883">
          <cell r="O41883" t="str">
            <v/>
          </cell>
        </row>
        <row r="41884">
          <cell r="O41884" t="str">
            <v/>
          </cell>
        </row>
        <row r="41885">
          <cell r="O41885" t="str">
            <v/>
          </cell>
        </row>
        <row r="41886">
          <cell r="O41886" t="str">
            <v/>
          </cell>
        </row>
        <row r="41887">
          <cell r="O41887" t="str">
            <v/>
          </cell>
        </row>
        <row r="41888">
          <cell r="O41888" t="str">
            <v/>
          </cell>
        </row>
        <row r="41889">
          <cell r="O41889" t="str">
            <v/>
          </cell>
        </row>
        <row r="41890">
          <cell r="O41890" t="str">
            <v/>
          </cell>
        </row>
        <row r="41891">
          <cell r="O41891" t="str">
            <v/>
          </cell>
        </row>
        <row r="41892">
          <cell r="O41892" t="str">
            <v/>
          </cell>
        </row>
        <row r="41893">
          <cell r="O41893" t="str">
            <v/>
          </cell>
        </row>
        <row r="41894">
          <cell r="O41894" t="str">
            <v/>
          </cell>
        </row>
        <row r="41895">
          <cell r="O41895" t="str">
            <v/>
          </cell>
        </row>
        <row r="41896">
          <cell r="O41896" t="str">
            <v/>
          </cell>
        </row>
        <row r="41897">
          <cell r="O41897" t="str">
            <v/>
          </cell>
        </row>
        <row r="41898">
          <cell r="O41898" t="str">
            <v/>
          </cell>
        </row>
        <row r="41899">
          <cell r="O41899" t="str">
            <v/>
          </cell>
        </row>
        <row r="41900">
          <cell r="O41900" t="str">
            <v/>
          </cell>
        </row>
        <row r="41901">
          <cell r="O41901" t="str">
            <v/>
          </cell>
        </row>
        <row r="41902">
          <cell r="O41902" t="str">
            <v/>
          </cell>
        </row>
        <row r="41903">
          <cell r="O41903" t="str">
            <v/>
          </cell>
        </row>
        <row r="41904">
          <cell r="O41904" t="str">
            <v/>
          </cell>
        </row>
        <row r="41905">
          <cell r="O41905" t="str">
            <v/>
          </cell>
        </row>
        <row r="41906">
          <cell r="O41906" t="str">
            <v/>
          </cell>
        </row>
        <row r="41907">
          <cell r="O41907" t="str">
            <v/>
          </cell>
        </row>
        <row r="41908">
          <cell r="O41908" t="str">
            <v/>
          </cell>
        </row>
        <row r="41909">
          <cell r="O41909" t="str">
            <v/>
          </cell>
        </row>
        <row r="41910">
          <cell r="O41910" t="str">
            <v/>
          </cell>
        </row>
        <row r="41911">
          <cell r="O41911" t="str">
            <v/>
          </cell>
        </row>
        <row r="41912">
          <cell r="O41912" t="str">
            <v/>
          </cell>
        </row>
        <row r="41913">
          <cell r="O41913" t="str">
            <v/>
          </cell>
        </row>
        <row r="41914">
          <cell r="O41914" t="str">
            <v/>
          </cell>
        </row>
        <row r="41915">
          <cell r="O41915" t="str">
            <v/>
          </cell>
        </row>
        <row r="41916">
          <cell r="O41916" t="str">
            <v/>
          </cell>
        </row>
        <row r="41917">
          <cell r="O41917" t="str">
            <v/>
          </cell>
        </row>
        <row r="41918">
          <cell r="O41918" t="str">
            <v/>
          </cell>
        </row>
        <row r="41919">
          <cell r="O41919" t="str">
            <v/>
          </cell>
        </row>
        <row r="41920">
          <cell r="O41920" t="str">
            <v/>
          </cell>
        </row>
        <row r="41921">
          <cell r="O41921" t="str">
            <v/>
          </cell>
        </row>
        <row r="41922">
          <cell r="O41922" t="str">
            <v/>
          </cell>
        </row>
        <row r="41923">
          <cell r="O41923" t="str">
            <v/>
          </cell>
        </row>
        <row r="41924">
          <cell r="O41924" t="str">
            <v/>
          </cell>
        </row>
        <row r="41925">
          <cell r="O41925" t="str">
            <v/>
          </cell>
        </row>
        <row r="41926">
          <cell r="O41926" t="str">
            <v/>
          </cell>
        </row>
        <row r="41927">
          <cell r="O41927" t="str">
            <v/>
          </cell>
        </row>
        <row r="41928">
          <cell r="O41928" t="str">
            <v/>
          </cell>
        </row>
        <row r="41929">
          <cell r="O41929" t="str">
            <v/>
          </cell>
        </row>
        <row r="41930">
          <cell r="O41930" t="str">
            <v/>
          </cell>
        </row>
        <row r="41931">
          <cell r="O41931" t="str">
            <v/>
          </cell>
        </row>
        <row r="41932">
          <cell r="O41932" t="str">
            <v/>
          </cell>
        </row>
        <row r="41933">
          <cell r="O41933" t="str">
            <v/>
          </cell>
        </row>
        <row r="41934">
          <cell r="O41934" t="str">
            <v/>
          </cell>
        </row>
        <row r="41935">
          <cell r="O41935" t="str">
            <v/>
          </cell>
        </row>
        <row r="41936">
          <cell r="O41936" t="str">
            <v/>
          </cell>
        </row>
        <row r="41937">
          <cell r="O41937" t="str">
            <v/>
          </cell>
        </row>
        <row r="41938">
          <cell r="O41938" t="str">
            <v/>
          </cell>
        </row>
        <row r="41939">
          <cell r="O41939" t="str">
            <v/>
          </cell>
        </row>
        <row r="41940">
          <cell r="O41940" t="str">
            <v/>
          </cell>
        </row>
        <row r="41941">
          <cell r="O41941" t="str">
            <v/>
          </cell>
        </row>
        <row r="41942">
          <cell r="O41942" t="str">
            <v/>
          </cell>
        </row>
        <row r="41943">
          <cell r="O41943" t="str">
            <v/>
          </cell>
        </row>
        <row r="41944">
          <cell r="O41944" t="str">
            <v/>
          </cell>
        </row>
        <row r="41945">
          <cell r="O41945" t="str">
            <v/>
          </cell>
        </row>
        <row r="41946">
          <cell r="O41946" t="str">
            <v/>
          </cell>
        </row>
        <row r="41947">
          <cell r="O41947" t="str">
            <v/>
          </cell>
        </row>
        <row r="41948">
          <cell r="O41948" t="str">
            <v/>
          </cell>
        </row>
        <row r="41949">
          <cell r="O41949" t="str">
            <v/>
          </cell>
        </row>
        <row r="41950">
          <cell r="O41950" t="str">
            <v/>
          </cell>
        </row>
        <row r="41951">
          <cell r="O41951" t="str">
            <v/>
          </cell>
        </row>
        <row r="41952">
          <cell r="O41952" t="str">
            <v/>
          </cell>
        </row>
        <row r="41953">
          <cell r="O41953" t="str">
            <v/>
          </cell>
        </row>
        <row r="41954">
          <cell r="O41954" t="str">
            <v/>
          </cell>
        </row>
        <row r="41955">
          <cell r="O41955" t="str">
            <v/>
          </cell>
        </row>
        <row r="41956">
          <cell r="O41956" t="str">
            <v/>
          </cell>
        </row>
        <row r="41957">
          <cell r="O41957" t="str">
            <v/>
          </cell>
        </row>
        <row r="41958">
          <cell r="O41958" t="str">
            <v/>
          </cell>
        </row>
        <row r="41959">
          <cell r="O41959" t="str">
            <v/>
          </cell>
        </row>
        <row r="41960">
          <cell r="O41960" t="str">
            <v/>
          </cell>
        </row>
        <row r="41961">
          <cell r="O41961" t="str">
            <v/>
          </cell>
        </row>
        <row r="41962">
          <cell r="O41962" t="str">
            <v/>
          </cell>
        </row>
        <row r="41963">
          <cell r="O41963" t="str">
            <v/>
          </cell>
        </row>
        <row r="41964">
          <cell r="O41964" t="str">
            <v/>
          </cell>
        </row>
        <row r="41965">
          <cell r="O41965" t="str">
            <v/>
          </cell>
        </row>
        <row r="41966">
          <cell r="O41966" t="str">
            <v/>
          </cell>
        </row>
        <row r="41967">
          <cell r="O41967" t="str">
            <v/>
          </cell>
        </row>
        <row r="41968">
          <cell r="O41968" t="str">
            <v/>
          </cell>
        </row>
        <row r="41969">
          <cell r="O41969" t="str">
            <v/>
          </cell>
        </row>
        <row r="41970">
          <cell r="O41970" t="str">
            <v/>
          </cell>
        </row>
        <row r="41971">
          <cell r="O41971" t="str">
            <v/>
          </cell>
        </row>
        <row r="41972">
          <cell r="O41972" t="str">
            <v/>
          </cell>
        </row>
        <row r="41973">
          <cell r="O41973" t="str">
            <v/>
          </cell>
        </row>
        <row r="41974">
          <cell r="O41974" t="str">
            <v/>
          </cell>
        </row>
        <row r="41975">
          <cell r="O41975" t="str">
            <v/>
          </cell>
        </row>
        <row r="41976">
          <cell r="O41976" t="str">
            <v/>
          </cell>
        </row>
        <row r="41977">
          <cell r="O41977" t="str">
            <v/>
          </cell>
        </row>
        <row r="41978">
          <cell r="O41978" t="str">
            <v/>
          </cell>
        </row>
        <row r="41979">
          <cell r="O41979" t="str">
            <v/>
          </cell>
        </row>
        <row r="41980">
          <cell r="O41980" t="str">
            <v/>
          </cell>
        </row>
        <row r="41981">
          <cell r="O41981" t="str">
            <v/>
          </cell>
        </row>
        <row r="41982">
          <cell r="O41982" t="str">
            <v/>
          </cell>
        </row>
        <row r="41983">
          <cell r="O41983" t="str">
            <v/>
          </cell>
        </row>
        <row r="41984">
          <cell r="O41984" t="str">
            <v/>
          </cell>
        </row>
        <row r="41985">
          <cell r="O41985" t="str">
            <v/>
          </cell>
        </row>
        <row r="41986">
          <cell r="O41986" t="str">
            <v/>
          </cell>
        </row>
        <row r="41987">
          <cell r="O41987" t="str">
            <v/>
          </cell>
        </row>
        <row r="41988">
          <cell r="O41988" t="str">
            <v/>
          </cell>
        </row>
        <row r="41989">
          <cell r="O41989" t="str">
            <v/>
          </cell>
        </row>
        <row r="41990">
          <cell r="O41990" t="str">
            <v/>
          </cell>
        </row>
        <row r="41991">
          <cell r="O41991" t="str">
            <v/>
          </cell>
        </row>
        <row r="41992">
          <cell r="O41992" t="str">
            <v/>
          </cell>
        </row>
        <row r="41993">
          <cell r="O41993" t="str">
            <v/>
          </cell>
        </row>
        <row r="41994">
          <cell r="O41994" t="str">
            <v/>
          </cell>
        </row>
        <row r="41995">
          <cell r="O41995" t="str">
            <v/>
          </cell>
        </row>
        <row r="41996">
          <cell r="O41996" t="str">
            <v/>
          </cell>
        </row>
        <row r="41997">
          <cell r="O41997" t="str">
            <v/>
          </cell>
        </row>
        <row r="41998">
          <cell r="O41998" t="str">
            <v/>
          </cell>
        </row>
        <row r="41999">
          <cell r="O41999" t="str">
            <v/>
          </cell>
        </row>
        <row r="42000">
          <cell r="O42000" t="str">
            <v/>
          </cell>
        </row>
        <row r="42001">
          <cell r="O42001" t="str">
            <v/>
          </cell>
        </row>
        <row r="42002">
          <cell r="O42002" t="str">
            <v/>
          </cell>
        </row>
        <row r="42003">
          <cell r="O42003" t="str">
            <v/>
          </cell>
        </row>
        <row r="42004">
          <cell r="O42004" t="str">
            <v/>
          </cell>
        </row>
        <row r="42005">
          <cell r="O42005" t="str">
            <v/>
          </cell>
        </row>
        <row r="42006">
          <cell r="O42006" t="str">
            <v/>
          </cell>
        </row>
        <row r="42007">
          <cell r="O42007" t="str">
            <v/>
          </cell>
        </row>
        <row r="42008">
          <cell r="O42008" t="str">
            <v/>
          </cell>
        </row>
        <row r="42009">
          <cell r="O42009" t="str">
            <v/>
          </cell>
        </row>
        <row r="42010">
          <cell r="O42010" t="str">
            <v/>
          </cell>
        </row>
        <row r="42011">
          <cell r="O42011" t="str">
            <v/>
          </cell>
        </row>
        <row r="42012">
          <cell r="O42012" t="str">
            <v/>
          </cell>
        </row>
        <row r="42013">
          <cell r="O42013" t="str">
            <v/>
          </cell>
        </row>
        <row r="42014">
          <cell r="O42014" t="str">
            <v/>
          </cell>
        </row>
        <row r="42015">
          <cell r="O42015" t="str">
            <v/>
          </cell>
        </row>
        <row r="42016">
          <cell r="O42016" t="str">
            <v/>
          </cell>
        </row>
        <row r="42017">
          <cell r="O42017" t="str">
            <v/>
          </cell>
        </row>
        <row r="42018">
          <cell r="O42018" t="str">
            <v/>
          </cell>
        </row>
        <row r="42019">
          <cell r="O42019" t="str">
            <v/>
          </cell>
        </row>
        <row r="42020">
          <cell r="O42020" t="str">
            <v/>
          </cell>
        </row>
        <row r="42021">
          <cell r="O42021" t="str">
            <v/>
          </cell>
        </row>
        <row r="42022">
          <cell r="O42022" t="str">
            <v/>
          </cell>
        </row>
        <row r="42023">
          <cell r="O42023" t="str">
            <v/>
          </cell>
        </row>
        <row r="42024">
          <cell r="O42024" t="str">
            <v/>
          </cell>
        </row>
        <row r="42025">
          <cell r="O42025" t="str">
            <v/>
          </cell>
        </row>
        <row r="42026">
          <cell r="O42026" t="str">
            <v/>
          </cell>
        </row>
        <row r="42027">
          <cell r="O42027" t="str">
            <v/>
          </cell>
        </row>
        <row r="42028">
          <cell r="O42028" t="str">
            <v/>
          </cell>
        </row>
        <row r="42029">
          <cell r="O42029" t="str">
            <v/>
          </cell>
        </row>
        <row r="42030">
          <cell r="O42030" t="str">
            <v/>
          </cell>
        </row>
        <row r="42031">
          <cell r="O42031" t="str">
            <v/>
          </cell>
        </row>
        <row r="42032">
          <cell r="O42032" t="str">
            <v/>
          </cell>
        </row>
        <row r="42033">
          <cell r="O42033" t="str">
            <v/>
          </cell>
        </row>
        <row r="42034">
          <cell r="O42034" t="str">
            <v/>
          </cell>
        </row>
        <row r="42035">
          <cell r="O42035" t="str">
            <v/>
          </cell>
        </row>
        <row r="42036">
          <cell r="O42036" t="str">
            <v/>
          </cell>
        </row>
        <row r="42037">
          <cell r="O42037" t="str">
            <v/>
          </cell>
        </row>
        <row r="42038">
          <cell r="O42038" t="str">
            <v/>
          </cell>
        </row>
        <row r="42039">
          <cell r="O42039" t="str">
            <v/>
          </cell>
        </row>
        <row r="42040">
          <cell r="O42040" t="str">
            <v/>
          </cell>
        </row>
        <row r="42041">
          <cell r="O42041" t="str">
            <v/>
          </cell>
        </row>
        <row r="42042">
          <cell r="O42042" t="str">
            <v/>
          </cell>
        </row>
        <row r="42043">
          <cell r="O42043" t="str">
            <v/>
          </cell>
        </row>
        <row r="42044">
          <cell r="O42044" t="str">
            <v/>
          </cell>
        </row>
        <row r="42045">
          <cell r="O42045" t="str">
            <v/>
          </cell>
        </row>
        <row r="42046">
          <cell r="O42046" t="str">
            <v/>
          </cell>
        </row>
        <row r="42047">
          <cell r="O42047" t="str">
            <v/>
          </cell>
        </row>
        <row r="42048">
          <cell r="O42048" t="str">
            <v/>
          </cell>
        </row>
        <row r="42049">
          <cell r="O42049" t="str">
            <v/>
          </cell>
        </row>
        <row r="42050">
          <cell r="O42050" t="str">
            <v/>
          </cell>
        </row>
        <row r="42051">
          <cell r="O42051" t="str">
            <v/>
          </cell>
        </row>
        <row r="42052">
          <cell r="O42052" t="str">
            <v/>
          </cell>
        </row>
        <row r="42053">
          <cell r="O42053" t="str">
            <v/>
          </cell>
        </row>
        <row r="42054">
          <cell r="O42054" t="str">
            <v/>
          </cell>
        </row>
        <row r="42055">
          <cell r="O42055" t="str">
            <v/>
          </cell>
        </row>
        <row r="42056">
          <cell r="O42056" t="str">
            <v/>
          </cell>
        </row>
        <row r="42057">
          <cell r="O42057" t="str">
            <v/>
          </cell>
        </row>
        <row r="42058">
          <cell r="O42058" t="str">
            <v/>
          </cell>
        </row>
        <row r="42059">
          <cell r="O42059" t="str">
            <v/>
          </cell>
        </row>
        <row r="42060">
          <cell r="O42060" t="str">
            <v/>
          </cell>
        </row>
        <row r="42061">
          <cell r="O42061" t="str">
            <v/>
          </cell>
        </row>
        <row r="42062">
          <cell r="O42062" t="str">
            <v/>
          </cell>
        </row>
        <row r="42063">
          <cell r="O42063" t="str">
            <v/>
          </cell>
        </row>
        <row r="42064">
          <cell r="O42064" t="str">
            <v/>
          </cell>
        </row>
        <row r="42065">
          <cell r="O42065" t="str">
            <v/>
          </cell>
        </row>
        <row r="42066">
          <cell r="O42066" t="str">
            <v/>
          </cell>
        </row>
        <row r="42067">
          <cell r="O42067" t="str">
            <v/>
          </cell>
        </row>
        <row r="42068">
          <cell r="O42068" t="str">
            <v/>
          </cell>
        </row>
        <row r="42069">
          <cell r="O42069" t="str">
            <v/>
          </cell>
        </row>
        <row r="42070">
          <cell r="O42070" t="str">
            <v/>
          </cell>
        </row>
        <row r="42071">
          <cell r="O42071" t="str">
            <v/>
          </cell>
        </row>
        <row r="42072">
          <cell r="O42072" t="str">
            <v/>
          </cell>
        </row>
        <row r="42073">
          <cell r="O42073" t="str">
            <v/>
          </cell>
        </row>
        <row r="42074">
          <cell r="O42074" t="str">
            <v/>
          </cell>
        </row>
        <row r="42075">
          <cell r="O42075" t="str">
            <v/>
          </cell>
        </row>
        <row r="42076">
          <cell r="O42076" t="str">
            <v/>
          </cell>
        </row>
        <row r="42077">
          <cell r="O42077" t="str">
            <v/>
          </cell>
        </row>
        <row r="42078">
          <cell r="O42078" t="str">
            <v/>
          </cell>
        </row>
        <row r="42079">
          <cell r="O42079" t="str">
            <v/>
          </cell>
        </row>
        <row r="42080">
          <cell r="O42080" t="str">
            <v/>
          </cell>
        </row>
        <row r="42081">
          <cell r="O42081" t="str">
            <v/>
          </cell>
        </row>
        <row r="42082">
          <cell r="O42082" t="str">
            <v/>
          </cell>
        </row>
        <row r="42083">
          <cell r="O42083" t="str">
            <v/>
          </cell>
        </row>
        <row r="42084">
          <cell r="O42084" t="str">
            <v/>
          </cell>
        </row>
        <row r="42085">
          <cell r="O42085" t="str">
            <v/>
          </cell>
        </row>
        <row r="42086">
          <cell r="O42086" t="str">
            <v/>
          </cell>
        </row>
        <row r="42087">
          <cell r="O42087" t="str">
            <v/>
          </cell>
        </row>
        <row r="42088">
          <cell r="O42088" t="str">
            <v/>
          </cell>
        </row>
        <row r="42089">
          <cell r="O42089" t="str">
            <v/>
          </cell>
        </row>
        <row r="42090">
          <cell r="O42090" t="str">
            <v/>
          </cell>
        </row>
        <row r="42091">
          <cell r="O42091" t="str">
            <v/>
          </cell>
        </row>
        <row r="42092">
          <cell r="O42092" t="str">
            <v/>
          </cell>
        </row>
        <row r="42093">
          <cell r="O42093" t="str">
            <v/>
          </cell>
        </row>
        <row r="42094">
          <cell r="O42094" t="str">
            <v/>
          </cell>
        </row>
        <row r="42095">
          <cell r="O42095" t="str">
            <v/>
          </cell>
        </row>
        <row r="42096">
          <cell r="O42096" t="str">
            <v/>
          </cell>
        </row>
        <row r="42097">
          <cell r="O42097" t="str">
            <v/>
          </cell>
        </row>
        <row r="42098">
          <cell r="O42098" t="str">
            <v/>
          </cell>
        </row>
        <row r="42099">
          <cell r="O42099" t="str">
            <v/>
          </cell>
        </row>
        <row r="42100">
          <cell r="O42100" t="str">
            <v/>
          </cell>
        </row>
        <row r="42101">
          <cell r="O42101" t="str">
            <v/>
          </cell>
        </row>
        <row r="42102">
          <cell r="O42102" t="str">
            <v/>
          </cell>
        </row>
        <row r="42103">
          <cell r="O42103" t="str">
            <v/>
          </cell>
        </row>
        <row r="42104">
          <cell r="O42104" t="str">
            <v/>
          </cell>
        </row>
        <row r="42105">
          <cell r="O42105" t="str">
            <v/>
          </cell>
        </row>
        <row r="42106">
          <cell r="O42106" t="str">
            <v/>
          </cell>
        </row>
        <row r="42107">
          <cell r="O42107" t="str">
            <v/>
          </cell>
        </row>
        <row r="42108">
          <cell r="O42108" t="str">
            <v/>
          </cell>
        </row>
        <row r="42109">
          <cell r="O42109" t="str">
            <v/>
          </cell>
        </row>
        <row r="42110">
          <cell r="O42110" t="str">
            <v/>
          </cell>
        </row>
        <row r="42111">
          <cell r="O42111" t="str">
            <v/>
          </cell>
        </row>
        <row r="42112">
          <cell r="O42112" t="str">
            <v/>
          </cell>
        </row>
        <row r="42113">
          <cell r="O42113" t="str">
            <v/>
          </cell>
        </row>
        <row r="42114">
          <cell r="O42114" t="str">
            <v/>
          </cell>
        </row>
        <row r="42115">
          <cell r="O42115" t="str">
            <v/>
          </cell>
        </row>
        <row r="42116">
          <cell r="O42116" t="str">
            <v/>
          </cell>
        </row>
        <row r="42117">
          <cell r="O42117" t="str">
            <v/>
          </cell>
        </row>
        <row r="42118">
          <cell r="O42118" t="str">
            <v/>
          </cell>
        </row>
        <row r="42119">
          <cell r="O42119" t="str">
            <v/>
          </cell>
        </row>
        <row r="42120">
          <cell r="O42120" t="str">
            <v/>
          </cell>
        </row>
        <row r="42121">
          <cell r="O42121" t="str">
            <v/>
          </cell>
        </row>
        <row r="42122">
          <cell r="O42122" t="str">
            <v/>
          </cell>
        </row>
        <row r="42123">
          <cell r="O42123" t="str">
            <v/>
          </cell>
        </row>
        <row r="42124">
          <cell r="O42124" t="str">
            <v/>
          </cell>
        </row>
        <row r="42125">
          <cell r="O42125" t="str">
            <v/>
          </cell>
        </row>
        <row r="42126">
          <cell r="O42126" t="str">
            <v/>
          </cell>
        </row>
        <row r="42127">
          <cell r="O42127" t="str">
            <v/>
          </cell>
        </row>
        <row r="42128">
          <cell r="O42128" t="str">
            <v/>
          </cell>
        </row>
        <row r="42129">
          <cell r="O42129" t="str">
            <v/>
          </cell>
        </row>
        <row r="42130">
          <cell r="O42130" t="str">
            <v/>
          </cell>
        </row>
        <row r="42131">
          <cell r="O42131" t="str">
            <v/>
          </cell>
        </row>
        <row r="42132">
          <cell r="O42132" t="str">
            <v/>
          </cell>
        </row>
        <row r="42133">
          <cell r="O42133" t="str">
            <v/>
          </cell>
        </row>
        <row r="42134">
          <cell r="O42134" t="str">
            <v/>
          </cell>
        </row>
        <row r="42135">
          <cell r="O42135" t="str">
            <v/>
          </cell>
        </row>
        <row r="42136">
          <cell r="O42136" t="str">
            <v/>
          </cell>
        </row>
        <row r="42137">
          <cell r="O42137" t="str">
            <v/>
          </cell>
        </row>
        <row r="42138">
          <cell r="O42138" t="str">
            <v/>
          </cell>
        </row>
        <row r="42139">
          <cell r="O42139" t="str">
            <v/>
          </cell>
        </row>
        <row r="42140">
          <cell r="O42140" t="str">
            <v/>
          </cell>
        </row>
        <row r="42141">
          <cell r="O42141" t="str">
            <v/>
          </cell>
        </row>
        <row r="42142">
          <cell r="O42142" t="str">
            <v/>
          </cell>
        </row>
        <row r="42143">
          <cell r="O42143" t="str">
            <v/>
          </cell>
        </row>
        <row r="42144">
          <cell r="O42144" t="str">
            <v/>
          </cell>
        </row>
        <row r="42145">
          <cell r="O42145" t="str">
            <v/>
          </cell>
        </row>
        <row r="42146">
          <cell r="O42146" t="str">
            <v/>
          </cell>
        </row>
        <row r="42147">
          <cell r="O42147" t="str">
            <v/>
          </cell>
        </row>
        <row r="42148">
          <cell r="O42148" t="str">
            <v/>
          </cell>
        </row>
        <row r="42149">
          <cell r="O42149" t="str">
            <v/>
          </cell>
        </row>
        <row r="42150">
          <cell r="O42150" t="str">
            <v/>
          </cell>
        </row>
        <row r="42151">
          <cell r="O42151" t="str">
            <v/>
          </cell>
        </row>
        <row r="42152">
          <cell r="O42152" t="str">
            <v/>
          </cell>
        </row>
        <row r="42153">
          <cell r="O42153" t="str">
            <v/>
          </cell>
        </row>
        <row r="42154">
          <cell r="O42154" t="str">
            <v/>
          </cell>
        </row>
        <row r="42155">
          <cell r="O42155" t="str">
            <v/>
          </cell>
        </row>
        <row r="42156">
          <cell r="O42156" t="str">
            <v/>
          </cell>
        </row>
        <row r="42157">
          <cell r="O42157" t="str">
            <v/>
          </cell>
        </row>
        <row r="42158">
          <cell r="O42158" t="str">
            <v/>
          </cell>
        </row>
        <row r="42159">
          <cell r="O42159" t="str">
            <v/>
          </cell>
        </row>
        <row r="42160">
          <cell r="O42160" t="str">
            <v/>
          </cell>
        </row>
        <row r="42161">
          <cell r="O42161" t="str">
            <v/>
          </cell>
        </row>
        <row r="42162">
          <cell r="O42162" t="str">
            <v/>
          </cell>
        </row>
        <row r="42163">
          <cell r="O42163" t="str">
            <v/>
          </cell>
        </row>
        <row r="42164">
          <cell r="O42164" t="str">
            <v/>
          </cell>
        </row>
        <row r="42165">
          <cell r="O42165" t="str">
            <v/>
          </cell>
        </row>
        <row r="42166">
          <cell r="O42166" t="str">
            <v/>
          </cell>
        </row>
        <row r="42167">
          <cell r="O42167" t="str">
            <v/>
          </cell>
        </row>
        <row r="42168">
          <cell r="O42168" t="str">
            <v/>
          </cell>
        </row>
        <row r="42169">
          <cell r="O42169" t="str">
            <v/>
          </cell>
        </row>
        <row r="42170">
          <cell r="O42170" t="str">
            <v/>
          </cell>
        </row>
        <row r="42171">
          <cell r="O42171" t="str">
            <v/>
          </cell>
        </row>
        <row r="42172">
          <cell r="O42172" t="str">
            <v/>
          </cell>
        </row>
        <row r="42173">
          <cell r="O42173" t="str">
            <v/>
          </cell>
        </row>
        <row r="42174">
          <cell r="O42174" t="str">
            <v/>
          </cell>
        </row>
        <row r="42175">
          <cell r="O42175" t="str">
            <v/>
          </cell>
        </row>
        <row r="42176">
          <cell r="O42176" t="str">
            <v/>
          </cell>
        </row>
        <row r="42177">
          <cell r="O42177" t="str">
            <v/>
          </cell>
        </row>
        <row r="42178">
          <cell r="O42178" t="str">
            <v/>
          </cell>
        </row>
        <row r="42179">
          <cell r="O42179" t="str">
            <v/>
          </cell>
        </row>
        <row r="42180">
          <cell r="O42180" t="str">
            <v/>
          </cell>
        </row>
        <row r="42181">
          <cell r="O42181" t="str">
            <v/>
          </cell>
        </row>
        <row r="42182">
          <cell r="O42182" t="str">
            <v/>
          </cell>
        </row>
        <row r="42183">
          <cell r="O42183" t="str">
            <v/>
          </cell>
        </row>
        <row r="42184">
          <cell r="O42184" t="str">
            <v/>
          </cell>
        </row>
        <row r="42185">
          <cell r="O42185" t="str">
            <v/>
          </cell>
        </row>
        <row r="42186">
          <cell r="O42186" t="str">
            <v/>
          </cell>
        </row>
        <row r="42187">
          <cell r="O42187" t="str">
            <v/>
          </cell>
        </row>
        <row r="42188">
          <cell r="O42188" t="str">
            <v/>
          </cell>
        </row>
        <row r="42189">
          <cell r="O42189" t="str">
            <v/>
          </cell>
        </row>
        <row r="42190">
          <cell r="O42190" t="str">
            <v/>
          </cell>
        </row>
        <row r="42191">
          <cell r="O42191" t="str">
            <v/>
          </cell>
        </row>
        <row r="42192">
          <cell r="O42192" t="str">
            <v/>
          </cell>
        </row>
        <row r="42193">
          <cell r="O42193" t="str">
            <v/>
          </cell>
        </row>
        <row r="42194">
          <cell r="O42194" t="str">
            <v/>
          </cell>
        </row>
        <row r="42195">
          <cell r="O42195" t="str">
            <v/>
          </cell>
        </row>
        <row r="42196">
          <cell r="O42196" t="str">
            <v/>
          </cell>
        </row>
        <row r="42197">
          <cell r="O42197" t="str">
            <v/>
          </cell>
        </row>
        <row r="42198">
          <cell r="O42198" t="str">
            <v/>
          </cell>
        </row>
        <row r="42199">
          <cell r="O42199" t="str">
            <v/>
          </cell>
        </row>
        <row r="42200">
          <cell r="O42200" t="str">
            <v/>
          </cell>
        </row>
        <row r="42201">
          <cell r="O42201" t="str">
            <v/>
          </cell>
        </row>
        <row r="42202">
          <cell r="O42202" t="str">
            <v/>
          </cell>
        </row>
        <row r="42203">
          <cell r="O42203" t="str">
            <v/>
          </cell>
        </row>
        <row r="42204">
          <cell r="O42204" t="str">
            <v/>
          </cell>
        </row>
        <row r="42205">
          <cell r="O42205" t="str">
            <v/>
          </cell>
        </row>
        <row r="42206">
          <cell r="O42206" t="str">
            <v/>
          </cell>
        </row>
        <row r="42207">
          <cell r="O42207" t="str">
            <v/>
          </cell>
        </row>
        <row r="42208">
          <cell r="O42208" t="str">
            <v/>
          </cell>
        </row>
        <row r="42209">
          <cell r="O42209" t="str">
            <v/>
          </cell>
        </row>
        <row r="42210">
          <cell r="O42210" t="str">
            <v/>
          </cell>
        </row>
        <row r="42211">
          <cell r="O42211" t="str">
            <v/>
          </cell>
        </row>
        <row r="42212">
          <cell r="O42212" t="str">
            <v/>
          </cell>
        </row>
        <row r="42213">
          <cell r="O42213" t="str">
            <v/>
          </cell>
        </row>
        <row r="42214">
          <cell r="O42214" t="str">
            <v/>
          </cell>
        </row>
        <row r="42215">
          <cell r="O42215" t="str">
            <v/>
          </cell>
        </row>
        <row r="42216">
          <cell r="O42216" t="str">
            <v/>
          </cell>
        </row>
        <row r="42217">
          <cell r="O42217" t="str">
            <v/>
          </cell>
        </row>
        <row r="42218">
          <cell r="O42218" t="str">
            <v/>
          </cell>
        </row>
        <row r="42219">
          <cell r="O42219" t="str">
            <v/>
          </cell>
        </row>
        <row r="42220">
          <cell r="O42220" t="str">
            <v/>
          </cell>
        </row>
        <row r="42221">
          <cell r="O42221" t="str">
            <v/>
          </cell>
        </row>
        <row r="42222">
          <cell r="O42222" t="str">
            <v/>
          </cell>
        </row>
        <row r="42223">
          <cell r="O42223" t="str">
            <v/>
          </cell>
        </row>
        <row r="42224">
          <cell r="O42224" t="str">
            <v/>
          </cell>
        </row>
        <row r="42225">
          <cell r="O42225" t="str">
            <v/>
          </cell>
        </row>
        <row r="42226">
          <cell r="O42226" t="str">
            <v/>
          </cell>
        </row>
        <row r="42227">
          <cell r="O42227" t="str">
            <v/>
          </cell>
        </row>
        <row r="42228">
          <cell r="O42228" t="str">
            <v/>
          </cell>
        </row>
        <row r="42229">
          <cell r="O42229" t="str">
            <v/>
          </cell>
        </row>
        <row r="42230">
          <cell r="O42230" t="str">
            <v/>
          </cell>
        </row>
        <row r="42231">
          <cell r="O42231" t="str">
            <v/>
          </cell>
        </row>
        <row r="42232">
          <cell r="O42232" t="str">
            <v/>
          </cell>
        </row>
        <row r="42233">
          <cell r="O42233" t="str">
            <v/>
          </cell>
        </row>
        <row r="42234">
          <cell r="O42234" t="str">
            <v/>
          </cell>
        </row>
        <row r="42235">
          <cell r="O42235" t="str">
            <v/>
          </cell>
        </row>
        <row r="42236">
          <cell r="O42236" t="str">
            <v/>
          </cell>
        </row>
        <row r="42237">
          <cell r="O42237" t="str">
            <v/>
          </cell>
        </row>
        <row r="42238">
          <cell r="O42238" t="str">
            <v/>
          </cell>
        </row>
        <row r="42239">
          <cell r="O42239" t="str">
            <v/>
          </cell>
        </row>
        <row r="42240">
          <cell r="O42240" t="str">
            <v/>
          </cell>
        </row>
        <row r="42241">
          <cell r="O42241" t="str">
            <v/>
          </cell>
        </row>
        <row r="42242">
          <cell r="O42242" t="str">
            <v/>
          </cell>
        </row>
        <row r="42243">
          <cell r="O42243" t="str">
            <v/>
          </cell>
        </row>
        <row r="42244">
          <cell r="O42244" t="str">
            <v/>
          </cell>
        </row>
        <row r="42245">
          <cell r="O42245" t="str">
            <v/>
          </cell>
        </row>
        <row r="42246">
          <cell r="O42246" t="str">
            <v/>
          </cell>
        </row>
        <row r="42247">
          <cell r="O42247" t="str">
            <v/>
          </cell>
        </row>
        <row r="42248">
          <cell r="O42248" t="str">
            <v/>
          </cell>
        </row>
        <row r="42249">
          <cell r="O42249" t="str">
            <v/>
          </cell>
        </row>
        <row r="42250">
          <cell r="O42250" t="str">
            <v/>
          </cell>
        </row>
        <row r="42251">
          <cell r="O42251" t="str">
            <v/>
          </cell>
        </row>
        <row r="42252">
          <cell r="O42252" t="str">
            <v/>
          </cell>
        </row>
        <row r="42253">
          <cell r="O42253" t="str">
            <v/>
          </cell>
        </row>
        <row r="42254">
          <cell r="O42254" t="str">
            <v/>
          </cell>
        </row>
        <row r="42255">
          <cell r="O42255" t="str">
            <v/>
          </cell>
        </row>
        <row r="42256">
          <cell r="O42256" t="str">
            <v/>
          </cell>
        </row>
        <row r="42257">
          <cell r="O42257" t="str">
            <v/>
          </cell>
        </row>
        <row r="42258">
          <cell r="O42258" t="str">
            <v/>
          </cell>
        </row>
        <row r="42259">
          <cell r="O42259" t="str">
            <v/>
          </cell>
        </row>
        <row r="42260">
          <cell r="O42260" t="str">
            <v/>
          </cell>
        </row>
        <row r="42261">
          <cell r="O42261" t="str">
            <v/>
          </cell>
        </row>
        <row r="42262">
          <cell r="O42262" t="str">
            <v/>
          </cell>
        </row>
        <row r="42263">
          <cell r="O42263" t="str">
            <v/>
          </cell>
        </row>
        <row r="42264">
          <cell r="O42264" t="str">
            <v/>
          </cell>
        </row>
        <row r="42265">
          <cell r="O42265" t="str">
            <v/>
          </cell>
        </row>
        <row r="42266">
          <cell r="O42266" t="str">
            <v/>
          </cell>
        </row>
        <row r="42267">
          <cell r="O42267" t="str">
            <v/>
          </cell>
        </row>
        <row r="42268">
          <cell r="O42268" t="str">
            <v/>
          </cell>
        </row>
        <row r="42269">
          <cell r="O42269" t="str">
            <v/>
          </cell>
        </row>
        <row r="42270">
          <cell r="O42270" t="str">
            <v/>
          </cell>
        </row>
        <row r="42271">
          <cell r="O42271" t="str">
            <v/>
          </cell>
        </row>
        <row r="42272">
          <cell r="O42272" t="str">
            <v/>
          </cell>
        </row>
        <row r="42273">
          <cell r="O42273" t="str">
            <v/>
          </cell>
        </row>
        <row r="42274">
          <cell r="O42274" t="str">
            <v/>
          </cell>
        </row>
        <row r="42275">
          <cell r="O42275" t="str">
            <v/>
          </cell>
        </row>
        <row r="42276">
          <cell r="O42276" t="str">
            <v/>
          </cell>
        </row>
        <row r="42277">
          <cell r="O42277" t="str">
            <v/>
          </cell>
        </row>
        <row r="42278">
          <cell r="O42278" t="str">
            <v/>
          </cell>
        </row>
        <row r="42279">
          <cell r="O42279" t="str">
            <v/>
          </cell>
        </row>
        <row r="42280">
          <cell r="O42280" t="str">
            <v/>
          </cell>
        </row>
        <row r="42281">
          <cell r="O42281" t="str">
            <v/>
          </cell>
        </row>
        <row r="42282">
          <cell r="O42282" t="str">
            <v/>
          </cell>
        </row>
        <row r="42283">
          <cell r="O42283" t="str">
            <v/>
          </cell>
        </row>
        <row r="42284">
          <cell r="O42284" t="str">
            <v/>
          </cell>
        </row>
        <row r="42285">
          <cell r="O42285" t="str">
            <v/>
          </cell>
        </row>
        <row r="42286">
          <cell r="O42286" t="str">
            <v/>
          </cell>
        </row>
        <row r="42287">
          <cell r="O42287" t="str">
            <v/>
          </cell>
        </row>
        <row r="42288">
          <cell r="O42288" t="str">
            <v/>
          </cell>
        </row>
        <row r="42289">
          <cell r="O42289" t="str">
            <v/>
          </cell>
        </row>
        <row r="42290">
          <cell r="O42290" t="str">
            <v/>
          </cell>
        </row>
        <row r="42291">
          <cell r="O42291" t="str">
            <v/>
          </cell>
        </row>
        <row r="42292">
          <cell r="O42292" t="str">
            <v/>
          </cell>
        </row>
        <row r="42293">
          <cell r="O42293" t="str">
            <v/>
          </cell>
        </row>
        <row r="42294">
          <cell r="O42294" t="str">
            <v/>
          </cell>
        </row>
        <row r="42295">
          <cell r="O42295" t="str">
            <v/>
          </cell>
        </row>
        <row r="42296">
          <cell r="O42296" t="str">
            <v/>
          </cell>
        </row>
        <row r="42297">
          <cell r="O42297" t="str">
            <v/>
          </cell>
        </row>
        <row r="42298">
          <cell r="O42298" t="str">
            <v/>
          </cell>
        </row>
        <row r="42299">
          <cell r="O42299" t="str">
            <v/>
          </cell>
        </row>
        <row r="42300">
          <cell r="O42300" t="str">
            <v/>
          </cell>
        </row>
        <row r="42301">
          <cell r="O42301" t="str">
            <v/>
          </cell>
        </row>
        <row r="42302">
          <cell r="O42302" t="str">
            <v/>
          </cell>
        </row>
        <row r="42303">
          <cell r="O42303" t="str">
            <v/>
          </cell>
        </row>
        <row r="42304">
          <cell r="O42304" t="str">
            <v/>
          </cell>
        </row>
        <row r="42305">
          <cell r="O42305" t="str">
            <v/>
          </cell>
        </row>
        <row r="42306">
          <cell r="O42306" t="str">
            <v/>
          </cell>
        </row>
        <row r="42307">
          <cell r="O42307" t="str">
            <v/>
          </cell>
        </row>
        <row r="42308">
          <cell r="O42308" t="str">
            <v/>
          </cell>
        </row>
        <row r="42309">
          <cell r="O42309" t="str">
            <v/>
          </cell>
        </row>
        <row r="42310">
          <cell r="O42310" t="str">
            <v/>
          </cell>
        </row>
        <row r="42311">
          <cell r="O42311" t="str">
            <v/>
          </cell>
        </row>
        <row r="42312">
          <cell r="O42312" t="str">
            <v/>
          </cell>
        </row>
        <row r="42313">
          <cell r="O42313" t="str">
            <v/>
          </cell>
        </row>
        <row r="42314">
          <cell r="O42314" t="str">
            <v/>
          </cell>
        </row>
        <row r="42315">
          <cell r="O42315" t="str">
            <v/>
          </cell>
        </row>
        <row r="42316">
          <cell r="O42316" t="str">
            <v/>
          </cell>
        </row>
        <row r="42317">
          <cell r="O42317" t="str">
            <v/>
          </cell>
        </row>
        <row r="42318">
          <cell r="O42318" t="str">
            <v/>
          </cell>
        </row>
        <row r="42319">
          <cell r="O42319" t="str">
            <v/>
          </cell>
        </row>
        <row r="42320">
          <cell r="O42320" t="str">
            <v/>
          </cell>
        </row>
        <row r="42321">
          <cell r="O42321" t="str">
            <v/>
          </cell>
        </row>
        <row r="42322">
          <cell r="O42322" t="str">
            <v/>
          </cell>
        </row>
        <row r="42323">
          <cell r="O42323" t="str">
            <v/>
          </cell>
        </row>
        <row r="42324">
          <cell r="O42324" t="str">
            <v/>
          </cell>
        </row>
        <row r="42325">
          <cell r="O42325" t="str">
            <v/>
          </cell>
        </row>
        <row r="42326">
          <cell r="O42326" t="str">
            <v/>
          </cell>
        </row>
        <row r="42327">
          <cell r="O42327" t="str">
            <v/>
          </cell>
        </row>
        <row r="42328">
          <cell r="O42328" t="str">
            <v/>
          </cell>
        </row>
        <row r="42329">
          <cell r="O42329" t="str">
            <v/>
          </cell>
        </row>
        <row r="42330">
          <cell r="O42330" t="str">
            <v/>
          </cell>
        </row>
        <row r="42331">
          <cell r="O42331" t="str">
            <v/>
          </cell>
        </row>
        <row r="42332">
          <cell r="O42332" t="str">
            <v/>
          </cell>
        </row>
        <row r="42333">
          <cell r="O42333" t="str">
            <v/>
          </cell>
        </row>
        <row r="42334">
          <cell r="O42334" t="str">
            <v/>
          </cell>
        </row>
        <row r="42335">
          <cell r="O42335" t="str">
            <v/>
          </cell>
        </row>
        <row r="42336">
          <cell r="O42336" t="str">
            <v/>
          </cell>
        </row>
        <row r="42337">
          <cell r="O42337" t="str">
            <v/>
          </cell>
        </row>
        <row r="42338">
          <cell r="O42338" t="str">
            <v/>
          </cell>
        </row>
        <row r="42339">
          <cell r="O42339" t="str">
            <v/>
          </cell>
        </row>
        <row r="42340">
          <cell r="O42340" t="str">
            <v/>
          </cell>
        </row>
        <row r="42341">
          <cell r="O42341" t="str">
            <v/>
          </cell>
        </row>
        <row r="42342">
          <cell r="O42342" t="str">
            <v/>
          </cell>
        </row>
        <row r="42343">
          <cell r="O42343" t="str">
            <v/>
          </cell>
        </row>
        <row r="42344">
          <cell r="O42344" t="str">
            <v/>
          </cell>
        </row>
        <row r="42345">
          <cell r="O42345" t="str">
            <v/>
          </cell>
        </row>
        <row r="42346">
          <cell r="O42346" t="str">
            <v/>
          </cell>
        </row>
        <row r="42347">
          <cell r="O42347" t="str">
            <v/>
          </cell>
        </row>
        <row r="42348">
          <cell r="O42348" t="str">
            <v/>
          </cell>
        </row>
        <row r="42349">
          <cell r="O42349" t="str">
            <v/>
          </cell>
        </row>
        <row r="42350">
          <cell r="O42350" t="str">
            <v/>
          </cell>
        </row>
        <row r="42351">
          <cell r="O42351" t="str">
            <v/>
          </cell>
        </row>
        <row r="42352">
          <cell r="O42352" t="str">
            <v/>
          </cell>
        </row>
        <row r="42353">
          <cell r="O42353" t="str">
            <v/>
          </cell>
        </row>
        <row r="42354">
          <cell r="O42354" t="str">
            <v/>
          </cell>
        </row>
        <row r="42355">
          <cell r="O42355" t="str">
            <v/>
          </cell>
        </row>
        <row r="42356">
          <cell r="O42356" t="str">
            <v/>
          </cell>
        </row>
        <row r="42357">
          <cell r="O42357" t="str">
            <v/>
          </cell>
        </row>
        <row r="42358">
          <cell r="O42358" t="str">
            <v/>
          </cell>
        </row>
        <row r="42359">
          <cell r="O42359" t="str">
            <v/>
          </cell>
        </row>
        <row r="42360">
          <cell r="O42360" t="str">
            <v/>
          </cell>
        </row>
        <row r="42361">
          <cell r="O42361" t="str">
            <v/>
          </cell>
        </row>
        <row r="42362">
          <cell r="O42362" t="str">
            <v/>
          </cell>
        </row>
        <row r="42363">
          <cell r="O42363" t="str">
            <v/>
          </cell>
        </row>
        <row r="42364">
          <cell r="O42364" t="str">
            <v/>
          </cell>
        </row>
        <row r="42365">
          <cell r="O42365" t="str">
            <v/>
          </cell>
        </row>
        <row r="42366">
          <cell r="O42366" t="str">
            <v/>
          </cell>
        </row>
        <row r="42367">
          <cell r="O42367" t="str">
            <v/>
          </cell>
        </row>
        <row r="42368">
          <cell r="O42368" t="str">
            <v/>
          </cell>
        </row>
        <row r="42369">
          <cell r="O42369" t="str">
            <v/>
          </cell>
        </row>
        <row r="42370">
          <cell r="O42370" t="str">
            <v/>
          </cell>
        </row>
        <row r="42371">
          <cell r="O42371" t="str">
            <v/>
          </cell>
        </row>
        <row r="42372">
          <cell r="O42372" t="str">
            <v/>
          </cell>
        </row>
        <row r="42373">
          <cell r="O42373" t="str">
            <v/>
          </cell>
        </row>
        <row r="42374">
          <cell r="O42374" t="str">
            <v/>
          </cell>
        </row>
        <row r="42375">
          <cell r="O42375" t="str">
            <v/>
          </cell>
        </row>
        <row r="42376">
          <cell r="O42376" t="str">
            <v/>
          </cell>
        </row>
        <row r="42377">
          <cell r="O42377" t="str">
            <v/>
          </cell>
        </row>
        <row r="42378">
          <cell r="O42378" t="str">
            <v/>
          </cell>
        </row>
        <row r="42379">
          <cell r="O42379" t="str">
            <v/>
          </cell>
        </row>
        <row r="42380">
          <cell r="O42380" t="str">
            <v/>
          </cell>
        </row>
        <row r="42381">
          <cell r="O42381" t="str">
            <v/>
          </cell>
        </row>
        <row r="42382">
          <cell r="O42382" t="str">
            <v/>
          </cell>
        </row>
        <row r="42383">
          <cell r="O42383" t="str">
            <v/>
          </cell>
        </row>
        <row r="42384">
          <cell r="O42384" t="str">
            <v/>
          </cell>
        </row>
        <row r="42385">
          <cell r="O42385" t="str">
            <v/>
          </cell>
        </row>
        <row r="42386">
          <cell r="O42386" t="str">
            <v/>
          </cell>
        </row>
        <row r="42387">
          <cell r="O42387" t="str">
            <v/>
          </cell>
        </row>
        <row r="42388">
          <cell r="O42388" t="str">
            <v/>
          </cell>
        </row>
        <row r="42389">
          <cell r="O42389" t="str">
            <v/>
          </cell>
        </row>
        <row r="42390">
          <cell r="O42390" t="str">
            <v/>
          </cell>
        </row>
        <row r="42391">
          <cell r="O42391" t="str">
            <v/>
          </cell>
        </row>
        <row r="42392">
          <cell r="O42392" t="str">
            <v/>
          </cell>
        </row>
        <row r="42393">
          <cell r="O42393" t="str">
            <v/>
          </cell>
        </row>
        <row r="42394">
          <cell r="O42394" t="str">
            <v/>
          </cell>
        </row>
        <row r="42395">
          <cell r="O42395" t="str">
            <v/>
          </cell>
        </row>
        <row r="42396">
          <cell r="O42396" t="str">
            <v/>
          </cell>
        </row>
        <row r="42397">
          <cell r="O42397" t="str">
            <v/>
          </cell>
        </row>
        <row r="42398">
          <cell r="O42398" t="str">
            <v/>
          </cell>
        </row>
        <row r="42399">
          <cell r="O42399" t="str">
            <v/>
          </cell>
        </row>
        <row r="42400">
          <cell r="O42400" t="str">
            <v/>
          </cell>
        </row>
        <row r="42401">
          <cell r="O42401" t="str">
            <v/>
          </cell>
        </row>
        <row r="42402">
          <cell r="O42402" t="str">
            <v/>
          </cell>
        </row>
        <row r="42403">
          <cell r="O42403" t="str">
            <v/>
          </cell>
        </row>
        <row r="42404">
          <cell r="O42404" t="str">
            <v/>
          </cell>
        </row>
        <row r="42405">
          <cell r="O42405" t="str">
            <v/>
          </cell>
        </row>
        <row r="42406">
          <cell r="O42406" t="str">
            <v/>
          </cell>
        </row>
        <row r="42407">
          <cell r="O42407" t="str">
            <v/>
          </cell>
        </row>
        <row r="42408">
          <cell r="O42408" t="str">
            <v/>
          </cell>
        </row>
        <row r="42409">
          <cell r="O42409" t="str">
            <v/>
          </cell>
        </row>
        <row r="42410">
          <cell r="O42410" t="str">
            <v/>
          </cell>
        </row>
        <row r="42411">
          <cell r="O42411" t="str">
            <v/>
          </cell>
        </row>
        <row r="42412">
          <cell r="O42412" t="str">
            <v/>
          </cell>
        </row>
        <row r="42413">
          <cell r="O42413" t="str">
            <v/>
          </cell>
        </row>
        <row r="42414">
          <cell r="O42414" t="str">
            <v/>
          </cell>
        </row>
        <row r="42415">
          <cell r="O42415" t="str">
            <v/>
          </cell>
        </row>
        <row r="42416">
          <cell r="O42416" t="str">
            <v/>
          </cell>
        </row>
        <row r="42417">
          <cell r="O42417" t="str">
            <v/>
          </cell>
        </row>
        <row r="42418">
          <cell r="O42418" t="str">
            <v/>
          </cell>
        </row>
        <row r="42419">
          <cell r="O42419" t="str">
            <v/>
          </cell>
        </row>
        <row r="42420">
          <cell r="O42420" t="str">
            <v/>
          </cell>
        </row>
        <row r="42421">
          <cell r="O42421" t="str">
            <v/>
          </cell>
        </row>
        <row r="42422">
          <cell r="O42422" t="str">
            <v/>
          </cell>
        </row>
        <row r="42423">
          <cell r="O42423" t="str">
            <v/>
          </cell>
        </row>
        <row r="42424">
          <cell r="O42424" t="str">
            <v/>
          </cell>
        </row>
        <row r="42425">
          <cell r="O42425" t="str">
            <v/>
          </cell>
        </row>
        <row r="42426">
          <cell r="O42426" t="str">
            <v/>
          </cell>
        </row>
        <row r="42427">
          <cell r="O42427" t="str">
            <v/>
          </cell>
        </row>
        <row r="42428">
          <cell r="O42428" t="str">
            <v/>
          </cell>
        </row>
        <row r="42429">
          <cell r="O42429" t="str">
            <v/>
          </cell>
        </row>
        <row r="42430">
          <cell r="O42430" t="str">
            <v/>
          </cell>
        </row>
        <row r="42431">
          <cell r="O42431" t="str">
            <v/>
          </cell>
        </row>
        <row r="42432">
          <cell r="O42432" t="str">
            <v/>
          </cell>
        </row>
        <row r="42433">
          <cell r="O42433" t="str">
            <v/>
          </cell>
        </row>
        <row r="42434">
          <cell r="O42434" t="str">
            <v/>
          </cell>
        </row>
        <row r="42435">
          <cell r="O42435" t="str">
            <v/>
          </cell>
        </row>
        <row r="42436">
          <cell r="O42436" t="str">
            <v/>
          </cell>
        </row>
        <row r="42437">
          <cell r="O42437" t="str">
            <v/>
          </cell>
        </row>
        <row r="42438">
          <cell r="O42438" t="str">
            <v/>
          </cell>
        </row>
        <row r="42439">
          <cell r="O42439" t="str">
            <v/>
          </cell>
        </row>
        <row r="42440">
          <cell r="O42440" t="str">
            <v/>
          </cell>
        </row>
        <row r="42441">
          <cell r="O42441" t="str">
            <v/>
          </cell>
        </row>
        <row r="42442">
          <cell r="O42442" t="str">
            <v/>
          </cell>
        </row>
        <row r="42443">
          <cell r="O42443" t="str">
            <v/>
          </cell>
        </row>
        <row r="42444">
          <cell r="O42444" t="str">
            <v/>
          </cell>
        </row>
        <row r="42445">
          <cell r="O42445" t="str">
            <v/>
          </cell>
        </row>
        <row r="42446">
          <cell r="O42446" t="str">
            <v/>
          </cell>
        </row>
        <row r="42447">
          <cell r="O42447" t="str">
            <v/>
          </cell>
        </row>
        <row r="42448">
          <cell r="O42448" t="str">
            <v/>
          </cell>
        </row>
        <row r="42449">
          <cell r="O42449" t="str">
            <v/>
          </cell>
        </row>
        <row r="42450">
          <cell r="O42450" t="str">
            <v/>
          </cell>
        </row>
        <row r="42451">
          <cell r="O42451" t="str">
            <v/>
          </cell>
        </row>
        <row r="42452">
          <cell r="O42452" t="str">
            <v/>
          </cell>
        </row>
        <row r="42453">
          <cell r="O42453" t="str">
            <v/>
          </cell>
        </row>
        <row r="42454">
          <cell r="O42454" t="str">
            <v/>
          </cell>
        </row>
        <row r="42455">
          <cell r="O42455" t="str">
            <v/>
          </cell>
        </row>
        <row r="42456">
          <cell r="O42456" t="str">
            <v/>
          </cell>
        </row>
        <row r="42457">
          <cell r="O42457" t="str">
            <v/>
          </cell>
        </row>
        <row r="42458">
          <cell r="O42458" t="str">
            <v/>
          </cell>
        </row>
        <row r="42459">
          <cell r="O42459" t="str">
            <v/>
          </cell>
        </row>
        <row r="42460">
          <cell r="O42460" t="str">
            <v/>
          </cell>
        </row>
        <row r="42461">
          <cell r="O42461" t="str">
            <v/>
          </cell>
        </row>
        <row r="42462">
          <cell r="O42462" t="str">
            <v/>
          </cell>
        </row>
        <row r="42463">
          <cell r="O42463" t="str">
            <v/>
          </cell>
        </row>
        <row r="42464">
          <cell r="O42464" t="str">
            <v/>
          </cell>
        </row>
        <row r="42465">
          <cell r="O42465" t="str">
            <v/>
          </cell>
        </row>
        <row r="42466">
          <cell r="O42466" t="str">
            <v/>
          </cell>
        </row>
        <row r="42467">
          <cell r="O42467" t="str">
            <v/>
          </cell>
        </row>
        <row r="42468">
          <cell r="O42468" t="str">
            <v/>
          </cell>
        </row>
        <row r="42469">
          <cell r="O42469" t="str">
            <v/>
          </cell>
        </row>
        <row r="42470">
          <cell r="O42470" t="str">
            <v/>
          </cell>
        </row>
        <row r="42471">
          <cell r="O42471" t="str">
            <v/>
          </cell>
        </row>
        <row r="42472">
          <cell r="O42472" t="str">
            <v/>
          </cell>
        </row>
        <row r="42473">
          <cell r="O42473" t="str">
            <v/>
          </cell>
        </row>
        <row r="42474">
          <cell r="O42474" t="str">
            <v/>
          </cell>
        </row>
        <row r="42475">
          <cell r="O42475" t="str">
            <v/>
          </cell>
        </row>
        <row r="42476">
          <cell r="O42476" t="str">
            <v/>
          </cell>
        </row>
        <row r="42477">
          <cell r="O42477" t="str">
            <v/>
          </cell>
        </row>
        <row r="42478">
          <cell r="O42478" t="str">
            <v/>
          </cell>
        </row>
        <row r="42479">
          <cell r="O42479" t="str">
            <v/>
          </cell>
        </row>
        <row r="42480">
          <cell r="O42480" t="str">
            <v/>
          </cell>
        </row>
        <row r="42481">
          <cell r="O42481" t="str">
            <v/>
          </cell>
        </row>
        <row r="42482">
          <cell r="O42482" t="str">
            <v/>
          </cell>
        </row>
        <row r="42483">
          <cell r="O42483" t="str">
            <v/>
          </cell>
        </row>
        <row r="42484">
          <cell r="O42484" t="str">
            <v/>
          </cell>
        </row>
        <row r="42485">
          <cell r="O42485" t="str">
            <v/>
          </cell>
        </row>
        <row r="42486">
          <cell r="O42486" t="str">
            <v/>
          </cell>
        </row>
        <row r="42487">
          <cell r="O42487" t="str">
            <v/>
          </cell>
        </row>
        <row r="42488">
          <cell r="O42488" t="str">
            <v/>
          </cell>
        </row>
        <row r="42489">
          <cell r="O42489" t="str">
            <v/>
          </cell>
        </row>
        <row r="42490">
          <cell r="O42490" t="str">
            <v/>
          </cell>
        </row>
        <row r="42491">
          <cell r="O42491" t="str">
            <v/>
          </cell>
        </row>
        <row r="42492">
          <cell r="O42492" t="str">
            <v/>
          </cell>
        </row>
        <row r="42493">
          <cell r="O42493" t="str">
            <v/>
          </cell>
        </row>
        <row r="42494">
          <cell r="O42494" t="str">
            <v/>
          </cell>
        </row>
        <row r="42495">
          <cell r="O42495" t="str">
            <v/>
          </cell>
        </row>
        <row r="42496">
          <cell r="O42496" t="str">
            <v/>
          </cell>
        </row>
        <row r="42497">
          <cell r="O42497" t="str">
            <v/>
          </cell>
        </row>
        <row r="42498">
          <cell r="O42498" t="str">
            <v/>
          </cell>
        </row>
        <row r="42499">
          <cell r="O42499" t="str">
            <v/>
          </cell>
        </row>
        <row r="42500">
          <cell r="O42500" t="str">
            <v/>
          </cell>
        </row>
        <row r="42501">
          <cell r="O42501" t="str">
            <v/>
          </cell>
        </row>
        <row r="42502">
          <cell r="O42502" t="str">
            <v/>
          </cell>
        </row>
        <row r="42503">
          <cell r="O42503" t="str">
            <v/>
          </cell>
        </row>
        <row r="42504">
          <cell r="O42504" t="str">
            <v/>
          </cell>
        </row>
        <row r="42505">
          <cell r="O42505" t="str">
            <v/>
          </cell>
        </row>
        <row r="42506">
          <cell r="O42506" t="str">
            <v/>
          </cell>
        </row>
        <row r="42507">
          <cell r="O42507" t="str">
            <v/>
          </cell>
        </row>
        <row r="42508">
          <cell r="O42508" t="str">
            <v/>
          </cell>
        </row>
        <row r="42509">
          <cell r="O42509" t="str">
            <v/>
          </cell>
        </row>
        <row r="42510">
          <cell r="O42510" t="str">
            <v/>
          </cell>
        </row>
        <row r="42511">
          <cell r="O42511" t="str">
            <v/>
          </cell>
        </row>
        <row r="42512">
          <cell r="O42512" t="str">
            <v/>
          </cell>
        </row>
        <row r="42513">
          <cell r="O42513" t="str">
            <v/>
          </cell>
        </row>
        <row r="42514">
          <cell r="O42514" t="str">
            <v/>
          </cell>
        </row>
        <row r="42515">
          <cell r="O42515" t="str">
            <v/>
          </cell>
        </row>
        <row r="42516">
          <cell r="O42516" t="str">
            <v/>
          </cell>
        </row>
        <row r="42517">
          <cell r="O42517" t="str">
            <v/>
          </cell>
        </row>
        <row r="42518">
          <cell r="O42518" t="str">
            <v/>
          </cell>
        </row>
        <row r="42519">
          <cell r="O42519" t="str">
            <v/>
          </cell>
        </row>
        <row r="42520">
          <cell r="O42520" t="str">
            <v/>
          </cell>
        </row>
        <row r="42521">
          <cell r="O42521" t="str">
            <v/>
          </cell>
        </row>
        <row r="42522">
          <cell r="O42522" t="str">
            <v/>
          </cell>
        </row>
        <row r="42523">
          <cell r="O42523" t="str">
            <v/>
          </cell>
        </row>
        <row r="42524">
          <cell r="O42524" t="str">
            <v/>
          </cell>
        </row>
        <row r="42525">
          <cell r="O42525" t="str">
            <v/>
          </cell>
        </row>
        <row r="42526">
          <cell r="O42526" t="str">
            <v/>
          </cell>
        </row>
        <row r="42527">
          <cell r="O42527" t="str">
            <v/>
          </cell>
        </row>
        <row r="42528">
          <cell r="O42528" t="str">
            <v/>
          </cell>
        </row>
        <row r="42529">
          <cell r="O42529" t="str">
            <v/>
          </cell>
        </row>
        <row r="42530">
          <cell r="O42530" t="str">
            <v/>
          </cell>
        </row>
        <row r="42531">
          <cell r="O42531" t="str">
            <v/>
          </cell>
        </row>
        <row r="42532">
          <cell r="O42532" t="str">
            <v/>
          </cell>
        </row>
        <row r="42533">
          <cell r="O42533" t="str">
            <v/>
          </cell>
        </row>
        <row r="42534">
          <cell r="O42534" t="str">
            <v/>
          </cell>
        </row>
        <row r="42535">
          <cell r="O42535" t="str">
            <v/>
          </cell>
        </row>
        <row r="42536">
          <cell r="O42536" t="str">
            <v/>
          </cell>
        </row>
        <row r="42537">
          <cell r="O42537" t="str">
            <v/>
          </cell>
        </row>
        <row r="42538">
          <cell r="O42538" t="str">
            <v/>
          </cell>
        </row>
        <row r="42539">
          <cell r="O42539" t="str">
            <v/>
          </cell>
        </row>
        <row r="42540">
          <cell r="O42540" t="str">
            <v/>
          </cell>
        </row>
        <row r="42541">
          <cell r="O42541" t="str">
            <v/>
          </cell>
        </row>
        <row r="42542">
          <cell r="O42542" t="str">
            <v/>
          </cell>
        </row>
        <row r="42543">
          <cell r="O42543" t="str">
            <v/>
          </cell>
        </row>
        <row r="42544">
          <cell r="O42544" t="str">
            <v/>
          </cell>
        </row>
        <row r="42545">
          <cell r="O42545" t="str">
            <v/>
          </cell>
        </row>
        <row r="42546">
          <cell r="O42546" t="str">
            <v/>
          </cell>
        </row>
        <row r="42547">
          <cell r="O42547" t="str">
            <v/>
          </cell>
        </row>
        <row r="42548">
          <cell r="O42548" t="str">
            <v/>
          </cell>
        </row>
        <row r="42549">
          <cell r="O42549" t="str">
            <v/>
          </cell>
        </row>
        <row r="42550">
          <cell r="O42550" t="str">
            <v/>
          </cell>
        </row>
        <row r="42551">
          <cell r="O42551" t="str">
            <v/>
          </cell>
        </row>
        <row r="42552">
          <cell r="O42552" t="str">
            <v/>
          </cell>
        </row>
        <row r="42553">
          <cell r="O42553" t="str">
            <v/>
          </cell>
        </row>
        <row r="42554">
          <cell r="O42554" t="str">
            <v/>
          </cell>
        </row>
        <row r="42555">
          <cell r="O42555" t="str">
            <v/>
          </cell>
        </row>
        <row r="42556">
          <cell r="O42556" t="str">
            <v/>
          </cell>
        </row>
        <row r="42557">
          <cell r="O42557" t="str">
            <v/>
          </cell>
        </row>
        <row r="42558">
          <cell r="O42558" t="str">
            <v/>
          </cell>
        </row>
        <row r="42559">
          <cell r="O42559" t="str">
            <v/>
          </cell>
        </row>
        <row r="42560">
          <cell r="O42560" t="str">
            <v/>
          </cell>
        </row>
        <row r="42561">
          <cell r="O42561" t="str">
            <v/>
          </cell>
        </row>
        <row r="42562">
          <cell r="O42562" t="str">
            <v/>
          </cell>
        </row>
        <row r="42563">
          <cell r="O42563" t="str">
            <v/>
          </cell>
        </row>
        <row r="42564">
          <cell r="O42564" t="str">
            <v/>
          </cell>
        </row>
        <row r="42565">
          <cell r="O42565" t="str">
            <v/>
          </cell>
        </row>
        <row r="42566">
          <cell r="O42566" t="str">
            <v/>
          </cell>
        </row>
        <row r="42567">
          <cell r="O42567" t="str">
            <v/>
          </cell>
        </row>
        <row r="42568">
          <cell r="O42568" t="str">
            <v/>
          </cell>
        </row>
        <row r="42569">
          <cell r="O42569" t="str">
            <v/>
          </cell>
        </row>
        <row r="42570">
          <cell r="O42570" t="str">
            <v/>
          </cell>
        </row>
        <row r="42571">
          <cell r="O42571" t="str">
            <v/>
          </cell>
        </row>
        <row r="42572">
          <cell r="O42572" t="str">
            <v/>
          </cell>
        </row>
        <row r="42573">
          <cell r="O42573" t="str">
            <v/>
          </cell>
        </row>
        <row r="42574">
          <cell r="O42574" t="str">
            <v/>
          </cell>
        </row>
        <row r="42575">
          <cell r="O42575" t="str">
            <v/>
          </cell>
        </row>
        <row r="42576">
          <cell r="O42576" t="str">
            <v/>
          </cell>
        </row>
        <row r="42577">
          <cell r="O42577" t="str">
            <v/>
          </cell>
        </row>
        <row r="42578">
          <cell r="O42578" t="str">
            <v/>
          </cell>
        </row>
        <row r="42579">
          <cell r="O42579" t="str">
            <v/>
          </cell>
        </row>
        <row r="42580">
          <cell r="O42580" t="str">
            <v/>
          </cell>
        </row>
        <row r="42581">
          <cell r="O42581" t="str">
            <v/>
          </cell>
        </row>
        <row r="42582">
          <cell r="O42582" t="str">
            <v/>
          </cell>
        </row>
        <row r="42583">
          <cell r="O42583" t="str">
            <v/>
          </cell>
        </row>
        <row r="42584">
          <cell r="O42584" t="str">
            <v/>
          </cell>
        </row>
        <row r="42585">
          <cell r="O42585" t="str">
            <v/>
          </cell>
        </row>
        <row r="42586">
          <cell r="O42586" t="str">
            <v/>
          </cell>
        </row>
        <row r="42587">
          <cell r="O42587" t="str">
            <v/>
          </cell>
        </row>
        <row r="42588">
          <cell r="O42588" t="str">
            <v/>
          </cell>
        </row>
        <row r="42589">
          <cell r="O42589" t="str">
            <v/>
          </cell>
        </row>
        <row r="42590">
          <cell r="O42590" t="str">
            <v/>
          </cell>
        </row>
        <row r="42591">
          <cell r="O42591" t="str">
            <v/>
          </cell>
        </row>
        <row r="42592">
          <cell r="O42592" t="str">
            <v/>
          </cell>
        </row>
        <row r="42593">
          <cell r="O42593" t="str">
            <v/>
          </cell>
        </row>
        <row r="42594">
          <cell r="O42594" t="str">
            <v/>
          </cell>
        </row>
        <row r="42595">
          <cell r="O42595" t="str">
            <v/>
          </cell>
        </row>
        <row r="42596">
          <cell r="O42596" t="str">
            <v/>
          </cell>
        </row>
        <row r="42597">
          <cell r="O42597" t="str">
            <v/>
          </cell>
        </row>
        <row r="42598">
          <cell r="O42598" t="str">
            <v/>
          </cell>
        </row>
        <row r="42599">
          <cell r="O42599" t="str">
            <v/>
          </cell>
        </row>
        <row r="42600">
          <cell r="O42600" t="str">
            <v/>
          </cell>
        </row>
        <row r="42601">
          <cell r="O42601" t="str">
            <v/>
          </cell>
        </row>
        <row r="42602">
          <cell r="O42602" t="str">
            <v/>
          </cell>
        </row>
        <row r="42603">
          <cell r="O42603" t="str">
            <v/>
          </cell>
        </row>
        <row r="42604">
          <cell r="O42604" t="str">
            <v/>
          </cell>
        </row>
        <row r="42605">
          <cell r="O42605" t="str">
            <v/>
          </cell>
        </row>
        <row r="42606">
          <cell r="O42606" t="str">
            <v/>
          </cell>
        </row>
        <row r="42607">
          <cell r="O42607" t="str">
            <v/>
          </cell>
        </row>
        <row r="42608">
          <cell r="O42608" t="str">
            <v/>
          </cell>
        </row>
        <row r="42609">
          <cell r="O42609" t="str">
            <v/>
          </cell>
        </row>
        <row r="42610">
          <cell r="O42610" t="str">
            <v/>
          </cell>
        </row>
        <row r="42611">
          <cell r="O42611" t="str">
            <v/>
          </cell>
        </row>
        <row r="42612">
          <cell r="O42612" t="str">
            <v/>
          </cell>
        </row>
        <row r="42613">
          <cell r="O42613" t="str">
            <v/>
          </cell>
        </row>
        <row r="42614">
          <cell r="O42614" t="str">
            <v/>
          </cell>
        </row>
        <row r="42615">
          <cell r="O42615" t="str">
            <v/>
          </cell>
        </row>
        <row r="42616">
          <cell r="O42616" t="str">
            <v/>
          </cell>
        </row>
        <row r="42617">
          <cell r="O42617" t="str">
            <v/>
          </cell>
        </row>
        <row r="42618">
          <cell r="O42618" t="str">
            <v/>
          </cell>
        </row>
        <row r="42619">
          <cell r="O42619" t="str">
            <v/>
          </cell>
        </row>
        <row r="42620">
          <cell r="O42620" t="str">
            <v/>
          </cell>
        </row>
        <row r="42621">
          <cell r="O42621" t="str">
            <v/>
          </cell>
        </row>
        <row r="42622">
          <cell r="O42622" t="str">
            <v/>
          </cell>
        </row>
        <row r="42623">
          <cell r="O42623" t="str">
            <v/>
          </cell>
        </row>
        <row r="42624">
          <cell r="O42624" t="str">
            <v/>
          </cell>
        </row>
        <row r="42625">
          <cell r="O42625" t="str">
            <v/>
          </cell>
        </row>
        <row r="42626">
          <cell r="O42626" t="str">
            <v/>
          </cell>
        </row>
        <row r="42627">
          <cell r="O42627" t="str">
            <v/>
          </cell>
        </row>
        <row r="42628">
          <cell r="O42628" t="str">
            <v/>
          </cell>
        </row>
        <row r="42629">
          <cell r="O42629" t="str">
            <v/>
          </cell>
        </row>
        <row r="42630">
          <cell r="O42630" t="str">
            <v/>
          </cell>
        </row>
        <row r="42631">
          <cell r="O42631" t="str">
            <v/>
          </cell>
        </row>
        <row r="42632">
          <cell r="O42632" t="str">
            <v/>
          </cell>
        </row>
        <row r="42633">
          <cell r="O42633" t="str">
            <v/>
          </cell>
        </row>
        <row r="42634">
          <cell r="O42634" t="str">
            <v/>
          </cell>
        </row>
        <row r="42635">
          <cell r="O42635" t="str">
            <v/>
          </cell>
        </row>
        <row r="42636">
          <cell r="O42636" t="str">
            <v/>
          </cell>
        </row>
        <row r="42637">
          <cell r="O42637" t="str">
            <v/>
          </cell>
        </row>
        <row r="42638">
          <cell r="O42638" t="str">
            <v/>
          </cell>
        </row>
        <row r="42639">
          <cell r="O42639" t="str">
            <v/>
          </cell>
        </row>
        <row r="42640">
          <cell r="O42640" t="str">
            <v/>
          </cell>
        </row>
        <row r="42641">
          <cell r="O42641" t="str">
            <v/>
          </cell>
        </row>
        <row r="42642">
          <cell r="O42642" t="str">
            <v/>
          </cell>
        </row>
        <row r="42643">
          <cell r="O42643" t="str">
            <v/>
          </cell>
        </row>
        <row r="42644">
          <cell r="O42644" t="str">
            <v/>
          </cell>
        </row>
        <row r="42645">
          <cell r="O42645" t="str">
            <v/>
          </cell>
        </row>
        <row r="42646">
          <cell r="O42646" t="str">
            <v/>
          </cell>
        </row>
        <row r="42647">
          <cell r="O42647" t="str">
            <v/>
          </cell>
        </row>
        <row r="42648">
          <cell r="O42648" t="str">
            <v/>
          </cell>
        </row>
        <row r="42649">
          <cell r="O42649" t="str">
            <v/>
          </cell>
        </row>
        <row r="42650">
          <cell r="O42650" t="str">
            <v/>
          </cell>
        </row>
        <row r="42651">
          <cell r="O42651" t="str">
            <v/>
          </cell>
        </row>
        <row r="42652">
          <cell r="O42652" t="str">
            <v/>
          </cell>
        </row>
        <row r="42653">
          <cell r="O42653" t="str">
            <v/>
          </cell>
        </row>
        <row r="42654">
          <cell r="O42654" t="str">
            <v/>
          </cell>
        </row>
        <row r="42655">
          <cell r="O42655" t="str">
            <v/>
          </cell>
        </row>
        <row r="42656">
          <cell r="O42656" t="str">
            <v/>
          </cell>
        </row>
        <row r="42657">
          <cell r="O42657" t="str">
            <v/>
          </cell>
        </row>
        <row r="42658">
          <cell r="O42658" t="str">
            <v/>
          </cell>
        </row>
        <row r="42659">
          <cell r="O42659" t="str">
            <v/>
          </cell>
        </row>
        <row r="42660">
          <cell r="O42660" t="str">
            <v/>
          </cell>
        </row>
        <row r="42661">
          <cell r="O42661" t="str">
            <v/>
          </cell>
        </row>
        <row r="42662">
          <cell r="O42662" t="str">
            <v/>
          </cell>
        </row>
        <row r="42663">
          <cell r="O42663" t="str">
            <v/>
          </cell>
        </row>
        <row r="42664">
          <cell r="O42664" t="str">
            <v/>
          </cell>
        </row>
        <row r="42665">
          <cell r="O42665" t="str">
            <v/>
          </cell>
        </row>
        <row r="42666">
          <cell r="O42666" t="str">
            <v/>
          </cell>
        </row>
        <row r="42667">
          <cell r="O42667" t="str">
            <v/>
          </cell>
        </row>
        <row r="42668">
          <cell r="O42668" t="str">
            <v/>
          </cell>
        </row>
        <row r="42669">
          <cell r="O42669" t="str">
            <v/>
          </cell>
        </row>
        <row r="42670">
          <cell r="O42670" t="str">
            <v/>
          </cell>
        </row>
        <row r="42671">
          <cell r="O42671" t="str">
            <v/>
          </cell>
        </row>
        <row r="42672">
          <cell r="O42672" t="str">
            <v/>
          </cell>
        </row>
        <row r="42673">
          <cell r="O42673" t="str">
            <v/>
          </cell>
        </row>
        <row r="42674">
          <cell r="O42674" t="str">
            <v/>
          </cell>
        </row>
        <row r="42675">
          <cell r="O42675" t="str">
            <v/>
          </cell>
        </row>
        <row r="42676">
          <cell r="O42676" t="str">
            <v/>
          </cell>
        </row>
        <row r="42677">
          <cell r="O42677" t="str">
            <v/>
          </cell>
        </row>
        <row r="42678">
          <cell r="O42678" t="str">
            <v/>
          </cell>
        </row>
        <row r="42679">
          <cell r="O42679" t="str">
            <v/>
          </cell>
        </row>
        <row r="42680">
          <cell r="O42680" t="str">
            <v/>
          </cell>
        </row>
        <row r="42681">
          <cell r="O42681" t="str">
            <v/>
          </cell>
        </row>
        <row r="42682">
          <cell r="O42682" t="str">
            <v/>
          </cell>
        </row>
        <row r="42683">
          <cell r="O42683" t="str">
            <v/>
          </cell>
        </row>
        <row r="42684">
          <cell r="O42684" t="str">
            <v/>
          </cell>
        </row>
        <row r="42685">
          <cell r="O42685" t="str">
            <v/>
          </cell>
        </row>
        <row r="42686">
          <cell r="O42686" t="str">
            <v/>
          </cell>
        </row>
        <row r="42687">
          <cell r="O42687" t="str">
            <v/>
          </cell>
        </row>
        <row r="42688">
          <cell r="O42688" t="str">
            <v/>
          </cell>
        </row>
        <row r="42689">
          <cell r="O42689" t="str">
            <v/>
          </cell>
        </row>
        <row r="42690">
          <cell r="O42690" t="str">
            <v/>
          </cell>
        </row>
        <row r="42691">
          <cell r="O42691" t="str">
            <v/>
          </cell>
        </row>
        <row r="42692">
          <cell r="O42692" t="str">
            <v/>
          </cell>
        </row>
        <row r="42693">
          <cell r="O42693" t="str">
            <v/>
          </cell>
        </row>
        <row r="42694">
          <cell r="O42694" t="str">
            <v/>
          </cell>
        </row>
        <row r="42695">
          <cell r="O42695" t="str">
            <v/>
          </cell>
        </row>
        <row r="42696">
          <cell r="O42696" t="str">
            <v/>
          </cell>
        </row>
        <row r="42697">
          <cell r="O42697" t="str">
            <v/>
          </cell>
        </row>
        <row r="42698">
          <cell r="O42698" t="str">
            <v/>
          </cell>
        </row>
        <row r="42699">
          <cell r="O42699" t="str">
            <v/>
          </cell>
        </row>
        <row r="42700">
          <cell r="O42700" t="str">
            <v/>
          </cell>
        </row>
        <row r="42701">
          <cell r="O42701" t="str">
            <v/>
          </cell>
        </row>
        <row r="42702">
          <cell r="O42702" t="str">
            <v/>
          </cell>
        </row>
        <row r="42703">
          <cell r="O42703" t="str">
            <v/>
          </cell>
        </row>
        <row r="42704">
          <cell r="O42704" t="str">
            <v/>
          </cell>
        </row>
        <row r="42705">
          <cell r="O42705" t="str">
            <v/>
          </cell>
        </row>
        <row r="42706">
          <cell r="O42706" t="str">
            <v/>
          </cell>
        </row>
        <row r="42707">
          <cell r="O42707" t="str">
            <v/>
          </cell>
        </row>
        <row r="42708">
          <cell r="O42708" t="str">
            <v/>
          </cell>
        </row>
        <row r="42709">
          <cell r="O42709" t="str">
            <v/>
          </cell>
        </row>
        <row r="42710">
          <cell r="O42710" t="str">
            <v/>
          </cell>
        </row>
        <row r="42711">
          <cell r="O42711" t="str">
            <v/>
          </cell>
        </row>
        <row r="42712">
          <cell r="O42712" t="str">
            <v/>
          </cell>
        </row>
        <row r="42713">
          <cell r="O42713" t="str">
            <v/>
          </cell>
        </row>
        <row r="42714">
          <cell r="O42714" t="str">
            <v/>
          </cell>
        </row>
        <row r="42715">
          <cell r="O42715" t="str">
            <v/>
          </cell>
        </row>
        <row r="42716">
          <cell r="O42716" t="str">
            <v/>
          </cell>
        </row>
        <row r="42717">
          <cell r="O42717" t="str">
            <v/>
          </cell>
        </row>
        <row r="42718">
          <cell r="O42718" t="str">
            <v/>
          </cell>
        </row>
        <row r="42719">
          <cell r="O42719" t="str">
            <v/>
          </cell>
        </row>
        <row r="42720">
          <cell r="O42720" t="str">
            <v/>
          </cell>
        </row>
        <row r="42721">
          <cell r="O42721" t="str">
            <v/>
          </cell>
        </row>
        <row r="42722">
          <cell r="O42722" t="str">
            <v/>
          </cell>
        </row>
        <row r="42723">
          <cell r="O42723" t="str">
            <v/>
          </cell>
        </row>
        <row r="42724">
          <cell r="O42724" t="str">
            <v/>
          </cell>
        </row>
        <row r="42725">
          <cell r="O42725" t="str">
            <v/>
          </cell>
        </row>
        <row r="42726">
          <cell r="O42726" t="str">
            <v/>
          </cell>
        </row>
        <row r="42727">
          <cell r="O42727" t="str">
            <v/>
          </cell>
        </row>
        <row r="42728">
          <cell r="O42728" t="str">
            <v/>
          </cell>
        </row>
        <row r="42729">
          <cell r="O42729" t="str">
            <v/>
          </cell>
        </row>
        <row r="42730">
          <cell r="O42730" t="str">
            <v/>
          </cell>
        </row>
        <row r="42731">
          <cell r="O42731" t="str">
            <v/>
          </cell>
        </row>
        <row r="42732">
          <cell r="O42732" t="str">
            <v/>
          </cell>
        </row>
        <row r="42733">
          <cell r="O42733" t="str">
            <v/>
          </cell>
        </row>
        <row r="42734">
          <cell r="O42734" t="str">
            <v/>
          </cell>
        </row>
        <row r="42735">
          <cell r="O42735" t="str">
            <v/>
          </cell>
        </row>
        <row r="42736">
          <cell r="O42736" t="str">
            <v/>
          </cell>
        </row>
        <row r="42737">
          <cell r="O42737" t="str">
            <v/>
          </cell>
        </row>
        <row r="42738">
          <cell r="O42738" t="str">
            <v/>
          </cell>
        </row>
        <row r="42739">
          <cell r="O42739" t="str">
            <v/>
          </cell>
        </row>
        <row r="42740">
          <cell r="O42740" t="str">
            <v/>
          </cell>
        </row>
        <row r="42741">
          <cell r="O42741" t="str">
            <v/>
          </cell>
        </row>
        <row r="42742">
          <cell r="O42742" t="str">
            <v/>
          </cell>
        </row>
        <row r="42743">
          <cell r="O42743" t="str">
            <v/>
          </cell>
        </row>
        <row r="42744">
          <cell r="O42744" t="str">
            <v/>
          </cell>
        </row>
        <row r="42745">
          <cell r="O42745" t="str">
            <v/>
          </cell>
        </row>
        <row r="42746">
          <cell r="O42746" t="str">
            <v/>
          </cell>
        </row>
        <row r="42747">
          <cell r="O42747" t="str">
            <v/>
          </cell>
        </row>
        <row r="42748">
          <cell r="O42748" t="str">
            <v/>
          </cell>
        </row>
        <row r="42749">
          <cell r="O42749" t="str">
            <v/>
          </cell>
        </row>
        <row r="42750">
          <cell r="O42750" t="str">
            <v/>
          </cell>
        </row>
        <row r="42751">
          <cell r="O42751" t="str">
            <v/>
          </cell>
        </row>
        <row r="42752">
          <cell r="O42752" t="str">
            <v/>
          </cell>
        </row>
        <row r="42753">
          <cell r="O42753" t="str">
            <v/>
          </cell>
        </row>
        <row r="42754">
          <cell r="O42754" t="str">
            <v/>
          </cell>
        </row>
        <row r="42755">
          <cell r="O42755" t="str">
            <v/>
          </cell>
        </row>
        <row r="42756">
          <cell r="O42756" t="str">
            <v/>
          </cell>
        </row>
        <row r="42757">
          <cell r="O42757" t="str">
            <v/>
          </cell>
        </row>
        <row r="42758">
          <cell r="O42758" t="str">
            <v/>
          </cell>
        </row>
        <row r="42759">
          <cell r="O42759" t="str">
            <v/>
          </cell>
        </row>
        <row r="42760">
          <cell r="O42760" t="str">
            <v/>
          </cell>
        </row>
        <row r="42761">
          <cell r="O42761" t="str">
            <v/>
          </cell>
        </row>
        <row r="42762">
          <cell r="O42762" t="str">
            <v/>
          </cell>
        </row>
        <row r="42763">
          <cell r="O42763" t="str">
            <v/>
          </cell>
        </row>
        <row r="42764">
          <cell r="O42764" t="str">
            <v/>
          </cell>
        </row>
        <row r="42765">
          <cell r="O42765" t="str">
            <v/>
          </cell>
        </row>
        <row r="42766">
          <cell r="O42766" t="str">
            <v/>
          </cell>
        </row>
        <row r="42767">
          <cell r="O42767" t="str">
            <v/>
          </cell>
        </row>
        <row r="42768">
          <cell r="O42768" t="str">
            <v/>
          </cell>
        </row>
        <row r="42769">
          <cell r="O42769" t="str">
            <v/>
          </cell>
        </row>
        <row r="42770">
          <cell r="O42770" t="str">
            <v/>
          </cell>
        </row>
        <row r="42771">
          <cell r="O42771" t="str">
            <v/>
          </cell>
        </row>
        <row r="42772">
          <cell r="O42772" t="str">
            <v/>
          </cell>
        </row>
        <row r="42773">
          <cell r="O42773" t="str">
            <v/>
          </cell>
        </row>
        <row r="42774">
          <cell r="O42774" t="str">
            <v/>
          </cell>
        </row>
        <row r="42775">
          <cell r="O42775" t="str">
            <v/>
          </cell>
        </row>
        <row r="42776">
          <cell r="O42776" t="str">
            <v/>
          </cell>
        </row>
        <row r="42777">
          <cell r="O42777" t="str">
            <v/>
          </cell>
        </row>
        <row r="42778">
          <cell r="O42778" t="str">
            <v/>
          </cell>
        </row>
        <row r="42779">
          <cell r="O42779" t="str">
            <v/>
          </cell>
        </row>
        <row r="42780">
          <cell r="O42780" t="str">
            <v/>
          </cell>
        </row>
        <row r="42781">
          <cell r="O42781" t="str">
            <v/>
          </cell>
        </row>
        <row r="42782">
          <cell r="O42782" t="str">
            <v/>
          </cell>
        </row>
        <row r="42783">
          <cell r="O42783" t="str">
            <v/>
          </cell>
        </row>
        <row r="42784">
          <cell r="O42784" t="str">
            <v/>
          </cell>
        </row>
        <row r="42785">
          <cell r="O42785" t="str">
            <v/>
          </cell>
        </row>
        <row r="42786">
          <cell r="O42786" t="str">
            <v/>
          </cell>
        </row>
        <row r="42787">
          <cell r="O42787" t="str">
            <v/>
          </cell>
        </row>
        <row r="42788">
          <cell r="O42788" t="str">
            <v/>
          </cell>
        </row>
        <row r="42789">
          <cell r="O42789" t="str">
            <v/>
          </cell>
        </row>
        <row r="42790">
          <cell r="O42790" t="str">
            <v/>
          </cell>
        </row>
        <row r="42791">
          <cell r="O42791" t="str">
            <v/>
          </cell>
        </row>
        <row r="42792">
          <cell r="O42792" t="str">
            <v/>
          </cell>
        </row>
        <row r="42793">
          <cell r="O42793" t="str">
            <v/>
          </cell>
        </row>
        <row r="42794">
          <cell r="O42794" t="str">
            <v/>
          </cell>
        </row>
        <row r="42795">
          <cell r="O42795" t="str">
            <v/>
          </cell>
        </row>
        <row r="42796">
          <cell r="O42796" t="str">
            <v/>
          </cell>
        </row>
        <row r="42797">
          <cell r="O42797" t="str">
            <v/>
          </cell>
        </row>
        <row r="42798">
          <cell r="O42798" t="str">
            <v/>
          </cell>
        </row>
        <row r="42799">
          <cell r="O42799" t="str">
            <v/>
          </cell>
        </row>
        <row r="42800">
          <cell r="O42800" t="str">
            <v/>
          </cell>
        </row>
        <row r="42801">
          <cell r="O42801" t="str">
            <v/>
          </cell>
        </row>
        <row r="42802">
          <cell r="O42802" t="str">
            <v/>
          </cell>
        </row>
        <row r="42803">
          <cell r="O42803" t="str">
            <v/>
          </cell>
        </row>
        <row r="42804">
          <cell r="O42804" t="str">
            <v/>
          </cell>
        </row>
        <row r="42805">
          <cell r="O42805" t="str">
            <v/>
          </cell>
        </row>
        <row r="42806">
          <cell r="O42806" t="str">
            <v/>
          </cell>
        </row>
        <row r="42807">
          <cell r="O42807" t="str">
            <v/>
          </cell>
        </row>
        <row r="42808">
          <cell r="O42808" t="str">
            <v/>
          </cell>
        </row>
        <row r="42809">
          <cell r="O42809" t="str">
            <v/>
          </cell>
        </row>
        <row r="42810">
          <cell r="O42810" t="str">
            <v/>
          </cell>
        </row>
        <row r="42811">
          <cell r="O42811" t="str">
            <v/>
          </cell>
        </row>
        <row r="42812">
          <cell r="O42812" t="str">
            <v/>
          </cell>
        </row>
        <row r="42813">
          <cell r="O42813" t="str">
            <v/>
          </cell>
        </row>
        <row r="42814">
          <cell r="O42814" t="str">
            <v/>
          </cell>
        </row>
        <row r="42815">
          <cell r="O42815" t="str">
            <v/>
          </cell>
        </row>
        <row r="42816">
          <cell r="O42816" t="str">
            <v/>
          </cell>
        </row>
        <row r="42817">
          <cell r="O42817" t="str">
            <v/>
          </cell>
        </row>
        <row r="42818">
          <cell r="O42818" t="str">
            <v/>
          </cell>
        </row>
        <row r="42819">
          <cell r="O42819" t="str">
            <v/>
          </cell>
        </row>
        <row r="42820">
          <cell r="O42820" t="str">
            <v/>
          </cell>
        </row>
        <row r="42821">
          <cell r="O42821" t="str">
            <v/>
          </cell>
        </row>
        <row r="42822">
          <cell r="O42822" t="str">
            <v/>
          </cell>
        </row>
        <row r="42823">
          <cell r="O42823" t="str">
            <v/>
          </cell>
        </row>
        <row r="42824">
          <cell r="O42824" t="str">
            <v/>
          </cell>
        </row>
        <row r="42825">
          <cell r="O42825" t="str">
            <v/>
          </cell>
        </row>
        <row r="42826">
          <cell r="O42826" t="str">
            <v/>
          </cell>
        </row>
        <row r="42827">
          <cell r="O42827" t="str">
            <v/>
          </cell>
        </row>
        <row r="42828">
          <cell r="O42828" t="str">
            <v/>
          </cell>
        </row>
        <row r="42829">
          <cell r="O42829" t="str">
            <v/>
          </cell>
        </row>
        <row r="42830">
          <cell r="O42830" t="str">
            <v/>
          </cell>
        </row>
        <row r="42831">
          <cell r="O42831" t="str">
            <v/>
          </cell>
        </row>
        <row r="42832">
          <cell r="O42832" t="str">
            <v/>
          </cell>
        </row>
        <row r="42833">
          <cell r="O42833" t="str">
            <v/>
          </cell>
        </row>
        <row r="42834">
          <cell r="O42834" t="str">
            <v/>
          </cell>
        </row>
        <row r="42835">
          <cell r="O42835" t="str">
            <v/>
          </cell>
        </row>
        <row r="42836">
          <cell r="O42836" t="str">
            <v/>
          </cell>
        </row>
        <row r="42837">
          <cell r="O42837" t="str">
            <v/>
          </cell>
        </row>
        <row r="42838">
          <cell r="O42838" t="str">
            <v/>
          </cell>
        </row>
        <row r="42839">
          <cell r="O42839" t="str">
            <v/>
          </cell>
        </row>
        <row r="42840">
          <cell r="O42840" t="str">
            <v/>
          </cell>
        </row>
        <row r="42841">
          <cell r="O42841" t="str">
            <v/>
          </cell>
        </row>
        <row r="42842">
          <cell r="O42842" t="str">
            <v/>
          </cell>
        </row>
        <row r="42843">
          <cell r="O42843" t="str">
            <v/>
          </cell>
        </row>
        <row r="42844">
          <cell r="O42844" t="str">
            <v/>
          </cell>
        </row>
        <row r="42845">
          <cell r="O42845" t="str">
            <v/>
          </cell>
        </row>
        <row r="42846">
          <cell r="O42846" t="str">
            <v/>
          </cell>
        </row>
        <row r="42847">
          <cell r="O42847" t="str">
            <v/>
          </cell>
        </row>
        <row r="42848">
          <cell r="O42848" t="str">
            <v/>
          </cell>
        </row>
        <row r="42849">
          <cell r="O42849" t="str">
            <v/>
          </cell>
        </row>
        <row r="42850">
          <cell r="O42850" t="str">
            <v/>
          </cell>
        </row>
        <row r="42851">
          <cell r="O42851" t="str">
            <v/>
          </cell>
        </row>
        <row r="42852">
          <cell r="O42852" t="str">
            <v/>
          </cell>
        </row>
        <row r="42853">
          <cell r="O42853" t="str">
            <v/>
          </cell>
        </row>
        <row r="42854">
          <cell r="O42854" t="str">
            <v/>
          </cell>
        </row>
        <row r="42855">
          <cell r="O42855" t="str">
            <v/>
          </cell>
        </row>
        <row r="42856">
          <cell r="O42856" t="str">
            <v/>
          </cell>
        </row>
        <row r="42857">
          <cell r="O42857" t="str">
            <v/>
          </cell>
        </row>
        <row r="42858">
          <cell r="O42858" t="str">
            <v/>
          </cell>
        </row>
        <row r="42859">
          <cell r="O42859" t="str">
            <v/>
          </cell>
        </row>
        <row r="42860">
          <cell r="O42860" t="str">
            <v/>
          </cell>
        </row>
        <row r="42861">
          <cell r="O42861" t="str">
            <v/>
          </cell>
        </row>
        <row r="42862">
          <cell r="O42862" t="str">
            <v/>
          </cell>
        </row>
        <row r="42863">
          <cell r="O42863" t="str">
            <v/>
          </cell>
        </row>
        <row r="42864">
          <cell r="O42864" t="str">
            <v/>
          </cell>
        </row>
        <row r="42865">
          <cell r="O42865" t="str">
            <v/>
          </cell>
        </row>
        <row r="42866">
          <cell r="O42866" t="str">
            <v/>
          </cell>
        </row>
        <row r="42867">
          <cell r="O42867" t="str">
            <v/>
          </cell>
        </row>
        <row r="42868">
          <cell r="O42868" t="str">
            <v/>
          </cell>
        </row>
        <row r="42869">
          <cell r="O42869" t="str">
            <v/>
          </cell>
        </row>
        <row r="42870">
          <cell r="O42870" t="str">
            <v/>
          </cell>
        </row>
        <row r="42871">
          <cell r="O42871" t="str">
            <v/>
          </cell>
        </row>
        <row r="42872">
          <cell r="O42872" t="str">
            <v/>
          </cell>
        </row>
        <row r="42873">
          <cell r="O42873" t="str">
            <v/>
          </cell>
        </row>
        <row r="42874">
          <cell r="O42874" t="str">
            <v/>
          </cell>
        </row>
        <row r="42875">
          <cell r="O42875" t="str">
            <v/>
          </cell>
        </row>
        <row r="42876">
          <cell r="O42876" t="str">
            <v/>
          </cell>
        </row>
        <row r="42877">
          <cell r="O42877" t="str">
            <v/>
          </cell>
        </row>
        <row r="42878">
          <cell r="O42878" t="str">
            <v/>
          </cell>
        </row>
        <row r="42879">
          <cell r="O42879" t="str">
            <v/>
          </cell>
        </row>
        <row r="42880">
          <cell r="O42880" t="str">
            <v/>
          </cell>
        </row>
        <row r="42881">
          <cell r="O42881" t="str">
            <v/>
          </cell>
        </row>
        <row r="42882">
          <cell r="O42882" t="str">
            <v/>
          </cell>
        </row>
        <row r="42883">
          <cell r="O42883" t="str">
            <v/>
          </cell>
        </row>
        <row r="42884">
          <cell r="O42884" t="str">
            <v/>
          </cell>
        </row>
        <row r="42885">
          <cell r="O42885" t="str">
            <v/>
          </cell>
        </row>
        <row r="42886">
          <cell r="O42886" t="str">
            <v/>
          </cell>
        </row>
        <row r="42887">
          <cell r="O42887" t="str">
            <v/>
          </cell>
        </row>
        <row r="42888">
          <cell r="O42888" t="str">
            <v/>
          </cell>
        </row>
        <row r="42889">
          <cell r="O42889" t="str">
            <v/>
          </cell>
        </row>
        <row r="42890">
          <cell r="O42890" t="str">
            <v/>
          </cell>
        </row>
        <row r="42891">
          <cell r="O42891" t="str">
            <v/>
          </cell>
        </row>
        <row r="42892">
          <cell r="O42892" t="str">
            <v/>
          </cell>
        </row>
        <row r="42893">
          <cell r="O42893" t="str">
            <v/>
          </cell>
        </row>
        <row r="42894">
          <cell r="O42894" t="str">
            <v/>
          </cell>
        </row>
        <row r="42895">
          <cell r="O42895" t="str">
            <v/>
          </cell>
        </row>
        <row r="42896">
          <cell r="O42896" t="str">
            <v/>
          </cell>
        </row>
        <row r="42897">
          <cell r="O42897" t="str">
            <v/>
          </cell>
        </row>
        <row r="42898">
          <cell r="O42898" t="str">
            <v/>
          </cell>
        </row>
        <row r="42899">
          <cell r="O42899" t="str">
            <v/>
          </cell>
        </row>
        <row r="42900">
          <cell r="O42900" t="str">
            <v/>
          </cell>
        </row>
        <row r="42901">
          <cell r="O42901" t="str">
            <v/>
          </cell>
        </row>
        <row r="42902">
          <cell r="O42902" t="str">
            <v/>
          </cell>
        </row>
        <row r="42903">
          <cell r="O42903" t="str">
            <v/>
          </cell>
        </row>
        <row r="42904">
          <cell r="O42904" t="str">
            <v/>
          </cell>
        </row>
        <row r="42905">
          <cell r="O42905" t="str">
            <v/>
          </cell>
        </row>
        <row r="42906">
          <cell r="O42906" t="str">
            <v/>
          </cell>
        </row>
        <row r="42907">
          <cell r="O42907" t="str">
            <v/>
          </cell>
        </row>
        <row r="42908">
          <cell r="O42908" t="str">
            <v/>
          </cell>
        </row>
        <row r="42909">
          <cell r="O42909" t="str">
            <v/>
          </cell>
        </row>
        <row r="42910">
          <cell r="O42910" t="str">
            <v/>
          </cell>
        </row>
        <row r="42911">
          <cell r="O42911" t="str">
            <v/>
          </cell>
        </row>
        <row r="42912">
          <cell r="O42912" t="str">
            <v/>
          </cell>
        </row>
        <row r="42913">
          <cell r="O42913" t="str">
            <v/>
          </cell>
        </row>
        <row r="42914">
          <cell r="O42914" t="str">
            <v/>
          </cell>
        </row>
        <row r="42915">
          <cell r="O42915" t="str">
            <v/>
          </cell>
        </row>
        <row r="42916">
          <cell r="O42916" t="str">
            <v/>
          </cell>
        </row>
        <row r="42917">
          <cell r="O42917" t="str">
            <v/>
          </cell>
        </row>
        <row r="42918">
          <cell r="O42918" t="str">
            <v/>
          </cell>
        </row>
        <row r="42919">
          <cell r="O42919" t="str">
            <v/>
          </cell>
        </row>
        <row r="42920">
          <cell r="O42920" t="str">
            <v/>
          </cell>
        </row>
        <row r="42921">
          <cell r="O42921" t="str">
            <v/>
          </cell>
        </row>
        <row r="42922">
          <cell r="O42922" t="str">
            <v/>
          </cell>
        </row>
        <row r="42923">
          <cell r="O42923" t="str">
            <v/>
          </cell>
        </row>
        <row r="42924">
          <cell r="O42924" t="str">
            <v/>
          </cell>
        </row>
        <row r="42925">
          <cell r="O42925" t="str">
            <v/>
          </cell>
        </row>
        <row r="42926">
          <cell r="O42926" t="str">
            <v/>
          </cell>
        </row>
        <row r="42927">
          <cell r="O42927" t="str">
            <v/>
          </cell>
        </row>
        <row r="42928">
          <cell r="O42928" t="str">
            <v/>
          </cell>
        </row>
        <row r="42929">
          <cell r="O42929" t="str">
            <v/>
          </cell>
        </row>
        <row r="42930">
          <cell r="O42930" t="str">
            <v/>
          </cell>
        </row>
        <row r="42931">
          <cell r="O42931" t="str">
            <v/>
          </cell>
        </row>
        <row r="42932">
          <cell r="O42932" t="str">
            <v/>
          </cell>
        </row>
        <row r="42933">
          <cell r="O42933" t="str">
            <v/>
          </cell>
        </row>
        <row r="42934">
          <cell r="O42934" t="str">
            <v/>
          </cell>
        </row>
        <row r="42935">
          <cell r="O42935" t="str">
            <v/>
          </cell>
        </row>
        <row r="42936">
          <cell r="O42936" t="str">
            <v/>
          </cell>
        </row>
        <row r="42937">
          <cell r="O42937" t="str">
            <v/>
          </cell>
        </row>
        <row r="42938">
          <cell r="O42938" t="str">
            <v/>
          </cell>
        </row>
        <row r="42939">
          <cell r="O42939" t="str">
            <v/>
          </cell>
        </row>
        <row r="42940">
          <cell r="O42940" t="str">
            <v/>
          </cell>
        </row>
        <row r="42941">
          <cell r="O42941" t="str">
            <v/>
          </cell>
        </row>
        <row r="42942">
          <cell r="O42942" t="str">
            <v/>
          </cell>
        </row>
        <row r="42943">
          <cell r="O42943" t="str">
            <v/>
          </cell>
        </row>
        <row r="42944">
          <cell r="O42944" t="str">
            <v/>
          </cell>
        </row>
        <row r="42945">
          <cell r="O42945" t="str">
            <v/>
          </cell>
        </row>
        <row r="42946">
          <cell r="O42946" t="str">
            <v/>
          </cell>
        </row>
        <row r="42947">
          <cell r="O42947" t="str">
            <v/>
          </cell>
        </row>
        <row r="42948">
          <cell r="O42948" t="str">
            <v/>
          </cell>
        </row>
        <row r="42949">
          <cell r="O42949" t="str">
            <v/>
          </cell>
        </row>
        <row r="42950">
          <cell r="O42950" t="str">
            <v/>
          </cell>
        </row>
        <row r="42951">
          <cell r="O42951" t="str">
            <v/>
          </cell>
        </row>
        <row r="42952">
          <cell r="O42952" t="str">
            <v/>
          </cell>
        </row>
        <row r="42953">
          <cell r="O42953" t="str">
            <v/>
          </cell>
        </row>
        <row r="42954">
          <cell r="O42954" t="str">
            <v/>
          </cell>
        </row>
        <row r="42955">
          <cell r="O42955" t="str">
            <v/>
          </cell>
        </row>
        <row r="42956">
          <cell r="O42956" t="str">
            <v/>
          </cell>
        </row>
        <row r="42957">
          <cell r="O42957" t="str">
            <v/>
          </cell>
        </row>
        <row r="42958">
          <cell r="O42958" t="str">
            <v/>
          </cell>
        </row>
        <row r="42959">
          <cell r="O42959" t="str">
            <v/>
          </cell>
        </row>
        <row r="42960">
          <cell r="O42960" t="str">
            <v/>
          </cell>
        </row>
        <row r="42961">
          <cell r="O42961" t="str">
            <v/>
          </cell>
        </row>
        <row r="42962">
          <cell r="O42962" t="str">
            <v/>
          </cell>
        </row>
        <row r="42963">
          <cell r="O42963" t="str">
            <v/>
          </cell>
        </row>
        <row r="42964">
          <cell r="O42964" t="str">
            <v/>
          </cell>
        </row>
        <row r="42965">
          <cell r="O42965" t="str">
            <v/>
          </cell>
        </row>
        <row r="42966">
          <cell r="O42966" t="str">
            <v/>
          </cell>
        </row>
        <row r="42967">
          <cell r="O42967" t="str">
            <v/>
          </cell>
        </row>
        <row r="42968">
          <cell r="O42968" t="str">
            <v/>
          </cell>
        </row>
        <row r="42969">
          <cell r="O42969" t="str">
            <v/>
          </cell>
        </row>
        <row r="42970">
          <cell r="O42970" t="str">
            <v/>
          </cell>
        </row>
        <row r="42971">
          <cell r="O42971" t="str">
            <v/>
          </cell>
        </row>
        <row r="42972">
          <cell r="O42972" t="str">
            <v/>
          </cell>
        </row>
        <row r="42973">
          <cell r="O42973" t="str">
            <v/>
          </cell>
        </row>
        <row r="42974">
          <cell r="O42974" t="str">
            <v/>
          </cell>
        </row>
        <row r="42975">
          <cell r="O42975" t="str">
            <v/>
          </cell>
        </row>
        <row r="42976">
          <cell r="O42976" t="str">
            <v/>
          </cell>
        </row>
        <row r="42977">
          <cell r="O42977" t="str">
            <v/>
          </cell>
        </row>
        <row r="42978">
          <cell r="O42978" t="str">
            <v/>
          </cell>
        </row>
        <row r="42979">
          <cell r="O42979" t="str">
            <v/>
          </cell>
        </row>
        <row r="42980">
          <cell r="O42980" t="str">
            <v/>
          </cell>
        </row>
        <row r="42981">
          <cell r="O42981" t="str">
            <v/>
          </cell>
        </row>
        <row r="42982">
          <cell r="O42982" t="str">
            <v/>
          </cell>
        </row>
        <row r="42983">
          <cell r="O42983" t="str">
            <v/>
          </cell>
        </row>
        <row r="42984">
          <cell r="O42984" t="str">
            <v/>
          </cell>
        </row>
        <row r="42985">
          <cell r="O42985" t="str">
            <v/>
          </cell>
        </row>
        <row r="42986">
          <cell r="O42986" t="str">
            <v/>
          </cell>
        </row>
        <row r="42987">
          <cell r="O42987" t="str">
            <v/>
          </cell>
        </row>
        <row r="42988">
          <cell r="O42988" t="str">
            <v/>
          </cell>
        </row>
        <row r="42989">
          <cell r="O42989" t="str">
            <v/>
          </cell>
        </row>
        <row r="42990">
          <cell r="O42990" t="str">
            <v/>
          </cell>
        </row>
        <row r="42991">
          <cell r="O42991" t="str">
            <v/>
          </cell>
        </row>
        <row r="42992">
          <cell r="O42992" t="str">
            <v/>
          </cell>
        </row>
        <row r="42993">
          <cell r="O42993" t="str">
            <v/>
          </cell>
        </row>
        <row r="42994">
          <cell r="O42994" t="str">
            <v/>
          </cell>
        </row>
        <row r="42995">
          <cell r="O42995" t="str">
            <v/>
          </cell>
        </row>
        <row r="42996">
          <cell r="O42996" t="str">
            <v/>
          </cell>
        </row>
        <row r="42997">
          <cell r="O42997" t="str">
            <v/>
          </cell>
        </row>
        <row r="42998">
          <cell r="O42998" t="str">
            <v/>
          </cell>
        </row>
        <row r="42999">
          <cell r="O42999" t="str">
            <v/>
          </cell>
        </row>
        <row r="43000">
          <cell r="O43000" t="str">
            <v/>
          </cell>
        </row>
        <row r="43001">
          <cell r="O43001" t="str">
            <v/>
          </cell>
        </row>
        <row r="43002">
          <cell r="O43002" t="str">
            <v/>
          </cell>
        </row>
        <row r="43003">
          <cell r="O43003" t="str">
            <v/>
          </cell>
        </row>
        <row r="43004">
          <cell r="O43004" t="str">
            <v/>
          </cell>
        </row>
        <row r="43005">
          <cell r="O43005" t="str">
            <v/>
          </cell>
        </row>
        <row r="43006">
          <cell r="O43006" t="str">
            <v/>
          </cell>
        </row>
        <row r="43007">
          <cell r="O43007" t="str">
            <v/>
          </cell>
        </row>
        <row r="43008">
          <cell r="O43008" t="str">
            <v/>
          </cell>
        </row>
        <row r="43009">
          <cell r="O43009" t="str">
            <v/>
          </cell>
        </row>
        <row r="43010">
          <cell r="O43010" t="str">
            <v/>
          </cell>
        </row>
        <row r="43011">
          <cell r="O43011" t="str">
            <v/>
          </cell>
        </row>
        <row r="43012">
          <cell r="O43012" t="str">
            <v/>
          </cell>
        </row>
        <row r="43013">
          <cell r="O43013" t="str">
            <v/>
          </cell>
        </row>
        <row r="43014">
          <cell r="O43014" t="str">
            <v/>
          </cell>
        </row>
        <row r="43015">
          <cell r="O43015" t="str">
            <v/>
          </cell>
        </row>
        <row r="43016">
          <cell r="O43016" t="str">
            <v/>
          </cell>
        </row>
        <row r="43017">
          <cell r="O43017" t="str">
            <v/>
          </cell>
        </row>
        <row r="43018">
          <cell r="O43018" t="str">
            <v/>
          </cell>
        </row>
        <row r="43019">
          <cell r="O43019" t="str">
            <v/>
          </cell>
        </row>
        <row r="43020">
          <cell r="O43020" t="str">
            <v/>
          </cell>
        </row>
        <row r="43021">
          <cell r="O43021" t="str">
            <v/>
          </cell>
        </row>
        <row r="43022">
          <cell r="O43022" t="str">
            <v/>
          </cell>
        </row>
        <row r="43023">
          <cell r="O43023" t="str">
            <v/>
          </cell>
        </row>
        <row r="43024">
          <cell r="O43024" t="str">
            <v/>
          </cell>
        </row>
        <row r="43025">
          <cell r="O43025" t="str">
            <v/>
          </cell>
        </row>
        <row r="43026">
          <cell r="O43026" t="str">
            <v/>
          </cell>
        </row>
        <row r="43027">
          <cell r="O43027" t="str">
            <v/>
          </cell>
        </row>
        <row r="43028">
          <cell r="O43028" t="str">
            <v/>
          </cell>
        </row>
        <row r="43029">
          <cell r="O43029" t="str">
            <v/>
          </cell>
        </row>
        <row r="43030">
          <cell r="O43030" t="str">
            <v/>
          </cell>
        </row>
        <row r="43031">
          <cell r="O43031" t="str">
            <v/>
          </cell>
        </row>
        <row r="43032">
          <cell r="O43032" t="str">
            <v/>
          </cell>
        </row>
        <row r="43033">
          <cell r="O43033" t="str">
            <v/>
          </cell>
        </row>
        <row r="43034">
          <cell r="O43034" t="str">
            <v/>
          </cell>
        </row>
        <row r="43035">
          <cell r="O43035" t="str">
            <v/>
          </cell>
        </row>
        <row r="43036">
          <cell r="O43036" t="str">
            <v/>
          </cell>
        </row>
        <row r="43037">
          <cell r="O43037" t="str">
            <v/>
          </cell>
        </row>
        <row r="43038">
          <cell r="O43038" t="str">
            <v/>
          </cell>
        </row>
        <row r="43039">
          <cell r="O43039" t="str">
            <v/>
          </cell>
        </row>
        <row r="43040">
          <cell r="O43040" t="str">
            <v/>
          </cell>
        </row>
        <row r="43041">
          <cell r="O43041" t="str">
            <v/>
          </cell>
        </row>
        <row r="43042">
          <cell r="O43042" t="str">
            <v/>
          </cell>
        </row>
        <row r="43043">
          <cell r="O43043" t="str">
            <v/>
          </cell>
        </row>
        <row r="43044">
          <cell r="O43044" t="str">
            <v/>
          </cell>
        </row>
        <row r="43045">
          <cell r="O43045" t="str">
            <v/>
          </cell>
        </row>
        <row r="43046">
          <cell r="O43046" t="str">
            <v/>
          </cell>
        </row>
        <row r="43047">
          <cell r="O43047" t="str">
            <v/>
          </cell>
        </row>
        <row r="43048">
          <cell r="O43048" t="str">
            <v/>
          </cell>
        </row>
        <row r="43049">
          <cell r="O43049" t="str">
            <v/>
          </cell>
        </row>
        <row r="43050">
          <cell r="O43050" t="str">
            <v/>
          </cell>
        </row>
        <row r="43051">
          <cell r="O43051" t="str">
            <v/>
          </cell>
        </row>
        <row r="43052">
          <cell r="O43052" t="str">
            <v/>
          </cell>
        </row>
        <row r="43053">
          <cell r="O43053" t="str">
            <v/>
          </cell>
        </row>
        <row r="43054">
          <cell r="O43054" t="str">
            <v/>
          </cell>
        </row>
        <row r="43055">
          <cell r="O43055" t="str">
            <v/>
          </cell>
        </row>
        <row r="43056">
          <cell r="O43056" t="str">
            <v/>
          </cell>
        </row>
        <row r="43057">
          <cell r="O43057" t="str">
            <v/>
          </cell>
        </row>
        <row r="43058">
          <cell r="O43058" t="str">
            <v/>
          </cell>
        </row>
        <row r="43059">
          <cell r="O43059" t="str">
            <v/>
          </cell>
        </row>
        <row r="43060">
          <cell r="O43060" t="str">
            <v/>
          </cell>
        </row>
        <row r="43061">
          <cell r="O43061" t="str">
            <v/>
          </cell>
        </row>
        <row r="43062">
          <cell r="O43062" t="str">
            <v/>
          </cell>
        </row>
        <row r="43063">
          <cell r="O43063" t="str">
            <v/>
          </cell>
        </row>
        <row r="43064">
          <cell r="O43064" t="str">
            <v/>
          </cell>
        </row>
        <row r="43065">
          <cell r="O43065" t="str">
            <v/>
          </cell>
        </row>
        <row r="43066">
          <cell r="O43066" t="str">
            <v/>
          </cell>
        </row>
        <row r="43067">
          <cell r="O43067" t="str">
            <v/>
          </cell>
        </row>
        <row r="43068">
          <cell r="O43068" t="str">
            <v/>
          </cell>
        </row>
        <row r="43069">
          <cell r="O43069" t="str">
            <v/>
          </cell>
        </row>
        <row r="43070">
          <cell r="O43070" t="str">
            <v/>
          </cell>
        </row>
        <row r="43071">
          <cell r="O43071" t="str">
            <v/>
          </cell>
        </row>
        <row r="43072">
          <cell r="O43072" t="str">
            <v/>
          </cell>
        </row>
        <row r="43073">
          <cell r="O43073" t="str">
            <v/>
          </cell>
        </row>
        <row r="43074">
          <cell r="O43074" t="str">
            <v/>
          </cell>
        </row>
        <row r="43075">
          <cell r="O43075" t="str">
            <v/>
          </cell>
        </row>
        <row r="43076">
          <cell r="O43076" t="str">
            <v/>
          </cell>
        </row>
        <row r="43077">
          <cell r="O43077" t="str">
            <v/>
          </cell>
        </row>
        <row r="43078">
          <cell r="O43078" t="str">
            <v/>
          </cell>
        </row>
        <row r="43079">
          <cell r="O43079" t="str">
            <v/>
          </cell>
        </row>
        <row r="43080">
          <cell r="O43080" t="str">
            <v/>
          </cell>
        </row>
        <row r="43081">
          <cell r="O43081" t="str">
            <v/>
          </cell>
        </row>
        <row r="43082">
          <cell r="O43082" t="str">
            <v/>
          </cell>
        </row>
        <row r="43083">
          <cell r="O43083" t="str">
            <v/>
          </cell>
        </row>
        <row r="43084">
          <cell r="O43084" t="str">
            <v/>
          </cell>
        </row>
        <row r="43085">
          <cell r="O43085" t="str">
            <v/>
          </cell>
        </row>
        <row r="43086">
          <cell r="O43086" t="str">
            <v/>
          </cell>
        </row>
        <row r="43087">
          <cell r="O43087" t="str">
            <v/>
          </cell>
        </row>
        <row r="43088">
          <cell r="O43088" t="str">
            <v/>
          </cell>
        </row>
        <row r="43089">
          <cell r="O43089" t="str">
            <v/>
          </cell>
        </row>
        <row r="43090">
          <cell r="O43090" t="str">
            <v/>
          </cell>
        </row>
        <row r="43091">
          <cell r="O43091" t="str">
            <v/>
          </cell>
        </row>
        <row r="43092">
          <cell r="O43092" t="str">
            <v/>
          </cell>
        </row>
        <row r="43093">
          <cell r="O43093" t="str">
            <v/>
          </cell>
        </row>
        <row r="43094">
          <cell r="O43094" t="str">
            <v/>
          </cell>
        </row>
        <row r="43095">
          <cell r="O43095" t="str">
            <v/>
          </cell>
        </row>
        <row r="43096">
          <cell r="O43096" t="str">
            <v/>
          </cell>
        </row>
        <row r="43097">
          <cell r="O43097" t="str">
            <v/>
          </cell>
        </row>
        <row r="43098">
          <cell r="O43098" t="str">
            <v/>
          </cell>
        </row>
        <row r="43099">
          <cell r="O43099" t="str">
            <v/>
          </cell>
        </row>
        <row r="43100">
          <cell r="O43100" t="str">
            <v/>
          </cell>
        </row>
        <row r="43101">
          <cell r="O43101" t="str">
            <v/>
          </cell>
        </row>
        <row r="43102">
          <cell r="O43102" t="str">
            <v/>
          </cell>
        </row>
        <row r="43103">
          <cell r="O43103" t="str">
            <v/>
          </cell>
        </row>
        <row r="43104">
          <cell r="O43104" t="str">
            <v/>
          </cell>
        </row>
        <row r="43105">
          <cell r="O43105" t="str">
            <v/>
          </cell>
        </row>
        <row r="43106">
          <cell r="O43106" t="str">
            <v/>
          </cell>
        </row>
        <row r="43107">
          <cell r="O43107" t="str">
            <v/>
          </cell>
        </row>
        <row r="43108">
          <cell r="O43108" t="str">
            <v/>
          </cell>
        </row>
        <row r="43109">
          <cell r="O43109" t="str">
            <v/>
          </cell>
        </row>
        <row r="43110">
          <cell r="O43110" t="str">
            <v/>
          </cell>
        </row>
        <row r="43111">
          <cell r="O43111" t="str">
            <v/>
          </cell>
        </row>
        <row r="43112">
          <cell r="O43112" t="str">
            <v/>
          </cell>
        </row>
        <row r="43113">
          <cell r="O43113" t="str">
            <v/>
          </cell>
        </row>
        <row r="43114">
          <cell r="O43114" t="str">
            <v/>
          </cell>
        </row>
        <row r="43115">
          <cell r="O43115" t="str">
            <v/>
          </cell>
        </row>
        <row r="43116">
          <cell r="O43116" t="str">
            <v/>
          </cell>
        </row>
        <row r="43117">
          <cell r="O43117" t="str">
            <v/>
          </cell>
        </row>
        <row r="43118">
          <cell r="O43118" t="str">
            <v/>
          </cell>
        </row>
        <row r="43119">
          <cell r="O43119" t="str">
            <v/>
          </cell>
        </row>
        <row r="43120">
          <cell r="O43120" t="str">
            <v/>
          </cell>
        </row>
        <row r="43121">
          <cell r="O43121" t="str">
            <v/>
          </cell>
        </row>
        <row r="43122">
          <cell r="O43122" t="str">
            <v/>
          </cell>
        </row>
        <row r="43123">
          <cell r="O43123" t="str">
            <v/>
          </cell>
        </row>
        <row r="43124">
          <cell r="O43124" t="str">
            <v/>
          </cell>
        </row>
        <row r="43125">
          <cell r="O43125" t="str">
            <v/>
          </cell>
        </row>
        <row r="43126">
          <cell r="O43126" t="str">
            <v/>
          </cell>
        </row>
        <row r="43127">
          <cell r="O43127" t="str">
            <v/>
          </cell>
        </row>
        <row r="43128">
          <cell r="O43128" t="str">
            <v/>
          </cell>
        </row>
        <row r="43129">
          <cell r="O43129" t="str">
            <v/>
          </cell>
        </row>
        <row r="43130">
          <cell r="O43130" t="str">
            <v/>
          </cell>
        </row>
        <row r="43131">
          <cell r="O43131" t="str">
            <v/>
          </cell>
        </row>
        <row r="43132">
          <cell r="O43132" t="str">
            <v/>
          </cell>
        </row>
        <row r="43133">
          <cell r="O43133" t="str">
            <v/>
          </cell>
        </row>
        <row r="43134">
          <cell r="O43134" t="str">
            <v/>
          </cell>
        </row>
        <row r="43135">
          <cell r="O43135" t="str">
            <v/>
          </cell>
        </row>
        <row r="43136">
          <cell r="O43136" t="str">
            <v/>
          </cell>
        </row>
        <row r="43137">
          <cell r="O43137" t="str">
            <v/>
          </cell>
        </row>
        <row r="43138">
          <cell r="O43138" t="str">
            <v/>
          </cell>
        </row>
        <row r="43139">
          <cell r="O43139" t="str">
            <v/>
          </cell>
        </row>
        <row r="43140">
          <cell r="O43140" t="str">
            <v/>
          </cell>
        </row>
        <row r="43141">
          <cell r="O43141" t="str">
            <v/>
          </cell>
        </row>
        <row r="43142">
          <cell r="O43142" t="str">
            <v/>
          </cell>
        </row>
        <row r="43143">
          <cell r="O43143" t="str">
            <v/>
          </cell>
        </row>
        <row r="43144">
          <cell r="O43144" t="str">
            <v/>
          </cell>
        </row>
        <row r="43145">
          <cell r="O43145" t="str">
            <v/>
          </cell>
        </row>
        <row r="43146">
          <cell r="O43146" t="str">
            <v/>
          </cell>
        </row>
        <row r="43147">
          <cell r="O43147" t="str">
            <v/>
          </cell>
        </row>
        <row r="43148">
          <cell r="O43148" t="str">
            <v/>
          </cell>
        </row>
        <row r="43149">
          <cell r="O43149" t="str">
            <v/>
          </cell>
        </row>
        <row r="43150">
          <cell r="O43150" t="str">
            <v/>
          </cell>
        </row>
        <row r="43151">
          <cell r="O43151" t="str">
            <v/>
          </cell>
        </row>
        <row r="43152">
          <cell r="O43152" t="str">
            <v/>
          </cell>
        </row>
        <row r="43153">
          <cell r="O43153" t="str">
            <v/>
          </cell>
        </row>
        <row r="43154">
          <cell r="O43154" t="str">
            <v/>
          </cell>
        </row>
        <row r="43155">
          <cell r="O43155" t="str">
            <v/>
          </cell>
        </row>
        <row r="43156">
          <cell r="O43156" t="str">
            <v/>
          </cell>
        </row>
        <row r="43157">
          <cell r="O43157" t="str">
            <v/>
          </cell>
        </row>
        <row r="43158">
          <cell r="O43158" t="str">
            <v/>
          </cell>
        </row>
        <row r="43159">
          <cell r="O43159" t="str">
            <v/>
          </cell>
        </row>
        <row r="43160">
          <cell r="O43160" t="str">
            <v/>
          </cell>
        </row>
        <row r="43161">
          <cell r="O43161" t="str">
            <v/>
          </cell>
        </row>
        <row r="43162">
          <cell r="O43162" t="str">
            <v/>
          </cell>
        </row>
        <row r="43163">
          <cell r="O43163" t="str">
            <v/>
          </cell>
        </row>
        <row r="43164">
          <cell r="O43164" t="str">
            <v/>
          </cell>
        </row>
        <row r="43165">
          <cell r="O43165" t="str">
            <v/>
          </cell>
        </row>
        <row r="43166">
          <cell r="O43166" t="str">
            <v/>
          </cell>
        </row>
        <row r="43167">
          <cell r="O43167" t="str">
            <v/>
          </cell>
        </row>
        <row r="43168">
          <cell r="O43168" t="str">
            <v/>
          </cell>
        </row>
        <row r="43169">
          <cell r="O43169" t="str">
            <v/>
          </cell>
        </row>
        <row r="43170">
          <cell r="O43170" t="str">
            <v/>
          </cell>
        </row>
        <row r="43171">
          <cell r="O43171" t="str">
            <v/>
          </cell>
        </row>
        <row r="43172">
          <cell r="O43172" t="str">
            <v/>
          </cell>
        </row>
        <row r="43173">
          <cell r="O43173" t="str">
            <v/>
          </cell>
        </row>
        <row r="43174">
          <cell r="O43174" t="str">
            <v/>
          </cell>
        </row>
        <row r="43175">
          <cell r="O43175" t="str">
            <v/>
          </cell>
        </row>
        <row r="43176">
          <cell r="O43176" t="str">
            <v/>
          </cell>
        </row>
        <row r="43177">
          <cell r="O43177" t="str">
            <v/>
          </cell>
        </row>
        <row r="43178">
          <cell r="O43178" t="str">
            <v/>
          </cell>
        </row>
        <row r="43179">
          <cell r="O43179" t="str">
            <v/>
          </cell>
        </row>
        <row r="43180">
          <cell r="O43180" t="str">
            <v/>
          </cell>
        </row>
        <row r="43181">
          <cell r="O43181" t="str">
            <v/>
          </cell>
        </row>
        <row r="43182">
          <cell r="O43182" t="str">
            <v/>
          </cell>
        </row>
        <row r="43183">
          <cell r="O43183" t="str">
            <v/>
          </cell>
        </row>
        <row r="43184">
          <cell r="O43184" t="str">
            <v/>
          </cell>
        </row>
        <row r="43185">
          <cell r="O43185" t="str">
            <v/>
          </cell>
        </row>
        <row r="43186">
          <cell r="O43186" t="str">
            <v/>
          </cell>
        </row>
        <row r="43187">
          <cell r="O43187" t="str">
            <v/>
          </cell>
        </row>
        <row r="43188">
          <cell r="O43188" t="str">
            <v/>
          </cell>
        </row>
        <row r="43189">
          <cell r="O43189" t="str">
            <v/>
          </cell>
        </row>
        <row r="43190">
          <cell r="O43190" t="str">
            <v/>
          </cell>
        </row>
        <row r="43191">
          <cell r="O43191" t="str">
            <v/>
          </cell>
        </row>
        <row r="43192">
          <cell r="O43192" t="str">
            <v/>
          </cell>
        </row>
        <row r="43193">
          <cell r="O43193" t="str">
            <v/>
          </cell>
        </row>
        <row r="43194">
          <cell r="O43194" t="str">
            <v/>
          </cell>
        </row>
        <row r="43195">
          <cell r="O43195" t="str">
            <v/>
          </cell>
        </row>
        <row r="43196">
          <cell r="O43196" t="str">
            <v/>
          </cell>
        </row>
        <row r="43197">
          <cell r="O43197" t="str">
            <v/>
          </cell>
        </row>
        <row r="43198">
          <cell r="O43198" t="str">
            <v/>
          </cell>
        </row>
        <row r="43199">
          <cell r="O43199" t="str">
            <v/>
          </cell>
        </row>
        <row r="43200">
          <cell r="O43200" t="str">
            <v/>
          </cell>
        </row>
        <row r="43201">
          <cell r="O43201" t="str">
            <v/>
          </cell>
        </row>
        <row r="43202">
          <cell r="O43202" t="str">
            <v/>
          </cell>
        </row>
        <row r="43203">
          <cell r="O43203" t="str">
            <v/>
          </cell>
        </row>
        <row r="43204">
          <cell r="O43204" t="str">
            <v/>
          </cell>
        </row>
        <row r="43205">
          <cell r="O43205" t="str">
            <v/>
          </cell>
        </row>
        <row r="43206">
          <cell r="O43206" t="str">
            <v/>
          </cell>
        </row>
        <row r="43207">
          <cell r="O43207" t="str">
            <v/>
          </cell>
        </row>
        <row r="43208">
          <cell r="O43208" t="str">
            <v/>
          </cell>
        </row>
        <row r="43209">
          <cell r="O43209" t="str">
            <v/>
          </cell>
        </row>
        <row r="43210">
          <cell r="O43210" t="str">
            <v/>
          </cell>
        </row>
        <row r="43211">
          <cell r="O43211" t="str">
            <v/>
          </cell>
        </row>
        <row r="43212">
          <cell r="O43212" t="str">
            <v/>
          </cell>
        </row>
        <row r="43213">
          <cell r="O43213" t="str">
            <v/>
          </cell>
        </row>
        <row r="43214">
          <cell r="O43214" t="str">
            <v/>
          </cell>
        </row>
        <row r="43215">
          <cell r="O43215" t="str">
            <v/>
          </cell>
        </row>
        <row r="43216">
          <cell r="O43216" t="str">
            <v/>
          </cell>
        </row>
        <row r="43217">
          <cell r="O43217" t="str">
            <v/>
          </cell>
        </row>
        <row r="43218">
          <cell r="O43218" t="str">
            <v/>
          </cell>
        </row>
        <row r="43219">
          <cell r="O43219" t="str">
            <v/>
          </cell>
        </row>
        <row r="43220">
          <cell r="O43220" t="str">
            <v/>
          </cell>
        </row>
        <row r="43221">
          <cell r="O43221" t="str">
            <v/>
          </cell>
        </row>
        <row r="43222">
          <cell r="O43222" t="str">
            <v/>
          </cell>
        </row>
        <row r="43223">
          <cell r="O43223" t="str">
            <v/>
          </cell>
        </row>
        <row r="43224">
          <cell r="O43224" t="str">
            <v/>
          </cell>
        </row>
        <row r="43225">
          <cell r="O43225" t="str">
            <v/>
          </cell>
        </row>
        <row r="43226">
          <cell r="O43226" t="str">
            <v/>
          </cell>
        </row>
        <row r="43227">
          <cell r="O43227" t="str">
            <v/>
          </cell>
        </row>
        <row r="43228">
          <cell r="O43228" t="str">
            <v/>
          </cell>
        </row>
        <row r="43229">
          <cell r="O43229" t="str">
            <v/>
          </cell>
        </row>
        <row r="43230">
          <cell r="O43230" t="str">
            <v/>
          </cell>
        </row>
        <row r="43231">
          <cell r="O43231" t="str">
            <v/>
          </cell>
        </row>
        <row r="43232">
          <cell r="O43232" t="str">
            <v/>
          </cell>
        </row>
        <row r="43233">
          <cell r="O43233" t="str">
            <v/>
          </cell>
        </row>
        <row r="43234">
          <cell r="O43234" t="str">
            <v/>
          </cell>
        </row>
        <row r="43235">
          <cell r="O43235" t="str">
            <v/>
          </cell>
        </row>
        <row r="43236">
          <cell r="O43236" t="str">
            <v/>
          </cell>
        </row>
        <row r="43237">
          <cell r="O43237" t="str">
            <v/>
          </cell>
        </row>
        <row r="43238">
          <cell r="O43238" t="str">
            <v/>
          </cell>
        </row>
        <row r="43239">
          <cell r="O43239" t="str">
            <v/>
          </cell>
        </row>
        <row r="43240">
          <cell r="O43240" t="str">
            <v/>
          </cell>
        </row>
        <row r="43241">
          <cell r="O43241" t="str">
            <v/>
          </cell>
        </row>
        <row r="43242">
          <cell r="O43242" t="str">
            <v/>
          </cell>
        </row>
        <row r="43243">
          <cell r="O43243" t="str">
            <v/>
          </cell>
        </row>
        <row r="43244">
          <cell r="O43244" t="str">
            <v/>
          </cell>
        </row>
        <row r="43245">
          <cell r="O43245" t="str">
            <v/>
          </cell>
        </row>
        <row r="43246">
          <cell r="O43246" t="str">
            <v/>
          </cell>
        </row>
        <row r="43247">
          <cell r="O43247" t="str">
            <v/>
          </cell>
        </row>
        <row r="43248">
          <cell r="O43248" t="str">
            <v/>
          </cell>
        </row>
        <row r="43249">
          <cell r="O43249" t="str">
            <v/>
          </cell>
        </row>
        <row r="43250">
          <cell r="O43250" t="str">
            <v/>
          </cell>
        </row>
        <row r="43251">
          <cell r="O43251" t="str">
            <v/>
          </cell>
        </row>
        <row r="43252">
          <cell r="O43252" t="str">
            <v/>
          </cell>
        </row>
        <row r="43253">
          <cell r="O43253" t="str">
            <v/>
          </cell>
        </row>
        <row r="43254">
          <cell r="O43254" t="str">
            <v/>
          </cell>
        </row>
        <row r="43255">
          <cell r="O43255" t="str">
            <v/>
          </cell>
        </row>
        <row r="43256">
          <cell r="O43256" t="str">
            <v/>
          </cell>
        </row>
        <row r="43257">
          <cell r="O43257" t="str">
            <v/>
          </cell>
        </row>
        <row r="43258">
          <cell r="O43258" t="str">
            <v/>
          </cell>
        </row>
        <row r="43259">
          <cell r="O43259" t="str">
            <v/>
          </cell>
        </row>
        <row r="43260">
          <cell r="O43260" t="str">
            <v/>
          </cell>
        </row>
        <row r="43261">
          <cell r="O43261" t="str">
            <v/>
          </cell>
        </row>
        <row r="43262">
          <cell r="O43262" t="str">
            <v/>
          </cell>
        </row>
        <row r="43263">
          <cell r="O43263" t="str">
            <v/>
          </cell>
        </row>
        <row r="43264">
          <cell r="O43264" t="str">
            <v/>
          </cell>
        </row>
        <row r="43265">
          <cell r="O43265" t="str">
            <v/>
          </cell>
        </row>
        <row r="43266">
          <cell r="O43266" t="str">
            <v/>
          </cell>
        </row>
        <row r="43267">
          <cell r="O43267" t="str">
            <v/>
          </cell>
        </row>
        <row r="43268">
          <cell r="O43268" t="str">
            <v/>
          </cell>
        </row>
        <row r="43269">
          <cell r="O43269" t="str">
            <v/>
          </cell>
        </row>
        <row r="43270">
          <cell r="O43270" t="str">
            <v/>
          </cell>
        </row>
        <row r="43271">
          <cell r="O43271" t="str">
            <v/>
          </cell>
        </row>
        <row r="43272">
          <cell r="O43272" t="str">
            <v/>
          </cell>
        </row>
        <row r="43273">
          <cell r="O43273" t="str">
            <v/>
          </cell>
        </row>
        <row r="43274">
          <cell r="O43274" t="str">
            <v/>
          </cell>
        </row>
        <row r="43275">
          <cell r="O43275" t="str">
            <v/>
          </cell>
        </row>
        <row r="43276">
          <cell r="O43276" t="str">
            <v/>
          </cell>
        </row>
        <row r="43277">
          <cell r="O43277" t="str">
            <v/>
          </cell>
        </row>
        <row r="43278">
          <cell r="O43278" t="str">
            <v/>
          </cell>
        </row>
        <row r="43279">
          <cell r="O43279" t="str">
            <v/>
          </cell>
        </row>
        <row r="43280">
          <cell r="O43280" t="str">
            <v/>
          </cell>
        </row>
        <row r="43281">
          <cell r="O43281" t="str">
            <v/>
          </cell>
        </row>
        <row r="43282">
          <cell r="O43282" t="str">
            <v/>
          </cell>
        </row>
        <row r="43283">
          <cell r="O43283" t="str">
            <v/>
          </cell>
        </row>
        <row r="43284">
          <cell r="O43284" t="str">
            <v/>
          </cell>
        </row>
        <row r="43285">
          <cell r="O43285" t="str">
            <v/>
          </cell>
        </row>
        <row r="43286">
          <cell r="O43286" t="str">
            <v/>
          </cell>
        </row>
        <row r="43287">
          <cell r="O43287" t="str">
            <v/>
          </cell>
        </row>
        <row r="43288">
          <cell r="O43288" t="str">
            <v/>
          </cell>
        </row>
        <row r="43289">
          <cell r="O43289" t="str">
            <v/>
          </cell>
        </row>
        <row r="43290">
          <cell r="O43290" t="str">
            <v/>
          </cell>
        </row>
        <row r="43291">
          <cell r="O43291" t="str">
            <v/>
          </cell>
        </row>
        <row r="43292">
          <cell r="O43292" t="str">
            <v/>
          </cell>
        </row>
        <row r="43293">
          <cell r="O43293" t="str">
            <v/>
          </cell>
        </row>
        <row r="43294">
          <cell r="O43294" t="str">
            <v/>
          </cell>
        </row>
        <row r="43295">
          <cell r="O43295" t="str">
            <v/>
          </cell>
        </row>
        <row r="43296">
          <cell r="O43296" t="str">
            <v/>
          </cell>
        </row>
        <row r="43297">
          <cell r="O43297" t="str">
            <v/>
          </cell>
        </row>
        <row r="43298">
          <cell r="O43298" t="str">
            <v/>
          </cell>
        </row>
        <row r="43299">
          <cell r="O43299" t="str">
            <v/>
          </cell>
        </row>
        <row r="43300">
          <cell r="O43300" t="str">
            <v/>
          </cell>
        </row>
        <row r="43301">
          <cell r="O43301" t="str">
            <v/>
          </cell>
        </row>
        <row r="43302">
          <cell r="O43302" t="str">
            <v/>
          </cell>
        </row>
        <row r="43303">
          <cell r="O43303" t="str">
            <v/>
          </cell>
        </row>
        <row r="43304">
          <cell r="O43304" t="str">
            <v/>
          </cell>
        </row>
        <row r="43305">
          <cell r="O43305" t="str">
            <v/>
          </cell>
        </row>
        <row r="43306">
          <cell r="O43306" t="str">
            <v/>
          </cell>
        </row>
        <row r="43307">
          <cell r="O43307" t="str">
            <v/>
          </cell>
        </row>
        <row r="43308">
          <cell r="O43308" t="str">
            <v/>
          </cell>
        </row>
        <row r="43309">
          <cell r="O43309" t="str">
            <v/>
          </cell>
        </row>
        <row r="43310">
          <cell r="O43310" t="str">
            <v/>
          </cell>
        </row>
        <row r="43311">
          <cell r="O43311" t="str">
            <v/>
          </cell>
        </row>
        <row r="43312">
          <cell r="O43312" t="str">
            <v/>
          </cell>
        </row>
        <row r="43313">
          <cell r="O43313" t="str">
            <v/>
          </cell>
        </row>
        <row r="43314">
          <cell r="O43314" t="str">
            <v/>
          </cell>
        </row>
        <row r="43315">
          <cell r="O43315" t="str">
            <v/>
          </cell>
        </row>
        <row r="43316">
          <cell r="O43316" t="str">
            <v/>
          </cell>
        </row>
        <row r="43317">
          <cell r="O43317" t="str">
            <v/>
          </cell>
        </row>
        <row r="43318">
          <cell r="O43318" t="str">
            <v/>
          </cell>
        </row>
        <row r="43319">
          <cell r="O43319" t="str">
            <v/>
          </cell>
        </row>
        <row r="43320">
          <cell r="O43320" t="str">
            <v/>
          </cell>
        </row>
        <row r="43321">
          <cell r="O43321" t="str">
            <v/>
          </cell>
        </row>
        <row r="43322">
          <cell r="O43322" t="str">
            <v/>
          </cell>
        </row>
        <row r="43323">
          <cell r="O43323" t="str">
            <v/>
          </cell>
        </row>
        <row r="43324">
          <cell r="O43324" t="str">
            <v/>
          </cell>
        </row>
        <row r="43325">
          <cell r="O43325" t="str">
            <v/>
          </cell>
        </row>
        <row r="43326">
          <cell r="O43326" t="str">
            <v/>
          </cell>
        </row>
        <row r="43327">
          <cell r="O43327" t="str">
            <v/>
          </cell>
        </row>
        <row r="43328">
          <cell r="O43328" t="str">
            <v/>
          </cell>
        </row>
        <row r="43329">
          <cell r="O43329" t="str">
            <v/>
          </cell>
        </row>
        <row r="43330">
          <cell r="O43330" t="str">
            <v/>
          </cell>
        </row>
        <row r="43331">
          <cell r="O43331" t="str">
            <v/>
          </cell>
        </row>
        <row r="43332">
          <cell r="O43332" t="str">
            <v/>
          </cell>
        </row>
        <row r="43333">
          <cell r="O43333" t="str">
            <v/>
          </cell>
        </row>
        <row r="43334">
          <cell r="O43334" t="str">
            <v/>
          </cell>
        </row>
        <row r="43335">
          <cell r="O43335" t="str">
            <v/>
          </cell>
        </row>
        <row r="43336">
          <cell r="O43336" t="str">
            <v/>
          </cell>
        </row>
        <row r="43337">
          <cell r="O43337" t="str">
            <v/>
          </cell>
        </row>
        <row r="43338">
          <cell r="O43338" t="str">
            <v/>
          </cell>
        </row>
        <row r="43339">
          <cell r="O43339" t="str">
            <v/>
          </cell>
        </row>
        <row r="43340">
          <cell r="O43340" t="str">
            <v/>
          </cell>
        </row>
        <row r="43341">
          <cell r="O43341" t="str">
            <v/>
          </cell>
        </row>
        <row r="43342">
          <cell r="O43342" t="str">
            <v/>
          </cell>
        </row>
        <row r="43343">
          <cell r="O43343" t="str">
            <v/>
          </cell>
        </row>
        <row r="43344">
          <cell r="O43344" t="str">
            <v/>
          </cell>
        </row>
        <row r="43345">
          <cell r="O43345" t="str">
            <v/>
          </cell>
        </row>
        <row r="43346">
          <cell r="O43346" t="str">
            <v/>
          </cell>
        </row>
        <row r="43347">
          <cell r="O43347" t="str">
            <v/>
          </cell>
        </row>
        <row r="43348">
          <cell r="O43348" t="str">
            <v/>
          </cell>
        </row>
        <row r="43349">
          <cell r="O43349" t="str">
            <v/>
          </cell>
        </row>
        <row r="43350">
          <cell r="O43350" t="str">
            <v/>
          </cell>
        </row>
        <row r="43351">
          <cell r="O43351" t="str">
            <v/>
          </cell>
        </row>
        <row r="43352">
          <cell r="O43352" t="str">
            <v/>
          </cell>
        </row>
        <row r="43353">
          <cell r="O43353" t="str">
            <v/>
          </cell>
        </row>
        <row r="43354">
          <cell r="O43354" t="str">
            <v/>
          </cell>
        </row>
        <row r="43355">
          <cell r="O43355" t="str">
            <v/>
          </cell>
        </row>
        <row r="43356">
          <cell r="O43356" t="str">
            <v/>
          </cell>
        </row>
        <row r="43357">
          <cell r="O43357" t="str">
            <v/>
          </cell>
        </row>
        <row r="43358">
          <cell r="O43358" t="str">
            <v/>
          </cell>
        </row>
        <row r="43359">
          <cell r="O43359" t="str">
            <v/>
          </cell>
        </row>
        <row r="43360">
          <cell r="O43360" t="str">
            <v/>
          </cell>
        </row>
        <row r="43361">
          <cell r="O43361" t="str">
            <v/>
          </cell>
        </row>
        <row r="43362">
          <cell r="O43362" t="str">
            <v/>
          </cell>
        </row>
        <row r="43363">
          <cell r="O43363" t="str">
            <v/>
          </cell>
        </row>
        <row r="43364">
          <cell r="O43364" t="str">
            <v/>
          </cell>
        </row>
        <row r="43365">
          <cell r="O43365" t="str">
            <v/>
          </cell>
        </row>
        <row r="43366">
          <cell r="O43366" t="str">
            <v/>
          </cell>
        </row>
        <row r="43367">
          <cell r="O43367" t="str">
            <v/>
          </cell>
        </row>
        <row r="43368">
          <cell r="O43368" t="str">
            <v/>
          </cell>
        </row>
        <row r="43369">
          <cell r="O43369" t="str">
            <v/>
          </cell>
        </row>
        <row r="43370">
          <cell r="O43370" t="str">
            <v/>
          </cell>
        </row>
        <row r="43371">
          <cell r="O43371" t="str">
            <v/>
          </cell>
        </row>
        <row r="43372">
          <cell r="O43372" t="str">
            <v/>
          </cell>
        </row>
        <row r="43373">
          <cell r="O43373" t="str">
            <v/>
          </cell>
        </row>
        <row r="43374">
          <cell r="O43374" t="str">
            <v/>
          </cell>
        </row>
        <row r="43375">
          <cell r="O43375" t="str">
            <v/>
          </cell>
        </row>
        <row r="43376">
          <cell r="O43376" t="str">
            <v/>
          </cell>
        </row>
        <row r="43377">
          <cell r="O43377" t="str">
            <v/>
          </cell>
        </row>
        <row r="43378">
          <cell r="O43378" t="str">
            <v/>
          </cell>
        </row>
        <row r="43379">
          <cell r="O43379" t="str">
            <v/>
          </cell>
        </row>
        <row r="43380">
          <cell r="O43380" t="str">
            <v/>
          </cell>
        </row>
        <row r="43381">
          <cell r="O43381" t="str">
            <v/>
          </cell>
        </row>
        <row r="43382">
          <cell r="O43382" t="str">
            <v/>
          </cell>
        </row>
        <row r="43383">
          <cell r="O43383" t="str">
            <v/>
          </cell>
        </row>
        <row r="43384">
          <cell r="O43384" t="str">
            <v/>
          </cell>
        </row>
        <row r="43385">
          <cell r="O43385" t="str">
            <v/>
          </cell>
        </row>
        <row r="43386">
          <cell r="O43386" t="str">
            <v/>
          </cell>
        </row>
        <row r="43387">
          <cell r="O43387" t="str">
            <v/>
          </cell>
        </row>
        <row r="43388">
          <cell r="O43388" t="str">
            <v/>
          </cell>
        </row>
        <row r="43389">
          <cell r="O43389" t="str">
            <v/>
          </cell>
        </row>
        <row r="43390">
          <cell r="O43390" t="str">
            <v/>
          </cell>
        </row>
        <row r="43391">
          <cell r="O43391" t="str">
            <v/>
          </cell>
        </row>
        <row r="43392">
          <cell r="O43392" t="str">
            <v/>
          </cell>
        </row>
        <row r="43393">
          <cell r="O43393" t="str">
            <v/>
          </cell>
        </row>
        <row r="43394">
          <cell r="O43394" t="str">
            <v/>
          </cell>
        </row>
        <row r="43395">
          <cell r="O43395" t="str">
            <v/>
          </cell>
        </row>
        <row r="43396">
          <cell r="O43396" t="str">
            <v/>
          </cell>
        </row>
        <row r="43397">
          <cell r="O43397" t="str">
            <v/>
          </cell>
        </row>
        <row r="43398">
          <cell r="O43398" t="str">
            <v/>
          </cell>
        </row>
        <row r="43399">
          <cell r="O43399" t="str">
            <v/>
          </cell>
        </row>
        <row r="43400">
          <cell r="O43400" t="str">
            <v/>
          </cell>
        </row>
        <row r="43401">
          <cell r="O43401" t="str">
            <v/>
          </cell>
        </row>
        <row r="43402">
          <cell r="O43402" t="str">
            <v/>
          </cell>
        </row>
        <row r="43403">
          <cell r="O43403" t="str">
            <v/>
          </cell>
        </row>
        <row r="43404">
          <cell r="O43404" t="str">
            <v/>
          </cell>
        </row>
        <row r="43405">
          <cell r="O43405" t="str">
            <v/>
          </cell>
        </row>
        <row r="43406">
          <cell r="O43406" t="str">
            <v/>
          </cell>
        </row>
        <row r="43407">
          <cell r="O43407" t="str">
            <v/>
          </cell>
        </row>
        <row r="43408">
          <cell r="O43408" t="str">
            <v/>
          </cell>
        </row>
        <row r="43409">
          <cell r="O43409" t="str">
            <v/>
          </cell>
        </row>
        <row r="43410">
          <cell r="O43410" t="str">
            <v/>
          </cell>
        </row>
        <row r="43411">
          <cell r="O43411" t="str">
            <v/>
          </cell>
        </row>
        <row r="43412">
          <cell r="O43412" t="str">
            <v/>
          </cell>
        </row>
        <row r="43413">
          <cell r="O43413" t="str">
            <v/>
          </cell>
        </row>
        <row r="43414">
          <cell r="O43414" t="str">
            <v/>
          </cell>
        </row>
        <row r="43415">
          <cell r="O43415" t="str">
            <v/>
          </cell>
        </row>
        <row r="43416">
          <cell r="O43416" t="str">
            <v/>
          </cell>
        </row>
        <row r="43417">
          <cell r="O43417" t="str">
            <v/>
          </cell>
        </row>
        <row r="43418">
          <cell r="O43418" t="str">
            <v/>
          </cell>
        </row>
        <row r="43419">
          <cell r="O43419" t="str">
            <v/>
          </cell>
        </row>
        <row r="43420">
          <cell r="O43420" t="str">
            <v/>
          </cell>
        </row>
        <row r="43421">
          <cell r="O43421" t="str">
            <v/>
          </cell>
        </row>
        <row r="43422">
          <cell r="O43422" t="str">
            <v/>
          </cell>
        </row>
        <row r="43423">
          <cell r="O43423" t="str">
            <v/>
          </cell>
        </row>
        <row r="43424">
          <cell r="O43424" t="str">
            <v/>
          </cell>
        </row>
        <row r="43425">
          <cell r="O43425" t="str">
            <v/>
          </cell>
        </row>
        <row r="43426">
          <cell r="O43426" t="str">
            <v/>
          </cell>
        </row>
        <row r="43427">
          <cell r="O43427" t="str">
            <v/>
          </cell>
        </row>
        <row r="43428">
          <cell r="O43428" t="str">
            <v/>
          </cell>
        </row>
        <row r="43429">
          <cell r="O43429" t="str">
            <v/>
          </cell>
        </row>
        <row r="43430">
          <cell r="O43430" t="str">
            <v/>
          </cell>
        </row>
        <row r="43431">
          <cell r="O43431" t="str">
            <v/>
          </cell>
        </row>
        <row r="43432">
          <cell r="O43432" t="str">
            <v/>
          </cell>
        </row>
        <row r="43433">
          <cell r="O43433" t="str">
            <v/>
          </cell>
        </row>
        <row r="43434">
          <cell r="O43434" t="str">
            <v/>
          </cell>
        </row>
        <row r="43435">
          <cell r="O43435" t="str">
            <v/>
          </cell>
        </row>
        <row r="43436">
          <cell r="O43436" t="str">
            <v/>
          </cell>
        </row>
        <row r="43437">
          <cell r="O43437" t="str">
            <v/>
          </cell>
        </row>
        <row r="43438">
          <cell r="O43438" t="str">
            <v/>
          </cell>
        </row>
        <row r="43439">
          <cell r="O43439" t="str">
            <v/>
          </cell>
        </row>
        <row r="43440">
          <cell r="O43440" t="str">
            <v/>
          </cell>
        </row>
        <row r="43441">
          <cell r="O43441" t="str">
            <v/>
          </cell>
        </row>
        <row r="43442">
          <cell r="O43442" t="str">
            <v/>
          </cell>
        </row>
        <row r="43443">
          <cell r="O43443" t="str">
            <v/>
          </cell>
        </row>
        <row r="43444">
          <cell r="O43444" t="str">
            <v/>
          </cell>
        </row>
        <row r="43445">
          <cell r="O43445" t="str">
            <v/>
          </cell>
        </row>
        <row r="43446">
          <cell r="O43446" t="str">
            <v/>
          </cell>
        </row>
        <row r="43447">
          <cell r="O43447" t="str">
            <v/>
          </cell>
        </row>
        <row r="43448">
          <cell r="O43448" t="str">
            <v/>
          </cell>
        </row>
        <row r="43449">
          <cell r="O43449" t="str">
            <v/>
          </cell>
        </row>
        <row r="43450">
          <cell r="O43450" t="str">
            <v/>
          </cell>
        </row>
        <row r="43451">
          <cell r="O43451" t="str">
            <v/>
          </cell>
        </row>
        <row r="43452">
          <cell r="O43452" t="str">
            <v/>
          </cell>
        </row>
        <row r="43453">
          <cell r="O43453" t="str">
            <v/>
          </cell>
        </row>
        <row r="43454">
          <cell r="O43454" t="str">
            <v/>
          </cell>
        </row>
        <row r="43455">
          <cell r="O43455" t="str">
            <v/>
          </cell>
        </row>
        <row r="43456">
          <cell r="O43456" t="str">
            <v/>
          </cell>
        </row>
        <row r="43457">
          <cell r="O43457" t="str">
            <v/>
          </cell>
        </row>
        <row r="43458">
          <cell r="O43458" t="str">
            <v/>
          </cell>
        </row>
        <row r="43459">
          <cell r="O43459" t="str">
            <v/>
          </cell>
        </row>
        <row r="43460">
          <cell r="O43460" t="str">
            <v/>
          </cell>
        </row>
        <row r="43461">
          <cell r="O43461" t="str">
            <v/>
          </cell>
        </row>
        <row r="43462">
          <cell r="O43462" t="str">
            <v/>
          </cell>
        </row>
        <row r="43463">
          <cell r="O43463" t="str">
            <v/>
          </cell>
        </row>
        <row r="43464">
          <cell r="O43464" t="str">
            <v/>
          </cell>
        </row>
        <row r="43465">
          <cell r="O43465" t="str">
            <v/>
          </cell>
        </row>
        <row r="43466">
          <cell r="O43466" t="str">
            <v/>
          </cell>
        </row>
        <row r="43467">
          <cell r="O43467" t="str">
            <v/>
          </cell>
        </row>
        <row r="43468">
          <cell r="O43468" t="str">
            <v/>
          </cell>
        </row>
        <row r="43469">
          <cell r="O43469" t="str">
            <v/>
          </cell>
        </row>
        <row r="43470">
          <cell r="O43470" t="str">
            <v/>
          </cell>
        </row>
        <row r="43471">
          <cell r="O43471" t="str">
            <v/>
          </cell>
        </row>
        <row r="43472">
          <cell r="O43472" t="str">
            <v/>
          </cell>
        </row>
        <row r="43473">
          <cell r="O43473" t="str">
            <v/>
          </cell>
        </row>
        <row r="43474">
          <cell r="O43474" t="str">
            <v/>
          </cell>
        </row>
        <row r="43475">
          <cell r="O43475" t="str">
            <v/>
          </cell>
        </row>
        <row r="43476">
          <cell r="O43476" t="str">
            <v/>
          </cell>
        </row>
        <row r="43477">
          <cell r="O43477" t="str">
            <v/>
          </cell>
        </row>
        <row r="43478">
          <cell r="O43478" t="str">
            <v/>
          </cell>
        </row>
        <row r="43479">
          <cell r="O43479" t="str">
            <v/>
          </cell>
        </row>
        <row r="43480">
          <cell r="O43480" t="str">
            <v/>
          </cell>
        </row>
        <row r="43481">
          <cell r="O43481" t="str">
            <v/>
          </cell>
        </row>
        <row r="43482">
          <cell r="O43482" t="str">
            <v/>
          </cell>
        </row>
        <row r="43483">
          <cell r="O43483" t="str">
            <v/>
          </cell>
        </row>
        <row r="43484">
          <cell r="O43484" t="str">
            <v/>
          </cell>
        </row>
        <row r="43485">
          <cell r="O43485" t="str">
            <v/>
          </cell>
        </row>
        <row r="43486">
          <cell r="O43486" t="str">
            <v/>
          </cell>
        </row>
        <row r="43487">
          <cell r="O43487" t="str">
            <v/>
          </cell>
        </row>
        <row r="43488">
          <cell r="O43488" t="str">
            <v/>
          </cell>
        </row>
        <row r="43489">
          <cell r="O43489" t="str">
            <v/>
          </cell>
        </row>
        <row r="43490">
          <cell r="O43490" t="str">
            <v/>
          </cell>
        </row>
        <row r="43491">
          <cell r="O43491" t="str">
            <v/>
          </cell>
        </row>
        <row r="43492">
          <cell r="O43492" t="str">
            <v/>
          </cell>
        </row>
        <row r="43493">
          <cell r="O43493" t="str">
            <v/>
          </cell>
        </row>
        <row r="43494">
          <cell r="O43494" t="str">
            <v/>
          </cell>
        </row>
        <row r="43495">
          <cell r="O43495" t="str">
            <v/>
          </cell>
        </row>
        <row r="43496">
          <cell r="O43496" t="str">
            <v/>
          </cell>
        </row>
        <row r="43497">
          <cell r="O43497" t="str">
            <v/>
          </cell>
        </row>
        <row r="43498">
          <cell r="O43498" t="str">
            <v/>
          </cell>
        </row>
        <row r="43499">
          <cell r="O43499" t="str">
            <v/>
          </cell>
        </row>
        <row r="43500">
          <cell r="O43500" t="str">
            <v/>
          </cell>
        </row>
        <row r="43501">
          <cell r="O43501" t="str">
            <v/>
          </cell>
        </row>
        <row r="43502">
          <cell r="O43502" t="str">
            <v/>
          </cell>
        </row>
        <row r="43503">
          <cell r="O43503" t="str">
            <v/>
          </cell>
        </row>
        <row r="43504">
          <cell r="O43504" t="str">
            <v/>
          </cell>
        </row>
        <row r="43505">
          <cell r="O43505" t="str">
            <v/>
          </cell>
        </row>
        <row r="43506">
          <cell r="O43506" t="str">
            <v/>
          </cell>
        </row>
        <row r="43507">
          <cell r="O43507" t="str">
            <v/>
          </cell>
        </row>
        <row r="43508">
          <cell r="O43508" t="str">
            <v/>
          </cell>
        </row>
        <row r="43509">
          <cell r="O43509" t="str">
            <v/>
          </cell>
        </row>
        <row r="43510">
          <cell r="O43510" t="str">
            <v/>
          </cell>
        </row>
        <row r="43511">
          <cell r="O43511" t="str">
            <v/>
          </cell>
        </row>
        <row r="43512">
          <cell r="O43512" t="str">
            <v/>
          </cell>
        </row>
        <row r="43513">
          <cell r="O43513" t="str">
            <v/>
          </cell>
        </row>
        <row r="43514">
          <cell r="O43514" t="str">
            <v/>
          </cell>
        </row>
        <row r="43515">
          <cell r="O43515" t="str">
            <v/>
          </cell>
        </row>
        <row r="43516">
          <cell r="O43516" t="str">
            <v/>
          </cell>
        </row>
        <row r="43517">
          <cell r="O43517" t="str">
            <v/>
          </cell>
        </row>
        <row r="43518">
          <cell r="O43518" t="str">
            <v/>
          </cell>
        </row>
        <row r="43519">
          <cell r="O43519" t="str">
            <v/>
          </cell>
        </row>
        <row r="43520">
          <cell r="O43520" t="str">
            <v/>
          </cell>
        </row>
        <row r="43521">
          <cell r="O43521" t="str">
            <v/>
          </cell>
        </row>
        <row r="43522">
          <cell r="O43522" t="str">
            <v/>
          </cell>
        </row>
        <row r="43523">
          <cell r="O43523" t="str">
            <v/>
          </cell>
        </row>
        <row r="43524">
          <cell r="O43524" t="str">
            <v/>
          </cell>
        </row>
        <row r="43525">
          <cell r="O43525" t="str">
            <v/>
          </cell>
        </row>
        <row r="43526">
          <cell r="O43526" t="str">
            <v/>
          </cell>
        </row>
        <row r="43527">
          <cell r="O43527" t="str">
            <v/>
          </cell>
        </row>
        <row r="43528">
          <cell r="O43528" t="str">
            <v/>
          </cell>
        </row>
        <row r="43529">
          <cell r="O43529" t="str">
            <v/>
          </cell>
        </row>
        <row r="43530">
          <cell r="O43530" t="str">
            <v/>
          </cell>
        </row>
        <row r="43531">
          <cell r="O43531" t="str">
            <v/>
          </cell>
        </row>
        <row r="43532">
          <cell r="O43532" t="str">
            <v/>
          </cell>
        </row>
        <row r="43533">
          <cell r="O43533" t="str">
            <v/>
          </cell>
        </row>
        <row r="43534">
          <cell r="O43534" t="str">
            <v/>
          </cell>
        </row>
        <row r="43535">
          <cell r="O43535" t="str">
            <v/>
          </cell>
        </row>
        <row r="43536">
          <cell r="O43536" t="str">
            <v/>
          </cell>
        </row>
        <row r="43537">
          <cell r="O43537" t="str">
            <v/>
          </cell>
        </row>
        <row r="43538">
          <cell r="O43538" t="str">
            <v/>
          </cell>
        </row>
        <row r="43539">
          <cell r="O43539" t="str">
            <v/>
          </cell>
        </row>
        <row r="43540">
          <cell r="O43540" t="str">
            <v/>
          </cell>
        </row>
        <row r="43541">
          <cell r="O43541" t="str">
            <v/>
          </cell>
        </row>
        <row r="43542">
          <cell r="O43542" t="str">
            <v/>
          </cell>
        </row>
        <row r="43543">
          <cell r="O43543" t="str">
            <v/>
          </cell>
        </row>
        <row r="43544">
          <cell r="O43544" t="str">
            <v/>
          </cell>
        </row>
        <row r="43545">
          <cell r="O43545" t="str">
            <v/>
          </cell>
        </row>
        <row r="43546">
          <cell r="O43546" t="str">
            <v/>
          </cell>
        </row>
        <row r="43547">
          <cell r="O43547" t="str">
            <v/>
          </cell>
        </row>
        <row r="43548">
          <cell r="O43548" t="str">
            <v/>
          </cell>
        </row>
        <row r="43549">
          <cell r="O43549" t="str">
            <v/>
          </cell>
        </row>
        <row r="43550">
          <cell r="O43550" t="str">
            <v/>
          </cell>
        </row>
        <row r="43551">
          <cell r="O43551" t="str">
            <v/>
          </cell>
        </row>
        <row r="43552">
          <cell r="O43552" t="str">
            <v/>
          </cell>
        </row>
        <row r="43553">
          <cell r="O43553" t="str">
            <v/>
          </cell>
        </row>
        <row r="43554">
          <cell r="O43554" t="str">
            <v/>
          </cell>
        </row>
        <row r="43555">
          <cell r="O43555" t="str">
            <v/>
          </cell>
        </row>
        <row r="43556">
          <cell r="O43556" t="str">
            <v/>
          </cell>
        </row>
        <row r="43557">
          <cell r="O43557" t="str">
            <v/>
          </cell>
        </row>
        <row r="43558">
          <cell r="O43558" t="str">
            <v/>
          </cell>
        </row>
        <row r="43559">
          <cell r="O43559" t="str">
            <v/>
          </cell>
        </row>
        <row r="43560">
          <cell r="O43560" t="str">
            <v/>
          </cell>
        </row>
        <row r="43561">
          <cell r="O43561" t="str">
            <v/>
          </cell>
        </row>
        <row r="43562">
          <cell r="O43562" t="str">
            <v/>
          </cell>
        </row>
        <row r="43563">
          <cell r="O43563" t="str">
            <v/>
          </cell>
        </row>
        <row r="43564">
          <cell r="O43564" t="str">
            <v/>
          </cell>
        </row>
        <row r="43565">
          <cell r="O43565" t="str">
            <v/>
          </cell>
        </row>
        <row r="43566">
          <cell r="O43566" t="str">
            <v/>
          </cell>
        </row>
        <row r="43567">
          <cell r="O43567" t="str">
            <v/>
          </cell>
        </row>
        <row r="43568">
          <cell r="O43568" t="str">
            <v/>
          </cell>
        </row>
        <row r="43569">
          <cell r="O43569" t="str">
            <v/>
          </cell>
        </row>
        <row r="43570">
          <cell r="O43570" t="str">
            <v/>
          </cell>
        </row>
        <row r="43571">
          <cell r="O43571" t="str">
            <v/>
          </cell>
        </row>
        <row r="43572">
          <cell r="O43572" t="str">
            <v/>
          </cell>
        </row>
        <row r="43573">
          <cell r="O43573" t="str">
            <v/>
          </cell>
        </row>
        <row r="43574">
          <cell r="O43574" t="str">
            <v/>
          </cell>
        </row>
        <row r="43575">
          <cell r="O43575" t="str">
            <v/>
          </cell>
        </row>
        <row r="43576">
          <cell r="O43576" t="str">
            <v/>
          </cell>
        </row>
        <row r="43577">
          <cell r="O43577" t="str">
            <v/>
          </cell>
        </row>
        <row r="43578">
          <cell r="O43578" t="str">
            <v/>
          </cell>
        </row>
        <row r="43579">
          <cell r="O43579" t="str">
            <v/>
          </cell>
        </row>
        <row r="43580">
          <cell r="O43580" t="str">
            <v/>
          </cell>
        </row>
        <row r="43581">
          <cell r="O43581" t="str">
            <v/>
          </cell>
        </row>
        <row r="43582">
          <cell r="O43582" t="str">
            <v/>
          </cell>
        </row>
        <row r="43583">
          <cell r="O43583" t="str">
            <v/>
          </cell>
        </row>
        <row r="43584">
          <cell r="O43584" t="str">
            <v/>
          </cell>
        </row>
        <row r="43585">
          <cell r="O43585" t="str">
            <v/>
          </cell>
        </row>
        <row r="43586">
          <cell r="O43586" t="str">
            <v/>
          </cell>
        </row>
        <row r="43587">
          <cell r="O43587" t="str">
            <v/>
          </cell>
        </row>
        <row r="43588">
          <cell r="O43588" t="str">
            <v/>
          </cell>
        </row>
        <row r="43589">
          <cell r="O43589" t="str">
            <v/>
          </cell>
        </row>
        <row r="43590">
          <cell r="O43590" t="str">
            <v/>
          </cell>
        </row>
        <row r="43591">
          <cell r="O43591" t="str">
            <v/>
          </cell>
        </row>
        <row r="43592">
          <cell r="O43592" t="str">
            <v/>
          </cell>
        </row>
        <row r="43593">
          <cell r="O43593" t="str">
            <v/>
          </cell>
        </row>
        <row r="43594">
          <cell r="O43594" t="str">
            <v/>
          </cell>
        </row>
        <row r="43595">
          <cell r="O43595" t="str">
            <v/>
          </cell>
        </row>
        <row r="43596">
          <cell r="O43596" t="str">
            <v/>
          </cell>
        </row>
        <row r="43597">
          <cell r="O43597" t="str">
            <v/>
          </cell>
        </row>
        <row r="43598">
          <cell r="O43598" t="str">
            <v/>
          </cell>
        </row>
        <row r="43599">
          <cell r="O43599" t="str">
            <v/>
          </cell>
        </row>
        <row r="43600">
          <cell r="O43600" t="str">
            <v/>
          </cell>
        </row>
        <row r="43601">
          <cell r="O43601" t="str">
            <v/>
          </cell>
        </row>
        <row r="43602">
          <cell r="O43602" t="str">
            <v/>
          </cell>
        </row>
        <row r="43603">
          <cell r="O43603" t="str">
            <v/>
          </cell>
        </row>
        <row r="43604">
          <cell r="O43604" t="str">
            <v/>
          </cell>
        </row>
        <row r="43605">
          <cell r="O43605" t="str">
            <v/>
          </cell>
        </row>
        <row r="43606">
          <cell r="O43606" t="str">
            <v/>
          </cell>
        </row>
        <row r="43607">
          <cell r="O43607" t="str">
            <v/>
          </cell>
        </row>
        <row r="43608">
          <cell r="O43608" t="str">
            <v/>
          </cell>
        </row>
        <row r="43609">
          <cell r="O43609" t="str">
            <v/>
          </cell>
        </row>
        <row r="43610">
          <cell r="O43610" t="str">
            <v/>
          </cell>
        </row>
        <row r="43611">
          <cell r="O43611" t="str">
            <v/>
          </cell>
        </row>
        <row r="43612">
          <cell r="O43612" t="str">
            <v/>
          </cell>
        </row>
        <row r="43613">
          <cell r="O43613" t="str">
            <v/>
          </cell>
        </row>
        <row r="43614">
          <cell r="O43614" t="str">
            <v/>
          </cell>
        </row>
        <row r="43615">
          <cell r="O43615" t="str">
            <v/>
          </cell>
        </row>
        <row r="43616">
          <cell r="O43616" t="str">
            <v/>
          </cell>
        </row>
        <row r="43617">
          <cell r="O43617" t="str">
            <v/>
          </cell>
        </row>
        <row r="43618">
          <cell r="O43618" t="str">
            <v/>
          </cell>
        </row>
        <row r="43619">
          <cell r="O43619" t="str">
            <v/>
          </cell>
        </row>
        <row r="43620">
          <cell r="O43620" t="str">
            <v/>
          </cell>
        </row>
        <row r="43621">
          <cell r="O43621" t="str">
            <v/>
          </cell>
        </row>
        <row r="43622">
          <cell r="O43622" t="str">
            <v/>
          </cell>
        </row>
        <row r="43623">
          <cell r="O43623" t="str">
            <v/>
          </cell>
        </row>
        <row r="43624">
          <cell r="O43624" t="str">
            <v/>
          </cell>
        </row>
        <row r="43625">
          <cell r="O43625" t="str">
            <v/>
          </cell>
        </row>
        <row r="43626">
          <cell r="O43626" t="str">
            <v/>
          </cell>
        </row>
        <row r="43627">
          <cell r="O43627" t="str">
            <v/>
          </cell>
        </row>
        <row r="43628">
          <cell r="O43628" t="str">
            <v/>
          </cell>
        </row>
        <row r="43629">
          <cell r="O43629" t="str">
            <v/>
          </cell>
        </row>
        <row r="43630">
          <cell r="O43630" t="str">
            <v/>
          </cell>
        </row>
        <row r="43631">
          <cell r="O43631" t="str">
            <v/>
          </cell>
        </row>
        <row r="43632">
          <cell r="O43632" t="str">
            <v/>
          </cell>
        </row>
        <row r="43633">
          <cell r="O43633" t="str">
            <v/>
          </cell>
        </row>
        <row r="43634">
          <cell r="O43634" t="str">
            <v/>
          </cell>
        </row>
        <row r="43635">
          <cell r="O43635" t="str">
            <v/>
          </cell>
        </row>
        <row r="43636">
          <cell r="O43636" t="str">
            <v/>
          </cell>
        </row>
        <row r="43637">
          <cell r="O43637" t="str">
            <v/>
          </cell>
        </row>
        <row r="43638">
          <cell r="O43638" t="str">
            <v/>
          </cell>
        </row>
        <row r="43639">
          <cell r="O43639" t="str">
            <v/>
          </cell>
        </row>
        <row r="43640">
          <cell r="O43640" t="str">
            <v/>
          </cell>
        </row>
        <row r="43641">
          <cell r="O43641" t="str">
            <v/>
          </cell>
        </row>
        <row r="43642">
          <cell r="O43642" t="str">
            <v/>
          </cell>
        </row>
        <row r="43643">
          <cell r="O43643" t="str">
            <v/>
          </cell>
        </row>
        <row r="43644">
          <cell r="O43644" t="str">
            <v/>
          </cell>
        </row>
        <row r="43645">
          <cell r="O43645" t="str">
            <v/>
          </cell>
        </row>
        <row r="43646">
          <cell r="O43646" t="str">
            <v/>
          </cell>
        </row>
        <row r="43647">
          <cell r="O43647" t="str">
            <v/>
          </cell>
        </row>
        <row r="43648">
          <cell r="O43648" t="str">
            <v/>
          </cell>
        </row>
        <row r="43649">
          <cell r="O43649" t="str">
            <v/>
          </cell>
        </row>
        <row r="43650">
          <cell r="O43650" t="str">
            <v/>
          </cell>
        </row>
        <row r="43651">
          <cell r="O43651" t="str">
            <v/>
          </cell>
        </row>
        <row r="43652">
          <cell r="O43652" t="str">
            <v/>
          </cell>
        </row>
        <row r="43653">
          <cell r="O43653" t="str">
            <v/>
          </cell>
        </row>
        <row r="43654">
          <cell r="O43654" t="str">
            <v/>
          </cell>
        </row>
        <row r="43655">
          <cell r="O43655" t="str">
            <v/>
          </cell>
        </row>
        <row r="43656">
          <cell r="O43656" t="str">
            <v/>
          </cell>
        </row>
        <row r="43657">
          <cell r="O43657" t="str">
            <v/>
          </cell>
        </row>
        <row r="43658">
          <cell r="O43658" t="str">
            <v/>
          </cell>
        </row>
        <row r="43659">
          <cell r="O43659" t="str">
            <v/>
          </cell>
        </row>
        <row r="43660">
          <cell r="O43660" t="str">
            <v/>
          </cell>
        </row>
        <row r="43661">
          <cell r="O43661" t="str">
            <v/>
          </cell>
        </row>
        <row r="43662">
          <cell r="O43662" t="str">
            <v/>
          </cell>
        </row>
        <row r="43663">
          <cell r="O43663" t="str">
            <v/>
          </cell>
        </row>
        <row r="43664">
          <cell r="O43664" t="str">
            <v/>
          </cell>
        </row>
        <row r="43665">
          <cell r="O43665" t="str">
            <v/>
          </cell>
        </row>
        <row r="43666">
          <cell r="O43666" t="str">
            <v/>
          </cell>
        </row>
        <row r="43667">
          <cell r="O43667" t="str">
            <v/>
          </cell>
        </row>
        <row r="43668">
          <cell r="O43668" t="str">
            <v/>
          </cell>
        </row>
        <row r="43669">
          <cell r="O43669" t="str">
            <v/>
          </cell>
        </row>
        <row r="43670">
          <cell r="O43670" t="str">
            <v/>
          </cell>
        </row>
        <row r="43671">
          <cell r="O43671" t="str">
            <v/>
          </cell>
        </row>
        <row r="43672">
          <cell r="O43672" t="str">
            <v/>
          </cell>
        </row>
        <row r="43673">
          <cell r="O43673" t="str">
            <v/>
          </cell>
        </row>
        <row r="43674">
          <cell r="O43674" t="str">
            <v/>
          </cell>
        </row>
        <row r="43675">
          <cell r="O43675" t="str">
            <v/>
          </cell>
        </row>
        <row r="43676">
          <cell r="O43676" t="str">
            <v/>
          </cell>
        </row>
        <row r="43677">
          <cell r="O43677" t="str">
            <v/>
          </cell>
        </row>
        <row r="43678">
          <cell r="O43678" t="str">
            <v/>
          </cell>
        </row>
        <row r="43679">
          <cell r="O43679" t="str">
            <v/>
          </cell>
        </row>
        <row r="43680">
          <cell r="O43680" t="str">
            <v/>
          </cell>
        </row>
        <row r="43681">
          <cell r="O43681" t="str">
            <v/>
          </cell>
        </row>
        <row r="43682">
          <cell r="O43682" t="str">
            <v/>
          </cell>
        </row>
        <row r="43683">
          <cell r="O43683" t="str">
            <v/>
          </cell>
        </row>
        <row r="43684">
          <cell r="O43684" t="str">
            <v/>
          </cell>
        </row>
        <row r="43685">
          <cell r="O43685" t="str">
            <v/>
          </cell>
        </row>
        <row r="43686">
          <cell r="O43686" t="str">
            <v/>
          </cell>
        </row>
        <row r="43687">
          <cell r="O43687" t="str">
            <v/>
          </cell>
        </row>
        <row r="43688">
          <cell r="O43688" t="str">
            <v/>
          </cell>
        </row>
        <row r="43689">
          <cell r="O43689" t="str">
            <v/>
          </cell>
        </row>
        <row r="43690">
          <cell r="O43690" t="str">
            <v/>
          </cell>
        </row>
        <row r="43691">
          <cell r="O43691" t="str">
            <v/>
          </cell>
        </row>
        <row r="43692">
          <cell r="O43692" t="str">
            <v/>
          </cell>
        </row>
        <row r="43693">
          <cell r="O43693" t="str">
            <v/>
          </cell>
        </row>
        <row r="43694">
          <cell r="O43694" t="str">
            <v/>
          </cell>
        </row>
        <row r="43695">
          <cell r="O43695" t="str">
            <v/>
          </cell>
        </row>
        <row r="43696">
          <cell r="O43696" t="str">
            <v/>
          </cell>
        </row>
        <row r="43697">
          <cell r="O43697" t="str">
            <v/>
          </cell>
        </row>
        <row r="43698">
          <cell r="O43698" t="str">
            <v/>
          </cell>
        </row>
        <row r="43699">
          <cell r="O43699" t="str">
            <v/>
          </cell>
        </row>
        <row r="43700">
          <cell r="O43700" t="str">
            <v/>
          </cell>
        </row>
        <row r="43701">
          <cell r="O43701" t="str">
            <v/>
          </cell>
        </row>
        <row r="43702">
          <cell r="O43702" t="str">
            <v/>
          </cell>
        </row>
        <row r="43703">
          <cell r="O43703" t="str">
            <v/>
          </cell>
        </row>
        <row r="43704">
          <cell r="O43704" t="str">
            <v/>
          </cell>
        </row>
        <row r="43705">
          <cell r="O43705" t="str">
            <v/>
          </cell>
        </row>
        <row r="43706">
          <cell r="O43706" t="str">
            <v/>
          </cell>
        </row>
        <row r="43707">
          <cell r="O43707" t="str">
            <v/>
          </cell>
        </row>
        <row r="43708">
          <cell r="O43708" t="str">
            <v/>
          </cell>
        </row>
        <row r="43709">
          <cell r="O43709" t="str">
            <v/>
          </cell>
        </row>
        <row r="43710">
          <cell r="O43710" t="str">
            <v/>
          </cell>
        </row>
        <row r="43711">
          <cell r="O43711" t="str">
            <v/>
          </cell>
        </row>
        <row r="43712">
          <cell r="O43712" t="str">
            <v/>
          </cell>
        </row>
        <row r="43713">
          <cell r="O43713" t="str">
            <v/>
          </cell>
        </row>
        <row r="43714">
          <cell r="O43714" t="str">
            <v/>
          </cell>
        </row>
        <row r="43715">
          <cell r="O43715" t="str">
            <v/>
          </cell>
        </row>
        <row r="43716">
          <cell r="O43716" t="str">
            <v/>
          </cell>
        </row>
        <row r="43717">
          <cell r="O43717" t="str">
            <v/>
          </cell>
        </row>
        <row r="43718">
          <cell r="O43718" t="str">
            <v/>
          </cell>
        </row>
        <row r="43719">
          <cell r="O43719" t="str">
            <v/>
          </cell>
        </row>
        <row r="43720">
          <cell r="O43720" t="str">
            <v/>
          </cell>
        </row>
        <row r="43721">
          <cell r="O43721" t="str">
            <v/>
          </cell>
        </row>
        <row r="43722">
          <cell r="O43722" t="str">
            <v/>
          </cell>
        </row>
        <row r="43723">
          <cell r="O43723" t="str">
            <v/>
          </cell>
        </row>
        <row r="43724">
          <cell r="O43724" t="str">
            <v/>
          </cell>
        </row>
        <row r="43725">
          <cell r="O43725" t="str">
            <v/>
          </cell>
        </row>
        <row r="43726">
          <cell r="O43726" t="str">
            <v/>
          </cell>
        </row>
        <row r="43727">
          <cell r="O43727" t="str">
            <v/>
          </cell>
        </row>
        <row r="43728">
          <cell r="O43728" t="str">
            <v/>
          </cell>
        </row>
        <row r="43729">
          <cell r="O43729" t="str">
            <v/>
          </cell>
        </row>
        <row r="43730">
          <cell r="O43730" t="str">
            <v/>
          </cell>
        </row>
        <row r="43731">
          <cell r="O43731" t="str">
            <v/>
          </cell>
        </row>
        <row r="43732">
          <cell r="O43732" t="str">
            <v/>
          </cell>
        </row>
        <row r="43733">
          <cell r="O43733" t="str">
            <v/>
          </cell>
        </row>
        <row r="43734">
          <cell r="O43734" t="str">
            <v/>
          </cell>
        </row>
        <row r="43735">
          <cell r="O43735" t="str">
            <v/>
          </cell>
        </row>
        <row r="43736">
          <cell r="O43736" t="str">
            <v/>
          </cell>
        </row>
        <row r="43737">
          <cell r="O43737" t="str">
            <v/>
          </cell>
        </row>
        <row r="43738">
          <cell r="O43738" t="str">
            <v/>
          </cell>
        </row>
        <row r="43739">
          <cell r="O43739" t="str">
            <v/>
          </cell>
        </row>
        <row r="43740">
          <cell r="O43740" t="str">
            <v/>
          </cell>
        </row>
        <row r="43741">
          <cell r="O43741" t="str">
            <v/>
          </cell>
        </row>
        <row r="43742">
          <cell r="O43742" t="str">
            <v/>
          </cell>
        </row>
        <row r="43743">
          <cell r="O43743" t="str">
            <v/>
          </cell>
        </row>
        <row r="43744">
          <cell r="O43744" t="str">
            <v/>
          </cell>
        </row>
        <row r="43745">
          <cell r="O43745" t="str">
            <v/>
          </cell>
        </row>
        <row r="43746">
          <cell r="O43746" t="str">
            <v/>
          </cell>
        </row>
        <row r="43747">
          <cell r="O43747" t="str">
            <v/>
          </cell>
        </row>
        <row r="43748">
          <cell r="O43748" t="str">
            <v/>
          </cell>
        </row>
        <row r="43749">
          <cell r="O43749" t="str">
            <v/>
          </cell>
        </row>
        <row r="43750">
          <cell r="O43750" t="str">
            <v/>
          </cell>
        </row>
        <row r="43751">
          <cell r="O43751" t="str">
            <v/>
          </cell>
        </row>
        <row r="43752">
          <cell r="O43752" t="str">
            <v/>
          </cell>
        </row>
        <row r="43753">
          <cell r="O43753" t="str">
            <v/>
          </cell>
        </row>
        <row r="43754">
          <cell r="O43754" t="str">
            <v/>
          </cell>
        </row>
        <row r="43755">
          <cell r="O43755" t="str">
            <v/>
          </cell>
        </row>
        <row r="43756">
          <cell r="O43756" t="str">
            <v/>
          </cell>
        </row>
        <row r="43757">
          <cell r="O43757" t="str">
            <v/>
          </cell>
        </row>
        <row r="43758">
          <cell r="O43758" t="str">
            <v/>
          </cell>
        </row>
        <row r="43759">
          <cell r="O43759" t="str">
            <v/>
          </cell>
        </row>
        <row r="43760">
          <cell r="O43760" t="str">
            <v/>
          </cell>
        </row>
        <row r="43761">
          <cell r="O43761" t="str">
            <v/>
          </cell>
        </row>
        <row r="43762">
          <cell r="O43762" t="str">
            <v/>
          </cell>
        </row>
        <row r="43763">
          <cell r="O43763" t="str">
            <v/>
          </cell>
        </row>
        <row r="43764">
          <cell r="O43764" t="str">
            <v/>
          </cell>
        </row>
        <row r="43765">
          <cell r="O43765" t="str">
            <v/>
          </cell>
        </row>
        <row r="43766">
          <cell r="O43766" t="str">
            <v/>
          </cell>
        </row>
        <row r="43767">
          <cell r="O43767" t="str">
            <v/>
          </cell>
        </row>
        <row r="43768">
          <cell r="O43768" t="str">
            <v/>
          </cell>
        </row>
        <row r="43769">
          <cell r="O43769" t="str">
            <v/>
          </cell>
        </row>
        <row r="43770">
          <cell r="O43770" t="str">
            <v/>
          </cell>
        </row>
        <row r="43771">
          <cell r="O43771" t="str">
            <v/>
          </cell>
        </row>
        <row r="43772">
          <cell r="O43772" t="str">
            <v/>
          </cell>
        </row>
        <row r="43773">
          <cell r="O43773" t="str">
            <v/>
          </cell>
        </row>
        <row r="43774">
          <cell r="O43774" t="str">
            <v/>
          </cell>
        </row>
        <row r="43775">
          <cell r="O43775" t="str">
            <v/>
          </cell>
        </row>
        <row r="43776">
          <cell r="O43776" t="str">
            <v/>
          </cell>
        </row>
        <row r="43777">
          <cell r="O43777" t="str">
            <v/>
          </cell>
        </row>
        <row r="43778">
          <cell r="O43778" t="str">
            <v/>
          </cell>
        </row>
        <row r="43779">
          <cell r="O43779" t="str">
            <v/>
          </cell>
        </row>
        <row r="43780">
          <cell r="O43780" t="str">
            <v/>
          </cell>
        </row>
        <row r="43781">
          <cell r="O43781" t="str">
            <v/>
          </cell>
        </row>
        <row r="43782">
          <cell r="O43782" t="str">
            <v/>
          </cell>
        </row>
        <row r="43783">
          <cell r="O43783" t="str">
            <v/>
          </cell>
        </row>
        <row r="43784">
          <cell r="O43784" t="str">
            <v/>
          </cell>
        </row>
        <row r="43785">
          <cell r="O43785" t="str">
            <v/>
          </cell>
        </row>
        <row r="43786">
          <cell r="O43786" t="str">
            <v/>
          </cell>
        </row>
        <row r="43787">
          <cell r="O43787" t="str">
            <v/>
          </cell>
        </row>
        <row r="43788">
          <cell r="O43788" t="str">
            <v/>
          </cell>
        </row>
        <row r="43789">
          <cell r="O43789" t="str">
            <v/>
          </cell>
        </row>
        <row r="43790">
          <cell r="O43790" t="str">
            <v/>
          </cell>
        </row>
        <row r="43791">
          <cell r="O43791" t="str">
            <v/>
          </cell>
        </row>
        <row r="43792">
          <cell r="O43792" t="str">
            <v/>
          </cell>
        </row>
        <row r="43793">
          <cell r="O43793" t="str">
            <v/>
          </cell>
        </row>
        <row r="43794">
          <cell r="O43794" t="str">
            <v/>
          </cell>
        </row>
        <row r="43795">
          <cell r="O43795" t="str">
            <v/>
          </cell>
        </row>
        <row r="43796">
          <cell r="O43796" t="str">
            <v/>
          </cell>
        </row>
        <row r="43797">
          <cell r="O43797" t="str">
            <v/>
          </cell>
        </row>
        <row r="43798">
          <cell r="O43798" t="str">
            <v/>
          </cell>
        </row>
        <row r="43799">
          <cell r="O43799" t="str">
            <v/>
          </cell>
        </row>
        <row r="43800">
          <cell r="O43800" t="str">
            <v/>
          </cell>
        </row>
        <row r="43801">
          <cell r="O43801" t="str">
            <v/>
          </cell>
        </row>
        <row r="43802">
          <cell r="O43802" t="str">
            <v/>
          </cell>
        </row>
        <row r="43803">
          <cell r="O43803" t="str">
            <v/>
          </cell>
        </row>
        <row r="43804">
          <cell r="O43804" t="str">
            <v/>
          </cell>
        </row>
        <row r="43805">
          <cell r="O43805" t="str">
            <v/>
          </cell>
        </row>
        <row r="43806">
          <cell r="O43806" t="str">
            <v/>
          </cell>
        </row>
        <row r="43807">
          <cell r="O43807" t="str">
            <v/>
          </cell>
        </row>
        <row r="43808">
          <cell r="O43808" t="str">
            <v/>
          </cell>
        </row>
        <row r="43809">
          <cell r="O43809" t="str">
            <v/>
          </cell>
        </row>
        <row r="43810">
          <cell r="O43810" t="str">
            <v/>
          </cell>
        </row>
        <row r="43811">
          <cell r="O43811" t="str">
            <v/>
          </cell>
        </row>
        <row r="43812">
          <cell r="O43812" t="str">
            <v/>
          </cell>
        </row>
        <row r="43813">
          <cell r="O43813" t="str">
            <v/>
          </cell>
        </row>
        <row r="43814">
          <cell r="O43814" t="str">
            <v/>
          </cell>
        </row>
        <row r="43815">
          <cell r="O43815" t="str">
            <v/>
          </cell>
        </row>
        <row r="43816">
          <cell r="O43816" t="str">
            <v/>
          </cell>
        </row>
        <row r="43817">
          <cell r="O43817" t="str">
            <v/>
          </cell>
        </row>
        <row r="43818">
          <cell r="O43818" t="str">
            <v/>
          </cell>
        </row>
        <row r="43819">
          <cell r="O43819" t="str">
            <v/>
          </cell>
        </row>
        <row r="43820">
          <cell r="O43820" t="str">
            <v/>
          </cell>
        </row>
        <row r="43821">
          <cell r="O43821" t="str">
            <v/>
          </cell>
        </row>
        <row r="43822">
          <cell r="O43822" t="str">
            <v/>
          </cell>
        </row>
        <row r="43823">
          <cell r="O43823" t="str">
            <v/>
          </cell>
        </row>
        <row r="43824">
          <cell r="O43824" t="str">
            <v/>
          </cell>
        </row>
        <row r="43825">
          <cell r="O43825" t="str">
            <v/>
          </cell>
        </row>
        <row r="43826">
          <cell r="O43826" t="str">
            <v/>
          </cell>
        </row>
        <row r="43827">
          <cell r="O43827" t="str">
            <v/>
          </cell>
        </row>
        <row r="43828">
          <cell r="O43828" t="str">
            <v/>
          </cell>
        </row>
        <row r="43829">
          <cell r="O43829" t="str">
            <v/>
          </cell>
        </row>
        <row r="43830">
          <cell r="O43830" t="str">
            <v/>
          </cell>
        </row>
        <row r="43831">
          <cell r="O43831" t="str">
            <v/>
          </cell>
        </row>
        <row r="43832">
          <cell r="O43832" t="str">
            <v/>
          </cell>
        </row>
        <row r="43833">
          <cell r="O43833" t="str">
            <v/>
          </cell>
        </row>
        <row r="43834">
          <cell r="O43834" t="str">
            <v/>
          </cell>
        </row>
        <row r="43835">
          <cell r="O43835" t="str">
            <v/>
          </cell>
        </row>
        <row r="43836">
          <cell r="O43836" t="str">
            <v/>
          </cell>
        </row>
        <row r="43837">
          <cell r="O43837" t="str">
            <v/>
          </cell>
        </row>
        <row r="43838">
          <cell r="O43838" t="str">
            <v/>
          </cell>
        </row>
        <row r="43839">
          <cell r="O43839" t="str">
            <v/>
          </cell>
        </row>
        <row r="43840">
          <cell r="O43840" t="str">
            <v/>
          </cell>
        </row>
        <row r="43841">
          <cell r="O43841" t="str">
            <v/>
          </cell>
        </row>
        <row r="43842">
          <cell r="O43842" t="str">
            <v/>
          </cell>
        </row>
        <row r="43843">
          <cell r="O43843" t="str">
            <v/>
          </cell>
        </row>
        <row r="43844">
          <cell r="O43844" t="str">
            <v/>
          </cell>
        </row>
        <row r="43845">
          <cell r="O43845" t="str">
            <v/>
          </cell>
        </row>
        <row r="43846">
          <cell r="O43846" t="str">
            <v/>
          </cell>
        </row>
        <row r="43847">
          <cell r="O43847" t="str">
            <v/>
          </cell>
        </row>
        <row r="43848">
          <cell r="O43848" t="str">
            <v/>
          </cell>
        </row>
        <row r="43849">
          <cell r="O43849" t="str">
            <v/>
          </cell>
        </row>
        <row r="43850">
          <cell r="O43850" t="str">
            <v/>
          </cell>
        </row>
        <row r="43851">
          <cell r="O43851" t="str">
            <v/>
          </cell>
        </row>
        <row r="43852">
          <cell r="O43852" t="str">
            <v/>
          </cell>
        </row>
        <row r="43853">
          <cell r="O43853" t="str">
            <v/>
          </cell>
        </row>
        <row r="43854">
          <cell r="O43854" t="str">
            <v/>
          </cell>
        </row>
        <row r="43855">
          <cell r="O43855" t="str">
            <v/>
          </cell>
        </row>
        <row r="43856">
          <cell r="O43856" t="str">
            <v/>
          </cell>
        </row>
        <row r="43857">
          <cell r="O43857" t="str">
            <v/>
          </cell>
        </row>
        <row r="43858">
          <cell r="O43858" t="str">
            <v/>
          </cell>
        </row>
        <row r="43859">
          <cell r="O43859" t="str">
            <v/>
          </cell>
        </row>
        <row r="43860">
          <cell r="O43860" t="str">
            <v/>
          </cell>
        </row>
        <row r="43861">
          <cell r="O43861" t="str">
            <v/>
          </cell>
        </row>
        <row r="43862">
          <cell r="O43862" t="str">
            <v/>
          </cell>
        </row>
        <row r="43863">
          <cell r="O43863" t="str">
            <v/>
          </cell>
        </row>
        <row r="43864">
          <cell r="O43864" t="str">
            <v/>
          </cell>
        </row>
        <row r="43865">
          <cell r="O43865" t="str">
            <v/>
          </cell>
        </row>
        <row r="43866">
          <cell r="O43866" t="str">
            <v/>
          </cell>
        </row>
        <row r="43867">
          <cell r="O43867" t="str">
            <v/>
          </cell>
        </row>
        <row r="43868">
          <cell r="O43868" t="str">
            <v/>
          </cell>
        </row>
        <row r="43869">
          <cell r="O43869" t="str">
            <v/>
          </cell>
        </row>
        <row r="43870">
          <cell r="O43870" t="str">
            <v/>
          </cell>
        </row>
        <row r="43871">
          <cell r="O43871" t="str">
            <v/>
          </cell>
        </row>
        <row r="43872">
          <cell r="O43872" t="str">
            <v/>
          </cell>
        </row>
        <row r="43873">
          <cell r="O43873" t="str">
            <v/>
          </cell>
        </row>
        <row r="43874">
          <cell r="O43874" t="str">
            <v/>
          </cell>
        </row>
        <row r="43875">
          <cell r="O43875" t="str">
            <v/>
          </cell>
        </row>
        <row r="43876">
          <cell r="O43876" t="str">
            <v/>
          </cell>
        </row>
        <row r="43877">
          <cell r="O43877" t="str">
            <v/>
          </cell>
        </row>
        <row r="43878">
          <cell r="O43878" t="str">
            <v/>
          </cell>
        </row>
        <row r="43879">
          <cell r="O43879" t="str">
            <v/>
          </cell>
        </row>
        <row r="43880">
          <cell r="O43880" t="str">
            <v/>
          </cell>
        </row>
        <row r="43881">
          <cell r="O43881" t="str">
            <v/>
          </cell>
        </row>
        <row r="43882">
          <cell r="O43882" t="str">
            <v/>
          </cell>
        </row>
        <row r="43883">
          <cell r="O43883" t="str">
            <v/>
          </cell>
        </row>
        <row r="43884">
          <cell r="O43884" t="str">
            <v/>
          </cell>
        </row>
        <row r="43885">
          <cell r="O43885" t="str">
            <v/>
          </cell>
        </row>
        <row r="43886">
          <cell r="O43886" t="str">
            <v/>
          </cell>
        </row>
        <row r="43887">
          <cell r="O43887" t="str">
            <v/>
          </cell>
        </row>
        <row r="43888">
          <cell r="O43888" t="str">
            <v/>
          </cell>
        </row>
        <row r="43889">
          <cell r="O43889" t="str">
            <v/>
          </cell>
        </row>
        <row r="43890">
          <cell r="O43890" t="str">
            <v/>
          </cell>
        </row>
        <row r="43891">
          <cell r="O43891" t="str">
            <v/>
          </cell>
        </row>
        <row r="43892">
          <cell r="O43892" t="str">
            <v/>
          </cell>
        </row>
        <row r="43893">
          <cell r="O43893" t="str">
            <v/>
          </cell>
        </row>
        <row r="43894">
          <cell r="O43894" t="str">
            <v/>
          </cell>
        </row>
        <row r="43895">
          <cell r="O43895" t="str">
            <v/>
          </cell>
        </row>
        <row r="43896">
          <cell r="O43896" t="str">
            <v/>
          </cell>
        </row>
        <row r="43897">
          <cell r="O43897" t="str">
            <v/>
          </cell>
        </row>
        <row r="43898">
          <cell r="O43898" t="str">
            <v/>
          </cell>
        </row>
        <row r="43899">
          <cell r="O43899" t="str">
            <v/>
          </cell>
        </row>
        <row r="43900">
          <cell r="O43900" t="str">
            <v/>
          </cell>
        </row>
        <row r="43901">
          <cell r="O43901" t="str">
            <v/>
          </cell>
        </row>
        <row r="43902">
          <cell r="O43902" t="str">
            <v/>
          </cell>
        </row>
        <row r="43903">
          <cell r="O43903" t="str">
            <v/>
          </cell>
        </row>
        <row r="43904">
          <cell r="O43904" t="str">
            <v/>
          </cell>
        </row>
        <row r="43905">
          <cell r="O43905" t="str">
            <v/>
          </cell>
        </row>
        <row r="43906">
          <cell r="O43906" t="str">
            <v/>
          </cell>
        </row>
        <row r="43907">
          <cell r="O43907" t="str">
            <v/>
          </cell>
        </row>
        <row r="43908">
          <cell r="O43908" t="str">
            <v/>
          </cell>
        </row>
        <row r="43909">
          <cell r="O43909" t="str">
            <v/>
          </cell>
        </row>
        <row r="43910">
          <cell r="O43910" t="str">
            <v/>
          </cell>
        </row>
        <row r="43911">
          <cell r="O43911" t="str">
            <v/>
          </cell>
        </row>
        <row r="43912">
          <cell r="O43912" t="str">
            <v/>
          </cell>
        </row>
        <row r="43913">
          <cell r="O43913" t="str">
            <v/>
          </cell>
        </row>
        <row r="43914">
          <cell r="O43914" t="str">
            <v/>
          </cell>
        </row>
        <row r="43915">
          <cell r="O43915" t="str">
            <v/>
          </cell>
        </row>
        <row r="43916">
          <cell r="O43916" t="str">
            <v/>
          </cell>
        </row>
        <row r="43917">
          <cell r="O43917" t="str">
            <v/>
          </cell>
        </row>
        <row r="43918">
          <cell r="O43918" t="str">
            <v/>
          </cell>
        </row>
        <row r="43919">
          <cell r="O43919" t="str">
            <v/>
          </cell>
        </row>
        <row r="43920">
          <cell r="O43920" t="str">
            <v/>
          </cell>
        </row>
        <row r="43921">
          <cell r="O43921" t="str">
            <v/>
          </cell>
        </row>
        <row r="43922">
          <cell r="O43922" t="str">
            <v/>
          </cell>
        </row>
        <row r="43923">
          <cell r="O43923" t="str">
            <v/>
          </cell>
        </row>
        <row r="43924">
          <cell r="O43924" t="str">
            <v/>
          </cell>
        </row>
        <row r="43925">
          <cell r="O43925" t="str">
            <v/>
          </cell>
        </row>
        <row r="43926">
          <cell r="O43926" t="str">
            <v/>
          </cell>
        </row>
        <row r="43927">
          <cell r="O43927" t="str">
            <v/>
          </cell>
        </row>
        <row r="43928">
          <cell r="O43928" t="str">
            <v/>
          </cell>
        </row>
        <row r="43929">
          <cell r="O43929" t="str">
            <v/>
          </cell>
        </row>
        <row r="43930">
          <cell r="O43930" t="str">
            <v/>
          </cell>
        </row>
        <row r="43931">
          <cell r="O43931" t="str">
            <v/>
          </cell>
        </row>
        <row r="43932">
          <cell r="O43932" t="str">
            <v/>
          </cell>
        </row>
        <row r="43933">
          <cell r="O43933" t="str">
            <v/>
          </cell>
        </row>
        <row r="43934">
          <cell r="O43934" t="str">
            <v/>
          </cell>
        </row>
        <row r="43935">
          <cell r="O43935" t="str">
            <v/>
          </cell>
        </row>
        <row r="43936">
          <cell r="O43936" t="str">
            <v/>
          </cell>
        </row>
        <row r="43937">
          <cell r="O43937" t="str">
            <v/>
          </cell>
        </row>
        <row r="43938">
          <cell r="O43938" t="str">
            <v/>
          </cell>
        </row>
        <row r="43939">
          <cell r="O43939" t="str">
            <v/>
          </cell>
        </row>
        <row r="43940">
          <cell r="O43940" t="str">
            <v/>
          </cell>
        </row>
        <row r="43941">
          <cell r="O43941" t="str">
            <v/>
          </cell>
        </row>
        <row r="43942">
          <cell r="O43942" t="str">
            <v/>
          </cell>
        </row>
        <row r="43943">
          <cell r="O43943" t="str">
            <v/>
          </cell>
        </row>
        <row r="43944">
          <cell r="O43944" t="str">
            <v/>
          </cell>
        </row>
        <row r="43945">
          <cell r="O43945" t="str">
            <v/>
          </cell>
        </row>
        <row r="43946">
          <cell r="O43946" t="str">
            <v/>
          </cell>
        </row>
        <row r="43947">
          <cell r="O43947" t="str">
            <v/>
          </cell>
        </row>
        <row r="43948">
          <cell r="O43948" t="str">
            <v/>
          </cell>
        </row>
        <row r="43949">
          <cell r="O43949" t="str">
            <v/>
          </cell>
        </row>
        <row r="43950">
          <cell r="O43950" t="str">
            <v/>
          </cell>
        </row>
        <row r="43951">
          <cell r="O43951" t="str">
            <v/>
          </cell>
        </row>
        <row r="43952">
          <cell r="O43952" t="str">
            <v/>
          </cell>
        </row>
        <row r="43953">
          <cell r="O43953" t="str">
            <v/>
          </cell>
        </row>
        <row r="43954">
          <cell r="O43954" t="str">
            <v/>
          </cell>
        </row>
        <row r="43955">
          <cell r="O43955" t="str">
            <v/>
          </cell>
        </row>
        <row r="43956">
          <cell r="O43956" t="str">
            <v/>
          </cell>
        </row>
        <row r="43957">
          <cell r="O43957" t="str">
            <v/>
          </cell>
        </row>
        <row r="43958">
          <cell r="O43958" t="str">
            <v/>
          </cell>
        </row>
        <row r="43959">
          <cell r="O43959" t="str">
            <v/>
          </cell>
        </row>
        <row r="43960">
          <cell r="O43960" t="str">
            <v/>
          </cell>
        </row>
        <row r="43961">
          <cell r="O43961" t="str">
            <v/>
          </cell>
        </row>
        <row r="43962">
          <cell r="O43962" t="str">
            <v/>
          </cell>
        </row>
        <row r="43963">
          <cell r="O43963" t="str">
            <v/>
          </cell>
        </row>
        <row r="43964">
          <cell r="O43964" t="str">
            <v/>
          </cell>
        </row>
        <row r="43965">
          <cell r="O43965" t="str">
            <v/>
          </cell>
        </row>
        <row r="43966">
          <cell r="O43966" t="str">
            <v/>
          </cell>
        </row>
        <row r="43967">
          <cell r="O43967" t="str">
            <v/>
          </cell>
        </row>
        <row r="43968">
          <cell r="O43968" t="str">
            <v/>
          </cell>
        </row>
        <row r="43969">
          <cell r="O43969" t="str">
            <v/>
          </cell>
        </row>
        <row r="43970">
          <cell r="O43970" t="str">
            <v/>
          </cell>
        </row>
        <row r="43971">
          <cell r="O43971" t="str">
            <v/>
          </cell>
        </row>
        <row r="43972">
          <cell r="O43972" t="str">
            <v/>
          </cell>
        </row>
        <row r="43973">
          <cell r="O43973" t="str">
            <v/>
          </cell>
        </row>
        <row r="43974">
          <cell r="O43974" t="str">
            <v/>
          </cell>
        </row>
        <row r="43975">
          <cell r="O43975" t="str">
            <v/>
          </cell>
        </row>
        <row r="43976">
          <cell r="O43976" t="str">
            <v/>
          </cell>
        </row>
        <row r="43977">
          <cell r="O43977" t="str">
            <v/>
          </cell>
        </row>
        <row r="43978">
          <cell r="O43978" t="str">
            <v/>
          </cell>
        </row>
        <row r="43979">
          <cell r="O43979" t="str">
            <v/>
          </cell>
        </row>
        <row r="43980">
          <cell r="O43980" t="str">
            <v/>
          </cell>
        </row>
        <row r="43981">
          <cell r="O43981" t="str">
            <v/>
          </cell>
        </row>
        <row r="43982">
          <cell r="O43982" t="str">
            <v/>
          </cell>
        </row>
        <row r="43983">
          <cell r="O43983" t="str">
            <v/>
          </cell>
        </row>
        <row r="43984">
          <cell r="O43984" t="str">
            <v/>
          </cell>
        </row>
        <row r="43985">
          <cell r="O43985" t="str">
            <v/>
          </cell>
        </row>
        <row r="43986">
          <cell r="O43986" t="str">
            <v/>
          </cell>
        </row>
        <row r="43987">
          <cell r="O43987" t="str">
            <v/>
          </cell>
        </row>
        <row r="43988">
          <cell r="O43988" t="str">
            <v/>
          </cell>
        </row>
        <row r="43989">
          <cell r="O43989" t="str">
            <v/>
          </cell>
        </row>
        <row r="43990">
          <cell r="O43990" t="str">
            <v/>
          </cell>
        </row>
        <row r="43991">
          <cell r="O43991" t="str">
            <v/>
          </cell>
        </row>
        <row r="43992">
          <cell r="O43992" t="str">
            <v/>
          </cell>
        </row>
        <row r="43993">
          <cell r="O43993" t="str">
            <v/>
          </cell>
        </row>
        <row r="43994">
          <cell r="O43994" t="str">
            <v/>
          </cell>
        </row>
        <row r="43995">
          <cell r="O43995" t="str">
            <v/>
          </cell>
        </row>
        <row r="43996">
          <cell r="O43996" t="str">
            <v/>
          </cell>
        </row>
        <row r="43997">
          <cell r="O43997" t="str">
            <v/>
          </cell>
        </row>
        <row r="43998">
          <cell r="O43998" t="str">
            <v/>
          </cell>
        </row>
        <row r="43999">
          <cell r="O43999" t="str">
            <v/>
          </cell>
        </row>
        <row r="44000">
          <cell r="O44000" t="str">
            <v/>
          </cell>
        </row>
        <row r="44001">
          <cell r="O44001" t="str">
            <v/>
          </cell>
        </row>
        <row r="44002">
          <cell r="O44002" t="str">
            <v/>
          </cell>
        </row>
        <row r="44003">
          <cell r="O44003" t="str">
            <v/>
          </cell>
        </row>
        <row r="44004">
          <cell r="O44004" t="str">
            <v/>
          </cell>
        </row>
        <row r="44005">
          <cell r="O44005" t="str">
            <v/>
          </cell>
        </row>
        <row r="44006">
          <cell r="O44006" t="str">
            <v/>
          </cell>
        </row>
        <row r="44007">
          <cell r="O44007" t="str">
            <v/>
          </cell>
        </row>
        <row r="44008">
          <cell r="O44008" t="str">
            <v/>
          </cell>
        </row>
        <row r="44009">
          <cell r="O44009" t="str">
            <v/>
          </cell>
        </row>
        <row r="44010">
          <cell r="O44010" t="str">
            <v/>
          </cell>
        </row>
        <row r="44011">
          <cell r="O44011" t="str">
            <v/>
          </cell>
        </row>
        <row r="44012">
          <cell r="O44012" t="str">
            <v/>
          </cell>
        </row>
        <row r="44013">
          <cell r="O44013" t="str">
            <v/>
          </cell>
        </row>
        <row r="44014">
          <cell r="O44014" t="str">
            <v/>
          </cell>
        </row>
        <row r="44015">
          <cell r="O44015" t="str">
            <v/>
          </cell>
        </row>
        <row r="44016">
          <cell r="O44016" t="str">
            <v/>
          </cell>
        </row>
        <row r="44017">
          <cell r="O44017" t="str">
            <v/>
          </cell>
        </row>
        <row r="44018">
          <cell r="O44018" t="str">
            <v/>
          </cell>
        </row>
        <row r="44019">
          <cell r="O44019" t="str">
            <v/>
          </cell>
        </row>
        <row r="44020">
          <cell r="O44020" t="str">
            <v/>
          </cell>
        </row>
        <row r="44021">
          <cell r="O44021" t="str">
            <v/>
          </cell>
        </row>
        <row r="44022">
          <cell r="O44022" t="str">
            <v/>
          </cell>
        </row>
        <row r="44023">
          <cell r="O44023" t="str">
            <v/>
          </cell>
        </row>
        <row r="44024">
          <cell r="O44024" t="str">
            <v/>
          </cell>
        </row>
        <row r="44025">
          <cell r="O44025" t="str">
            <v/>
          </cell>
        </row>
        <row r="44026">
          <cell r="O44026" t="str">
            <v/>
          </cell>
        </row>
        <row r="44027">
          <cell r="O44027" t="str">
            <v/>
          </cell>
        </row>
        <row r="44028">
          <cell r="O44028" t="str">
            <v/>
          </cell>
        </row>
        <row r="44029">
          <cell r="O44029" t="str">
            <v/>
          </cell>
        </row>
        <row r="44030">
          <cell r="O44030" t="str">
            <v/>
          </cell>
        </row>
        <row r="44031">
          <cell r="O44031" t="str">
            <v/>
          </cell>
        </row>
        <row r="44032">
          <cell r="O44032" t="str">
            <v/>
          </cell>
        </row>
        <row r="44033">
          <cell r="O44033" t="str">
            <v/>
          </cell>
        </row>
        <row r="44034">
          <cell r="O44034" t="str">
            <v/>
          </cell>
        </row>
        <row r="44035">
          <cell r="O44035" t="str">
            <v/>
          </cell>
        </row>
        <row r="44036">
          <cell r="O44036" t="str">
            <v/>
          </cell>
        </row>
        <row r="44037">
          <cell r="O44037" t="str">
            <v/>
          </cell>
        </row>
        <row r="44038">
          <cell r="O44038" t="str">
            <v/>
          </cell>
        </row>
        <row r="44039">
          <cell r="O44039" t="str">
            <v/>
          </cell>
        </row>
        <row r="44040">
          <cell r="O44040" t="str">
            <v/>
          </cell>
        </row>
        <row r="44041">
          <cell r="O44041" t="str">
            <v/>
          </cell>
        </row>
        <row r="44042">
          <cell r="O44042" t="str">
            <v/>
          </cell>
        </row>
        <row r="44043">
          <cell r="O44043" t="str">
            <v/>
          </cell>
        </row>
        <row r="44044">
          <cell r="O44044" t="str">
            <v/>
          </cell>
        </row>
        <row r="44045">
          <cell r="O44045" t="str">
            <v/>
          </cell>
        </row>
        <row r="44046">
          <cell r="O44046" t="str">
            <v/>
          </cell>
        </row>
        <row r="44047">
          <cell r="O44047" t="str">
            <v/>
          </cell>
        </row>
        <row r="44048">
          <cell r="O44048" t="str">
            <v/>
          </cell>
        </row>
        <row r="44049">
          <cell r="O44049" t="str">
            <v/>
          </cell>
        </row>
        <row r="44050">
          <cell r="O44050" t="str">
            <v/>
          </cell>
        </row>
        <row r="44051">
          <cell r="O44051" t="str">
            <v/>
          </cell>
        </row>
        <row r="44052">
          <cell r="O44052" t="str">
            <v/>
          </cell>
        </row>
        <row r="44053">
          <cell r="O44053" t="str">
            <v/>
          </cell>
        </row>
        <row r="44054">
          <cell r="O44054" t="str">
            <v/>
          </cell>
        </row>
        <row r="44055">
          <cell r="O44055" t="str">
            <v/>
          </cell>
        </row>
        <row r="44056">
          <cell r="O44056" t="str">
            <v/>
          </cell>
        </row>
        <row r="44057">
          <cell r="O44057" t="str">
            <v/>
          </cell>
        </row>
        <row r="44058">
          <cell r="O44058" t="str">
            <v/>
          </cell>
        </row>
        <row r="44059">
          <cell r="O44059" t="str">
            <v/>
          </cell>
        </row>
        <row r="44060">
          <cell r="O44060" t="str">
            <v/>
          </cell>
        </row>
        <row r="44061">
          <cell r="O44061" t="str">
            <v/>
          </cell>
        </row>
        <row r="44062">
          <cell r="O44062" t="str">
            <v/>
          </cell>
        </row>
        <row r="44063">
          <cell r="O44063" t="str">
            <v/>
          </cell>
        </row>
        <row r="44064">
          <cell r="O44064" t="str">
            <v/>
          </cell>
        </row>
        <row r="44065">
          <cell r="O44065" t="str">
            <v/>
          </cell>
        </row>
        <row r="44066">
          <cell r="O44066" t="str">
            <v/>
          </cell>
        </row>
        <row r="44067">
          <cell r="O44067" t="str">
            <v/>
          </cell>
        </row>
        <row r="44068">
          <cell r="O44068" t="str">
            <v/>
          </cell>
        </row>
        <row r="44069">
          <cell r="O44069" t="str">
            <v/>
          </cell>
        </row>
        <row r="44070">
          <cell r="O44070" t="str">
            <v/>
          </cell>
        </row>
        <row r="44071">
          <cell r="O44071" t="str">
            <v/>
          </cell>
        </row>
        <row r="44072">
          <cell r="O44072" t="str">
            <v/>
          </cell>
        </row>
        <row r="44073">
          <cell r="O44073" t="str">
            <v/>
          </cell>
        </row>
        <row r="44074">
          <cell r="O44074" t="str">
            <v/>
          </cell>
        </row>
        <row r="44075">
          <cell r="O44075" t="str">
            <v/>
          </cell>
        </row>
        <row r="44076">
          <cell r="O44076" t="str">
            <v/>
          </cell>
        </row>
        <row r="44077">
          <cell r="O44077" t="str">
            <v/>
          </cell>
        </row>
        <row r="44078">
          <cell r="O44078" t="str">
            <v/>
          </cell>
        </row>
        <row r="44079">
          <cell r="O44079" t="str">
            <v/>
          </cell>
        </row>
        <row r="44080">
          <cell r="O44080" t="str">
            <v/>
          </cell>
        </row>
        <row r="44081">
          <cell r="O44081" t="str">
            <v/>
          </cell>
        </row>
        <row r="44082">
          <cell r="O44082" t="str">
            <v/>
          </cell>
        </row>
        <row r="44083">
          <cell r="O44083" t="str">
            <v/>
          </cell>
        </row>
        <row r="44084">
          <cell r="O44084" t="str">
            <v/>
          </cell>
        </row>
        <row r="44085">
          <cell r="O44085" t="str">
            <v/>
          </cell>
        </row>
        <row r="44086">
          <cell r="O44086" t="str">
            <v/>
          </cell>
        </row>
        <row r="44087">
          <cell r="O44087" t="str">
            <v/>
          </cell>
        </row>
        <row r="44088">
          <cell r="O44088" t="str">
            <v/>
          </cell>
        </row>
        <row r="44089">
          <cell r="O44089" t="str">
            <v/>
          </cell>
        </row>
        <row r="44090">
          <cell r="O44090" t="str">
            <v/>
          </cell>
        </row>
        <row r="44091">
          <cell r="O44091" t="str">
            <v/>
          </cell>
        </row>
        <row r="44092">
          <cell r="O44092" t="str">
            <v/>
          </cell>
        </row>
        <row r="44093">
          <cell r="O44093" t="str">
            <v/>
          </cell>
        </row>
        <row r="44094">
          <cell r="O44094" t="str">
            <v/>
          </cell>
        </row>
        <row r="44095">
          <cell r="O44095" t="str">
            <v/>
          </cell>
        </row>
        <row r="44096">
          <cell r="O44096" t="str">
            <v/>
          </cell>
        </row>
        <row r="44097">
          <cell r="O44097" t="str">
            <v/>
          </cell>
        </row>
        <row r="44098">
          <cell r="O44098" t="str">
            <v/>
          </cell>
        </row>
        <row r="44099">
          <cell r="O44099" t="str">
            <v/>
          </cell>
        </row>
        <row r="44100">
          <cell r="O44100" t="str">
            <v/>
          </cell>
        </row>
        <row r="44101">
          <cell r="O44101" t="str">
            <v/>
          </cell>
        </row>
        <row r="44102">
          <cell r="O44102" t="str">
            <v/>
          </cell>
        </row>
        <row r="44103">
          <cell r="O44103" t="str">
            <v/>
          </cell>
        </row>
        <row r="44104">
          <cell r="O44104" t="str">
            <v/>
          </cell>
        </row>
        <row r="44105">
          <cell r="O44105" t="str">
            <v/>
          </cell>
        </row>
        <row r="44106">
          <cell r="O44106" t="str">
            <v/>
          </cell>
        </row>
        <row r="44107">
          <cell r="O44107" t="str">
            <v/>
          </cell>
        </row>
        <row r="44108">
          <cell r="O44108" t="str">
            <v/>
          </cell>
        </row>
        <row r="44109">
          <cell r="O44109" t="str">
            <v/>
          </cell>
        </row>
        <row r="44110">
          <cell r="O44110" t="str">
            <v/>
          </cell>
        </row>
        <row r="44111">
          <cell r="O44111" t="str">
            <v/>
          </cell>
        </row>
        <row r="44112">
          <cell r="O44112" t="str">
            <v/>
          </cell>
        </row>
        <row r="44113">
          <cell r="O44113" t="str">
            <v/>
          </cell>
        </row>
        <row r="44114">
          <cell r="O44114" t="str">
            <v/>
          </cell>
        </row>
        <row r="44115">
          <cell r="O44115" t="str">
            <v/>
          </cell>
        </row>
        <row r="44116">
          <cell r="O44116" t="str">
            <v/>
          </cell>
        </row>
        <row r="44117">
          <cell r="O44117" t="str">
            <v/>
          </cell>
        </row>
        <row r="44118">
          <cell r="O44118" t="str">
            <v/>
          </cell>
        </row>
        <row r="44119">
          <cell r="O44119" t="str">
            <v/>
          </cell>
        </row>
        <row r="44120">
          <cell r="O44120" t="str">
            <v/>
          </cell>
        </row>
        <row r="44121">
          <cell r="O44121" t="str">
            <v/>
          </cell>
        </row>
        <row r="44122">
          <cell r="O44122" t="str">
            <v/>
          </cell>
        </row>
        <row r="44123">
          <cell r="O44123" t="str">
            <v/>
          </cell>
        </row>
        <row r="44124">
          <cell r="O44124" t="str">
            <v/>
          </cell>
        </row>
        <row r="44125">
          <cell r="O44125" t="str">
            <v/>
          </cell>
        </row>
        <row r="44126">
          <cell r="O44126" t="str">
            <v/>
          </cell>
        </row>
        <row r="44127">
          <cell r="O44127" t="str">
            <v/>
          </cell>
        </row>
        <row r="44128">
          <cell r="O44128" t="str">
            <v/>
          </cell>
        </row>
        <row r="44129">
          <cell r="O44129" t="str">
            <v/>
          </cell>
        </row>
        <row r="44130">
          <cell r="O44130" t="str">
            <v/>
          </cell>
        </row>
        <row r="44131">
          <cell r="O44131" t="str">
            <v/>
          </cell>
        </row>
        <row r="44132">
          <cell r="O44132" t="str">
            <v/>
          </cell>
        </row>
        <row r="44133">
          <cell r="O44133" t="str">
            <v/>
          </cell>
        </row>
        <row r="44134">
          <cell r="O44134" t="str">
            <v/>
          </cell>
        </row>
        <row r="44135">
          <cell r="O44135" t="str">
            <v/>
          </cell>
        </row>
        <row r="44136">
          <cell r="O44136" t="str">
            <v/>
          </cell>
        </row>
        <row r="44137">
          <cell r="O44137" t="str">
            <v/>
          </cell>
        </row>
        <row r="44138">
          <cell r="O44138" t="str">
            <v/>
          </cell>
        </row>
        <row r="44139">
          <cell r="O44139" t="str">
            <v/>
          </cell>
        </row>
        <row r="44140">
          <cell r="O44140" t="str">
            <v/>
          </cell>
        </row>
        <row r="44141">
          <cell r="O44141" t="str">
            <v/>
          </cell>
        </row>
        <row r="44142">
          <cell r="O44142" t="str">
            <v/>
          </cell>
        </row>
        <row r="44143">
          <cell r="O44143" t="str">
            <v/>
          </cell>
        </row>
        <row r="44144">
          <cell r="O44144" t="str">
            <v/>
          </cell>
        </row>
        <row r="44145">
          <cell r="O44145" t="str">
            <v/>
          </cell>
        </row>
        <row r="44146">
          <cell r="O44146" t="str">
            <v/>
          </cell>
        </row>
        <row r="44147">
          <cell r="O44147" t="str">
            <v/>
          </cell>
        </row>
        <row r="44148">
          <cell r="O44148" t="str">
            <v/>
          </cell>
        </row>
        <row r="44149">
          <cell r="O44149" t="str">
            <v/>
          </cell>
        </row>
        <row r="44150">
          <cell r="O44150" t="str">
            <v/>
          </cell>
        </row>
        <row r="44151">
          <cell r="O44151" t="str">
            <v/>
          </cell>
        </row>
        <row r="44152">
          <cell r="O44152" t="str">
            <v/>
          </cell>
        </row>
        <row r="44153">
          <cell r="O44153" t="str">
            <v/>
          </cell>
        </row>
        <row r="44154">
          <cell r="O44154" t="str">
            <v/>
          </cell>
        </row>
        <row r="44155">
          <cell r="O44155" t="str">
            <v/>
          </cell>
        </row>
        <row r="44156">
          <cell r="O44156" t="str">
            <v/>
          </cell>
        </row>
        <row r="44157">
          <cell r="O44157" t="str">
            <v/>
          </cell>
        </row>
        <row r="44158">
          <cell r="O44158" t="str">
            <v/>
          </cell>
        </row>
        <row r="44159">
          <cell r="O44159" t="str">
            <v/>
          </cell>
        </row>
        <row r="44160">
          <cell r="O44160" t="str">
            <v/>
          </cell>
        </row>
        <row r="44161">
          <cell r="O44161" t="str">
            <v/>
          </cell>
        </row>
        <row r="44162">
          <cell r="O44162" t="str">
            <v/>
          </cell>
        </row>
        <row r="44163">
          <cell r="O44163" t="str">
            <v/>
          </cell>
        </row>
        <row r="44164">
          <cell r="O44164" t="str">
            <v/>
          </cell>
        </row>
        <row r="44165">
          <cell r="O44165" t="str">
            <v/>
          </cell>
        </row>
        <row r="44166">
          <cell r="O44166" t="str">
            <v/>
          </cell>
        </row>
        <row r="44167">
          <cell r="O44167" t="str">
            <v/>
          </cell>
        </row>
        <row r="44168">
          <cell r="O44168" t="str">
            <v/>
          </cell>
        </row>
        <row r="44169">
          <cell r="O44169" t="str">
            <v/>
          </cell>
        </row>
        <row r="44170">
          <cell r="O44170" t="str">
            <v/>
          </cell>
        </row>
        <row r="44171">
          <cell r="O44171" t="str">
            <v/>
          </cell>
        </row>
        <row r="44172">
          <cell r="O44172" t="str">
            <v/>
          </cell>
        </row>
        <row r="44173">
          <cell r="O44173" t="str">
            <v/>
          </cell>
        </row>
        <row r="44174">
          <cell r="O44174" t="str">
            <v/>
          </cell>
        </row>
        <row r="44175">
          <cell r="O44175" t="str">
            <v/>
          </cell>
        </row>
        <row r="44176">
          <cell r="O44176" t="str">
            <v/>
          </cell>
        </row>
        <row r="44177">
          <cell r="O44177" t="str">
            <v/>
          </cell>
        </row>
        <row r="44178">
          <cell r="O44178" t="str">
            <v/>
          </cell>
        </row>
        <row r="44179">
          <cell r="O44179" t="str">
            <v/>
          </cell>
        </row>
        <row r="44180">
          <cell r="O44180" t="str">
            <v/>
          </cell>
        </row>
        <row r="44181">
          <cell r="O44181" t="str">
            <v/>
          </cell>
        </row>
        <row r="44182">
          <cell r="O44182" t="str">
            <v/>
          </cell>
        </row>
        <row r="44183">
          <cell r="O44183" t="str">
            <v/>
          </cell>
        </row>
        <row r="44184">
          <cell r="O44184" t="str">
            <v/>
          </cell>
        </row>
        <row r="44185">
          <cell r="O44185" t="str">
            <v/>
          </cell>
        </row>
        <row r="44186">
          <cell r="O44186" t="str">
            <v/>
          </cell>
        </row>
        <row r="44187">
          <cell r="O44187" t="str">
            <v/>
          </cell>
        </row>
        <row r="44188">
          <cell r="O44188" t="str">
            <v/>
          </cell>
        </row>
        <row r="44189">
          <cell r="O44189" t="str">
            <v/>
          </cell>
        </row>
        <row r="44190">
          <cell r="O44190" t="str">
            <v/>
          </cell>
        </row>
        <row r="44191">
          <cell r="O44191" t="str">
            <v/>
          </cell>
        </row>
        <row r="44192">
          <cell r="O44192" t="str">
            <v/>
          </cell>
        </row>
        <row r="44193">
          <cell r="O44193" t="str">
            <v/>
          </cell>
        </row>
        <row r="44194">
          <cell r="O44194" t="str">
            <v/>
          </cell>
        </row>
        <row r="44195">
          <cell r="O44195" t="str">
            <v/>
          </cell>
        </row>
        <row r="44196">
          <cell r="O44196" t="str">
            <v/>
          </cell>
        </row>
        <row r="44197">
          <cell r="O44197" t="str">
            <v/>
          </cell>
        </row>
        <row r="44198">
          <cell r="O44198" t="str">
            <v/>
          </cell>
        </row>
        <row r="44199">
          <cell r="O44199" t="str">
            <v/>
          </cell>
        </row>
        <row r="44200">
          <cell r="O44200" t="str">
            <v/>
          </cell>
        </row>
        <row r="44201">
          <cell r="O44201" t="str">
            <v/>
          </cell>
        </row>
        <row r="44202">
          <cell r="O44202" t="str">
            <v/>
          </cell>
        </row>
        <row r="44203">
          <cell r="O44203" t="str">
            <v/>
          </cell>
        </row>
        <row r="44204">
          <cell r="O44204" t="str">
            <v/>
          </cell>
        </row>
        <row r="44205">
          <cell r="O44205" t="str">
            <v/>
          </cell>
        </row>
        <row r="44206">
          <cell r="O44206" t="str">
            <v/>
          </cell>
        </row>
        <row r="44207">
          <cell r="O44207" t="str">
            <v/>
          </cell>
        </row>
        <row r="44208">
          <cell r="O44208" t="str">
            <v/>
          </cell>
        </row>
        <row r="44209">
          <cell r="O44209" t="str">
            <v/>
          </cell>
        </row>
        <row r="44210">
          <cell r="O44210" t="str">
            <v/>
          </cell>
        </row>
        <row r="44211">
          <cell r="O44211" t="str">
            <v/>
          </cell>
        </row>
        <row r="44212">
          <cell r="O44212" t="str">
            <v/>
          </cell>
        </row>
        <row r="44213">
          <cell r="O44213" t="str">
            <v/>
          </cell>
        </row>
        <row r="44214">
          <cell r="O44214" t="str">
            <v/>
          </cell>
        </row>
        <row r="44215">
          <cell r="O44215" t="str">
            <v/>
          </cell>
        </row>
        <row r="44216">
          <cell r="O44216" t="str">
            <v/>
          </cell>
        </row>
        <row r="44217">
          <cell r="O44217" t="str">
            <v/>
          </cell>
        </row>
        <row r="44218">
          <cell r="O44218" t="str">
            <v/>
          </cell>
        </row>
        <row r="44219">
          <cell r="O44219" t="str">
            <v/>
          </cell>
        </row>
        <row r="44220">
          <cell r="O44220" t="str">
            <v/>
          </cell>
        </row>
        <row r="44221">
          <cell r="O44221" t="str">
            <v/>
          </cell>
        </row>
        <row r="44222">
          <cell r="O44222" t="str">
            <v/>
          </cell>
        </row>
        <row r="44223">
          <cell r="O44223" t="str">
            <v/>
          </cell>
        </row>
        <row r="44224">
          <cell r="O44224" t="str">
            <v/>
          </cell>
        </row>
        <row r="44225">
          <cell r="O44225" t="str">
            <v/>
          </cell>
        </row>
        <row r="44226">
          <cell r="O44226" t="str">
            <v/>
          </cell>
        </row>
        <row r="44227">
          <cell r="O44227" t="str">
            <v/>
          </cell>
        </row>
        <row r="44228">
          <cell r="O44228" t="str">
            <v/>
          </cell>
        </row>
        <row r="44229">
          <cell r="O44229" t="str">
            <v/>
          </cell>
        </row>
        <row r="44230">
          <cell r="O44230" t="str">
            <v/>
          </cell>
        </row>
        <row r="44231">
          <cell r="O44231" t="str">
            <v/>
          </cell>
        </row>
        <row r="44232">
          <cell r="O44232" t="str">
            <v/>
          </cell>
        </row>
        <row r="44233">
          <cell r="O44233" t="str">
            <v/>
          </cell>
        </row>
        <row r="44234">
          <cell r="O44234" t="str">
            <v/>
          </cell>
        </row>
        <row r="44235">
          <cell r="O44235" t="str">
            <v/>
          </cell>
        </row>
        <row r="44236">
          <cell r="O44236" t="str">
            <v/>
          </cell>
        </row>
        <row r="44237">
          <cell r="O44237" t="str">
            <v/>
          </cell>
        </row>
        <row r="44238">
          <cell r="O44238" t="str">
            <v/>
          </cell>
        </row>
        <row r="44239">
          <cell r="O44239" t="str">
            <v/>
          </cell>
        </row>
        <row r="44240">
          <cell r="O44240" t="str">
            <v/>
          </cell>
        </row>
        <row r="44241">
          <cell r="O44241" t="str">
            <v/>
          </cell>
        </row>
        <row r="44242">
          <cell r="O44242" t="str">
            <v/>
          </cell>
        </row>
        <row r="44243">
          <cell r="O44243" t="str">
            <v/>
          </cell>
        </row>
        <row r="44244">
          <cell r="O44244" t="str">
            <v/>
          </cell>
        </row>
        <row r="44245">
          <cell r="O44245" t="str">
            <v/>
          </cell>
        </row>
        <row r="44246">
          <cell r="O44246" t="str">
            <v/>
          </cell>
        </row>
        <row r="44247">
          <cell r="O44247" t="str">
            <v/>
          </cell>
        </row>
        <row r="44248">
          <cell r="O44248" t="str">
            <v/>
          </cell>
        </row>
        <row r="44249">
          <cell r="O44249" t="str">
            <v/>
          </cell>
        </row>
        <row r="44250">
          <cell r="O44250" t="str">
            <v/>
          </cell>
        </row>
        <row r="44251">
          <cell r="O44251" t="str">
            <v/>
          </cell>
        </row>
        <row r="44252">
          <cell r="O44252" t="str">
            <v/>
          </cell>
        </row>
        <row r="44253">
          <cell r="O44253" t="str">
            <v/>
          </cell>
        </row>
        <row r="44254">
          <cell r="O44254" t="str">
            <v/>
          </cell>
        </row>
        <row r="44255">
          <cell r="O44255" t="str">
            <v/>
          </cell>
        </row>
        <row r="44256">
          <cell r="O44256" t="str">
            <v/>
          </cell>
        </row>
        <row r="44257">
          <cell r="O44257" t="str">
            <v/>
          </cell>
        </row>
        <row r="44258">
          <cell r="O44258" t="str">
            <v/>
          </cell>
        </row>
        <row r="44259">
          <cell r="O44259" t="str">
            <v/>
          </cell>
        </row>
        <row r="44260">
          <cell r="O44260" t="str">
            <v/>
          </cell>
        </row>
        <row r="44261">
          <cell r="O44261" t="str">
            <v/>
          </cell>
        </row>
        <row r="44262">
          <cell r="O44262" t="str">
            <v/>
          </cell>
        </row>
        <row r="44263">
          <cell r="O44263" t="str">
            <v/>
          </cell>
        </row>
        <row r="44264">
          <cell r="O44264" t="str">
            <v/>
          </cell>
        </row>
        <row r="44265">
          <cell r="O44265" t="str">
            <v/>
          </cell>
        </row>
        <row r="44266">
          <cell r="O44266" t="str">
            <v/>
          </cell>
        </row>
        <row r="44267">
          <cell r="O44267" t="str">
            <v/>
          </cell>
        </row>
        <row r="44268">
          <cell r="O44268" t="str">
            <v/>
          </cell>
        </row>
        <row r="44269">
          <cell r="O44269" t="str">
            <v/>
          </cell>
        </row>
        <row r="44270">
          <cell r="O44270" t="str">
            <v/>
          </cell>
        </row>
        <row r="44271">
          <cell r="O44271" t="str">
            <v/>
          </cell>
        </row>
        <row r="44272">
          <cell r="O44272" t="str">
            <v/>
          </cell>
        </row>
        <row r="44273">
          <cell r="O44273" t="str">
            <v/>
          </cell>
        </row>
        <row r="44274">
          <cell r="O44274" t="str">
            <v/>
          </cell>
        </row>
        <row r="44275">
          <cell r="O44275" t="str">
            <v/>
          </cell>
        </row>
        <row r="44276">
          <cell r="O44276" t="str">
            <v/>
          </cell>
        </row>
        <row r="44277">
          <cell r="O44277" t="str">
            <v/>
          </cell>
        </row>
        <row r="44278">
          <cell r="O44278" t="str">
            <v/>
          </cell>
        </row>
        <row r="44279">
          <cell r="O44279" t="str">
            <v/>
          </cell>
        </row>
        <row r="44280">
          <cell r="O44280" t="str">
            <v/>
          </cell>
        </row>
        <row r="44281">
          <cell r="O44281" t="str">
            <v/>
          </cell>
        </row>
        <row r="44282">
          <cell r="O44282" t="str">
            <v/>
          </cell>
        </row>
        <row r="44283">
          <cell r="O44283" t="str">
            <v/>
          </cell>
        </row>
        <row r="44284">
          <cell r="O44284" t="str">
            <v/>
          </cell>
        </row>
        <row r="44285">
          <cell r="O44285" t="str">
            <v/>
          </cell>
        </row>
        <row r="44286">
          <cell r="O44286" t="str">
            <v/>
          </cell>
        </row>
        <row r="44287">
          <cell r="O44287" t="str">
            <v/>
          </cell>
        </row>
        <row r="44288">
          <cell r="O44288" t="str">
            <v/>
          </cell>
        </row>
        <row r="44289">
          <cell r="O44289" t="str">
            <v/>
          </cell>
        </row>
        <row r="44290">
          <cell r="O44290" t="str">
            <v/>
          </cell>
        </row>
        <row r="44291">
          <cell r="O44291" t="str">
            <v/>
          </cell>
        </row>
        <row r="44292">
          <cell r="O44292" t="str">
            <v/>
          </cell>
        </row>
        <row r="44293">
          <cell r="O44293" t="str">
            <v/>
          </cell>
        </row>
        <row r="44294">
          <cell r="O44294" t="str">
            <v/>
          </cell>
        </row>
        <row r="44295">
          <cell r="O44295" t="str">
            <v/>
          </cell>
        </row>
        <row r="44296">
          <cell r="O44296" t="str">
            <v/>
          </cell>
        </row>
        <row r="44297">
          <cell r="O44297" t="str">
            <v/>
          </cell>
        </row>
        <row r="44298">
          <cell r="O44298" t="str">
            <v/>
          </cell>
        </row>
        <row r="44299">
          <cell r="O44299" t="str">
            <v/>
          </cell>
        </row>
        <row r="44300">
          <cell r="O44300" t="str">
            <v/>
          </cell>
        </row>
        <row r="44301">
          <cell r="O44301" t="str">
            <v/>
          </cell>
        </row>
        <row r="44302">
          <cell r="O44302" t="str">
            <v/>
          </cell>
        </row>
        <row r="44303">
          <cell r="O44303" t="str">
            <v/>
          </cell>
        </row>
        <row r="44304">
          <cell r="O44304" t="str">
            <v/>
          </cell>
        </row>
        <row r="44305">
          <cell r="O44305" t="str">
            <v/>
          </cell>
        </row>
        <row r="44306">
          <cell r="O44306" t="str">
            <v/>
          </cell>
        </row>
        <row r="44307">
          <cell r="O44307" t="str">
            <v/>
          </cell>
        </row>
        <row r="44308">
          <cell r="O44308" t="str">
            <v/>
          </cell>
        </row>
        <row r="44309">
          <cell r="O44309" t="str">
            <v/>
          </cell>
        </row>
        <row r="44310">
          <cell r="O44310" t="str">
            <v/>
          </cell>
        </row>
        <row r="44311">
          <cell r="O44311" t="str">
            <v/>
          </cell>
        </row>
        <row r="44312">
          <cell r="O44312" t="str">
            <v/>
          </cell>
        </row>
        <row r="44313">
          <cell r="O44313" t="str">
            <v/>
          </cell>
        </row>
        <row r="44314">
          <cell r="O44314" t="str">
            <v/>
          </cell>
        </row>
        <row r="44315">
          <cell r="O44315" t="str">
            <v/>
          </cell>
        </row>
        <row r="44316">
          <cell r="O44316" t="str">
            <v/>
          </cell>
        </row>
        <row r="44317">
          <cell r="O44317" t="str">
            <v/>
          </cell>
        </row>
        <row r="44318">
          <cell r="O44318" t="str">
            <v/>
          </cell>
        </row>
        <row r="44319">
          <cell r="O44319" t="str">
            <v/>
          </cell>
        </row>
        <row r="44320">
          <cell r="O44320" t="str">
            <v/>
          </cell>
        </row>
        <row r="44321">
          <cell r="O44321" t="str">
            <v/>
          </cell>
        </row>
        <row r="44322">
          <cell r="O44322" t="str">
            <v/>
          </cell>
        </row>
        <row r="44323">
          <cell r="O44323" t="str">
            <v/>
          </cell>
        </row>
        <row r="44324">
          <cell r="O44324" t="str">
            <v/>
          </cell>
        </row>
        <row r="44325">
          <cell r="O44325" t="str">
            <v/>
          </cell>
        </row>
        <row r="44326">
          <cell r="O44326" t="str">
            <v/>
          </cell>
        </row>
        <row r="44327">
          <cell r="O44327" t="str">
            <v/>
          </cell>
        </row>
        <row r="44328">
          <cell r="O44328" t="str">
            <v/>
          </cell>
        </row>
        <row r="44329">
          <cell r="O44329" t="str">
            <v/>
          </cell>
        </row>
        <row r="44330">
          <cell r="O44330" t="str">
            <v/>
          </cell>
        </row>
        <row r="44331">
          <cell r="O44331" t="str">
            <v/>
          </cell>
        </row>
        <row r="44332">
          <cell r="O44332" t="str">
            <v/>
          </cell>
        </row>
        <row r="44333">
          <cell r="O44333" t="str">
            <v/>
          </cell>
        </row>
        <row r="44334">
          <cell r="O44334" t="str">
            <v/>
          </cell>
        </row>
        <row r="44335">
          <cell r="O44335" t="str">
            <v/>
          </cell>
        </row>
        <row r="44336">
          <cell r="O44336" t="str">
            <v/>
          </cell>
        </row>
        <row r="44337">
          <cell r="O44337" t="str">
            <v/>
          </cell>
        </row>
        <row r="44338">
          <cell r="O44338" t="str">
            <v/>
          </cell>
        </row>
        <row r="44339">
          <cell r="O44339" t="str">
            <v/>
          </cell>
        </row>
        <row r="44340">
          <cell r="O44340" t="str">
            <v/>
          </cell>
        </row>
        <row r="44341">
          <cell r="O44341" t="str">
            <v/>
          </cell>
        </row>
        <row r="44342">
          <cell r="O44342" t="str">
            <v/>
          </cell>
        </row>
        <row r="44343">
          <cell r="O44343" t="str">
            <v/>
          </cell>
        </row>
        <row r="44344">
          <cell r="O44344" t="str">
            <v/>
          </cell>
        </row>
        <row r="44345">
          <cell r="O44345" t="str">
            <v/>
          </cell>
        </row>
        <row r="44346">
          <cell r="O44346" t="str">
            <v/>
          </cell>
        </row>
        <row r="44347">
          <cell r="O44347" t="str">
            <v/>
          </cell>
        </row>
        <row r="44348">
          <cell r="O44348" t="str">
            <v/>
          </cell>
        </row>
        <row r="44349">
          <cell r="O44349" t="str">
            <v/>
          </cell>
        </row>
        <row r="44350">
          <cell r="O44350" t="str">
            <v/>
          </cell>
        </row>
        <row r="44351">
          <cell r="O44351" t="str">
            <v/>
          </cell>
        </row>
        <row r="44352">
          <cell r="O44352" t="str">
            <v/>
          </cell>
        </row>
        <row r="44353">
          <cell r="O44353" t="str">
            <v/>
          </cell>
        </row>
        <row r="44354">
          <cell r="O44354" t="str">
            <v/>
          </cell>
        </row>
        <row r="44355">
          <cell r="O44355" t="str">
            <v/>
          </cell>
        </row>
        <row r="44356">
          <cell r="O44356" t="str">
            <v/>
          </cell>
        </row>
        <row r="44357">
          <cell r="O44357" t="str">
            <v/>
          </cell>
        </row>
        <row r="44358">
          <cell r="O44358" t="str">
            <v/>
          </cell>
        </row>
        <row r="44359">
          <cell r="O44359" t="str">
            <v/>
          </cell>
        </row>
        <row r="44360">
          <cell r="O44360" t="str">
            <v/>
          </cell>
        </row>
        <row r="44361">
          <cell r="O44361" t="str">
            <v/>
          </cell>
        </row>
        <row r="44362">
          <cell r="O44362" t="str">
            <v/>
          </cell>
        </row>
        <row r="44363">
          <cell r="O44363" t="str">
            <v/>
          </cell>
        </row>
        <row r="44364">
          <cell r="O44364" t="str">
            <v/>
          </cell>
        </row>
        <row r="44365">
          <cell r="O44365" t="str">
            <v/>
          </cell>
        </row>
        <row r="44366">
          <cell r="O44366" t="str">
            <v/>
          </cell>
        </row>
        <row r="44367">
          <cell r="O44367" t="str">
            <v/>
          </cell>
        </row>
        <row r="44368">
          <cell r="O44368" t="str">
            <v/>
          </cell>
        </row>
        <row r="44369">
          <cell r="O44369" t="str">
            <v/>
          </cell>
        </row>
        <row r="44370">
          <cell r="O44370" t="str">
            <v/>
          </cell>
        </row>
        <row r="44371">
          <cell r="O44371" t="str">
            <v/>
          </cell>
        </row>
        <row r="44372">
          <cell r="O44372" t="str">
            <v/>
          </cell>
        </row>
        <row r="44373">
          <cell r="O44373" t="str">
            <v/>
          </cell>
        </row>
        <row r="44374">
          <cell r="O44374" t="str">
            <v/>
          </cell>
        </row>
        <row r="44375">
          <cell r="O44375" t="str">
            <v/>
          </cell>
        </row>
        <row r="44376">
          <cell r="O44376" t="str">
            <v/>
          </cell>
        </row>
        <row r="44377">
          <cell r="O44377" t="str">
            <v/>
          </cell>
        </row>
        <row r="44378">
          <cell r="O44378" t="str">
            <v/>
          </cell>
        </row>
        <row r="44379">
          <cell r="O44379" t="str">
            <v/>
          </cell>
        </row>
        <row r="44380">
          <cell r="O44380" t="str">
            <v/>
          </cell>
        </row>
        <row r="44381">
          <cell r="O44381" t="str">
            <v/>
          </cell>
        </row>
        <row r="44382">
          <cell r="O44382" t="str">
            <v/>
          </cell>
        </row>
        <row r="44383">
          <cell r="O44383" t="str">
            <v/>
          </cell>
        </row>
        <row r="44384">
          <cell r="O44384" t="str">
            <v/>
          </cell>
        </row>
        <row r="44385">
          <cell r="O44385" t="str">
            <v/>
          </cell>
        </row>
        <row r="44386">
          <cell r="O44386" t="str">
            <v/>
          </cell>
        </row>
        <row r="44387">
          <cell r="O44387" t="str">
            <v/>
          </cell>
        </row>
        <row r="44388">
          <cell r="O44388" t="str">
            <v/>
          </cell>
        </row>
        <row r="44389">
          <cell r="O44389" t="str">
            <v/>
          </cell>
        </row>
        <row r="44390">
          <cell r="O44390" t="str">
            <v/>
          </cell>
        </row>
        <row r="44391">
          <cell r="O44391" t="str">
            <v/>
          </cell>
        </row>
        <row r="44392">
          <cell r="O44392" t="str">
            <v/>
          </cell>
        </row>
        <row r="44393">
          <cell r="O44393" t="str">
            <v/>
          </cell>
        </row>
        <row r="44394">
          <cell r="O44394" t="str">
            <v/>
          </cell>
        </row>
        <row r="44395">
          <cell r="O44395" t="str">
            <v/>
          </cell>
        </row>
        <row r="44396">
          <cell r="O44396" t="str">
            <v/>
          </cell>
        </row>
        <row r="44397">
          <cell r="O44397" t="str">
            <v/>
          </cell>
        </row>
        <row r="44398">
          <cell r="O44398" t="str">
            <v/>
          </cell>
        </row>
        <row r="44399">
          <cell r="O44399" t="str">
            <v/>
          </cell>
        </row>
        <row r="44400">
          <cell r="O44400" t="str">
            <v/>
          </cell>
        </row>
        <row r="44401">
          <cell r="O44401" t="str">
            <v/>
          </cell>
        </row>
        <row r="44402">
          <cell r="O44402" t="str">
            <v/>
          </cell>
        </row>
        <row r="44403">
          <cell r="O44403" t="str">
            <v/>
          </cell>
        </row>
        <row r="44404">
          <cell r="O44404" t="str">
            <v/>
          </cell>
        </row>
        <row r="44405">
          <cell r="O44405" t="str">
            <v/>
          </cell>
        </row>
        <row r="44406">
          <cell r="O44406" t="str">
            <v/>
          </cell>
        </row>
        <row r="44407">
          <cell r="O44407" t="str">
            <v/>
          </cell>
        </row>
        <row r="44408">
          <cell r="O44408" t="str">
            <v/>
          </cell>
        </row>
        <row r="44409">
          <cell r="O44409" t="str">
            <v/>
          </cell>
        </row>
        <row r="44410">
          <cell r="O44410" t="str">
            <v/>
          </cell>
        </row>
        <row r="44411">
          <cell r="O44411" t="str">
            <v/>
          </cell>
        </row>
        <row r="44412">
          <cell r="O44412" t="str">
            <v/>
          </cell>
        </row>
        <row r="44413">
          <cell r="O44413" t="str">
            <v/>
          </cell>
        </row>
        <row r="44414">
          <cell r="O44414" t="str">
            <v/>
          </cell>
        </row>
        <row r="44415">
          <cell r="O44415" t="str">
            <v/>
          </cell>
        </row>
        <row r="44416">
          <cell r="O44416" t="str">
            <v/>
          </cell>
        </row>
        <row r="44417">
          <cell r="O44417" t="str">
            <v/>
          </cell>
        </row>
        <row r="44418">
          <cell r="O44418" t="str">
            <v/>
          </cell>
        </row>
        <row r="44419">
          <cell r="O44419" t="str">
            <v/>
          </cell>
        </row>
        <row r="44420">
          <cell r="O44420" t="str">
            <v/>
          </cell>
        </row>
        <row r="44421">
          <cell r="O44421" t="str">
            <v/>
          </cell>
        </row>
        <row r="44422">
          <cell r="O44422" t="str">
            <v/>
          </cell>
        </row>
        <row r="44423">
          <cell r="O44423" t="str">
            <v/>
          </cell>
        </row>
        <row r="44424">
          <cell r="O44424" t="str">
            <v/>
          </cell>
        </row>
        <row r="44425">
          <cell r="O44425" t="str">
            <v/>
          </cell>
        </row>
        <row r="44426">
          <cell r="O44426" t="str">
            <v/>
          </cell>
        </row>
        <row r="44427">
          <cell r="O44427" t="str">
            <v/>
          </cell>
        </row>
        <row r="44428">
          <cell r="O44428" t="str">
            <v/>
          </cell>
        </row>
        <row r="44429">
          <cell r="O44429" t="str">
            <v/>
          </cell>
        </row>
        <row r="44430">
          <cell r="O44430" t="str">
            <v/>
          </cell>
        </row>
        <row r="44431">
          <cell r="O44431" t="str">
            <v/>
          </cell>
        </row>
        <row r="44432">
          <cell r="O44432" t="str">
            <v/>
          </cell>
        </row>
        <row r="44433">
          <cell r="O44433" t="str">
            <v/>
          </cell>
        </row>
        <row r="44434">
          <cell r="O44434" t="str">
            <v/>
          </cell>
        </row>
        <row r="44435">
          <cell r="O44435" t="str">
            <v/>
          </cell>
        </row>
        <row r="44436">
          <cell r="O44436" t="str">
            <v/>
          </cell>
        </row>
        <row r="44437">
          <cell r="O44437" t="str">
            <v/>
          </cell>
        </row>
        <row r="44438">
          <cell r="O44438" t="str">
            <v/>
          </cell>
        </row>
        <row r="44439">
          <cell r="O44439" t="str">
            <v/>
          </cell>
        </row>
        <row r="44440">
          <cell r="O44440" t="str">
            <v/>
          </cell>
        </row>
        <row r="44441">
          <cell r="O44441" t="str">
            <v/>
          </cell>
        </row>
        <row r="44442">
          <cell r="O44442" t="str">
            <v/>
          </cell>
        </row>
        <row r="44443">
          <cell r="O44443" t="str">
            <v/>
          </cell>
        </row>
        <row r="44444">
          <cell r="O44444" t="str">
            <v/>
          </cell>
        </row>
        <row r="44445">
          <cell r="O44445" t="str">
            <v/>
          </cell>
        </row>
        <row r="44446">
          <cell r="O44446" t="str">
            <v/>
          </cell>
        </row>
        <row r="44447">
          <cell r="O44447" t="str">
            <v/>
          </cell>
        </row>
        <row r="44448">
          <cell r="O44448" t="str">
            <v/>
          </cell>
        </row>
        <row r="44449">
          <cell r="O44449" t="str">
            <v/>
          </cell>
        </row>
        <row r="44450">
          <cell r="O44450" t="str">
            <v/>
          </cell>
        </row>
        <row r="44451">
          <cell r="O44451" t="str">
            <v/>
          </cell>
        </row>
        <row r="44452">
          <cell r="O44452" t="str">
            <v/>
          </cell>
        </row>
        <row r="44453">
          <cell r="O44453" t="str">
            <v/>
          </cell>
        </row>
        <row r="44454">
          <cell r="O44454" t="str">
            <v/>
          </cell>
        </row>
        <row r="44455">
          <cell r="O44455" t="str">
            <v/>
          </cell>
        </row>
        <row r="44456">
          <cell r="O44456" t="str">
            <v/>
          </cell>
        </row>
        <row r="44457">
          <cell r="O44457" t="str">
            <v/>
          </cell>
        </row>
        <row r="44458">
          <cell r="O44458" t="str">
            <v/>
          </cell>
        </row>
        <row r="44459">
          <cell r="O44459" t="str">
            <v/>
          </cell>
        </row>
        <row r="44460">
          <cell r="O44460" t="str">
            <v/>
          </cell>
        </row>
        <row r="44461">
          <cell r="O44461" t="str">
            <v/>
          </cell>
        </row>
        <row r="44462">
          <cell r="O44462" t="str">
            <v/>
          </cell>
        </row>
        <row r="44463">
          <cell r="O44463" t="str">
            <v/>
          </cell>
        </row>
        <row r="44464">
          <cell r="O44464" t="str">
            <v/>
          </cell>
        </row>
        <row r="44465">
          <cell r="O44465" t="str">
            <v/>
          </cell>
        </row>
        <row r="44466">
          <cell r="O44466" t="str">
            <v/>
          </cell>
        </row>
        <row r="44467">
          <cell r="O44467" t="str">
            <v/>
          </cell>
        </row>
        <row r="44468">
          <cell r="O44468" t="str">
            <v/>
          </cell>
        </row>
        <row r="44469">
          <cell r="O44469" t="str">
            <v/>
          </cell>
        </row>
        <row r="44470">
          <cell r="O44470" t="str">
            <v/>
          </cell>
        </row>
        <row r="44471">
          <cell r="O44471" t="str">
            <v/>
          </cell>
        </row>
        <row r="44472">
          <cell r="O44472" t="str">
            <v/>
          </cell>
        </row>
        <row r="44473">
          <cell r="O44473" t="str">
            <v/>
          </cell>
        </row>
        <row r="44474">
          <cell r="O44474" t="str">
            <v/>
          </cell>
        </row>
        <row r="44475">
          <cell r="O44475" t="str">
            <v/>
          </cell>
        </row>
        <row r="44476">
          <cell r="O44476" t="str">
            <v/>
          </cell>
        </row>
        <row r="44477">
          <cell r="O44477" t="str">
            <v/>
          </cell>
        </row>
        <row r="44478">
          <cell r="O44478" t="str">
            <v/>
          </cell>
        </row>
        <row r="44479">
          <cell r="O44479" t="str">
            <v/>
          </cell>
        </row>
        <row r="44480">
          <cell r="O44480" t="str">
            <v/>
          </cell>
        </row>
        <row r="44481">
          <cell r="O44481" t="str">
            <v/>
          </cell>
        </row>
        <row r="44482">
          <cell r="O44482" t="str">
            <v/>
          </cell>
        </row>
        <row r="44483">
          <cell r="O44483" t="str">
            <v/>
          </cell>
        </row>
        <row r="44484">
          <cell r="O44484" t="str">
            <v/>
          </cell>
        </row>
        <row r="44485">
          <cell r="O44485" t="str">
            <v/>
          </cell>
        </row>
        <row r="44486">
          <cell r="O44486" t="str">
            <v/>
          </cell>
        </row>
        <row r="44487">
          <cell r="O44487" t="str">
            <v/>
          </cell>
        </row>
        <row r="44488">
          <cell r="O44488" t="str">
            <v/>
          </cell>
        </row>
        <row r="44489">
          <cell r="O44489" t="str">
            <v/>
          </cell>
        </row>
        <row r="44490">
          <cell r="O44490" t="str">
            <v/>
          </cell>
        </row>
        <row r="44491">
          <cell r="O44491" t="str">
            <v/>
          </cell>
        </row>
        <row r="44492">
          <cell r="O44492" t="str">
            <v/>
          </cell>
        </row>
        <row r="44493">
          <cell r="O44493" t="str">
            <v/>
          </cell>
        </row>
        <row r="44494">
          <cell r="O44494" t="str">
            <v/>
          </cell>
        </row>
        <row r="44495">
          <cell r="O44495" t="str">
            <v/>
          </cell>
        </row>
        <row r="44496">
          <cell r="O44496" t="str">
            <v/>
          </cell>
        </row>
        <row r="44497">
          <cell r="O44497" t="str">
            <v/>
          </cell>
        </row>
        <row r="44498">
          <cell r="O44498" t="str">
            <v/>
          </cell>
        </row>
        <row r="44499">
          <cell r="O44499" t="str">
            <v/>
          </cell>
        </row>
        <row r="44500">
          <cell r="O44500" t="str">
            <v/>
          </cell>
        </row>
        <row r="44501">
          <cell r="O44501" t="str">
            <v/>
          </cell>
        </row>
        <row r="44502">
          <cell r="O44502" t="str">
            <v/>
          </cell>
        </row>
        <row r="44503">
          <cell r="O44503" t="str">
            <v/>
          </cell>
        </row>
        <row r="44504">
          <cell r="O44504" t="str">
            <v/>
          </cell>
        </row>
        <row r="44505">
          <cell r="O44505" t="str">
            <v/>
          </cell>
        </row>
        <row r="44506">
          <cell r="O44506" t="str">
            <v/>
          </cell>
        </row>
        <row r="44507">
          <cell r="O44507" t="str">
            <v/>
          </cell>
        </row>
        <row r="44508">
          <cell r="O44508" t="str">
            <v/>
          </cell>
        </row>
        <row r="44509">
          <cell r="O44509" t="str">
            <v/>
          </cell>
        </row>
        <row r="44510">
          <cell r="O44510" t="str">
            <v/>
          </cell>
        </row>
        <row r="44511">
          <cell r="O44511" t="str">
            <v/>
          </cell>
        </row>
        <row r="44512">
          <cell r="O44512" t="str">
            <v/>
          </cell>
        </row>
        <row r="44513">
          <cell r="O44513" t="str">
            <v/>
          </cell>
        </row>
        <row r="44514">
          <cell r="O44514" t="str">
            <v/>
          </cell>
        </row>
        <row r="44515">
          <cell r="O44515" t="str">
            <v/>
          </cell>
        </row>
        <row r="44516">
          <cell r="O44516" t="str">
            <v/>
          </cell>
        </row>
        <row r="44517">
          <cell r="O44517" t="str">
            <v/>
          </cell>
        </row>
        <row r="44518">
          <cell r="O44518" t="str">
            <v/>
          </cell>
        </row>
        <row r="44519">
          <cell r="O44519" t="str">
            <v/>
          </cell>
        </row>
        <row r="44520">
          <cell r="O44520" t="str">
            <v/>
          </cell>
        </row>
        <row r="44521">
          <cell r="O44521" t="str">
            <v/>
          </cell>
        </row>
        <row r="44522">
          <cell r="O44522" t="str">
            <v/>
          </cell>
        </row>
        <row r="44523">
          <cell r="O44523" t="str">
            <v/>
          </cell>
        </row>
        <row r="44524">
          <cell r="O44524" t="str">
            <v/>
          </cell>
        </row>
        <row r="44525">
          <cell r="O44525" t="str">
            <v/>
          </cell>
        </row>
        <row r="44526">
          <cell r="O44526" t="str">
            <v/>
          </cell>
        </row>
        <row r="44527">
          <cell r="O44527" t="str">
            <v/>
          </cell>
        </row>
        <row r="44528">
          <cell r="O44528" t="str">
            <v/>
          </cell>
        </row>
        <row r="44529">
          <cell r="O44529" t="str">
            <v/>
          </cell>
        </row>
        <row r="44530">
          <cell r="O44530" t="str">
            <v/>
          </cell>
        </row>
        <row r="44531">
          <cell r="O44531" t="str">
            <v/>
          </cell>
        </row>
        <row r="44532">
          <cell r="O44532" t="str">
            <v/>
          </cell>
        </row>
        <row r="44533">
          <cell r="O44533" t="str">
            <v/>
          </cell>
        </row>
        <row r="44534">
          <cell r="O44534" t="str">
            <v/>
          </cell>
        </row>
        <row r="44535">
          <cell r="O44535" t="str">
            <v/>
          </cell>
        </row>
        <row r="44536">
          <cell r="O44536" t="str">
            <v/>
          </cell>
        </row>
        <row r="44537">
          <cell r="O44537" t="str">
            <v/>
          </cell>
        </row>
        <row r="44538">
          <cell r="O44538" t="str">
            <v/>
          </cell>
        </row>
        <row r="44539">
          <cell r="O44539" t="str">
            <v/>
          </cell>
        </row>
        <row r="44540">
          <cell r="O44540" t="str">
            <v/>
          </cell>
        </row>
        <row r="44541">
          <cell r="O44541" t="str">
            <v/>
          </cell>
        </row>
        <row r="44542">
          <cell r="O44542" t="str">
            <v/>
          </cell>
        </row>
        <row r="44543">
          <cell r="O44543" t="str">
            <v/>
          </cell>
        </row>
        <row r="44544">
          <cell r="O44544" t="str">
            <v/>
          </cell>
        </row>
        <row r="44545">
          <cell r="O44545" t="str">
            <v/>
          </cell>
        </row>
        <row r="44546">
          <cell r="O44546" t="str">
            <v/>
          </cell>
        </row>
        <row r="44547">
          <cell r="O44547" t="str">
            <v/>
          </cell>
        </row>
        <row r="44548">
          <cell r="O44548" t="str">
            <v/>
          </cell>
        </row>
        <row r="44549">
          <cell r="O44549" t="str">
            <v/>
          </cell>
        </row>
        <row r="44550">
          <cell r="O44550" t="str">
            <v/>
          </cell>
        </row>
        <row r="44551">
          <cell r="O44551" t="str">
            <v/>
          </cell>
        </row>
        <row r="44552">
          <cell r="O44552" t="str">
            <v/>
          </cell>
        </row>
        <row r="44553">
          <cell r="O44553" t="str">
            <v/>
          </cell>
        </row>
        <row r="44554">
          <cell r="O44554" t="str">
            <v/>
          </cell>
        </row>
        <row r="44555">
          <cell r="O44555" t="str">
            <v/>
          </cell>
        </row>
        <row r="44556">
          <cell r="O44556" t="str">
            <v/>
          </cell>
        </row>
        <row r="44557">
          <cell r="O44557" t="str">
            <v/>
          </cell>
        </row>
        <row r="44558">
          <cell r="O44558" t="str">
            <v/>
          </cell>
        </row>
        <row r="44559">
          <cell r="O44559" t="str">
            <v/>
          </cell>
        </row>
        <row r="44560">
          <cell r="O44560" t="str">
            <v/>
          </cell>
        </row>
        <row r="44561">
          <cell r="O44561" t="str">
            <v/>
          </cell>
        </row>
        <row r="44562">
          <cell r="O44562" t="str">
            <v/>
          </cell>
        </row>
        <row r="44563">
          <cell r="O44563" t="str">
            <v/>
          </cell>
        </row>
        <row r="44564">
          <cell r="O44564" t="str">
            <v/>
          </cell>
        </row>
        <row r="44565">
          <cell r="O44565" t="str">
            <v/>
          </cell>
        </row>
        <row r="44566">
          <cell r="O44566" t="str">
            <v/>
          </cell>
        </row>
        <row r="44567">
          <cell r="O44567" t="str">
            <v/>
          </cell>
        </row>
        <row r="44568">
          <cell r="O44568" t="str">
            <v/>
          </cell>
        </row>
        <row r="44569">
          <cell r="O44569" t="str">
            <v/>
          </cell>
        </row>
        <row r="44570">
          <cell r="O44570" t="str">
            <v/>
          </cell>
        </row>
        <row r="44571">
          <cell r="O44571" t="str">
            <v/>
          </cell>
        </row>
        <row r="44572">
          <cell r="O44572" t="str">
            <v/>
          </cell>
        </row>
        <row r="44573">
          <cell r="O44573" t="str">
            <v/>
          </cell>
        </row>
        <row r="44574">
          <cell r="O44574" t="str">
            <v/>
          </cell>
        </row>
        <row r="44575">
          <cell r="O44575" t="str">
            <v/>
          </cell>
        </row>
        <row r="44576">
          <cell r="O44576" t="str">
            <v/>
          </cell>
        </row>
        <row r="44577">
          <cell r="O44577" t="str">
            <v/>
          </cell>
        </row>
        <row r="44578">
          <cell r="O44578" t="str">
            <v/>
          </cell>
        </row>
        <row r="44579">
          <cell r="O44579" t="str">
            <v/>
          </cell>
        </row>
        <row r="44580">
          <cell r="O44580" t="str">
            <v/>
          </cell>
        </row>
        <row r="44581">
          <cell r="O44581" t="str">
            <v/>
          </cell>
        </row>
        <row r="44582">
          <cell r="O44582" t="str">
            <v/>
          </cell>
        </row>
        <row r="44583">
          <cell r="O44583" t="str">
            <v/>
          </cell>
        </row>
        <row r="44584">
          <cell r="O44584" t="str">
            <v/>
          </cell>
        </row>
        <row r="44585">
          <cell r="O44585" t="str">
            <v/>
          </cell>
        </row>
        <row r="44586">
          <cell r="O44586" t="str">
            <v/>
          </cell>
        </row>
        <row r="44587">
          <cell r="O44587" t="str">
            <v/>
          </cell>
        </row>
        <row r="44588">
          <cell r="O44588" t="str">
            <v/>
          </cell>
        </row>
        <row r="44589">
          <cell r="O44589" t="str">
            <v/>
          </cell>
        </row>
        <row r="44590">
          <cell r="O44590" t="str">
            <v/>
          </cell>
        </row>
        <row r="44591">
          <cell r="O44591" t="str">
            <v/>
          </cell>
        </row>
        <row r="44592">
          <cell r="O44592" t="str">
            <v/>
          </cell>
        </row>
        <row r="44593">
          <cell r="O44593" t="str">
            <v/>
          </cell>
        </row>
        <row r="44594">
          <cell r="O44594" t="str">
            <v/>
          </cell>
        </row>
        <row r="44595">
          <cell r="O44595" t="str">
            <v/>
          </cell>
        </row>
        <row r="44596">
          <cell r="O44596" t="str">
            <v/>
          </cell>
        </row>
        <row r="44597">
          <cell r="O44597" t="str">
            <v/>
          </cell>
        </row>
        <row r="44598">
          <cell r="O44598" t="str">
            <v/>
          </cell>
        </row>
        <row r="44599">
          <cell r="O44599" t="str">
            <v/>
          </cell>
        </row>
        <row r="44600">
          <cell r="O44600" t="str">
            <v/>
          </cell>
        </row>
        <row r="44601">
          <cell r="O44601" t="str">
            <v/>
          </cell>
        </row>
        <row r="44602">
          <cell r="O44602" t="str">
            <v/>
          </cell>
        </row>
        <row r="44603">
          <cell r="O44603" t="str">
            <v/>
          </cell>
        </row>
        <row r="44604">
          <cell r="O44604" t="str">
            <v/>
          </cell>
        </row>
        <row r="44605">
          <cell r="O44605" t="str">
            <v/>
          </cell>
        </row>
        <row r="44606">
          <cell r="O44606" t="str">
            <v/>
          </cell>
        </row>
        <row r="44607">
          <cell r="O44607" t="str">
            <v/>
          </cell>
        </row>
        <row r="44608">
          <cell r="O44608" t="str">
            <v/>
          </cell>
        </row>
        <row r="44609">
          <cell r="O44609" t="str">
            <v/>
          </cell>
        </row>
        <row r="44610">
          <cell r="O44610" t="str">
            <v/>
          </cell>
        </row>
        <row r="44611">
          <cell r="O44611" t="str">
            <v/>
          </cell>
        </row>
        <row r="44612">
          <cell r="O44612" t="str">
            <v/>
          </cell>
        </row>
        <row r="44613">
          <cell r="O44613" t="str">
            <v/>
          </cell>
        </row>
        <row r="44614">
          <cell r="O44614" t="str">
            <v/>
          </cell>
        </row>
        <row r="44615">
          <cell r="O44615" t="str">
            <v/>
          </cell>
        </row>
        <row r="44616">
          <cell r="O44616" t="str">
            <v/>
          </cell>
        </row>
        <row r="44617">
          <cell r="O44617" t="str">
            <v/>
          </cell>
        </row>
        <row r="44618">
          <cell r="O44618" t="str">
            <v/>
          </cell>
        </row>
        <row r="44619">
          <cell r="O44619" t="str">
            <v/>
          </cell>
        </row>
        <row r="44620">
          <cell r="O44620" t="str">
            <v/>
          </cell>
        </row>
        <row r="44621">
          <cell r="O44621" t="str">
            <v/>
          </cell>
        </row>
        <row r="44622">
          <cell r="O44622" t="str">
            <v/>
          </cell>
        </row>
        <row r="44623">
          <cell r="O44623" t="str">
            <v/>
          </cell>
        </row>
        <row r="44624">
          <cell r="O44624" t="str">
            <v/>
          </cell>
        </row>
        <row r="44625">
          <cell r="O44625" t="str">
            <v/>
          </cell>
        </row>
        <row r="44626">
          <cell r="O44626" t="str">
            <v/>
          </cell>
        </row>
        <row r="44627">
          <cell r="O44627" t="str">
            <v/>
          </cell>
        </row>
        <row r="44628">
          <cell r="O44628" t="str">
            <v/>
          </cell>
        </row>
        <row r="44629">
          <cell r="O44629" t="str">
            <v/>
          </cell>
        </row>
        <row r="44630">
          <cell r="O44630" t="str">
            <v/>
          </cell>
        </row>
        <row r="44631">
          <cell r="O44631" t="str">
            <v/>
          </cell>
        </row>
        <row r="44632">
          <cell r="O44632" t="str">
            <v/>
          </cell>
        </row>
        <row r="44633">
          <cell r="O44633" t="str">
            <v/>
          </cell>
        </row>
        <row r="44634">
          <cell r="O44634" t="str">
            <v/>
          </cell>
        </row>
        <row r="44635">
          <cell r="O44635" t="str">
            <v/>
          </cell>
        </row>
        <row r="44636">
          <cell r="O44636" t="str">
            <v/>
          </cell>
        </row>
        <row r="44637">
          <cell r="O44637" t="str">
            <v/>
          </cell>
        </row>
        <row r="44638">
          <cell r="O44638" t="str">
            <v/>
          </cell>
        </row>
        <row r="44639">
          <cell r="O44639" t="str">
            <v/>
          </cell>
        </row>
        <row r="44640">
          <cell r="O44640" t="str">
            <v/>
          </cell>
        </row>
        <row r="44641">
          <cell r="O44641" t="str">
            <v/>
          </cell>
        </row>
        <row r="44642">
          <cell r="O44642" t="str">
            <v/>
          </cell>
        </row>
        <row r="44643">
          <cell r="O44643" t="str">
            <v/>
          </cell>
        </row>
        <row r="44644">
          <cell r="O44644" t="str">
            <v/>
          </cell>
        </row>
        <row r="44645">
          <cell r="O44645" t="str">
            <v/>
          </cell>
        </row>
        <row r="44646">
          <cell r="O44646" t="str">
            <v/>
          </cell>
        </row>
        <row r="44647">
          <cell r="O44647" t="str">
            <v/>
          </cell>
        </row>
        <row r="44648">
          <cell r="O44648" t="str">
            <v/>
          </cell>
        </row>
        <row r="44649">
          <cell r="O44649" t="str">
            <v/>
          </cell>
        </row>
        <row r="44650">
          <cell r="O44650" t="str">
            <v/>
          </cell>
        </row>
        <row r="44651">
          <cell r="O44651" t="str">
            <v/>
          </cell>
        </row>
        <row r="44652">
          <cell r="O44652" t="str">
            <v/>
          </cell>
        </row>
        <row r="44653">
          <cell r="O44653" t="str">
            <v/>
          </cell>
        </row>
        <row r="44654">
          <cell r="O44654" t="str">
            <v/>
          </cell>
        </row>
        <row r="44655">
          <cell r="O44655" t="str">
            <v/>
          </cell>
        </row>
        <row r="44656">
          <cell r="O44656" t="str">
            <v/>
          </cell>
        </row>
        <row r="44657">
          <cell r="O44657" t="str">
            <v/>
          </cell>
        </row>
        <row r="44658">
          <cell r="O44658" t="str">
            <v/>
          </cell>
        </row>
        <row r="44659">
          <cell r="O44659" t="str">
            <v/>
          </cell>
        </row>
        <row r="44660">
          <cell r="O44660" t="str">
            <v/>
          </cell>
        </row>
        <row r="44661">
          <cell r="O44661" t="str">
            <v/>
          </cell>
        </row>
        <row r="44662">
          <cell r="O44662" t="str">
            <v/>
          </cell>
        </row>
        <row r="44663">
          <cell r="O44663" t="str">
            <v/>
          </cell>
        </row>
        <row r="44664">
          <cell r="O44664" t="str">
            <v/>
          </cell>
        </row>
        <row r="44665">
          <cell r="O44665" t="str">
            <v/>
          </cell>
        </row>
        <row r="44666">
          <cell r="O44666" t="str">
            <v/>
          </cell>
        </row>
        <row r="44667">
          <cell r="O44667" t="str">
            <v/>
          </cell>
        </row>
        <row r="44668">
          <cell r="O44668" t="str">
            <v/>
          </cell>
        </row>
        <row r="44669">
          <cell r="O44669" t="str">
            <v/>
          </cell>
        </row>
        <row r="44670">
          <cell r="O44670" t="str">
            <v/>
          </cell>
        </row>
        <row r="44671">
          <cell r="O44671" t="str">
            <v/>
          </cell>
        </row>
        <row r="44672">
          <cell r="O44672" t="str">
            <v/>
          </cell>
        </row>
        <row r="44673">
          <cell r="O44673" t="str">
            <v/>
          </cell>
        </row>
        <row r="44674">
          <cell r="O44674" t="str">
            <v/>
          </cell>
        </row>
        <row r="44675">
          <cell r="O44675" t="str">
            <v/>
          </cell>
        </row>
        <row r="44676">
          <cell r="O44676" t="str">
            <v/>
          </cell>
        </row>
        <row r="44677">
          <cell r="O44677" t="str">
            <v/>
          </cell>
        </row>
        <row r="44678">
          <cell r="O44678" t="str">
            <v/>
          </cell>
        </row>
        <row r="44679">
          <cell r="O44679" t="str">
            <v/>
          </cell>
        </row>
        <row r="44680">
          <cell r="O44680" t="str">
            <v/>
          </cell>
        </row>
        <row r="44681">
          <cell r="O44681" t="str">
            <v/>
          </cell>
        </row>
        <row r="44682">
          <cell r="O44682" t="str">
            <v/>
          </cell>
        </row>
        <row r="44683">
          <cell r="O44683" t="str">
            <v/>
          </cell>
        </row>
        <row r="44684">
          <cell r="O44684" t="str">
            <v/>
          </cell>
        </row>
        <row r="44685">
          <cell r="O44685" t="str">
            <v/>
          </cell>
        </row>
        <row r="44686">
          <cell r="O44686" t="str">
            <v/>
          </cell>
        </row>
        <row r="44687">
          <cell r="O44687" t="str">
            <v/>
          </cell>
        </row>
        <row r="44688">
          <cell r="O44688" t="str">
            <v/>
          </cell>
        </row>
        <row r="44689">
          <cell r="O44689" t="str">
            <v/>
          </cell>
        </row>
        <row r="44690">
          <cell r="O44690" t="str">
            <v/>
          </cell>
        </row>
        <row r="44691">
          <cell r="O44691" t="str">
            <v/>
          </cell>
        </row>
        <row r="44692">
          <cell r="O44692" t="str">
            <v/>
          </cell>
        </row>
        <row r="44693">
          <cell r="O44693" t="str">
            <v/>
          </cell>
        </row>
        <row r="44694">
          <cell r="O44694" t="str">
            <v/>
          </cell>
        </row>
        <row r="44695">
          <cell r="O44695" t="str">
            <v/>
          </cell>
        </row>
        <row r="44696">
          <cell r="O44696" t="str">
            <v/>
          </cell>
        </row>
        <row r="44697">
          <cell r="O44697" t="str">
            <v/>
          </cell>
        </row>
        <row r="44698">
          <cell r="O44698" t="str">
            <v/>
          </cell>
        </row>
        <row r="44699">
          <cell r="O44699" t="str">
            <v/>
          </cell>
        </row>
        <row r="44700">
          <cell r="O44700" t="str">
            <v/>
          </cell>
        </row>
        <row r="44701">
          <cell r="O44701" t="str">
            <v/>
          </cell>
        </row>
        <row r="44702">
          <cell r="O44702" t="str">
            <v/>
          </cell>
        </row>
        <row r="44703">
          <cell r="O44703" t="str">
            <v/>
          </cell>
        </row>
        <row r="44704">
          <cell r="O44704" t="str">
            <v/>
          </cell>
        </row>
        <row r="44705">
          <cell r="O44705" t="str">
            <v/>
          </cell>
        </row>
        <row r="44706">
          <cell r="O44706" t="str">
            <v/>
          </cell>
        </row>
        <row r="44707">
          <cell r="O44707" t="str">
            <v/>
          </cell>
        </row>
        <row r="44708">
          <cell r="O44708" t="str">
            <v/>
          </cell>
        </row>
        <row r="44709">
          <cell r="O44709" t="str">
            <v/>
          </cell>
        </row>
        <row r="44710">
          <cell r="O44710" t="str">
            <v/>
          </cell>
        </row>
        <row r="44711">
          <cell r="O44711" t="str">
            <v/>
          </cell>
        </row>
        <row r="44712">
          <cell r="O44712" t="str">
            <v/>
          </cell>
        </row>
        <row r="44713">
          <cell r="O44713" t="str">
            <v/>
          </cell>
        </row>
        <row r="44714">
          <cell r="O44714" t="str">
            <v/>
          </cell>
        </row>
        <row r="44715">
          <cell r="O44715" t="str">
            <v/>
          </cell>
        </row>
        <row r="44716">
          <cell r="O44716" t="str">
            <v/>
          </cell>
        </row>
        <row r="44717">
          <cell r="O44717" t="str">
            <v/>
          </cell>
        </row>
        <row r="44718">
          <cell r="O44718" t="str">
            <v/>
          </cell>
        </row>
        <row r="44719">
          <cell r="O44719" t="str">
            <v/>
          </cell>
        </row>
        <row r="44720">
          <cell r="O44720" t="str">
            <v/>
          </cell>
        </row>
        <row r="44721">
          <cell r="O44721" t="str">
            <v/>
          </cell>
        </row>
        <row r="44722">
          <cell r="O44722" t="str">
            <v/>
          </cell>
        </row>
        <row r="44723">
          <cell r="O44723" t="str">
            <v/>
          </cell>
        </row>
        <row r="44724">
          <cell r="O44724" t="str">
            <v/>
          </cell>
        </row>
        <row r="44725">
          <cell r="O44725" t="str">
            <v/>
          </cell>
        </row>
        <row r="44726">
          <cell r="O44726" t="str">
            <v/>
          </cell>
        </row>
        <row r="44727">
          <cell r="O44727" t="str">
            <v/>
          </cell>
        </row>
        <row r="44728">
          <cell r="O44728" t="str">
            <v/>
          </cell>
        </row>
        <row r="44729">
          <cell r="O44729" t="str">
            <v/>
          </cell>
        </row>
        <row r="44730">
          <cell r="O44730" t="str">
            <v/>
          </cell>
        </row>
        <row r="44731">
          <cell r="O44731" t="str">
            <v/>
          </cell>
        </row>
        <row r="44732">
          <cell r="O44732" t="str">
            <v/>
          </cell>
        </row>
        <row r="44733">
          <cell r="O44733" t="str">
            <v/>
          </cell>
        </row>
        <row r="44734">
          <cell r="O44734" t="str">
            <v/>
          </cell>
        </row>
        <row r="44735">
          <cell r="O44735" t="str">
            <v/>
          </cell>
        </row>
        <row r="44736">
          <cell r="O44736" t="str">
            <v/>
          </cell>
        </row>
        <row r="44737">
          <cell r="O44737" t="str">
            <v/>
          </cell>
        </row>
        <row r="44738">
          <cell r="O44738" t="str">
            <v/>
          </cell>
        </row>
        <row r="44739">
          <cell r="O44739" t="str">
            <v/>
          </cell>
        </row>
        <row r="44740">
          <cell r="O44740" t="str">
            <v/>
          </cell>
        </row>
        <row r="44741">
          <cell r="O44741" t="str">
            <v/>
          </cell>
        </row>
        <row r="44742">
          <cell r="O44742" t="str">
            <v/>
          </cell>
        </row>
        <row r="44743">
          <cell r="O44743" t="str">
            <v/>
          </cell>
        </row>
        <row r="44744">
          <cell r="O44744" t="str">
            <v/>
          </cell>
        </row>
        <row r="44745">
          <cell r="O44745" t="str">
            <v/>
          </cell>
        </row>
        <row r="44746">
          <cell r="O44746" t="str">
            <v/>
          </cell>
        </row>
        <row r="44747">
          <cell r="O44747" t="str">
            <v/>
          </cell>
        </row>
        <row r="44748">
          <cell r="O44748" t="str">
            <v/>
          </cell>
        </row>
        <row r="44749">
          <cell r="O44749" t="str">
            <v/>
          </cell>
        </row>
        <row r="44750">
          <cell r="O44750" t="str">
            <v/>
          </cell>
        </row>
        <row r="44751">
          <cell r="O44751" t="str">
            <v/>
          </cell>
        </row>
        <row r="44752">
          <cell r="O44752" t="str">
            <v/>
          </cell>
        </row>
        <row r="44753">
          <cell r="O44753" t="str">
            <v/>
          </cell>
        </row>
        <row r="44754">
          <cell r="O44754" t="str">
            <v/>
          </cell>
        </row>
        <row r="44755">
          <cell r="O44755" t="str">
            <v/>
          </cell>
        </row>
        <row r="44756">
          <cell r="O44756" t="str">
            <v/>
          </cell>
        </row>
        <row r="44757">
          <cell r="O44757" t="str">
            <v/>
          </cell>
        </row>
        <row r="44758">
          <cell r="O44758" t="str">
            <v/>
          </cell>
        </row>
        <row r="44759">
          <cell r="O44759" t="str">
            <v/>
          </cell>
        </row>
        <row r="44760">
          <cell r="O44760" t="str">
            <v/>
          </cell>
        </row>
        <row r="44761">
          <cell r="O44761" t="str">
            <v/>
          </cell>
        </row>
        <row r="44762">
          <cell r="O44762" t="str">
            <v/>
          </cell>
        </row>
        <row r="44763">
          <cell r="O44763" t="str">
            <v/>
          </cell>
        </row>
        <row r="44764">
          <cell r="O44764" t="str">
            <v/>
          </cell>
        </row>
        <row r="44765">
          <cell r="O44765" t="str">
            <v/>
          </cell>
        </row>
        <row r="44766">
          <cell r="O44766" t="str">
            <v/>
          </cell>
        </row>
        <row r="44767">
          <cell r="O44767" t="str">
            <v/>
          </cell>
        </row>
        <row r="44768">
          <cell r="O44768" t="str">
            <v/>
          </cell>
        </row>
        <row r="44769">
          <cell r="O44769" t="str">
            <v/>
          </cell>
        </row>
        <row r="44770">
          <cell r="O44770" t="str">
            <v/>
          </cell>
        </row>
        <row r="44771">
          <cell r="O44771" t="str">
            <v/>
          </cell>
        </row>
        <row r="44772">
          <cell r="O44772" t="str">
            <v/>
          </cell>
        </row>
        <row r="44773">
          <cell r="O44773" t="str">
            <v/>
          </cell>
        </row>
        <row r="44774">
          <cell r="O44774" t="str">
            <v/>
          </cell>
        </row>
        <row r="44775">
          <cell r="O44775" t="str">
            <v/>
          </cell>
        </row>
        <row r="44776">
          <cell r="O44776" t="str">
            <v/>
          </cell>
        </row>
        <row r="44777">
          <cell r="O44777" t="str">
            <v/>
          </cell>
        </row>
        <row r="44778">
          <cell r="O44778" t="str">
            <v/>
          </cell>
        </row>
        <row r="44779">
          <cell r="O44779" t="str">
            <v/>
          </cell>
        </row>
        <row r="44780">
          <cell r="O44780" t="str">
            <v/>
          </cell>
        </row>
        <row r="44781">
          <cell r="O44781" t="str">
            <v/>
          </cell>
        </row>
        <row r="44782">
          <cell r="O44782" t="str">
            <v/>
          </cell>
        </row>
        <row r="44783">
          <cell r="O44783" t="str">
            <v/>
          </cell>
        </row>
        <row r="44784">
          <cell r="O44784" t="str">
            <v/>
          </cell>
        </row>
        <row r="44785">
          <cell r="O44785" t="str">
            <v/>
          </cell>
        </row>
        <row r="44786">
          <cell r="O44786" t="str">
            <v/>
          </cell>
        </row>
        <row r="44787">
          <cell r="O44787" t="str">
            <v/>
          </cell>
        </row>
        <row r="44788">
          <cell r="O44788" t="str">
            <v/>
          </cell>
        </row>
        <row r="44789">
          <cell r="O44789" t="str">
            <v/>
          </cell>
        </row>
        <row r="44790">
          <cell r="O44790" t="str">
            <v/>
          </cell>
        </row>
        <row r="44791">
          <cell r="O44791" t="str">
            <v/>
          </cell>
        </row>
        <row r="44792">
          <cell r="O44792" t="str">
            <v/>
          </cell>
        </row>
        <row r="44793">
          <cell r="O44793" t="str">
            <v/>
          </cell>
        </row>
        <row r="44794">
          <cell r="O44794" t="str">
            <v/>
          </cell>
        </row>
        <row r="44795">
          <cell r="O44795" t="str">
            <v/>
          </cell>
        </row>
        <row r="44796">
          <cell r="O44796" t="str">
            <v/>
          </cell>
        </row>
        <row r="44797">
          <cell r="O44797" t="str">
            <v/>
          </cell>
        </row>
        <row r="44798">
          <cell r="O44798" t="str">
            <v/>
          </cell>
        </row>
        <row r="44799">
          <cell r="O44799" t="str">
            <v/>
          </cell>
        </row>
        <row r="44800">
          <cell r="O44800" t="str">
            <v/>
          </cell>
        </row>
        <row r="44801">
          <cell r="O44801" t="str">
            <v/>
          </cell>
        </row>
        <row r="44802">
          <cell r="O44802" t="str">
            <v/>
          </cell>
        </row>
        <row r="44803">
          <cell r="O44803" t="str">
            <v/>
          </cell>
        </row>
        <row r="44804">
          <cell r="O44804" t="str">
            <v/>
          </cell>
        </row>
        <row r="44805">
          <cell r="O44805" t="str">
            <v/>
          </cell>
        </row>
        <row r="44806">
          <cell r="O44806" t="str">
            <v/>
          </cell>
        </row>
        <row r="44807">
          <cell r="O44807" t="str">
            <v/>
          </cell>
        </row>
        <row r="44808">
          <cell r="O44808" t="str">
            <v/>
          </cell>
        </row>
        <row r="44809">
          <cell r="O44809" t="str">
            <v/>
          </cell>
        </row>
        <row r="44810">
          <cell r="O44810" t="str">
            <v/>
          </cell>
        </row>
        <row r="44811">
          <cell r="O44811" t="str">
            <v/>
          </cell>
        </row>
        <row r="44812">
          <cell r="O44812" t="str">
            <v/>
          </cell>
        </row>
        <row r="44813">
          <cell r="O44813" t="str">
            <v/>
          </cell>
        </row>
        <row r="44814">
          <cell r="O44814" t="str">
            <v/>
          </cell>
        </row>
        <row r="44815">
          <cell r="O44815" t="str">
            <v/>
          </cell>
        </row>
        <row r="44816">
          <cell r="O44816" t="str">
            <v/>
          </cell>
        </row>
        <row r="44817">
          <cell r="O44817" t="str">
            <v/>
          </cell>
        </row>
        <row r="44818">
          <cell r="O44818" t="str">
            <v/>
          </cell>
        </row>
        <row r="44819">
          <cell r="O44819" t="str">
            <v/>
          </cell>
        </row>
        <row r="44820">
          <cell r="O44820" t="str">
            <v/>
          </cell>
        </row>
        <row r="44821">
          <cell r="O44821" t="str">
            <v/>
          </cell>
        </row>
        <row r="44822">
          <cell r="O44822" t="str">
            <v/>
          </cell>
        </row>
        <row r="44823">
          <cell r="O44823" t="str">
            <v/>
          </cell>
        </row>
        <row r="44824">
          <cell r="O44824" t="str">
            <v/>
          </cell>
        </row>
        <row r="44825">
          <cell r="O44825" t="str">
            <v/>
          </cell>
        </row>
        <row r="44826">
          <cell r="O44826" t="str">
            <v/>
          </cell>
        </row>
        <row r="44827">
          <cell r="O44827" t="str">
            <v/>
          </cell>
        </row>
        <row r="44828">
          <cell r="O44828" t="str">
            <v/>
          </cell>
        </row>
        <row r="44829">
          <cell r="O44829" t="str">
            <v/>
          </cell>
        </row>
        <row r="44830">
          <cell r="O44830" t="str">
            <v/>
          </cell>
        </row>
        <row r="44831">
          <cell r="O44831" t="str">
            <v/>
          </cell>
        </row>
        <row r="44832">
          <cell r="O44832" t="str">
            <v/>
          </cell>
        </row>
        <row r="44833">
          <cell r="O44833" t="str">
            <v/>
          </cell>
        </row>
        <row r="44834">
          <cell r="O44834" t="str">
            <v/>
          </cell>
        </row>
        <row r="44835">
          <cell r="O44835" t="str">
            <v/>
          </cell>
        </row>
        <row r="44836">
          <cell r="O44836" t="str">
            <v/>
          </cell>
        </row>
        <row r="44837">
          <cell r="O44837" t="str">
            <v/>
          </cell>
        </row>
        <row r="44838">
          <cell r="O44838" t="str">
            <v/>
          </cell>
        </row>
        <row r="44839">
          <cell r="O44839" t="str">
            <v/>
          </cell>
        </row>
        <row r="44840">
          <cell r="O44840" t="str">
            <v/>
          </cell>
        </row>
        <row r="44841">
          <cell r="O44841" t="str">
            <v/>
          </cell>
        </row>
        <row r="44842">
          <cell r="O44842" t="str">
            <v/>
          </cell>
        </row>
        <row r="44843">
          <cell r="O44843" t="str">
            <v/>
          </cell>
        </row>
        <row r="44844">
          <cell r="O44844" t="str">
            <v/>
          </cell>
        </row>
        <row r="44845">
          <cell r="O44845" t="str">
            <v/>
          </cell>
        </row>
        <row r="44846">
          <cell r="O44846" t="str">
            <v/>
          </cell>
        </row>
        <row r="44847">
          <cell r="O44847" t="str">
            <v/>
          </cell>
        </row>
        <row r="44848">
          <cell r="O44848" t="str">
            <v/>
          </cell>
        </row>
        <row r="44849">
          <cell r="O44849" t="str">
            <v/>
          </cell>
        </row>
        <row r="44850">
          <cell r="O44850" t="str">
            <v/>
          </cell>
        </row>
        <row r="44851">
          <cell r="O44851" t="str">
            <v/>
          </cell>
        </row>
        <row r="44852">
          <cell r="O44852" t="str">
            <v/>
          </cell>
        </row>
        <row r="44853">
          <cell r="O44853" t="str">
            <v/>
          </cell>
        </row>
        <row r="44854">
          <cell r="O44854" t="str">
            <v/>
          </cell>
        </row>
        <row r="44855">
          <cell r="O44855" t="str">
            <v/>
          </cell>
        </row>
        <row r="44856">
          <cell r="O44856" t="str">
            <v/>
          </cell>
        </row>
        <row r="44857">
          <cell r="O44857" t="str">
            <v/>
          </cell>
        </row>
        <row r="44858">
          <cell r="O44858" t="str">
            <v/>
          </cell>
        </row>
        <row r="44859">
          <cell r="O44859" t="str">
            <v/>
          </cell>
        </row>
        <row r="44860">
          <cell r="O44860" t="str">
            <v/>
          </cell>
        </row>
        <row r="44861">
          <cell r="O44861" t="str">
            <v/>
          </cell>
        </row>
        <row r="44862">
          <cell r="O44862" t="str">
            <v/>
          </cell>
        </row>
        <row r="44863">
          <cell r="O44863" t="str">
            <v/>
          </cell>
        </row>
        <row r="44864">
          <cell r="O44864" t="str">
            <v/>
          </cell>
        </row>
        <row r="44865">
          <cell r="O44865" t="str">
            <v/>
          </cell>
        </row>
        <row r="44866">
          <cell r="O44866" t="str">
            <v/>
          </cell>
        </row>
        <row r="44867">
          <cell r="O44867" t="str">
            <v/>
          </cell>
        </row>
        <row r="44868">
          <cell r="O44868" t="str">
            <v/>
          </cell>
        </row>
        <row r="44869">
          <cell r="O44869" t="str">
            <v/>
          </cell>
        </row>
        <row r="44870">
          <cell r="O44870" t="str">
            <v/>
          </cell>
        </row>
        <row r="44871">
          <cell r="O44871" t="str">
            <v/>
          </cell>
        </row>
        <row r="44872">
          <cell r="O44872" t="str">
            <v/>
          </cell>
        </row>
        <row r="44873">
          <cell r="O44873" t="str">
            <v/>
          </cell>
        </row>
        <row r="44874">
          <cell r="O44874" t="str">
            <v/>
          </cell>
        </row>
        <row r="44875">
          <cell r="O44875" t="str">
            <v/>
          </cell>
        </row>
        <row r="44876">
          <cell r="O44876" t="str">
            <v/>
          </cell>
        </row>
        <row r="44877">
          <cell r="O44877" t="str">
            <v/>
          </cell>
        </row>
        <row r="44878">
          <cell r="O44878" t="str">
            <v/>
          </cell>
        </row>
        <row r="44879">
          <cell r="O44879" t="str">
            <v/>
          </cell>
        </row>
        <row r="44880">
          <cell r="O44880" t="str">
            <v/>
          </cell>
        </row>
        <row r="44881">
          <cell r="O44881" t="str">
            <v/>
          </cell>
        </row>
        <row r="44882">
          <cell r="O44882" t="str">
            <v/>
          </cell>
        </row>
        <row r="44883">
          <cell r="O44883" t="str">
            <v/>
          </cell>
        </row>
        <row r="44884">
          <cell r="O44884" t="str">
            <v/>
          </cell>
        </row>
        <row r="44885">
          <cell r="O44885" t="str">
            <v/>
          </cell>
        </row>
        <row r="44886">
          <cell r="O44886" t="str">
            <v/>
          </cell>
        </row>
        <row r="44887">
          <cell r="O44887" t="str">
            <v/>
          </cell>
        </row>
        <row r="44888">
          <cell r="O44888" t="str">
            <v/>
          </cell>
        </row>
        <row r="44889">
          <cell r="O44889" t="str">
            <v/>
          </cell>
        </row>
        <row r="44890">
          <cell r="O44890" t="str">
            <v/>
          </cell>
        </row>
        <row r="44891">
          <cell r="O44891" t="str">
            <v/>
          </cell>
        </row>
        <row r="44892">
          <cell r="O44892" t="str">
            <v/>
          </cell>
        </row>
        <row r="44893">
          <cell r="O44893" t="str">
            <v/>
          </cell>
        </row>
        <row r="44894">
          <cell r="O44894" t="str">
            <v/>
          </cell>
        </row>
        <row r="44895">
          <cell r="O44895" t="str">
            <v/>
          </cell>
        </row>
        <row r="44896">
          <cell r="O44896" t="str">
            <v/>
          </cell>
        </row>
        <row r="44897">
          <cell r="O44897" t="str">
            <v/>
          </cell>
        </row>
        <row r="44898">
          <cell r="O44898" t="str">
            <v/>
          </cell>
        </row>
        <row r="44899">
          <cell r="O44899" t="str">
            <v/>
          </cell>
        </row>
        <row r="44900">
          <cell r="O44900" t="str">
            <v/>
          </cell>
        </row>
        <row r="44901">
          <cell r="O44901" t="str">
            <v/>
          </cell>
        </row>
        <row r="44902">
          <cell r="O44902" t="str">
            <v/>
          </cell>
        </row>
        <row r="44903">
          <cell r="O44903" t="str">
            <v/>
          </cell>
        </row>
        <row r="44904">
          <cell r="O44904" t="str">
            <v/>
          </cell>
        </row>
        <row r="44905">
          <cell r="O44905" t="str">
            <v/>
          </cell>
        </row>
        <row r="44906">
          <cell r="O44906" t="str">
            <v/>
          </cell>
        </row>
        <row r="44907">
          <cell r="O44907" t="str">
            <v/>
          </cell>
        </row>
        <row r="44908">
          <cell r="O44908" t="str">
            <v/>
          </cell>
        </row>
        <row r="44909">
          <cell r="O44909" t="str">
            <v/>
          </cell>
        </row>
        <row r="44910">
          <cell r="O44910" t="str">
            <v/>
          </cell>
        </row>
        <row r="44911">
          <cell r="O44911" t="str">
            <v/>
          </cell>
        </row>
        <row r="44912">
          <cell r="O44912" t="str">
            <v/>
          </cell>
        </row>
        <row r="44913">
          <cell r="O44913" t="str">
            <v/>
          </cell>
        </row>
        <row r="44914">
          <cell r="O44914" t="str">
            <v/>
          </cell>
        </row>
        <row r="44915">
          <cell r="O44915" t="str">
            <v/>
          </cell>
        </row>
        <row r="44916">
          <cell r="O44916" t="str">
            <v/>
          </cell>
        </row>
        <row r="44917">
          <cell r="O44917" t="str">
            <v/>
          </cell>
        </row>
        <row r="44918">
          <cell r="O44918" t="str">
            <v/>
          </cell>
        </row>
        <row r="44919">
          <cell r="O44919" t="str">
            <v/>
          </cell>
        </row>
        <row r="44920">
          <cell r="O44920" t="str">
            <v/>
          </cell>
        </row>
        <row r="44921">
          <cell r="O44921" t="str">
            <v/>
          </cell>
        </row>
        <row r="44922">
          <cell r="O44922" t="str">
            <v/>
          </cell>
        </row>
        <row r="44923">
          <cell r="O44923" t="str">
            <v/>
          </cell>
        </row>
        <row r="44924">
          <cell r="O44924" t="str">
            <v/>
          </cell>
        </row>
        <row r="44925">
          <cell r="O44925" t="str">
            <v/>
          </cell>
        </row>
        <row r="44926">
          <cell r="O44926" t="str">
            <v/>
          </cell>
        </row>
        <row r="44927">
          <cell r="O44927" t="str">
            <v/>
          </cell>
        </row>
        <row r="44928">
          <cell r="O44928" t="str">
            <v/>
          </cell>
        </row>
        <row r="44929">
          <cell r="O44929" t="str">
            <v/>
          </cell>
        </row>
        <row r="44930">
          <cell r="O44930" t="str">
            <v/>
          </cell>
        </row>
        <row r="44931">
          <cell r="O44931" t="str">
            <v/>
          </cell>
        </row>
        <row r="44932">
          <cell r="O44932" t="str">
            <v/>
          </cell>
        </row>
        <row r="44933">
          <cell r="O44933" t="str">
            <v/>
          </cell>
        </row>
        <row r="44934">
          <cell r="O44934" t="str">
            <v/>
          </cell>
        </row>
        <row r="44935">
          <cell r="O44935" t="str">
            <v/>
          </cell>
        </row>
        <row r="44936">
          <cell r="O44936" t="str">
            <v/>
          </cell>
        </row>
        <row r="44937">
          <cell r="O44937" t="str">
            <v/>
          </cell>
        </row>
        <row r="44938">
          <cell r="O44938" t="str">
            <v/>
          </cell>
        </row>
        <row r="44939">
          <cell r="O44939" t="str">
            <v/>
          </cell>
        </row>
        <row r="44940">
          <cell r="O44940" t="str">
            <v/>
          </cell>
        </row>
        <row r="44941">
          <cell r="O44941" t="str">
            <v/>
          </cell>
        </row>
        <row r="44942">
          <cell r="O44942" t="str">
            <v/>
          </cell>
        </row>
        <row r="44943">
          <cell r="O44943" t="str">
            <v/>
          </cell>
        </row>
        <row r="44944">
          <cell r="O44944" t="str">
            <v/>
          </cell>
        </row>
        <row r="44945">
          <cell r="O44945" t="str">
            <v/>
          </cell>
        </row>
        <row r="44946">
          <cell r="O44946" t="str">
            <v/>
          </cell>
        </row>
        <row r="44947">
          <cell r="O44947" t="str">
            <v/>
          </cell>
        </row>
        <row r="44948">
          <cell r="O44948" t="str">
            <v/>
          </cell>
        </row>
        <row r="44949">
          <cell r="O44949" t="str">
            <v/>
          </cell>
        </row>
        <row r="44950">
          <cell r="O44950" t="str">
            <v/>
          </cell>
        </row>
        <row r="44951">
          <cell r="O44951" t="str">
            <v/>
          </cell>
        </row>
        <row r="44952">
          <cell r="O44952" t="str">
            <v/>
          </cell>
        </row>
        <row r="44953">
          <cell r="O44953" t="str">
            <v/>
          </cell>
        </row>
        <row r="44954">
          <cell r="O44954" t="str">
            <v/>
          </cell>
        </row>
        <row r="44955">
          <cell r="O44955" t="str">
            <v/>
          </cell>
        </row>
        <row r="44956">
          <cell r="O44956" t="str">
            <v/>
          </cell>
        </row>
        <row r="44957">
          <cell r="O44957" t="str">
            <v/>
          </cell>
        </row>
        <row r="44958">
          <cell r="O44958" t="str">
            <v/>
          </cell>
        </row>
        <row r="44959">
          <cell r="O44959" t="str">
            <v/>
          </cell>
        </row>
        <row r="44960">
          <cell r="O44960" t="str">
            <v/>
          </cell>
        </row>
        <row r="44961">
          <cell r="O44961" t="str">
            <v/>
          </cell>
        </row>
        <row r="44962">
          <cell r="O44962" t="str">
            <v/>
          </cell>
        </row>
        <row r="44963">
          <cell r="O44963" t="str">
            <v/>
          </cell>
        </row>
        <row r="44964">
          <cell r="O44964" t="str">
            <v/>
          </cell>
        </row>
        <row r="44965">
          <cell r="O44965" t="str">
            <v/>
          </cell>
        </row>
        <row r="44966">
          <cell r="O44966" t="str">
            <v/>
          </cell>
        </row>
        <row r="44967">
          <cell r="O44967" t="str">
            <v/>
          </cell>
        </row>
        <row r="44968">
          <cell r="O44968" t="str">
            <v/>
          </cell>
        </row>
        <row r="44969">
          <cell r="O44969" t="str">
            <v/>
          </cell>
        </row>
        <row r="44970">
          <cell r="O44970" t="str">
            <v/>
          </cell>
        </row>
        <row r="44971">
          <cell r="O44971" t="str">
            <v/>
          </cell>
        </row>
        <row r="44972">
          <cell r="O44972" t="str">
            <v/>
          </cell>
        </row>
        <row r="44973">
          <cell r="O44973" t="str">
            <v/>
          </cell>
        </row>
        <row r="44974">
          <cell r="O44974" t="str">
            <v/>
          </cell>
        </row>
        <row r="44975">
          <cell r="O44975" t="str">
            <v/>
          </cell>
        </row>
        <row r="44976">
          <cell r="O44976" t="str">
            <v/>
          </cell>
        </row>
        <row r="44977">
          <cell r="O44977" t="str">
            <v/>
          </cell>
        </row>
        <row r="44978">
          <cell r="O44978" t="str">
            <v/>
          </cell>
        </row>
        <row r="44979">
          <cell r="O44979" t="str">
            <v/>
          </cell>
        </row>
        <row r="44980">
          <cell r="O44980" t="str">
            <v/>
          </cell>
        </row>
        <row r="44981">
          <cell r="O44981" t="str">
            <v/>
          </cell>
        </row>
        <row r="44982">
          <cell r="O44982" t="str">
            <v/>
          </cell>
        </row>
        <row r="44983">
          <cell r="O44983" t="str">
            <v/>
          </cell>
        </row>
        <row r="44984">
          <cell r="O44984" t="str">
            <v/>
          </cell>
        </row>
        <row r="44985">
          <cell r="O44985" t="str">
            <v/>
          </cell>
        </row>
        <row r="44986">
          <cell r="O44986" t="str">
            <v/>
          </cell>
        </row>
        <row r="44987">
          <cell r="O44987" t="str">
            <v/>
          </cell>
        </row>
        <row r="44988">
          <cell r="O44988" t="str">
            <v/>
          </cell>
        </row>
        <row r="44989">
          <cell r="O44989" t="str">
            <v/>
          </cell>
        </row>
        <row r="44990">
          <cell r="O44990" t="str">
            <v/>
          </cell>
        </row>
        <row r="44991">
          <cell r="O44991" t="str">
            <v/>
          </cell>
        </row>
        <row r="44992">
          <cell r="O44992" t="str">
            <v/>
          </cell>
        </row>
        <row r="44993">
          <cell r="O44993" t="str">
            <v/>
          </cell>
        </row>
        <row r="44994">
          <cell r="O44994" t="str">
            <v/>
          </cell>
        </row>
        <row r="44995">
          <cell r="O44995" t="str">
            <v/>
          </cell>
        </row>
        <row r="44996">
          <cell r="O44996" t="str">
            <v/>
          </cell>
        </row>
        <row r="44997">
          <cell r="O44997" t="str">
            <v/>
          </cell>
        </row>
        <row r="44998">
          <cell r="O44998" t="str">
            <v/>
          </cell>
        </row>
        <row r="44999">
          <cell r="O44999" t="str">
            <v/>
          </cell>
        </row>
        <row r="45000">
          <cell r="O45000" t="str">
            <v/>
          </cell>
        </row>
        <row r="45001">
          <cell r="O45001" t="str">
            <v/>
          </cell>
        </row>
        <row r="45002">
          <cell r="O45002" t="str">
            <v/>
          </cell>
        </row>
        <row r="45003">
          <cell r="O45003" t="str">
            <v/>
          </cell>
        </row>
        <row r="45004">
          <cell r="O45004" t="str">
            <v/>
          </cell>
        </row>
        <row r="45005">
          <cell r="O45005" t="str">
            <v/>
          </cell>
        </row>
        <row r="45006">
          <cell r="O45006" t="str">
            <v/>
          </cell>
        </row>
        <row r="45007">
          <cell r="O45007" t="str">
            <v/>
          </cell>
        </row>
        <row r="45008">
          <cell r="O45008" t="str">
            <v/>
          </cell>
        </row>
        <row r="45009">
          <cell r="O45009" t="str">
            <v/>
          </cell>
        </row>
        <row r="45010">
          <cell r="O45010" t="str">
            <v/>
          </cell>
        </row>
        <row r="45011">
          <cell r="O45011" t="str">
            <v/>
          </cell>
        </row>
        <row r="45012">
          <cell r="O45012" t="str">
            <v/>
          </cell>
        </row>
        <row r="45013">
          <cell r="O45013" t="str">
            <v/>
          </cell>
        </row>
        <row r="45014">
          <cell r="O45014" t="str">
            <v/>
          </cell>
        </row>
        <row r="45015">
          <cell r="O45015" t="str">
            <v/>
          </cell>
        </row>
        <row r="45016">
          <cell r="O45016" t="str">
            <v/>
          </cell>
        </row>
        <row r="45017">
          <cell r="O45017" t="str">
            <v/>
          </cell>
        </row>
        <row r="45018">
          <cell r="O45018" t="str">
            <v/>
          </cell>
        </row>
        <row r="45019">
          <cell r="O45019" t="str">
            <v/>
          </cell>
        </row>
        <row r="45020">
          <cell r="O45020" t="str">
            <v/>
          </cell>
        </row>
        <row r="45021">
          <cell r="O45021" t="str">
            <v/>
          </cell>
        </row>
        <row r="45022">
          <cell r="O45022" t="str">
            <v/>
          </cell>
        </row>
        <row r="45023">
          <cell r="O45023" t="str">
            <v/>
          </cell>
        </row>
        <row r="45024">
          <cell r="O45024" t="str">
            <v/>
          </cell>
        </row>
        <row r="45025">
          <cell r="O45025" t="str">
            <v/>
          </cell>
        </row>
        <row r="45026">
          <cell r="O45026" t="str">
            <v/>
          </cell>
        </row>
        <row r="45027">
          <cell r="O45027" t="str">
            <v/>
          </cell>
        </row>
        <row r="45028">
          <cell r="O45028" t="str">
            <v/>
          </cell>
        </row>
        <row r="45029">
          <cell r="O45029" t="str">
            <v/>
          </cell>
        </row>
        <row r="45030">
          <cell r="O45030" t="str">
            <v/>
          </cell>
        </row>
        <row r="45031">
          <cell r="O45031" t="str">
            <v/>
          </cell>
        </row>
        <row r="45032">
          <cell r="O45032" t="str">
            <v/>
          </cell>
        </row>
        <row r="45033">
          <cell r="O45033" t="str">
            <v/>
          </cell>
        </row>
        <row r="45034">
          <cell r="O45034" t="str">
            <v/>
          </cell>
        </row>
        <row r="45035">
          <cell r="O45035" t="str">
            <v/>
          </cell>
        </row>
        <row r="45036">
          <cell r="O45036" t="str">
            <v/>
          </cell>
        </row>
        <row r="45037">
          <cell r="O45037" t="str">
            <v/>
          </cell>
        </row>
        <row r="45038">
          <cell r="O45038" t="str">
            <v/>
          </cell>
        </row>
        <row r="45039">
          <cell r="O45039" t="str">
            <v/>
          </cell>
        </row>
        <row r="45040">
          <cell r="O45040" t="str">
            <v/>
          </cell>
        </row>
        <row r="45041">
          <cell r="O45041" t="str">
            <v/>
          </cell>
        </row>
        <row r="45042">
          <cell r="O45042" t="str">
            <v/>
          </cell>
        </row>
        <row r="45043">
          <cell r="O45043" t="str">
            <v/>
          </cell>
        </row>
        <row r="45044">
          <cell r="O45044" t="str">
            <v/>
          </cell>
        </row>
        <row r="45045">
          <cell r="O45045" t="str">
            <v/>
          </cell>
        </row>
        <row r="45046">
          <cell r="O45046" t="str">
            <v/>
          </cell>
        </row>
        <row r="45047">
          <cell r="O45047" t="str">
            <v/>
          </cell>
        </row>
        <row r="45048">
          <cell r="O45048" t="str">
            <v/>
          </cell>
        </row>
        <row r="45049">
          <cell r="O45049" t="str">
            <v/>
          </cell>
        </row>
        <row r="45050">
          <cell r="O45050" t="str">
            <v/>
          </cell>
        </row>
        <row r="45051">
          <cell r="O45051" t="str">
            <v/>
          </cell>
        </row>
        <row r="45052">
          <cell r="O45052" t="str">
            <v/>
          </cell>
        </row>
        <row r="45053">
          <cell r="O45053" t="str">
            <v/>
          </cell>
        </row>
        <row r="45054">
          <cell r="O45054" t="str">
            <v/>
          </cell>
        </row>
        <row r="45055">
          <cell r="O45055" t="str">
            <v/>
          </cell>
        </row>
        <row r="45056">
          <cell r="O45056" t="str">
            <v/>
          </cell>
        </row>
        <row r="45057">
          <cell r="O45057" t="str">
            <v/>
          </cell>
        </row>
        <row r="45058">
          <cell r="O45058" t="str">
            <v/>
          </cell>
        </row>
        <row r="45059">
          <cell r="O45059" t="str">
            <v/>
          </cell>
        </row>
        <row r="45060">
          <cell r="O45060" t="str">
            <v/>
          </cell>
        </row>
        <row r="45061">
          <cell r="O45061" t="str">
            <v/>
          </cell>
        </row>
        <row r="45062">
          <cell r="O45062" t="str">
            <v/>
          </cell>
        </row>
        <row r="45063">
          <cell r="O45063" t="str">
            <v/>
          </cell>
        </row>
        <row r="45064">
          <cell r="O45064" t="str">
            <v/>
          </cell>
        </row>
        <row r="45065">
          <cell r="O45065" t="str">
            <v/>
          </cell>
        </row>
        <row r="45066">
          <cell r="O45066" t="str">
            <v/>
          </cell>
        </row>
        <row r="45067">
          <cell r="O45067" t="str">
            <v/>
          </cell>
        </row>
        <row r="45068">
          <cell r="O45068" t="str">
            <v/>
          </cell>
        </row>
        <row r="45069">
          <cell r="O45069" t="str">
            <v/>
          </cell>
        </row>
        <row r="45070">
          <cell r="O45070" t="str">
            <v/>
          </cell>
        </row>
        <row r="45071">
          <cell r="O45071" t="str">
            <v/>
          </cell>
        </row>
        <row r="45072">
          <cell r="O45072" t="str">
            <v/>
          </cell>
        </row>
        <row r="45073">
          <cell r="O45073" t="str">
            <v/>
          </cell>
        </row>
        <row r="45074">
          <cell r="O45074" t="str">
            <v/>
          </cell>
        </row>
        <row r="45075">
          <cell r="O45075" t="str">
            <v/>
          </cell>
        </row>
        <row r="45076">
          <cell r="O45076" t="str">
            <v/>
          </cell>
        </row>
        <row r="45077">
          <cell r="O45077" t="str">
            <v/>
          </cell>
        </row>
        <row r="45078">
          <cell r="O45078" t="str">
            <v/>
          </cell>
        </row>
        <row r="45079">
          <cell r="O45079" t="str">
            <v/>
          </cell>
        </row>
        <row r="45080">
          <cell r="O45080" t="str">
            <v/>
          </cell>
        </row>
        <row r="45081">
          <cell r="O45081" t="str">
            <v/>
          </cell>
        </row>
        <row r="45082">
          <cell r="O45082" t="str">
            <v/>
          </cell>
        </row>
        <row r="45083">
          <cell r="O45083" t="str">
            <v/>
          </cell>
        </row>
        <row r="45084">
          <cell r="O45084" t="str">
            <v/>
          </cell>
        </row>
        <row r="45085">
          <cell r="O45085" t="str">
            <v/>
          </cell>
        </row>
        <row r="45086">
          <cell r="O45086" t="str">
            <v/>
          </cell>
        </row>
        <row r="45087">
          <cell r="O45087" t="str">
            <v/>
          </cell>
        </row>
        <row r="45088">
          <cell r="O45088" t="str">
            <v/>
          </cell>
        </row>
        <row r="45089">
          <cell r="O45089" t="str">
            <v/>
          </cell>
        </row>
        <row r="45090">
          <cell r="O45090" t="str">
            <v/>
          </cell>
        </row>
        <row r="45091">
          <cell r="O45091" t="str">
            <v/>
          </cell>
        </row>
        <row r="45092">
          <cell r="O45092" t="str">
            <v/>
          </cell>
        </row>
        <row r="45093">
          <cell r="O45093" t="str">
            <v/>
          </cell>
        </row>
        <row r="45094">
          <cell r="O45094" t="str">
            <v/>
          </cell>
        </row>
        <row r="45095">
          <cell r="O45095" t="str">
            <v/>
          </cell>
        </row>
        <row r="45096">
          <cell r="O45096" t="str">
            <v/>
          </cell>
        </row>
        <row r="45097">
          <cell r="O45097" t="str">
            <v/>
          </cell>
        </row>
        <row r="45098">
          <cell r="O45098" t="str">
            <v/>
          </cell>
        </row>
        <row r="45099">
          <cell r="O45099" t="str">
            <v/>
          </cell>
        </row>
        <row r="45100">
          <cell r="O45100" t="str">
            <v/>
          </cell>
        </row>
        <row r="45101">
          <cell r="O45101" t="str">
            <v/>
          </cell>
        </row>
        <row r="45102">
          <cell r="O45102" t="str">
            <v/>
          </cell>
        </row>
        <row r="45103">
          <cell r="O45103" t="str">
            <v/>
          </cell>
        </row>
        <row r="45104">
          <cell r="O45104" t="str">
            <v/>
          </cell>
        </row>
        <row r="45105">
          <cell r="O45105" t="str">
            <v/>
          </cell>
        </row>
        <row r="45106">
          <cell r="O45106" t="str">
            <v/>
          </cell>
        </row>
        <row r="45107">
          <cell r="O45107" t="str">
            <v/>
          </cell>
        </row>
        <row r="45108">
          <cell r="O45108" t="str">
            <v/>
          </cell>
        </row>
        <row r="45109">
          <cell r="O45109" t="str">
            <v/>
          </cell>
        </row>
        <row r="45110">
          <cell r="O45110" t="str">
            <v/>
          </cell>
        </row>
        <row r="45111">
          <cell r="O45111" t="str">
            <v/>
          </cell>
        </row>
        <row r="45112">
          <cell r="O45112" t="str">
            <v/>
          </cell>
        </row>
        <row r="45113">
          <cell r="O45113" t="str">
            <v/>
          </cell>
        </row>
        <row r="45114">
          <cell r="O45114" t="str">
            <v/>
          </cell>
        </row>
        <row r="45115">
          <cell r="O45115" t="str">
            <v/>
          </cell>
        </row>
        <row r="45116">
          <cell r="O45116" t="str">
            <v/>
          </cell>
        </row>
        <row r="45117">
          <cell r="O45117" t="str">
            <v/>
          </cell>
        </row>
        <row r="45118">
          <cell r="O45118" t="str">
            <v/>
          </cell>
        </row>
        <row r="45119">
          <cell r="O45119" t="str">
            <v/>
          </cell>
        </row>
        <row r="45120">
          <cell r="O45120" t="str">
            <v/>
          </cell>
        </row>
        <row r="45121">
          <cell r="O45121" t="str">
            <v/>
          </cell>
        </row>
        <row r="45122">
          <cell r="O45122" t="str">
            <v/>
          </cell>
        </row>
        <row r="45123">
          <cell r="O45123" t="str">
            <v/>
          </cell>
        </row>
        <row r="45124">
          <cell r="O45124" t="str">
            <v/>
          </cell>
        </row>
        <row r="45125">
          <cell r="O45125" t="str">
            <v/>
          </cell>
        </row>
        <row r="45126">
          <cell r="O45126" t="str">
            <v/>
          </cell>
        </row>
        <row r="45127">
          <cell r="O45127" t="str">
            <v/>
          </cell>
        </row>
        <row r="45128">
          <cell r="O45128" t="str">
            <v/>
          </cell>
        </row>
        <row r="45129">
          <cell r="O45129" t="str">
            <v/>
          </cell>
        </row>
        <row r="45130">
          <cell r="O45130" t="str">
            <v/>
          </cell>
        </row>
        <row r="45131">
          <cell r="O45131" t="str">
            <v/>
          </cell>
        </row>
        <row r="45132">
          <cell r="O45132" t="str">
            <v/>
          </cell>
        </row>
        <row r="45133">
          <cell r="O45133" t="str">
            <v/>
          </cell>
        </row>
        <row r="45134">
          <cell r="O45134" t="str">
            <v/>
          </cell>
        </row>
        <row r="45135">
          <cell r="O45135" t="str">
            <v/>
          </cell>
        </row>
        <row r="45136">
          <cell r="O45136" t="str">
            <v/>
          </cell>
        </row>
        <row r="45137">
          <cell r="O45137" t="str">
            <v/>
          </cell>
        </row>
        <row r="45138">
          <cell r="O45138" t="str">
            <v/>
          </cell>
        </row>
        <row r="45139">
          <cell r="O45139" t="str">
            <v/>
          </cell>
        </row>
        <row r="45140">
          <cell r="O45140" t="str">
            <v/>
          </cell>
        </row>
        <row r="45141">
          <cell r="O45141" t="str">
            <v/>
          </cell>
        </row>
        <row r="45142">
          <cell r="O45142" t="str">
            <v/>
          </cell>
        </row>
        <row r="45143">
          <cell r="O45143" t="str">
            <v/>
          </cell>
        </row>
        <row r="45144">
          <cell r="O45144" t="str">
            <v/>
          </cell>
        </row>
        <row r="45145">
          <cell r="O45145" t="str">
            <v/>
          </cell>
        </row>
        <row r="45146">
          <cell r="O45146" t="str">
            <v/>
          </cell>
        </row>
        <row r="45147">
          <cell r="O45147" t="str">
            <v/>
          </cell>
        </row>
        <row r="45148">
          <cell r="O45148" t="str">
            <v/>
          </cell>
        </row>
        <row r="45149">
          <cell r="O45149" t="str">
            <v/>
          </cell>
        </row>
        <row r="45150">
          <cell r="O45150" t="str">
            <v/>
          </cell>
        </row>
        <row r="45151">
          <cell r="O45151" t="str">
            <v/>
          </cell>
        </row>
        <row r="45152">
          <cell r="O45152" t="str">
            <v/>
          </cell>
        </row>
        <row r="45153">
          <cell r="O45153" t="str">
            <v/>
          </cell>
        </row>
        <row r="45154">
          <cell r="O45154" t="str">
            <v/>
          </cell>
        </row>
        <row r="45155">
          <cell r="O45155" t="str">
            <v/>
          </cell>
        </row>
        <row r="45156">
          <cell r="O45156" t="str">
            <v/>
          </cell>
        </row>
        <row r="45157">
          <cell r="O45157" t="str">
            <v/>
          </cell>
        </row>
        <row r="45158">
          <cell r="O45158" t="str">
            <v/>
          </cell>
        </row>
        <row r="45159">
          <cell r="O45159" t="str">
            <v/>
          </cell>
        </row>
        <row r="45160">
          <cell r="O45160" t="str">
            <v/>
          </cell>
        </row>
        <row r="45161">
          <cell r="O45161" t="str">
            <v/>
          </cell>
        </row>
        <row r="45162">
          <cell r="O45162" t="str">
            <v/>
          </cell>
        </row>
        <row r="45163">
          <cell r="O45163" t="str">
            <v/>
          </cell>
        </row>
        <row r="45164">
          <cell r="O45164" t="str">
            <v/>
          </cell>
        </row>
        <row r="45165">
          <cell r="O45165" t="str">
            <v/>
          </cell>
        </row>
        <row r="45166">
          <cell r="O45166" t="str">
            <v/>
          </cell>
        </row>
        <row r="45167">
          <cell r="O45167" t="str">
            <v/>
          </cell>
        </row>
        <row r="45168">
          <cell r="O45168" t="str">
            <v/>
          </cell>
        </row>
        <row r="45169">
          <cell r="O45169" t="str">
            <v/>
          </cell>
        </row>
        <row r="45170">
          <cell r="O45170" t="str">
            <v/>
          </cell>
        </row>
        <row r="45171">
          <cell r="O45171" t="str">
            <v/>
          </cell>
        </row>
        <row r="45172">
          <cell r="O45172" t="str">
            <v/>
          </cell>
        </row>
        <row r="45173">
          <cell r="O45173" t="str">
            <v/>
          </cell>
        </row>
        <row r="45174">
          <cell r="O45174" t="str">
            <v/>
          </cell>
        </row>
        <row r="45175">
          <cell r="O45175" t="str">
            <v/>
          </cell>
        </row>
        <row r="45176">
          <cell r="O45176" t="str">
            <v/>
          </cell>
        </row>
        <row r="45177">
          <cell r="O45177" t="str">
            <v/>
          </cell>
        </row>
        <row r="45178">
          <cell r="O45178" t="str">
            <v/>
          </cell>
        </row>
        <row r="45179">
          <cell r="O45179" t="str">
            <v/>
          </cell>
        </row>
        <row r="45180">
          <cell r="O45180" t="str">
            <v/>
          </cell>
        </row>
        <row r="45181">
          <cell r="O45181" t="str">
            <v/>
          </cell>
        </row>
        <row r="45182">
          <cell r="O45182" t="str">
            <v/>
          </cell>
        </row>
        <row r="45183">
          <cell r="O45183" t="str">
            <v/>
          </cell>
        </row>
        <row r="45184">
          <cell r="O45184" t="str">
            <v/>
          </cell>
        </row>
        <row r="45185">
          <cell r="O45185" t="str">
            <v/>
          </cell>
        </row>
        <row r="45186">
          <cell r="O45186" t="str">
            <v/>
          </cell>
        </row>
        <row r="45187">
          <cell r="O45187" t="str">
            <v/>
          </cell>
        </row>
        <row r="45188">
          <cell r="O45188" t="str">
            <v/>
          </cell>
        </row>
        <row r="45189">
          <cell r="O45189" t="str">
            <v/>
          </cell>
        </row>
        <row r="45190">
          <cell r="O45190" t="str">
            <v/>
          </cell>
        </row>
        <row r="45191">
          <cell r="O45191" t="str">
            <v/>
          </cell>
        </row>
        <row r="45192">
          <cell r="O45192" t="str">
            <v/>
          </cell>
        </row>
        <row r="45193">
          <cell r="O45193" t="str">
            <v/>
          </cell>
        </row>
        <row r="45194">
          <cell r="O45194" t="str">
            <v/>
          </cell>
        </row>
        <row r="45195">
          <cell r="O45195" t="str">
            <v/>
          </cell>
        </row>
        <row r="45196">
          <cell r="O45196" t="str">
            <v/>
          </cell>
        </row>
        <row r="45197">
          <cell r="O45197" t="str">
            <v/>
          </cell>
        </row>
        <row r="45198">
          <cell r="O45198" t="str">
            <v/>
          </cell>
        </row>
        <row r="45199">
          <cell r="O45199" t="str">
            <v/>
          </cell>
        </row>
        <row r="45200">
          <cell r="O45200" t="str">
            <v/>
          </cell>
        </row>
        <row r="45201">
          <cell r="O45201" t="str">
            <v/>
          </cell>
        </row>
        <row r="45202">
          <cell r="O45202" t="str">
            <v/>
          </cell>
        </row>
        <row r="45203">
          <cell r="O45203" t="str">
            <v/>
          </cell>
        </row>
        <row r="45204">
          <cell r="O45204" t="str">
            <v/>
          </cell>
        </row>
        <row r="45205">
          <cell r="O45205" t="str">
            <v/>
          </cell>
        </row>
        <row r="45206">
          <cell r="O45206" t="str">
            <v/>
          </cell>
        </row>
        <row r="45207">
          <cell r="O45207" t="str">
            <v/>
          </cell>
        </row>
        <row r="45208">
          <cell r="O45208" t="str">
            <v/>
          </cell>
        </row>
        <row r="45209">
          <cell r="O45209" t="str">
            <v/>
          </cell>
        </row>
        <row r="45210">
          <cell r="O45210" t="str">
            <v/>
          </cell>
        </row>
        <row r="45211">
          <cell r="O45211" t="str">
            <v/>
          </cell>
        </row>
        <row r="45212">
          <cell r="O45212" t="str">
            <v/>
          </cell>
        </row>
        <row r="45213">
          <cell r="O45213" t="str">
            <v/>
          </cell>
        </row>
        <row r="45214">
          <cell r="O45214" t="str">
            <v/>
          </cell>
        </row>
        <row r="45215">
          <cell r="O45215" t="str">
            <v/>
          </cell>
        </row>
        <row r="45216">
          <cell r="O45216" t="str">
            <v/>
          </cell>
        </row>
        <row r="45217">
          <cell r="O45217" t="str">
            <v/>
          </cell>
        </row>
        <row r="45218">
          <cell r="O45218" t="str">
            <v/>
          </cell>
        </row>
        <row r="45219">
          <cell r="O45219" t="str">
            <v/>
          </cell>
        </row>
        <row r="45220">
          <cell r="O45220" t="str">
            <v/>
          </cell>
        </row>
        <row r="45221">
          <cell r="O45221" t="str">
            <v/>
          </cell>
        </row>
        <row r="45222">
          <cell r="O45222" t="str">
            <v/>
          </cell>
        </row>
        <row r="45223">
          <cell r="O45223" t="str">
            <v/>
          </cell>
        </row>
        <row r="45224">
          <cell r="O45224" t="str">
            <v/>
          </cell>
        </row>
        <row r="45225">
          <cell r="O45225" t="str">
            <v/>
          </cell>
        </row>
        <row r="45226">
          <cell r="O45226" t="str">
            <v/>
          </cell>
        </row>
        <row r="45227">
          <cell r="O45227" t="str">
            <v/>
          </cell>
        </row>
        <row r="45228">
          <cell r="O45228" t="str">
            <v/>
          </cell>
        </row>
        <row r="45229">
          <cell r="O45229" t="str">
            <v/>
          </cell>
        </row>
        <row r="45230">
          <cell r="O45230" t="str">
            <v/>
          </cell>
        </row>
        <row r="45231">
          <cell r="O45231" t="str">
            <v/>
          </cell>
        </row>
        <row r="45232">
          <cell r="O45232" t="str">
            <v/>
          </cell>
        </row>
        <row r="45233">
          <cell r="O45233" t="str">
            <v/>
          </cell>
        </row>
        <row r="45234">
          <cell r="O45234" t="str">
            <v/>
          </cell>
        </row>
        <row r="45235">
          <cell r="O45235" t="str">
            <v/>
          </cell>
        </row>
        <row r="45236">
          <cell r="O45236" t="str">
            <v/>
          </cell>
        </row>
        <row r="45237">
          <cell r="O45237" t="str">
            <v/>
          </cell>
        </row>
        <row r="45238">
          <cell r="O45238" t="str">
            <v/>
          </cell>
        </row>
        <row r="45239">
          <cell r="O45239" t="str">
            <v/>
          </cell>
        </row>
        <row r="45240">
          <cell r="O45240" t="str">
            <v/>
          </cell>
        </row>
        <row r="45241">
          <cell r="O45241" t="str">
            <v/>
          </cell>
        </row>
        <row r="45242">
          <cell r="O45242" t="str">
            <v/>
          </cell>
        </row>
        <row r="45243">
          <cell r="O45243" t="str">
            <v/>
          </cell>
        </row>
        <row r="45244">
          <cell r="O45244" t="str">
            <v/>
          </cell>
        </row>
        <row r="45245">
          <cell r="O45245" t="str">
            <v/>
          </cell>
        </row>
        <row r="45246">
          <cell r="O45246" t="str">
            <v/>
          </cell>
        </row>
        <row r="45247">
          <cell r="O45247" t="str">
            <v/>
          </cell>
        </row>
        <row r="45248">
          <cell r="O45248" t="str">
            <v/>
          </cell>
        </row>
        <row r="45249">
          <cell r="O45249" t="str">
            <v/>
          </cell>
        </row>
        <row r="45250">
          <cell r="O45250" t="str">
            <v/>
          </cell>
        </row>
        <row r="45251">
          <cell r="O45251" t="str">
            <v/>
          </cell>
        </row>
        <row r="45252">
          <cell r="O45252" t="str">
            <v/>
          </cell>
        </row>
        <row r="45253">
          <cell r="O45253" t="str">
            <v/>
          </cell>
        </row>
        <row r="45254">
          <cell r="O45254" t="str">
            <v/>
          </cell>
        </row>
        <row r="45255">
          <cell r="O45255" t="str">
            <v/>
          </cell>
        </row>
        <row r="45256">
          <cell r="O45256" t="str">
            <v/>
          </cell>
        </row>
        <row r="45257">
          <cell r="O45257" t="str">
            <v/>
          </cell>
        </row>
        <row r="45258">
          <cell r="O45258" t="str">
            <v/>
          </cell>
        </row>
        <row r="45259">
          <cell r="O45259" t="str">
            <v/>
          </cell>
        </row>
        <row r="45260">
          <cell r="O45260" t="str">
            <v/>
          </cell>
        </row>
        <row r="45261">
          <cell r="O45261" t="str">
            <v/>
          </cell>
        </row>
        <row r="45262">
          <cell r="O45262" t="str">
            <v/>
          </cell>
        </row>
        <row r="45263">
          <cell r="O45263" t="str">
            <v/>
          </cell>
        </row>
        <row r="45264">
          <cell r="O45264" t="str">
            <v/>
          </cell>
        </row>
        <row r="45265">
          <cell r="O45265" t="str">
            <v/>
          </cell>
        </row>
        <row r="45266">
          <cell r="O45266" t="str">
            <v/>
          </cell>
        </row>
        <row r="45267">
          <cell r="O45267" t="str">
            <v/>
          </cell>
        </row>
        <row r="45268">
          <cell r="O45268" t="str">
            <v/>
          </cell>
        </row>
        <row r="45269">
          <cell r="O45269" t="str">
            <v/>
          </cell>
        </row>
        <row r="45270">
          <cell r="O45270" t="str">
            <v/>
          </cell>
        </row>
        <row r="45271">
          <cell r="O45271" t="str">
            <v/>
          </cell>
        </row>
        <row r="45272">
          <cell r="O45272" t="str">
            <v/>
          </cell>
        </row>
        <row r="45273">
          <cell r="O45273" t="str">
            <v/>
          </cell>
        </row>
        <row r="45274">
          <cell r="O45274" t="str">
            <v/>
          </cell>
        </row>
        <row r="45275">
          <cell r="O45275" t="str">
            <v/>
          </cell>
        </row>
        <row r="45276">
          <cell r="O45276" t="str">
            <v/>
          </cell>
        </row>
        <row r="45277">
          <cell r="O45277" t="str">
            <v/>
          </cell>
        </row>
        <row r="45278">
          <cell r="O45278" t="str">
            <v/>
          </cell>
        </row>
        <row r="45279">
          <cell r="O45279" t="str">
            <v/>
          </cell>
        </row>
        <row r="45280">
          <cell r="O45280" t="str">
            <v/>
          </cell>
        </row>
        <row r="45281">
          <cell r="O45281" t="str">
            <v/>
          </cell>
        </row>
        <row r="45282">
          <cell r="O45282" t="str">
            <v/>
          </cell>
        </row>
        <row r="45283">
          <cell r="O45283" t="str">
            <v/>
          </cell>
        </row>
        <row r="45284">
          <cell r="O45284" t="str">
            <v/>
          </cell>
        </row>
        <row r="45285">
          <cell r="O45285" t="str">
            <v/>
          </cell>
        </row>
        <row r="45286">
          <cell r="O45286" t="str">
            <v/>
          </cell>
        </row>
        <row r="45287">
          <cell r="O45287" t="str">
            <v/>
          </cell>
        </row>
        <row r="45288">
          <cell r="O45288" t="str">
            <v/>
          </cell>
        </row>
        <row r="45289">
          <cell r="O45289" t="str">
            <v/>
          </cell>
        </row>
        <row r="45290">
          <cell r="O45290" t="str">
            <v/>
          </cell>
        </row>
        <row r="45291">
          <cell r="O45291" t="str">
            <v/>
          </cell>
        </row>
        <row r="45292">
          <cell r="O45292" t="str">
            <v/>
          </cell>
        </row>
        <row r="45293">
          <cell r="O45293" t="str">
            <v/>
          </cell>
        </row>
        <row r="45294">
          <cell r="O45294" t="str">
            <v/>
          </cell>
        </row>
        <row r="45295">
          <cell r="O45295" t="str">
            <v/>
          </cell>
        </row>
        <row r="45296">
          <cell r="O45296" t="str">
            <v/>
          </cell>
        </row>
        <row r="45297">
          <cell r="O45297" t="str">
            <v/>
          </cell>
        </row>
        <row r="45298">
          <cell r="O45298" t="str">
            <v/>
          </cell>
        </row>
        <row r="45299">
          <cell r="O45299" t="str">
            <v/>
          </cell>
        </row>
        <row r="45300">
          <cell r="O45300" t="str">
            <v/>
          </cell>
        </row>
        <row r="45301">
          <cell r="O45301" t="str">
            <v/>
          </cell>
        </row>
        <row r="45302">
          <cell r="O45302" t="str">
            <v/>
          </cell>
        </row>
        <row r="45303">
          <cell r="O45303" t="str">
            <v/>
          </cell>
        </row>
        <row r="45304">
          <cell r="O45304" t="str">
            <v/>
          </cell>
        </row>
        <row r="45305">
          <cell r="O45305" t="str">
            <v/>
          </cell>
        </row>
        <row r="45306">
          <cell r="O45306" t="str">
            <v/>
          </cell>
        </row>
        <row r="45307">
          <cell r="O45307" t="str">
            <v/>
          </cell>
        </row>
        <row r="45308">
          <cell r="O45308" t="str">
            <v/>
          </cell>
        </row>
        <row r="45309">
          <cell r="O45309" t="str">
            <v/>
          </cell>
        </row>
        <row r="45310">
          <cell r="O45310" t="str">
            <v/>
          </cell>
        </row>
        <row r="45311">
          <cell r="O45311" t="str">
            <v/>
          </cell>
        </row>
        <row r="45312">
          <cell r="O45312" t="str">
            <v/>
          </cell>
        </row>
        <row r="45313">
          <cell r="O45313" t="str">
            <v/>
          </cell>
        </row>
        <row r="45314">
          <cell r="O45314" t="str">
            <v/>
          </cell>
        </row>
        <row r="45315">
          <cell r="O45315" t="str">
            <v/>
          </cell>
        </row>
        <row r="45316">
          <cell r="O45316" t="str">
            <v/>
          </cell>
        </row>
        <row r="45317">
          <cell r="O45317" t="str">
            <v/>
          </cell>
        </row>
        <row r="45318">
          <cell r="O45318" t="str">
            <v/>
          </cell>
        </row>
        <row r="45319">
          <cell r="O45319" t="str">
            <v/>
          </cell>
        </row>
        <row r="45320">
          <cell r="O45320" t="str">
            <v/>
          </cell>
        </row>
        <row r="45321">
          <cell r="O45321" t="str">
            <v/>
          </cell>
        </row>
        <row r="45322">
          <cell r="O45322" t="str">
            <v/>
          </cell>
        </row>
        <row r="45323">
          <cell r="O45323" t="str">
            <v/>
          </cell>
        </row>
        <row r="45324">
          <cell r="O45324" t="str">
            <v/>
          </cell>
        </row>
        <row r="45325">
          <cell r="O45325" t="str">
            <v/>
          </cell>
        </row>
        <row r="45326">
          <cell r="O45326" t="str">
            <v/>
          </cell>
        </row>
        <row r="45327">
          <cell r="O45327" t="str">
            <v/>
          </cell>
        </row>
        <row r="45328">
          <cell r="O45328" t="str">
            <v/>
          </cell>
        </row>
        <row r="45329">
          <cell r="O45329" t="str">
            <v/>
          </cell>
        </row>
        <row r="45330">
          <cell r="O45330" t="str">
            <v/>
          </cell>
        </row>
        <row r="45331">
          <cell r="O45331" t="str">
            <v/>
          </cell>
        </row>
        <row r="45332">
          <cell r="O45332" t="str">
            <v/>
          </cell>
        </row>
        <row r="45333">
          <cell r="O45333" t="str">
            <v/>
          </cell>
        </row>
        <row r="45334">
          <cell r="O45334" t="str">
            <v/>
          </cell>
        </row>
        <row r="45335">
          <cell r="O45335" t="str">
            <v/>
          </cell>
        </row>
        <row r="45336">
          <cell r="O45336" t="str">
            <v/>
          </cell>
        </row>
        <row r="45337">
          <cell r="O45337" t="str">
            <v/>
          </cell>
        </row>
        <row r="45338">
          <cell r="O45338" t="str">
            <v/>
          </cell>
        </row>
        <row r="45339">
          <cell r="O45339" t="str">
            <v/>
          </cell>
        </row>
        <row r="45340">
          <cell r="O45340" t="str">
            <v/>
          </cell>
        </row>
        <row r="45341">
          <cell r="O45341" t="str">
            <v/>
          </cell>
        </row>
        <row r="45342">
          <cell r="O45342" t="str">
            <v/>
          </cell>
        </row>
        <row r="45343">
          <cell r="O45343" t="str">
            <v/>
          </cell>
        </row>
        <row r="45344">
          <cell r="O45344" t="str">
            <v/>
          </cell>
        </row>
        <row r="45345">
          <cell r="O45345" t="str">
            <v/>
          </cell>
        </row>
        <row r="45346">
          <cell r="O45346" t="str">
            <v/>
          </cell>
        </row>
        <row r="45347">
          <cell r="O45347" t="str">
            <v/>
          </cell>
        </row>
        <row r="45348">
          <cell r="O45348" t="str">
            <v/>
          </cell>
        </row>
        <row r="45349">
          <cell r="O45349" t="str">
            <v/>
          </cell>
        </row>
        <row r="45350">
          <cell r="O45350" t="str">
            <v/>
          </cell>
        </row>
        <row r="45351">
          <cell r="O45351" t="str">
            <v/>
          </cell>
        </row>
        <row r="45352">
          <cell r="O45352" t="str">
            <v/>
          </cell>
        </row>
        <row r="45353">
          <cell r="O45353" t="str">
            <v/>
          </cell>
        </row>
        <row r="45354">
          <cell r="O45354" t="str">
            <v/>
          </cell>
        </row>
        <row r="45355">
          <cell r="O45355" t="str">
            <v/>
          </cell>
        </row>
        <row r="45356">
          <cell r="O45356" t="str">
            <v/>
          </cell>
        </row>
        <row r="45357">
          <cell r="O45357" t="str">
            <v/>
          </cell>
        </row>
        <row r="45358">
          <cell r="O45358" t="str">
            <v/>
          </cell>
        </row>
        <row r="45359">
          <cell r="O45359" t="str">
            <v/>
          </cell>
        </row>
        <row r="45360">
          <cell r="O45360" t="str">
            <v/>
          </cell>
        </row>
        <row r="45361">
          <cell r="O45361" t="str">
            <v/>
          </cell>
        </row>
        <row r="45362">
          <cell r="O45362" t="str">
            <v/>
          </cell>
        </row>
        <row r="45363">
          <cell r="O45363" t="str">
            <v/>
          </cell>
        </row>
        <row r="45364">
          <cell r="O45364" t="str">
            <v/>
          </cell>
        </row>
        <row r="45365">
          <cell r="O45365" t="str">
            <v/>
          </cell>
        </row>
        <row r="45366">
          <cell r="O45366" t="str">
            <v/>
          </cell>
        </row>
        <row r="45367">
          <cell r="O45367" t="str">
            <v/>
          </cell>
        </row>
        <row r="45368">
          <cell r="O45368" t="str">
            <v/>
          </cell>
        </row>
        <row r="45369">
          <cell r="O45369" t="str">
            <v/>
          </cell>
        </row>
        <row r="45370">
          <cell r="O45370" t="str">
            <v/>
          </cell>
        </row>
        <row r="45371">
          <cell r="O45371" t="str">
            <v/>
          </cell>
        </row>
        <row r="45372">
          <cell r="O45372" t="str">
            <v/>
          </cell>
        </row>
        <row r="45373">
          <cell r="O45373" t="str">
            <v/>
          </cell>
        </row>
        <row r="45374">
          <cell r="O45374" t="str">
            <v/>
          </cell>
        </row>
        <row r="45375">
          <cell r="O45375" t="str">
            <v/>
          </cell>
        </row>
        <row r="45376">
          <cell r="O45376" t="str">
            <v/>
          </cell>
        </row>
        <row r="45377">
          <cell r="O45377" t="str">
            <v/>
          </cell>
        </row>
        <row r="45378">
          <cell r="O45378" t="str">
            <v/>
          </cell>
        </row>
        <row r="45379">
          <cell r="O45379" t="str">
            <v/>
          </cell>
        </row>
        <row r="45380">
          <cell r="O45380" t="str">
            <v/>
          </cell>
        </row>
        <row r="45381">
          <cell r="O45381" t="str">
            <v/>
          </cell>
        </row>
        <row r="45382">
          <cell r="O45382" t="str">
            <v/>
          </cell>
        </row>
        <row r="45383">
          <cell r="O45383" t="str">
            <v/>
          </cell>
        </row>
        <row r="45384">
          <cell r="O45384" t="str">
            <v/>
          </cell>
        </row>
        <row r="45385">
          <cell r="O45385" t="str">
            <v/>
          </cell>
        </row>
        <row r="45386">
          <cell r="O45386" t="str">
            <v/>
          </cell>
        </row>
        <row r="45387">
          <cell r="O45387" t="str">
            <v/>
          </cell>
        </row>
        <row r="45388">
          <cell r="O45388" t="str">
            <v/>
          </cell>
        </row>
        <row r="45389">
          <cell r="O45389" t="str">
            <v/>
          </cell>
        </row>
        <row r="45390">
          <cell r="O45390" t="str">
            <v/>
          </cell>
        </row>
        <row r="45391">
          <cell r="O45391" t="str">
            <v/>
          </cell>
        </row>
        <row r="45392">
          <cell r="O45392" t="str">
            <v/>
          </cell>
        </row>
        <row r="45393">
          <cell r="O45393" t="str">
            <v/>
          </cell>
        </row>
        <row r="45394">
          <cell r="O45394" t="str">
            <v/>
          </cell>
        </row>
        <row r="45395">
          <cell r="O45395" t="str">
            <v/>
          </cell>
        </row>
        <row r="45396">
          <cell r="O45396" t="str">
            <v/>
          </cell>
        </row>
        <row r="45397">
          <cell r="O45397" t="str">
            <v/>
          </cell>
        </row>
        <row r="45398">
          <cell r="O45398" t="str">
            <v/>
          </cell>
        </row>
        <row r="45399">
          <cell r="O45399" t="str">
            <v/>
          </cell>
        </row>
        <row r="45400">
          <cell r="O45400" t="str">
            <v/>
          </cell>
        </row>
        <row r="45401">
          <cell r="O45401" t="str">
            <v/>
          </cell>
        </row>
        <row r="45402">
          <cell r="O45402" t="str">
            <v/>
          </cell>
        </row>
        <row r="45403">
          <cell r="O45403" t="str">
            <v/>
          </cell>
        </row>
        <row r="45404">
          <cell r="O45404" t="str">
            <v/>
          </cell>
        </row>
        <row r="45405">
          <cell r="O45405" t="str">
            <v/>
          </cell>
        </row>
        <row r="45406">
          <cell r="O45406" t="str">
            <v/>
          </cell>
        </row>
        <row r="45407">
          <cell r="O45407" t="str">
            <v/>
          </cell>
        </row>
        <row r="45408">
          <cell r="O45408" t="str">
            <v/>
          </cell>
        </row>
        <row r="45409">
          <cell r="O45409" t="str">
            <v/>
          </cell>
        </row>
        <row r="45410">
          <cell r="O45410" t="str">
            <v/>
          </cell>
        </row>
        <row r="45411">
          <cell r="O45411" t="str">
            <v/>
          </cell>
        </row>
        <row r="45412">
          <cell r="O45412" t="str">
            <v/>
          </cell>
        </row>
        <row r="45413">
          <cell r="O45413" t="str">
            <v/>
          </cell>
        </row>
        <row r="45414">
          <cell r="O45414" t="str">
            <v/>
          </cell>
        </row>
        <row r="45415">
          <cell r="O45415" t="str">
            <v/>
          </cell>
        </row>
        <row r="45416">
          <cell r="O45416" t="str">
            <v/>
          </cell>
        </row>
        <row r="45417">
          <cell r="O45417" t="str">
            <v/>
          </cell>
        </row>
        <row r="45418">
          <cell r="O45418" t="str">
            <v/>
          </cell>
        </row>
        <row r="45419">
          <cell r="O45419" t="str">
            <v/>
          </cell>
        </row>
        <row r="45420">
          <cell r="O45420" t="str">
            <v/>
          </cell>
        </row>
        <row r="45421">
          <cell r="O45421" t="str">
            <v/>
          </cell>
        </row>
        <row r="45422">
          <cell r="O45422" t="str">
            <v/>
          </cell>
        </row>
        <row r="45423">
          <cell r="O45423" t="str">
            <v/>
          </cell>
        </row>
        <row r="45424">
          <cell r="O45424" t="str">
            <v/>
          </cell>
        </row>
        <row r="45425">
          <cell r="O45425" t="str">
            <v/>
          </cell>
        </row>
        <row r="45426">
          <cell r="O45426" t="str">
            <v/>
          </cell>
        </row>
        <row r="45427">
          <cell r="O45427" t="str">
            <v/>
          </cell>
        </row>
        <row r="45428">
          <cell r="O45428" t="str">
            <v/>
          </cell>
        </row>
        <row r="45429">
          <cell r="O45429" t="str">
            <v/>
          </cell>
        </row>
        <row r="45430">
          <cell r="O45430" t="str">
            <v/>
          </cell>
        </row>
        <row r="45431">
          <cell r="O45431" t="str">
            <v/>
          </cell>
        </row>
        <row r="45432">
          <cell r="O45432" t="str">
            <v/>
          </cell>
        </row>
        <row r="45433">
          <cell r="O45433" t="str">
            <v/>
          </cell>
        </row>
        <row r="45434">
          <cell r="O45434" t="str">
            <v/>
          </cell>
        </row>
        <row r="45435">
          <cell r="O45435" t="str">
            <v/>
          </cell>
        </row>
        <row r="45436">
          <cell r="O45436" t="str">
            <v/>
          </cell>
        </row>
        <row r="45437">
          <cell r="O45437" t="str">
            <v/>
          </cell>
        </row>
        <row r="45438">
          <cell r="O45438" t="str">
            <v/>
          </cell>
        </row>
        <row r="45439">
          <cell r="O45439" t="str">
            <v/>
          </cell>
        </row>
        <row r="45440">
          <cell r="O45440" t="str">
            <v/>
          </cell>
        </row>
        <row r="45441">
          <cell r="O45441" t="str">
            <v/>
          </cell>
        </row>
        <row r="45442">
          <cell r="O45442" t="str">
            <v/>
          </cell>
        </row>
        <row r="45443">
          <cell r="O45443" t="str">
            <v/>
          </cell>
        </row>
        <row r="45444">
          <cell r="O45444" t="str">
            <v/>
          </cell>
        </row>
        <row r="45445">
          <cell r="O45445" t="str">
            <v/>
          </cell>
        </row>
        <row r="45446">
          <cell r="O45446" t="str">
            <v/>
          </cell>
        </row>
        <row r="45447">
          <cell r="O45447" t="str">
            <v/>
          </cell>
        </row>
        <row r="45448">
          <cell r="O45448" t="str">
            <v/>
          </cell>
        </row>
        <row r="45449">
          <cell r="O45449" t="str">
            <v/>
          </cell>
        </row>
        <row r="45450">
          <cell r="O45450" t="str">
            <v/>
          </cell>
        </row>
        <row r="45451">
          <cell r="O45451" t="str">
            <v/>
          </cell>
        </row>
        <row r="45452">
          <cell r="O45452" t="str">
            <v/>
          </cell>
        </row>
        <row r="45453">
          <cell r="O45453" t="str">
            <v/>
          </cell>
        </row>
        <row r="45454">
          <cell r="O45454" t="str">
            <v/>
          </cell>
        </row>
        <row r="45455">
          <cell r="O45455" t="str">
            <v/>
          </cell>
        </row>
        <row r="45456">
          <cell r="O45456" t="str">
            <v/>
          </cell>
        </row>
        <row r="45457">
          <cell r="O45457" t="str">
            <v/>
          </cell>
        </row>
        <row r="45458">
          <cell r="O45458" t="str">
            <v/>
          </cell>
        </row>
        <row r="45459">
          <cell r="O45459" t="str">
            <v/>
          </cell>
        </row>
        <row r="45460">
          <cell r="O45460" t="str">
            <v/>
          </cell>
        </row>
        <row r="45461">
          <cell r="O45461" t="str">
            <v/>
          </cell>
        </row>
        <row r="45462">
          <cell r="O45462" t="str">
            <v/>
          </cell>
        </row>
        <row r="45463">
          <cell r="O45463" t="str">
            <v/>
          </cell>
        </row>
        <row r="45464">
          <cell r="O45464" t="str">
            <v/>
          </cell>
        </row>
        <row r="45465">
          <cell r="O45465" t="str">
            <v/>
          </cell>
        </row>
        <row r="45466">
          <cell r="O45466" t="str">
            <v/>
          </cell>
        </row>
        <row r="45467">
          <cell r="O45467" t="str">
            <v/>
          </cell>
        </row>
        <row r="45468">
          <cell r="O45468" t="str">
            <v/>
          </cell>
        </row>
        <row r="45469">
          <cell r="O45469" t="str">
            <v/>
          </cell>
        </row>
        <row r="45470">
          <cell r="O45470" t="str">
            <v/>
          </cell>
        </row>
        <row r="45471">
          <cell r="O45471" t="str">
            <v/>
          </cell>
        </row>
        <row r="45472">
          <cell r="O45472" t="str">
            <v/>
          </cell>
        </row>
        <row r="45473">
          <cell r="O45473" t="str">
            <v/>
          </cell>
        </row>
        <row r="45474">
          <cell r="O45474" t="str">
            <v/>
          </cell>
        </row>
        <row r="45475">
          <cell r="O45475" t="str">
            <v/>
          </cell>
        </row>
        <row r="45476">
          <cell r="O45476" t="str">
            <v/>
          </cell>
        </row>
        <row r="45477">
          <cell r="O45477" t="str">
            <v/>
          </cell>
        </row>
        <row r="45478">
          <cell r="O45478" t="str">
            <v/>
          </cell>
        </row>
        <row r="45479">
          <cell r="O45479" t="str">
            <v/>
          </cell>
        </row>
        <row r="45480">
          <cell r="O45480" t="str">
            <v/>
          </cell>
        </row>
        <row r="45481">
          <cell r="O45481" t="str">
            <v/>
          </cell>
        </row>
        <row r="45482">
          <cell r="O45482" t="str">
            <v/>
          </cell>
        </row>
        <row r="45483">
          <cell r="O45483" t="str">
            <v/>
          </cell>
        </row>
        <row r="45484">
          <cell r="O45484" t="str">
            <v/>
          </cell>
        </row>
        <row r="45485">
          <cell r="O45485" t="str">
            <v/>
          </cell>
        </row>
        <row r="45486">
          <cell r="O45486" t="str">
            <v/>
          </cell>
        </row>
        <row r="45487">
          <cell r="O45487" t="str">
            <v/>
          </cell>
        </row>
        <row r="45488">
          <cell r="O45488" t="str">
            <v/>
          </cell>
        </row>
        <row r="45489">
          <cell r="O45489" t="str">
            <v/>
          </cell>
        </row>
        <row r="45490">
          <cell r="O45490" t="str">
            <v/>
          </cell>
        </row>
        <row r="45491">
          <cell r="O45491" t="str">
            <v/>
          </cell>
        </row>
        <row r="45492">
          <cell r="O45492" t="str">
            <v/>
          </cell>
        </row>
        <row r="45493">
          <cell r="O45493" t="str">
            <v/>
          </cell>
        </row>
        <row r="45494">
          <cell r="O45494" t="str">
            <v/>
          </cell>
        </row>
        <row r="45495">
          <cell r="O45495" t="str">
            <v/>
          </cell>
        </row>
        <row r="45496">
          <cell r="O45496" t="str">
            <v/>
          </cell>
        </row>
        <row r="45497">
          <cell r="O45497" t="str">
            <v/>
          </cell>
        </row>
        <row r="45498">
          <cell r="O45498" t="str">
            <v/>
          </cell>
        </row>
        <row r="45499">
          <cell r="O45499" t="str">
            <v/>
          </cell>
        </row>
        <row r="45500">
          <cell r="O45500" t="str">
            <v/>
          </cell>
        </row>
        <row r="45501">
          <cell r="O45501" t="str">
            <v/>
          </cell>
        </row>
        <row r="45502">
          <cell r="O45502" t="str">
            <v/>
          </cell>
        </row>
        <row r="45503">
          <cell r="O45503" t="str">
            <v/>
          </cell>
        </row>
        <row r="45504">
          <cell r="O45504" t="str">
            <v/>
          </cell>
        </row>
        <row r="45505">
          <cell r="O45505" t="str">
            <v/>
          </cell>
        </row>
        <row r="45506">
          <cell r="O45506" t="str">
            <v/>
          </cell>
        </row>
        <row r="45507">
          <cell r="O45507" t="str">
            <v/>
          </cell>
        </row>
        <row r="45508">
          <cell r="O45508" t="str">
            <v/>
          </cell>
        </row>
        <row r="45509">
          <cell r="O45509" t="str">
            <v/>
          </cell>
        </row>
        <row r="45510">
          <cell r="O45510" t="str">
            <v/>
          </cell>
        </row>
        <row r="45511">
          <cell r="O45511" t="str">
            <v/>
          </cell>
        </row>
        <row r="45512">
          <cell r="O45512" t="str">
            <v/>
          </cell>
        </row>
        <row r="45513">
          <cell r="O45513" t="str">
            <v/>
          </cell>
        </row>
        <row r="45514">
          <cell r="O45514" t="str">
            <v/>
          </cell>
        </row>
        <row r="45515">
          <cell r="O45515" t="str">
            <v/>
          </cell>
        </row>
        <row r="45516">
          <cell r="O45516" t="str">
            <v/>
          </cell>
        </row>
        <row r="45517">
          <cell r="O45517" t="str">
            <v/>
          </cell>
        </row>
        <row r="45518">
          <cell r="O45518" t="str">
            <v/>
          </cell>
        </row>
        <row r="45519">
          <cell r="O45519" t="str">
            <v/>
          </cell>
        </row>
        <row r="45520">
          <cell r="O45520" t="str">
            <v/>
          </cell>
        </row>
        <row r="45521">
          <cell r="O45521" t="str">
            <v/>
          </cell>
        </row>
        <row r="45522">
          <cell r="O45522" t="str">
            <v/>
          </cell>
        </row>
        <row r="45523">
          <cell r="O45523" t="str">
            <v/>
          </cell>
        </row>
        <row r="45524">
          <cell r="O45524" t="str">
            <v/>
          </cell>
        </row>
        <row r="45525">
          <cell r="O45525" t="str">
            <v/>
          </cell>
        </row>
        <row r="45526">
          <cell r="O45526" t="str">
            <v/>
          </cell>
        </row>
        <row r="45527">
          <cell r="O45527" t="str">
            <v/>
          </cell>
        </row>
        <row r="45528">
          <cell r="O45528" t="str">
            <v/>
          </cell>
        </row>
        <row r="45529">
          <cell r="O45529" t="str">
            <v/>
          </cell>
        </row>
        <row r="45530">
          <cell r="O45530" t="str">
            <v/>
          </cell>
        </row>
        <row r="45531">
          <cell r="O45531" t="str">
            <v/>
          </cell>
        </row>
        <row r="45532">
          <cell r="O45532" t="str">
            <v/>
          </cell>
        </row>
        <row r="45533">
          <cell r="O45533" t="str">
            <v/>
          </cell>
        </row>
        <row r="45534">
          <cell r="O45534" t="str">
            <v/>
          </cell>
        </row>
        <row r="45535">
          <cell r="O45535" t="str">
            <v/>
          </cell>
        </row>
        <row r="45536">
          <cell r="O45536" t="str">
            <v/>
          </cell>
        </row>
        <row r="45537">
          <cell r="O45537" t="str">
            <v/>
          </cell>
        </row>
        <row r="45538">
          <cell r="O45538" t="str">
            <v/>
          </cell>
        </row>
        <row r="45539">
          <cell r="O45539" t="str">
            <v/>
          </cell>
        </row>
        <row r="45540">
          <cell r="O45540" t="str">
            <v/>
          </cell>
        </row>
        <row r="45541">
          <cell r="O45541" t="str">
            <v/>
          </cell>
        </row>
        <row r="45542">
          <cell r="O45542" t="str">
            <v/>
          </cell>
        </row>
        <row r="45543">
          <cell r="O45543" t="str">
            <v/>
          </cell>
        </row>
        <row r="45544">
          <cell r="O45544" t="str">
            <v/>
          </cell>
        </row>
        <row r="45545">
          <cell r="O45545" t="str">
            <v/>
          </cell>
        </row>
        <row r="45546">
          <cell r="O45546" t="str">
            <v/>
          </cell>
        </row>
        <row r="45547">
          <cell r="O45547" t="str">
            <v/>
          </cell>
        </row>
        <row r="45548">
          <cell r="O45548" t="str">
            <v/>
          </cell>
        </row>
        <row r="45549">
          <cell r="O45549" t="str">
            <v/>
          </cell>
        </row>
        <row r="45550">
          <cell r="O45550" t="str">
            <v/>
          </cell>
        </row>
        <row r="45551">
          <cell r="O45551" t="str">
            <v/>
          </cell>
        </row>
        <row r="45552">
          <cell r="O45552" t="str">
            <v/>
          </cell>
        </row>
        <row r="45553">
          <cell r="O45553" t="str">
            <v/>
          </cell>
        </row>
        <row r="45554">
          <cell r="O45554" t="str">
            <v/>
          </cell>
        </row>
        <row r="45555">
          <cell r="O45555" t="str">
            <v/>
          </cell>
        </row>
        <row r="45556">
          <cell r="O45556" t="str">
            <v/>
          </cell>
        </row>
        <row r="45557">
          <cell r="O45557" t="str">
            <v/>
          </cell>
        </row>
        <row r="45558">
          <cell r="O45558" t="str">
            <v/>
          </cell>
        </row>
        <row r="45559">
          <cell r="O45559" t="str">
            <v/>
          </cell>
        </row>
        <row r="45560">
          <cell r="O45560" t="str">
            <v/>
          </cell>
        </row>
        <row r="45561">
          <cell r="O45561" t="str">
            <v/>
          </cell>
        </row>
        <row r="45562">
          <cell r="O45562" t="str">
            <v/>
          </cell>
        </row>
        <row r="45563">
          <cell r="O45563" t="str">
            <v/>
          </cell>
        </row>
        <row r="45564">
          <cell r="O45564" t="str">
            <v/>
          </cell>
        </row>
        <row r="45565">
          <cell r="O45565" t="str">
            <v/>
          </cell>
        </row>
        <row r="45566">
          <cell r="O45566" t="str">
            <v/>
          </cell>
        </row>
        <row r="45567">
          <cell r="O45567" t="str">
            <v/>
          </cell>
        </row>
        <row r="45568">
          <cell r="O45568" t="str">
            <v/>
          </cell>
        </row>
        <row r="45569">
          <cell r="O45569" t="str">
            <v/>
          </cell>
        </row>
        <row r="45570">
          <cell r="O45570" t="str">
            <v/>
          </cell>
        </row>
        <row r="45571">
          <cell r="O45571" t="str">
            <v/>
          </cell>
        </row>
        <row r="45572">
          <cell r="O45572" t="str">
            <v/>
          </cell>
        </row>
        <row r="45573">
          <cell r="O45573" t="str">
            <v/>
          </cell>
        </row>
        <row r="45574">
          <cell r="O45574" t="str">
            <v/>
          </cell>
        </row>
        <row r="45575">
          <cell r="O45575" t="str">
            <v/>
          </cell>
        </row>
        <row r="45576">
          <cell r="O45576" t="str">
            <v/>
          </cell>
        </row>
        <row r="45577">
          <cell r="O45577" t="str">
            <v/>
          </cell>
        </row>
        <row r="45578">
          <cell r="O45578" t="str">
            <v/>
          </cell>
        </row>
        <row r="45579">
          <cell r="O45579" t="str">
            <v/>
          </cell>
        </row>
        <row r="45580">
          <cell r="O45580" t="str">
            <v/>
          </cell>
        </row>
        <row r="45581">
          <cell r="O45581" t="str">
            <v/>
          </cell>
        </row>
        <row r="45582">
          <cell r="O45582" t="str">
            <v/>
          </cell>
        </row>
        <row r="45583">
          <cell r="O45583" t="str">
            <v/>
          </cell>
        </row>
        <row r="45584">
          <cell r="O45584" t="str">
            <v/>
          </cell>
        </row>
        <row r="45585">
          <cell r="O45585" t="str">
            <v/>
          </cell>
        </row>
        <row r="45586">
          <cell r="O45586" t="str">
            <v/>
          </cell>
        </row>
        <row r="45587">
          <cell r="O45587" t="str">
            <v/>
          </cell>
        </row>
        <row r="45588">
          <cell r="O45588" t="str">
            <v/>
          </cell>
        </row>
        <row r="45589">
          <cell r="O45589" t="str">
            <v/>
          </cell>
        </row>
        <row r="45590">
          <cell r="O45590" t="str">
            <v/>
          </cell>
        </row>
        <row r="45591">
          <cell r="O45591" t="str">
            <v/>
          </cell>
        </row>
        <row r="45592">
          <cell r="O45592" t="str">
            <v/>
          </cell>
        </row>
        <row r="45593">
          <cell r="O45593" t="str">
            <v/>
          </cell>
        </row>
        <row r="45594">
          <cell r="O45594" t="str">
            <v/>
          </cell>
        </row>
        <row r="45595">
          <cell r="O45595" t="str">
            <v/>
          </cell>
        </row>
        <row r="45596">
          <cell r="O45596" t="str">
            <v/>
          </cell>
        </row>
        <row r="45597">
          <cell r="O45597" t="str">
            <v/>
          </cell>
        </row>
        <row r="45598">
          <cell r="O45598" t="str">
            <v/>
          </cell>
        </row>
        <row r="45599">
          <cell r="O45599" t="str">
            <v/>
          </cell>
        </row>
        <row r="45600">
          <cell r="O45600" t="str">
            <v/>
          </cell>
        </row>
        <row r="45601">
          <cell r="O45601" t="str">
            <v/>
          </cell>
        </row>
        <row r="45602">
          <cell r="O45602" t="str">
            <v/>
          </cell>
        </row>
        <row r="45603">
          <cell r="O45603" t="str">
            <v/>
          </cell>
        </row>
        <row r="45604">
          <cell r="O45604" t="str">
            <v/>
          </cell>
        </row>
        <row r="45605">
          <cell r="O45605" t="str">
            <v/>
          </cell>
        </row>
        <row r="45606">
          <cell r="O45606" t="str">
            <v/>
          </cell>
        </row>
        <row r="45607">
          <cell r="O45607" t="str">
            <v/>
          </cell>
        </row>
        <row r="45608">
          <cell r="O45608" t="str">
            <v/>
          </cell>
        </row>
        <row r="45609">
          <cell r="O45609" t="str">
            <v/>
          </cell>
        </row>
        <row r="45610">
          <cell r="O45610" t="str">
            <v/>
          </cell>
        </row>
        <row r="45611">
          <cell r="O45611" t="str">
            <v/>
          </cell>
        </row>
        <row r="45612">
          <cell r="O45612" t="str">
            <v/>
          </cell>
        </row>
        <row r="45613">
          <cell r="O45613" t="str">
            <v/>
          </cell>
        </row>
        <row r="45614">
          <cell r="O45614" t="str">
            <v/>
          </cell>
        </row>
        <row r="45615">
          <cell r="O45615" t="str">
            <v/>
          </cell>
        </row>
        <row r="45616">
          <cell r="O45616" t="str">
            <v/>
          </cell>
        </row>
        <row r="45617">
          <cell r="O45617" t="str">
            <v/>
          </cell>
        </row>
        <row r="45618">
          <cell r="O45618" t="str">
            <v/>
          </cell>
        </row>
        <row r="45619">
          <cell r="O45619" t="str">
            <v/>
          </cell>
        </row>
        <row r="45620">
          <cell r="O45620" t="str">
            <v/>
          </cell>
        </row>
        <row r="45621">
          <cell r="O45621" t="str">
            <v/>
          </cell>
        </row>
        <row r="45622">
          <cell r="O45622" t="str">
            <v/>
          </cell>
        </row>
        <row r="45623">
          <cell r="O45623" t="str">
            <v/>
          </cell>
        </row>
        <row r="45624">
          <cell r="O45624" t="str">
            <v/>
          </cell>
        </row>
        <row r="45625">
          <cell r="O45625" t="str">
            <v/>
          </cell>
        </row>
        <row r="45626">
          <cell r="O45626" t="str">
            <v/>
          </cell>
        </row>
        <row r="45627">
          <cell r="O45627" t="str">
            <v/>
          </cell>
        </row>
        <row r="45628">
          <cell r="O45628" t="str">
            <v/>
          </cell>
        </row>
        <row r="45629">
          <cell r="O45629" t="str">
            <v/>
          </cell>
        </row>
        <row r="45630">
          <cell r="O45630" t="str">
            <v/>
          </cell>
        </row>
        <row r="45631">
          <cell r="O45631" t="str">
            <v/>
          </cell>
        </row>
        <row r="45632">
          <cell r="O45632" t="str">
            <v/>
          </cell>
        </row>
        <row r="45633">
          <cell r="O45633" t="str">
            <v/>
          </cell>
        </row>
        <row r="45634">
          <cell r="O45634" t="str">
            <v/>
          </cell>
        </row>
        <row r="45635">
          <cell r="O45635" t="str">
            <v/>
          </cell>
        </row>
        <row r="45636">
          <cell r="O45636" t="str">
            <v/>
          </cell>
        </row>
        <row r="45637">
          <cell r="O45637" t="str">
            <v/>
          </cell>
        </row>
        <row r="45638">
          <cell r="O45638" t="str">
            <v/>
          </cell>
        </row>
        <row r="45639">
          <cell r="O45639" t="str">
            <v/>
          </cell>
        </row>
        <row r="45640">
          <cell r="O45640" t="str">
            <v/>
          </cell>
        </row>
        <row r="45641">
          <cell r="O45641" t="str">
            <v/>
          </cell>
        </row>
        <row r="45642">
          <cell r="O45642" t="str">
            <v/>
          </cell>
        </row>
        <row r="45643">
          <cell r="O45643" t="str">
            <v/>
          </cell>
        </row>
        <row r="45644">
          <cell r="O45644" t="str">
            <v/>
          </cell>
        </row>
        <row r="45645">
          <cell r="O45645" t="str">
            <v/>
          </cell>
        </row>
        <row r="45646">
          <cell r="O45646" t="str">
            <v/>
          </cell>
        </row>
        <row r="45647">
          <cell r="O45647" t="str">
            <v/>
          </cell>
        </row>
        <row r="45648">
          <cell r="O45648" t="str">
            <v/>
          </cell>
        </row>
        <row r="45649">
          <cell r="O45649" t="str">
            <v/>
          </cell>
        </row>
        <row r="45650">
          <cell r="O45650" t="str">
            <v/>
          </cell>
        </row>
        <row r="45651">
          <cell r="O45651" t="str">
            <v/>
          </cell>
        </row>
        <row r="45652">
          <cell r="O45652" t="str">
            <v/>
          </cell>
        </row>
        <row r="45653">
          <cell r="O45653" t="str">
            <v/>
          </cell>
        </row>
        <row r="45654">
          <cell r="O45654" t="str">
            <v/>
          </cell>
        </row>
        <row r="45655">
          <cell r="O45655" t="str">
            <v/>
          </cell>
        </row>
        <row r="45656">
          <cell r="O45656" t="str">
            <v/>
          </cell>
        </row>
        <row r="45657">
          <cell r="O45657" t="str">
            <v/>
          </cell>
        </row>
        <row r="45658">
          <cell r="O45658" t="str">
            <v/>
          </cell>
        </row>
        <row r="45659">
          <cell r="O45659" t="str">
            <v/>
          </cell>
        </row>
        <row r="45660">
          <cell r="O45660" t="str">
            <v/>
          </cell>
        </row>
        <row r="45661">
          <cell r="O45661" t="str">
            <v/>
          </cell>
        </row>
        <row r="45662">
          <cell r="O45662" t="str">
            <v/>
          </cell>
        </row>
        <row r="45663">
          <cell r="O45663" t="str">
            <v/>
          </cell>
        </row>
        <row r="45664">
          <cell r="O45664" t="str">
            <v/>
          </cell>
        </row>
        <row r="45665">
          <cell r="O45665" t="str">
            <v/>
          </cell>
        </row>
        <row r="45666">
          <cell r="O45666" t="str">
            <v/>
          </cell>
        </row>
        <row r="45667">
          <cell r="O45667" t="str">
            <v/>
          </cell>
        </row>
        <row r="45668">
          <cell r="O45668" t="str">
            <v/>
          </cell>
        </row>
        <row r="45669">
          <cell r="O45669" t="str">
            <v/>
          </cell>
        </row>
        <row r="45670">
          <cell r="O45670" t="str">
            <v/>
          </cell>
        </row>
        <row r="45671">
          <cell r="O45671" t="str">
            <v/>
          </cell>
        </row>
        <row r="45672">
          <cell r="O45672" t="str">
            <v/>
          </cell>
        </row>
        <row r="45673">
          <cell r="O45673" t="str">
            <v/>
          </cell>
        </row>
        <row r="45674">
          <cell r="O45674" t="str">
            <v/>
          </cell>
        </row>
        <row r="45675">
          <cell r="O45675" t="str">
            <v/>
          </cell>
        </row>
        <row r="45676">
          <cell r="O45676" t="str">
            <v/>
          </cell>
        </row>
        <row r="45677">
          <cell r="O45677" t="str">
            <v/>
          </cell>
        </row>
        <row r="45678">
          <cell r="O45678" t="str">
            <v/>
          </cell>
        </row>
        <row r="45679">
          <cell r="O45679" t="str">
            <v/>
          </cell>
        </row>
        <row r="45680">
          <cell r="O45680" t="str">
            <v/>
          </cell>
        </row>
        <row r="45681">
          <cell r="O45681" t="str">
            <v/>
          </cell>
        </row>
        <row r="45682">
          <cell r="O45682" t="str">
            <v/>
          </cell>
        </row>
        <row r="45683">
          <cell r="O45683" t="str">
            <v/>
          </cell>
        </row>
        <row r="45684">
          <cell r="O45684" t="str">
            <v/>
          </cell>
        </row>
        <row r="45685">
          <cell r="O45685" t="str">
            <v/>
          </cell>
        </row>
        <row r="45686">
          <cell r="O45686" t="str">
            <v/>
          </cell>
        </row>
        <row r="45687">
          <cell r="O45687" t="str">
            <v/>
          </cell>
        </row>
        <row r="45688">
          <cell r="O45688" t="str">
            <v/>
          </cell>
        </row>
        <row r="45689">
          <cell r="O45689" t="str">
            <v/>
          </cell>
        </row>
        <row r="45690">
          <cell r="O45690" t="str">
            <v/>
          </cell>
        </row>
        <row r="45691">
          <cell r="O45691" t="str">
            <v/>
          </cell>
        </row>
        <row r="45692">
          <cell r="O45692" t="str">
            <v/>
          </cell>
        </row>
        <row r="45693">
          <cell r="O45693" t="str">
            <v/>
          </cell>
        </row>
        <row r="45694">
          <cell r="O45694" t="str">
            <v/>
          </cell>
        </row>
        <row r="45695">
          <cell r="O45695" t="str">
            <v/>
          </cell>
        </row>
        <row r="45696">
          <cell r="O45696" t="str">
            <v/>
          </cell>
        </row>
        <row r="45697">
          <cell r="O45697" t="str">
            <v/>
          </cell>
        </row>
        <row r="45698">
          <cell r="O45698" t="str">
            <v/>
          </cell>
        </row>
        <row r="45699">
          <cell r="O45699" t="str">
            <v/>
          </cell>
        </row>
        <row r="45700">
          <cell r="O45700" t="str">
            <v/>
          </cell>
        </row>
        <row r="45701">
          <cell r="O45701" t="str">
            <v/>
          </cell>
        </row>
        <row r="45702">
          <cell r="O45702" t="str">
            <v/>
          </cell>
        </row>
        <row r="45703">
          <cell r="O45703" t="str">
            <v/>
          </cell>
        </row>
        <row r="45704">
          <cell r="O45704" t="str">
            <v/>
          </cell>
        </row>
        <row r="45705">
          <cell r="O45705" t="str">
            <v/>
          </cell>
        </row>
        <row r="45706">
          <cell r="O45706" t="str">
            <v/>
          </cell>
        </row>
        <row r="45707">
          <cell r="O45707" t="str">
            <v/>
          </cell>
        </row>
        <row r="45708">
          <cell r="O45708" t="str">
            <v/>
          </cell>
        </row>
        <row r="45709">
          <cell r="O45709" t="str">
            <v/>
          </cell>
        </row>
        <row r="45710">
          <cell r="O45710" t="str">
            <v/>
          </cell>
        </row>
        <row r="45711">
          <cell r="O45711" t="str">
            <v/>
          </cell>
        </row>
        <row r="45712">
          <cell r="O45712" t="str">
            <v/>
          </cell>
        </row>
        <row r="45713">
          <cell r="O45713" t="str">
            <v/>
          </cell>
        </row>
        <row r="45714">
          <cell r="O45714" t="str">
            <v/>
          </cell>
        </row>
        <row r="45715">
          <cell r="O45715" t="str">
            <v/>
          </cell>
        </row>
        <row r="45716">
          <cell r="O45716" t="str">
            <v/>
          </cell>
        </row>
        <row r="45717">
          <cell r="O45717" t="str">
            <v/>
          </cell>
        </row>
        <row r="45718">
          <cell r="O45718" t="str">
            <v/>
          </cell>
        </row>
        <row r="45719">
          <cell r="O45719" t="str">
            <v/>
          </cell>
        </row>
        <row r="45720">
          <cell r="O45720" t="str">
            <v/>
          </cell>
        </row>
        <row r="45721">
          <cell r="O45721" t="str">
            <v/>
          </cell>
        </row>
        <row r="45722">
          <cell r="O45722" t="str">
            <v/>
          </cell>
        </row>
        <row r="45723">
          <cell r="O45723" t="str">
            <v/>
          </cell>
        </row>
        <row r="45724">
          <cell r="O45724" t="str">
            <v/>
          </cell>
        </row>
        <row r="45725">
          <cell r="O45725" t="str">
            <v/>
          </cell>
        </row>
        <row r="45726">
          <cell r="O45726" t="str">
            <v/>
          </cell>
        </row>
        <row r="45727">
          <cell r="O45727" t="str">
            <v/>
          </cell>
        </row>
        <row r="45728">
          <cell r="O45728" t="str">
            <v/>
          </cell>
        </row>
        <row r="45729">
          <cell r="O45729" t="str">
            <v/>
          </cell>
        </row>
        <row r="45730">
          <cell r="O45730" t="str">
            <v/>
          </cell>
        </row>
        <row r="45731">
          <cell r="O45731" t="str">
            <v/>
          </cell>
        </row>
        <row r="45732">
          <cell r="O45732" t="str">
            <v/>
          </cell>
        </row>
        <row r="45733">
          <cell r="O45733" t="str">
            <v/>
          </cell>
        </row>
        <row r="45734">
          <cell r="O45734" t="str">
            <v/>
          </cell>
        </row>
        <row r="45735">
          <cell r="O45735" t="str">
            <v/>
          </cell>
        </row>
        <row r="45736">
          <cell r="O45736" t="str">
            <v/>
          </cell>
        </row>
        <row r="45737">
          <cell r="O45737" t="str">
            <v/>
          </cell>
        </row>
        <row r="45738">
          <cell r="O45738" t="str">
            <v/>
          </cell>
        </row>
        <row r="45739">
          <cell r="O45739" t="str">
            <v/>
          </cell>
        </row>
        <row r="45740">
          <cell r="O45740" t="str">
            <v/>
          </cell>
        </row>
        <row r="45741">
          <cell r="O45741" t="str">
            <v/>
          </cell>
        </row>
        <row r="45742">
          <cell r="O45742" t="str">
            <v/>
          </cell>
        </row>
        <row r="45743">
          <cell r="O45743" t="str">
            <v/>
          </cell>
        </row>
        <row r="45744">
          <cell r="O45744" t="str">
            <v/>
          </cell>
        </row>
        <row r="45745">
          <cell r="O45745" t="str">
            <v/>
          </cell>
        </row>
        <row r="45746">
          <cell r="O45746" t="str">
            <v/>
          </cell>
        </row>
        <row r="45747">
          <cell r="O45747" t="str">
            <v/>
          </cell>
        </row>
        <row r="45748">
          <cell r="O45748" t="str">
            <v/>
          </cell>
        </row>
        <row r="45749">
          <cell r="O45749" t="str">
            <v/>
          </cell>
        </row>
        <row r="45750">
          <cell r="O45750" t="str">
            <v/>
          </cell>
        </row>
        <row r="45751">
          <cell r="O45751" t="str">
            <v/>
          </cell>
        </row>
        <row r="45752">
          <cell r="O45752" t="str">
            <v/>
          </cell>
        </row>
        <row r="45753">
          <cell r="O45753" t="str">
            <v/>
          </cell>
        </row>
        <row r="45754">
          <cell r="O45754" t="str">
            <v/>
          </cell>
        </row>
        <row r="45755">
          <cell r="O45755" t="str">
            <v/>
          </cell>
        </row>
        <row r="45756">
          <cell r="O45756" t="str">
            <v/>
          </cell>
        </row>
        <row r="45757">
          <cell r="O45757" t="str">
            <v/>
          </cell>
        </row>
        <row r="45758">
          <cell r="O45758" t="str">
            <v/>
          </cell>
        </row>
        <row r="45759">
          <cell r="O45759" t="str">
            <v/>
          </cell>
        </row>
        <row r="45760">
          <cell r="O45760" t="str">
            <v/>
          </cell>
        </row>
        <row r="45761">
          <cell r="O45761" t="str">
            <v/>
          </cell>
        </row>
        <row r="45762">
          <cell r="O45762" t="str">
            <v/>
          </cell>
        </row>
        <row r="45763">
          <cell r="O45763" t="str">
            <v/>
          </cell>
        </row>
        <row r="45764">
          <cell r="O45764" t="str">
            <v/>
          </cell>
        </row>
        <row r="45765">
          <cell r="O45765" t="str">
            <v/>
          </cell>
        </row>
        <row r="45766">
          <cell r="O45766" t="str">
            <v/>
          </cell>
        </row>
        <row r="45767">
          <cell r="O45767" t="str">
            <v/>
          </cell>
        </row>
        <row r="45768">
          <cell r="O45768" t="str">
            <v/>
          </cell>
        </row>
        <row r="45769">
          <cell r="O45769" t="str">
            <v/>
          </cell>
        </row>
        <row r="45770">
          <cell r="O45770" t="str">
            <v/>
          </cell>
        </row>
        <row r="45771">
          <cell r="O45771" t="str">
            <v/>
          </cell>
        </row>
        <row r="45772">
          <cell r="O45772" t="str">
            <v/>
          </cell>
        </row>
        <row r="45773">
          <cell r="O45773" t="str">
            <v/>
          </cell>
        </row>
        <row r="45774">
          <cell r="O45774" t="str">
            <v/>
          </cell>
        </row>
        <row r="45775">
          <cell r="O45775" t="str">
            <v/>
          </cell>
        </row>
        <row r="45776">
          <cell r="O45776" t="str">
            <v/>
          </cell>
        </row>
        <row r="45777">
          <cell r="O45777" t="str">
            <v/>
          </cell>
        </row>
        <row r="45778">
          <cell r="O45778" t="str">
            <v/>
          </cell>
        </row>
        <row r="45779">
          <cell r="O45779" t="str">
            <v/>
          </cell>
        </row>
        <row r="45780">
          <cell r="O45780" t="str">
            <v/>
          </cell>
        </row>
        <row r="45781">
          <cell r="O45781" t="str">
            <v/>
          </cell>
        </row>
        <row r="45782">
          <cell r="O45782" t="str">
            <v/>
          </cell>
        </row>
        <row r="45783">
          <cell r="O45783" t="str">
            <v/>
          </cell>
        </row>
        <row r="45784">
          <cell r="O45784" t="str">
            <v/>
          </cell>
        </row>
        <row r="45785">
          <cell r="O45785" t="str">
            <v/>
          </cell>
        </row>
        <row r="45786">
          <cell r="O45786" t="str">
            <v/>
          </cell>
        </row>
        <row r="45787">
          <cell r="O45787" t="str">
            <v/>
          </cell>
        </row>
        <row r="45788">
          <cell r="O45788" t="str">
            <v/>
          </cell>
        </row>
        <row r="45789">
          <cell r="O45789" t="str">
            <v/>
          </cell>
        </row>
        <row r="45790">
          <cell r="O45790" t="str">
            <v/>
          </cell>
        </row>
        <row r="45791">
          <cell r="O45791" t="str">
            <v/>
          </cell>
        </row>
        <row r="45792">
          <cell r="O45792" t="str">
            <v/>
          </cell>
        </row>
        <row r="45793">
          <cell r="O45793" t="str">
            <v/>
          </cell>
        </row>
        <row r="45794">
          <cell r="O45794" t="str">
            <v/>
          </cell>
        </row>
        <row r="45795">
          <cell r="O45795" t="str">
            <v/>
          </cell>
        </row>
        <row r="45796">
          <cell r="O45796" t="str">
            <v/>
          </cell>
        </row>
        <row r="45797">
          <cell r="O45797" t="str">
            <v/>
          </cell>
        </row>
        <row r="45798">
          <cell r="O45798" t="str">
            <v/>
          </cell>
        </row>
        <row r="45799">
          <cell r="O45799" t="str">
            <v/>
          </cell>
        </row>
        <row r="45800">
          <cell r="O45800" t="str">
            <v/>
          </cell>
        </row>
        <row r="45801">
          <cell r="O45801" t="str">
            <v/>
          </cell>
        </row>
        <row r="45802">
          <cell r="O45802" t="str">
            <v/>
          </cell>
        </row>
        <row r="45803">
          <cell r="O45803" t="str">
            <v/>
          </cell>
        </row>
        <row r="45804">
          <cell r="O45804" t="str">
            <v/>
          </cell>
        </row>
        <row r="45805">
          <cell r="O45805" t="str">
            <v/>
          </cell>
        </row>
        <row r="45806">
          <cell r="O45806" t="str">
            <v/>
          </cell>
        </row>
        <row r="45807">
          <cell r="O45807" t="str">
            <v/>
          </cell>
        </row>
        <row r="45808">
          <cell r="O45808" t="str">
            <v/>
          </cell>
        </row>
        <row r="45809">
          <cell r="O45809" t="str">
            <v/>
          </cell>
        </row>
        <row r="45810">
          <cell r="O45810" t="str">
            <v/>
          </cell>
        </row>
        <row r="45811">
          <cell r="O45811" t="str">
            <v/>
          </cell>
        </row>
        <row r="45812">
          <cell r="O45812" t="str">
            <v/>
          </cell>
        </row>
        <row r="45813">
          <cell r="O45813" t="str">
            <v/>
          </cell>
        </row>
        <row r="45814">
          <cell r="O45814" t="str">
            <v/>
          </cell>
        </row>
        <row r="45815">
          <cell r="O45815" t="str">
            <v/>
          </cell>
        </row>
        <row r="45816">
          <cell r="O45816" t="str">
            <v/>
          </cell>
        </row>
        <row r="45817">
          <cell r="O45817" t="str">
            <v/>
          </cell>
        </row>
        <row r="45818">
          <cell r="O45818" t="str">
            <v/>
          </cell>
        </row>
        <row r="45819">
          <cell r="O45819" t="str">
            <v/>
          </cell>
        </row>
        <row r="45820">
          <cell r="O45820" t="str">
            <v/>
          </cell>
        </row>
        <row r="45821">
          <cell r="O45821" t="str">
            <v/>
          </cell>
        </row>
        <row r="45822">
          <cell r="O45822" t="str">
            <v/>
          </cell>
        </row>
        <row r="45823">
          <cell r="O45823" t="str">
            <v/>
          </cell>
        </row>
        <row r="45824">
          <cell r="O45824" t="str">
            <v/>
          </cell>
        </row>
        <row r="45825">
          <cell r="O45825" t="str">
            <v/>
          </cell>
        </row>
        <row r="45826">
          <cell r="O45826" t="str">
            <v/>
          </cell>
        </row>
        <row r="45827">
          <cell r="O45827" t="str">
            <v/>
          </cell>
        </row>
        <row r="45828">
          <cell r="O45828" t="str">
            <v/>
          </cell>
        </row>
        <row r="45829">
          <cell r="O45829" t="str">
            <v/>
          </cell>
        </row>
        <row r="45830">
          <cell r="O45830" t="str">
            <v/>
          </cell>
        </row>
        <row r="45831">
          <cell r="O45831" t="str">
            <v/>
          </cell>
        </row>
        <row r="45832">
          <cell r="O45832" t="str">
            <v/>
          </cell>
        </row>
        <row r="45833">
          <cell r="O45833" t="str">
            <v/>
          </cell>
        </row>
        <row r="45834">
          <cell r="O45834" t="str">
            <v/>
          </cell>
        </row>
        <row r="45835">
          <cell r="O45835" t="str">
            <v/>
          </cell>
        </row>
        <row r="45836">
          <cell r="O45836" t="str">
            <v/>
          </cell>
        </row>
        <row r="45837">
          <cell r="O45837" t="str">
            <v/>
          </cell>
        </row>
        <row r="45838">
          <cell r="O45838" t="str">
            <v/>
          </cell>
        </row>
        <row r="45839">
          <cell r="O45839" t="str">
            <v/>
          </cell>
        </row>
        <row r="45840">
          <cell r="O45840" t="str">
            <v/>
          </cell>
        </row>
        <row r="45841">
          <cell r="O45841" t="str">
            <v/>
          </cell>
        </row>
        <row r="45842">
          <cell r="O45842" t="str">
            <v/>
          </cell>
        </row>
        <row r="45843">
          <cell r="O45843" t="str">
            <v/>
          </cell>
        </row>
        <row r="45844">
          <cell r="O45844" t="str">
            <v/>
          </cell>
        </row>
        <row r="45845">
          <cell r="O45845" t="str">
            <v/>
          </cell>
        </row>
        <row r="45846">
          <cell r="O45846" t="str">
            <v/>
          </cell>
        </row>
        <row r="45847">
          <cell r="O45847" t="str">
            <v/>
          </cell>
        </row>
        <row r="45848">
          <cell r="O45848" t="str">
            <v/>
          </cell>
        </row>
        <row r="45849">
          <cell r="O45849" t="str">
            <v/>
          </cell>
        </row>
        <row r="45850">
          <cell r="O45850" t="str">
            <v/>
          </cell>
        </row>
        <row r="45851">
          <cell r="O45851" t="str">
            <v/>
          </cell>
        </row>
        <row r="45852">
          <cell r="O45852" t="str">
            <v/>
          </cell>
        </row>
        <row r="45853">
          <cell r="O45853" t="str">
            <v/>
          </cell>
        </row>
        <row r="45854">
          <cell r="O45854" t="str">
            <v/>
          </cell>
        </row>
        <row r="45855">
          <cell r="O45855" t="str">
            <v/>
          </cell>
        </row>
        <row r="45856">
          <cell r="O45856" t="str">
            <v/>
          </cell>
        </row>
        <row r="45857">
          <cell r="O45857" t="str">
            <v/>
          </cell>
        </row>
        <row r="45858">
          <cell r="O45858" t="str">
            <v/>
          </cell>
        </row>
        <row r="45859">
          <cell r="O45859" t="str">
            <v/>
          </cell>
        </row>
        <row r="45860">
          <cell r="O45860" t="str">
            <v/>
          </cell>
        </row>
        <row r="45861">
          <cell r="O45861" t="str">
            <v/>
          </cell>
        </row>
        <row r="45862">
          <cell r="O45862" t="str">
            <v/>
          </cell>
        </row>
        <row r="45863">
          <cell r="O45863" t="str">
            <v/>
          </cell>
        </row>
        <row r="45864">
          <cell r="O45864" t="str">
            <v/>
          </cell>
        </row>
        <row r="45865">
          <cell r="O45865" t="str">
            <v/>
          </cell>
        </row>
        <row r="45866">
          <cell r="O45866" t="str">
            <v/>
          </cell>
        </row>
        <row r="45867">
          <cell r="O45867" t="str">
            <v/>
          </cell>
        </row>
        <row r="45868">
          <cell r="O45868" t="str">
            <v/>
          </cell>
        </row>
        <row r="45869">
          <cell r="O45869" t="str">
            <v/>
          </cell>
        </row>
        <row r="45870">
          <cell r="O45870" t="str">
            <v/>
          </cell>
        </row>
        <row r="45871">
          <cell r="O45871" t="str">
            <v/>
          </cell>
        </row>
        <row r="45872">
          <cell r="O45872" t="str">
            <v/>
          </cell>
        </row>
        <row r="45873">
          <cell r="O45873" t="str">
            <v/>
          </cell>
        </row>
        <row r="45874">
          <cell r="O45874" t="str">
            <v/>
          </cell>
        </row>
        <row r="45875">
          <cell r="O45875" t="str">
            <v/>
          </cell>
        </row>
        <row r="45876">
          <cell r="O45876" t="str">
            <v/>
          </cell>
        </row>
        <row r="45877">
          <cell r="O45877" t="str">
            <v/>
          </cell>
        </row>
        <row r="45878">
          <cell r="O45878" t="str">
            <v/>
          </cell>
        </row>
        <row r="45879">
          <cell r="O45879" t="str">
            <v/>
          </cell>
        </row>
        <row r="45880">
          <cell r="O45880" t="str">
            <v/>
          </cell>
        </row>
        <row r="45881">
          <cell r="O45881" t="str">
            <v/>
          </cell>
        </row>
        <row r="45882">
          <cell r="O45882" t="str">
            <v/>
          </cell>
        </row>
        <row r="45883">
          <cell r="O45883" t="str">
            <v/>
          </cell>
        </row>
        <row r="45884">
          <cell r="O45884" t="str">
            <v/>
          </cell>
        </row>
        <row r="45885">
          <cell r="O45885" t="str">
            <v/>
          </cell>
        </row>
        <row r="45886">
          <cell r="O45886" t="str">
            <v/>
          </cell>
        </row>
        <row r="45887">
          <cell r="O45887" t="str">
            <v/>
          </cell>
        </row>
        <row r="45888">
          <cell r="O45888" t="str">
            <v/>
          </cell>
        </row>
        <row r="45889">
          <cell r="O45889" t="str">
            <v/>
          </cell>
        </row>
        <row r="45890">
          <cell r="O45890" t="str">
            <v/>
          </cell>
        </row>
        <row r="45891">
          <cell r="O45891" t="str">
            <v/>
          </cell>
        </row>
        <row r="45892">
          <cell r="O45892" t="str">
            <v/>
          </cell>
        </row>
        <row r="45893">
          <cell r="O45893" t="str">
            <v/>
          </cell>
        </row>
        <row r="45894">
          <cell r="O45894" t="str">
            <v/>
          </cell>
        </row>
        <row r="45895">
          <cell r="O45895" t="str">
            <v/>
          </cell>
        </row>
        <row r="45896">
          <cell r="O45896" t="str">
            <v/>
          </cell>
        </row>
        <row r="45897">
          <cell r="O45897" t="str">
            <v/>
          </cell>
        </row>
        <row r="45898">
          <cell r="O45898" t="str">
            <v/>
          </cell>
        </row>
        <row r="45899">
          <cell r="O45899" t="str">
            <v/>
          </cell>
        </row>
        <row r="45900">
          <cell r="O45900" t="str">
            <v/>
          </cell>
        </row>
        <row r="45901">
          <cell r="O45901" t="str">
            <v/>
          </cell>
        </row>
        <row r="45902">
          <cell r="O45902" t="str">
            <v/>
          </cell>
        </row>
        <row r="45903">
          <cell r="O45903" t="str">
            <v/>
          </cell>
        </row>
        <row r="45904">
          <cell r="O45904" t="str">
            <v/>
          </cell>
        </row>
        <row r="45905">
          <cell r="O45905" t="str">
            <v/>
          </cell>
        </row>
        <row r="45906">
          <cell r="O45906" t="str">
            <v/>
          </cell>
        </row>
        <row r="45907">
          <cell r="O45907" t="str">
            <v/>
          </cell>
        </row>
        <row r="45908">
          <cell r="O45908" t="str">
            <v/>
          </cell>
        </row>
        <row r="45909">
          <cell r="O45909" t="str">
            <v/>
          </cell>
        </row>
        <row r="45910">
          <cell r="O45910" t="str">
            <v/>
          </cell>
        </row>
        <row r="45911">
          <cell r="O45911" t="str">
            <v/>
          </cell>
        </row>
        <row r="45912">
          <cell r="O45912" t="str">
            <v/>
          </cell>
        </row>
        <row r="45913">
          <cell r="O45913" t="str">
            <v/>
          </cell>
        </row>
        <row r="45914">
          <cell r="O45914" t="str">
            <v/>
          </cell>
        </row>
        <row r="45915">
          <cell r="O45915" t="str">
            <v/>
          </cell>
        </row>
        <row r="45916">
          <cell r="O45916" t="str">
            <v/>
          </cell>
        </row>
        <row r="45917">
          <cell r="O45917" t="str">
            <v/>
          </cell>
        </row>
        <row r="45918">
          <cell r="O45918" t="str">
            <v/>
          </cell>
        </row>
        <row r="45919">
          <cell r="O45919" t="str">
            <v/>
          </cell>
        </row>
        <row r="45920">
          <cell r="O45920" t="str">
            <v/>
          </cell>
        </row>
        <row r="45921">
          <cell r="O45921" t="str">
            <v/>
          </cell>
        </row>
        <row r="45922">
          <cell r="O45922" t="str">
            <v/>
          </cell>
        </row>
        <row r="45923">
          <cell r="O45923" t="str">
            <v/>
          </cell>
        </row>
        <row r="45924">
          <cell r="O45924" t="str">
            <v/>
          </cell>
        </row>
        <row r="45925">
          <cell r="O45925" t="str">
            <v/>
          </cell>
        </row>
        <row r="45926">
          <cell r="O45926" t="str">
            <v/>
          </cell>
        </row>
        <row r="45927">
          <cell r="O45927" t="str">
            <v/>
          </cell>
        </row>
        <row r="45928">
          <cell r="O45928" t="str">
            <v/>
          </cell>
        </row>
        <row r="45929">
          <cell r="O45929" t="str">
            <v/>
          </cell>
        </row>
        <row r="45930">
          <cell r="O45930" t="str">
            <v/>
          </cell>
        </row>
        <row r="45931">
          <cell r="O45931" t="str">
            <v/>
          </cell>
        </row>
        <row r="45932">
          <cell r="O45932" t="str">
            <v/>
          </cell>
        </row>
        <row r="45933">
          <cell r="O45933" t="str">
            <v/>
          </cell>
        </row>
        <row r="45934">
          <cell r="O45934" t="str">
            <v/>
          </cell>
        </row>
        <row r="45935">
          <cell r="O45935" t="str">
            <v/>
          </cell>
        </row>
        <row r="45936">
          <cell r="O45936" t="str">
            <v/>
          </cell>
        </row>
        <row r="45937">
          <cell r="O45937" t="str">
            <v/>
          </cell>
        </row>
        <row r="45938">
          <cell r="O45938" t="str">
            <v/>
          </cell>
        </row>
        <row r="45939">
          <cell r="O45939" t="str">
            <v/>
          </cell>
        </row>
        <row r="45940">
          <cell r="O45940" t="str">
            <v/>
          </cell>
        </row>
        <row r="45941">
          <cell r="O45941" t="str">
            <v/>
          </cell>
        </row>
        <row r="45942">
          <cell r="O45942" t="str">
            <v/>
          </cell>
        </row>
        <row r="45943">
          <cell r="O45943" t="str">
            <v/>
          </cell>
        </row>
        <row r="45944">
          <cell r="O45944" t="str">
            <v/>
          </cell>
        </row>
        <row r="45945">
          <cell r="O45945" t="str">
            <v/>
          </cell>
        </row>
        <row r="45946">
          <cell r="O45946" t="str">
            <v/>
          </cell>
        </row>
        <row r="45947">
          <cell r="O45947" t="str">
            <v/>
          </cell>
        </row>
        <row r="45948">
          <cell r="O45948" t="str">
            <v/>
          </cell>
        </row>
        <row r="45949">
          <cell r="O45949" t="str">
            <v/>
          </cell>
        </row>
        <row r="45950">
          <cell r="O45950" t="str">
            <v/>
          </cell>
        </row>
        <row r="45951">
          <cell r="O45951" t="str">
            <v/>
          </cell>
        </row>
        <row r="45952">
          <cell r="O45952" t="str">
            <v/>
          </cell>
        </row>
        <row r="45953">
          <cell r="O45953" t="str">
            <v/>
          </cell>
        </row>
        <row r="45954">
          <cell r="O45954" t="str">
            <v/>
          </cell>
        </row>
        <row r="45955">
          <cell r="O45955" t="str">
            <v/>
          </cell>
        </row>
        <row r="45956">
          <cell r="O45956" t="str">
            <v/>
          </cell>
        </row>
        <row r="45957">
          <cell r="O45957" t="str">
            <v/>
          </cell>
        </row>
        <row r="45958">
          <cell r="O45958" t="str">
            <v/>
          </cell>
        </row>
        <row r="45959">
          <cell r="O45959" t="str">
            <v/>
          </cell>
        </row>
        <row r="45960">
          <cell r="O45960" t="str">
            <v/>
          </cell>
        </row>
        <row r="45961">
          <cell r="O45961" t="str">
            <v/>
          </cell>
        </row>
        <row r="45962">
          <cell r="O45962" t="str">
            <v/>
          </cell>
        </row>
        <row r="45963">
          <cell r="O45963" t="str">
            <v/>
          </cell>
        </row>
        <row r="45964">
          <cell r="O45964" t="str">
            <v/>
          </cell>
        </row>
        <row r="45965">
          <cell r="O45965" t="str">
            <v/>
          </cell>
        </row>
        <row r="45966">
          <cell r="O45966" t="str">
            <v/>
          </cell>
        </row>
        <row r="45967">
          <cell r="O45967" t="str">
            <v/>
          </cell>
        </row>
        <row r="45968">
          <cell r="O45968" t="str">
            <v/>
          </cell>
        </row>
        <row r="45969">
          <cell r="O45969" t="str">
            <v/>
          </cell>
        </row>
        <row r="45970">
          <cell r="O45970" t="str">
            <v/>
          </cell>
        </row>
        <row r="45971">
          <cell r="O45971" t="str">
            <v/>
          </cell>
        </row>
        <row r="45972">
          <cell r="O45972" t="str">
            <v/>
          </cell>
        </row>
        <row r="45973">
          <cell r="O45973" t="str">
            <v/>
          </cell>
        </row>
        <row r="45974">
          <cell r="O45974" t="str">
            <v/>
          </cell>
        </row>
        <row r="45975">
          <cell r="O45975" t="str">
            <v/>
          </cell>
        </row>
        <row r="45976">
          <cell r="O45976" t="str">
            <v/>
          </cell>
        </row>
        <row r="45977">
          <cell r="O45977" t="str">
            <v/>
          </cell>
        </row>
        <row r="45978">
          <cell r="O45978" t="str">
            <v/>
          </cell>
        </row>
        <row r="45979">
          <cell r="O45979" t="str">
            <v/>
          </cell>
        </row>
        <row r="45980">
          <cell r="O45980" t="str">
            <v/>
          </cell>
        </row>
        <row r="45981">
          <cell r="O45981" t="str">
            <v/>
          </cell>
        </row>
        <row r="45982">
          <cell r="O45982" t="str">
            <v/>
          </cell>
        </row>
        <row r="45983">
          <cell r="O45983" t="str">
            <v/>
          </cell>
        </row>
        <row r="45984">
          <cell r="O45984" t="str">
            <v/>
          </cell>
        </row>
        <row r="45985">
          <cell r="O45985" t="str">
            <v/>
          </cell>
        </row>
        <row r="45986">
          <cell r="O45986" t="str">
            <v/>
          </cell>
        </row>
        <row r="45987">
          <cell r="O45987" t="str">
            <v/>
          </cell>
        </row>
        <row r="45988">
          <cell r="O45988" t="str">
            <v/>
          </cell>
        </row>
        <row r="45989">
          <cell r="O45989" t="str">
            <v/>
          </cell>
        </row>
        <row r="45990">
          <cell r="O45990" t="str">
            <v/>
          </cell>
        </row>
        <row r="45991">
          <cell r="O45991" t="str">
            <v/>
          </cell>
        </row>
        <row r="45992">
          <cell r="O45992" t="str">
            <v/>
          </cell>
        </row>
        <row r="45993">
          <cell r="O45993" t="str">
            <v/>
          </cell>
        </row>
        <row r="45994">
          <cell r="O45994" t="str">
            <v/>
          </cell>
        </row>
        <row r="45995">
          <cell r="O45995" t="str">
            <v/>
          </cell>
        </row>
        <row r="45996">
          <cell r="O45996" t="str">
            <v/>
          </cell>
        </row>
        <row r="45997">
          <cell r="O45997" t="str">
            <v/>
          </cell>
        </row>
        <row r="45998">
          <cell r="O45998" t="str">
            <v/>
          </cell>
        </row>
        <row r="45999">
          <cell r="O45999" t="str">
            <v/>
          </cell>
        </row>
        <row r="46000">
          <cell r="O46000" t="str">
            <v/>
          </cell>
        </row>
        <row r="46001">
          <cell r="O46001" t="str">
            <v/>
          </cell>
        </row>
        <row r="46002">
          <cell r="O46002" t="str">
            <v/>
          </cell>
        </row>
        <row r="46003">
          <cell r="O46003" t="str">
            <v/>
          </cell>
        </row>
        <row r="46004">
          <cell r="O46004" t="str">
            <v/>
          </cell>
        </row>
        <row r="46005">
          <cell r="O46005" t="str">
            <v/>
          </cell>
        </row>
        <row r="46006">
          <cell r="O46006" t="str">
            <v/>
          </cell>
        </row>
        <row r="46007">
          <cell r="O46007" t="str">
            <v/>
          </cell>
        </row>
        <row r="46008">
          <cell r="O46008" t="str">
            <v/>
          </cell>
        </row>
        <row r="46009">
          <cell r="O46009" t="str">
            <v/>
          </cell>
        </row>
        <row r="46010">
          <cell r="O46010" t="str">
            <v/>
          </cell>
        </row>
        <row r="46011">
          <cell r="O46011" t="str">
            <v/>
          </cell>
        </row>
        <row r="46012">
          <cell r="O46012" t="str">
            <v/>
          </cell>
        </row>
        <row r="46013">
          <cell r="O46013" t="str">
            <v/>
          </cell>
        </row>
        <row r="46014">
          <cell r="O46014" t="str">
            <v/>
          </cell>
        </row>
        <row r="46015">
          <cell r="O46015" t="str">
            <v/>
          </cell>
        </row>
        <row r="46016">
          <cell r="O46016" t="str">
            <v/>
          </cell>
        </row>
        <row r="46017">
          <cell r="O46017" t="str">
            <v/>
          </cell>
        </row>
        <row r="46018">
          <cell r="O46018" t="str">
            <v/>
          </cell>
        </row>
        <row r="46019">
          <cell r="O46019" t="str">
            <v/>
          </cell>
        </row>
        <row r="46020">
          <cell r="O46020" t="str">
            <v/>
          </cell>
        </row>
        <row r="46021">
          <cell r="O46021" t="str">
            <v/>
          </cell>
        </row>
        <row r="46022">
          <cell r="O46022" t="str">
            <v/>
          </cell>
        </row>
        <row r="46023">
          <cell r="O46023" t="str">
            <v/>
          </cell>
        </row>
        <row r="46024">
          <cell r="O46024" t="str">
            <v/>
          </cell>
        </row>
        <row r="46025">
          <cell r="O46025" t="str">
            <v/>
          </cell>
        </row>
        <row r="46026">
          <cell r="O46026" t="str">
            <v/>
          </cell>
        </row>
        <row r="46027">
          <cell r="O46027" t="str">
            <v/>
          </cell>
        </row>
        <row r="46028">
          <cell r="O46028" t="str">
            <v/>
          </cell>
        </row>
        <row r="46029">
          <cell r="O46029" t="str">
            <v/>
          </cell>
        </row>
        <row r="46030">
          <cell r="O46030" t="str">
            <v/>
          </cell>
        </row>
        <row r="46031">
          <cell r="O46031" t="str">
            <v/>
          </cell>
        </row>
        <row r="46032">
          <cell r="O46032" t="str">
            <v/>
          </cell>
        </row>
        <row r="46033">
          <cell r="O46033" t="str">
            <v/>
          </cell>
        </row>
        <row r="46034">
          <cell r="O46034" t="str">
            <v/>
          </cell>
        </row>
        <row r="46035">
          <cell r="O46035" t="str">
            <v/>
          </cell>
        </row>
        <row r="46036">
          <cell r="O46036" t="str">
            <v/>
          </cell>
        </row>
        <row r="46037">
          <cell r="O46037" t="str">
            <v/>
          </cell>
        </row>
        <row r="46038">
          <cell r="O46038" t="str">
            <v/>
          </cell>
        </row>
        <row r="46039">
          <cell r="O46039" t="str">
            <v/>
          </cell>
        </row>
        <row r="46040">
          <cell r="O46040" t="str">
            <v/>
          </cell>
        </row>
        <row r="46041">
          <cell r="O46041" t="str">
            <v/>
          </cell>
        </row>
        <row r="46042">
          <cell r="O46042" t="str">
            <v/>
          </cell>
        </row>
        <row r="46043">
          <cell r="O46043" t="str">
            <v/>
          </cell>
        </row>
        <row r="46044">
          <cell r="O46044" t="str">
            <v/>
          </cell>
        </row>
        <row r="46045">
          <cell r="O46045" t="str">
            <v/>
          </cell>
        </row>
        <row r="46046">
          <cell r="O46046" t="str">
            <v/>
          </cell>
        </row>
        <row r="46047">
          <cell r="O46047" t="str">
            <v/>
          </cell>
        </row>
        <row r="46048">
          <cell r="O46048" t="str">
            <v/>
          </cell>
        </row>
        <row r="46049">
          <cell r="O46049" t="str">
            <v/>
          </cell>
        </row>
        <row r="46050">
          <cell r="O46050" t="str">
            <v/>
          </cell>
        </row>
        <row r="46051">
          <cell r="O46051" t="str">
            <v/>
          </cell>
        </row>
        <row r="46052">
          <cell r="O46052" t="str">
            <v/>
          </cell>
        </row>
        <row r="46053">
          <cell r="O46053" t="str">
            <v/>
          </cell>
        </row>
        <row r="46054">
          <cell r="O46054" t="str">
            <v/>
          </cell>
        </row>
        <row r="46055">
          <cell r="O46055" t="str">
            <v/>
          </cell>
        </row>
        <row r="46056">
          <cell r="O46056" t="str">
            <v/>
          </cell>
        </row>
        <row r="46057">
          <cell r="O46057" t="str">
            <v/>
          </cell>
        </row>
        <row r="46058">
          <cell r="O46058" t="str">
            <v/>
          </cell>
        </row>
        <row r="46059">
          <cell r="O46059" t="str">
            <v/>
          </cell>
        </row>
        <row r="46060">
          <cell r="O46060" t="str">
            <v/>
          </cell>
        </row>
        <row r="46061">
          <cell r="O46061" t="str">
            <v/>
          </cell>
        </row>
        <row r="46062">
          <cell r="O46062" t="str">
            <v/>
          </cell>
        </row>
        <row r="46063">
          <cell r="O46063" t="str">
            <v/>
          </cell>
        </row>
        <row r="46064">
          <cell r="O46064" t="str">
            <v/>
          </cell>
        </row>
        <row r="46065">
          <cell r="O46065" t="str">
            <v/>
          </cell>
        </row>
        <row r="46066">
          <cell r="O46066" t="str">
            <v/>
          </cell>
        </row>
        <row r="46067">
          <cell r="O46067" t="str">
            <v/>
          </cell>
        </row>
        <row r="46068">
          <cell r="O46068" t="str">
            <v/>
          </cell>
        </row>
        <row r="46069">
          <cell r="O46069" t="str">
            <v/>
          </cell>
        </row>
        <row r="46070">
          <cell r="O46070" t="str">
            <v/>
          </cell>
        </row>
        <row r="46071">
          <cell r="O46071" t="str">
            <v/>
          </cell>
        </row>
        <row r="46072">
          <cell r="O46072" t="str">
            <v/>
          </cell>
        </row>
        <row r="46073">
          <cell r="O46073" t="str">
            <v/>
          </cell>
        </row>
        <row r="46074">
          <cell r="O46074" t="str">
            <v/>
          </cell>
        </row>
        <row r="46075">
          <cell r="O46075" t="str">
            <v/>
          </cell>
        </row>
        <row r="46076">
          <cell r="O46076" t="str">
            <v/>
          </cell>
        </row>
        <row r="46077">
          <cell r="O46077" t="str">
            <v/>
          </cell>
        </row>
        <row r="46078">
          <cell r="O46078" t="str">
            <v/>
          </cell>
        </row>
        <row r="46079">
          <cell r="O46079" t="str">
            <v/>
          </cell>
        </row>
        <row r="46080">
          <cell r="O46080" t="str">
            <v/>
          </cell>
        </row>
        <row r="46081">
          <cell r="O46081" t="str">
            <v/>
          </cell>
        </row>
        <row r="46082">
          <cell r="O46082" t="str">
            <v/>
          </cell>
        </row>
        <row r="46083">
          <cell r="O46083" t="str">
            <v/>
          </cell>
        </row>
        <row r="46084">
          <cell r="O46084" t="str">
            <v/>
          </cell>
        </row>
        <row r="46085">
          <cell r="O46085" t="str">
            <v/>
          </cell>
        </row>
        <row r="46086">
          <cell r="O46086" t="str">
            <v/>
          </cell>
        </row>
        <row r="46087">
          <cell r="O46087" t="str">
            <v/>
          </cell>
        </row>
        <row r="46088">
          <cell r="O46088" t="str">
            <v/>
          </cell>
        </row>
        <row r="46089">
          <cell r="O46089" t="str">
            <v/>
          </cell>
        </row>
        <row r="46090">
          <cell r="O46090" t="str">
            <v/>
          </cell>
        </row>
        <row r="46091">
          <cell r="O46091" t="str">
            <v/>
          </cell>
        </row>
        <row r="46092">
          <cell r="O46092" t="str">
            <v/>
          </cell>
        </row>
        <row r="46093">
          <cell r="O46093" t="str">
            <v/>
          </cell>
        </row>
        <row r="46094">
          <cell r="O46094" t="str">
            <v/>
          </cell>
        </row>
        <row r="46095">
          <cell r="O46095" t="str">
            <v/>
          </cell>
        </row>
        <row r="46096">
          <cell r="O46096" t="str">
            <v/>
          </cell>
        </row>
        <row r="46097">
          <cell r="O46097" t="str">
            <v/>
          </cell>
        </row>
        <row r="46098">
          <cell r="O46098" t="str">
            <v/>
          </cell>
        </row>
        <row r="46099">
          <cell r="O46099" t="str">
            <v/>
          </cell>
        </row>
        <row r="46100">
          <cell r="O46100" t="str">
            <v/>
          </cell>
        </row>
        <row r="46101">
          <cell r="O46101" t="str">
            <v/>
          </cell>
        </row>
        <row r="46102">
          <cell r="O46102" t="str">
            <v/>
          </cell>
        </row>
        <row r="46103">
          <cell r="O46103" t="str">
            <v/>
          </cell>
        </row>
        <row r="46104">
          <cell r="O46104" t="str">
            <v/>
          </cell>
        </row>
        <row r="46105">
          <cell r="O46105" t="str">
            <v/>
          </cell>
        </row>
        <row r="46106">
          <cell r="O46106" t="str">
            <v/>
          </cell>
        </row>
        <row r="46107">
          <cell r="O46107" t="str">
            <v/>
          </cell>
        </row>
        <row r="46108">
          <cell r="O46108" t="str">
            <v/>
          </cell>
        </row>
        <row r="46109">
          <cell r="O46109" t="str">
            <v/>
          </cell>
        </row>
        <row r="46110">
          <cell r="O46110" t="str">
            <v/>
          </cell>
        </row>
        <row r="46111">
          <cell r="O46111" t="str">
            <v/>
          </cell>
        </row>
        <row r="46112">
          <cell r="O46112" t="str">
            <v/>
          </cell>
        </row>
        <row r="46113">
          <cell r="O46113" t="str">
            <v/>
          </cell>
        </row>
        <row r="46114">
          <cell r="O46114" t="str">
            <v/>
          </cell>
        </row>
        <row r="46115">
          <cell r="O46115" t="str">
            <v/>
          </cell>
        </row>
        <row r="46116">
          <cell r="O46116" t="str">
            <v/>
          </cell>
        </row>
        <row r="46117">
          <cell r="O46117" t="str">
            <v/>
          </cell>
        </row>
        <row r="46118">
          <cell r="O46118" t="str">
            <v/>
          </cell>
        </row>
        <row r="46119">
          <cell r="O46119" t="str">
            <v/>
          </cell>
        </row>
        <row r="46120">
          <cell r="O46120" t="str">
            <v/>
          </cell>
        </row>
        <row r="46121">
          <cell r="O46121" t="str">
            <v/>
          </cell>
        </row>
        <row r="46122">
          <cell r="O46122" t="str">
            <v/>
          </cell>
        </row>
        <row r="46123">
          <cell r="O46123" t="str">
            <v/>
          </cell>
        </row>
        <row r="46124">
          <cell r="O46124" t="str">
            <v/>
          </cell>
        </row>
        <row r="46125">
          <cell r="O46125" t="str">
            <v/>
          </cell>
        </row>
        <row r="46126">
          <cell r="O46126" t="str">
            <v/>
          </cell>
        </row>
        <row r="46127">
          <cell r="O46127" t="str">
            <v/>
          </cell>
        </row>
        <row r="46128">
          <cell r="O46128" t="str">
            <v/>
          </cell>
        </row>
        <row r="46129">
          <cell r="O46129" t="str">
            <v/>
          </cell>
        </row>
        <row r="46130">
          <cell r="O46130" t="str">
            <v/>
          </cell>
        </row>
        <row r="46131">
          <cell r="O46131" t="str">
            <v/>
          </cell>
        </row>
        <row r="46132">
          <cell r="O46132" t="str">
            <v/>
          </cell>
        </row>
        <row r="46133">
          <cell r="O46133" t="str">
            <v/>
          </cell>
        </row>
        <row r="46134">
          <cell r="O46134" t="str">
            <v/>
          </cell>
        </row>
        <row r="46135">
          <cell r="O46135" t="str">
            <v/>
          </cell>
        </row>
        <row r="46136">
          <cell r="O46136" t="str">
            <v/>
          </cell>
        </row>
        <row r="46137">
          <cell r="O46137" t="str">
            <v/>
          </cell>
        </row>
        <row r="46138">
          <cell r="O46138" t="str">
            <v/>
          </cell>
        </row>
        <row r="46139">
          <cell r="O46139" t="str">
            <v/>
          </cell>
        </row>
        <row r="46140">
          <cell r="O46140" t="str">
            <v/>
          </cell>
        </row>
        <row r="46141">
          <cell r="O46141" t="str">
            <v/>
          </cell>
        </row>
        <row r="46142">
          <cell r="O46142" t="str">
            <v/>
          </cell>
        </row>
        <row r="46143">
          <cell r="O46143" t="str">
            <v/>
          </cell>
        </row>
        <row r="46144">
          <cell r="O46144" t="str">
            <v/>
          </cell>
        </row>
        <row r="46145">
          <cell r="O46145" t="str">
            <v/>
          </cell>
        </row>
        <row r="46146">
          <cell r="O46146" t="str">
            <v/>
          </cell>
        </row>
        <row r="46147">
          <cell r="O46147" t="str">
            <v/>
          </cell>
        </row>
        <row r="46148">
          <cell r="O46148" t="str">
            <v/>
          </cell>
        </row>
        <row r="46149">
          <cell r="O46149" t="str">
            <v/>
          </cell>
        </row>
        <row r="46150">
          <cell r="O46150" t="str">
            <v/>
          </cell>
        </row>
        <row r="46151">
          <cell r="O46151" t="str">
            <v/>
          </cell>
        </row>
        <row r="46152">
          <cell r="O46152" t="str">
            <v/>
          </cell>
        </row>
        <row r="46153">
          <cell r="O46153" t="str">
            <v/>
          </cell>
        </row>
        <row r="46154">
          <cell r="O46154" t="str">
            <v/>
          </cell>
        </row>
        <row r="46155">
          <cell r="O46155" t="str">
            <v/>
          </cell>
        </row>
        <row r="46156">
          <cell r="O46156" t="str">
            <v/>
          </cell>
        </row>
        <row r="46157">
          <cell r="O46157" t="str">
            <v/>
          </cell>
        </row>
        <row r="46158">
          <cell r="O46158" t="str">
            <v/>
          </cell>
        </row>
        <row r="46159">
          <cell r="O46159" t="str">
            <v/>
          </cell>
        </row>
        <row r="46160">
          <cell r="O46160" t="str">
            <v/>
          </cell>
        </row>
        <row r="46161">
          <cell r="O46161" t="str">
            <v/>
          </cell>
        </row>
        <row r="46162">
          <cell r="O46162" t="str">
            <v/>
          </cell>
        </row>
        <row r="46163">
          <cell r="O46163" t="str">
            <v/>
          </cell>
        </row>
        <row r="46164">
          <cell r="O46164" t="str">
            <v/>
          </cell>
        </row>
        <row r="46165">
          <cell r="O46165" t="str">
            <v/>
          </cell>
        </row>
        <row r="46166">
          <cell r="O46166" t="str">
            <v/>
          </cell>
        </row>
        <row r="46167">
          <cell r="O46167" t="str">
            <v/>
          </cell>
        </row>
        <row r="46168">
          <cell r="O46168" t="str">
            <v/>
          </cell>
        </row>
        <row r="46169">
          <cell r="O46169" t="str">
            <v/>
          </cell>
        </row>
        <row r="46170">
          <cell r="O46170" t="str">
            <v/>
          </cell>
        </row>
        <row r="46171">
          <cell r="O46171" t="str">
            <v/>
          </cell>
        </row>
        <row r="46172">
          <cell r="O46172" t="str">
            <v/>
          </cell>
        </row>
        <row r="46173">
          <cell r="O46173" t="str">
            <v/>
          </cell>
        </row>
        <row r="46174">
          <cell r="O46174" t="str">
            <v/>
          </cell>
        </row>
        <row r="46175">
          <cell r="O46175" t="str">
            <v/>
          </cell>
        </row>
        <row r="46176">
          <cell r="O46176" t="str">
            <v/>
          </cell>
        </row>
        <row r="46177">
          <cell r="O46177" t="str">
            <v/>
          </cell>
        </row>
        <row r="46178">
          <cell r="O46178" t="str">
            <v/>
          </cell>
        </row>
        <row r="46179">
          <cell r="O46179" t="str">
            <v/>
          </cell>
        </row>
        <row r="46180">
          <cell r="O46180" t="str">
            <v/>
          </cell>
        </row>
        <row r="46181">
          <cell r="O46181" t="str">
            <v/>
          </cell>
        </row>
        <row r="46182">
          <cell r="O46182" t="str">
            <v/>
          </cell>
        </row>
        <row r="46183">
          <cell r="O46183" t="str">
            <v/>
          </cell>
        </row>
        <row r="46184">
          <cell r="O46184" t="str">
            <v/>
          </cell>
        </row>
        <row r="46185">
          <cell r="O46185" t="str">
            <v/>
          </cell>
        </row>
        <row r="46186">
          <cell r="O46186" t="str">
            <v/>
          </cell>
        </row>
        <row r="46187">
          <cell r="O46187" t="str">
            <v/>
          </cell>
        </row>
        <row r="46188">
          <cell r="O46188" t="str">
            <v/>
          </cell>
        </row>
        <row r="46189">
          <cell r="O46189" t="str">
            <v/>
          </cell>
        </row>
        <row r="46190">
          <cell r="O46190" t="str">
            <v/>
          </cell>
        </row>
        <row r="46191">
          <cell r="O46191" t="str">
            <v/>
          </cell>
        </row>
        <row r="46192">
          <cell r="O46192" t="str">
            <v/>
          </cell>
        </row>
        <row r="46193">
          <cell r="O46193" t="str">
            <v/>
          </cell>
        </row>
        <row r="46194">
          <cell r="O46194" t="str">
            <v/>
          </cell>
        </row>
        <row r="46195">
          <cell r="O46195" t="str">
            <v/>
          </cell>
        </row>
        <row r="46196">
          <cell r="O46196" t="str">
            <v/>
          </cell>
        </row>
        <row r="46197">
          <cell r="O46197" t="str">
            <v/>
          </cell>
        </row>
        <row r="46198">
          <cell r="O46198" t="str">
            <v/>
          </cell>
        </row>
        <row r="46199">
          <cell r="O46199" t="str">
            <v/>
          </cell>
        </row>
        <row r="46200">
          <cell r="O46200" t="str">
            <v/>
          </cell>
        </row>
        <row r="46201">
          <cell r="O46201" t="str">
            <v/>
          </cell>
        </row>
        <row r="46202">
          <cell r="O46202" t="str">
            <v/>
          </cell>
        </row>
        <row r="46203">
          <cell r="O46203" t="str">
            <v/>
          </cell>
        </row>
        <row r="46204">
          <cell r="O46204" t="str">
            <v/>
          </cell>
        </row>
        <row r="46205">
          <cell r="O46205" t="str">
            <v/>
          </cell>
        </row>
        <row r="46206">
          <cell r="O46206" t="str">
            <v/>
          </cell>
        </row>
        <row r="46207">
          <cell r="O46207" t="str">
            <v/>
          </cell>
        </row>
        <row r="46208">
          <cell r="O46208" t="str">
            <v/>
          </cell>
        </row>
        <row r="46209">
          <cell r="O46209" t="str">
            <v/>
          </cell>
        </row>
        <row r="46210">
          <cell r="O46210" t="str">
            <v/>
          </cell>
        </row>
        <row r="46211">
          <cell r="O46211" t="str">
            <v/>
          </cell>
        </row>
        <row r="46212">
          <cell r="O46212" t="str">
            <v/>
          </cell>
        </row>
        <row r="46213">
          <cell r="O46213" t="str">
            <v/>
          </cell>
        </row>
        <row r="46214">
          <cell r="O46214" t="str">
            <v/>
          </cell>
        </row>
        <row r="46215">
          <cell r="O46215" t="str">
            <v/>
          </cell>
        </row>
        <row r="46216">
          <cell r="O46216" t="str">
            <v/>
          </cell>
        </row>
        <row r="46217">
          <cell r="O46217" t="str">
            <v/>
          </cell>
        </row>
        <row r="46218">
          <cell r="O46218" t="str">
            <v/>
          </cell>
        </row>
        <row r="46219">
          <cell r="O46219" t="str">
            <v/>
          </cell>
        </row>
        <row r="46220">
          <cell r="O46220" t="str">
            <v/>
          </cell>
        </row>
        <row r="46221">
          <cell r="O46221" t="str">
            <v/>
          </cell>
        </row>
        <row r="46222">
          <cell r="O46222" t="str">
            <v/>
          </cell>
        </row>
        <row r="46223">
          <cell r="O46223" t="str">
            <v/>
          </cell>
        </row>
        <row r="46224">
          <cell r="O46224" t="str">
            <v/>
          </cell>
        </row>
        <row r="46225">
          <cell r="O46225" t="str">
            <v/>
          </cell>
        </row>
        <row r="46226">
          <cell r="O46226" t="str">
            <v/>
          </cell>
        </row>
        <row r="46227">
          <cell r="O46227" t="str">
            <v/>
          </cell>
        </row>
        <row r="46228">
          <cell r="O46228" t="str">
            <v/>
          </cell>
        </row>
        <row r="46229">
          <cell r="O46229" t="str">
            <v/>
          </cell>
        </row>
        <row r="46230">
          <cell r="O46230" t="str">
            <v/>
          </cell>
        </row>
        <row r="46231">
          <cell r="O46231" t="str">
            <v/>
          </cell>
        </row>
        <row r="46232">
          <cell r="O46232" t="str">
            <v/>
          </cell>
        </row>
        <row r="46233">
          <cell r="O46233" t="str">
            <v/>
          </cell>
        </row>
        <row r="46234">
          <cell r="O46234" t="str">
            <v/>
          </cell>
        </row>
        <row r="46235">
          <cell r="O46235" t="str">
            <v/>
          </cell>
        </row>
        <row r="46236">
          <cell r="O46236" t="str">
            <v/>
          </cell>
        </row>
        <row r="46237">
          <cell r="O46237" t="str">
            <v/>
          </cell>
        </row>
        <row r="46238">
          <cell r="O46238" t="str">
            <v/>
          </cell>
        </row>
        <row r="46239">
          <cell r="O46239" t="str">
            <v/>
          </cell>
        </row>
        <row r="46240">
          <cell r="O46240" t="str">
            <v/>
          </cell>
        </row>
        <row r="46241">
          <cell r="O46241" t="str">
            <v/>
          </cell>
        </row>
        <row r="46242">
          <cell r="O46242" t="str">
            <v/>
          </cell>
        </row>
        <row r="46243">
          <cell r="O46243" t="str">
            <v/>
          </cell>
        </row>
        <row r="46244">
          <cell r="O46244" t="str">
            <v/>
          </cell>
        </row>
        <row r="46245">
          <cell r="O46245" t="str">
            <v/>
          </cell>
        </row>
        <row r="46246">
          <cell r="O46246" t="str">
            <v/>
          </cell>
        </row>
        <row r="46247">
          <cell r="O46247" t="str">
            <v/>
          </cell>
        </row>
        <row r="46248">
          <cell r="O46248" t="str">
            <v/>
          </cell>
        </row>
        <row r="46249">
          <cell r="O46249" t="str">
            <v/>
          </cell>
        </row>
        <row r="46250">
          <cell r="O46250" t="str">
            <v/>
          </cell>
        </row>
        <row r="46251">
          <cell r="O46251" t="str">
            <v/>
          </cell>
        </row>
        <row r="46252">
          <cell r="O46252" t="str">
            <v/>
          </cell>
        </row>
        <row r="46253">
          <cell r="O46253" t="str">
            <v/>
          </cell>
        </row>
        <row r="46254">
          <cell r="O46254" t="str">
            <v/>
          </cell>
        </row>
        <row r="46255">
          <cell r="O46255" t="str">
            <v/>
          </cell>
        </row>
        <row r="46256">
          <cell r="O46256" t="str">
            <v/>
          </cell>
        </row>
        <row r="46257">
          <cell r="O46257" t="str">
            <v/>
          </cell>
        </row>
        <row r="46258">
          <cell r="O46258" t="str">
            <v/>
          </cell>
        </row>
        <row r="46259">
          <cell r="O46259" t="str">
            <v/>
          </cell>
        </row>
        <row r="46260">
          <cell r="O46260" t="str">
            <v/>
          </cell>
        </row>
        <row r="46261">
          <cell r="O46261" t="str">
            <v/>
          </cell>
        </row>
        <row r="46262">
          <cell r="O46262" t="str">
            <v/>
          </cell>
        </row>
        <row r="46263">
          <cell r="O46263" t="str">
            <v/>
          </cell>
        </row>
        <row r="46264">
          <cell r="O46264" t="str">
            <v/>
          </cell>
        </row>
        <row r="46265">
          <cell r="O46265" t="str">
            <v/>
          </cell>
        </row>
        <row r="46266">
          <cell r="O46266" t="str">
            <v/>
          </cell>
        </row>
        <row r="46267">
          <cell r="O46267" t="str">
            <v/>
          </cell>
        </row>
        <row r="46268">
          <cell r="O46268" t="str">
            <v/>
          </cell>
        </row>
        <row r="46269">
          <cell r="O46269" t="str">
            <v/>
          </cell>
        </row>
        <row r="46270">
          <cell r="O46270" t="str">
            <v/>
          </cell>
        </row>
        <row r="46271">
          <cell r="O46271" t="str">
            <v/>
          </cell>
        </row>
        <row r="46272">
          <cell r="O46272" t="str">
            <v/>
          </cell>
        </row>
        <row r="46273">
          <cell r="O46273" t="str">
            <v/>
          </cell>
        </row>
        <row r="46274">
          <cell r="O46274" t="str">
            <v/>
          </cell>
        </row>
        <row r="46275">
          <cell r="O46275" t="str">
            <v/>
          </cell>
        </row>
        <row r="46276">
          <cell r="O46276" t="str">
            <v/>
          </cell>
        </row>
        <row r="46277">
          <cell r="O46277" t="str">
            <v/>
          </cell>
        </row>
        <row r="46278">
          <cell r="O46278" t="str">
            <v/>
          </cell>
        </row>
        <row r="46279">
          <cell r="O46279" t="str">
            <v/>
          </cell>
        </row>
        <row r="46280">
          <cell r="O46280" t="str">
            <v/>
          </cell>
        </row>
        <row r="46281">
          <cell r="O46281" t="str">
            <v/>
          </cell>
        </row>
        <row r="46282">
          <cell r="O46282" t="str">
            <v/>
          </cell>
        </row>
        <row r="46283">
          <cell r="O46283" t="str">
            <v/>
          </cell>
        </row>
        <row r="46284">
          <cell r="O46284" t="str">
            <v/>
          </cell>
        </row>
        <row r="46285">
          <cell r="O46285" t="str">
            <v/>
          </cell>
        </row>
        <row r="46286">
          <cell r="O46286" t="str">
            <v/>
          </cell>
        </row>
        <row r="46287">
          <cell r="O46287" t="str">
            <v/>
          </cell>
        </row>
        <row r="46288">
          <cell r="O46288" t="str">
            <v/>
          </cell>
        </row>
        <row r="46289">
          <cell r="O46289" t="str">
            <v/>
          </cell>
        </row>
        <row r="46290">
          <cell r="O46290" t="str">
            <v/>
          </cell>
        </row>
        <row r="46291">
          <cell r="O46291" t="str">
            <v/>
          </cell>
        </row>
        <row r="46292">
          <cell r="O46292" t="str">
            <v/>
          </cell>
        </row>
        <row r="46293">
          <cell r="O46293" t="str">
            <v/>
          </cell>
        </row>
        <row r="46294">
          <cell r="O46294" t="str">
            <v/>
          </cell>
        </row>
        <row r="46295">
          <cell r="O46295" t="str">
            <v/>
          </cell>
        </row>
        <row r="46296">
          <cell r="O46296" t="str">
            <v/>
          </cell>
        </row>
        <row r="46297">
          <cell r="O46297" t="str">
            <v/>
          </cell>
        </row>
        <row r="46298">
          <cell r="O46298" t="str">
            <v/>
          </cell>
        </row>
        <row r="46299">
          <cell r="O46299" t="str">
            <v/>
          </cell>
        </row>
        <row r="46300">
          <cell r="O46300" t="str">
            <v/>
          </cell>
        </row>
        <row r="46301">
          <cell r="O46301" t="str">
            <v/>
          </cell>
        </row>
        <row r="46302">
          <cell r="O46302" t="str">
            <v/>
          </cell>
        </row>
        <row r="46303">
          <cell r="O46303" t="str">
            <v/>
          </cell>
        </row>
        <row r="46304">
          <cell r="O46304" t="str">
            <v/>
          </cell>
        </row>
        <row r="46305">
          <cell r="O46305" t="str">
            <v/>
          </cell>
        </row>
        <row r="46306">
          <cell r="O46306" t="str">
            <v/>
          </cell>
        </row>
        <row r="46307">
          <cell r="O46307" t="str">
            <v/>
          </cell>
        </row>
        <row r="46308">
          <cell r="O46308" t="str">
            <v/>
          </cell>
        </row>
        <row r="46309">
          <cell r="O46309" t="str">
            <v/>
          </cell>
        </row>
        <row r="46310">
          <cell r="O46310" t="str">
            <v/>
          </cell>
        </row>
        <row r="46311">
          <cell r="O46311" t="str">
            <v/>
          </cell>
        </row>
        <row r="46312">
          <cell r="O46312" t="str">
            <v/>
          </cell>
        </row>
        <row r="46313">
          <cell r="O46313" t="str">
            <v/>
          </cell>
        </row>
        <row r="46314">
          <cell r="O46314" t="str">
            <v/>
          </cell>
        </row>
        <row r="46315">
          <cell r="O46315" t="str">
            <v/>
          </cell>
        </row>
        <row r="46316">
          <cell r="O46316" t="str">
            <v/>
          </cell>
        </row>
        <row r="46317">
          <cell r="O46317" t="str">
            <v/>
          </cell>
        </row>
        <row r="46318">
          <cell r="O46318" t="str">
            <v/>
          </cell>
        </row>
        <row r="46319">
          <cell r="O46319" t="str">
            <v/>
          </cell>
        </row>
        <row r="46320">
          <cell r="O46320" t="str">
            <v/>
          </cell>
        </row>
        <row r="46321">
          <cell r="O46321" t="str">
            <v/>
          </cell>
        </row>
        <row r="46322">
          <cell r="O46322" t="str">
            <v/>
          </cell>
        </row>
        <row r="46323">
          <cell r="O46323" t="str">
            <v/>
          </cell>
        </row>
        <row r="46324">
          <cell r="O46324" t="str">
            <v/>
          </cell>
        </row>
        <row r="46325">
          <cell r="O46325" t="str">
            <v/>
          </cell>
        </row>
        <row r="46326">
          <cell r="O46326" t="str">
            <v/>
          </cell>
        </row>
        <row r="46327">
          <cell r="O46327" t="str">
            <v/>
          </cell>
        </row>
        <row r="46328">
          <cell r="O46328" t="str">
            <v/>
          </cell>
        </row>
        <row r="46329">
          <cell r="O46329" t="str">
            <v/>
          </cell>
        </row>
        <row r="46330">
          <cell r="O46330" t="str">
            <v/>
          </cell>
        </row>
        <row r="46331">
          <cell r="O46331" t="str">
            <v/>
          </cell>
        </row>
        <row r="46332">
          <cell r="O46332" t="str">
            <v/>
          </cell>
        </row>
        <row r="46333">
          <cell r="O46333" t="str">
            <v/>
          </cell>
        </row>
        <row r="46334">
          <cell r="O46334" t="str">
            <v/>
          </cell>
        </row>
        <row r="46335">
          <cell r="O46335" t="str">
            <v/>
          </cell>
        </row>
        <row r="46336">
          <cell r="O46336" t="str">
            <v/>
          </cell>
        </row>
        <row r="46337">
          <cell r="O46337" t="str">
            <v/>
          </cell>
        </row>
        <row r="46338">
          <cell r="O46338" t="str">
            <v/>
          </cell>
        </row>
        <row r="46339">
          <cell r="O46339" t="str">
            <v/>
          </cell>
        </row>
        <row r="46340">
          <cell r="O46340" t="str">
            <v/>
          </cell>
        </row>
        <row r="46341">
          <cell r="O46341" t="str">
            <v/>
          </cell>
        </row>
        <row r="46342">
          <cell r="O46342" t="str">
            <v/>
          </cell>
        </row>
        <row r="46343">
          <cell r="O46343" t="str">
            <v/>
          </cell>
        </row>
        <row r="46344">
          <cell r="O46344" t="str">
            <v/>
          </cell>
        </row>
        <row r="46345">
          <cell r="O46345" t="str">
            <v/>
          </cell>
        </row>
        <row r="46346">
          <cell r="O46346" t="str">
            <v/>
          </cell>
        </row>
        <row r="46347">
          <cell r="O46347" t="str">
            <v/>
          </cell>
        </row>
        <row r="46348">
          <cell r="O46348" t="str">
            <v/>
          </cell>
        </row>
        <row r="46349">
          <cell r="O46349" t="str">
            <v/>
          </cell>
        </row>
        <row r="46350">
          <cell r="O46350" t="str">
            <v/>
          </cell>
        </row>
        <row r="46351">
          <cell r="O46351" t="str">
            <v/>
          </cell>
        </row>
        <row r="46352">
          <cell r="O46352" t="str">
            <v/>
          </cell>
        </row>
        <row r="46353">
          <cell r="O46353" t="str">
            <v/>
          </cell>
        </row>
        <row r="46354">
          <cell r="O46354" t="str">
            <v/>
          </cell>
        </row>
        <row r="46355">
          <cell r="O46355" t="str">
            <v/>
          </cell>
        </row>
        <row r="46356">
          <cell r="O46356" t="str">
            <v/>
          </cell>
        </row>
        <row r="46357">
          <cell r="O46357" t="str">
            <v/>
          </cell>
        </row>
        <row r="46358">
          <cell r="O46358" t="str">
            <v/>
          </cell>
        </row>
        <row r="46359">
          <cell r="O46359" t="str">
            <v/>
          </cell>
        </row>
        <row r="46360">
          <cell r="O46360" t="str">
            <v/>
          </cell>
        </row>
        <row r="46361">
          <cell r="O46361" t="str">
            <v/>
          </cell>
        </row>
        <row r="46362">
          <cell r="O46362" t="str">
            <v/>
          </cell>
        </row>
        <row r="46363">
          <cell r="O46363" t="str">
            <v/>
          </cell>
        </row>
        <row r="46364">
          <cell r="O46364" t="str">
            <v/>
          </cell>
        </row>
        <row r="46365">
          <cell r="O46365" t="str">
            <v/>
          </cell>
        </row>
        <row r="46366">
          <cell r="O46366" t="str">
            <v/>
          </cell>
        </row>
        <row r="46367">
          <cell r="O46367" t="str">
            <v/>
          </cell>
        </row>
        <row r="46368">
          <cell r="O46368" t="str">
            <v/>
          </cell>
        </row>
        <row r="46369">
          <cell r="O46369" t="str">
            <v/>
          </cell>
        </row>
        <row r="46370">
          <cell r="O46370" t="str">
            <v/>
          </cell>
        </row>
        <row r="46371">
          <cell r="O46371" t="str">
            <v/>
          </cell>
        </row>
        <row r="46372">
          <cell r="O46372" t="str">
            <v/>
          </cell>
        </row>
        <row r="46373">
          <cell r="O46373" t="str">
            <v/>
          </cell>
        </row>
        <row r="46374">
          <cell r="O46374" t="str">
            <v/>
          </cell>
        </row>
        <row r="46375">
          <cell r="O46375" t="str">
            <v/>
          </cell>
        </row>
        <row r="46376">
          <cell r="O46376" t="str">
            <v/>
          </cell>
        </row>
        <row r="46377">
          <cell r="O46377" t="str">
            <v/>
          </cell>
        </row>
        <row r="46378">
          <cell r="O46378" t="str">
            <v/>
          </cell>
        </row>
        <row r="46379">
          <cell r="O46379" t="str">
            <v/>
          </cell>
        </row>
        <row r="46380">
          <cell r="O46380" t="str">
            <v/>
          </cell>
        </row>
        <row r="46381">
          <cell r="O46381" t="str">
            <v/>
          </cell>
        </row>
        <row r="46382">
          <cell r="O46382" t="str">
            <v/>
          </cell>
        </row>
        <row r="46383">
          <cell r="O46383" t="str">
            <v/>
          </cell>
        </row>
        <row r="46384">
          <cell r="O46384" t="str">
            <v/>
          </cell>
        </row>
        <row r="46385">
          <cell r="O46385" t="str">
            <v/>
          </cell>
        </row>
        <row r="46386">
          <cell r="O46386" t="str">
            <v/>
          </cell>
        </row>
        <row r="46387">
          <cell r="O46387" t="str">
            <v/>
          </cell>
        </row>
        <row r="46388">
          <cell r="O46388" t="str">
            <v/>
          </cell>
        </row>
        <row r="46389">
          <cell r="O46389" t="str">
            <v/>
          </cell>
        </row>
        <row r="46390">
          <cell r="O46390" t="str">
            <v/>
          </cell>
        </row>
        <row r="46391">
          <cell r="O46391" t="str">
            <v/>
          </cell>
        </row>
        <row r="46392">
          <cell r="O46392" t="str">
            <v/>
          </cell>
        </row>
        <row r="46393">
          <cell r="O46393" t="str">
            <v/>
          </cell>
        </row>
        <row r="46394">
          <cell r="O46394" t="str">
            <v/>
          </cell>
        </row>
        <row r="46395">
          <cell r="O46395" t="str">
            <v/>
          </cell>
        </row>
        <row r="46396">
          <cell r="O46396" t="str">
            <v/>
          </cell>
        </row>
        <row r="46397">
          <cell r="O46397" t="str">
            <v/>
          </cell>
        </row>
        <row r="46398">
          <cell r="O46398" t="str">
            <v/>
          </cell>
        </row>
        <row r="46399">
          <cell r="O46399" t="str">
            <v/>
          </cell>
        </row>
        <row r="46400">
          <cell r="O46400" t="str">
            <v/>
          </cell>
        </row>
        <row r="46401">
          <cell r="O46401" t="str">
            <v/>
          </cell>
        </row>
        <row r="46402">
          <cell r="O46402" t="str">
            <v/>
          </cell>
        </row>
        <row r="46403">
          <cell r="O46403" t="str">
            <v/>
          </cell>
        </row>
        <row r="46404">
          <cell r="O46404" t="str">
            <v/>
          </cell>
        </row>
        <row r="46405">
          <cell r="O46405" t="str">
            <v/>
          </cell>
        </row>
        <row r="46406">
          <cell r="O46406" t="str">
            <v/>
          </cell>
        </row>
        <row r="46407">
          <cell r="O46407" t="str">
            <v/>
          </cell>
        </row>
        <row r="46408">
          <cell r="O46408" t="str">
            <v/>
          </cell>
        </row>
        <row r="46409">
          <cell r="O46409" t="str">
            <v/>
          </cell>
        </row>
        <row r="46410">
          <cell r="O46410" t="str">
            <v/>
          </cell>
        </row>
        <row r="46411">
          <cell r="O46411" t="str">
            <v/>
          </cell>
        </row>
        <row r="46412">
          <cell r="O46412" t="str">
            <v/>
          </cell>
        </row>
        <row r="46413">
          <cell r="O46413" t="str">
            <v/>
          </cell>
        </row>
        <row r="46414">
          <cell r="O46414" t="str">
            <v/>
          </cell>
        </row>
        <row r="46415">
          <cell r="O46415" t="str">
            <v/>
          </cell>
        </row>
        <row r="46416">
          <cell r="O46416" t="str">
            <v/>
          </cell>
        </row>
        <row r="46417">
          <cell r="O46417" t="str">
            <v/>
          </cell>
        </row>
        <row r="46418">
          <cell r="O46418" t="str">
            <v/>
          </cell>
        </row>
        <row r="46419">
          <cell r="O46419" t="str">
            <v/>
          </cell>
        </row>
        <row r="46420">
          <cell r="O46420" t="str">
            <v/>
          </cell>
        </row>
        <row r="46421">
          <cell r="O46421" t="str">
            <v/>
          </cell>
        </row>
        <row r="46422">
          <cell r="O46422" t="str">
            <v/>
          </cell>
        </row>
        <row r="46423">
          <cell r="O46423" t="str">
            <v/>
          </cell>
        </row>
        <row r="46424">
          <cell r="O46424" t="str">
            <v/>
          </cell>
        </row>
        <row r="46425">
          <cell r="O46425" t="str">
            <v/>
          </cell>
        </row>
        <row r="46426">
          <cell r="O46426" t="str">
            <v/>
          </cell>
        </row>
        <row r="46427">
          <cell r="O46427" t="str">
            <v/>
          </cell>
        </row>
        <row r="46428">
          <cell r="O46428" t="str">
            <v/>
          </cell>
        </row>
        <row r="46429">
          <cell r="O46429" t="str">
            <v/>
          </cell>
        </row>
        <row r="46430">
          <cell r="O46430" t="str">
            <v/>
          </cell>
        </row>
        <row r="46431">
          <cell r="O46431" t="str">
            <v/>
          </cell>
        </row>
        <row r="46432">
          <cell r="O46432" t="str">
            <v/>
          </cell>
        </row>
        <row r="46433">
          <cell r="O46433" t="str">
            <v/>
          </cell>
        </row>
        <row r="46434">
          <cell r="O46434" t="str">
            <v/>
          </cell>
        </row>
        <row r="46435">
          <cell r="O46435" t="str">
            <v/>
          </cell>
        </row>
        <row r="46436">
          <cell r="O46436" t="str">
            <v/>
          </cell>
        </row>
        <row r="46437">
          <cell r="O46437" t="str">
            <v/>
          </cell>
        </row>
        <row r="46438">
          <cell r="O46438" t="str">
            <v/>
          </cell>
        </row>
        <row r="46439">
          <cell r="O46439" t="str">
            <v/>
          </cell>
        </row>
        <row r="46440">
          <cell r="O46440" t="str">
            <v/>
          </cell>
        </row>
        <row r="46441">
          <cell r="O46441" t="str">
            <v/>
          </cell>
        </row>
        <row r="46442">
          <cell r="O46442" t="str">
            <v/>
          </cell>
        </row>
        <row r="46443">
          <cell r="O46443" t="str">
            <v/>
          </cell>
        </row>
        <row r="46444">
          <cell r="O46444" t="str">
            <v/>
          </cell>
        </row>
        <row r="46445">
          <cell r="O46445" t="str">
            <v/>
          </cell>
        </row>
        <row r="46446">
          <cell r="O46446" t="str">
            <v/>
          </cell>
        </row>
        <row r="46447">
          <cell r="O46447" t="str">
            <v/>
          </cell>
        </row>
        <row r="46448">
          <cell r="O46448" t="str">
            <v/>
          </cell>
        </row>
        <row r="46449">
          <cell r="O46449" t="str">
            <v/>
          </cell>
        </row>
        <row r="46450">
          <cell r="O46450" t="str">
            <v/>
          </cell>
        </row>
        <row r="46451">
          <cell r="O46451" t="str">
            <v/>
          </cell>
        </row>
        <row r="46452">
          <cell r="O46452" t="str">
            <v/>
          </cell>
        </row>
        <row r="46453">
          <cell r="O46453" t="str">
            <v/>
          </cell>
        </row>
        <row r="46454">
          <cell r="O46454" t="str">
            <v/>
          </cell>
        </row>
        <row r="46455">
          <cell r="O46455" t="str">
            <v/>
          </cell>
        </row>
        <row r="46456">
          <cell r="O46456" t="str">
            <v/>
          </cell>
        </row>
        <row r="46457">
          <cell r="O46457" t="str">
            <v/>
          </cell>
        </row>
        <row r="46458">
          <cell r="O46458" t="str">
            <v/>
          </cell>
        </row>
        <row r="46459">
          <cell r="O46459" t="str">
            <v/>
          </cell>
        </row>
        <row r="46460">
          <cell r="O46460" t="str">
            <v/>
          </cell>
        </row>
        <row r="46461">
          <cell r="O46461" t="str">
            <v/>
          </cell>
        </row>
        <row r="46462">
          <cell r="O46462" t="str">
            <v/>
          </cell>
        </row>
        <row r="46463">
          <cell r="O46463" t="str">
            <v/>
          </cell>
        </row>
        <row r="46464">
          <cell r="O46464" t="str">
            <v/>
          </cell>
        </row>
        <row r="46465">
          <cell r="O46465" t="str">
            <v/>
          </cell>
        </row>
        <row r="46466">
          <cell r="O46466" t="str">
            <v/>
          </cell>
        </row>
        <row r="46467">
          <cell r="O46467" t="str">
            <v/>
          </cell>
        </row>
        <row r="46468">
          <cell r="O46468" t="str">
            <v/>
          </cell>
        </row>
        <row r="46469">
          <cell r="O46469" t="str">
            <v/>
          </cell>
        </row>
        <row r="46470">
          <cell r="O46470" t="str">
            <v/>
          </cell>
        </row>
        <row r="46471">
          <cell r="O46471" t="str">
            <v/>
          </cell>
        </row>
        <row r="46472">
          <cell r="O46472" t="str">
            <v/>
          </cell>
        </row>
        <row r="46473">
          <cell r="O46473" t="str">
            <v/>
          </cell>
        </row>
        <row r="46474">
          <cell r="O46474" t="str">
            <v/>
          </cell>
        </row>
        <row r="46475">
          <cell r="O46475" t="str">
            <v/>
          </cell>
        </row>
        <row r="46476">
          <cell r="O46476" t="str">
            <v/>
          </cell>
        </row>
        <row r="46477">
          <cell r="O46477" t="str">
            <v/>
          </cell>
        </row>
        <row r="46478">
          <cell r="O46478" t="str">
            <v/>
          </cell>
        </row>
        <row r="46479">
          <cell r="O46479" t="str">
            <v/>
          </cell>
        </row>
        <row r="46480">
          <cell r="O46480" t="str">
            <v/>
          </cell>
        </row>
        <row r="46481">
          <cell r="O46481" t="str">
            <v/>
          </cell>
        </row>
        <row r="46482">
          <cell r="O46482" t="str">
            <v/>
          </cell>
        </row>
        <row r="46483">
          <cell r="O46483" t="str">
            <v/>
          </cell>
        </row>
        <row r="46484">
          <cell r="O46484" t="str">
            <v/>
          </cell>
        </row>
        <row r="46485">
          <cell r="O46485" t="str">
            <v/>
          </cell>
        </row>
        <row r="46486">
          <cell r="O46486" t="str">
            <v/>
          </cell>
        </row>
        <row r="46487">
          <cell r="O46487" t="str">
            <v/>
          </cell>
        </row>
        <row r="46488">
          <cell r="O46488" t="str">
            <v/>
          </cell>
        </row>
        <row r="46489">
          <cell r="O46489" t="str">
            <v/>
          </cell>
        </row>
        <row r="46490">
          <cell r="O46490" t="str">
            <v/>
          </cell>
        </row>
        <row r="46491">
          <cell r="O46491" t="str">
            <v/>
          </cell>
        </row>
        <row r="46492">
          <cell r="O46492" t="str">
            <v/>
          </cell>
        </row>
        <row r="46493">
          <cell r="O46493" t="str">
            <v/>
          </cell>
        </row>
        <row r="46494">
          <cell r="O46494" t="str">
            <v/>
          </cell>
        </row>
        <row r="46495">
          <cell r="O46495" t="str">
            <v/>
          </cell>
        </row>
        <row r="46496">
          <cell r="O46496" t="str">
            <v/>
          </cell>
        </row>
        <row r="46497">
          <cell r="O46497" t="str">
            <v/>
          </cell>
        </row>
        <row r="46498">
          <cell r="O46498" t="str">
            <v/>
          </cell>
        </row>
        <row r="46499">
          <cell r="O46499" t="str">
            <v/>
          </cell>
        </row>
        <row r="46500">
          <cell r="O46500" t="str">
            <v/>
          </cell>
        </row>
        <row r="46501">
          <cell r="O46501" t="str">
            <v/>
          </cell>
        </row>
        <row r="46502">
          <cell r="O46502" t="str">
            <v/>
          </cell>
        </row>
        <row r="46503">
          <cell r="O46503" t="str">
            <v/>
          </cell>
        </row>
        <row r="46504">
          <cell r="O46504" t="str">
            <v/>
          </cell>
        </row>
        <row r="46505">
          <cell r="O46505" t="str">
            <v/>
          </cell>
        </row>
        <row r="46506">
          <cell r="O46506" t="str">
            <v/>
          </cell>
        </row>
        <row r="46507">
          <cell r="O46507" t="str">
            <v/>
          </cell>
        </row>
        <row r="46508">
          <cell r="O46508" t="str">
            <v/>
          </cell>
        </row>
        <row r="46509">
          <cell r="O46509" t="str">
            <v/>
          </cell>
        </row>
        <row r="46510">
          <cell r="O46510" t="str">
            <v/>
          </cell>
        </row>
        <row r="46511">
          <cell r="O46511" t="str">
            <v/>
          </cell>
        </row>
        <row r="46512">
          <cell r="O46512" t="str">
            <v/>
          </cell>
        </row>
        <row r="46513">
          <cell r="O46513" t="str">
            <v/>
          </cell>
        </row>
        <row r="46514">
          <cell r="O46514" t="str">
            <v/>
          </cell>
        </row>
        <row r="46515">
          <cell r="O46515" t="str">
            <v/>
          </cell>
        </row>
        <row r="46516">
          <cell r="O46516" t="str">
            <v/>
          </cell>
        </row>
        <row r="46517">
          <cell r="O46517" t="str">
            <v/>
          </cell>
        </row>
        <row r="46518">
          <cell r="O46518" t="str">
            <v/>
          </cell>
        </row>
        <row r="46519">
          <cell r="O46519" t="str">
            <v/>
          </cell>
        </row>
        <row r="46520">
          <cell r="O46520" t="str">
            <v/>
          </cell>
        </row>
        <row r="46521">
          <cell r="O46521" t="str">
            <v/>
          </cell>
        </row>
        <row r="46522">
          <cell r="O46522" t="str">
            <v/>
          </cell>
        </row>
        <row r="46523">
          <cell r="O46523" t="str">
            <v/>
          </cell>
        </row>
        <row r="46524">
          <cell r="O46524" t="str">
            <v/>
          </cell>
        </row>
        <row r="46525">
          <cell r="O46525" t="str">
            <v/>
          </cell>
        </row>
        <row r="46526">
          <cell r="O46526" t="str">
            <v/>
          </cell>
        </row>
        <row r="46527">
          <cell r="O46527" t="str">
            <v/>
          </cell>
        </row>
        <row r="46528">
          <cell r="O46528" t="str">
            <v/>
          </cell>
        </row>
        <row r="46529">
          <cell r="O46529" t="str">
            <v/>
          </cell>
        </row>
        <row r="46530">
          <cell r="O46530" t="str">
            <v/>
          </cell>
        </row>
        <row r="46531">
          <cell r="O46531" t="str">
            <v/>
          </cell>
        </row>
        <row r="46532">
          <cell r="O46532" t="str">
            <v/>
          </cell>
        </row>
        <row r="46533">
          <cell r="O46533" t="str">
            <v/>
          </cell>
        </row>
        <row r="46534">
          <cell r="O46534" t="str">
            <v/>
          </cell>
        </row>
        <row r="46535">
          <cell r="O46535" t="str">
            <v/>
          </cell>
        </row>
        <row r="46536">
          <cell r="O46536" t="str">
            <v/>
          </cell>
        </row>
        <row r="46537">
          <cell r="O46537" t="str">
            <v/>
          </cell>
        </row>
        <row r="46538">
          <cell r="O46538" t="str">
            <v/>
          </cell>
        </row>
        <row r="46539">
          <cell r="O46539" t="str">
            <v/>
          </cell>
        </row>
        <row r="46540">
          <cell r="O46540" t="str">
            <v/>
          </cell>
        </row>
        <row r="46541">
          <cell r="O46541" t="str">
            <v/>
          </cell>
        </row>
        <row r="46542">
          <cell r="O46542" t="str">
            <v/>
          </cell>
        </row>
        <row r="46543">
          <cell r="O46543" t="str">
            <v/>
          </cell>
        </row>
        <row r="46544">
          <cell r="O46544" t="str">
            <v/>
          </cell>
        </row>
        <row r="46545">
          <cell r="O46545" t="str">
            <v/>
          </cell>
        </row>
        <row r="46546">
          <cell r="O46546" t="str">
            <v/>
          </cell>
        </row>
        <row r="46547">
          <cell r="O46547" t="str">
            <v/>
          </cell>
        </row>
        <row r="46548">
          <cell r="O46548" t="str">
            <v/>
          </cell>
        </row>
        <row r="46549">
          <cell r="O46549" t="str">
            <v/>
          </cell>
        </row>
        <row r="46550">
          <cell r="O46550" t="str">
            <v/>
          </cell>
        </row>
        <row r="46551">
          <cell r="O46551" t="str">
            <v/>
          </cell>
        </row>
        <row r="46552">
          <cell r="O46552" t="str">
            <v/>
          </cell>
        </row>
        <row r="46553">
          <cell r="O46553" t="str">
            <v/>
          </cell>
        </row>
        <row r="46554">
          <cell r="O46554" t="str">
            <v/>
          </cell>
        </row>
        <row r="46555">
          <cell r="O46555" t="str">
            <v/>
          </cell>
        </row>
        <row r="46556">
          <cell r="O46556" t="str">
            <v/>
          </cell>
        </row>
        <row r="46557">
          <cell r="O46557" t="str">
            <v/>
          </cell>
        </row>
        <row r="46558">
          <cell r="O46558" t="str">
            <v/>
          </cell>
        </row>
        <row r="46559">
          <cell r="O46559" t="str">
            <v/>
          </cell>
        </row>
        <row r="46560">
          <cell r="O46560" t="str">
            <v/>
          </cell>
        </row>
        <row r="46561">
          <cell r="O46561" t="str">
            <v/>
          </cell>
        </row>
        <row r="46562">
          <cell r="O46562" t="str">
            <v/>
          </cell>
        </row>
        <row r="46563">
          <cell r="O46563" t="str">
            <v/>
          </cell>
        </row>
        <row r="46564">
          <cell r="O46564" t="str">
            <v/>
          </cell>
        </row>
        <row r="46565">
          <cell r="O46565" t="str">
            <v/>
          </cell>
        </row>
        <row r="46566">
          <cell r="O46566" t="str">
            <v/>
          </cell>
        </row>
        <row r="46567">
          <cell r="O46567" t="str">
            <v/>
          </cell>
        </row>
        <row r="46568">
          <cell r="O46568" t="str">
            <v/>
          </cell>
        </row>
        <row r="46569">
          <cell r="O46569" t="str">
            <v/>
          </cell>
        </row>
        <row r="46570">
          <cell r="O46570" t="str">
            <v/>
          </cell>
        </row>
        <row r="46571">
          <cell r="O46571" t="str">
            <v/>
          </cell>
        </row>
        <row r="46572">
          <cell r="O46572" t="str">
            <v/>
          </cell>
        </row>
        <row r="46573">
          <cell r="O46573" t="str">
            <v/>
          </cell>
        </row>
        <row r="46574">
          <cell r="O46574" t="str">
            <v/>
          </cell>
        </row>
        <row r="46575">
          <cell r="O46575" t="str">
            <v/>
          </cell>
        </row>
        <row r="46576">
          <cell r="O46576" t="str">
            <v/>
          </cell>
        </row>
        <row r="46577">
          <cell r="O46577" t="str">
            <v/>
          </cell>
        </row>
        <row r="46578">
          <cell r="O46578" t="str">
            <v/>
          </cell>
        </row>
        <row r="46579">
          <cell r="O46579" t="str">
            <v/>
          </cell>
        </row>
        <row r="46580">
          <cell r="O46580" t="str">
            <v/>
          </cell>
        </row>
        <row r="46581">
          <cell r="O46581" t="str">
            <v/>
          </cell>
        </row>
        <row r="46582">
          <cell r="O46582" t="str">
            <v/>
          </cell>
        </row>
        <row r="46583">
          <cell r="O46583" t="str">
            <v/>
          </cell>
        </row>
        <row r="46584">
          <cell r="O46584" t="str">
            <v/>
          </cell>
        </row>
        <row r="46585">
          <cell r="O46585" t="str">
            <v/>
          </cell>
        </row>
        <row r="46586">
          <cell r="O46586" t="str">
            <v/>
          </cell>
        </row>
        <row r="46587">
          <cell r="O46587" t="str">
            <v/>
          </cell>
        </row>
        <row r="46588">
          <cell r="O46588" t="str">
            <v/>
          </cell>
        </row>
        <row r="46589">
          <cell r="O46589" t="str">
            <v/>
          </cell>
        </row>
        <row r="46590">
          <cell r="O46590" t="str">
            <v/>
          </cell>
        </row>
        <row r="46591">
          <cell r="O46591" t="str">
            <v/>
          </cell>
        </row>
        <row r="46592">
          <cell r="O46592" t="str">
            <v/>
          </cell>
        </row>
        <row r="46593">
          <cell r="O46593" t="str">
            <v/>
          </cell>
        </row>
        <row r="46594">
          <cell r="O46594" t="str">
            <v/>
          </cell>
        </row>
        <row r="46595">
          <cell r="O46595" t="str">
            <v/>
          </cell>
        </row>
        <row r="46596">
          <cell r="O46596" t="str">
            <v/>
          </cell>
        </row>
        <row r="46597">
          <cell r="O46597" t="str">
            <v/>
          </cell>
        </row>
        <row r="46598">
          <cell r="O46598" t="str">
            <v/>
          </cell>
        </row>
        <row r="46599">
          <cell r="O46599" t="str">
            <v/>
          </cell>
        </row>
        <row r="46600">
          <cell r="O46600" t="str">
            <v/>
          </cell>
        </row>
        <row r="46601">
          <cell r="O46601" t="str">
            <v/>
          </cell>
        </row>
        <row r="46602">
          <cell r="O46602" t="str">
            <v/>
          </cell>
        </row>
        <row r="46603">
          <cell r="O46603" t="str">
            <v/>
          </cell>
        </row>
        <row r="46604">
          <cell r="O46604" t="str">
            <v/>
          </cell>
        </row>
        <row r="46605">
          <cell r="O46605" t="str">
            <v/>
          </cell>
        </row>
        <row r="46606">
          <cell r="O46606" t="str">
            <v/>
          </cell>
        </row>
        <row r="46607">
          <cell r="O46607" t="str">
            <v/>
          </cell>
        </row>
        <row r="46608">
          <cell r="O46608" t="str">
            <v/>
          </cell>
        </row>
        <row r="46609">
          <cell r="O46609" t="str">
            <v/>
          </cell>
        </row>
        <row r="46610">
          <cell r="O46610" t="str">
            <v/>
          </cell>
        </row>
        <row r="46611">
          <cell r="O46611" t="str">
            <v/>
          </cell>
        </row>
        <row r="46612">
          <cell r="O46612" t="str">
            <v/>
          </cell>
        </row>
        <row r="46613">
          <cell r="O46613" t="str">
            <v/>
          </cell>
        </row>
        <row r="46614">
          <cell r="O46614" t="str">
            <v/>
          </cell>
        </row>
        <row r="46615">
          <cell r="O46615" t="str">
            <v/>
          </cell>
        </row>
        <row r="46616">
          <cell r="O46616" t="str">
            <v/>
          </cell>
        </row>
        <row r="46617">
          <cell r="O46617" t="str">
            <v/>
          </cell>
        </row>
        <row r="46618">
          <cell r="O46618" t="str">
            <v/>
          </cell>
        </row>
        <row r="46619">
          <cell r="O46619" t="str">
            <v/>
          </cell>
        </row>
        <row r="46620">
          <cell r="O46620" t="str">
            <v/>
          </cell>
        </row>
        <row r="46621">
          <cell r="O46621" t="str">
            <v/>
          </cell>
        </row>
        <row r="46622">
          <cell r="O46622" t="str">
            <v/>
          </cell>
        </row>
        <row r="46623">
          <cell r="O46623" t="str">
            <v/>
          </cell>
        </row>
        <row r="46624">
          <cell r="O46624" t="str">
            <v/>
          </cell>
        </row>
        <row r="46625">
          <cell r="O46625" t="str">
            <v/>
          </cell>
        </row>
        <row r="46626">
          <cell r="O46626" t="str">
            <v/>
          </cell>
        </row>
        <row r="46627">
          <cell r="O46627" t="str">
            <v/>
          </cell>
        </row>
        <row r="46628">
          <cell r="O46628" t="str">
            <v/>
          </cell>
        </row>
        <row r="46629">
          <cell r="O46629" t="str">
            <v/>
          </cell>
        </row>
        <row r="46630">
          <cell r="O46630" t="str">
            <v/>
          </cell>
        </row>
        <row r="46631">
          <cell r="O46631" t="str">
            <v/>
          </cell>
        </row>
        <row r="46632">
          <cell r="O46632" t="str">
            <v/>
          </cell>
        </row>
        <row r="46633">
          <cell r="O46633" t="str">
            <v/>
          </cell>
        </row>
        <row r="46634">
          <cell r="O46634" t="str">
            <v/>
          </cell>
        </row>
        <row r="46635">
          <cell r="O46635" t="str">
            <v/>
          </cell>
        </row>
        <row r="46636">
          <cell r="O46636" t="str">
            <v/>
          </cell>
        </row>
        <row r="46637">
          <cell r="O46637" t="str">
            <v/>
          </cell>
        </row>
        <row r="46638">
          <cell r="O46638" t="str">
            <v/>
          </cell>
        </row>
        <row r="46639">
          <cell r="O46639" t="str">
            <v/>
          </cell>
        </row>
        <row r="46640">
          <cell r="O46640" t="str">
            <v/>
          </cell>
        </row>
        <row r="46641">
          <cell r="O46641" t="str">
            <v/>
          </cell>
        </row>
        <row r="46642">
          <cell r="O46642" t="str">
            <v/>
          </cell>
        </row>
        <row r="46643">
          <cell r="O46643" t="str">
            <v/>
          </cell>
        </row>
        <row r="46644">
          <cell r="O46644" t="str">
            <v/>
          </cell>
        </row>
        <row r="46645">
          <cell r="O46645" t="str">
            <v/>
          </cell>
        </row>
        <row r="46646">
          <cell r="O46646" t="str">
            <v/>
          </cell>
        </row>
        <row r="46647">
          <cell r="O46647" t="str">
            <v/>
          </cell>
        </row>
        <row r="46648">
          <cell r="O46648" t="str">
            <v/>
          </cell>
        </row>
        <row r="46649">
          <cell r="O46649" t="str">
            <v/>
          </cell>
        </row>
        <row r="46650">
          <cell r="O46650" t="str">
            <v/>
          </cell>
        </row>
        <row r="46651">
          <cell r="O46651" t="str">
            <v/>
          </cell>
        </row>
        <row r="46652">
          <cell r="O46652" t="str">
            <v/>
          </cell>
        </row>
        <row r="46653">
          <cell r="O46653" t="str">
            <v/>
          </cell>
        </row>
        <row r="46654">
          <cell r="O46654" t="str">
            <v/>
          </cell>
        </row>
        <row r="46655">
          <cell r="O46655" t="str">
            <v/>
          </cell>
        </row>
        <row r="46656">
          <cell r="O46656" t="str">
            <v/>
          </cell>
        </row>
        <row r="46657">
          <cell r="O46657" t="str">
            <v/>
          </cell>
        </row>
        <row r="46658">
          <cell r="O46658" t="str">
            <v/>
          </cell>
        </row>
        <row r="46659">
          <cell r="O46659" t="str">
            <v/>
          </cell>
        </row>
        <row r="46660">
          <cell r="O46660" t="str">
            <v/>
          </cell>
        </row>
        <row r="46661">
          <cell r="O46661" t="str">
            <v/>
          </cell>
        </row>
        <row r="46662">
          <cell r="O46662" t="str">
            <v/>
          </cell>
        </row>
        <row r="46663">
          <cell r="O46663" t="str">
            <v/>
          </cell>
        </row>
        <row r="46664">
          <cell r="O46664" t="str">
            <v/>
          </cell>
        </row>
        <row r="46665">
          <cell r="O46665" t="str">
            <v/>
          </cell>
        </row>
        <row r="46666">
          <cell r="O46666" t="str">
            <v/>
          </cell>
        </row>
        <row r="46667">
          <cell r="O46667" t="str">
            <v/>
          </cell>
        </row>
        <row r="46668">
          <cell r="O46668" t="str">
            <v/>
          </cell>
        </row>
        <row r="46669">
          <cell r="O46669" t="str">
            <v/>
          </cell>
        </row>
        <row r="46670">
          <cell r="O46670" t="str">
            <v/>
          </cell>
        </row>
        <row r="46671">
          <cell r="O46671" t="str">
            <v/>
          </cell>
        </row>
        <row r="46672">
          <cell r="O46672" t="str">
            <v/>
          </cell>
        </row>
        <row r="46673">
          <cell r="O46673" t="str">
            <v/>
          </cell>
        </row>
        <row r="46674">
          <cell r="O46674" t="str">
            <v/>
          </cell>
        </row>
        <row r="46675">
          <cell r="O46675" t="str">
            <v/>
          </cell>
        </row>
        <row r="46676">
          <cell r="O46676" t="str">
            <v/>
          </cell>
        </row>
        <row r="46677">
          <cell r="O46677" t="str">
            <v/>
          </cell>
        </row>
        <row r="46678">
          <cell r="O46678" t="str">
            <v/>
          </cell>
        </row>
        <row r="46679">
          <cell r="O46679" t="str">
            <v/>
          </cell>
        </row>
        <row r="46680">
          <cell r="O46680" t="str">
            <v/>
          </cell>
        </row>
        <row r="46681">
          <cell r="O46681" t="str">
            <v/>
          </cell>
        </row>
        <row r="46682">
          <cell r="O46682" t="str">
            <v/>
          </cell>
        </row>
        <row r="46683">
          <cell r="O46683" t="str">
            <v/>
          </cell>
        </row>
        <row r="46684">
          <cell r="O46684" t="str">
            <v/>
          </cell>
        </row>
        <row r="46685">
          <cell r="O46685" t="str">
            <v/>
          </cell>
        </row>
        <row r="46686">
          <cell r="O46686" t="str">
            <v/>
          </cell>
        </row>
        <row r="46687">
          <cell r="O46687" t="str">
            <v/>
          </cell>
        </row>
        <row r="46688">
          <cell r="O46688" t="str">
            <v/>
          </cell>
        </row>
        <row r="46689">
          <cell r="O46689" t="str">
            <v/>
          </cell>
        </row>
        <row r="46690">
          <cell r="O46690" t="str">
            <v/>
          </cell>
        </row>
        <row r="46691">
          <cell r="O46691" t="str">
            <v/>
          </cell>
        </row>
        <row r="46692">
          <cell r="O46692" t="str">
            <v/>
          </cell>
        </row>
        <row r="46693">
          <cell r="O46693" t="str">
            <v/>
          </cell>
        </row>
        <row r="46694">
          <cell r="O46694" t="str">
            <v/>
          </cell>
        </row>
        <row r="46695">
          <cell r="O46695" t="str">
            <v/>
          </cell>
        </row>
        <row r="46696">
          <cell r="O46696" t="str">
            <v/>
          </cell>
        </row>
        <row r="46697">
          <cell r="O46697" t="str">
            <v/>
          </cell>
        </row>
        <row r="46698">
          <cell r="O46698" t="str">
            <v/>
          </cell>
        </row>
        <row r="46699">
          <cell r="O46699" t="str">
            <v/>
          </cell>
        </row>
        <row r="46700">
          <cell r="O46700" t="str">
            <v/>
          </cell>
        </row>
        <row r="46701">
          <cell r="O46701" t="str">
            <v/>
          </cell>
        </row>
        <row r="46702">
          <cell r="O46702" t="str">
            <v/>
          </cell>
        </row>
        <row r="46703">
          <cell r="O46703" t="str">
            <v/>
          </cell>
        </row>
        <row r="46704">
          <cell r="O46704" t="str">
            <v/>
          </cell>
        </row>
        <row r="46705">
          <cell r="O46705" t="str">
            <v/>
          </cell>
        </row>
        <row r="46706">
          <cell r="O46706" t="str">
            <v/>
          </cell>
        </row>
        <row r="46707">
          <cell r="O46707" t="str">
            <v/>
          </cell>
        </row>
        <row r="46708">
          <cell r="O46708" t="str">
            <v/>
          </cell>
        </row>
        <row r="46709">
          <cell r="O46709" t="str">
            <v/>
          </cell>
        </row>
        <row r="46710">
          <cell r="O46710" t="str">
            <v/>
          </cell>
        </row>
        <row r="46711">
          <cell r="O46711" t="str">
            <v/>
          </cell>
        </row>
        <row r="46712">
          <cell r="O46712" t="str">
            <v/>
          </cell>
        </row>
        <row r="46713">
          <cell r="O46713" t="str">
            <v/>
          </cell>
        </row>
        <row r="46714">
          <cell r="O46714" t="str">
            <v/>
          </cell>
        </row>
        <row r="46715">
          <cell r="O46715" t="str">
            <v/>
          </cell>
        </row>
        <row r="46716">
          <cell r="O46716" t="str">
            <v/>
          </cell>
        </row>
        <row r="46717">
          <cell r="O46717" t="str">
            <v/>
          </cell>
        </row>
        <row r="46718">
          <cell r="O46718" t="str">
            <v/>
          </cell>
        </row>
        <row r="46719">
          <cell r="O46719" t="str">
            <v/>
          </cell>
        </row>
        <row r="46720">
          <cell r="O46720" t="str">
            <v/>
          </cell>
        </row>
        <row r="46721">
          <cell r="O46721" t="str">
            <v/>
          </cell>
        </row>
        <row r="46722">
          <cell r="O46722" t="str">
            <v/>
          </cell>
        </row>
        <row r="46723">
          <cell r="O46723" t="str">
            <v/>
          </cell>
        </row>
        <row r="46724">
          <cell r="O46724" t="str">
            <v/>
          </cell>
        </row>
        <row r="46725">
          <cell r="O46725" t="str">
            <v/>
          </cell>
        </row>
        <row r="46726">
          <cell r="O46726" t="str">
            <v/>
          </cell>
        </row>
        <row r="46727">
          <cell r="O46727" t="str">
            <v/>
          </cell>
        </row>
        <row r="46728">
          <cell r="O46728" t="str">
            <v/>
          </cell>
        </row>
        <row r="46729">
          <cell r="O46729" t="str">
            <v/>
          </cell>
        </row>
        <row r="46730">
          <cell r="O46730" t="str">
            <v/>
          </cell>
        </row>
        <row r="46731">
          <cell r="O46731" t="str">
            <v/>
          </cell>
        </row>
        <row r="46732">
          <cell r="O46732" t="str">
            <v/>
          </cell>
        </row>
        <row r="46733">
          <cell r="O46733" t="str">
            <v/>
          </cell>
        </row>
        <row r="46734">
          <cell r="O46734" t="str">
            <v/>
          </cell>
        </row>
        <row r="46735">
          <cell r="O46735" t="str">
            <v/>
          </cell>
        </row>
        <row r="46736">
          <cell r="O46736" t="str">
            <v/>
          </cell>
        </row>
        <row r="46737">
          <cell r="O46737" t="str">
            <v/>
          </cell>
        </row>
        <row r="46738">
          <cell r="O46738" t="str">
            <v/>
          </cell>
        </row>
        <row r="46739">
          <cell r="O46739" t="str">
            <v/>
          </cell>
        </row>
        <row r="46740">
          <cell r="O46740" t="str">
            <v/>
          </cell>
        </row>
        <row r="46741">
          <cell r="O46741" t="str">
            <v/>
          </cell>
        </row>
        <row r="46742">
          <cell r="O46742" t="str">
            <v/>
          </cell>
        </row>
        <row r="46743">
          <cell r="O46743" t="str">
            <v/>
          </cell>
        </row>
        <row r="46744">
          <cell r="O46744" t="str">
            <v/>
          </cell>
        </row>
        <row r="46745">
          <cell r="O46745" t="str">
            <v/>
          </cell>
        </row>
        <row r="46746">
          <cell r="O46746" t="str">
            <v/>
          </cell>
        </row>
        <row r="46747">
          <cell r="O46747" t="str">
            <v/>
          </cell>
        </row>
        <row r="46748">
          <cell r="O46748" t="str">
            <v/>
          </cell>
        </row>
        <row r="46749">
          <cell r="O46749" t="str">
            <v/>
          </cell>
        </row>
        <row r="46750">
          <cell r="O46750" t="str">
            <v/>
          </cell>
        </row>
        <row r="46751">
          <cell r="O46751" t="str">
            <v/>
          </cell>
        </row>
        <row r="46752">
          <cell r="O46752" t="str">
            <v/>
          </cell>
        </row>
        <row r="46753">
          <cell r="O46753" t="str">
            <v/>
          </cell>
        </row>
        <row r="46754">
          <cell r="O46754" t="str">
            <v/>
          </cell>
        </row>
        <row r="46755">
          <cell r="O46755" t="str">
            <v/>
          </cell>
        </row>
        <row r="46756">
          <cell r="O46756" t="str">
            <v/>
          </cell>
        </row>
        <row r="46757">
          <cell r="O46757" t="str">
            <v/>
          </cell>
        </row>
        <row r="46758">
          <cell r="O46758" t="str">
            <v/>
          </cell>
        </row>
        <row r="46759">
          <cell r="O46759" t="str">
            <v/>
          </cell>
        </row>
        <row r="46760">
          <cell r="O46760" t="str">
            <v/>
          </cell>
        </row>
        <row r="46761">
          <cell r="O46761" t="str">
            <v/>
          </cell>
        </row>
        <row r="46762">
          <cell r="O46762" t="str">
            <v/>
          </cell>
        </row>
        <row r="46763">
          <cell r="O46763" t="str">
            <v/>
          </cell>
        </row>
        <row r="46764">
          <cell r="O46764" t="str">
            <v/>
          </cell>
        </row>
        <row r="46765">
          <cell r="O46765" t="str">
            <v/>
          </cell>
        </row>
        <row r="46766">
          <cell r="O46766" t="str">
            <v/>
          </cell>
        </row>
        <row r="46767">
          <cell r="O46767" t="str">
            <v/>
          </cell>
        </row>
        <row r="46768">
          <cell r="O46768" t="str">
            <v/>
          </cell>
        </row>
        <row r="46769">
          <cell r="O46769" t="str">
            <v/>
          </cell>
        </row>
        <row r="46770">
          <cell r="O46770" t="str">
            <v/>
          </cell>
        </row>
        <row r="46771">
          <cell r="O46771" t="str">
            <v/>
          </cell>
        </row>
        <row r="46772">
          <cell r="O46772" t="str">
            <v/>
          </cell>
        </row>
        <row r="46773">
          <cell r="O46773" t="str">
            <v/>
          </cell>
        </row>
        <row r="46774">
          <cell r="O46774" t="str">
            <v/>
          </cell>
        </row>
        <row r="46775">
          <cell r="O46775" t="str">
            <v/>
          </cell>
        </row>
        <row r="46776">
          <cell r="O46776" t="str">
            <v/>
          </cell>
        </row>
        <row r="46777">
          <cell r="O46777" t="str">
            <v/>
          </cell>
        </row>
        <row r="46778">
          <cell r="O46778" t="str">
            <v/>
          </cell>
        </row>
        <row r="46779">
          <cell r="O46779" t="str">
            <v/>
          </cell>
        </row>
        <row r="46780">
          <cell r="O46780" t="str">
            <v/>
          </cell>
        </row>
        <row r="46781">
          <cell r="O46781" t="str">
            <v/>
          </cell>
        </row>
        <row r="46782">
          <cell r="O46782" t="str">
            <v/>
          </cell>
        </row>
        <row r="46783">
          <cell r="O46783" t="str">
            <v/>
          </cell>
        </row>
        <row r="46784">
          <cell r="O46784" t="str">
            <v/>
          </cell>
        </row>
        <row r="46785">
          <cell r="O46785" t="str">
            <v/>
          </cell>
        </row>
        <row r="46786">
          <cell r="O46786" t="str">
            <v/>
          </cell>
        </row>
        <row r="46787">
          <cell r="O46787" t="str">
            <v/>
          </cell>
        </row>
        <row r="46788">
          <cell r="O46788" t="str">
            <v/>
          </cell>
        </row>
        <row r="46789">
          <cell r="O46789" t="str">
            <v/>
          </cell>
        </row>
        <row r="46790">
          <cell r="O46790" t="str">
            <v/>
          </cell>
        </row>
        <row r="46791">
          <cell r="O46791" t="str">
            <v/>
          </cell>
        </row>
        <row r="46792">
          <cell r="O46792" t="str">
            <v/>
          </cell>
        </row>
        <row r="46793">
          <cell r="O46793" t="str">
            <v/>
          </cell>
        </row>
        <row r="46794">
          <cell r="O46794" t="str">
            <v/>
          </cell>
        </row>
        <row r="46795">
          <cell r="O46795" t="str">
            <v/>
          </cell>
        </row>
        <row r="46796">
          <cell r="O46796" t="str">
            <v/>
          </cell>
        </row>
        <row r="46797">
          <cell r="O46797" t="str">
            <v/>
          </cell>
        </row>
        <row r="46798">
          <cell r="O46798" t="str">
            <v/>
          </cell>
        </row>
        <row r="46799">
          <cell r="O46799" t="str">
            <v/>
          </cell>
        </row>
        <row r="46800">
          <cell r="O46800" t="str">
            <v/>
          </cell>
        </row>
        <row r="46801">
          <cell r="O46801" t="str">
            <v/>
          </cell>
        </row>
        <row r="46802">
          <cell r="O46802" t="str">
            <v/>
          </cell>
        </row>
        <row r="46803">
          <cell r="O46803" t="str">
            <v/>
          </cell>
        </row>
        <row r="46804">
          <cell r="O46804" t="str">
            <v/>
          </cell>
        </row>
        <row r="46805">
          <cell r="O46805" t="str">
            <v/>
          </cell>
        </row>
        <row r="46806">
          <cell r="O46806" t="str">
            <v/>
          </cell>
        </row>
        <row r="46807">
          <cell r="O46807" t="str">
            <v/>
          </cell>
        </row>
        <row r="46808">
          <cell r="O46808" t="str">
            <v/>
          </cell>
        </row>
        <row r="46809">
          <cell r="O46809" t="str">
            <v/>
          </cell>
        </row>
        <row r="46810">
          <cell r="O46810" t="str">
            <v/>
          </cell>
        </row>
        <row r="46811">
          <cell r="O46811" t="str">
            <v/>
          </cell>
        </row>
        <row r="46812">
          <cell r="O46812" t="str">
            <v/>
          </cell>
        </row>
        <row r="46813">
          <cell r="O46813" t="str">
            <v/>
          </cell>
        </row>
        <row r="46814">
          <cell r="O46814" t="str">
            <v/>
          </cell>
        </row>
        <row r="46815">
          <cell r="O46815" t="str">
            <v/>
          </cell>
        </row>
        <row r="46816">
          <cell r="O46816" t="str">
            <v/>
          </cell>
        </row>
        <row r="46817">
          <cell r="O46817" t="str">
            <v/>
          </cell>
        </row>
        <row r="46818">
          <cell r="O46818" t="str">
            <v/>
          </cell>
        </row>
        <row r="46819">
          <cell r="O46819" t="str">
            <v/>
          </cell>
        </row>
        <row r="46820">
          <cell r="O46820" t="str">
            <v/>
          </cell>
        </row>
        <row r="46821">
          <cell r="O46821" t="str">
            <v/>
          </cell>
        </row>
        <row r="46822">
          <cell r="O46822" t="str">
            <v/>
          </cell>
        </row>
        <row r="46823">
          <cell r="O46823" t="str">
            <v/>
          </cell>
        </row>
        <row r="46824">
          <cell r="O46824" t="str">
            <v/>
          </cell>
        </row>
        <row r="46825">
          <cell r="O46825" t="str">
            <v/>
          </cell>
        </row>
        <row r="46826">
          <cell r="O46826" t="str">
            <v/>
          </cell>
        </row>
        <row r="46827">
          <cell r="O46827" t="str">
            <v/>
          </cell>
        </row>
        <row r="46828">
          <cell r="O46828" t="str">
            <v/>
          </cell>
        </row>
        <row r="46829">
          <cell r="O46829" t="str">
            <v/>
          </cell>
        </row>
        <row r="46830">
          <cell r="O46830" t="str">
            <v/>
          </cell>
        </row>
        <row r="46831">
          <cell r="O46831" t="str">
            <v/>
          </cell>
        </row>
        <row r="46832">
          <cell r="O46832" t="str">
            <v/>
          </cell>
        </row>
        <row r="46833">
          <cell r="O46833" t="str">
            <v/>
          </cell>
        </row>
        <row r="46834">
          <cell r="O46834" t="str">
            <v/>
          </cell>
        </row>
        <row r="46835">
          <cell r="O46835" t="str">
            <v/>
          </cell>
        </row>
        <row r="46836">
          <cell r="O46836" t="str">
            <v/>
          </cell>
        </row>
        <row r="46837">
          <cell r="O46837" t="str">
            <v/>
          </cell>
        </row>
        <row r="46838">
          <cell r="O46838" t="str">
            <v/>
          </cell>
        </row>
        <row r="46839">
          <cell r="O46839" t="str">
            <v/>
          </cell>
        </row>
        <row r="46840">
          <cell r="O46840" t="str">
            <v/>
          </cell>
        </row>
        <row r="46841">
          <cell r="O46841" t="str">
            <v/>
          </cell>
        </row>
        <row r="46842">
          <cell r="O46842" t="str">
            <v/>
          </cell>
        </row>
        <row r="46843">
          <cell r="O46843" t="str">
            <v/>
          </cell>
        </row>
        <row r="46844">
          <cell r="O46844" t="str">
            <v/>
          </cell>
        </row>
        <row r="46845">
          <cell r="O46845" t="str">
            <v/>
          </cell>
        </row>
        <row r="46846">
          <cell r="O46846" t="str">
            <v/>
          </cell>
        </row>
        <row r="46847">
          <cell r="O46847" t="str">
            <v/>
          </cell>
        </row>
        <row r="46848">
          <cell r="O46848" t="str">
            <v/>
          </cell>
        </row>
        <row r="46849">
          <cell r="O46849" t="str">
            <v/>
          </cell>
        </row>
        <row r="46850">
          <cell r="O46850" t="str">
            <v/>
          </cell>
        </row>
        <row r="46851">
          <cell r="O46851" t="str">
            <v/>
          </cell>
        </row>
        <row r="46852">
          <cell r="O46852" t="str">
            <v/>
          </cell>
        </row>
        <row r="46853">
          <cell r="O46853" t="str">
            <v/>
          </cell>
        </row>
        <row r="46854">
          <cell r="O46854" t="str">
            <v/>
          </cell>
        </row>
        <row r="46855">
          <cell r="O46855" t="str">
            <v/>
          </cell>
        </row>
        <row r="46856">
          <cell r="O46856" t="str">
            <v/>
          </cell>
        </row>
        <row r="46857">
          <cell r="O46857" t="str">
            <v/>
          </cell>
        </row>
        <row r="46858">
          <cell r="O46858" t="str">
            <v/>
          </cell>
        </row>
        <row r="46859">
          <cell r="O46859" t="str">
            <v/>
          </cell>
        </row>
        <row r="46860">
          <cell r="O46860" t="str">
            <v/>
          </cell>
        </row>
        <row r="46861">
          <cell r="O46861" t="str">
            <v/>
          </cell>
        </row>
        <row r="46862">
          <cell r="O46862" t="str">
            <v/>
          </cell>
        </row>
        <row r="46863">
          <cell r="O46863" t="str">
            <v/>
          </cell>
        </row>
        <row r="46864">
          <cell r="O46864" t="str">
            <v/>
          </cell>
        </row>
        <row r="46865">
          <cell r="O46865" t="str">
            <v/>
          </cell>
        </row>
        <row r="46866">
          <cell r="O46866" t="str">
            <v/>
          </cell>
        </row>
        <row r="46867">
          <cell r="O46867" t="str">
            <v/>
          </cell>
        </row>
        <row r="46868">
          <cell r="O46868" t="str">
            <v/>
          </cell>
        </row>
        <row r="46869">
          <cell r="O46869" t="str">
            <v/>
          </cell>
        </row>
        <row r="46870">
          <cell r="O46870" t="str">
            <v/>
          </cell>
        </row>
        <row r="46871">
          <cell r="O46871" t="str">
            <v/>
          </cell>
        </row>
        <row r="46872">
          <cell r="O46872" t="str">
            <v/>
          </cell>
        </row>
        <row r="46873">
          <cell r="O46873" t="str">
            <v/>
          </cell>
        </row>
        <row r="46874">
          <cell r="O46874" t="str">
            <v/>
          </cell>
        </row>
        <row r="46875">
          <cell r="O46875" t="str">
            <v/>
          </cell>
        </row>
        <row r="46876">
          <cell r="O46876" t="str">
            <v/>
          </cell>
        </row>
        <row r="46877">
          <cell r="O46877" t="str">
            <v/>
          </cell>
        </row>
        <row r="46878">
          <cell r="O46878" t="str">
            <v/>
          </cell>
        </row>
        <row r="46879">
          <cell r="O46879" t="str">
            <v/>
          </cell>
        </row>
        <row r="46880">
          <cell r="O46880" t="str">
            <v/>
          </cell>
        </row>
        <row r="46881">
          <cell r="O46881" t="str">
            <v/>
          </cell>
        </row>
        <row r="46882">
          <cell r="O46882" t="str">
            <v/>
          </cell>
        </row>
        <row r="46883">
          <cell r="O46883" t="str">
            <v/>
          </cell>
        </row>
        <row r="46884">
          <cell r="O46884" t="str">
            <v/>
          </cell>
        </row>
        <row r="46885">
          <cell r="O46885" t="str">
            <v/>
          </cell>
        </row>
        <row r="46886">
          <cell r="O46886" t="str">
            <v/>
          </cell>
        </row>
        <row r="46887">
          <cell r="O46887" t="str">
            <v/>
          </cell>
        </row>
        <row r="46888">
          <cell r="O46888" t="str">
            <v/>
          </cell>
        </row>
        <row r="46889">
          <cell r="O46889" t="str">
            <v/>
          </cell>
        </row>
        <row r="46890">
          <cell r="O46890" t="str">
            <v/>
          </cell>
        </row>
        <row r="46891">
          <cell r="O46891" t="str">
            <v/>
          </cell>
        </row>
        <row r="46892">
          <cell r="O46892" t="str">
            <v/>
          </cell>
        </row>
        <row r="46893">
          <cell r="O46893" t="str">
            <v/>
          </cell>
        </row>
        <row r="46894">
          <cell r="O46894" t="str">
            <v/>
          </cell>
        </row>
        <row r="46895">
          <cell r="O46895" t="str">
            <v/>
          </cell>
        </row>
        <row r="46896">
          <cell r="O46896" t="str">
            <v/>
          </cell>
        </row>
        <row r="46897">
          <cell r="O46897" t="str">
            <v/>
          </cell>
        </row>
        <row r="46898">
          <cell r="O46898" t="str">
            <v/>
          </cell>
        </row>
        <row r="46899">
          <cell r="O46899" t="str">
            <v/>
          </cell>
        </row>
        <row r="46900">
          <cell r="O46900" t="str">
            <v/>
          </cell>
        </row>
        <row r="46901">
          <cell r="O46901" t="str">
            <v/>
          </cell>
        </row>
        <row r="46902">
          <cell r="O46902" t="str">
            <v/>
          </cell>
        </row>
        <row r="46903">
          <cell r="O46903" t="str">
            <v/>
          </cell>
        </row>
        <row r="46904">
          <cell r="O46904" t="str">
            <v/>
          </cell>
        </row>
        <row r="46905">
          <cell r="O46905" t="str">
            <v/>
          </cell>
        </row>
        <row r="46906">
          <cell r="O46906" t="str">
            <v/>
          </cell>
        </row>
        <row r="46907">
          <cell r="O46907" t="str">
            <v/>
          </cell>
        </row>
        <row r="46908">
          <cell r="O46908" t="str">
            <v/>
          </cell>
        </row>
        <row r="46909">
          <cell r="O46909" t="str">
            <v/>
          </cell>
        </row>
        <row r="46910">
          <cell r="O46910" t="str">
            <v/>
          </cell>
        </row>
        <row r="46911">
          <cell r="O46911" t="str">
            <v/>
          </cell>
        </row>
        <row r="46912">
          <cell r="O46912" t="str">
            <v/>
          </cell>
        </row>
        <row r="46913">
          <cell r="O46913" t="str">
            <v/>
          </cell>
        </row>
        <row r="46914">
          <cell r="O46914" t="str">
            <v/>
          </cell>
        </row>
        <row r="46915">
          <cell r="O46915" t="str">
            <v/>
          </cell>
        </row>
        <row r="46916">
          <cell r="O46916" t="str">
            <v/>
          </cell>
        </row>
        <row r="46917">
          <cell r="O46917" t="str">
            <v/>
          </cell>
        </row>
        <row r="46918">
          <cell r="O46918" t="str">
            <v/>
          </cell>
        </row>
        <row r="46919">
          <cell r="O46919" t="str">
            <v/>
          </cell>
        </row>
        <row r="46920">
          <cell r="O46920" t="str">
            <v/>
          </cell>
        </row>
        <row r="46921">
          <cell r="O46921" t="str">
            <v/>
          </cell>
        </row>
        <row r="46922">
          <cell r="O46922" t="str">
            <v/>
          </cell>
        </row>
        <row r="46923">
          <cell r="O46923" t="str">
            <v/>
          </cell>
        </row>
        <row r="46924">
          <cell r="O46924" t="str">
            <v/>
          </cell>
        </row>
        <row r="46925">
          <cell r="O46925" t="str">
            <v/>
          </cell>
        </row>
        <row r="46926">
          <cell r="O46926" t="str">
            <v/>
          </cell>
        </row>
        <row r="46927">
          <cell r="O46927" t="str">
            <v/>
          </cell>
        </row>
        <row r="46928">
          <cell r="O46928" t="str">
            <v/>
          </cell>
        </row>
        <row r="46929">
          <cell r="O46929" t="str">
            <v/>
          </cell>
        </row>
        <row r="46930">
          <cell r="O46930" t="str">
            <v/>
          </cell>
        </row>
        <row r="46931">
          <cell r="O46931" t="str">
            <v/>
          </cell>
        </row>
        <row r="46932">
          <cell r="O46932" t="str">
            <v/>
          </cell>
        </row>
        <row r="46933">
          <cell r="O46933" t="str">
            <v/>
          </cell>
        </row>
        <row r="46934">
          <cell r="O46934" t="str">
            <v/>
          </cell>
        </row>
        <row r="46935">
          <cell r="O46935" t="str">
            <v/>
          </cell>
        </row>
        <row r="46936">
          <cell r="O46936" t="str">
            <v/>
          </cell>
        </row>
        <row r="46937">
          <cell r="O46937" t="str">
            <v/>
          </cell>
        </row>
        <row r="46938">
          <cell r="O46938" t="str">
            <v/>
          </cell>
        </row>
        <row r="46939">
          <cell r="O46939" t="str">
            <v/>
          </cell>
        </row>
        <row r="46940">
          <cell r="O46940" t="str">
            <v/>
          </cell>
        </row>
        <row r="46941">
          <cell r="O46941" t="str">
            <v/>
          </cell>
        </row>
        <row r="46942">
          <cell r="O46942" t="str">
            <v/>
          </cell>
        </row>
        <row r="46943">
          <cell r="O46943" t="str">
            <v/>
          </cell>
        </row>
        <row r="46944">
          <cell r="O46944" t="str">
            <v/>
          </cell>
        </row>
        <row r="46945">
          <cell r="O46945" t="str">
            <v/>
          </cell>
        </row>
        <row r="46946">
          <cell r="O46946" t="str">
            <v/>
          </cell>
        </row>
        <row r="46947">
          <cell r="O46947" t="str">
            <v/>
          </cell>
        </row>
        <row r="46948">
          <cell r="O46948" t="str">
            <v/>
          </cell>
        </row>
        <row r="46949">
          <cell r="O46949" t="str">
            <v/>
          </cell>
        </row>
        <row r="46950">
          <cell r="O46950" t="str">
            <v/>
          </cell>
        </row>
        <row r="46951">
          <cell r="O46951" t="str">
            <v/>
          </cell>
        </row>
        <row r="46952">
          <cell r="O46952" t="str">
            <v/>
          </cell>
        </row>
        <row r="46953">
          <cell r="O46953" t="str">
            <v/>
          </cell>
        </row>
        <row r="46954">
          <cell r="O46954" t="str">
            <v/>
          </cell>
        </row>
        <row r="46955">
          <cell r="O46955" t="str">
            <v/>
          </cell>
        </row>
        <row r="46956">
          <cell r="O46956" t="str">
            <v/>
          </cell>
        </row>
        <row r="46957">
          <cell r="O46957" t="str">
            <v/>
          </cell>
        </row>
        <row r="46958">
          <cell r="O46958" t="str">
            <v/>
          </cell>
        </row>
        <row r="46959">
          <cell r="O46959" t="str">
            <v/>
          </cell>
        </row>
        <row r="46960">
          <cell r="O46960" t="str">
            <v/>
          </cell>
        </row>
        <row r="46961">
          <cell r="O46961" t="str">
            <v/>
          </cell>
        </row>
        <row r="46962">
          <cell r="O46962" t="str">
            <v/>
          </cell>
        </row>
        <row r="46963">
          <cell r="O46963" t="str">
            <v/>
          </cell>
        </row>
        <row r="46964">
          <cell r="O46964" t="str">
            <v/>
          </cell>
        </row>
        <row r="46965">
          <cell r="O46965" t="str">
            <v/>
          </cell>
        </row>
        <row r="46966">
          <cell r="O46966" t="str">
            <v/>
          </cell>
        </row>
        <row r="46967">
          <cell r="O46967" t="str">
            <v/>
          </cell>
        </row>
        <row r="46968">
          <cell r="O46968" t="str">
            <v/>
          </cell>
        </row>
        <row r="46969">
          <cell r="O46969" t="str">
            <v/>
          </cell>
        </row>
        <row r="46970">
          <cell r="O46970" t="str">
            <v/>
          </cell>
        </row>
        <row r="46971">
          <cell r="O46971" t="str">
            <v/>
          </cell>
        </row>
        <row r="46972">
          <cell r="O46972" t="str">
            <v/>
          </cell>
        </row>
        <row r="46973">
          <cell r="O46973" t="str">
            <v/>
          </cell>
        </row>
        <row r="46974">
          <cell r="O46974" t="str">
            <v/>
          </cell>
        </row>
        <row r="46975">
          <cell r="O46975" t="str">
            <v/>
          </cell>
        </row>
        <row r="46976">
          <cell r="O46976" t="str">
            <v/>
          </cell>
        </row>
        <row r="46977">
          <cell r="O46977" t="str">
            <v/>
          </cell>
        </row>
        <row r="46978">
          <cell r="O46978" t="str">
            <v/>
          </cell>
        </row>
        <row r="46979">
          <cell r="O46979" t="str">
            <v/>
          </cell>
        </row>
        <row r="46980">
          <cell r="O46980" t="str">
            <v/>
          </cell>
        </row>
        <row r="46981">
          <cell r="O46981" t="str">
            <v/>
          </cell>
        </row>
        <row r="46982">
          <cell r="O46982" t="str">
            <v/>
          </cell>
        </row>
        <row r="46983">
          <cell r="O46983" t="str">
            <v/>
          </cell>
        </row>
        <row r="46984">
          <cell r="O46984" t="str">
            <v/>
          </cell>
        </row>
        <row r="46985">
          <cell r="O46985" t="str">
            <v/>
          </cell>
        </row>
        <row r="46986">
          <cell r="O46986" t="str">
            <v/>
          </cell>
        </row>
        <row r="46987">
          <cell r="O46987" t="str">
            <v/>
          </cell>
        </row>
        <row r="46988">
          <cell r="O46988" t="str">
            <v/>
          </cell>
        </row>
        <row r="46989">
          <cell r="O46989" t="str">
            <v/>
          </cell>
        </row>
        <row r="46990">
          <cell r="O46990" t="str">
            <v/>
          </cell>
        </row>
        <row r="46991">
          <cell r="O46991" t="str">
            <v/>
          </cell>
        </row>
        <row r="46992">
          <cell r="O46992" t="str">
            <v/>
          </cell>
        </row>
        <row r="46993">
          <cell r="O46993" t="str">
            <v/>
          </cell>
        </row>
        <row r="46994">
          <cell r="O46994" t="str">
            <v/>
          </cell>
        </row>
        <row r="46995">
          <cell r="O46995" t="str">
            <v/>
          </cell>
        </row>
        <row r="46996">
          <cell r="O46996" t="str">
            <v/>
          </cell>
        </row>
        <row r="46997">
          <cell r="O46997" t="str">
            <v/>
          </cell>
        </row>
        <row r="46998">
          <cell r="O46998" t="str">
            <v/>
          </cell>
        </row>
        <row r="46999">
          <cell r="O46999" t="str">
            <v/>
          </cell>
        </row>
        <row r="47000">
          <cell r="O47000" t="str">
            <v/>
          </cell>
        </row>
        <row r="47001">
          <cell r="O47001" t="str">
            <v/>
          </cell>
        </row>
        <row r="47002">
          <cell r="O47002" t="str">
            <v/>
          </cell>
        </row>
        <row r="47003">
          <cell r="O47003" t="str">
            <v/>
          </cell>
        </row>
        <row r="47004">
          <cell r="O47004" t="str">
            <v/>
          </cell>
        </row>
        <row r="47005">
          <cell r="O47005" t="str">
            <v/>
          </cell>
        </row>
        <row r="47006">
          <cell r="O47006" t="str">
            <v/>
          </cell>
        </row>
        <row r="47007">
          <cell r="O47007" t="str">
            <v/>
          </cell>
        </row>
        <row r="47008">
          <cell r="O47008" t="str">
            <v/>
          </cell>
        </row>
        <row r="47009">
          <cell r="O47009" t="str">
            <v/>
          </cell>
        </row>
        <row r="47010">
          <cell r="O47010" t="str">
            <v/>
          </cell>
        </row>
        <row r="47011">
          <cell r="O47011" t="str">
            <v/>
          </cell>
        </row>
        <row r="47012">
          <cell r="O47012" t="str">
            <v/>
          </cell>
        </row>
        <row r="47013">
          <cell r="O47013" t="str">
            <v/>
          </cell>
        </row>
        <row r="47014">
          <cell r="O47014" t="str">
            <v/>
          </cell>
        </row>
        <row r="47015">
          <cell r="O47015" t="str">
            <v/>
          </cell>
        </row>
        <row r="47016">
          <cell r="O47016" t="str">
            <v/>
          </cell>
        </row>
        <row r="47017">
          <cell r="O47017" t="str">
            <v/>
          </cell>
        </row>
        <row r="47018">
          <cell r="O47018" t="str">
            <v/>
          </cell>
        </row>
        <row r="47019">
          <cell r="O47019" t="str">
            <v/>
          </cell>
        </row>
        <row r="47020">
          <cell r="O47020" t="str">
            <v/>
          </cell>
        </row>
        <row r="47021">
          <cell r="O47021" t="str">
            <v/>
          </cell>
        </row>
        <row r="47022">
          <cell r="O47022" t="str">
            <v/>
          </cell>
        </row>
        <row r="47023">
          <cell r="O47023" t="str">
            <v/>
          </cell>
        </row>
        <row r="47024">
          <cell r="O47024" t="str">
            <v/>
          </cell>
        </row>
        <row r="47025">
          <cell r="O47025" t="str">
            <v/>
          </cell>
        </row>
        <row r="47026">
          <cell r="O47026" t="str">
            <v/>
          </cell>
        </row>
        <row r="47027">
          <cell r="O47027" t="str">
            <v/>
          </cell>
        </row>
        <row r="47028">
          <cell r="O47028" t="str">
            <v/>
          </cell>
        </row>
        <row r="47029">
          <cell r="O47029" t="str">
            <v/>
          </cell>
        </row>
        <row r="47030">
          <cell r="O47030" t="str">
            <v/>
          </cell>
        </row>
        <row r="47031">
          <cell r="O47031" t="str">
            <v/>
          </cell>
        </row>
        <row r="47032">
          <cell r="O47032" t="str">
            <v/>
          </cell>
        </row>
        <row r="47033">
          <cell r="O47033" t="str">
            <v/>
          </cell>
        </row>
        <row r="47034">
          <cell r="O47034" t="str">
            <v/>
          </cell>
        </row>
        <row r="47035">
          <cell r="O47035" t="str">
            <v/>
          </cell>
        </row>
        <row r="47036">
          <cell r="O47036" t="str">
            <v/>
          </cell>
        </row>
        <row r="47037">
          <cell r="O47037" t="str">
            <v/>
          </cell>
        </row>
        <row r="47038">
          <cell r="O47038" t="str">
            <v/>
          </cell>
        </row>
        <row r="47039">
          <cell r="O47039" t="str">
            <v/>
          </cell>
        </row>
        <row r="47040">
          <cell r="O47040" t="str">
            <v/>
          </cell>
        </row>
        <row r="47041">
          <cell r="O47041" t="str">
            <v/>
          </cell>
        </row>
        <row r="47042">
          <cell r="O47042" t="str">
            <v/>
          </cell>
        </row>
        <row r="47043">
          <cell r="O47043" t="str">
            <v/>
          </cell>
        </row>
        <row r="47044">
          <cell r="O47044" t="str">
            <v/>
          </cell>
        </row>
        <row r="47045">
          <cell r="O47045" t="str">
            <v/>
          </cell>
        </row>
        <row r="47046">
          <cell r="O47046" t="str">
            <v/>
          </cell>
        </row>
        <row r="47047">
          <cell r="O47047" t="str">
            <v/>
          </cell>
        </row>
        <row r="47048">
          <cell r="O47048" t="str">
            <v/>
          </cell>
        </row>
        <row r="47049">
          <cell r="O47049" t="str">
            <v/>
          </cell>
        </row>
        <row r="47050">
          <cell r="O47050" t="str">
            <v/>
          </cell>
        </row>
        <row r="47051">
          <cell r="O47051" t="str">
            <v/>
          </cell>
        </row>
        <row r="47052">
          <cell r="O47052" t="str">
            <v/>
          </cell>
        </row>
        <row r="47053">
          <cell r="O47053" t="str">
            <v/>
          </cell>
        </row>
        <row r="47054">
          <cell r="O47054" t="str">
            <v/>
          </cell>
        </row>
        <row r="47055">
          <cell r="O47055" t="str">
            <v/>
          </cell>
        </row>
        <row r="47056">
          <cell r="O47056" t="str">
            <v/>
          </cell>
        </row>
        <row r="47057">
          <cell r="O47057" t="str">
            <v/>
          </cell>
        </row>
        <row r="47058">
          <cell r="O47058" t="str">
            <v/>
          </cell>
        </row>
        <row r="47059">
          <cell r="O47059" t="str">
            <v/>
          </cell>
        </row>
        <row r="47060">
          <cell r="O47060" t="str">
            <v/>
          </cell>
        </row>
        <row r="47061">
          <cell r="O47061" t="str">
            <v/>
          </cell>
        </row>
        <row r="47062">
          <cell r="O47062" t="str">
            <v/>
          </cell>
        </row>
        <row r="47063">
          <cell r="O47063" t="str">
            <v/>
          </cell>
        </row>
        <row r="47064">
          <cell r="O47064" t="str">
            <v/>
          </cell>
        </row>
        <row r="47065">
          <cell r="O47065" t="str">
            <v/>
          </cell>
        </row>
        <row r="47066">
          <cell r="O47066" t="str">
            <v/>
          </cell>
        </row>
        <row r="47067">
          <cell r="O47067" t="str">
            <v/>
          </cell>
        </row>
        <row r="47068">
          <cell r="O47068" t="str">
            <v/>
          </cell>
        </row>
        <row r="47069">
          <cell r="O47069" t="str">
            <v/>
          </cell>
        </row>
        <row r="47070">
          <cell r="O47070" t="str">
            <v/>
          </cell>
        </row>
        <row r="47071">
          <cell r="O47071" t="str">
            <v/>
          </cell>
        </row>
        <row r="47072">
          <cell r="O47072" t="str">
            <v/>
          </cell>
        </row>
        <row r="47073">
          <cell r="O47073" t="str">
            <v/>
          </cell>
        </row>
        <row r="47074">
          <cell r="O47074" t="str">
            <v/>
          </cell>
        </row>
        <row r="47075">
          <cell r="O47075" t="str">
            <v/>
          </cell>
        </row>
        <row r="47076">
          <cell r="O47076" t="str">
            <v/>
          </cell>
        </row>
        <row r="47077">
          <cell r="O47077" t="str">
            <v/>
          </cell>
        </row>
        <row r="47078">
          <cell r="O47078" t="str">
            <v/>
          </cell>
        </row>
        <row r="47079">
          <cell r="O47079" t="str">
            <v/>
          </cell>
        </row>
        <row r="47080">
          <cell r="O47080" t="str">
            <v/>
          </cell>
        </row>
        <row r="47081">
          <cell r="O47081" t="str">
            <v/>
          </cell>
        </row>
        <row r="47082">
          <cell r="O47082" t="str">
            <v/>
          </cell>
        </row>
        <row r="47083">
          <cell r="O47083" t="str">
            <v/>
          </cell>
        </row>
        <row r="47084">
          <cell r="O47084" t="str">
            <v/>
          </cell>
        </row>
        <row r="47085">
          <cell r="O47085" t="str">
            <v/>
          </cell>
        </row>
        <row r="47086">
          <cell r="O47086" t="str">
            <v/>
          </cell>
        </row>
        <row r="47087">
          <cell r="O47087" t="str">
            <v/>
          </cell>
        </row>
        <row r="47088">
          <cell r="O47088" t="str">
            <v/>
          </cell>
        </row>
        <row r="47089">
          <cell r="O47089" t="str">
            <v/>
          </cell>
        </row>
        <row r="47090">
          <cell r="O47090" t="str">
            <v/>
          </cell>
        </row>
        <row r="47091">
          <cell r="O47091" t="str">
            <v/>
          </cell>
        </row>
        <row r="47092">
          <cell r="O47092" t="str">
            <v/>
          </cell>
        </row>
        <row r="47093">
          <cell r="O47093" t="str">
            <v/>
          </cell>
        </row>
        <row r="47094">
          <cell r="O47094" t="str">
            <v/>
          </cell>
        </row>
        <row r="47095">
          <cell r="O47095" t="str">
            <v/>
          </cell>
        </row>
        <row r="47096">
          <cell r="O47096" t="str">
            <v/>
          </cell>
        </row>
        <row r="47097">
          <cell r="O47097" t="str">
            <v/>
          </cell>
        </row>
        <row r="47098">
          <cell r="O47098" t="str">
            <v/>
          </cell>
        </row>
        <row r="47099">
          <cell r="O47099" t="str">
            <v/>
          </cell>
        </row>
        <row r="47100">
          <cell r="O47100" t="str">
            <v/>
          </cell>
        </row>
        <row r="47101">
          <cell r="O47101" t="str">
            <v/>
          </cell>
        </row>
        <row r="47102">
          <cell r="O47102" t="str">
            <v/>
          </cell>
        </row>
        <row r="47103">
          <cell r="O47103" t="str">
            <v/>
          </cell>
        </row>
        <row r="47104">
          <cell r="O47104" t="str">
            <v/>
          </cell>
        </row>
        <row r="47105">
          <cell r="O47105" t="str">
            <v/>
          </cell>
        </row>
        <row r="47106">
          <cell r="O47106" t="str">
            <v/>
          </cell>
        </row>
        <row r="47107">
          <cell r="O47107" t="str">
            <v/>
          </cell>
        </row>
        <row r="47108">
          <cell r="O47108" t="str">
            <v/>
          </cell>
        </row>
        <row r="47109">
          <cell r="O47109" t="str">
            <v/>
          </cell>
        </row>
        <row r="47110">
          <cell r="O47110" t="str">
            <v/>
          </cell>
        </row>
        <row r="47111">
          <cell r="O47111" t="str">
            <v/>
          </cell>
        </row>
        <row r="47112">
          <cell r="O47112" t="str">
            <v/>
          </cell>
        </row>
        <row r="47113">
          <cell r="O47113" t="str">
            <v/>
          </cell>
        </row>
        <row r="47114">
          <cell r="O47114" t="str">
            <v/>
          </cell>
        </row>
        <row r="47115">
          <cell r="O47115" t="str">
            <v/>
          </cell>
        </row>
        <row r="47116">
          <cell r="O47116" t="str">
            <v/>
          </cell>
        </row>
        <row r="47117">
          <cell r="O47117" t="str">
            <v/>
          </cell>
        </row>
        <row r="47118">
          <cell r="O47118" t="str">
            <v/>
          </cell>
        </row>
        <row r="47119">
          <cell r="O47119" t="str">
            <v/>
          </cell>
        </row>
        <row r="47120">
          <cell r="O47120" t="str">
            <v/>
          </cell>
        </row>
        <row r="47121">
          <cell r="O47121" t="str">
            <v/>
          </cell>
        </row>
        <row r="47122">
          <cell r="O47122" t="str">
            <v/>
          </cell>
        </row>
        <row r="47123">
          <cell r="O47123" t="str">
            <v/>
          </cell>
        </row>
        <row r="47124">
          <cell r="O47124" t="str">
            <v/>
          </cell>
        </row>
        <row r="47125">
          <cell r="O47125" t="str">
            <v/>
          </cell>
        </row>
        <row r="47126">
          <cell r="O47126" t="str">
            <v/>
          </cell>
        </row>
        <row r="47127">
          <cell r="O47127" t="str">
            <v/>
          </cell>
        </row>
        <row r="47128">
          <cell r="O47128" t="str">
            <v/>
          </cell>
        </row>
        <row r="47129">
          <cell r="O47129" t="str">
            <v/>
          </cell>
        </row>
        <row r="47130">
          <cell r="O47130" t="str">
            <v/>
          </cell>
        </row>
        <row r="47131">
          <cell r="O47131" t="str">
            <v/>
          </cell>
        </row>
        <row r="47132">
          <cell r="O47132" t="str">
            <v/>
          </cell>
        </row>
        <row r="47133">
          <cell r="O47133" t="str">
            <v/>
          </cell>
        </row>
        <row r="47134">
          <cell r="O47134" t="str">
            <v/>
          </cell>
        </row>
        <row r="47135">
          <cell r="O47135" t="str">
            <v/>
          </cell>
        </row>
        <row r="47136">
          <cell r="O47136" t="str">
            <v/>
          </cell>
        </row>
        <row r="47137">
          <cell r="O47137" t="str">
            <v/>
          </cell>
        </row>
        <row r="47138">
          <cell r="O47138" t="str">
            <v/>
          </cell>
        </row>
        <row r="47139">
          <cell r="O47139" t="str">
            <v/>
          </cell>
        </row>
        <row r="47140">
          <cell r="O47140" t="str">
            <v/>
          </cell>
        </row>
        <row r="47141">
          <cell r="O47141" t="str">
            <v/>
          </cell>
        </row>
        <row r="47142">
          <cell r="O47142" t="str">
            <v/>
          </cell>
        </row>
        <row r="47143">
          <cell r="O47143" t="str">
            <v/>
          </cell>
        </row>
        <row r="47144">
          <cell r="O47144" t="str">
            <v/>
          </cell>
        </row>
        <row r="47145">
          <cell r="O47145" t="str">
            <v/>
          </cell>
        </row>
        <row r="47146">
          <cell r="O47146" t="str">
            <v/>
          </cell>
        </row>
        <row r="47147">
          <cell r="O47147" t="str">
            <v/>
          </cell>
        </row>
        <row r="47148">
          <cell r="O47148" t="str">
            <v/>
          </cell>
        </row>
        <row r="47149">
          <cell r="O47149" t="str">
            <v/>
          </cell>
        </row>
        <row r="47150">
          <cell r="O47150" t="str">
            <v/>
          </cell>
        </row>
        <row r="47151">
          <cell r="O47151" t="str">
            <v/>
          </cell>
        </row>
        <row r="47152">
          <cell r="O47152" t="str">
            <v/>
          </cell>
        </row>
        <row r="47153">
          <cell r="O47153" t="str">
            <v/>
          </cell>
        </row>
        <row r="47154">
          <cell r="O47154" t="str">
            <v/>
          </cell>
        </row>
        <row r="47155">
          <cell r="O47155" t="str">
            <v/>
          </cell>
        </row>
        <row r="47156">
          <cell r="O47156" t="str">
            <v/>
          </cell>
        </row>
        <row r="47157">
          <cell r="O47157" t="str">
            <v/>
          </cell>
        </row>
        <row r="47158">
          <cell r="O47158" t="str">
            <v/>
          </cell>
        </row>
        <row r="47159">
          <cell r="O47159" t="str">
            <v/>
          </cell>
        </row>
        <row r="47160">
          <cell r="O47160" t="str">
            <v/>
          </cell>
        </row>
        <row r="47161">
          <cell r="O47161" t="str">
            <v/>
          </cell>
        </row>
        <row r="47162">
          <cell r="O47162" t="str">
            <v/>
          </cell>
        </row>
        <row r="47163">
          <cell r="O47163" t="str">
            <v/>
          </cell>
        </row>
        <row r="47164">
          <cell r="O47164" t="str">
            <v/>
          </cell>
        </row>
        <row r="47165">
          <cell r="O47165" t="str">
            <v/>
          </cell>
        </row>
        <row r="47166">
          <cell r="O47166" t="str">
            <v/>
          </cell>
        </row>
        <row r="47167">
          <cell r="O47167" t="str">
            <v/>
          </cell>
        </row>
        <row r="47168">
          <cell r="O47168" t="str">
            <v/>
          </cell>
        </row>
        <row r="47169">
          <cell r="O47169" t="str">
            <v/>
          </cell>
        </row>
        <row r="47170">
          <cell r="O47170" t="str">
            <v/>
          </cell>
        </row>
        <row r="47171">
          <cell r="O47171" t="str">
            <v/>
          </cell>
        </row>
        <row r="47172">
          <cell r="O47172" t="str">
            <v/>
          </cell>
        </row>
        <row r="47173">
          <cell r="O47173" t="str">
            <v/>
          </cell>
        </row>
        <row r="47174">
          <cell r="O47174" t="str">
            <v/>
          </cell>
        </row>
        <row r="47175">
          <cell r="O47175" t="str">
            <v/>
          </cell>
        </row>
        <row r="47176">
          <cell r="O47176" t="str">
            <v/>
          </cell>
        </row>
        <row r="47177">
          <cell r="O47177" t="str">
            <v/>
          </cell>
        </row>
        <row r="47178">
          <cell r="O47178" t="str">
            <v/>
          </cell>
        </row>
        <row r="47179">
          <cell r="O47179" t="str">
            <v/>
          </cell>
        </row>
        <row r="47180">
          <cell r="O47180" t="str">
            <v/>
          </cell>
        </row>
        <row r="47181">
          <cell r="O47181" t="str">
            <v/>
          </cell>
        </row>
        <row r="47182">
          <cell r="O47182" t="str">
            <v/>
          </cell>
        </row>
        <row r="47183">
          <cell r="O47183" t="str">
            <v/>
          </cell>
        </row>
        <row r="47184">
          <cell r="O47184" t="str">
            <v/>
          </cell>
        </row>
        <row r="47185">
          <cell r="O47185" t="str">
            <v/>
          </cell>
        </row>
        <row r="47186">
          <cell r="O47186" t="str">
            <v/>
          </cell>
        </row>
        <row r="47187">
          <cell r="O47187" t="str">
            <v/>
          </cell>
        </row>
        <row r="47188">
          <cell r="O47188" t="str">
            <v/>
          </cell>
        </row>
        <row r="47189">
          <cell r="O47189" t="str">
            <v/>
          </cell>
        </row>
        <row r="47190">
          <cell r="O47190" t="str">
            <v/>
          </cell>
        </row>
        <row r="47191">
          <cell r="O47191" t="str">
            <v/>
          </cell>
        </row>
        <row r="47192">
          <cell r="O47192" t="str">
            <v/>
          </cell>
        </row>
        <row r="47193">
          <cell r="O47193" t="str">
            <v/>
          </cell>
        </row>
        <row r="47194">
          <cell r="O47194" t="str">
            <v/>
          </cell>
        </row>
        <row r="47195">
          <cell r="O47195" t="str">
            <v/>
          </cell>
        </row>
        <row r="47196">
          <cell r="O47196" t="str">
            <v/>
          </cell>
        </row>
        <row r="47197">
          <cell r="O47197" t="str">
            <v/>
          </cell>
        </row>
        <row r="47198">
          <cell r="O47198" t="str">
            <v/>
          </cell>
        </row>
        <row r="47199">
          <cell r="O47199" t="str">
            <v/>
          </cell>
        </row>
        <row r="47200">
          <cell r="O47200" t="str">
            <v/>
          </cell>
        </row>
        <row r="47201">
          <cell r="O47201" t="str">
            <v/>
          </cell>
        </row>
        <row r="47202">
          <cell r="O47202" t="str">
            <v/>
          </cell>
        </row>
        <row r="47203">
          <cell r="O47203" t="str">
            <v/>
          </cell>
        </row>
        <row r="47204">
          <cell r="O47204" t="str">
            <v/>
          </cell>
        </row>
        <row r="47205">
          <cell r="O47205" t="str">
            <v/>
          </cell>
        </row>
        <row r="47206">
          <cell r="O47206" t="str">
            <v/>
          </cell>
        </row>
        <row r="47207">
          <cell r="O47207" t="str">
            <v/>
          </cell>
        </row>
        <row r="47208">
          <cell r="O47208" t="str">
            <v/>
          </cell>
        </row>
        <row r="47209">
          <cell r="O47209" t="str">
            <v/>
          </cell>
        </row>
        <row r="47210">
          <cell r="O47210" t="str">
            <v/>
          </cell>
        </row>
        <row r="47211">
          <cell r="O47211" t="str">
            <v/>
          </cell>
        </row>
        <row r="47212">
          <cell r="O47212" t="str">
            <v/>
          </cell>
        </row>
        <row r="47213">
          <cell r="O47213" t="str">
            <v/>
          </cell>
        </row>
        <row r="47214">
          <cell r="O47214" t="str">
            <v/>
          </cell>
        </row>
        <row r="47215">
          <cell r="O47215" t="str">
            <v/>
          </cell>
        </row>
        <row r="47216">
          <cell r="O47216" t="str">
            <v/>
          </cell>
        </row>
        <row r="47217">
          <cell r="O47217" t="str">
            <v/>
          </cell>
        </row>
        <row r="47218">
          <cell r="O47218" t="str">
            <v/>
          </cell>
        </row>
        <row r="47219">
          <cell r="O47219" t="str">
            <v/>
          </cell>
        </row>
        <row r="47220">
          <cell r="O47220" t="str">
            <v/>
          </cell>
        </row>
        <row r="47221">
          <cell r="O47221" t="str">
            <v/>
          </cell>
        </row>
        <row r="47222">
          <cell r="O47222" t="str">
            <v/>
          </cell>
        </row>
        <row r="47223">
          <cell r="O47223" t="str">
            <v/>
          </cell>
        </row>
        <row r="47224">
          <cell r="O47224" t="str">
            <v/>
          </cell>
        </row>
        <row r="47225">
          <cell r="O47225" t="str">
            <v/>
          </cell>
        </row>
        <row r="47226">
          <cell r="O47226" t="str">
            <v/>
          </cell>
        </row>
        <row r="47227">
          <cell r="O47227" t="str">
            <v/>
          </cell>
        </row>
        <row r="47228">
          <cell r="O47228" t="str">
            <v/>
          </cell>
        </row>
        <row r="47229">
          <cell r="O47229" t="str">
            <v/>
          </cell>
        </row>
        <row r="47230">
          <cell r="O47230" t="str">
            <v/>
          </cell>
        </row>
        <row r="47231">
          <cell r="O47231" t="str">
            <v/>
          </cell>
        </row>
        <row r="47232">
          <cell r="O47232" t="str">
            <v/>
          </cell>
        </row>
        <row r="47233">
          <cell r="O47233" t="str">
            <v/>
          </cell>
        </row>
        <row r="47234">
          <cell r="O47234" t="str">
            <v/>
          </cell>
        </row>
        <row r="47235">
          <cell r="O47235" t="str">
            <v/>
          </cell>
        </row>
        <row r="47236">
          <cell r="O47236" t="str">
            <v/>
          </cell>
        </row>
        <row r="47237">
          <cell r="O47237" t="str">
            <v/>
          </cell>
        </row>
        <row r="47238">
          <cell r="O47238" t="str">
            <v/>
          </cell>
        </row>
        <row r="47239">
          <cell r="O47239" t="str">
            <v/>
          </cell>
        </row>
        <row r="47240">
          <cell r="O47240" t="str">
            <v/>
          </cell>
        </row>
        <row r="47241">
          <cell r="O47241" t="str">
            <v/>
          </cell>
        </row>
        <row r="47242">
          <cell r="O47242" t="str">
            <v/>
          </cell>
        </row>
        <row r="47243">
          <cell r="O47243" t="str">
            <v/>
          </cell>
        </row>
        <row r="47244">
          <cell r="O47244" t="str">
            <v/>
          </cell>
        </row>
        <row r="47245">
          <cell r="O47245" t="str">
            <v/>
          </cell>
        </row>
        <row r="47246">
          <cell r="O47246" t="str">
            <v/>
          </cell>
        </row>
        <row r="47247">
          <cell r="O47247" t="str">
            <v/>
          </cell>
        </row>
        <row r="47248">
          <cell r="O47248" t="str">
            <v/>
          </cell>
        </row>
        <row r="47249">
          <cell r="O47249" t="str">
            <v/>
          </cell>
        </row>
        <row r="47250">
          <cell r="O47250" t="str">
            <v/>
          </cell>
        </row>
        <row r="47251">
          <cell r="O47251" t="str">
            <v/>
          </cell>
        </row>
        <row r="47252">
          <cell r="O47252" t="str">
            <v/>
          </cell>
        </row>
        <row r="47253">
          <cell r="O47253" t="str">
            <v/>
          </cell>
        </row>
        <row r="47254">
          <cell r="O47254" t="str">
            <v/>
          </cell>
        </row>
        <row r="47255">
          <cell r="O47255" t="str">
            <v/>
          </cell>
        </row>
        <row r="47256">
          <cell r="O47256" t="str">
            <v/>
          </cell>
        </row>
        <row r="47257">
          <cell r="O47257" t="str">
            <v/>
          </cell>
        </row>
        <row r="47258">
          <cell r="O47258" t="str">
            <v/>
          </cell>
        </row>
        <row r="47259">
          <cell r="O47259" t="str">
            <v/>
          </cell>
        </row>
        <row r="47260">
          <cell r="O47260" t="str">
            <v/>
          </cell>
        </row>
        <row r="47261">
          <cell r="O47261" t="str">
            <v/>
          </cell>
        </row>
        <row r="47262">
          <cell r="O47262" t="str">
            <v/>
          </cell>
        </row>
        <row r="47263">
          <cell r="O47263" t="str">
            <v/>
          </cell>
        </row>
        <row r="47264">
          <cell r="O47264" t="str">
            <v/>
          </cell>
        </row>
        <row r="47265">
          <cell r="O47265" t="str">
            <v/>
          </cell>
        </row>
        <row r="47266">
          <cell r="O47266" t="str">
            <v/>
          </cell>
        </row>
        <row r="47267">
          <cell r="O47267" t="str">
            <v/>
          </cell>
        </row>
        <row r="47268">
          <cell r="O47268" t="str">
            <v/>
          </cell>
        </row>
        <row r="47269">
          <cell r="O47269" t="str">
            <v/>
          </cell>
        </row>
        <row r="47270">
          <cell r="O47270" t="str">
            <v/>
          </cell>
        </row>
        <row r="47271">
          <cell r="O47271" t="str">
            <v/>
          </cell>
        </row>
        <row r="47272">
          <cell r="O47272" t="str">
            <v/>
          </cell>
        </row>
        <row r="47273">
          <cell r="O47273" t="str">
            <v/>
          </cell>
        </row>
        <row r="47274">
          <cell r="O47274" t="str">
            <v/>
          </cell>
        </row>
        <row r="47275">
          <cell r="O47275" t="str">
            <v/>
          </cell>
        </row>
        <row r="47276">
          <cell r="O47276" t="str">
            <v/>
          </cell>
        </row>
        <row r="47277">
          <cell r="O47277" t="str">
            <v/>
          </cell>
        </row>
        <row r="47278">
          <cell r="O47278" t="str">
            <v/>
          </cell>
        </row>
        <row r="47279">
          <cell r="O47279" t="str">
            <v/>
          </cell>
        </row>
        <row r="47280">
          <cell r="O47280" t="str">
            <v/>
          </cell>
        </row>
        <row r="47281">
          <cell r="O47281" t="str">
            <v/>
          </cell>
        </row>
        <row r="47282">
          <cell r="O47282" t="str">
            <v/>
          </cell>
        </row>
        <row r="47283">
          <cell r="O47283" t="str">
            <v/>
          </cell>
        </row>
        <row r="47284">
          <cell r="O47284" t="str">
            <v/>
          </cell>
        </row>
        <row r="47285">
          <cell r="O47285" t="str">
            <v/>
          </cell>
        </row>
        <row r="47286">
          <cell r="O47286" t="str">
            <v/>
          </cell>
        </row>
        <row r="47287">
          <cell r="O47287" t="str">
            <v/>
          </cell>
        </row>
        <row r="47288">
          <cell r="O47288" t="str">
            <v/>
          </cell>
        </row>
        <row r="47289">
          <cell r="O47289" t="str">
            <v/>
          </cell>
        </row>
        <row r="47290">
          <cell r="O47290" t="str">
            <v/>
          </cell>
        </row>
        <row r="47291">
          <cell r="O47291" t="str">
            <v/>
          </cell>
        </row>
        <row r="47292">
          <cell r="O47292" t="str">
            <v/>
          </cell>
        </row>
        <row r="47293">
          <cell r="O47293" t="str">
            <v/>
          </cell>
        </row>
        <row r="47294">
          <cell r="O47294" t="str">
            <v/>
          </cell>
        </row>
        <row r="47295">
          <cell r="O47295" t="str">
            <v/>
          </cell>
        </row>
        <row r="47296">
          <cell r="O47296" t="str">
            <v/>
          </cell>
        </row>
        <row r="47297">
          <cell r="O47297" t="str">
            <v/>
          </cell>
        </row>
        <row r="47298">
          <cell r="O47298" t="str">
            <v/>
          </cell>
        </row>
        <row r="47299">
          <cell r="O47299" t="str">
            <v/>
          </cell>
        </row>
        <row r="47300">
          <cell r="O47300" t="str">
            <v/>
          </cell>
        </row>
        <row r="47301">
          <cell r="O47301" t="str">
            <v/>
          </cell>
        </row>
        <row r="47302">
          <cell r="O47302" t="str">
            <v/>
          </cell>
        </row>
        <row r="47303">
          <cell r="O47303" t="str">
            <v/>
          </cell>
        </row>
        <row r="47304">
          <cell r="O47304" t="str">
            <v/>
          </cell>
        </row>
        <row r="47305">
          <cell r="O47305" t="str">
            <v/>
          </cell>
        </row>
        <row r="47306">
          <cell r="O47306" t="str">
            <v/>
          </cell>
        </row>
        <row r="47307">
          <cell r="O47307" t="str">
            <v/>
          </cell>
        </row>
        <row r="47308">
          <cell r="O47308" t="str">
            <v/>
          </cell>
        </row>
        <row r="47309">
          <cell r="O47309" t="str">
            <v/>
          </cell>
        </row>
        <row r="47310">
          <cell r="O47310" t="str">
            <v/>
          </cell>
        </row>
        <row r="47311">
          <cell r="O47311" t="str">
            <v/>
          </cell>
        </row>
        <row r="47312">
          <cell r="O47312" t="str">
            <v/>
          </cell>
        </row>
        <row r="47313">
          <cell r="O47313" t="str">
            <v/>
          </cell>
        </row>
        <row r="47314">
          <cell r="O47314" t="str">
            <v/>
          </cell>
        </row>
        <row r="47315">
          <cell r="O47315" t="str">
            <v/>
          </cell>
        </row>
        <row r="47316">
          <cell r="O47316" t="str">
            <v/>
          </cell>
        </row>
        <row r="47317">
          <cell r="O47317" t="str">
            <v/>
          </cell>
        </row>
        <row r="47318">
          <cell r="O47318" t="str">
            <v/>
          </cell>
        </row>
        <row r="47319">
          <cell r="O47319" t="str">
            <v/>
          </cell>
        </row>
        <row r="47320">
          <cell r="O47320" t="str">
            <v/>
          </cell>
        </row>
        <row r="47321">
          <cell r="O47321" t="str">
            <v/>
          </cell>
        </row>
        <row r="47322">
          <cell r="O47322" t="str">
            <v/>
          </cell>
        </row>
        <row r="47323">
          <cell r="O47323" t="str">
            <v/>
          </cell>
        </row>
        <row r="47324">
          <cell r="O47324" t="str">
            <v/>
          </cell>
        </row>
        <row r="47325">
          <cell r="O47325" t="str">
            <v/>
          </cell>
        </row>
        <row r="47326">
          <cell r="O47326" t="str">
            <v/>
          </cell>
        </row>
        <row r="47327">
          <cell r="O47327" t="str">
            <v/>
          </cell>
        </row>
        <row r="47328">
          <cell r="O47328" t="str">
            <v/>
          </cell>
        </row>
        <row r="47329">
          <cell r="O47329" t="str">
            <v/>
          </cell>
        </row>
        <row r="47330">
          <cell r="O47330" t="str">
            <v/>
          </cell>
        </row>
        <row r="47331">
          <cell r="O47331" t="str">
            <v/>
          </cell>
        </row>
        <row r="47332">
          <cell r="O47332" t="str">
            <v/>
          </cell>
        </row>
        <row r="47333">
          <cell r="O47333" t="str">
            <v/>
          </cell>
        </row>
        <row r="47334">
          <cell r="O47334" t="str">
            <v/>
          </cell>
        </row>
        <row r="47335">
          <cell r="O47335" t="str">
            <v/>
          </cell>
        </row>
        <row r="47336">
          <cell r="O47336" t="str">
            <v/>
          </cell>
        </row>
        <row r="47337">
          <cell r="O47337" t="str">
            <v/>
          </cell>
        </row>
        <row r="47338">
          <cell r="O47338" t="str">
            <v/>
          </cell>
        </row>
        <row r="47339">
          <cell r="O47339" t="str">
            <v/>
          </cell>
        </row>
        <row r="47340">
          <cell r="O47340" t="str">
            <v/>
          </cell>
        </row>
        <row r="47341">
          <cell r="O47341" t="str">
            <v/>
          </cell>
        </row>
        <row r="47342">
          <cell r="O47342" t="str">
            <v/>
          </cell>
        </row>
        <row r="47343">
          <cell r="O47343" t="str">
            <v/>
          </cell>
        </row>
        <row r="47344">
          <cell r="O47344" t="str">
            <v/>
          </cell>
        </row>
        <row r="47345">
          <cell r="O47345" t="str">
            <v/>
          </cell>
        </row>
        <row r="47346">
          <cell r="O47346" t="str">
            <v/>
          </cell>
        </row>
        <row r="47347">
          <cell r="O47347" t="str">
            <v/>
          </cell>
        </row>
        <row r="47348">
          <cell r="O47348" t="str">
            <v/>
          </cell>
        </row>
        <row r="47349">
          <cell r="O47349" t="str">
            <v/>
          </cell>
        </row>
        <row r="47350">
          <cell r="O47350" t="str">
            <v/>
          </cell>
        </row>
        <row r="47351">
          <cell r="O47351" t="str">
            <v/>
          </cell>
        </row>
        <row r="47352">
          <cell r="O47352" t="str">
            <v/>
          </cell>
        </row>
        <row r="47353">
          <cell r="O47353" t="str">
            <v/>
          </cell>
        </row>
        <row r="47354">
          <cell r="O47354" t="str">
            <v/>
          </cell>
        </row>
        <row r="47355">
          <cell r="O47355" t="str">
            <v/>
          </cell>
        </row>
        <row r="47356">
          <cell r="O47356" t="str">
            <v/>
          </cell>
        </row>
        <row r="47357">
          <cell r="O47357" t="str">
            <v/>
          </cell>
        </row>
        <row r="47358">
          <cell r="O47358" t="str">
            <v/>
          </cell>
        </row>
        <row r="47359">
          <cell r="O47359" t="str">
            <v/>
          </cell>
        </row>
        <row r="47360">
          <cell r="O47360" t="str">
            <v/>
          </cell>
        </row>
        <row r="47361">
          <cell r="O47361" t="str">
            <v/>
          </cell>
        </row>
        <row r="47362">
          <cell r="O47362" t="str">
            <v/>
          </cell>
        </row>
        <row r="47363">
          <cell r="O47363" t="str">
            <v/>
          </cell>
        </row>
        <row r="47364">
          <cell r="O47364" t="str">
            <v/>
          </cell>
        </row>
        <row r="47365">
          <cell r="O47365" t="str">
            <v/>
          </cell>
        </row>
        <row r="47366">
          <cell r="O47366" t="str">
            <v/>
          </cell>
        </row>
        <row r="47367">
          <cell r="O47367" t="str">
            <v/>
          </cell>
        </row>
        <row r="47368">
          <cell r="O47368" t="str">
            <v/>
          </cell>
        </row>
        <row r="47369">
          <cell r="O47369" t="str">
            <v/>
          </cell>
        </row>
        <row r="47370">
          <cell r="O47370" t="str">
            <v/>
          </cell>
        </row>
        <row r="47371">
          <cell r="O47371" t="str">
            <v/>
          </cell>
        </row>
        <row r="47372">
          <cell r="O47372" t="str">
            <v/>
          </cell>
        </row>
        <row r="47373">
          <cell r="O47373" t="str">
            <v/>
          </cell>
        </row>
        <row r="47374">
          <cell r="O47374" t="str">
            <v/>
          </cell>
        </row>
        <row r="47375">
          <cell r="O47375" t="str">
            <v/>
          </cell>
        </row>
        <row r="47376">
          <cell r="O47376" t="str">
            <v/>
          </cell>
        </row>
        <row r="47377">
          <cell r="O47377" t="str">
            <v/>
          </cell>
        </row>
        <row r="47378">
          <cell r="O47378" t="str">
            <v/>
          </cell>
        </row>
        <row r="47379">
          <cell r="O47379" t="str">
            <v/>
          </cell>
        </row>
        <row r="47380">
          <cell r="O47380" t="str">
            <v/>
          </cell>
        </row>
        <row r="47381">
          <cell r="O47381" t="str">
            <v/>
          </cell>
        </row>
        <row r="47382">
          <cell r="O47382" t="str">
            <v/>
          </cell>
        </row>
        <row r="47383">
          <cell r="O47383" t="str">
            <v/>
          </cell>
        </row>
        <row r="47384">
          <cell r="O47384" t="str">
            <v/>
          </cell>
        </row>
        <row r="47385">
          <cell r="O47385" t="str">
            <v/>
          </cell>
        </row>
        <row r="47386">
          <cell r="O47386" t="str">
            <v/>
          </cell>
        </row>
        <row r="47387">
          <cell r="O47387" t="str">
            <v/>
          </cell>
        </row>
        <row r="47388">
          <cell r="O47388" t="str">
            <v/>
          </cell>
        </row>
        <row r="47389">
          <cell r="O47389" t="str">
            <v/>
          </cell>
        </row>
        <row r="47390">
          <cell r="O47390" t="str">
            <v/>
          </cell>
        </row>
        <row r="47391">
          <cell r="O47391" t="str">
            <v/>
          </cell>
        </row>
        <row r="47392">
          <cell r="O47392" t="str">
            <v/>
          </cell>
        </row>
        <row r="47393">
          <cell r="O47393" t="str">
            <v/>
          </cell>
        </row>
        <row r="47394">
          <cell r="O47394" t="str">
            <v/>
          </cell>
        </row>
        <row r="47395">
          <cell r="O47395" t="str">
            <v/>
          </cell>
        </row>
        <row r="47396">
          <cell r="O47396" t="str">
            <v/>
          </cell>
        </row>
        <row r="47397">
          <cell r="O47397" t="str">
            <v/>
          </cell>
        </row>
        <row r="47398">
          <cell r="O47398" t="str">
            <v/>
          </cell>
        </row>
        <row r="47399">
          <cell r="O47399" t="str">
            <v/>
          </cell>
        </row>
        <row r="47400">
          <cell r="O47400" t="str">
            <v/>
          </cell>
        </row>
        <row r="47401">
          <cell r="O47401" t="str">
            <v/>
          </cell>
        </row>
        <row r="47402">
          <cell r="O47402" t="str">
            <v/>
          </cell>
        </row>
        <row r="47403">
          <cell r="O47403" t="str">
            <v/>
          </cell>
        </row>
        <row r="47404">
          <cell r="O47404" t="str">
            <v/>
          </cell>
        </row>
        <row r="47405">
          <cell r="O47405" t="str">
            <v/>
          </cell>
        </row>
        <row r="47406">
          <cell r="O47406" t="str">
            <v/>
          </cell>
        </row>
        <row r="47407">
          <cell r="O47407" t="str">
            <v/>
          </cell>
        </row>
        <row r="47408">
          <cell r="O47408" t="str">
            <v/>
          </cell>
        </row>
        <row r="47409">
          <cell r="O47409" t="str">
            <v/>
          </cell>
        </row>
        <row r="47410">
          <cell r="O47410" t="str">
            <v/>
          </cell>
        </row>
        <row r="47411">
          <cell r="O47411" t="str">
            <v/>
          </cell>
        </row>
        <row r="47412">
          <cell r="O47412" t="str">
            <v/>
          </cell>
        </row>
        <row r="47413">
          <cell r="O47413" t="str">
            <v/>
          </cell>
        </row>
        <row r="47414">
          <cell r="O47414" t="str">
            <v/>
          </cell>
        </row>
        <row r="47415">
          <cell r="O47415" t="str">
            <v/>
          </cell>
        </row>
        <row r="47416">
          <cell r="O47416" t="str">
            <v/>
          </cell>
        </row>
        <row r="47417">
          <cell r="O47417" t="str">
            <v/>
          </cell>
        </row>
        <row r="47418">
          <cell r="O47418" t="str">
            <v/>
          </cell>
        </row>
        <row r="47419">
          <cell r="O47419" t="str">
            <v/>
          </cell>
        </row>
        <row r="47420">
          <cell r="O47420" t="str">
            <v/>
          </cell>
        </row>
        <row r="47421">
          <cell r="O47421" t="str">
            <v/>
          </cell>
        </row>
        <row r="47422">
          <cell r="O47422" t="str">
            <v/>
          </cell>
        </row>
        <row r="47423">
          <cell r="O47423" t="str">
            <v/>
          </cell>
        </row>
        <row r="47424">
          <cell r="O47424" t="str">
            <v/>
          </cell>
        </row>
        <row r="47425">
          <cell r="O47425" t="str">
            <v/>
          </cell>
        </row>
        <row r="47426">
          <cell r="O47426" t="str">
            <v/>
          </cell>
        </row>
        <row r="47427">
          <cell r="O47427" t="str">
            <v/>
          </cell>
        </row>
        <row r="47428">
          <cell r="O47428" t="str">
            <v/>
          </cell>
        </row>
        <row r="47429">
          <cell r="O47429" t="str">
            <v/>
          </cell>
        </row>
        <row r="47430">
          <cell r="O47430" t="str">
            <v/>
          </cell>
        </row>
        <row r="47431">
          <cell r="O47431" t="str">
            <v/>
          </cell>
        </row>
        <row r="47432">
          <cell r="O47432" t="str">
            <v/>
          </cell>
        </row>
        <row r="47433">
          <cell r="O47433" t="str">
            <v/>
          </cell>
        </row>
        <row r="47434">
          <cell r="O47434" t="str">
            <v/>
          </cell>
        </row>
        <row r="47435">
          <cell r="O47435" t="str">
            <v/>
          </cell>
        </row>
        <row r="47436">
          <cell r="O47436" t="str">
            <v/>
          </cell>
        </row>
        <row r="47437">
          <cell r="O47437" t="str">
            <v/>
          </cell>
        </row>
        <row r="47438">
          <cell r="O47438" t="str">
            <v/>
          </cell>
        </row>
        <row r="47439">
          <cell r="O47439" t="str">
            <v/>
          </cell>
        </row>
        <row r="47440">
          <cell r="O47440" t="str">
            <v/>
          </cell>
        </row>
        <row r="47441">
          <cell r="O47441" t="str">
            <v/>
          </cell>
        </row>
        <row r="47442">
          <cell r="O47442" t="str">
            <v/>
          </cell>
        </row>
        <row r="47443">
          <cell r="O47443" t="str">
            <v/>
          </cell>
        </row>
        <row r="47444">
          <cell r="O47444" t="str">
            <v/>
          </cell>
        </row>
        <row r="47445">
          <cell r="O47445" t="str">
            <v/>
          </cell>
        </row>
        <row r="47446">
          <cell r="O47446" t="str">
            <v/>
          </cell>
        </row>
        <row r="47447">
          <cell r="O47447" t="str">
            <v/>
          </cell>
        </row>
        <row r="47448">
          <cell r="O47448" t="str">
            <v/>
          </cell>
        </row>
        <row r="47449">
          <cell r="O47449" t="str">
            <v/>
          </cell>
        </row>
        <row r="47450">
          <cell r="O47450" t="str">
            <v/>
          </cell>
        </row>
        <row r="47451">
          <cell r="O47451" t="str">
            <v/>
          </cell>
        </row>
        <row r="47452">
          <cell r="O47452" t="str">
            <v/>
          </cell>
        </row>
        <row r="47453">
          <cell r="O47453" t="str">
            <v/>
          </cell>
        </row>
        <row r="47454">
          <cell r="O47454" t="str">
            <v/>
          </cell>
        </row>
        <row r="47455">
          <cell r="O47455" t="str">
            <v/>
          </cell>
        </row>
        <row r="47456">
          <cell r="O47456" t="str">
            <v/>
          </cell>
        </row>
        <row r="47457">
          <cell r="O47457" t="str">
            <v/>
          </cell>
        </row>
        <row r="47458">
          <cell r="O47458" t="str">
            <v/>
          </cell>
        </row>
        <row r="47459">
          <cell r="O47459" t="str">
            <v/>
          </cell>
        </row>
        <row r="47460">
          <cell r="O47460" t="str">
            <v/>
          </cell>
        </row>
        <row r="47461">
          <cell r="O47461" t="str">
            <v/>
          </cell>
        </row>
        <row r="47462">
          <cell r="O47462" t="str">
            <v/>
          </cell>
        </row>
        <row r="47463">
          <cell r="O47463" t="str">
            <v/>
          </cell>
        </row>
        <row r="47464">
          <cell r="O47464" t="str">
            <v/>
          </cell>
        </row>
        <row r="47465">
          <cell r="O47465" t="str">
            <v/>
          </cell>
        </row>
        <row r="47466">
          <cell r="O47466" t="str">
            <v/>
          </cell>
        </row>
        <row r="47467">
          <cell r="O47467" t="str">
            <v/>
          </cell>
        </row>
        <row r="47468">
          <cell r="O47468" t="str">
            <v/>
          </cell>
        </row>
        <row r="47469">
          <cell r="O47469" t="str">
            <v/>
          </cell>
        </row>
        <row r="47470">
          <cell r="O47470" t="str">
            <v/>
          </cell>
        </row>
        <row r="47471">
          <cell r="O47471" t="str">
            <v/>
          </cell>
        </row>
        <row r="47472">
          <cell r="O47472" t="str">
            <v/>
          </cell>
        </row>
        <row r="47473">
          <cell r="O47473" t="str">
            <v/>
          </cell>
        </row>
        <row r="47474">
          <cell r="O47474" t="str">
            <v/>
          </cell>
        </row>
        <row r="47475">
          <cell r="O47475" t="str">
            <v/>
          </cell>
        </row>
        <row r="47476">
          <cell r="O47476" t="str">
            <v/>
          </cell>
        </row>
        <row r="47477">
          <cell r="O47477" t="str">
            <v/>
          </cell>
        </row>
        <row r="47478">
          <cell r="O47478" t="str">
            <v/>
          </cell>
        </row>
        <row r="47479">
          <cell r="O47479" t="str">
            <v/>
          </cell>
        </row>
        <row r="47480">
          <cell r="O47480" t="str">
            <v/>
          </cell>
        </row>
        <row r="47481">
          <cell r="O47481" t="str">
            <v/>
          </cell>
        </row>
        <row r="47482">
          <cell r="O47482" t="str">
            <v/>
          </cell>
        </row>
        <row r="47483">
          <cell r="O47483" t="str">
            <v/>
          </cell>
        </row>
        <row r="47484">
          <cell r="O47484" t="str">
            <v/>
          </cell>
        </row>
        <row r="47485">
          <cell r="O47485" t="str">
            <v/>
          </cell>
        </row>
        <row r="47486">
          <cell r="O47486" t="str">
            <v/>
          </cell>
        </row>
        <row r="47487">
          <cell r="O47487" t="str">
            <v/>
          </cell>
        </row>
        <row r="47488">
          <cell r="O47488" t="str">
            <v/>
          </cell>
        </row>
        <row r="47489">
          <cell r="O47489" t="str">
            <v/>
          </cell>
        </row>
        <row r="47490">
          <cell r="O47490" t="str">
            <v/>
          </cell>
        </row>
        <row r="47491">
          <cell r="O47491" t="str">
            <v/>
          </cell>
        </row>
        <row r="47492">
          <cell r="O47492" t="str">
            <v/>
          </cell>
        </row>
        <row r="47493">
          <cell r="O47493" t="str">
            <v/>
          </cell>
        </row>
        <row r="47494">
          <cell r="O47494" t="str">
            <v/>
          </cell>
        </row>
        <row r="47495">
          <cell r="O47495" t="str">
            <v/>
          </cell>
        </row>
        <row r="47496">
          <cell r="O47496" t="str">
            <v/>
          </cell>
        </row>
        <row r="47497">
          <cell r="O47497" t="str">
            <v/>
          </cell>
        </row>
        <row r="47498">
          <cell r="O47498" t="str">
            <v/>
          </cell>
        </row>
        <row r="47499">
          <cell r="O47499" t="str">
            <v/>
          </cell>
        </row>
        <row r="47500">
          <cell r="O47500" t="str">
            <v/>
          </cell>
        </row>
        <row r="47501">
          <cell r="O47501" t="str">
            <v/>
          </cell>
        </row>
        <row r="47502">
          <cell r="O47502" t="str">
            <v/>
          </cell>
        </row>
        <row r="47503">
          <cell r="O47503" t="str">
            <v/>
          </cell>
        </row>
        <row r="47504">
          <cell r="O47504" t="str">
            <v/>
          </cell>
        </row>
        <row r="47505">
          <cell r="O47505" t="str">
            <v/>
          </cell>
        </row>
        <row r="47506">
          <cell r="O47506" t="str">
            <v/>
          </cell>
        </row>
        <row r="47507">
          <cell r="O47507" t="str">
            <v/>
          </cell>
        </row>
        <row r="47508">
          <cell r="O47508" t="str">
            <v/>
          </cell>
        </row>
        <row r="47509">
          <cell r="O47509" t="str">
            <v/>
          </cell>
        </row>
        <row r="47510">
          <cell r="O47510" t="str">
            <v/>
          </cell>
        </row>
        <row r="47511">
          <cell r="O47511" t="str">
            <v/>
          </cell>
        </row>
        <row r="47512">
          <cell r="O47512" t="str">
            <v/>
          </cell>
        </row>
        <row r="47513">
          <cell r="O47513" t="str">
            <v/>
          </cell>
        </row>
        <row r="47514">
          <cell r="O47514" t="str">
            <v/>
          </cell>
        </row>
        <row r="47515">
          <cell r="O47515" t="str">
            <v/>
          </cell>
        </row>
        <row r="47516">
          <cell r="O47516" t="str">
            <v/>
          </cell>
        </row>
        <row r="47517">
          <cell r="O47517" t="str">
            <v/>
          </cell>
        </row>
        <row r="47518">
          <cell r="O47518" t="str">
            <v/>
          </cell>
        </row>
        <row r="47519">
          <cell r="O47519" t="str">
            <v/>
          </cell>
        </row>
        <row r="47520">
          <cell r="O47520" t="str">
            <v/>
          </cell>
        </row>
        <row r="47521">
          <cell r="O47521" t="str">
            <v/>
          </cell>
        </row>
        <row r="47522">
          <cell r="O47522" t="str">
            <v/>
          </cell>
        </row>
        <row r="47523">
          <cell r="O47523" t="str">
            <v/>
          </cell>
        </row>
        <row r="47524">
          <cell r="O47524" t="str">
            <v/>
          </cell>
        </row>
        <row r="47525">
          <cell r="O47525" t="str">
            <v/>
          </cell>
        </row>
        <row r="47526">
          <cell r="O47526" t="str">
            <v/>
          </cell>
        </row>
        <row r="47527">
          <cell r="O47527" t="str">
            <v/>
          </cell>
        </row>
        <row r="47528">
          <cell r="O47528" t="str">
            <v/>
          </cell>
        </row>
        <row r="47529">
          <cell r="O47529" t="str">
            <v/>
          </cell>
        </row>
        <row r="47530">
          <cell r="O47530" t="str">
            <v/>
          </cell>
        </row>
        <row r="47531">
          <cell r="O47531" t="str">
            <v/>
          </cell>
        </row>
        <row r="47532">
          <cell r="O47532" t="str">
            <v/>
          </cell>
        </row>
        <row r="47533">
          <cell r="O47533" t="str">
            <v/>
          </cell>
        </row>
        <row r="47534">
          <cell r="O47534" t="str">
            <v/>
          </cell>
        </row>
        <row r="47535">
          <cell r="O47535" t="str">
            <v/>
          </cell>
        </row>
        <row r="47536">
          <cell r="O47536" t="str">
            <v/>
          </cell>
        </row>
        <row r="47537">
          <cell r="O47537" t="str">
            <v/>
          </cell>
        </row>
        <row r="47538">
          <cell r="O47538" t="str">
            <v/>
          </cell>
        </row>
        <row r="47539">
          <cell r="O47539" t="str">
            <v/>
          </cell>
        </row>
        <row r="47540">
          <cell r="O47540" t="str">
            <v/>
          </cell>
        </row>
        <row r="47541">
          <cell r="O47541" t="str">
            <v/>
          </cell>
        </row>
        <row r="47542">
          <cell r="O47542" t="str">
            <v/>
          </cell>
        </row>
        <row r="47543">
          <cell r="O47543" t="str">
            <v/>
          </cell>
        </row>
        <row r="47544">
          <cell r="O47544" t="str">
            <v/>
          </cell>
        </row>
        <row r="47545">
          <cell r="O47545" t="str">
            <v/>
          </cell>
        </row>
        <row r="47546">
          <cell r="O47546" t="str">
            <v/>
          </cell>
        </row>
        <row r="47547">
          <cell r="O47547" t="str">
            <v/>
          </cell>
        </row>
        <row r="47548">
          <cell r="O47548" t="str">
            <v/>
          </cell>
        </row>
        <row r="47549">
          <cell r="O47549" t="str">
            <v/>
          </cell>
        </row>
        <row r="47550">
          <cell r="O47550" t="str">
            <v/>
          </cell>
        </row>
        <row r="47551">
          <cell r="O47551" t="str">
            <v/>
          </cell>
        </row>
        <row r="47552">
          <cell r="O47552" t="str">
            <v/>
          </cell>
        </row>
        <row r="47553">
          <cell r="O47553" t="str">
            <v/>
          </cell>
        </row>
        <row r="47554">
          <cell r="O47554" t="str">
            <v/>
          </cell>
        </row>
        <row r="47555">
          <cell r="O47555" t="str">
            <v/>
          </cell>
        </row>
        <row r="47556">
          <cell r="O47556" t="str">
            <v/>
          </cell>
        </row>
        <row r="47557">
          <cell r="O47557" t="str">
            <v/>
          </cell>
        </row>
        <row r="47558">
          <cell r="O47558" t="str">
            <v/>
          </cell>
        </row>
        <row r="47559">
          <cell r="O47559" t="str">
            <v/>
          </cell>
        </row>
        <row r="47560">
          <cell r="O47560" t="str">
            <v/>
          </cell>
        </row>
        <row r="47561">
          <cell r="O47561" t="str">
            <v/>
          </cell>
        </row>
        <row r="47562">
          <cell r="O47562" t="str">
            <v/>
          </cell>
        </row>
        <row r="47563">
          <cell r="O47563" t="str">
            <v/>
          </cell>
        </row>
        <row r="47564">
          <cell r="O47564" t="str">
            <v/>
          </cell>
        </row>
        <row r="47565">
          <cell r="O47565" t="str">
            <v/>
          </cell>
        </row>
        <row r="47566">
          <cell r="O47566" t="str">
            <v/>
          </cell>
        </row>
        <row r="47567">
          <cell r="O47567" t="str">
            <v/>
          </cell>
        </row>
        <row r="47568">
          <cell r="O47568" t="str">
            <v/>
          </cell>
        </row>
        <row r="47569">
          <cell r="O47569" t="str">
            <v/>
          </cell>
        </row>
        <row r="47570">
          <cell r="O47570" t="str">
            <v/>
          </cell>
        </row>
        <row r="47571">
          <cell r="O47571" t="str">
            <v/>
          </cell>
        </row>
        <row r="47572">
          <cell r="O47572" t="str">
            <v/>
          </cell>
        </row>
        <row r="47573">
          <cell r="O47573" t="str">
            <v/>
          </cell>
        </row>
        <row r="47574">
          <cell r="O47574" t="str">
            <v/>
          </cell>
        </row>
        <row r="47575">
          <cell r="O47575" t="str">
            <v/>
          </cell>
        </row>
        <row r="47576">
          <cell r="O47576" t="str">
            <v/>
          </cell>
        </row>
        <row r="47577">
          <cell r="O47577" t="str">
            <v/>
          </cell>
        </row>
        <row r="47578">
          <cell r="O47578" t="str">
            <v/>
          </cell>
        </row>
        <row r="47579">
          <cell r="O47579" t="str">
            <v/>
          </cell>
        </row>
        <row r="47580">
          <cell r="O47580" t="str">
            <v/>
          </cell>
        </row>
        <row r="47581">
          <cell r="O47581" t="str">
            <v/>
          </cell>
        </row>
        <row r="47582">
          <cell r="O47582" t="str">
            <v/>
          </cell>
        </row>
        <row r="47583">
          <cell r="O47583" t="str">
            <v/>
          </cell>
        </row>
        <row r="47584">
          <cell r="O47584" t="str">
            <v/>
          </cell>
        </row>
        <row r="47585">
          <cell r="O47585" t="str">
            <v/>
          </cell>
        </row>
        <row r="47586">
          <cell r="O47586" t="str">
            <v/>
          </cell>
        </row>
        <row r="47587">
          <cell r="O47587" t="str">
            <v/>
          </cell>
        </row>
        <row r="47588">
          <cell r="O47588" t="str">
            <v/>
          </cell>
        </row>
        <row r="47589">
          <cell r="O47589" t="str">
            <v/>
          </cell>
        </row>
        <row r="47590">
          <cell r="O47590" t="str">
            <v/>
          </cell>
        </row>
        <row r="47591">
          <cell r="O47591" t="str">
            <v/>
          </cell>
        </row>
        <row r="47592">
          <cell r="O47592" t="str">
            <v/>
          </cell>
        </row>
        <row r="47593">
          <cell r="O47593" t="str">
            <v/>
          </cell>
        </row>
        <row r="47594">
          <cell r="O47594" t="str">
            <v/>
          </cell>
        </row>
        <row r="47595">
          <cell r="O47595" t="str">
            <v/>
          </cell>
        </row>
        <row r="47596">
          <cell r="O47596" t="str">
            <v/>
          </cell>
        </row>
        <row r="47597">
          <cell r="O47597" t="str">
            <v/>
          </cell>
        </row>
        <row r="47598">
          <cell r="O47598" t="str">
            <v/>
          </cell>
        </row>
        <row r="47599">
          <cell r="O47599" t="str">
            <v/>
          </cell>
        </row>
        <row r="47600">
          <cell r="O47600" t="str">
            <v/>
          </cell>
        </row>
        <row r="47601">
          <cell r="O47601" t="str">
            <v/>
          </cell>
        </row>
        <row r="47602">
          <cell r="O47602" t="str">
            <v/>
          </cell>
        </row>
        <row r="47603">
          <cell r="O47603" t="str">
            <v/>
          </cell>
        </row>
        <row r="47604">
          <cell r="O47604" t="str">
            <v/>
          </cell>
        </row>
        <row r="47605">
          <cell r="O47605" t="str">
            <v/>
          </cell>
        </row>
        <row r="47606">
          <cell r="O47606" t="str">
            <v/>
          </cell>
        </row>
        <row r="47607">
          <cell r="O47607" t="str">
            <v/>
          </cell>
        </row>
        <row r="47608">
          <cell r="O47608" t="str">
            <v/>
          </cell>
        </row>
        <row r="47609">
          <cell r="O47609" t="str">
            <v/>
          </cell>
        </row>
        <row r="47610">
          <cell r="O47610" t="str">
            <v/>
          </cell>
        </row>
        <row r="47611">
          <cell r="O47611" t="str">
            <v/>
          </cell>
        </row>
        <row r="47612">
          <cell r="O47612" t="str">
            <v/>
          </cell>
        </row>
        <row r="47613">
          <cell r="O47613" t="str">
            <v/>
          </cell>
        </row>
        <row r="47614">
          <cell r="O47614" t="str">
            <v/>
          </cell>
        </row>
        <row r="47615">
          <cell r="O47615" t="str">
            <v/>
          </cell>
        </row>
        <row r="47616">
          <cell r="O47616" t="str">
            <v/>
          </cell>
        </row>
        <row r="47617">
          <cell r="O47617" t="str">
            <v/>
          </cell>
        </row>
        <row r="47618">
          <cell r="O47618" t="str">
            <v/>
          </cell>
        </row>
        <row r="47619">
          <cell r="O47619" t="str">
            <v/>
          </cell>
        </row>
        <row r="47620">
          <cell r="O47620" t="str">
            <v/>
          </cell>
        </row>
        <row r="47621">
          <cell r="O47621" t="str">
            <v/>
          </cell>
        </row>
        <row r="47622">
          <cell r="O47622" t="str">
            <v/>
          </cell>
        </row>
        <row r="47623">
          <cell r="O47623" t="str">
            <v/>
          </cell>
        </row>
        <row r="47624">
          <cell r="O47624" t="str">
            <v/>
          </cell>
        </row>
        <row r="47625">
          <cell r="O47625" t="str">
            <v/>
          </cell>
        </row>
        <row r="47626">
          <cell r="O47626" t="str">
            <v/>
          </cell>
        </row>
        <row r="47627">
          <cell r="O47627" t="str">
            <v/>
          </cell>
        </row>
        <row r="47628">
          <cell r="O47628" t="str">
            <v/>
          </cell>
        </row>
        <row r="47629">
          <cell r="O47629" t="str">
            <v/>
          </cell>
        </row>
        <row r="47630">
          <cell r="O47630" t="str">
            <v/>
          </cell>
        </row>
        <row r="47631">
          <cell r="O47631" t="str">
            <v/>
          </cell>
        </row>
        <row r="47632">
          <cell r="O47632" t="str">
            <v/>
          </cell>
        </row>
        <row r="47633">
          <cell r="O47633" t="str">
            <v/>
          </cell>
        </row>
        <row r="47634">
          <cell r="O47634" t="str">
            <v/>
          </cell>
        </row>
        <row r="47635">
          <cell r="O47635" t="str">
            <v/>
          </cell>
        </row>
        <row r="47636">
          <cell r="O47636" t="str">
            <v/>
          </cell>
        </row>
        <row r="47637">
          <cell r="O47637" t="str">
            <v/>
          </cell>
        </row>
        <row r="47638">
          <cell r="O47638" t="str">
            <v/>
          </cell>
        </row>
        <row r="47639">
          <cell r="O47639" t="str">
            <v/>
          </cell>
        </row>
        <row r="47640">
          <cell r="O47640" t="str">
            <v/>
          </cell>
        </row>
        <row r="47641">
          <cell r="O47641" t="str">
            <v/>
          </cell>
        </row>
        <row r="47642">
          <cell r="O47642" t="str">
            <v/>
          </cell>
        </row>
        <row r="47643">
          <cell r="O47643" t="str">
            <v/>
          </cell>
        </row>
        <row r="47644">
          <cell r="O47644" t="str">
            <v/>
          </cell>
        </row>
        <row r="47645">
          <cell r="O47645" t="str">
            <v/>
          </cell>
        </row>
        <row r="47646">
          <cell r="O47646" t="str">
            <v/>
          </cell>
        </row>
        <row r="47647">
          <cell r="O47647" t="str">
            <v/>
          </cell>
        </row>
        <row r="47648">
          <cell r="O47648" t="str">
            <v/>
          </cell>
        </row>
        <row r="47649">
          <cell r="O47649" t="str">
            <v/>
          </cell>
        </row>
        <row r="47650">
          <cell r="O47650" t="str">
            <v/>
          </cell>
        </row>
        <row r="47651">
          <cell r="O47651" t="str">
            <v/>
          </cell>
        </row>
        <row r="47652">
          <cell r="O47652" t="str">
            <v/>
          </cell>
        </row>
        <row r="47653">
          <cell r="O47653" t="str">
            <v/>
          </cell>
        </row>
        <row r="47654">
          <cell r="O47654" t="str">
            <v/>
          </cell>
        </row>
        <row r="47655">
          <cell r="O47655" t="str">
            <v/>
          </cell>
        </row>
        <row r="47656">
          <cell r="O47656" t="str">
            <v/>
          </cell>
        </row>
        <row r="47657">
          <cell r="O47657" t="str">
            <v/>
          </cell>
        </row>
        <row r="47658">
          <cell r="O47658" t="str">
            <v/>
          </cell>
        </row>
        <row r="47659">
          <cell r="O47659" t="str">
            <v/>
          </cell>
        </row>
        <row r="47660">
          <cell r="O47660" t="str">
            <v/>
          </cell>
        </row>
        <row r="47661">
          <cell r="O47661" t="str">
            <v/>
          </cell>
        </row>
        <row r="47662">
          <cell r="O47662" t="str">
            <v/>
          </cell>
        </row>
        <row r="47663">
          <cell r="O47663" t="str">
            <v/>
          </cell>
        </row>
        <row r="47664">
          <cell r="O47664" t="str">
            <v/>
          </cell>
        </row>
        <row r="47665">
          <cell r="O47665" t="str">
            <v/>
          </cell>
        </row>
        <row r="47666">
          <cell r="O47666" t="str">
            <v/>
          </cell>
        </row>
        <row r="47667">
          <cell r="O47667" t="str">
            <v/>
          </cell>
        </row>
        <row r="47668">
          <cell r="O47668" t="str">
            <v/>
          </cell>
        </row>
        <row r="47669">
          <cell r="O47669" t="str">
            <v/>
          </cell>
        </row>
        <row r="47670">
          <cell r="O47670" t="str">
            <v/>
          </cell>
        </row>
        <row r="47671">
          <cell r="O47671" t="str">
            <v/>
          </cell>
        </row>
        <row r="47672">
          <cell r="O47672" t="str">
            <v/>
          </cell>
        </row>
        <row r="47673">
          <cell r="O47673" t="str">
            <v/>
          </cell>
        </row>
        <row r="47674">
          <cell r="O47674" t="str">
            <v/>
          </cell>
        </row>
        <row r="47675">
          <cell r="O47675" t="str">
            <v/>
          </cell>
        </row>
        <row r="47676">
          <cell r="O47676" t="str">
            <v/>
          </cell>
        </row>
        <row r="47677">
          <cell r="O47677" t="str">
            <v/>
          </cell>
        </row>
        <row r="47678">
          <cell r="O47678" t="str">
            <v/>
          </cell>
        </row>
        <row r="47679">
          <cell r="O47679" t="str">
            <v/>
          </cell>
        </row>
        <row r="47680">
          <cell r="O47680" t="str">
            <v/>
          </cell>
        </row>
        <row r="47681">
          <cell r="O47681" t="str">
            <v/>
          </cell>
        </row>
        <row r="47682">
          <cell r="O47682" t="str">
            <v/>
          </cell>
        </row>
        <row r="47683">
          <cell r="O47683" t="str">
            <v/>
          </cell>
        </row>
        <row r="47684">
          <cell r="O47684" t="str">
            <v/>
          </cell>
        </row>
        <row r="47685">
          <cell r="O47685" t="str">
            <v/>
          </cell>
        </row>
        <row r="47686">
          <cell r="O47686" t="str">
            <v/>
          </cell>
        </row>
        <row r="47687">
          <cell r="O47687" t="str">
            <v/>
          </cell>
        </row>
        <row r="47688">
          <cell r="O47688" t="str">
            <v/>
          </cell>
        </row>
        <row r="47689">
          <cell r="O47689" t="str">
            <v/>
          </cell>
        </row>
        <row r="47690">
          <cell r="O47690" t="str">
            <v/>
          </cell>
        </row>
        <row r="47691">
          <cell r="O47691" t="str">
            <v/>
          </cell>
        </row>
        <row r="47692">
          <cell r="O47692" t="str">
            <v/>
          </cell>
        </row>
        <row r="47693">
          <cell r="O47693" t="str">
            <v/>
          </cell>
        </row>
        <row r="47694">
          <cell r="O47694" t="str">
            <v/>
          </cell>
        </row>
        <row r="47695">
          <cell r="O47695" t="str">
            <v/>
          </cell>
        </row>
        <row r="47696">
          <cell r="O47696" t="str">
            <v/>
          </cell>
        </row>
        <row r="47697">
          <cell r="O47697" t="str">
            <v/>
          </cell>
        </row>
        <row r="47698">
          <cell r="O47698" t="str">
            <v/>
          </cell>
        </row>
        <row r="47699">
          <cell r="O47699" t="str">
            <v/>
          </cell>
        </row>
        <row r="47700">
          <cell r="O47700" t="str">
            <v/>
          </cell>
        </row>
        <row r="47701">
          <cell r="O47701" t="str">
            <v/>
          </cell>
        </row>
        <row r="47702">
          <cell r="O47702" t="str">
            <v/>
          </cell>
        </row>
        <row r="47703">
          <cell r="O47703" t="str">
            <v/>
          </cell>
        </row>
        <row r="47704">
          <cell r="O47704" t="str">
            <v/>
          </cell>
        </row>
        <row r="47705">
          <cell r="O47705" t="str">
            <v/>
          </cell>
        </row>
        <row r="47706">
          <cell r="O47706" t="str">
            <v/>
          </cell>
        </row>
        <row r="47707">
          <cell r="O47707" t="str">
            <v/>
          </cell>
        </row>
        <row r="47708">
          <cell r="O47708" t="str">
            <v/>
          </cell>
        </row>
        <row r="47709">
          <cell r="O47709" t="str">
            <v/>
          </cell>
        </row>
        <row r="47710">
          <cell r="O47710" t="str">
            <v/>
          </cell>
        </row>
        <row r="47711">
          <cell r="O47711" t="str">
            <v/>
          </cell>
        </row>
        <row r="47712">
          <cell r="O47712" t="str">
            <v/>
          </cell>
        </row>
        <row r="47713">
          <cell r="O47713" t="str">
            <v/>
          </cell>
        </row>
        <row r="47714">
          <cell r="O47714" t="str">
            <v/>
          </cell>
        </row>
        <row r="47715">
          <cell r="O47715" t="str">
            <v/>
          </cell>
        </row>
        <row r="47716">
          <cell r="O47716" t="str">
            <v/>
          </cell>
        </row>
        <row r="47717">
          <cell r="O47717" t="str">
            <v/>
          </cell>
        </row>
        <row r="47718">
          <cell r="O47718" t="str">
            <v/>
          </cell>
        </row>
        <row r="47719">
          <cell r="O47719" t="str">
            <v/>
          </cell>
        </row>
        <row r="47720">
          <cell r="O47720" t="str">
            <v/>
          </cell>
        </row>
        <row r="47721">
          <cell r="O47721" t="str">
            <v/>
          </cell>
        </row>
        <row r="47722">
          <cell r="O47722" t="str">
            <v/>
          </cell>
        </row>
        <row r="47723">
          <cell r="O47723" t="str">
            <v/>
          </cell>
        </row>
        <row r="47724">
          <cell r="O47724" t="str">
            <v/>
          </cell>
        </row>
        <row r="47725">
          <cell r="O47725" t="str">
            <v/>
          </cell>
        </row>
        <row r="47726">
          <cell r="O47726" t="str">
            <v/>
          </cell>
        </row>
        <row r="47727">
          <cell r="O47727" t="str">
            <v/>
          </cell>
        </row>
        <row r="47728">
          <cell r="O47728" t="str">
            <v/>
          </cell>
        </row>
        <row r="47729">
          <cell r="O47729" t="str">
            <v/>
          </cell>
        </row>
        <row r="47730">
          <cell r="O47730" t="str">
            <v/>
          </cell>
        </row>
        <row r="47731">
          <cell r="O47731" t="str">
            <v/>
          </cell>
        </row>
        <row r="47732">
          <cell r="O47732" t="str">
            <v/>
          </cell>
        </row>
        <row r="47733">
          <cell r="O47733" t="str">
            <v/>
          </cell>
        </row>
        <row r="47734">
          <cell r="O47734" t="str">
            <v/>
          </cell>
        </row>
        <row r="47735">
          <cell r="O47735" t="str">
            <v/>
          </cell>
        </row>
        <row r="47736">
          <cell r="O47736" t="str">
            <v/>
          </cell>
        </row>
        <row r="47737">
          <cell r="O47737" t="str">
            <v/>
          </cell>
        </row>
        <row r="47738">
          <cell r="O47738" t="str">
            <v/>
          </cell>
        </row>
        <row r="47739">
          <cell r="O47739" t="str">
            <v/>
          </cell>
        </row>
        <row r="47740">
          <cell r="O47740" t="str">
            <v/>
          </cell>
        </row>
        <row r="47741">
          <cell r="O47741" t="str">
            <v/>
          </cell>
        </row>
        <row r="47742">
          <cell r="O47742" t="str">
            <v/>
          </cell>
        </row>
        <row r="47743">
          <cell r="O47743" t="str">
            <v/>
          </cell>
        </row>
        <row r="47744">
          <cell r="O47744" t="str">
            <v/>
          </cell>
        </row>
        <row r="47745">
          <cell r="O47745" t="str">
            <v/>
          </cell>
        </row>
        <row r="47746">
          <cell r="O47746" t="str">
            <v/>
          </cell>
        </row>
        <row r="47747">
          <cell r="O47747" t="str">
            <v/>
          </cell>
        </row>
        <row r="47748">
          <cell r="O47748" t="str">
            <v/>
          </cell>
        </row>
        <row r="47749">
          <cell r="O47749" t="str">
            <v/>
          </cell>
        </row>
        <row r="47750">
          <cell r="O47750" t="str">
            <v/>
          </cell>
        </row>
        <row r="47751">
          <cell r="O47751" t="str">
            <v/>
          </cell>
        </row>
        <row r="47752">
          <cell r="O47752" t="str">
            <v/>
          </cell>
        </row>
        <row r="47753">
          <cell r="O47753" t="str">
            <v/>
          </cell>
        </row>
        <row r="47754">
          <cell r="O47754" t="str">
            <v/>
          </cell>
        </row>
        <row r="47755">
          <cell r="O47755" t="str">
            <v/>
          </cell>
        </row>
        <row r="47756">
          <cell r="O47756" t="str">
            <v/>
          </cell>
        </row>
        <row r="47757">
          <cell r="O47757" t="str">
            <v/>
          </cell>
        </row>
        <row r="47758">
          <cell r="O47758" t="str">
            <v/>
          </cell>
        </row>
        <row r="47759">
          <cell r="O47759" t="str">
            <v/>
          </cell>
        </row>
        <row r="47760">
          <cell r="O47760" t="str">
            <v/>
          </cell>
        </row>
        <row r="47761">
          <cell r="O47761" t="str">
            <v/>
          </cell>
        </row>
        <row r="47762">
          <cell r="O47762" t="str">
            <v/>
          </cell>
        </row>
        <row r="47763">
          <cell r="O47763" t="str">
            <v/>
          </cell>
        </row>
        <row r="47764">
          <cell r="O47764" t="str">
            <v/>
          </cell>
        </row>
        <row r="47765">
          <cell r="O47765" t="str">
            <v/>
          </cell>
        </row>
        <row r="47766">
          <cell r="O47766" t="str">
            <v/>
          </cell>
        </row>
        <row r="47767">
          <cell r="O47767" t="str">
            <v/>
          </cell>
        </row>
        <row r="47768">
          <cell r="O47768" t="str">
            <v/>
          </cell>
        </row>
        <row r="47769">
          <cell r="O47769" t="str">
            <v/>
          </cell>
        </row>
        <row r="47770">
          <cell r="O47770" t="str">
            <v/>
          </cell>
        </row>
        <row r="47771">
          <cell r="O47771" t="str">
            <v/>
          </cell>
        </row>
        <row r="47772">
          <cell r="O47772" t="str">
            <v/>
          </cell>
        </row>
        <row r="47773">
          <cell r="O47773" t="str">
            <v/>
          </cell>
        </row>
        <row r="47774">
          <cell r="O47774" t="str">
            <v/>
          </cell>
        </row>
        <row r="47775">
          <cell r="O47775" t="str">
            <v/>
          </cell>
        </row>
        <row r="47776">
          <cell r="O47776" t="str">
            <v/>
          </cell>
        </row>
        <row r="47777">
          <cell r="O47777" t="str">
            <v/>
          </cell>
        </row>
        <row r="47778">
          <cell r="O47778" t="str">
            <v/>
          </cell>
        </row>
        <row r="47779">
          <cell r="O47779" t="str">
            <v/>
          </cell>
        </row>
        <row r="47780">
          <cell r="O47780" t="str">
            <v/>
          </cell>
        </row>
        <row r="47781">
          <cell r="O47781" t="str">
            <v/>
          </cell>
        </row>
        <row r="47782">
          <cell r="O47782" t="str">
            <v/>
          </cell>
        </row>
        <row r="47783">
          <cell r="O47783" t="str">
            <v/>
          </cell>
        </row>
        <row r="47784">
          <cell r="O47784" t="str">
            <v/>
          </cell>
        </row>
        <row r="47785">
          <cell r="O47785" t="str">
            <v/>
          </cell>
        </row>
        <row r="47786">
          <cell r="O47786" t="str">
            <v/>
          </cell>
        </row>
        <row r="47787">
          <cell r="O47787" t="str">
            <v/>
          </cell>
        </row>
        <row r="47788">
          <cell r="O47788" t="str">
            <v/>
          </cell>
        </row>
        <row r="47789">
          <cell r="O47789" t="str">
            <v/>
          </cell>
        </row>
        <row r="47790">
          <cell r="O47790" t="str">
            <v/>
          </cell>
        </row>
        <row r="47791">
          <cell r="O47791" t="str">
            <v/>
          </cell>
        </row>
        <row r="47792">
          <cell r="O47792" t="str">
            <v/>
          </cell>
        </row>
        <row r="47793">
          <cell r="O47793" t="str">
            <v/>
          </cell>
        </row>
        <row r="47794">
          <cell r="O47794" t="str">
            <v/>
          </cell>
        </row>
        <row r="47795">
          <cell r="O47795" t="str">
            <v/>
          </cell>
        </row>
        <row r="47796">
          <cell r="O47796" t="str">
            <v/>
          </cell>
        </row>
        <row r="47797">
          <cell r="O47797" t="str">
            <v/>
          </cell>
        </row>
        <row r="47798">
          <cell r="O47798" t="str">
            <v/>
          </cell>
        </row>
        <row r="47799">
          <cell r="O47799" t="str">
            <v/>
          </cell>
        </row>
        <row r="47800">
          <cell r="O47800" t="str">
            <v/>
          </cell>
        </row>
        <row r="47801">
          <cell r="O47801" t="str">
            <v/>
          </cell>
        </row>
        <row r="47802">
          <cell r="O47802" t="str">
            <v/>
          </cell>
        </row>
        <row r="47803">
          <cell r="O47803" t="str">
            <v/>
          </cell>
        </row>
        <row r="47804">
          <cell r="O47804" t="str">
            <v/>
          </cell>
        </row>
        <row r="47805">
          <cell r="O47805" t="str">
            <v/>
          </cell>
        </row>
        <row r="47806">
          <cell r="O47806" t="str">
            <v/>
          </cell>
        </row>
        <row r="47807">
          <cell r="O47807" t="str">
            <v/>
          </cell>
        </row>
        <row r="47808">
          <cell r="O47808" t="str">
            <v/>
          </cell>
        </row>
        <row r="47809">
          <cell r="O47809" t="str">
            <v/>
          </cell>
        </row>
        <row r="47810">
          <cell r="O47810" t="str">
            <v/>
          </cell>
        </row>
        <row r="47811">
          <cell r="O47811" t="str">
            <v/>
          </cell>
        </row>
        <row r="47812">
          <cell r="O47812" t="str">
            <v/>
          </cell>
        </row>
        <row r="47813">
          <cell r="O47813" t="str">
            <v/>
          </cell>
        </row>
        <row r="47814">
          <cell r="O47814" t="str">
            <v/>
          </cell>
        </row>
        <row r="47815">
          <cell r="O47815" t="str">
            <v/>
          </cell>
        </row>
        <row r="47816">
          <cell r="O47816" t="str">
            <v/>
          </cell>
        </row>
        <row r="47817">
          <cell r="O47817" t="str">
            <v/>
          </cell>
        </row>
        <row r="47818">
          <cell r="O47818" t="str">
            <v/>
          </cell>
        </row>
        <row r="47819">
          <cell r="O47819" t="str">
            <v/>
          </cell>
        </row>
        <row r="47820">
          <cell r="O47820" t="str">
            <v/>
          </cell>
        </row>
        <row r="47821">
          <cell r="O47821" t="str">
            <v/>
          </cell>
        </row>
        <row r="47822">
          <cell r="O47822" t="str">
            <v/>
          </cell>
        </row>
        <row r="47823">
          <cell r="O47823" t="str">
            <v/>
          </cell>
        </row>
        <row r="47824">
          <cell r="O47824" t="str">
            <v/>
          </cell>
        </row>
        <row r="47825">
          <cell r="O47825" t="str">
            <v/>
          </cell>
        </row>
        <row r="47826">
          <cell r="O47826" t="str">
            <v/>
          </cell>
        </row>
        <row r="47827">
          <cell r="O47827" t="str">
            <v/>
          </cell>
        </row>
        <row r="47828">
          <cell r="O47828" t="str">
            <v/>
          </cell>
        </row>
        <row r="47829">
          <cell r="O47829" t="str">
            <v/>
          </cell>
        </row>
        <row r="47830">
          <cell r="O47830" t="str">
            <v/>
          </cell>
        </row>
        <row r="47831">
          <cell r="O47831" t="str">
            <v/>
          </cell>
        </row>
        <row r="47832">
          <cell r="O47832" t="str">
            <v/>
          </cell>
        </row>
        <row r="47833">
          <cell r="O47833" t="str">
            <v/>
          </cell>
        </row>
        <row r="47834">
          <cell r="O47834" t="str">
            <v/>
          </cell>
        </row>
        <row r="47835">
          <cell r="O47835" t="str">
            <v/>
          </cell>
        </row>
        <row r="47836">
          <cell r="O47836" t="str">
            <v/>
          </cell>
        </row>
        <row r="47837">
          <cell r="O47837" t="str">
            <v/>
          </cell>
        </row>
        <row r="47838">
          <cell r="O47838" t="str">
            <v/>
          </cell>
        </row>
        <row r="47839">
          <cell r="O47839" t="str">
            <v/>
          </cell>
        </row>
        <row r="47840">
          <cell r="O47840" t="str">
            <v/>
          </cell>
        </row>
        <row r="47841">
          <cell r="O47841" t="str">
            <v/>
          </cell>
        </row>
        <row r="47842">
          <cell r="O47842" t="str">
            <v/>
          </cell>
        </row>
        <row r="47843">
          <cell r="O47843" t="str">
            <v/>
          </cell>
        </row>
        <row r="47844">
          <cell r="O47844" t="str">
            <v/>
          </cell>
        </row>
        <row r="47845">
          <cell r="O47845" t="str">
            <v/>
          </cell>
        </row>
        <row r="47846">
          <cell r="O47846" t="str">
            <v/>
          </cell>
        </row>
        <row r="47847">
          <cell r="O47847" t="str">
            <v/>
          </cell>
        </row>
        <row r="47848">
          <cell r="O47848" t="str">
            <v/>
          </cell>
        </row>
        <row r="47849">
          <cell r="O47849" t="str">
            <v/>
          </cell>
        </row>
        <row r="47850">
          <cell r="O47850" t="str">
            <v/>
          </cell>
        </row>
        <row r="47851">
          <cell r="O47851" t="str">
            <v/>
          </cell>
        </row>
        <row r="47852">
          <cell r="O47852" t="str">
            <v/>
          </cell>
        </row>
        <row r="47853">
          <cell r="O47853" t="str">
            <v/>
          </cell>
        </row>
        <row r="47854">
          <cell r="O47854" t="str">
            <v/>
          </cell>
        </row>
        <row r="47855">
          <cell r="O47855" t="str">
            <v/>
          </cell>
        </row>
        <row r="47856">
          <cell r="O47856" t="str">
            <v/>
          </cell>
        </row>
        <row r="47857">
          <cell r="O47857" t="str">
            <v/>
          </cell>
        </row>
        <row r="47858">
          <cell r="O47858" t="str">
            <v/>
          </cell>
        </row>
        <row r="47859">
          <cell r="O47859" t="str">
            <v/>
          </cell>
        </row>
        <row r="47860">
          <cell r="O47860" t="str">
            <v/>
          </cell>
        </row>
        <row r="47861">
          <cell r="O47861" t="str">
            <v/>
          </cell>
        </row>
        <row r="47862">
          <cell r="O47862" t="str">
            <v/>
          </cell>
        </row>
        <row r="47863">
          <cell r="O47863" t="str">
            <v/>
          </cell>
        </row>
        <row r="47864">
          <cell r="O47864" t="str">
            <v/>
          </cell>
        </row>
        <row r="47865">
          <cell r="O47865" t="str">
            <v/>
          </cell>
        </row>
        <row r="47866">
          <cell r="O47866" t="str">
            <v/>
          </cell>
        </row>
        <row r="47867">
          <cell r="O47867" t="str">
            <v/>
          </cell>
        </row>
        <row r="47868">
          <cell r="O47868" t="str">
            <v/>
          </cell>
        </row>
        <row r="47869">
          <cell r="O47869" t="str">
            <v/>
          </cell>
        </row>
        <row r="47870">
          <cell r="O47870" t="str">
            <v/>
          </cell>
        </row>
        <row r="47871">
          <cell r="O47871" t="str">
            <v/>
          </cell>
        </row>
        <row r="47872">
          <cell r="O47872" t="str">
            <v/>
          </cell>
        </row>
        <row r="47873">
          <cell r="O47873" t="str">
            <v/>
          </cell>
        </row>
        <row r="47874">
          <cell r="O47874" t="str">
            <v/>
          </cell>
        </row>
        <row r="47875">
          <cell r="O47875" t="str">
            <v/>
          </cell>
        </row>
        <row r="47876">
          <cell r="O47876" t="str">
            <v/>
          </cell>
        </row>
        <row r="47877">
          <cell r="O47877" t="str">
            <v/>
          </cell>
        </row>
        <row r="47878">
          <cell r="O47878" t="str">
            <v/>
          </cell>
        </row>
        <row r="47879">
          <cell r="O47879" t="str">
            <v/>
          </cell>
        </row>
        <row r="47880">
          <cell r="O47880" t="str">
            <v/>
          </cell>
        </row>
        <row r="47881">
          <cell r="O47881" t="str">
            <v/>
          </cell>
        </row>
        <row r="47882">
          <cell r="O47882" t="str">
            <v/>
          </cell>
        </row>
        <row r="47883">
          <cell r="O47883" t="str">
            <v/>
          </cell>
        </row>
        <row r="47884">
          <cell r="O47884" t="str">
            <v/>
          </cell>
        </row>
        <row r="47885">
          <cell r="O47885" t="str">
            <v/>
          </cell>
        </row>
        <row r="47886">
          <cell r="O47886" t="str">
            <v/>
          </cell>
        </row>
        <row r="47887">
          <cell r="O47887" t="str">
            <v/>
          </cell>
        </row>
        <row r="47888">
          <cell r="O47888" t="str">
            <v/>
          </cell>
        </row>
        <row r="47889">
          <cell r="O47889" t="str">
            <v/>
          </cell>
        </row>
        <row r="47890">
          <cell r="O47890" t="str">
            <v/>
          </cell>
        </row>
        <row r="47891">
          <cell r="O47891" t="str">
            <v/>
          </cell>
        </row>
        <row r="47892">
          <cell r="O47892" t="str">
            <v/>
          </cell>
        </row>
        <row r="47893">
          <cell r="O47893" t="str">
            <v/>
          </cell>
        </row>
        <row r="47894">
          <cell r="O47894" t="str">
            <v/>
          </cell>
        </row>
        <row r="47895">
          <cell r="O47895" t="str">
            <v/>
          </cell>
        </row>
        <row r="47896">
          <cell r="O47896" t="str">
            <v/>
          </cell>
        </row>
        <row r="47897">
          <cell r="O47897" t="str">
            <v/>
          </cell>
        </row>
        <row r="47898">
          <cell r="O47898" t="str">
            <v/>
          </cell>
        </row>
        <row r="47899">
          <cell r="O47899" t="str">
            <v/>
          </cell>
        </row>
        <row r="47900">
          <cell r="O47900" t="str">
            <v/>
          </cell>
        </row>
        <row r="47901">
          <cell r="O47901" t="str">
            <v/>
          </cell>
        </row>
        <row r="47902">
          <cell r="O47902" t="str">
            <v/>
          </cell>
        </row>
        <row r="47903">
          <cell r="O47903" t="str">
            <v/>
          </cell>
        </row>
        <row r="47904">
          <cell r="O47904" t="str">
            <v/>
          </cell>
        </row>
        <row r="47905">
          <cell r="O47905" t="str">
            <v/>
          </cell>
        </row>
        <row r="47906">
          <cell r="O47906" t="str">
            <v/>
          </cell>
        </row>
        <row r="47907">
          <cell r="O47907" t="str">
            <v/>
          </cell>
        </row>
        <row r="47908">
          <cell r="O47908" t="str">
            <v/>
          </cell>
        </row>
        <row r="47909">
          <cell r="O47909" t="str">
            <v/>
          </cell>
        </row>
        <row r="47910">
          <cell r="O47910" t="str">
            <v/>
          </cell>
        </row>
        <row r="47911">
          <cell r="O47911" t="str">
            <v/>
          </cell>
        </row>
        <row r="47912">
          <cell r="O47912" t="str">
            <v/>
          </cell>
        </row>
        <row r="47913">
          <cell r="O47913" t="str">
            <v/>
          </cell>
        </row>
        <row r="47914">
          <cell r="O47914" t="str">
            <v/>
          </cell>
        </row>
        <row r="47915">
          <cell r="O47915" t="str">
            <v/>
          </cell>
        </row>
        <row r="47916">
          <cell r="O47916" t="str">
            <v/>
          </cell>
        </row>
        <row r="47917">
          <cell r="O47917" t="str">
            <v/>
          </cell>
        </row>
        <row r="47918">
          <cell r="O47918" t="str">
            <v/>
          </cell>
        </row>
        <row r="47919">
          <cell r="O47919" t="str">
            <v/>
          </cell>
        </row>
        <row r="47920">
          <cell r="O47920" t="str">
            <v/>
          </cell>
        </row>
        <row r="47921">
          <cell r="O47921" t="str">
            <v/>
          </cell>
        </row>
        <row r="47922">
          <cell r="O47922" t="str">
            <v/>
          </cell>
        </row>
        <row r="47923">
          <cell r="O47923" t="str">
            <v/>
          </cell>
        </row>
        <row r="47924">
          <cell r="O47924" t="str">
            <v/>
          </cell>
        </row>
        <row r="47925">
          <cell r="O47925" t="str">
            <v/>
          </cell>
        </row>
        <row r="47926">
          <cell r="O47926" t="str">
            <v/>
          </cell>
        </row>
        <row r="47927">
          <cell r="O47927" t="str">
            <v/>
          </cell>
        </row>
        <row r="47928">
          <cell r="O47928" t="str">
            <v/>
          </cell>
        </row>
        <row r="47929">
          <cell r="O47929" t="str">
            <v/>
          </cell>
        </row>
        <row r="47930">
          <cell r="O47930" t="str">
            <v/>
          </cell>
        </row>
        <row r="47931">
          <cell r="O47931" t="str">
            <v/>
          </cell>
        </row>
        <row r="47932">
          <cell r="O47932" t="str">
            <v/>
          </cell>
        </row>
        <row r="47933">
          <cell r="O47933" t="str">
            <v/>
          </cell>
        </row>
        <row r="47934">
          <cell r="O47934" t="str">
            <v/>
          </cell>
        </row>
        <row r="47935">
          <cell r="O47935" t="str">
            <v/>
          </cell>
        </row>
        <row r="47936">
          <cell r="O47936" t="str">
            <v/>
          </cell>
        </row>
        <row r="47937">
          <cell r="O47937" t="str">
            <v/>
          </cell>
        </row>
        <row r="47938">
          <cell r="O47938" t="str">
            <v/>
          </cell>
        </row>
        <row r="47939">
          <cell r="O47939" t="str">
            <v/>
          </cell>
        </row>
        <row r="47940">
          <cell r="O47940" t="str">
            <v/>
          </cell>
        </row>
        <row r="47941">
          <cell r="O47941" t="str">
            <v/>
          </cell>
        </row>
        <row r="47942">
          <cell r="O47942" t="str">
            <v/>
          </cell>
        </row>
        <row r="47943">
          <cell r="O47943" t="str">
            <v/>
          </cell>
        </row>
        <row r="47944">
          <cell r="O47944" t="str">
            <v/>
          </cell>
        </row>
        <row r="47945">
          <cell r="O47945" t="str">
            <v/>
          </cell>
        </row>
        <row r="47946">
          <cell r="O47946" t="str">
            <v/>
          </cell>
        </row>
        <row r="47947">
          <cell r="O47947" t="str">
            <v/>
          </cell>
        </row>
        <row r="47948">
          <cell r="O47948" t="str">
            <v/>
          </cell>
        </row>
        <row r="47949">
          <cell r="O47949" t="str">
            <v/>
          </cell>
        </row>
        <row r="47950">
          <cell r="O47950" t="str">
            <v/>
          </cell>
        </row>
        <row r="47951">
          <cell r="O47951" t="str">
            <v/>
          </cell>
        </row>
        <row r="47952">
          <cell r="O47952" t="str">
            <v/>
          </cell>
        </row>
        <row r="47953">
          <cell r="O47953" t="str">
            <v/>
          </cell>
        </row>
        <row r="47954">
          <cell r="O47954" t="str">
            <v/>
          </cell>
        </row>
        <row r="47955">
          <cell r="O47955" t="str">
            <v/>
          </cell>
        </row>
        <row r="47956">
          <cell r="O47956" t="str">
            <v/>
          </cell>
        </row>
        <row r="47957">
          <cell r="O47957" t="str">
            <v/>
          </cell>
        </row>
        <row r="47958">
          <cell r="O47958" t="str">
            <v/>
          </cell>
        </row>
        <row r="47959">
          <cell r="O47959" t="str">
            <v/>
          </cell>
        </row>
        <row r="47960">
          <cell r="O47960" t="str">
            <v/>
          </cell>
        </row>
        <row r="47961">
          <cell r="O47961" t="str">
            <v/>
          </cell>
        </row>
        <row r="47962">
          <cell r="O47962" t="str">
            <v/>
          </cell>
        </row>
        <row r="47963">
          <cell r="O47963" t="str">
            <v/>
          </cell>
        </row>
        <row r="47964">
          <cell r="O47964" t="str">
            <v/>
          </cell>
        </row>
        <row r="47965">
          <cell r="O47965" t="str">
            <v/>
          </cell>
        </row>
        <row r="47966">
          <cell r="O47966" t="str">
            <v/>
          </cell>
        </row>
        <row r="47967">
          <cell r="O47967" t="str">
            <v/>
          </cell>
        </row>
        <row r="47968">
          <cell r="O47968" t="str">
            <v/>
          </cell>
        </row>
        <row r="47969">
          <cell r="O47969" t="str">
            <v/>
          </cell>
        </row>
        <row r="47970">
          <cell r="O47970" t="str">
            <v/>
          </cell>
        </row>
        <row r="47971">
          <cell r="O47971" t="str">
            <v/>
          </cell>
        </row>
        <row r="47972">
          <cell r="O47972" t="str">
            <v/>
          </cell>
        </row>
        <row r="47973">
          <cell r="O47973" t="str">
            <v/>
          </cell>
        </row>
        <row r="47974">
          <cell r="O47974" t="str">
            <v/>
          </cell>
        </row>
        <row r="47975">
          <cell r="O47975" t="str">
            <v/>
          </cell>
        </row>
        <row r="47976">
          <cell r="O47976" t="str">
            <v/>
          </cell>
        </row>
        <row r="47977">
          <cell r="O47977" t="str">
            <v/>
          </cell>
        </row>
        <row r="47978">
          <cell r="O47978" t="str">
            <v/>
          </cell>
        </row>
        <row r="47979">
          <cell r="O47979" t="str">
            <v/>
          </cell>
        </row>
        <row r="47980">
          <cell r="O47980" t="str">
            <v/>
          </cell>
        </row>
        <row r="47981">
          <cell r="O47981" t="str">
            <v/>
          </cell>
        </row>
        <row r="47982">
          <cell r="O47982" t="str">
            <v/>
          </cell>
        </row>
        <row r="47983">
          <cell r="O47983" t="str">
            <v/>
          </cell>
        </row>
        <row r="47984">
          <cell r="O47984" t="str">
            <v/>
          </cell>
        </row>
        <row r="47985">
          <cell r="O47985" t="str">
            <v/>
          </cell>
        </row>
        <row r="47986">
          <cell r="O47986" t="str">
            <v/>
          </cell>
        </row>
        <row r="47987">
          <cell r="O47987" t="str">
            <v/>
          </cell>
        </row>
        <row r="47988">
          <cell r="O47988" t="str">
            <v/>
          </cell>
        </row>
        <row r="47989">
          <cell r="O47989" t="str">
            <v/>
          </cell>
        </row>
        <row r="47990">
          <cell r="O47990" t="str">
            <v/>
          </cell>
        </row>
        <row r="47991">
          <cell r="O47991" t="str">
            <v/>
          </cell>
        </row>
        <row r="47992">
          <cell r="O47992" t="str">
            <v/>
          </cell>
        </row>
        <row r="47993">
          <cell r="O47993" t="str">
            <v/>
          </cell>
        </row>
        <row r="47994">
          <cell r="O47994" t="str">
            <v/>
          </cell>
        </row>
        <row r="47995">
          <cell r="O47995" t="str">
            <v/>
          </cell>
        </row>
        <row r="47996">
          <cell r="O47996" t="str">
            <v/>
          </cell>
        </row>
        <row r="47997">
          <cell r="O47997" t="str">
            <v/>
          </cell>
        </row>
        <row r="47998">
          <cell r="O47998" t="str">
            <v/>
          </cell>
        </row>
        <row r="47999">
          <cell r="O47999" t="str">
            <v/>
          </cell>
        </row>
        <row r="48000">
          <cell r="O48000" t="str">
            <v/>
          </cell>
        </row>
        <row r="48001">
          <cell r="O48001" t="str">
            <v/>
          </cell>
        </row>
        <row r="48002">
          <cell r="O48002" t="str">
            <v/>
          </cell>
        </row>
        <row r="48003">
          <cell r="O48003" t="str">
            <v/>
          </cell>
        </row>
        <row r="48004">
          <cell r="O48004" t="str">
            <v/>
          </cell>
        </row>
        <row r="48005">
          <cell r="O48005" t="str">
            <v/>
          </cell>
        </row>
        <row r="48006">
          <cell r="O48006" t="str">
            <v/>
          </cell>
        </row>
        <row r="48007">
          <cell r="O48007" t="str">
            <v/>
          </cell>
        </row>
        <row r="48008">
          <cell r="O48008" t="str">
            <v/>
          </cell>
        </row>
        <row r="48009">
          <cell r="O48009" t="str">
            <v/>
          </cell>
        </row>
        <row r="48010">
          <cell r="O48010" t="str">
            <v/>
          </cell>
        </row>
        <row r="48011">
          <cell r="O48011" t="str">
            <v/>
          </cell>
        </row>
        <row r="48012">
          <cell r="O48012" t="str">
            <v/>
          </cell>
        </row>
        <row r="48013">
          <cell r="O48013" t="str">
            <v/>
          </cell>
        </row>
        <row r="48014">
          <cell r="O48014" t="str">
            <v/>
          </cell>
        </row>
        <row r="48015">
          <cell r="O48015" t="str">
            <v/>
          </cell>
        </row>
        <row r="48016">
          <cell r="O48016" t="str">
            <v/>
          </cell>
        </row>
        <row r="48017">
          <cell r="O48017" t="str">
            <v/>
          </cell>
        </row>
        <row r="48018">
          <cell r="O48018" t="str">
            <v/>
          </cell>
        </row>
        <row r="48019">
          <cell r="O48019" t="str">
            <v/>
          </cell>
        </row>
        <row r="48020">
          <cell r="O48020" t="str">
            <v/>
          </cell>
        </row>
        <row r="48021">
          <cell r="O48021" t="str">
            <v/>
          </cell>
        </row>
        <row r="48022">
          <cell r="O48022" t="str">
            <v/>
          </cell>
        </row>
        <row r="48023">
          <cell r="O48023" t="str">
            <v/>
          </cell>
        </row>
        <row r="48024">
          <cell r="O48024" t="str">
            <v/>
          </cell>
        </row>
        <row r="48025">
          <cell r="O48025" t="str">
            <v/>
          </cell>
        </row>
        <row r="48026">
          <cell r="O48026" t="str">
            <v/>
          </cell>
        </row>
        <row r="48027">
          <cell r="O48027" t="str">
            <v/>
          </cell>
        </row>
        <row r="48028">
          <cell r="O48028" t="str">
            <v/>
          </cell>
        </row>
        <row r="48029">
          <cell r="O48029" t="str">
            <v/>
          </cell>
        </row>
        <row r="48030">
          <cell r="O48030" t="str">
            <v/>
          </cell>
        </row>
        <row r="48031">
          <cell r="O48031" t="str">
            <v/>
          </cell>
        </row>
        <row r="48032">
          <cell r="O48032" t="str">
            <v/>
          </cell>
        </row>
        <row r="48033">
          <cell r="O48033" t="str">
            <v/>
          </cell>
        </row>
        <row r="48034">
          <cell r="O48034" t="str">
            <v/>
          </cell>
        </row>
        <row r="48035">
          <cell r="O48035" t="str">
            <v/>
          </cell>
        </row>
        <row r="48036">
          <cell r="O48036" t="str">
            <v/>
          </cell>
        </row>
        <row r="48037">
          <cell r="O48037" t="str">
            <v/>
          </cell>
        </row>
        <row r="48038">
          <cell r="O48038" t="str">
            <v/>
          </cell>
        </row>
        <row r="48039">
          <cell r="O48039" t="str">
            <v/>
          </cell>
        </row>
        <row r="48040">
          <cell r="O48040" t="str">
            <v/>
          </cell>
        </row>
        <row r="48041">
          <cell r="O48041" t="str">
            <v/>
          </cell>
        </row>
        <row r="48042">
          <cell r="O48042" t="str">
            <v/>
          </cell>
        </row>
        <row r="48043">
          <cell r="O48043" t="str">
            <v/>
          </cell>
        </row>
        <row r="48044">
          <cell r="O48044" t="str">
            <v/>
          </cell>
        </row>
        <row r="48045">
          <cell r="O48045" t="str">
            <v/>
          </cell>
        </row>
        <row r="48046">
          <cell r="O48046" t="str">
            <v/>
          </cell>
        </row>
        <row r="48047">
          <cell r="O48047" t="str">
            <v/>
          </cell>
        </row>
        <row r="48048">
          <cell r="O48048" t="str">
            <v/>
          </cell>
        </row>
        <row r="48049">
          <cell r="O48049" t="str">
            <v/>
          </cell>
        </row>
        <row r="48050">
          <cell r="O48050" t="str">
            <v/>
          </cell>
        </row>
        <row r="48051">
          <cell r="O48051" t="str">
            <v/>
          </cell>
        </row>
        <row r="48052">
          <cell r="O48052" t="str">
            <v/>
          </cell>
        </row>
        <row r="48053">
          <cell r="O48053" t="str">
            <v/>
          </cell>
        </row>
        <row r="48054">
          <cell r="O48054" t="str">
            <v/>
          </cell>
        </row>
        <row r="48055">
          <cell r="O48055" t="str">
            <v/>
          </cell>
        </row>
        <row r="48056">
          <cell r="O48056" t="str">
            <v/>
          </cell>
        </row>
        <row r="48057">
          <cell r="O48057" t="str">
            <v/>
          </cell>
        </row>
        <row r="48058">
          <cell r="O48058" t="str">
            <v/>
          </cell>
        </row>
        <row r="48059">
          <cell r="O48059" t="str">
            <v/>
          </cell>
        </row>
        <row r="48060">
          <cell r="O48060" t="str">
            <v/>
          </cell>
        </row>
        <row r="48061">
          <cell r="O48061" t="str">
            <v/>
          </cell>
        </row>
        <row r="48062">
          <cell r="O48062" t="str">
            <v/>
          </cell>
        </row>
        <row r="48063">
          <cell r="O48063" t="str">
            <v/>
          </cell>
        </row>
        <row r="48064">
          <cell r="O48064" t="str">
            <v/>
          </cell>
        </row>
        <row r="48065">
          <cell r="O48065" t="str">
            <v/>
          </cell>
        </row>
        <row r="48066">
          <cell r="O48066" t="str">
            <v/>
          </cell>
        </row>
        <row r="48067">
          <cell r="O48067" t="str">
            <v/>
          </cell>
        </row>
        <row r="48068">
          <cell r="O48068" t="str">
            <v/>
          </cell>
        </row>
        <row r="48069">
          <cell r="O48069" t="str">
            <v/>
          </cell>
        </row>
        <row r="48070">
          <cell r="O48070" t="str">
            <v/>
          </cell>
        </row>
        <row r="48071">
          <cell r="O48071" t="str">
            <v/>
          </cell>
        </row>
        <row r="48072">
          <cell r="O48072" t="str">
            <v/>
          </cell>
        </row>
        <row r="48073">
          <cell r="O48073" t="str">
            <v/>
          </cell>
        </row>
        <row r="48074">
          <cell r="O48074" t="str">
            <v/>
          </cell>
        </row>
        <row r="48075">
          <cell r="O48075" t="str">
            <v/>
          </cell>
        </row>
        <row r="48076">
          <cell r="O48076" t="str">
            <v/>
          </cell>
        </row>
        <row r="48077">
          <cell r="O48077" t="str">
            <v/>
          </cell>
        </row>
        <row r="48078">
          <cell r="O48078" t="str">
            <v/>
          </cell>
        </row>
        <row r="48079">
          <cell r="O48079" t="str">
            <v/>
          </cell>
        </row>
        <row r="48080">
          <cell r="O48080" t="str">
            <v/>
          </cell>
        </row>
        <row r="48081">
          <cell r="O48081" t="str">
            <v/>
          </cell>
        </row>
        <row r="48082">
          <cell r="O48082" t="str">
            <v/>
          </cell>
        </row>
        <row r="48083">
          <cell r="O48083" t="str">
            <v/>
          </cell>
        </row>
        <row r="48084">
          <cell r="O48084" t="str">
            <v/>
          </cell>
        </row>
        <row r="48085">
          <cell r="O48085" t="str">
            <v/>
          </cell>
        </row>
        <row r="48086">
          <cell r="O48086" t="str">
            <v/>
          </cell>
        </row>
        <row r="48087">
          <cell r="O48087" t="str">
            <v/>
          </cell>
        </row>
        <row r="48088">
          <cell r="O48088" t="str">
            <v/>
          </cell>
        </row>
        <row r="48089">
          <cell r="O48089" t="str">
            <v/>
          </cell>
        </row>
        <row r="48090">
          <cell r="O48090" t="str">
            <v/>
          </cell>
        </row>
        <row r="48091">
          <cell r="O48091" t="str">
            <v/>
          </cell>
        </row>
        <row r="48092">
          <cell r="O48092" t="str">
            <v/>
          </cell>
        </row>
        <row r="48093">
          <cell r="O48093" t="str">
            <v/>
          </cell>
        </row>
        <row r="48094">
          <cell r="O48094" t="str">
            <v/>
          </cell>
        </row>
        <row r="48095">
          <cell r="O48095" t="str">
            <v/>
          </cell>
        </row>
        <row r="48096">
          <cell r="O48096" t="str">
            <v/>
          </cell>
        </row>
        <row r="48097">
          <cell r="O48097" t="str">
            <v/>
          </cell>
        </row>
        <row r="48098">
          <cell r="O48098" t="str">
            <v/>
          </cell>
        </row>
        <row r="48099">
          <cell r="O48099" t="str">
            <v/>
          </cell>
        </row>
        <row r="48100">
          <cell r="O48100" t="str">
            <v/>
          </cell>
        </row>
        <row r="48101">
          <cell r="O48101" t="str">
            <v/>
          </cell>
        </row>
        <row r="48102">
          <cell r="O48102" t="str">
            <v/>
          </cell>
        </row>
        <row r="48103">
          <cell r="O48103" t="str">
            <v/>
          </cell>
        </row>
        <row r="48104">
          <cell r="O48104" t="str">
            <v/>
          </cell>
        </row>
        <row r="48105">
          <cell r="O48105" t="str">
            <v/>
          </cell>
        </row>
        <row r="48106">
          <cell r="O48106" t="str">
            <v/>
          </cell>
        </row>
        <row r="48107">
          <cell r="O48107" t="str">
            <v/>
          </cell>
        </row>
        <row r="48108">
          <cell r="O48108" t="str">
            <v/>
          </cell>
        </row>
        <row r="48109">
          <cell r="O48109" t="str">
            <v/>
          </cell>
        </row>
        <row r="48110">
          <cell r="O48110" t="str">
            <v/>
          </cell>
        </row>
        <row r="48111">
          <cell r="O48111" t="str">
            <v/>
          </cell>
        </row>
        <row r="48112">
          <cell r="O48112" t="str">
            <v/>
          </cell>
        </row>
        <row r="48113">
          <cell r="O48113" t="str">
            <v/>
          </cell>
        </row>
        <row r="48114">
          <cell r="O48114" t="str">
            <v/>
          </cell>
        </row>
        <row r="48115">
          <cell r="O48115" t="str">
            <v/>
          </cell>
        </row>
        <row r="48116">
          <cell r="O48116" t="str">
            <v/>
          </cell>
        </row>
        <row r="48117">
          <cell r="O48117" t="str">
            <v/>
          </cell>
        </row>
        <row r="48118">
          <cell r="O48118" t="str">
            <v/>
          </cell>
        </row>
        <row r="48119">
          <cell r="O48119" t="str">
            <v/>
          </cell>
        </row>
        <row r="48120">
          <cell r="O48120" t="str">
            <v/>
          </cell>
        </row>
        <row r="48121">
          <cell r="O48121" t="str">
            <v/>
          </cell>
        </row>
        <row r="48122">
          <cell r="O48122" t="str">
            <v/>
          </cell>
        </row>
        <row r="48123">
          <cell r="O48123" t="str">
            <v/>
          </cell>
        </row>
        <row r="48124">
          <cell r="O48124" t="str">
            <v/>
          </cell>
        </row>
        <row r="48125">
          <cell r="O48125" t="str">
            <v/>
          </cell>
        </row>
        <row r="48126">
          <cell r="O48126" t="str">
            <v/>
          </cell>
        </row>
        <row r="48127">
          <cell r="O48127" t="str">
            <v/>
          </cell>
        </row>
        <row r="48128">
          <cell r="O48128" t="str">
            <v/>
          </cell>
        </row>
        <row r="48129">
          <cell r="O48129" t="str">
            <v/>
          </cell>
        </row>
        <row r="48130">
          <cell r="O48130" t="str">
            <v/>
          </cell>
        </row>
        <row r="48131">
          <cell r="O48131" t="str">
            <v/>
          </cell>
        </row>
        <row r="48132">
          <cell r="O48132" t="str">
            <v/>
          </cell>
        </row>
        <row r="48133">
          <cell r="O48133" t="str">
            <v/>
          </cell>
        </row>
        <row r="48134">
          <cell r="O48134" t="str">
            <v/>
          </cell>
        </row>
        <row r="48135">
          <cell r="O48135" t="str">
            <v/>
          </cell>
        </row>
        <row r="48136">
          <cell r="O48136" t="str">
            <v/>
          </cell>
        </row>
        <row r="48137">
          <cell r="O48137" t="str">
            <v/>
          </cell>
        </row>
        <row r="48138">
          <cell r="O48138" t="str">
            <v/>
          </cell>
        </row>
        <row r="48139">
          <cell r="O48139" t="str">
            <v/>
          </cell>
        </row>
        <row r="48140">
          <cell r="O48140" t="str">
            <v/>
          </cell>
        </row>
        <row r="48141">
          <cell r="O48141" t="str">
            <v/>
          </cell>
        </row>
        <row r="48142">
          <cell r="O48142" t="str">
            <v/>
          </cell>
        </row>
        <row r="48143">
          <cell r="O48143" t="str">
            <v/>
          </cell>
        </row>
        <row r="48144">
          <cell r="O48144" t="str">
            <v/>
          </cell>
        </row>
        <row r="48145">
          <cell r="O48145" t="str">
            <v/>
          </cell>
        </row>
        <row r="48146">
          <cell r="O48146" t="str">
            <v/>
          </cell>
        </row>
        <row r="48147">
          <cell r="O48147" t="str">
            <v/>
          </cell>
        </row>
        <row r="48148">
          <cell r="O48148" t="str">
            <v/>
          </cell>
        </row>
        <row r="48149">
          <cell r="O48149" t="str">
            <v/>
          </cell>
        </row>
        <row r="48150">
          <cell r="O48150" t="str">
            <v/>
          </cell>
        </row>
        <row r="48151">
          <cell r="O48151" t="str">
            <v/>
          </cell>
        </row>
        <row r="48152">
          <cell r="O48152" t="str">
            <v/>
          </cell>
        </row>
        <row r="48153">
          <cell r="O48153" t="str">
            <v/>
          </cell>
        </row>
        <row r="48154">
          <cell r="O48154" t="str">
            <v/>
          </cell>
        </row>
        <row r="48155">
          <cell r="O48155" t="str">
            <v/>
          </cell>
        </row>
        <row r="48156">
          <cell r="O48156" t="str">
            <v/>
          </cell>
        </row>
        <row r="48157">
          <cell r="O48157" t="str">
            <v/>
          </cell>
        </row>
        <row r="48158">
          <cell r="O48158" t="str">
            <v/>
          </cell>
        </row>
        <row r="48159">
          <cell r="O48159" t="str">
            <v/>
          </cell>
        </row>
        <row r="48160">
          <cell r="O48160" t="str">
            <v/>
          </cell>
        </row>
        <row r="48161">
          <cell r="O48161" t="str">
            <v/>
          </cell>
        </row>
        <row r="48162">
          <cell r="O48162" t="str">
            <v/>
          </cell>
        </row>
        <row r="48163">
          <cell r="O48163" t="str">
            <v/>
          </cell>
        </row>
        <row r="48164">
          <cell r="O48164" t="str">
            <v/>
          </cell>
        </row>
        <row r="48165">
          <cell r="O48165" t="str">
            <v/>
          </cell>
        </row>
        <row r="48166">
          <cell r="O48166" t="str">
            <v/>
          </cell>
        </row>
        <row r="48167">
          <cell r="O48167" t="str">
            <v/>
          </cell>
        </row>
        <row r="48168">
          <cell r="O48168" t="str">
            <v/>
          </cell>
        </row>
        <row r="48169">
          <cell r="O48169" t="str">
            <v/>
          </cell>
        </row>
        <row r="48170">
          <cell r="O48170" t="str">
            <v/>
          </cell>
        </row>
        <row r="48171">
          <cell r="O48171" t="str">
            <v/>
          </cell>
        </row>
        <row r="48172">
          <cell r="O48172" t="str">
            <v/>
          </cell>
        </row>
        <row r="48173">
          <cell r="O48173" t="str">
            <v/>
          </cell>
        </row>
        <row r="48174">
          <cell r="O48174" t="str">
            <v/>
          </cell>
        </row>
        <row r="48175">
          <cell r="O48175" t="str">
            <v/>
          </cell>
        </row>
        <row r="48176">
          <cell r="O48176" t="str">
            <v/>
          </cell>
        </row>
        <row r="48177">
          <cell r="O48177" t="str">
            <v/>
          </cell>
        </row>
        <row r="48178">
          <cell r="O48178" t="str">
            <v/>
          </cell>
        </row>
        <row r="48179">
          <cell r="O48179" t="str">
            <v/>
          </cell>
        </row>
        <row r="48180">
          <cell r="O48180" t="str">
            <v/>
          </cell>
        </row>
        <row r="48181">
          <cell r="O48181" t="str">
            <v/>
          </cell>
        </row>
        <row r="48182">
          <cell r="O48182" t="str">
            <v/>
          </cell>
        </row>
        <row r="48183">
          <cell r="O48183" t="str">
            <v/>
          </cell>
        </row>
        <row r="48184">
          <cell r="O48184" t="str">
            <v/>
          </cell>
        </row>
        <row r="48185">
          <cell r="O48185" t="str">
            <v/>
          </cell>
        </row>
        <row r="48186">
          <cell r="O48186" t="str">
            <v/>
          </cell>
        </row>
        <row r="48187">
          <cell r="O48187" t="str">
            <v/>
          </cell>
        </row>
        <row r="48188">
          <cell r="O48188" t="str">
            <v/>
          </cell>
        </row>
        <row r="48189">
          <cell r="O48189" t="str">
            <v/>
          </cell>
        </row>
        <row r="48190">
          <cell r="O48190" t="str">
            <v/>
          </cell>
        </row>
        <row r="48191">
          <cell r="O48191" t="str">
            <v/>
          </cell>
        </row>
        <row r="48192">
          <cell r="O48192" t="str">
            <v/>
          </cell>
        </row>
        <row r="48193">
          <cell r="O48193" t="str">
            <v/>
          </cell>
        </row>
        <row r="48194">
          <cell r="O48194" t="str">
            <v/>
          </cell>
        </row>
        <row r="48195">
          <cell r="O48195" t="str">
            <v/>
          </cell>
        </row>
        <row r="48196">
          <cell r="O48196" t="str">
            <v/>
          </cell>
        </row>
        <row r="48197">
          <cell r="O48197" t="str">
            <v/>
          </cell>
        </row>
        <row r="48198">
          <cell r="O48198" t="str">
            <v/>
          </cell>
        </row>
        <row r="48199">
          <cell r="O48199" t="str">
            <v/>
          </cell>
        </row>
        <row r="48200">
          <cell r="O48200" t="str">
            <v/>
          </cell>
        </row>
        <row r="48201">
          <cell r="O48201" t="str">
            <v/>
          </cell>
        </row>
        <row r="48202">
          <cell r="O48202" t="str">
            <v/>
          </cell>
        </row>
        <row r="48203">
          <cell r="O48203" t="str">
            <v/>
          </cell>
        </row>
        <row r="48204">
          <cell r="O48204" t="str">
            <v/>
          </cell>
        </row>
        <row r="48205">
          <cell r="O48205" t="str">
            <v/>
          </cell>
        </row>
        <row r="48206">
          <cell r="O48206" t="str">
            <v/>
          </cell>
        </row>
        <row r="48207">
          <cell r="O48207" t="str">
            <v/>
          </cell>
        </row>
        <row r="48208">
          <cell r="O48208" t="str">
            <v/>
          </cell>
        </row>
        <row r="48209">
          <cell r="O48209" t="str">
            <v/>
          </cell>
        </row>
        <row r="48210">
          <cell r="O48210" t="str">
            <v/>
          </cell>
        </row>
        <row r="48211">
          <cell r="O48211" t="str">
            <v/>
          </cell>
        </row>
        <row r="48212">
          <cell r="O48212" t="str">
            <v/>
          </cell>
        </row>
        <row r="48213">
          <cell r="O48213" t="str">
            <v/>
          </cell>
        </row>
        <row r="48214">
          <cell r="O48214" t="str">
            <v/>
          </cell>
        </row>
        <row r="48215">
          <cell r="O48215" t="str">
            <v/>
          </cell>
        </row>
        <row r="48216">
          <cell r="O48216" t="str">
            <v/>
          </cell>
        </row>
        <row r="48217">
          <cell r="O48217" t="str">
            <v/>
          </cell>
        </row>
        <row r="48218">
          <cell r="O48218" t="str">
            <v/>
          </cell>
        </row>
        <row r="48219">
          <cell r="O48219" t="str">
            <v/>
          </cell>
        </row>
        <row r="48220">
          <cell r="O48220" t="str">
            <v/>
          </cell>
        </row>
        <row r="48221">
          <cell r="O48221" t="str">
            <v/>
          </cell>
        </row>
        <row r="48222">
          <cell r="O48222" t="str">
            <v/>
          </cell>
        </row>
        <row r="48223">
          <cell r="O48223" t="str">
            <v/>
          </cell>
        </row>
        <row r="48224">
          <cell r="O48224" t="str">
            <v/>
          </cell>
        </row>
        <row r="48225">
          <cell r="O48225" t="str">
            <v/>
          </cell>
        </row>
        <row r="48226">
          <cell r="O48226" t="str">
            <v/>
          </cell>
        </row>
        <row r="48227">
          <cell r="O48227" t="str">
            <v/>
          </cell>
        </row>
        <row r="48228">
          <cell r="O48228" t="str">
            <v/>
          </cell>
        </row>
        <row r="48229">
          <cell r="O48229" t="str">
            <v/>
          </cell>
        </row>
        <row r="48230">
          <cell r="O48230" t="str">
            <v/>
          </cell>
        </row>
        <row r="48231">
          <cell r="O48231" t="str">
            <v/>
          </cell>
        </row>
        <row r="48232">
          <cell r="O48232" t="str">
            <v/>
          </cell>
        </row>
        <row r="48233">
          <cell r="O48233" t="str">
            <v/>
          </cell>
        </row>
        <row r="48234">
          <cell r="O48234" t="str">
            <v/>
          </cell>
        </row>
        <row r="48235">
          <cell r="O48235" t="str">
            <v/>
          </cell>
        </row>
        <row r="48236">
          <cell r="O48236" t="str">
            <v/>
          </cell>
        </row>
        <row r="48237">
          <cell r="O48237" t="str">
            <v/>
          </cell>
        </row>
        <row r="48238">
          <cell r="O48238" t="str">
            <v/>
          </cell>
        </row>
        <row r="48239">
          <cell r="O48239" t="str">
            <v/>
          </cell>
        </row>
        <row r="48240">
          <cell r="O48240" t="str">
            <v/>
          </cell>
        </row>
        <row r="48241">
          <cell r="O48241" t="str">
            <v/>
          </cell>
        </row>
        <row r="48242">
          <cell r="O48242" t="str">
            <v/>
          </cell>
        </row>
        <row r="48243">
          <cell r="O48243" t="str">
            <v/>
          </cell>
        </row>
        <row r="48244">
          <cell r="O48244" t="str">
            <v/>
          </cell>
        </row>
        <row r="48245">
          <cell r="O48245" t="str">
            <v/>
          </cell>
        </row>
        <row r="48246">
          <cell r="O48246" t="str">
            <v/>
          </cell>
        </row>
        <row r="48247">
          <cell r="O48247" t="str">
            <v/>
          </cell>
        </row>
        <row r="48248">
          <cell r="O48248" t="str">
            <v/>
          </cell>
        </row>
        <row r="48249">
          <cell r="O48249" t="str">
            <v/>
          </cell>
        </row>
        <row r="48250">
          <cell r="O48250" t="str">
            <v/>
          </cell>
        </row>
        <row r="48251">
          <cell r="O48251" t="str">
            <v/>
          </cell>
        </row>
        <row r="48252">
          <cell r="O48252" t="str">
            <v/>
          </cell>
        </row>
        <row r="48253">
          <cell r="O48253" t="str">
            <v/>
          </cell>
        </row>
        <row r="48254">
          <cell r="O48254" t="str">
            <v/>
          </cell>
        </row>
        <row r="48255">
          <cell r="O48255" t="str">
            <v/>
          </cell>
        </row>
        <row r="48256">
          <cell r="O48256" t="str">
            <v/>
          </cell>
        </row>
        <row r="48257">
          <cell r="O48257" t="str">
            <v/>
          </cell>
        </row>
        <row r="48258">
          <cell r="O48258" t="str">
            <v/>
          </cell>
        </row>
        <row r="48259">
          <cell r="O48259" t="str">
            <v/>
          </cell>
        </row>
        <row r="48260">
          <cell r="O48260" t="str">
            <v/>
          </cell>
        </row>
        <row r="48261">
          <cell r="O48261" t="str">
            <v/>
          </cell>
        </row>
        <row r="48262">
          <cell r="O48262" t="str">
            <v/>
          </cell>
        </row>
        <row r="48263">
          <cell r="O48263" t="str">
            <v/>
          </cell>
        </row>
        <row r="48264">
          <cell r="O48264" t="str">
            <v/>
          </cell>
        </row>
        <row r="48265">
          <cell r="O48265" t="str">
            <v/>
          </cell>
        </row>
        <row r="48266">
          <cell r="O48266" t="str">
            <v/>
          </cell>
        </row>
        <row r="48267">
          <cell r="O48267" t="str">
            <v/>
          </cell>
        </row>
        <row r="48268">
          <cell r="O48268" t="str">
            <v/>
          </cell>
        </row>
        <row r="48269">
          <cell r="O48269" t="str">
            <v/>
          </cell>
        </row>
        <row r="48270">
          <cell r="O48270" t="str">
            <v/>
          </cell>
        </row>
        <row r="48271">
          <cell r="O48271" t="str">
            <v/>
          </cell>
        </row>
        <row r="48272">
          <cell r="O48272" t="str">
            <v/>
          </cell>
        </row>
        <row r="48273">
          <cell r="O48273" t="str">
            <v/>
          </cell>
        </row>
        <row r="48274">
          <cell r="O48274" t="str">
            <v/>
          </cell>
        </row>
        <row r="48275">
          <cell r="O48275" t="str">
            <v/>
          </cell>
        </row>
        <row r="48276">
          <cell r="O48276" t="str">
            <v/>
          </cell>
        </row>
        <row r="48277">
          <cell r="O48277" t="str">
            <v/>
          </cell>
        </row>
        <row r="48278">
          <cell r="O48278" t="str">
            <v/>
          </cell>
        </row>
        <row r="48279">
          <cell r="O48279" t="str">
            <v/>
          </cell>
        </row>
        <row r="48280">
          <cell r="O48280" t="str">
            <v/>
          </cell>
        </row>
        <row r="48281">
          <cell r="O48281" t="str">
            <v/>
          </cell>
        </row>
        <row r="48282">
          <cell r="O48282" t="str">
            <v/>
          </cell>
        </row>
        <row r="48283">
          <cell r="O48283" t="str">
            <v/>
          </cell>
        </row>
        <row r="48284">
          <cell r="O48284" t="str">
            <v/>
          </cell>
        </row>
        <row r="48285">
          <cell r="O48285" t="str">
            <v/>
          </cell>
        </row>
        <row r="48286">
          <cell r="O48286" t="str">
            <v/>
          </cell>
        </row>
        <row r="48287">
          <cell r="O48287" t="str">
            <v/>
          </cell>
        </row>
        <row r="48288">
          <cell r="O48288" t="str">
            <v/>
          </cell>
        </row>
        <row r="48289">
          <cell r="O48289" t="str">
            <v/>
          </cell>
        </row>
        <row r="48290">
          <cell r="O48290" t="str">
            <v/>
          </cell>
        </row>
        <row r="48291">
          <cell r="O48291" t="str">
            <v/>
          </cell>
        </row>
        <row r="48292">
          <cell r="O48292" t="str">
            <v/>
          </cell>
        </row>
        <row r="48293">
          <cell r="O48293" t="str">
            <v/>
          </cell>
        </row>
        <row r="48294">
          <cell r="O48294" t="str">
            <v/>
          </cell>
        </row>
        <row r="48295">
          <cell r="O48295" t="str">
            <v/>
          </cell>
        </row>
        <row r="48296">
          <cell r="O48296" t="str">
            <v/>
          </cell>
        </row>
        <row r="48297">
          <cell r="O48297" t="str">
            <v/>
          </cell>
        </row>
        <row r="48298">
          <cell r="O48298" t="str">
            <v/>
          </cell>
        </row>
        <row r="48299">
          <cell r="O48299" t="str">
            <v/>
          </cell>
        </row>
        <row r="48300">
          <cell r="O48300" t="str">
            <v/>
          </cell>
        </row>
        <row r="48301">
          <cell r="O48301" t="str">
            <v/>
          </cell>
        </row>
        <row r="48302">
          <cell r="O48302" t="str">
            <v/>
          </cell>
        </row>
        <row r="48303">
          <cell r="O48303" t="str">
            <v/>
          </cell>
        </row>
        <row r="48304">
          <cell r="O48304" t="str">
            <v/>
          </cell>
        </row>
        <row r="48305">
          <cell r="O48305" t="str">
            <v/>
          </cell>
        </row>
        <row r="48306">
          <cell r="O48306" t="str">
            <v/>
          </cell>
        </row>
        <row r="48307">
          <cell r="O48307" t="str">
            <v/>
          </cell>
        </row>
        <row r="48308">
          <cell r="O48308" t="str">
            <v/>
          </cell>
        </row>
        <row r="48309">
          <cell r="O48309" t="str">
            <v/>
          </cell>
        </row>
        <row r="48310">
          <cell r="O48310" t="str">
            <v/>
          </cell>
        </row>
        <row r="48311">
          <cell r="O48311" t="str">
            <v/>
          </cell>
        </row>
        <row r="48312">
          <cell r="O48312" t="str">
            <v/>
          </cell>
        </row>
        <row r="48313">
          <cell r="O48313" t="str">
            <v/>
          </cell>
        </row>
        <row r="48314">
          <cell r="O48314" t="str">
            <v/>
          </cell>
        </row>
        <row r="48315">
          <cell r="O48315" t="str">
            <v/>
          </cell>
        </row>
        <row r="48316">
          <cell r="O48316" t="str">
            <v/>
          </cell>
        </row>
        <row r="48317">
          <cell r="O48317" t="str">
            <v/>
          </cell>
        </row>
        <row r="48318">
          <cell r="O48318" t="str">
            <v/>
          </cell>
        </row>
        <row r="48319">
          <cell r="O48319" t="str">
            <v/>
          </cell>
        </row>
        <row r="48320">
          <cell r="O48320" t="str">
            <v/>
          </cell>
        </row>
        <row r="48321">
          <cell r="O48321" t="str">
            <v/>
          </cell>
        </row>
        <row r="48322">
          <cell r="O48322" t="str">
            <v/>
          </cell>
        </row>
        <row r="48323">
          <cell r="O48323" t="str">
            <v/>
          </cell>
        </row>
        <row r="48324">
          <cell r="O48324" t="str">
            <v/>
          </cell>
        </row>
        <row r="48325">
          <cell r="O48325" t="str">
            <v/>
          </cell>
        </row>
        <row r="48326">
          <cell r="O48326" t="str">
            <v/>
          </cell>
        </row>
        <row r="48327">
          <cell r="O48327" t="str">
            <v/>
          </cell>
        </row>
        <row r="48328">
          <cell r="O48328" t="str">
            <v/>
          </cell>
        </row>
        <row r="48329">
          <cell r="O48329" t="str">
            <v/>
          </cell>
        </row>
        <row r="48330">
          <cell r="O48330" t="str">
            <v/>
          </cell>
        </row>
        <row r="48331">
          <cell r="O48331" t="str">
            <v/>
          </cell>
        </row>
        <row r="48332">
          <cell r="O48332" t="str">
            <v/>
          </cell>
        </row>
        <row r="48333">
          <cell r="O48333" t="str">
            <v/>
          </cell>
        </row>
        <row r="48334">
          <cell r="O48334" t="str">
            <v/>
          </cell>
        </row>
        <row r="48335">
          <cell r="O48335" t="str">
            <v/>
          </cell>
        </row>
        <row r="48336">
          <cell r="O48336" t="str">
            <v/>
          </cell>
        </row>
        <row r="48337">
          <cell r="O48337" t="str">
            <v/>
          </cell>
        </row>
        <row r="48338">
          <cell r="O48338" t="str">
            <v/>
          </cell>
        </row>
        <row r="48339">
          <cell r="O48339" t="str">
            <v/>
          </cell>
        </row>
        <row r="48340">
          <cell r="O48340" t="str">
            <v/>
          </cell>
        </row>
        <row r="48341">
          <cell r="O48341" t="str">
            <v/>
          </cell>
        </row>
        <row r="48342">
          <cell r="O48342" t="str">
            <v/>
          </cell>
        </row>
        <row r="48343">
          <cell r="O48343" t="str">
            <v/>
          </cell>
        </row>
        <row r="48344">
          <cell r="O48344" t="str">
            <v/>
          </cell>
        </row>
        <row r="48345">
          <cell r="O48345" t="str">
            <v/>
          </cell>
        </row>
        <row r="48346">
          <cell r="O48346" t="str">
            <v/>
          </cell>
        </row>
        <row r="48347">
          <cell r="O48347" t="str">
            <v/>
          </cell>
        </row>
        <row r="48348">
          <cell r="O48348" t="str">
            <v/>
          </cell>
        </row>
        <row r="48349">
          <cell r="O48349" t="str">
            <v/>
          </cell>
        </row>
        <row r="48350">
          <cell r="O48350" t="str">
            <v/>
          </cell>
        </row>
        <row r="48351">
          <cell r="O48351" t="str">
            <v/>
          </cell>
        </row>
        <row r="48352">
          <cell r="O48352" t="str">
            <v/>
          </cell>
        </row>
        <row r="48353">
          <cell r="O48353" t="str">
            <v/>
          </cell>
        </row>
        <row r="48354">
          <cell r="O48354" t="str">
            <v/>
          </cell>
        </row>
        <row r="48355">
          <cell r="O48355" t="str">
            <v/>
          </cell>
        </row>
        <row r="48356">
          <cell r="O48356" t="str">
            <v/>
          </cell>
        </row>
        <row r="48357">
          <cell r="O48357" t="str">
            <v/>
          </cell>
        </row>
        <row r="48358">
          <cell r="O48358" t="str">
            <v/>
          </cell>
        </row>
        <row r="48359">
          <cell r="O48359" t="str">
            <v/>
          </cell>
        </row>
        <row r="48360">
          <cell r="O48360" t="str">
            <v/>
          </cell>
        </row>
        <row r="48361">
          <cell r="O48361" t="str">
            <v/>
          </cell>
        </row>
        <row r="48362">
          <cell r="O48362" t="str">
            <v/>
          </cell>
        </row>
        <row r="48363">
          <cell r="O48363" t="str">
            <v/>
          </cell>
        </row>
        <row r="48364">
          <cell r="O48364" t="str">
            <v/>
          </cell>
        </row>
        <row r="48365">
          <cell r="O48365" t="str">
            <v/>
          </cell>
        </row>
        <row r="48366">
          <cell r="O48366" t="str">
            <v/>
          </cell>
        </row>
        <row r="48367">
          <cell r="O48367" t="str">
            <v/>
          </cell>
        </row>
        <row r="48368">
          <cell r="O48368" t="str">
            <v/>
          </cell>
        </row>
        <row r="48369">
          <cell r="O48369" t="str">
            <v/>
          </cell>
        </row>
        <row r="48370">
          <cell r="O48370" t="str">
            <v/>
          </cell>
        </row>
        <row r="48371">
          <cell r="O48371" t="str">
            <v/>
          </cell>
        </row>
        <row r="48372">
          <cell r="O48372" t="str">
            <v/>
          </cell>
        </row>
        <row r="48373">
          <cell r="O48373" t="str">
            <v/>
          </cell>
        </row>
        <row r="48374">
          <cell r="O48374" t="str">
            <v/>
          </cell>
        </row>
        <row r="48375">
          <cell r="O48375" t="str">
            <v/>
          </cell>
        </row>
        <row r="48376">
          <cell r="O48376" t="str">
            <v/>
          </cell>
        </row>
        <row r="48377">
          <cell r="O48377" t="str">
            <v/>
          </cell>
        </row>
        <row r="48378">
          <cell r="O48378" t="str">
            <v/>
          </cell>
        </row>
        <row r="48379">
          <cell r="O48379" t="str">
            <v/>
          </cell>
        </row>
        <row r="48380">
          <cell r="O48380" t="str">
            <v/>
          </cell>
        </row>
        <row r="48381">
          <cell r="O48381" t="str">
            <v/>
          </cell>
        </row>
        <row r="48382">
          <cell r="O48382" t="str">
            <v/>
          </cell>
        </row>
        <row r="48383">
          <cell r="O48383" t="str">
            <v/>
          </cell>
        </row>
        <row r="48384">
          <cell r="O48384" t="str">
            <v/>
          </cell>
        </row>
        <row r="48385">
          <cell r="O48385" t="str">
            <v/>
          </cell>
        </row>
        <row r="48386">
          <cell r="O48386" t="str">
            <v/>
          </cell>
        </row>
        <row r="48387">
          <cell r="O48387" t="str">
            <v/>
          </cell>
        </row>
        <row r="48388">
          <cell r="O48388" t="str">
            <v/>
          </cell>
        </row>
        <row r="48389">
          <cell r="O48389" t="str">
            <v/>
          </cell>
        </row>
        <row r="48390">
          <cell r="O48390" t="str">
            <v/>
          </cell>
        </row>
        <row r="48391">
          <cell r="O48391" t="str">
            <v/>
          </cell>
        </row>
        <row r="48392">
          <cell r="O48392" t="str">
            <v/>
          </cell>
        </row>
        <row r="48393">
          <cell r="O48393" t="str">
            <v/>
          </cell>
        </row>
        <row r="48394">
          <cell r="O48394" t="str">
            <v/>
          </cell>
        </row>
        <row r="48395">
          <cell r="O48395" t="str">
            <v/>
          </cell>
        </row>
        <row r="48396">
          <cell r="O48396" t="str">
            <v/>
          </cell>
        </row>
        <row r="48397">
          <cell r="O48397" t="str">
            <v/>
          </cell>
        </row>
        <row r="48398">
          <cell r="O48398" t="str">
            <v/>
          </cell>
        </row>
        <row r="48399">
          <cell r="O48399" t="str">
            <v/>
          </cell>
        </row>
        <row r="48400">
          <cell r="O48400" t="str">
            <v/>
          </cell>
        </row>
        <row r="48401">
          <cell r="O48401" t="str">
            <v/>
          </cell>
        </row>
        <row r="48402">
          <cell r="O48402" t="str">
            <v/>
          </cell>
        </row>
        <row r="48403">
          <cell r="O48403" t="str">
            <v/>
          </cell>
        </row>
        <row r="48404">
          <cell r="O48404" t="str">
            <v/>
          </cell>
        </row>
        <row r="48405">
          <cell r="O48405" t="str">
            <v/>
          </cell>
        </row>
        <row r="48406">
          <cell r="O48406" t="str">
            <v/>
          </cell>
        </row>
        <row r="48407">
          <cell r="O48407" t="str">
            <v/>
          </cell>
        </row>
        <row r="48408">
          <cell r="O48408" t="str">
            <v/>
          </cell>
        </row>
        <row r="48409">
          <cell r="O48409" t="str">
            <v/>
          </cell>
        </row>
        <row r="48410">
          <cell r="O48410" t="str">
            <v/>
          </cell>
        </row>
        <row r="48411">
          <cell r="O48411" t="str">
            <v/>
          </cell>
        </row>
        <row r="48412">
          <cell r="O48412" t="str">
            <v/>
          </cell>
        </row>
        <row r="48413">
          <cell r="O48413" t="str">
            <v/>
          </cell>
        </row>
        <row r="48414">
          <cell r="O48414" t="str">
            <v/>
          </cell>
        </row>
        <row r="48415">
          <cell r="O48415" t="str">
            <v/>
          </cell>
        </row>
        <row r="48416">
          <cell r="O48416" t="str">
            <v/>
          </cell>
        </row>
        <row r="48417">
          <cell r="O48417" t="str">
            <v/>
          </cell>
        </row>
        <row r="48418">
          <cell r="O48418" t="str">
            <v/>
          </cell>
        </row>
        <row r="48419">
          <cell r="O48419" t="str">
            <v/>
          </cell>
        </row>
        <row r="48420">
          <cell r="O48420" t="str">
            <v/>
          </cell>
        </row>
        <row r="48421">
          <cell r="O48421" t="str">
            <v/>
          </cell>
        </row>
        <row r="48422">
          <cell r="O48422" t="str">
            <v/>
          </cell>
        </row>
        <row r="48423">
          <cell r="O48423" t="str">
            <v/>
          </cell>
        </row>
        <row r="48424">
          <cell r="O48424" t="str">
            <v/>
          </cell>
        </row>
        <row r="48425">
          <cell r="O48425" t="str">
            <v/>
          </cell>
        </row>
        <row r="48426">
          <cell r="O48426" t="str">
            <v/>
          </cell>
        </row>
        <row r="48427">
          <cell r="O48427" t="str">
            <v/>
          </cell>
        </row>
        <row r="48428">
          <cell r="O48428" t="str">
            <v/>
          </cell>
        </row>
        <row r="48429">
          <cell r="O48429" t="str">
            <v/>
          </cell>
        </row>
        <row r="48430">
          <cell r="O48430" t="str">
            <v/>
          </cell>
        </row>
        <row r="48431">
          <cell r="O48431" t="str">
            <v/>
          </cell>
        </row>
        <row r="48432">
          <cell r="O48432" t="str">
            <v/>
          </cell>
        </row>
        <row r="48433">
          <cell r="O48433" t="str">
            <v/>
          </cell>
        </row>
        <row r="48434">
          <cell r="O48434" t="str">
            <v/>
          </cell>
        </row>
        <row r="48435">
          <cell r="O48435" t="str">
            <v/>
          </cell>
        </row>
        <row r="48436">
          <cell r="O48436" t="str">
            <v/>
          </cell>
        </row>
        <row r="48437">
          <cell r="O48437" t="str">
            <v/>
          </cell>
        </row>
        <row r="48438">
          <cell r="O48438" t="str">
            <v/>
          </cell>
        </row>
        <row r="48439">
          <cell r="O48439" t="str">
            <v/>
          </cell>
        </row>
        <row r="48440">
          <cell r="O48440" t="str">
            <v/>
          </cell>
        </row>
        <row r="48441">
          <cell r="O48441" t="str">
            <v/>
          </cell>
        </row>
        <row r="48442">
          <cell r="O48442" t="str">
            <v/>
          </cell>
        </row>
        <row r="48443">
          <cell r="O48443" t="str">
            <v/>
          </cell>
        </row>
        <row r="48444">
          <cell r="O48444" t="str">
            <v/>
          </cell>
        </row>
        <row r="48445">
          <cell r="O48445" t="str">
            <v/>
          </cell>
        </row>
        <row r="48446">
          <cell r="O48446" t="str">
            <v/>
          </cell>
        </row>
        <row r="48447">
          <cell r="O48447" t="str">
            <v/>
          </cell>
        </row>
        <row r="48448">
          <cell r="O48448" t="str">
            <v/>
          </cell>
        </row>
        <row r="48449">
          <cell r="O48449" t="str">
            <v/>
          </cell>
        </row>
        <row r="48450">
          <cell r="O48450" t="str">
            <v/>
          </cell>
        </row>
        <row r="48451">
          <cell r="O48451" t="str">
            <v/>
          </cell>
        </row>
        <row r="48452">
          <cell r="O48452" t="str">
            <v/>
          </cell>
        </row>
        <row r="48453">
          <cell r="O48453" t="str">
            <v/>
          </cell>
        </row>
        <row r="48454">
          <cell r="O48454" t="str">
            <v/>
          </cell>
        </row>
        <row r="48455">
          <cell r="O48455" t="str">
            <v/>
          </cell>
        </row>
        <row r="48456">
          <cell r="O48456" t="str">
            <v/>
          </cell>
        </row>
        <row r="48457">
          <cell r="O48457" t="str">
            <v/>
          </cell>
        </row>
        <row r="48458">
          <cell r="O48458" t="str">
            <v/>
          </cell>
        </row>
        <row r="48459">
          <cell r="O48459" t="str">
            <v/>
          </cell>
        </row>
        <row r="48460">
          <cell r="O48460" t="str">
            <v/>
          </cell>
        </row>
        <row r="48461">
          <cell r="O48461" t="str">
            <v/>
          </cell>
        </row>
        <row r="48462">
          <cell r="O48462" t="str">
            <v/>
          </cell>
        </row>
        <row r="48463">
          <cell r="O48463" t="str">
            <v/>
          </cell>
        </row>
        <row r="48464">
          <cell r="O48464" t="str">
            <v/>
          </cell>
        </row>
        <row r="48465">
          <cell r="O48465" t="str">
            <v/>
          </cell>
        </row>
        <row r="48466">
          <cell r="O48466" t="str">
            <v/>
          </cell>
        </row>
        <row r="48467">
          <cell r="O48467" t="str">
            <v/>
          </cell>
        </row>
        <row r="48468">
          <cell r="O48468" t="str">
            <v/>
          </cell>
        </row>
        <row r="48469">
          <cell r="O48469" t="str">
            <v/>
          </cell>
        </row>
        <row r="48470">
          <cell r="O48470" t="str">
            <v/>
          </cell>
        </row>
        <row r="48471">
          <cell r="O48471" t="str">
            <v/>
          </cell>
        </row>
        <row r="48472">
          <cell r="O48472" t="str">
            <v/>
          </cell>
        </row>
        <row r="48473">
          <cell r="O48473" t="str">
            <v/>
          </cell>
        </row>
        <row r="48474">
          <cell r="O48474" t="str">
            <v/>
          </cell>
        </row>
        <row r="48475">
          <cell r="O48475" t="str">
            <v/>
          </cell>
        </row>
        <row r="48476">
          <cell r="O48476" t="str">
            <v/>
          </cell>
        </row>
        <row r="48477">
          <cell r="O48477" t="str">
            <v/>
          </cell>
        </row>
        <row r="48478">
          <cell r="O48478" t="str">
            <v/>
          </cell>
        </row>
        <row r="48479">
          <cell r="O48479" t="str">
            <v/>
          </cell>
        </row>
        <row r="48480">
          <cell r="O48480" t="str">
            <v/>
          </cell>
        </row>
        <row r="48481">
          <cell r="O48481" t="str">
            <v/>
          </cell>
        </row>
        <row r="48482">
          <cell r="O48482" t="str">
            <v/>
          </cell>
        </row>
        <row r="48483">
          <cell r="O48483" t="str">
            <v/>
          </cell>
        </row>
        <row r="48484">
          <cell r="O48484" t="str">
            <v/>
          </cell>
        </row>
        <row r="48485">
          <cell r="O48485" t="str">
            <v/>
          </cell>
        </row>
        <row r="48486">
          <cell r="O48486" t="str">
            <v/>
          </cell>
        </row>
        <row r="48487">
          <cell r="O48487" t="str">
            <v/>
          </cell>
        </row>
        <row r="48488">
          <cell r="O48488" t="str">
            <v/>
          </cell>
        </row>
        <row r="48489">
          <cell r="O48489" t="str">
            <v/>
          </cell>
        </row>
        <row r="48490">
          <cell r="O48490" t="str">
            <v/>
          </cell>
        </row>
        <row r="48491">
          <cell r="O48491" t="str">
            <v/>
          </cell>
        </row>
        <row r="48492">
          <cell r="O48492" t="str">
            <v/>
          </cell>
        </row>
        <row r="48493">
          <cell r="O48493" t="str">
            <v/>
          </cell>
        </row>
        <row r="48494">
          <cell r="O48494" t="str">
            <v/>
          </cell>
        </row>
        <row r="48495">
          <cell r="O48495" t="str">
            <v/>
          </cell>
        </row>
        <row r="48496">
          <cell r="O48496" t="str">
            <v/>
          </cell>
        </row>
        <row r="48497">
          <cell r="O48497" t="str">
            <v/>
          </cell>
        </row>
        <row r="48498">
          <cell r="O48498" t="str">
            <v/>
          </cell>
        </row>
        <row r="48499">
          <cell r="O48499" t="str">
            <v/>
          </cell>
        </row>
        <row r="48500">
          <cell r="O48500" t="str">
            <v/>
          </cell>
        </row>
        <row r="48501">
          <cell r="O48501" t="str">
            <v/>
          </cell>
        </row>
        <row r="48502">
          <cell r="O48502" t="str">
            <v/>
          </cell>
        </row>
        <row r="48503">
          <cell r="O48503" t="str">
            <v/>
          </cell>
        </row>
        <row r="48504">
          <cell r="O48504" t="str">
            <v/>
          </cell>
        </row>
        <row r="48505">
          <cell r="O48505" t="str">
            <v/>
          </cell>
        </row>
        <row r="48506">
          <cell r="O48506" t="str">
            <v/>
          </cell>
        </row>
        <row r="48507">
          <cell r="O48507" t="str">
            <v/>
          </cell>
        </row>
        <row r="48508">
          <cell r="O48508" t="str">
            <v/>
          </cell>
        </row>
        <row r="48509">
          <cell r="O48509" t="str">
            <v/>
          </cell>
        </row>
        <row r="48510">
          <cell r="O48510" t="str">
            <v/>
          </cell>
        </row>
        <row r="48511">
          <cell r="O48511" t="str">
            <v/>
          </cell>
        </row>
        <row r="48512">
          <cell r="O48512" t="str">
            <v/>
          </cell>
        </row>
        <row r="48513">
          <cell r="O48513" t="str">
            <v/>
          </cell>
        </row>
        <row r="48514">
          <cell r="O48514" t="str">
            <v/>
          </cell>
        </row>
        <row r="48515">
          <cell r="O48515" t="str">
            <v/>
          </cell>
        </row>
        <row r="48516">
          <cell r="O48516" t="str">
            <v/>
          </cell>
        </row>
        <row r="48517">
          <cell r="O48517" t="str">
            <v/>
          </cell>
        </row>
        <row r="48518">
          <cell r="O48518" t="str">
            <v/>
          </cell>
        </row>
        <row r="48519">
          <cell r="O48519" t="str">
            <v/>
          </cell>
        </row>
        <row r="48520">
          <cell r="O48520" t="str">
            <v/>
          </cell>
        </row>
        <row r="48521">
          <cell r="O48521" t="str">
            <v/>
          </cell>
        </row>
        <row r="48522">
          <cell r="O48522" t="str">
            <v/>
          </cell>
        </row>
        <row r="48523">
          <cell r="O48523" t="str">
            <v/>
          </cell>
        </row>
        <row r="48524">
          <cell r="O48524" t="str">
            <v/>
          </cell>
        </row>
        <row r="48525">
          <cell r="O48525" t="str">
            <v/>
          </cell>
        </row>
        <row r="48526">
          <cell r="O48526" t="str">
            <v/>
          </cell>
        </row>
        <row r="48527">
          <cell r="O48527" t="str">
            <v/>
          </cell>
        </row>
        <row r="48528">
          <cell r="O48528" t="str">
            <v/>
          </cell>
        </row>
        <row r="48529">
          <cell r="O48529" t="str">
            <v/>
          </cell>
        </row>
        <row r="48530">
          <cell r="O48530" t="str">
            <v/>
          </cell>
        </row>
        <row r="48531">
          <cell r="O48531" t="str">
            <v/>
          </cell>
        </row>
        <row r="48532">
          <cell r="O48532" t="str">
            <v/>
          </cell>
        </row>
        <row r="48533">
          <cell r="O48533" t="str">
            <v/>
          </cell>
        </row>
        <row r="48534">
          <cell r="O48534" t="str">
            <v/>
          </cell>
        </row>
        <row r="48535">
          <cell r="O48535" t="str">
            <v/>
          </cell>
        </row>
        <row r="48536">
          <cell r="O48536" t="str">
            <v/>
          </cell>
        </row>
        <row r="48537">
          <cell r="O48537" t="str">
            <v/>
          </cell>
        </row>
        <row r="48538">
          <cell r="O48538" t="str">
            <v/>
          </cell>
        </row>
        <row r="48539">
          <cell r="O48539" t="str">
            <v/>
          </cell>
        </row>
        <row r="48540">
          <cell r="O48540" t="str">
            <v/>
          </cell>
        </row>
        <row r="48541">
          <cell r="O48541" t="str">
            <v/>
          </cell>
        </row>
        <row r="48542">
          <cell r="O48542" t="str">
            <v/>
          </cell>
        </row>
        <row r="48543">
          <cell r="O48543" t="str">
            <v/>
          </cell>
        </row>
        <row r="48544">
          <cell r="O48544" t="str">
            <v/>
          </cell>
        </row>
        <row r="48545">
          <cell r="O48545" t="str">
            <v/>
          </cell>
        </row>
        <row r="48546">
          <cell r="O48546" t="str">
            <v/>
          </cell>
        </row>
        <row r="48547">
          <cell r="O48547" t="str">
            <v/>
          </cell>
        </row>
        <row r="48548">
          <cell r="O48548" t="str">
            <v/>
          </cell>
        </row>
        <row r="48549">
          <cell r="O48549" t="str">
            <v/>
          </cell>
        </row>
        <row r="48550">
          <cell r="O48550" t="str">
            <v/>
          </cell>
        </row>
        <row r="48551">
          <cell r="O48551" t="str">
            <v/>
          </cell>
        </row>
        <row r="48552">
          <cell r="O48552" t="str">
            <v/>
          </cell>
        </row>
        <row r="48553">
          <cell r="O48553" t="str">
            <v/>
          </cell>
        </row>
        <row r="48554">
          <cell r="O48554" t="str">
            <v/>
          </cell>
        </row>
        <row r="48555">
          <cell r="O48555" t="str">
            <v/>
          </cell>
        </row>
        <row r="48556">
          <cell r="O48556" t="str">
            <v/>
          </cell>
        </row>
        <row r="48557">
          <cell r="O48557" t="str">
            <v/>
          </cell>
        </row>
        <row r="48558">
          <cell r="O48558" t="str">
            <v/>
          </cell>
        </row>
        <row r="48559">
          <cell r="O48559" t="str">
            <v/>
          </cell>
        </row>
        <row r="48560">
          <cell r="O48560" t="str">
            <v/>
          </cell>
        </row>
        <row r="48561">
          <cell r="O48561" t="str">
            <v/>
          </cell>
        </row>
        <row r="48562">
          <cell r="O48562" t="str">
            <v/>
          </cell>
        </row>
        <row r="48563">
          <cell r="O48563" t="str">
            <v/>
          </cell>
        </row>
        <row r="48564">
          <cell r="O48564" t="str">
            <v/>
          </cell>
        </row>
        <row r="48565">
          <cell r="O48565" t="str">
            <v/>
          </cell>
        </row>
        <row r="48566">
          <cell r="O48566" t="str">
            <v/>
          </cell>
        </row>
        <row r="48567">
          <cell r="O48567" t="str">
            <v/>
          </cell>
        </row>
        <row r="48568">
          <cell r="O48568" t="str">
            <v/>
          </cell>
        </row>
        <row r="48569">
          <cell r="O48569" t="str">
            <v/>
          </cell>
        </row>
        <row r="48570">
          <cell r="O48570" t="str">
            <v/>
          </cell>
        </row>
        <row r="48571">
          <cell r="O48571" t="str">
            <v/>
          </cell>
        </row>
        <row r="48572">
          <cell r="O48572" t="str">
            <v/>
          </cell>
        </row>
        <row r="48573">
          <cell r="O48573" t="str">
            <v/>
          </cell>
        </row>
        <row r="48574">
          <cell r="O48574" t="str">
            <v/>
          </cell>
        </row>
        <row r="48575">
          <cell r="O48575" t="str">
            <v/>
          </cell>
        </row>
        <row r="48576">
          <cell r="O48576" t="str">
            <v/>
          </cell>
        </row>
        <row r="48577">
          <cell r="O48577" t="str">
            <v/>
          </cell>
        </row>
        <row r="48578">
          <cell r="O48578" t="str">
            <v/>
          </cell>
        </row>
        <row r="48579">
          <cell r="O48579" t="str">
            <v/>
          </cell>
        </row>
        <row r="48580">
          <cell r="O48580" t="str">
            <v/>
          </cell>
        </row>
        <row r="48581">
          <cell r="O48581" t="str">
            <v/>
          </cell>
        </row>
        <row r="48582">
          <cell r="O48582" t="str">
            <v/>
          </cell>
        </row>
        <row r="48583">
          <cell r="O48583" t="str">
            <v/>
          </cell>
        </row>
        <row r="48584">
          <cell r="O48584" t="str">
            <v/>
          </cell>
        </row>
        <row r="48585">
          <cell r="O48585" t="str">
            <v/>
          </cell>
        </row>
        <row r="48586">
          <cell r="O48586" t="str">
            <v/>
          </cell>
        </row>
        <row r="48587">
          <cell r="O48587" t="str">
            <v/>
          </cell>
        </row>
        <row r="48588">
          <cell r="O48588" t="str">
            <v/>
          </cell>
        </row>
        <row r="48589">
          <cell r="O48589" t="str">
            <v/>
          </cell>
        </row>
        <row r="48590">
          <cell r="O48590" t="str">
            <v/>
          </cell>
        </row>
        <row r="48591">
          <cell r="O48591" t="str">
            <v/>
          </cell>
        </row>
        <row r="48592">
          <cell r="O48592" t="str">
            <v/>
          </cell>
        </row>
        <row r="48593">
          <cell r="O48593" t="str">
            <v/>
          </cell>
        </row>
        <row r="48594">
          <cell r="O48594" t="str">
            <v/>
          </cell>
        </row>
        <row r="48595">
          <cell r="O48595" t="str">
            <v/>
          </cell>
        </row>
        <row r="48596">
          <cell r="O48596" t="str">
            <v/>
          </cell>
        </row>
        <row r="48597">
          <cell r="O48597" t="str">
            <v/>
          </cell>
        </row>
        <row r="48598">
          <cell r="O48598" t="str">
            <v/>
          </cell>
        </row>
        <row r="48599">
          <cell r="O48599" t="str">
            <v/>
          </cell>
        </row>
        <row r="48600">
          <cell r="O48600" t="str">
            <v/>
          </cell>
        </row>
        <row r="48601">
          <cell r="O48601" t="str">
            <v/>
          </cell>
        </row>
        <row r="48602">
          <cell r="O48602" t="str">
            <v/>
          </cell>
        </row>
        <row r="48603">
          <cell r="O48603" t="str">
            <v/>
          </cell>
        </row>
        <row r="48604">
          <cell r="O48604" t="str">
            <v/>
          </cell>
        </row>
        <row r="48605">
          <cell r="O48605" t="str">
            <v/>
          </cell>
        </row>
        <row r="48606">
          <cell r="O48606" t="str">
            <v/>
          </cell>
        </row>
        <row r="48607">
          <cell r="O48607" t="str">
            <v/>
          </cell>
        </row>
        <row r="48608">
          <cell r="O48608" t="str">
            <v/>
          </cell>
        </row>
        <row r="48609">
          <cell r="O48609" t="str">
            <v/>
          </cell>
        </row>
        <row r="48610">
          <cell r="O48610" t="str">
            <v/>
          </cell>
        </row>
        <row r="48611">
          <cell r="O48611" t="str">
            <v/>
          </cell>
        </row>
        <row r="48612">
          <cell r="O48612" t="str">
            <v/>
          </cell>
        </row>
        <row r="48613">
          <cell r="O48613" t="str">
            <v/>
          </cell>
        </row>
        <row r="48614">
          <cell r="O48614" t="str">
            <v/>
          </cell>
        </row>
        <row r="48615">
          <cell r="O48615" t="str">
            <v/>
          </cell>
        </row>
        <row r="48616">
          <cell r="O48616" t="str">
            <v/>
          </cell>
        </row>
        <row r="48617">
          <cell r="O48617" t="str">
            <v/>
          </cell>
        </row>
        <row r="48618">
          <cell r="O48618" t="str">
            <v/>
          </cell>
        </row>
        <row r="48619">
          <cell r="O48619" t="str">
            <v/>
          </cell>
        </row>
        <row r="48620">
          <cell r="O48620" t="str">
            <v/>
          </cell>
        </row>
        <row r="48621">
          <cell r="O48621" t="str">
            <v/>
          </cell>
        </row>
        <row r="48622">
          <cell r="O48622" t="str">
            <v/>
          </cell>
        </row>
        <row r="48623">
          <cell r="O48623" t="str">
            <v/>
          </cell>
        </row>
        <row r="48624">
          <cell r="O48624" t="str">
            <v/>
          </cell>
        </row>
        <row r="48625">
          <cell r="O48625" t="str">
            <v/>
          </cell>
        </row>
        <row r="48626">
          <cell r="O48626" t="str">
            <v/>
          </cell>
        </row>
        <row r="48627">
          <cell r="O48627" t="str">
            <v/>
          </cell>
        </row>
        <row r="48628">
          <cell r="O48628" t="str">
            <v/>
          </cell>
        </row>
        <row r="48629">
          <cell r="O48629" t="str">
            <v/>
          </cell>
        </row>
        <row r="48630">
          <cell r="O48630" t="str">
            <v/>
          </cell>
        </row>
        <row r="48631">
          <cell r="O48631" t="str">
            <v/>
          </cell>
        </row>
        <row r="48632">
          <cell r="O48632" t="str">
            <v/>
          </cell>
        </row>
        <row r="48633">
          <cell r="O48633" t="str">
            <v/>
          </cell>
        </row>
        <row r="48634">
          <cell r="O48634" t="str">
            <v/>
          </cell>
        </row>
        <row r="48635">
          <cell r="O48635" t="str">
            <v/>
          </cell>
        </row>
        <row r="48636">
          <cell r="O48636" t="str">
            <v/>
          </cell>
        </row>
        <row r="48637">
          <cell r="O48637" t="str">
            <v/>
          </cell>
        </row>
        <row r="48638">
          <cell r="O48638" t="str">
            <v/>
          </cell>
        </row>
        <row r="48639">
          <cell r="O48639" t="str">
            <v/>
          </cell>
        </row>
        <row r="48640">
          <cell r="O48640" t="str">
            <v/>
          </cell>
        </row>
        <row r="48641">
          <cell r="O48641" t="str">
            <v/>
          </cell>
        </row>
        <row r="48642">
          <cell r="O48642" t="str">
            <v/>
          </cell>
        </row>
        <row r="48643">
          <cell r="O48643" t="str">
            <v/>
          </cell>
        </row>
        <row r="48644">
          <cell r="O48644" t="str">
            <v/>
          </cell>
        </row>
        <row r="48645">
          <cell r="O48645" t="str">
            <v/>
          </cell>
        </row>
        <row r="48646">
          <cell r="O48646" t="str">
            <v/>
          </cell>
        </row>
        <row r="48647">
          <cell r="O48647" t="str">
            <v/>
          </cell>
        </row>
        <row r="48648">
          <cell r="O48648" t="str">
            <v/>
          </cell>
        </row>
        <row r="48649">
          <cell r="O48649" t="str">
            <v/>
          </cell>
        </row>
        <row r="48650">
          <cell r="O48650" t="str">
            <v/>
          </cell>
        </row>
        <row r="48651">
          <cell r="O48651" t="str">
            <v/>
          </cell>
        </row>
        <row r="48652">
          <cell r="O48652" t="str">
            <v/>
          </cell>
        </row>
        <row r="48653">
          <cell r="O48653" t="str">
            <v/>
          </cell>
        </row>
        <row r="48654">
          <cell r="O48654" t="str">
            <v/>
          </cell>
        </row>
        <row r="48655">
          <cell r="O48655" t="str">
            <v/>
          </cell>
        </row>
        <row r="48656">
          <cell r="O48656" t="str">
            <v/>
          </cell>
        </row>
        <row r="48657">
          <cell r="O48657" t="str">
            <v/>
          </cell>
        </row>
        <row r="48658">
          <cell r="O48658" t="str">
            <v/>
          </cell>
        </row>
        <row r="48659">
          <cell r="O48659" t="str">
            <v/>
          </cell>
        </row>
        <row r="48660">
          <cell r="O48660" t="str">
            <v/>
          </cell>
        </row>
        <row r="48661">
          <cell r="O48661" t="str">
            <v/>
          </cell>
        </row>
        <row r="48662">
          <cell r="O48662" t="str">
            <v/>
          </cell>
        </row>
        <row r="48663">
          <cell r="O48663" t="str">
            <v/>
          </cell>
        </row>
        <row r="48664">
          <cell r="O48664" t="str">
            <v/>
          </cell>
        </row>
        <row r="48665">
          <cell r="O48665" t="str">
            <v/>
          </cell>
        </row>
        <row r="48666">
          <cell r="O48666" t="str">
            <v/>
          </cell>
        </row>
        <row r="48667">
          <cell r="O48667" t="str">
            <v/>
          </cell>
        </row>
        <row r="48668">
          <cell r="O48668" t="str">
            <v/>
          </cell>
        </row>
        <row r="48669">
          <cell r="O48669" t="str">
            <v/>
          </cell>
        </row>
        <row r="48670">
          <cell r="O48670" t="str">
            <v/>
          </cell>
        </row>
        <row r="48671">
          <cell r="O48671" t="str">
            <v/>
          </cell>
        </row>
        <row r="48672">
          <cell r="O48672" t="str">
            <v/>
          </cell>
        </row>
        <row r="48673">
          <cell r="O48673" t="str">
            <v/>
          </cell>
        </row>
        <row r="48674">
          <cell r="O48674" t="str">
            <v/>
          </cell>
        </row>
        <row r="48675">
          <cell r="O48675" t="str">
            <v/>
          </cell>
        </row>
        <row r="48676">
          <cell r="O48676" t="str">
            <v/>
          </cell>
        </row>
        <row r="48677">
          <cell r="O48677" t="str">
            <v/>
          </cell>
        </row>
        <row r="48678">
          <cell r="O48678" t="str">
            <v/>
          </cell>
        </row>
        <row r="48679">
          <cell r="O48679" t="str">
            <v/>
          </cell>
        </row>
        <row r="48680">
          <cell r="O48680" t="str">
            <v/>
          </cell>
        </row>
        <row r="48681">
          <cell r="O48681" t="str">
            <v/>
          </cell>
        </row>
        <row r="48682">
          <cell r="O48682" t="str">
            <v/>
          </cell>
        </row>
        <row r="48683">
          <cell r="O48683" t="str">
            <v/>
          </cell>
        </row>
        <row r="48684">
          <cell r="O48684" t="str">
            <v/>
          </cell>
        </row>
        <row r="48685">
          <cell r="O48685" t="str">
            <v/>
          </cell>
        </row>
        <row r="48686">
          <cell r="O48686" t="str">
            <v/>
          </cell>
        </row>
        <row r="48687">
          <cell r="O48687" t="str">
            <v/>
          </cell>
        </row>
        <row r="48688">
          <cell r="O48688" t="str">
            <v/>
          </cell>
        </row>
        <row r="48689">
          <cell r="O48689" t="str">
            <v/>
          </cell>
        </row>
        <row r="48690">
          <cell r="O48690" t="str">
            <v/>
          </cell>
        </row>
        <row r="48691">
          <cell r="O48691" t="str">
            <v/>
          </cell>
        </row>
        <row r="48692">
          <cell r="O48692" t="str">
            <v/>
          </cell>
        </row>
        <row r="48693">
          <cell r="O48693" t="str">
            <v/>
          </cell>
        </row>
        <row r="48694">
          <cell r="O48694" t="str">
            <v/>
          </cell>
        </row>
        <row r="48695">
          <cell r="O48695" t="str">
            <v/>
          </cell>
        </row>
        <row r="48696">
          <cell r="O48696" t="str">
            <v/>
          </cell>
        </row>
        <row r="48697">
          <cell r="O48697" t="str">
            <v/>
          </cell>
        </row>
        <row r="48698">
          <cell r="O48698" t="str">
            <v/>
          </cell>
        </row>
        <row r="48699">
          <cell r="O48699" t="str">
            <v/>
          </cell>
        </row>
        <row r="48700">
          <cell r="O48700" t="str">
            <v/>
          </cell>
        </row>
        <row r="48701">
          <cell r="O48701" t="str">
            <v/>
          </cell>
        </row>
        <row r="48702">
          <cell r="O48702" t="str">
            <v/>
          </cell>
        </row>
        <row r="48703">
          <cell r="O48703" t="str">
            <v/>
          </cell>
        </row>
        <row r="48704">
          <cell r="O48704" t="str">
            <v/>
          </cell>
        </row>
        <row r="48705">
          <cell r="O48705" t="str">
            <v/>
          </cell>
        </row>
        <row r="48706">
          <cell r="O48706" t="str">
            <v/>
          </cell>
        </row>
        <row r="48707">
          <cell r="O48707" t="str">
            <v/>
          </cell>
        </row>
        <row r="48708">
          <cell r="O48708" t="str">
            <v/>
          </cell>
        </row>
        <row r="48709">
          <cell r="O48709" t="str">
            <v/>
          </cell>
        </row>
        <row r="48710">
          <cell r="O48710" t="str">
            <v/>
          </cell>
        </row>
        <row r="48711">
          <cell r="O48711" t="str">
            <v/>
          </cell>
        </row>
        <row r="48712">
          <cell r="O48712" t="str">
            <v/>
          </cell>
        </row>
        <row r="48713">
          <cell r="O48713" t="str">
            <v/>
          </cell>
        </row>
        <row r="48714">
          <cell r="O48714" t="str">
            <v/>
          </cell>
        </row>
        <row r="48715">
          <cell r="O48715" t="str">
            <v/>
          </cell>
        </row>
        <row r="48716">
          <cell r="O48716" t="str">
            <v/>
          </cell>
        </row>
        <row r="48717">
          <cell r="O48717" t="str">
            <v/>
          </cell>
        </row>
        <row r="48718">
          <cell r="O48718" t="str">
            <v/>
          </cell>
        </row>
        <row r="48719">
          <cell r="O48719" t="str">
            <v/>
          </cell>
        </row>
        <row r="48720">
          <cell r="O48720" t="str">
            <v/>
          </cell>
        </row>
        <row r="48721">
          <cell r="O48721" t="str">
            <v/>
          </cell>
        </row>
        <row r="48722">
          <cell r="O48722" t="str">
            <v/>
          </cell>
        </row>
        <row r="48723">
          <cell r="O48723" t="str">
            <v/>
          </cell>
        </row>
        <row r="48724">
          <cell r="O48724" t="str">
            <v/>
          </cell>
        </row>
        <row r="48725">
          <cell r="O48725" t="str">
            <v/>
          </cell>
        </row>
        <row r="48726">
          <cell r="O48726" t="str">
            <v/>
          </cell>
        </row>
        <row r="48727">
          <cell r="O48727" t="str">
            <v/>
          </cell>
        </row>
        <row r="48728">
          <cell r="O48728" t="str">
            <v/>
          </cell>
        </row>
        <row r="48729">
          <cell r="O48729" t="str">
            <v/>
          </cell>
        </row>
        <row r="48730">
          <cell r="O48730" t="str">
            <v/>
          </cell>
        </row>
        <row r="48731">
          <cell r="O48731" t="str">
            <v/>
          </cell>
        </row>
        <row r="48732">
          <cell r="O48732" t="str">
            <v/>
          </cell>
        </row>
        <row r="48733">
          <cell r="O48733" t="str">
            <v/>
          </cell>
        </row>
        <row r="48734">
          <cell r="O48734" t="str">
            <v/>
          </cell>
        </row>
        <row r="48735">
          <cell r="O48735" t="str">
            <v/>
          </cell>
        </row>
        <row r="48736">
          <cell r="O48736" t="str">
            <v/>
          </cell>
        </row>
        <row r="48737">
          <cell r="O48737" t="str">
            <v/>
          </cell>
        </row>
        <row r="48738">
          <cell r="O48738" t="str">
            <v/>
          </cell>
        </row>
        <row r="48739">
          <cell r="O48739" t="str">
            <v/>
          </cell>
        </row>
        <row r="48740">
          <cell r="O48740" t="str">
            <v/>
          </cell>
        </row>
        <row r="48741">
          <cell r="O48741" t="str">
            <v/>
          </cell>
        </row>
        <row r="48742">
          <cell r="O48742" t="str">
            <v/>
          </cell>
        </row>
        <row r="48743">
          <cell r="O48743" t="str">
            <v/>
          </cell>
        </row>
        <row r="48744">
          <cell r="O48744" t="str">
            <v/>
          </cell>
        </row>
        <row r="48745">
          <cell r="O48745" t="str">
            <v/>
          </cell>
        </row>
        <row r="48746">
          <cell r="O48746" t="str">
            <v/>
          </cell>
        </row>
        <row r="48747">
          <cell r="O48747" t="str">
            <v/>
          </cell>
        </row>
        <row r="48748">
          <cell r="O48748" t="str">
            <v/>
          </cell>
        </row>
        <row r="48749">
          <cell r="O48749" t="str">
            <v/>
          </cell>
        </row>
        <row r="48750">
          <cell r="O48750" t="str">
            <v/>
          </cell>
        </row>
        <row r="48751">
          <cell r="O48751" t="str">
            <v/>
          </cell>
        </row>
        <row r="48752">
          <cell r="O48752" t="str">
            <v/>
          </cell>
        </row>
        <row r="48753">
          <cell r="O48753" t="str">
            <v/>
          </cell>
        </row>
        <row r="48754">
          <cell r="O48754" t="str">
            <v/>
          </cell>
        </row>
        <row r="48755">
          <cell r="O48755" t="str">
            <v/>
          </cell>
        </row>
        <row r="48756">
          <cell r="O48756" t="str">
            <v/>
          </cell>
        </row>
        <row r="48757">
          <cell r="O48757" t="str">
            <v/>
          </cell>
        </row>
        <row r="48758">
          <cell r="O48758" t="str">
            <v/>
          </cell>
        </row>
        <row r="48759">
          <cell r="O48759" t="str">
            <v/>
          </cell>
        </row>
        <row r="48760">
          <cell r="O48760" t="str">
            <v/>
          </cell>
        </row>
        <row r="48761">
          <cell r="O48761" t="str">
            <v/>
          </cell>
        </row>
        <row r="48762">
          <cell r="O48762" t="str">
            <v/>
          </cell>
        </row>
        <row r="48763">
          <cell r="O48763" t="str">
            <v/>
          </cell>
        </row>
        <row r="48764">
          <cell r="O48764" t="str">
            <v/>
          </cell>
        </row>
        <row r="48765">
          <cell r="O48765" t="str">
            <v/>
          </cell>
        </row>
        <row r="48766">
          <cell r="O48766" t="str">
            <v/>
          </cell>
        </row>
        <row r="48767">
          <cell r="O48767" t="str">
            <v/>
          </cell>
        </row>
        <row r="48768">
          <cell r="O48768" t="str">
            <v/>
          </cell>
        </row>
        <row r="48769">
          <cell r="O48769" t="str">
            <v/>
          </cell>
        </row>
        <row r="48770">
          <cell r="O48770" t="str">
            <v/>
          </cell>
        </row>
        <row r="48771">
          <cell r="O48771" t="str">
            <v/>
          </cell>
        </row>
        <row r="48772">
          <cell r="O48772" t="str">
            <v/>
          </cell>
        </row>
        <row r="48773">
          <cell r="O48773" t="str">
            <v/>
          </cell>
        </row>
        <row r="48774">
          <cell r="O48774" t="str">
            <v/>
          </cell>
        </row>
        <row r="48775">
          <cell r="O48775" t="str">
            <v/>
          </cell>
        </row>
        <row r="48776">
          <cell r="O48776" t="str">
            <v/>
          </cell>
        </row>
        <row r="48777">
          <cell r="O48777" t="str">
            <v/>
          </cell>
        </row>
        <row r="48778">
          <cell r="O48778" t="str">
            <v/>
          </cell>
        </row>
        <row r="48779">
          <cell r="O48779" t="str">
            <v/>
          </cell>
        </row>
        <row r="48780">
          <cell r="O48780" t="str">
            <v/>
          </cell>
        </row>
        <row r="48781">
          <cell r="O48781" t="str">
            <v/>
          </cell>
        </row>
        <row r="48782">
          <cell r="O48782" t="str">
            <v/>
          </cell>
        </row>
        <row r="48783">
          <cell r="O48783" t="str">
            <v/>
          </cell>
        </row>
        <row r="48784">
          <cell r="O48784" t="str">
            <v/>
          </cell>
        </row>
        <row r="48785">
          <cell r="O48785" t="str">
            <v/>
          </cell>
        </row>
        <row r="48786">
          <cell r="O48786" t="str">
            <v/>
          </cell>
        </row>
        <row r="48787">
          <cell r="O48787" t="str">
            <v/>
          </cell>
        </row>
        <row r="48788">
          <cell r="O48788" t="str">
            <v/>
          </cell>
        </row>
        <row r="48789">
          <cell r="O48789" t="str">
            <v/>
          </cell>
        </row>
        <row r="48790">
          <cell r="O48790" t="str">
            <v/>
          </cell>
        </row>
        <row r="48791">
          <cell r="O48791" t="str">
            <v/>
          </cell>
        </row>
        <row r="48792">
          <cell r="O48792" t="str">
            <v/>
          </cell>
        </row>
        <row r="48793">
          <cell r="O48793" t="str">
            <v/>
          </cell>
        </row>
        <row r="48794">
          <cell r="O48794" t="str">
            <v/>
          </cell>
        </row>
        <row r="48795">
          <cell r="O48795" t="str">
            <v/>
          </cell>
        </row>
        <row r="48796">
          <cell r="O48796" t="str">
            <v/>
          </cell>
        </row>
        <row r="48797">
          <cell r="O48797" t="str">
            <v/>
          </cell>
        </row>
        <row r="48798">
          <cell r="O48798" t="str">
            <v/>
          </cell>
        </row>
        <row r="48799">
          <cell r="O48799" t="str">
            <v/>
          </cell>
        </row>
        <row r="48800">
          <cell r="O48800" t="str">
            <v/>
          </cell>
        </row>
        <row r="48801">
          <cell r="O48801" t="str">
            <v/>
          </cell>
        </row>
        <row r="48802">
          <cell r="O48802" t="str">
            <v/>
          </cell>
        </row>
        <row r="48803">
          <cell r="O48803" t="str">
            <v/>
          </cell>
        </row>
        <row r="48804">
          <cell r="O48804" t="str">
            <v/>
          </cell>
        </row>
        <row r="48805">
          <cell r="O48805" t="str">
            <v/>
          </cell>
        </row>
        <row r="48806">
          <cell r="O48806" t="str">
            <v/>
          </cell>
        </row>
        <row r="48807">
          <cell r="O48807" t="str">
            <v/>
          </cell>
        </row>
        <row r="48808">
          <cell r="O48808" t="str">
            <v/>
          </cell>
        </row>
        <row r="48809">
          <cell r="O48809" t="str">
            <v/>
          </cell>
        </row>
        <row r="48810">
          <cell r="O48810" t="str">
            <v/>
          </cell>
        </row>
        <row r="48811">
          <cell r="O48811" t="str">
            <v/>
          </cell>
        </row>
        <row r="48812">
          <cell r="O48812" t="str">
            <v/>
          </cell>
        </row>
        <row r="48813">
          <cell r="O48813" t="str">
            <v/>
          </cell>
        </row>
        <row r="48814">
          <cell r="O48814" t="str">
            <v/>
          </cell>
        </row>
        <row r="48815">
          <cell r="O48815" t="str">
            <v/>
          </cell>
        </row>
        <row r="48816">
          <cell r="O48816" t="str">
            <v/>
          </cell>
        </row>
        <row r="48817">
          <cell r="O48817" t="str">
            <v/>
          </cell>
        </row>
        <row r="48818">
          <cell r="O48818" t="str">
            <v/>
          </cell>
        </row>
        <row r="48819">
          <cell r="O48819" t="str">
            <v/>
          </cell>
        </row>
        <row r="48820">
          <cell r="O48820" t="str">
            <v/>
          </cell>
        </row>
        <row r="48821">
          <cell r="O48821" t="str">
            <v/>
          </cell>
        </row>
        <row r="48822">
          <cell r="O48822" t="str">
            <v/>
          </cell>
        </row>
        <row r="48823">
          <cell r="O48823" t="str">
            <v/>
          </cell>
        </row>
        <row r="48824">
          <cell r="O48824" t="str">
            <v/>
          </cell>
        </row>
        <row r="48825">
          <cell r="O48825" t="str">
            <v/>
          </cell>
        </row>
        <row r="48826">
          <cell r="O48826" t="str">
            <v/>
          </cell>
        </row>
        <row r="48827">
          <cell r="O48827" t="str">
            <v/>
          </cell>
        </row>
        <row r="48828">
          <cell r="O48828" t="str">
            <v/>
          </cell>
        </row>
        <row r="48829">
          <cell r="O48829" t="str">
            <v/>
          </cell>
        </row>
        <row r="48830">
          <cell r="O48830" t="str">
            <v/>
          </cell>
        </row>
        <row r="48831">
          <cell r="O48831" t="str">
            <v/>
          </cell>
        </row>
        <row r="48832">
          <cell r="O48832" t="str">
            <v/>
          </cell>
        </row>
        <row r="48833">
          <cell r="O48833" t="str">
            <v/>
          </cell>
        </row>
        <row r="48834">
          <cell r="O48834" t="str">
            <v/>
          </cell>
        </row>
        <row r="48835">
          <cell r="O48835" t="str">
            <v/>
          </cell>
        </row>
        <row r="48836">
          <cell r="O48836" t="str">
            <v/>
          </cell>
        </row>
        <row r="48837">
          <cell r="O48837" t="str">
            <v/>
          </cell>
        </row>
        <row r="48838">
          <cell r="O48838" t="str">
            <v/>
          </cell>
        </row>
        <row r="48839">
          <cell r="O48839" t="str">
            <v/>
          </cell>
        </row>
        <row r="48840">
          <cell r="O48840" t="str">
            <v/>
          </cell>
        </row>
        <row r="48841">
          <cell r="O48841" t="str">
            <v/>
          </cell>
        </row>
        <row r="48842">
          <cell r="O48842" t="str">
            <v/>
          </cell>
        </row>
        <row r="48843">
          <cell r="O48843" t="str">
            <v/>
          </cell>
        </row>
        <row r="48844">
          <cell r="O48844" t="str">
            <v/>
          </cell>
        </row>
        <row r="48845">
          <cell r="O48845" t="str">
            <v/>
          </cell>
        </row>
        <row r="48846">
          <cell r="O48846" t="str">
            <v/>
          </cell>
        </row>
        <row r="48847">
          <cell r="O48847" t="str">
            <v/>
          </cell>
        </row>
        <row r="48848">
          <cell r="O48848" t="str">
            <v/>
          </cell>
        </row>
        <row r="48849">
          <cell r="O48849" t="str">
            <v/>
          </cell>
        </row>
        <row r="48850">
          <cell r="O48850" t="str">
            <v/>
          </cell>
        </row>
        <row r="48851">
          <cell r="O48851" t="str">
            <v/>
          </cell>
        </row>
        <row r="48852">
          <cell r="O48852" t="str">
            <v/>
          </cell>
        </row>
        <row r="48853">
          <cell r="O48853" t="str">
            <v/>
          </cell>
        </row>
        <row r="48854">
          <cell r="O48854" t="str">
            <v/>
          </cell>
        </row>
        <row r="48855">
          <cell r="O48855" t="str">
            <v/>
          </cell>
        </row>
        <row r="48856">
          <cell r="O48856" t="str">
            <v/>
          </cell>
        </row>
        <row r="48857">
          <cell r="O48857" t="str">
            <v/>
          </cell>
        </row>
        <row r="48858">
          <cell r="O48858" t="str">
            <v/>
          </cell>
        </row>
        <row r="48859">
          <cell r="O48859" t="str">
            <v/>
          </cell>
        </row>
        <row r="48860">
          <cell r="O48860" t="str">
            <v/>
          </cell>
        </row>
        <row r="48861">
          <cell r="O48861" t="str">
            <v/>
          </cell>
        </row>
        <row r="48862">
          <cell r="O48862" t="str">
            <v/>
          </cell>
        </row>
        <row r="48863">
          <cell r="O48863" t="str">
            <v/>
          </cell>
        </row>
        <row r="48864">
          <cell r="O48864" t="str">
            <v/>
          </cell>
        </row>
        <row r="48865">
          <cell r="O48865" t="str">
            <v/>
          </cell>
        </row>
        <row r="48866">
          <cell r="O48866" t="str">
            <v/>
          </cell>
        </row>
        <row r="48867">
          <cell r="O48867" t="str">
            <v/>
          </cell>
        </row>
        <row r="48868">
          <cell r="O48868" t="str">
            <v/>
          </cell>
        </row>
        <row r="48869">
          <cell r="O48869" t="str">
            <v/>
          </cell>
        </row>
        <row r="48870">
          <cell r="O48870" t="str">
            <v/>
          </cell>
        </row>
        <row r="48871">
          <cell r="O48871" t="str">
            <v/>
          </cell>
        </row>
        <row r="48872">
          <cell r="O48872" t="str">
            <v/>
          </cell>
        </row>
        <row r="48873">
          <cell r="O48873" t="str">
            <v/>
          </cell>
        </row>
        <row r="48874">
          <cell r="O48874" t="str">
            <v/>
          </cell>
        </row>
        <row r="48875">
          <cell r="O48875" t="str">
            <v/>
          </cell>
        </row>
        <row r="48876">
          <cell r="O48876" t="str">
            <v/>
          </cell>
        </row>
        <row r="48877">
          <cell r="O48877" t="str">
            <v/>
          </cell>
        </row>
        <row r="48878">
          <cell r="O48878" t="str">
            <v/>
          </cell>
        </row>
        <row r="48879">
          <cell r="O48879" t="str">
            <v/>
          </cell>
        </row>
        <row r="48880">
          <cell r="O48880" t="str">
            <v/>
          </cell>
        </row>
        <row r="48881">
          <cell r="O48881" t="str">
            <v/>
          </cell>
        </row>
        <row r="48882">
          <cell r="O48882" t="str">
            <v/>
          </cell>
        </row>
        <row r="48883">
          <cell r="O48883" t="str">
            <v/>
          </cell>
        </row>
        <row r="48884">
          <cell r="O48884" t="str">
            <v/>
          </cell>
        </row>
        <row r="48885">
          <cell r="O48885" t="str">
            <v/>
          </cell>
        </row>
        <row r="48886">
          <cell r="O48886" t="str">
            <v/>
          </cell>
        </row>
        <row r="48887">
          <cell r="O48887" t="str">
            <v/>
          </cell>
        </row>
        <row r="48888">
          <cell r="O48888" t="str">
            <v/>
          </cell>
        </row>
        <row r="48889">
          <cell r="O48889" t="str">
            <v/>
          </cell>
        </row>
        <row r="48890">
          <cell r="O48890" t="str">
            <v/>
          </cell>
        </row>
        <row r="48891">
          <cell r="O48891" t="str">
            <v/>
          </cell>
        </row>
        <row r="48892">
          <cell r="O48892" t="str">
            <v/>
          </cell>
        </row>
        <row r="48893">
          <cell r="O48893" t="str">
            <v/>
          </cell>
        </row>
        <row r="48894">
          <cell r="O48894" t="str">
            <v/>
          </cell>
        </row>
        <row r="48895">
          <cell r="O48895" t="str">
            <v/>
          </cell>
        </row>
        <row r="48896">
          <cell r="O48896" t="str">
            <v/>
          </cell>
        </row>
        <row r="48897">
          <cell r="O48897" t="str">
            <v/>
          </cell>
        </row>
        <row r="48898">
          <cell r="O48898" t="str">
            <v/>
          </cell>
        </row>
        <row r="48899">
          <cell r="O48899" t="str">
            <v/>
          </cell>
        </row>
        <row r="48900">
          <cell r="O48900" t="str">
            <v/>
          </cell>
        </row>
        <row r="48901">
          <cell r="O48901" t="str">
            <v/>
          </cell>
        </row>
        <row r="48902">
          <cell r="O48902" t="str">
            <v/>
          </cell>
        </row>
        <row r="48903">
          <cell r="O48903" t="str">
            <v/>
          </cell>
        </row>
        <row r="48904">
          <cell r="O48904" t="str">
            <v/>
          </cell>
        </row>
        <row r="48905">
          <cell r="O48905" t="str">
            <v/>
          </cell>
        </row>
        <row r="48906">
          <cell r="O48906" t="str">
            <v/>
          </cell>
        </row>
        <row r="48907">
          <cell r="O48907" t="str">
            <v/>
          </cell>
        </row>
        <row r="48908">
          <cell r="O48908" t="str">
            <v/>
          </cell>
        </row>
        <row r="48909">
          <cell r="O48909" t="str">
            <v/>
          </cell>
        </row>
        <row r="48910">
          <cell r="O48910" t="str">
            <v/>
          </cell>
        </row>
        <row r="48911">
          <cell r="O48911" t="str">
            <v/>
          </cell>
        </row>
        <row r="48912">
          <cell r="O48912" t="str">
            <v/>
          </cell>
        </row>
        <row r="48913">
          <cell r="O48913" t="str">
            <v/>
          </cell>
        </row>
        <row r="48914">
          <cell r="O48914" t="str">
            <v/>
          </cell>
        </row>
        <row r="48915">
          <cell r="O48915" t="str">
            <v/>
          </cell>
        </row>
        <row r="48916">
          <cell r="O48916" t="str">
            <v/>
          </cell>
        </row>
        <row r="48917">
          <cell r="O48917" t="str">
            <v/>
          </cell>
        </row>
        <row r="48918">
          <cell r="O48918" t="str">
            <v/>
          </cell>
        </row>
        <row r="48919">
          <cell r="O48919" t="str">
            <v/>
          </cell>
        </row>
        <row r="48920">
          <cell r="O48920" t="str">
            <v/>
          </cell>
        </row>
        <row r="48921">
          <cell r="O48921" t="str">
            <v/>
          </cell>
        </row>
        <row r="48922">
          <cell r="O48922" t="str">
            <v/>
          </cell>
        </row>
        <row r="48923">
          <cell r="O48923" t="str">
            <v/>
          </cell>
        </row>
        <row r="48924">
          <cell r="O48924" t="str">
            <v/>
          </cell>
        </row>
        <row r="48925">
          <cell r="O48925" t="str">
            <v/>
          </cell>
        </row>
        <row r="48926">
          <cell r="O48926" t="str">
            <v/>
          </cell>
        </row>
        <row r="48927">
          <cell r="O48927" t="str">
            <v/>
          </cell>
        </row>
        <row r="48928">
          <cell r="O48928" t="str">
            <v/>
          </cell>
        </row>
        <row r="48929">
          <cell r="O48929" t="str">
            <v/>
          </cell>
        </row>
        <row r="48930">
          <cell r="O48930" t="str">
            <v/>
          </cell>
        </row>
        <row r="48931">
          <cell r="O48931" t="str">
            <v/>
          </cell>
        </row>
        <row r="48932">
          <cell r="O48932" t="str">
            <v/>
          </cell>
        </row>
        <row r="48933">
          <cell r="O48933" t="str">
            <v/>
          </cell>
        </row>
        <row r="48934">
          <cell r="O48934" t="str">
            <v/>
          </cell>
        </row>
        <row r="48935">
          <cell r="O48935" t="str">
            <v/>
          </cell>
        </row>
        <row r="48936">
          <cell r="O48936" t="str">
            <v/>
          </cell>
        </row>
        <row r="48937">
          <cell r="O48937" t="str">
            <v/>
          </cell>
        </row>
        <row r="48938">
          <cell r="O48938" t="str">
            <v/>
          </cell>
        </row>
        <row r="48939">
          <cell r="O48939" t="str">
            <v/>
          </cell>
        </row>
        <row r="48940">
          <cell r="O48940" t="str">
            <v/>
          </cell>
        </row>
        <row r="48941">
          <cell r="O48941" t="str">
            <v/>
          </cell>
        </row>
        <row r="48942">
          <cell r="O48942" t="str">
            <v/>
          </cell>
        </row>
        <row r="48943">
          <cell r="O48943" t="str">
            <v/>
          </cell>
        </row>
        <row r="48944">
          <cell r="O48944" t="str">
            <v/>
          </cell>
        </row>
        <row r="48945">
          <cell r="O48945" t="str">
            <v/>
          </cell>
        </row>
        <row r="48946">
          <cell r="O48946" t="str">
            <v/>
          </cell>
        </row>
        <row r="48947">
          <cell r="O48947" t="str">
            <v/>
          </cell>
        </row>
        <row r="48948">
          <cell r="O48948" t="str">
            <v/>
          </cell>
        </row>
        <row r="48949">
          <cell r="O48949" t="str">
            <v/>
          </cell>
        </row>
        <row r="48950">
          <cell r="O48950" t="str">
            <v/>
          </cell>
        </row>
        <row r="48951">
          <cell r="O48951" t="str">
            <v/>
          </cell>
        </row>
        <row r="48952">
          <cell r="O48952" t="str">
            <v/>
          </cell>
        </row>
        <row r="48953">
          <cell r="O48953" t="str">
            <v/>
          </cell>
        </row>
        <row r="48954">
          <cell r="O48954" t="str">
            <v/>
          </cell>
        </row>
        <row r="48955">
          <cell r="O48955" t="str">
            <v/>
          </cell>
        </row>
        <row r="48956">
          <cell r="O48956" t="str">
            <v/>
          </cell>
        </row>
        <row r="48957">
          <cell r="O48957" t="str">
            <v/>
          </cell>
        </row>
        <row r="48958">
          <cell r="O48958" t="str">
            <v/>
          </cell>
        </row>
        <row r="48959">
          <cell r="O48959" t="str">
            <v/>
          </cell>
        </row>
        <row r="48960">
          <cell r="O48960" t="str">
            <v/>
          </cell>
        </row>
        <row r="48961">
          <cell r="O48961" t="str">
            <v/>
          </cell>
        </row>
        <row r="48962">
          <cell r="O48962" t="str">
            <v/>
          </cell>
        </row>
        <row r="48963">
          <cell r="O48963" t="str">
            <v/>
          </cell>
        </row>
        <row r="48964">
          <cell r="O48964" t="str">
            <v/>
          </cell>
        </row>
        <row r="48965">
          <cell r="O48965" t="str">
            <v/>
          </cell>
        </row>
        <row r="48966">
          <cell r="O48966" t="str">
            <v/>
          </cell>
        </row>
        <row r="48967">
          <cell r="O48967" t="str">
            <v/>
          </cell>
        </row>
        <row r="48968">
          <cell r="O48968" t="str">
            <v/>
          </cell>
        </row>
        <row r="48969">
          <cell r="O48969" t="str">
            <v/>
          </cell>
        </row>
        <row r="48970">
          <cell r="O48970" t="str">
            <v/>
          </cell>
        </row>
        <row r="48971">
          <cell r="O48971" t="str">
            <v/>
          </cell>
        </row>
        <row r="48972">
          <cell r="O48972" t="str">
            <v/>
          </cell>
        </row>
        <row r="48973">
          <cell r="O48973" t="str">
            <v/>
          </cell>
        </row>
        <row r="48974">
          <cell r="O48974" t="str">
            <v/>
          </cell>
        </row>
        <row r="48975">
          <cell r="O48975" t="str">
            <v/>
          </cell>
        </row>
        <row r="48976">
          <cell r="O48976" t="str">
            <v/>
          </cell>
        </row>
        <row r="48977">
          <cell r="O48977" t="str">
            <v/>
          </cell>
        </row>
        <row r="48978">
          <cell r="O48978" t="str">
            <v/>
          </cell>
        </row>
        <row r="48979">
          <cell r="O48979" t="str">
            <v/>
          </cell>
        </row>
        <row r="48980">
          <cell r="O48980" t="str">
            <v/>
          </cell>
        </row>
        <row r="48981">
          <cell r="O48981" t="str">
            <v/>
          </cell>
        </row>
        <row r="48982">
          <cell r="O48982" t="str">
            <v/>
          </cell>
        </row>
        <row r="48983">
          <cell r="O48983" t="str">
            <v/>
          </cell>
        </row>
        <row r="48984">
          <cell r="O48984" t="str">
            <v/>
          </cell>
        </row>
        <row r="48985">
          <cell r="O48985" t="str">
            <v/>
          </cell>
        </row>
        <row r="48986">
          <cell r="O48986" t="str">
            <v/>
          </cell>
        </row>
        <row r="48987">
          <cell r="O48987" t="str">
            <v/>
          </cell>
        </row>
        <row r="48988">
          <cell r="O48988" t="str">
            <v/>
          </cell>
        </row>
        <row r="48989">
          <cell r="O48989" t="str">
            <v/>
          </cell>
        </row>
        <row r="48990">
          <cell r="O48990" t="str">
            <v/>
          </cell>
        </row>
        <row r="48991">
          <cell r="O48991" t="str">
            <v/>
          </cell>
        </row>
        <row r="48992">
          <cell r="O48992" t="str">
            <v/>
          </cell>
        </row>
        <row r="48993">
          <cell r="O48993" t="str">
            <v/>
          </cell>
        </row>
        <row r="48994">
          <cell r="O48994" t="str">
            <v/>
          </cell>
        </row>
        <row r="48995">
          <cell r="O48995" t="str">
            <v/>
          </cell>
        </row>
        <row r="48996">
          <cell r="O48996" t="str">
            <v/>
          </cell>
        </row>
        <row r="48997">
          <cell r="O48997" t="str">
            <v/>
          </cell>
        </row>
        <row r="48998">
          <cell r="O48998" t="str">
            <v/>
          </cell>
        </row>
        <row r="48999">
          <cell r="O48999" t="str">
            <v/>
          </cell>
        </row>
        <row r="49000">
          <cell r="O49000" t="str">
            <v/>
          </cell>
        </row>
        <row r="49001">
          <cell r="O49001" t="str">
            <v/>
          </cell>
        </row>
        <row r="49002">
          <cell r="O49002" t="str">
            <v/>
          </cell>
        </row>
        <row r="49003">
          <cell r="O49003" t="str">
            <v/>
          </cell>
        </row>
        <row r="49004">
          <cell r="O49004" t="str">
            <v/>
          </cell>
        </row>
        <row r="49005">
          <cell r="O49005" t="str">
            <v/>
          </cell>
        </row>
        <row r="49006">
          <cell r="O49006" t="str">
            <v/>
          </cell>
        </row>
        <row r="49007">
          <cell r="O49007" t="str">
            <v/>
          </cell>
        </row>
        <row r="49008">
          <cell r="O49008" t="str">
            <v/>
          </cell>
        </row>
        <row r="49009">
          <cell r="O49009" t="str">
            <v/>
          </cell>
        </row>
        <row r="49010">
          <cell r="O49010" t="str">
            <v/>
          </cell>
        </row>
        <row r="49011">
          <cell r="O49011" t="str">
            <v/>
          </cell>
        </row>
        <row r="49012">
          <cell r="O49012" t="str">
            <v/>
          </cell>
        </row>
        <row r="49013">
          <cell r="O49013" t="str">
            <v/>
          </cell>
        </row>
        <row r="49014">
          <cell r="O49014" t="str">
            <v/>
          </cell>
        </row>
        <row r="49015">
          <cell r="O49015" t="str">
            <v/>
          </cell>
        </row>
        <row r="49016">
          <cell r="O49016" t="str">
            <v/>
          </cell>
        </row>
        <row r="49017">
          <cell r="O49017" t="str">
            <v/>
          </cell>
        </row>
        <row r="49018">
          <cell r="O49018" t="str">
            <v/>
          </cell>
        </row>
        <row r="49019">
          <cell r="O49019" t="str">
            <v/>
          </cell>
        </row>
        <row r="49020">
          <cell r="O49020" t="str">
            <v/>
          </cell>
        </row>
        <row r="49021">
          <cell r="O49021" t="str">
            <v/>
          </cell>
        </row>
        <row r="49022">
          <cell r="O49022" t="str">
            <v/>
          </cell>
        </row>
        <row r="49023">
          <cell r="O49023" t="str">
            <v/>
          </cell>
        </row>
        <row r="49024">
          <cell r="O49024" t="str">
            <v/>
          </cell>
        </row>
        <row r="49025">
          <cell r="O49025" t="str">
            <v/>
          </cell>
        </row>
        <row r="49026">
          <cell r="O49026" t="str">
            <v/>
          </cell>
        </row>
        <row r="49027">
          <cell r="O49027" t="str">
            <v/>
          </cell>
        </row>
        <row r="49028">
          <cell r="O49028" t="str">
            <v/>
          </cell>
        </row>
        <row r="49029">
          <cell r="O49029" t="str">
            <v/>
          </cell>
        </row>
        <row r="49030">
          <cell r="O49030" t="str">
            <v/>
          </cell>
        </row>
        <row r="49031">
          <cell r="O49031" t="str">
            <v/>
          </cell>
        </row>
        <row r="49032">
          <cell r="O49032" t="str">
            <v/>
          </cell>
        </row>
        <row r="49033">
          <cell r="O49033" t="str">
            <v/>
          </cell>
        </row>
        <row r="49034">
          <cell r="O49034" t="str">
            <v/>
          </cell>
        </row>
        <row r="49035">
          <cell r="O49035" t="str">
            <v/>
          </cell>
        </row>
        <row r="49036">
          <cell r="O49036" t="str">
            <v/>
          </cell>
        </row>
        <row r="49037">
          <cell r="O49037" t="str">
            <v/>
          </cell>
        </row>
        <row r="49038">
          <cell r="O49038" t="str">
            <v/>
          </cell>
        </row>
        <row r="49039">
          <cell r="O49039" t="str">
            <v/>
          </cell>
        </row>
        <row r="49040">
          <cell r="O49040" t="str">
            <v/>
          </cell>
        </row>
        <row r="49041">
          <cell r="O49041" t="str">
            <v/>
          </cell>
        </row>
        <row r="49042">
          <cell r="O49042" t="str">
            <v/>
          </cell>
        </row>
        <row r="49043">
          <cell r="O49043" t="str">
            <v/>
          </cell>
        </row>
        <row r="49044">
          <cell r="O49044" t="str">
            <v/>
          </cell>
        </row>
        <row r="49045">
          <cell r="O49045" t="str">
            <v/>
          </cell>
        </row>
        <row r="49046">
          <cell r="O49046" t="str">
            <v/>
          </cell>
        </row>
        <row r="49047">
          <cell r="O49047" t="str">
            <v/>
          </cell>
        </row>
        <row r="49048">
          <cell r="O49048" t="str">
            <v/>
          </cell>
        </row>
        <row r="49049">
          <cell r="O49049" t="str">
            <v/>
          </cell>
        </row>
        <row r="49050">
          <cell r="O49050" t="str">
            <v/>
          </cell>
        </row>
        <row r="49051">
          <cell r="O49051" t="str">
            <v/>
          </cell>
        </row>
        <row r="49052">
          <cell r="O49052" t="str">
            <v/>
          </cell>
        </row>
        <row r="49053">
          <cell r="O49053" t="str">
            <v/>
          </cell>
        </row>
        <row r="49054">
          <cell r="O49054" t="str">
            <v/>
          </cell>
        </row>
        <row r="49055">
          <cell r="O49055" t="str">
            <v/>
          </cell>
        </row>
        <row r="49056">
          <cell r="O49056" t="str">
            <v/>
          </cell>
        </row>
        <row r="49057">
          <cell r="O49057" t="str">
            <v/>
          </cell>
        </row>
        <row r="49058">
          <cell r="O49058" t="str">
            <v/>
          </cell>
        </row>
        <row r="49059">
          <cell r="O49059" t="str">
            <v/>
          </cell>
        </row>
        <row r="49060">
          <cell r="O49060" t="str">
            <v/>
          </cell>
        </row>
        <row r="49061">
          <cell r="O49061" t="str">
            <v/>
          </cell>
        </row>
        <row r="49062">
          <cell r="O49062" t="str">
            <v/>
          </cell>
        </row>
        <row r="49063">
          <cell r="O49063" t="str">
            <v/>
          </cell>
        </row>
        <row r="49064">
          <cell r="O49064" t="str">
            <v/>
          </cell>
        </row>
        <row r="49065">
          <cell r="O49065" t="str">
            <v/>
          </cell>
        </row>
        <row r="49066">
          <cell r="O49066" t="str">
            <v/>
          </cell>
        </row>
        <row r="49067">
          <cell r="O49067" t="str">
            <v/>
          </cell>
        </row>
        <row r="49068">
          <cell r="O49068" t="str">
            <v/>
          </cell>
        </row>
        <row r="49069">
          <cell r="O49069" t="str">
            <v/>
          </cell>
        </row>
        <row r="49070">
          <cell r="O49070" t="str">
            <v/>
          </cell>
        </row>
        <row r="49071">
          <cell r="O49071" t="str">
            <v/>
          </cell>
        </row>
        <row r="49072">
          <cell r="O49072" t="str">
            <v/>
          </cell>
        </row>
        <row r="49073">
          <cell r="O49073" t="str">
            <v/>
          </cell>
        </row>
        <row r="49074">
          <cell r="O49074" t="str">
            <v/>
          </cell>
        </row>
        <row r="49075">
          <cell r="O49075" t="str">
            <v/>
          </cell>
        </row>
        <row r="49076">
          <cell r="O49076" t="str">
            <v/>
          </cell>
        </row>
        <row r="49077">
          <cell r="O49077" t="str">
            <v/>
          </cell>
        </row>
        <row r="49078">
          <cell r="O49078" t="str">
            <v/>
          </cell>
        </row>
        <row r="49079">
          <cell r="O49079" t="str">
            <v/>
          </cell>
        </row>
        <row r="49080">
          <cell r="O49080" t="str">
            <v/>
          </cell>
        </row>
        <row r="49081">
          <cell r="O49081" t="str">
            <v/>
          </cell>
        </row>
        <row r="49082">
          <cell r="O49082" t="str">
            <v/>
          </cell>
        </row>
        <row r="49083">
          <cell r="O49083" t="str">
            <v/>
          </cell>
        </row>
        <row r="49084">
          <cell r="O49084" t="str">
            <v/>
          </cell>
        </row>
        <row r="49085">
          <cell r="O49085" t="str">
            <v/>
          </cell>
        </row>
        <row r="49086">
          <cell r="O49086" t="str">
            <v/>
          </cell>
        </row>
        <row r="49087">
          <cell r="O49087" t="str">
            <v/>
          </cell>
        </row>
        <row r="49088">
          <cell r="O49088" t="str">
            <v/>
          </cell>
        </row>
        <row r="49089">
          <cell r="O49089" t="str">
            <v/>
          </cell>
        </row>
        <row r="49090">
          <cell r="O49090" t="str">
            <v/>
          </cell>
        </row>
        <row r="49091">
          <cell r="O49091" t="str">
            <v/>
          </cell>
        </row>
        <row r="49092">
          <cell r="O49092" t="str">
            <v/>
          </cell>
        </row>
        <row r="49093">
          <cell r="O49093" t="str">
            <v/>
          </cell>
        </row>
        <row r="49094">
          <cell r="O49094" t="str">
            <v/>
          </cell>
        </row>
        <row r="49095">
          <cell r="O49095" t="str">
            <v/>
          </cell>
        </row>
        <row r="49096">
          <cell r="O49096" t="str">
            <v/>
          </cell>
        </row>
        <row r="49097">
          <cell r="O49097" t="str">
            <v/>
          </cell>
        </row>
        <row r="49098">
          <cell r="O49098" t="str">
            <v/>
          </cell>
        </row>
        <row r="49099">
          <cell r="O49099" t="str">
            <v/>
          </cell>
        </row>
        <row r="49100">
          <cell r="O49100" t="str">
            <v/>
          </cell>
        </row>
        <row r="49101">
          <cell r="O49101" t="str">
            <v/>
          </cell>
        </row>
        <row r="49102">
          <cell r="O49102" t="str">
            <v/>
          </cell>
        </row>
        <row r="49103">
          <cell r="O49103" t="str">
            <v/>
          </cell>
        </row>
        <row r="49104">
          <cell r="O49104" t="str">
            <v/>
          </cell>
        </row>
        <row r="49105">
          <cell r="O49105" t="str">
            <v/>
          </cell>
        </row>
        <row r="49106">
          <cell r="O49106" t="str">
            <v/>
          </cell>
        </row>
        <row r="49107">
          <cell r="O49107" t="str">
            <v/>
          </cell>
        </row>
        <row r="49108">
          <cell r="O49108" t="str">
            <v/>
          </cell>
        </row>
        <row r="49109">
          <cell r="O49109" t="str">
            <v/>
          </cell>
        </row>
        <row r="49110">
          <cell r="O49110" t="str">
            <v/>
          </cell>
        </row>
        <row r="49111">
          <cell r="O49111" t="str">
            <v/>
          </cell>
        </row>
        <row r="49112">
          <cell r="O49112" t="str">
            <v/>
          </cell>
        </row>
        <row r="49113">
          <cell r="O49113" t="str">
            <v/>
          </cell>
        </row>
        <row r="49114">
          <cell r="O49114" t="str">
            <v/>
          </cell>
        </row>
        <row r="49115">
          <cell r="O49115" t="str">
            <v/>
          </cell>
        </row>
        <row r="49116">
          <cell r="O49116" t="str">
            <v/>
          </cell>
        </row>
        <row r="49117">
          <cell r="O49117" t="str">
            <v/>
          </cell>
        </row>
        <row r="49118">
          <cell r="O49118" t="str">
            <v/>
          </cell>
        </row>
        <row r="49119">
          <cell r="O49119" t="str">
            <v/>
          </cell>
        </row>
        <row r="49120">
          <cell r="O49120" t="str">
            <v/>
          </cell>
        </row>
        <row r="49121">
          <cell r="O49121" t="str">
            <v/>
          </cell>
        </row>
        <row r="49122">
          <cell r="O49122" t="str">
            <v/>
          </cell>
        </row>
        <row r="49123">
          <cell r="O49123" t="str">
            <v/>
          </cell>
        </row>
        <row r="49124">
          <cell r="O49124" t="str">
            <v/>
          </cell>
        </row>
        <row r="49125">
          <cell r="O49125" t="str">
            <v/>
          </cell>
        </row>
        <row r="49126">
          <cell r="O49126" t="str">
            <v/>
          </cell>
        </row>
        <row r="49127">
          <cell r="O49127" t="str">
            <v/>
          </cell>
        </row>
        <row r="49128">
          <cell r="O49128" t="str">
            <v/>
          </cell>
        </row>
        <row r="49129">
          <cell r="O49129" t="str">
            <v/>
          </cell>
        </row>
        <row r="49130">
          <cell r="O49130" t="str">
            <v/>
          </cell>
        </row>
        <row r="49131">
          <cell r="O49131" t="str">
            <v/>
          </cell>
        </row>
        <row r="49132">
          <cell r="O49132" t="str">
            <v/>
          </cell>
        </row>
        <row r="49133">
          <cell r="O49133" t="str">
            <v/>
          </cell>
        </row>
        <row r="49134">
          <cell r="O49134" t="str">
            <v/>
          </cell>
        </row>
        <row r="49135">
          <cell r="O49135" t="str">
            <v/>
          </cell>
        </row>
        <row r="49136">
          <cell r="O49136" t="str">
            <v/>
          </cell>
        </row>
        <row r="49137">
          <cell r="O49137" t="str">
            <v/>
          </cell>
        </row>
        <row r="49138">
          <cell r="O49138" t="str">
            <v/>
          </cell>
        </row>
        <row r="49139">
          <cell r="O49139" t="str">
            <v/>
          </cell>
        </row>
        <row r="49140">
          <cell r="O49140" t="str">
            <v/>
          </cell>
        </row>
        <row r="49141">
          <cell r="O49141" t="str">
            <v/>
          </cell>
        </row>
        <row r="49142">
          <cell r="O49142" t="str">
            <v/>
          </cell>
        </row>
        <row r="49143">
          <cell r="O49143" t="str">
            <v/>
          </cell>
        </row>
        <row r="49144">
          <cell r="O49144" t="str">
            <v/>
          </cell>
        </row>
        <row r="49145">
          <cell r="O49145" t="str">
            <v/>
          </cell>
        </row>
        <row r="49146">
          <cell r="O49146" t="str">
            <v/>
          </cell>
        </row>
        <row r="49147">
          <cell r="O49147" t="str">
            <v/>
          </cell>
        </row>
        <row r="49148">
          <cell r="O49148" t="str">
            <v/>
          </cell>
        </row>
        <row r="49149">
          <cell r="O49149" t="str">
            <v/>
          </cell>
        </row>
        <row r="49150">
          <cell r="O49150" t="str">
            <v/>
          </cell>
        </row>
        <row r="49151">
          <cell r="O49151" t="str">
            <v/>
          </cell>
        </row>
        <row r="49152">
          <cell r="O49152" t="str">
            <v/>
          </cell>
        </row>
        <row r="49153">
          <cell r="O49153" t="str">
            <v/>
          </cell>
        </row>
        <row r="49154">
          <cell r="O49154" t="str">
            <v/>
          </cell>
        </row>
        <row r="49155">
          <cell r="O49155" t="str">
            <v/>
          </cell>
        </row>
        <row r="49156">
          <cell r="O49156" t="str">
            <v/>
          </cell>
        </row>
        <row r="49157">
          <cell r="O49157" t="str">
            <v/>
          </cell>
        </row>
        <row r="49158">
          <cell r="O49158" t="str">
            <v/>
          </cell>
        </row>
        <row r="49159">
          <cell r="O49159" t="str">
            <v/>
          </cell>
        </row>
        <row r="49160">
          <cell r="O49160" t="str">
            <v/>
          </cell>
        </row>
        <row r="49161">
          <cell r="O49161" t="str">
            <v/>
          </cell>
        </row>
        <row r="49162">
          <cell r="O49162" t="str">
            <v/>
          </cell>
        </row>
        <row r="49163">
          <cell r="O49163" t="str">
            <v/>
          </cell>
        </row>
        <row r="49164">
          <cell r="O49164" t="str">
            <v/>
          </cell>
        </row>
        <row r="49165">
          <cell r="O49165" t="str">
            <v/>
          </cell>
        </row>
        <row r="49166">
          <cell r="O49166" t="str">
            <v/>
          </cell>
        </row>
        <row r="49167">
          <cell r="O49167" t="str">
            <v/>
          </cell>
        </row>
        <row r="49168">
          <cell r="O49168" t="str">
            <v/>
          </cell>
        </row>
        <row r="49169">
          <cell r="O49169" t="str">
            <v/>
          </cell>
        </row>
        <row r="49170">
          <cell r="O49170" t="str">
            <v/>
          </cell>
        </row>
        <row r="49171">
          <cell r="O49171" t="str">
            <v/>
          </cell>
        </row>
        <row r="49172">
          <cell r="O49172" t="str">
            <v/>
          </cell>
        </row>
        <row r="49173">
          <cell r="O49173" t="str">
            <v/>
          </cell>
        </row>
        <row r="49174">
          <cell r="O49174" t="str">
            <v/>
          </cell>
        </row>
        <row r="49175">
          <cell r="O49175" t="str">
            <v/>
          </cell>
        </row>
        <row r="49176">
          <cell r="O49176" t="str">
            <v/>
          </cell>
        </row>
        <row r="49177">
          <cell r="O49177" t="str">
            <v/>
          </cell>
        </row>
        <row r="49178">
          <cell r="O49178" t="str">
            <v/>
          </cell>
        </row>
        <row r="49179">
          <cell r="O49179" t="str">
            <v/>
          </cell>
        </row>
        <row r="49180">
          <cell r="O49180" t="str">
            <v/>
          </cell>
        </row>
        <row r="49181">
          <cell r="O49181" t="str">
            <v/>
          </cell>
        </row>
        <row r="49182">
          <cell r="O49182" t="str">
            <v/>
          </cell>
        </row>
        <row r="49183">
          <cell r="O49183" t="str">
            <v/>
          </cell>
        </row>
        <row r="49184">
          <cell r="O49184" t="str">
            <v/>
          </cell>
        </row>
        <row r="49185">
          <cell r="O49185" t="str">
            <v/>
          </cell>
        </row>
        <row r="49186">
          <cell r="O49186" t="str">
            <v/>
          </cell>
        </row>
        <row r="49187">
          <cell r="O49187" t="str">
            <v/>
          </cell>
        </row>
        <row r="49188">
          <cell r="O49188" t="str">
            <v/>
          </cell>
        </row>
        <row r="49189">
          <cell r="O49189" t="str">
            <v/>
          </cell>
        </row>
        <row r="49190">
          <cell r="O49190" t="str">
            <v/>
          </cell>
        </row>
        <row r="49191">
          <cell r="O49191" t="str">
            <v/>
          </cell>
        </row>
        <row r="49192">
          <cell r="O49192" t="str">
            <v/>
          </cell>
        </row>
        <row r="49193">
          <cell r="O49193" t="str">
            <v/>
          </cell>
        </row>
        <row r="49194">
          <cell r="O49194" t="str">
            <v/>
          </cell>
        </row>
        <row r="49195">
          <cell r="O49195" t="str">
            <v/>
          </cell>
        </row>
        <row r="49196">
          <cell r="O49196" t="str">
            <v/>
          </cell>
        </row>
        <row r="49197">
          <cell r="O49197" t="str">
            <v/>
          </cell>
        </row>
        <row r="49198">
          <cell r="O49198" t="str">
            <v/>
          </cell>
        </row>
        <row r="49199">
          <cell r="O49199" t="str">
            <v/>
          </cell>
        </row>
        <row r="49200">
          <cell r="O49200" t="str">
            <v/>
          </cell>
        </row>
        <row r="49201">
          <cell r="O49201" t="str">
            <v/>
          </cell>
        </row>
        <row r="49202">
          <cell r="O49202" t="str">
            <v/>
          </cell>
        </row>
        <row r="49203">
          <cell r="O49203" t="str">
            <v/>
          </cell>
        </row>
        <row r="49204">
          <cell r="O49204" t="str">
            <v/>
          </cell>
        </row>
        <row r="49205">
          <cell r="O49205" t="str">
            <v/>
          </cell>
        </row>
        <row r="49206">
          <cell r="O49206" t="str">
            <v/>
          </cell>
        </row>
        <row r="49207">
          <cell r="O49207" t="str">
            <v/>
          </cell>
        </row>
        <row r="49208">
          <cell r="O49208" t="str">
            <v/>
          </cell>
        </row>
        <row r="49209">
          <cell r="O49209" t="str">
            <v/>
          </cell>
        </row>
        <row r="49210">
          <cell r="O49210" t="str">
            <v/>
          </cell>
        </row>
        <row r="49211">
          <cell r="O49211" t="str">
            <v/>
          </cell>
        </row>
        <row r="49212">
          <cell r="O49212" t="str">
            <v/>
          </cell>
        </row>
        <row r="49213">
          <cell r="O49213" t="str">
            <v/>
          </cell>
        </row>
        <row r="49214">
          <cell r="O49214" t="str">
            <v/>
          </cell>
        </row>
        <row r="49215">
          <cell r="O49215" t="str">
            <v/>
          </cell>
        </row>
        <row r="49216">
          <cell r="O49216" t="str">
            <v/>
          </cell>
        </row>
        <row r="49217">
          <cell r="O49217" t="str">
            <v/>
          </cell>
        </row>
        <row r="49218">
          <cell r="O49218" t="str">
            <v/>
          </cell>
        </row>
        <row r="49219">
          <cell r="O49219" t="str">
            <v/>
          </cell>
        </row>
        <row r="49220">
          <cell r="O49220" t="str">
            <v/>
          </cell>
        </row>
        <row r="49221">
          <cell r="O49221" t="str">
            <v/>
          </cell>
        </row>
        <row r="49222">
          <cell r="O49222" t="str">
            <v/>
          </cell>
        </row>
        <row r="49223">
          <cell r="O49223" t="str">
            <v/>
          </cell>
        </row>
        <row r="49224">
          <cell r="O49224" t="str">
            <v/>
          </cell>
        </row>
        <row r="49225">
          <cell r="O49225" t="str">
            <v/>
          </cell>
        </row>
        <row r="49226">
          <cell r="O49226" t="str">
            <v/>
          </cell>
        </row>
        <row r="49227">
          <cell r="O49227" t="str">
            <v/>
          </cell>
        </row>
        <row r="49228">
          <cell r="O49228" t="str">
            <v/>
          </cell>
        </row>
        <row r="49229">
          <cell r="O49229" t="str">
            <v/>
          </cell>
        </row>
        <row r="49230">
          <cell r="O49230" t="str">
            <v/>
          </cell>
        </row>
        <row r="49231">
          <cell r="O49231" t="str">
            <v/>
          </cell>
        </row>
        <row r="49232">
          <cell r="O49232" t="str">
            <v/>
          </cell>
        </row>
        <row r="49233">
          <cell r="O49233" t="str">
            <v/>
          </cell>
        </row>
        <row r="49234">
          <cell r="O49234" t="str">
            <v/>
          </cell>
        </row>
        <row r="49235">
          <cell r="O49235" t="str">
            <v/>
          </cell>
        </row>
        <row r="49236">
          <cell r="O49236" t="str">
            <v/>
          </cell>
        </row>
        <row r="49237">
          <cell r="O49237" t="str">
            <v/>
          </cell>
        </row>
        <row r="49238">
          <cell r="O49238" t="str">
            <v/>
          </cell>
        </row>
        <row r="49239">
          <cell r="O49239" t="str">
            <v/>
          </cell>
        </row>
        <row r="49240">
          <cell r="O49240" t="str">
            <v/>
          </cell>
        </row>
        <row r="49241">
          <cell r="O49241" t="str">
            <v/>
          </cell>
        </row>
        <row r="49242">
          <cell r="O49242" t="str">
            <v/>
          </cell>
        </row>
        <row r="49243">
          <cell r="O49243" t="str">
            <v/>
          </cell>
        </row>
        <row r="49244">
          <cell r="O49244" t="str">
            <v/>
          </cell>
        </row>
        <row r="49245">
          <cell r="O49245" t="str">
            <v/>
          </cell>
        </row>
        <row r="49246">
          <cell r="O49246" t="str">
            <v/>
          </cell>
        </row>
        <row r="49247">
          <cell r="O49247" t="str">
            <v/>
          </cell>
        </row>
        <row r="49248">
          <cell r="O49248" t="str">
            <v/>
          </cell>
        </row>
        <row r="49249">
          <cell r="O49249" t="str">
            <v/>
          </cell>
        </row>
        <row r="49250">
          <cell r="O49250" t="str">
            <v/>
          </cell>
        </row>
        <row r="49251">
          <cell r="O49251" t="str">
            <v/>
          </cell>
        </row>
        <row r="49252">
          <cell r="O49252" t="str">
            <v/>
          </cell>
        </row>
        <row r="49253">
          <cell r="O49253" t="str">
            <v/>
          </cell>
        </row>
        <row r="49254">
          <cell r="O49254" t="str">
            <v/>
          </cell>
        </row>
        <row r="49255">
          <cell r="O49255" t="str">
            <v/>
          </cell>
        </row>
        <row r="49256">
          <cell r="O49256" t="str">
            <v/>
          </cell>
        </row>
        <row r="49257">
          <cell r="O49257" t="str">
            <v/>
          </cell>
        </row>
        <row r="49258">
          <cell r="O49258" t="str">
            <v/>
          </cell>
        </row>
        <row r="49259">
          <cell r="O49259" t="str">
            <v/>
          </cell>
        </row>
        <row r="49260">
          <cell r="O49260" t="str">
            <v/>
          </cell>
        </row>
        <row r="49261">
          <cell r="O49261" t="str">
            <v/>
          </cell>
        </row>
        <row r="49262">
          <cell r="O49262" t="str">
            <v/>
          </cell>
        </row>
        <row r="49263">
          <cell r="O49263" t="str">
            <v/>
          </cell>
        </row>
        <row r="49264">
          <cell r="O49264" t="str">
            <v/>
          </cell>
        </row>
        <row r="49265">
          <cell r="O49265" t="str">
            <v/>
          </cell>
        </row>
        <row r="49266">
          <cell r="O49266" t="str">
            <v/>
          </cell>
        </row>
        <row r="49267">
          <cell r="O49267" t="str">
            <v/>
          </cell>
        </row>
        <row r="49268">
          <cell r="O49268" t="str">
            <v/>
          </cell>
        </row>
        <row r="49269">
          <cell r="O49269" t="str">
            <v/>
          </cell>
        </row>
        <row r="49270">
          <cell r="O49270" t="str">
            <v/>
          </cell>
        </row>
        <row r="49271">
          <cell r="O49271" t="str">
            <v/>
          </cell>
        </row>
        <row r="49272">
          <cell r="O49272" t="str">
            <v/>
          </cell>
        </row>
        <row r="49273">
          <cell r="O49273" t="str">
            <v/>
          </cell>
        </row>
        <row r="49274">
          <cell r="O49274" t="str">
            <v/>
          </cell>
        </row>
        <row r="49275">
          <cell r="O49275" t="str">
            <v/>
          </cell>
        </row>
        <row r="49276">
          <cell r="O49276" t="str">
            <v/>
          </cell>
        </row>
        <row r="49277">
          <cell r="O49277" t="str">
            <v/>
          </cell>
        </row>
        <row r="49278">
          <cell r="O49278" t="str">
            <v/>
          </cell>
        </row>
        <row r="49279">
          <cell r="O49279" t="str">
            <v/>
          </cell>
        </row>
        <row r="49280">
          <cell r="O49280" t="str">
            <v/>
          </cell>
        </row>
        <row r="49281">
          <cell r="O49281" t="str">
            <v/>
          </cell>
        </row>
        <row r="49282">
          <cell r="O49282" t="str">
            <v/>
          </cell>
        </row>
        <row r="49283">
          <cell r="O49283" t="str">
            <v/>
          </cell>
        </row>
        <row r="49284">
          <cell r="O49284" t="str">
            <v/>
          </cell>
        </row>
        <row r="49285">
          <cell r="O49285" t="str">
            <v/>
          </cell>
        </row>
        <row r="49286">
          <cell r="O49286" t="str">
            <v/>
          </cell>
        </row>
        <row r="49287">
          <cell r="O49287" t="str">
            <v/>
          </cell>
        </row>
        <row r="49288">
          <cell r="O49288" t="str">
            <v/>
          </cell>
        </row>
        <row r="49289">
          <cell r="O49289" t="str">
            <v/>
          </cell>
        </row>
        <row r="49290">
          <cell r="O49290" t="str">
            <v/>
          </cell>
        </row>
        <row r="49291">
          <cell r="O49291" t="str">
            <v/>
          </cell>
        </row>
        <row r="49292">
          <cell r="O49292" t="str">
            <v/>
          </cell>
        </row>
        <row r="49293">
          <cell r="O49293" t="str">
            <v/>
          </cell>
        </row>
        <row r="49294">
          <cell r="O49294" t="str">
            <v/>
          </cell>
        </row>
        <row r="49295">
          <cell r="O49295" t="str">
            <v/>
          </cell>
        </row>
        <row r="49296">
          <cell r="O49296" t="str">
            <v/>
          </cell>
        </row>
        <row r="49297">
          <cell r="O49297" t="str">
            <v/>
          </cell>
        </row>
        <row r="49298">
          <cell r="O49298" t="str">
            <v/>
          </cell>
        </row>
        <row r="49299">
          <cell r="O49299" t="str">
            <v/>
          </cell>
        </row>
        <row r="49300">
          <cell r="O49300" t="str">
            <v/>
          </cell>
        </row>
        <row r="49301">
          <cell r="O49301" t="str">
            <v/>
          </cell>
        </row>
        <row r="49302">
          <cell r="O49302" t="str">
            <v/>
          </cell>
        </row>
        <row r="49303">
          <cell r="O49303" t="str">
            <v/>
          </cell>
        </row>
        <row r="49304">
          <cell r="O49304" t="str">
            <v/>
          </cell>
        </row>
        <row r="49305">
          <cell r="O49305" t="str">
            <v/>
          </cell>
        </row>
        <row r="49306">
          <cell r="O49306" t="str">
            <v/>
          </cell>
        </row>
        <row r="49307">
          <cell r="O49307" t="str">
            <v/>
          </cell>
        </row>
        <row r="49308">
          <cell r="O49308" t="str">
            <v/>
          </cell>
        </row>
        <row r="49309">
          <cell r="O49309" t="str">
            <v/>
          </cell>
        </row>
        <row r="49310">
          <cell r="O49310" t="str">
            <v/>
          </cell>
        </row>
        <row r="49311">
          <cell r="O49311" t="str">
            <v/>
          </cell>
        </row>
        <row r="49312">
          <cell r="O49312" t="str">
            <v/>
          </cell>
        </row>
        <row r="49313">
          <cell r="O49313" t="str">
            <v/>
          </cell>
        </row>
        <row r="49314">
          <cell r="O49314" t="str">
            <v/>
          </cell>
        </row>
        <row r="49315">
          <cell r="O49315" t="str">
            <v/>
          </cell>
        </row>
        <row r="49316">
          <cell r="O49316" t="str">
            <v/>
          </cell>
        </row>
        <row r="49317">
          <cell r="O49317" t="str">
            <v/>
          </cell>
        </row>
        <row r="49318">
          <cell r="O49318" t="str">
            <v/>
          </cell>
        </row>
        <row r="49319">
          <cell r="O49319" t="str">
            <v/>
          </cell>
        </row>
        <row r="49320">
          <cell r="O49320" t="str">
            <v/>
          </cell>
        </row>
        <row r="49321">
          <cell r="O49321" t="str">
            <v/>
          </cell>
        </row>
        <row r="49322">
          <cell r="O49322" t="str">
            <v/>
          </cell>
        </row>
        <row r="49323">
          <cell r="O49323" t="str">
            <v/>
          </cell>
        </row>
        <row r="49324">
          <cell r="O49324" t="str">
            <v/>
          </cell>
        </row>
        <row r="49325">
          <cell r="O49325" t="str">
            <v/>
          </cell>
        </row>
        <row r="49326">
          <cell r="O49326" t="str">
            <v/>
          </cell>
        </row>
        <row r="49327">
          <cell r="O49327" t="str">
            <v/>
          </cell>
        </row>
        <row r="49328">
          <cell r="O49328" t="str">
            <v/>
          </cell>
        </row>
        <row r="49329">
          <cell r="O49329" t="str">
            <v/>
          </cell>
        </row>
        <row r="49330">
          <cell r="O49330" t="str">
            <v/>
          </cell>
        </row>
        <row r="49331">
          <cell r="O49331" t="str">
            <v/>
          </cell>
        </row>
        <row r="49332">
          <cell r="O49332" t="str">
            <v/>
          </cell>
        </row>
        <row r="49333">
          <cell r="O49333" t="str">
            <v/>
          </cell>
        </row>
        <row r="49334">
          <cell r="O49334" t="str">
            <v/>
          </cell>
        </row>
        <row r="49335">
          <cell r="O49335" t="str">
            <v/>
          </cell>
        </row>
        <row r="49336">
          <cell r="O49336" t="str">
            <v/>
          </cell>
        </row>
        <row r="49337">
          <cell r="O49337" t="str">
            <v/>
          </cell>
        </row>
        <row r="49338">
          <cell r="O49338" t="str">
            <v/>
          </cell>
        </row>
        <row r="49339">
          <cell r="O49339" t="str">
            <v/>
          </cell>
        </row>
        <row r="49340">
          <cell r="O49340" t="str">
            <v/>
          </cell>
        </row>
        <row r="49341">
          <cell r="O49341" t="str">
            <v/>
          </cell>
        </row>
        <row r="49342">
          <cell r="O49342" t="str">
            <v/>
          </cell>
        </row>
        <row r="49343">
          <cell r="O49343" t="str">
            <v/>
          </cell>
        </row>
        <row r="49344">
          <cell r="O49344" t="str">
            <v/>
          </cell>
        </row>
        <row r="49345">
          <cell r="O49345" t="str">
            <v/>
          </cell>
        </row>
        <row r="49346">
          <cell r="O49346" t="str">
            <v/>
          </cell>
        </row>
        <row r="49347">
          <cell r="O49347" t="str">
            <v/>
          </cell>
        </row>
        <row r="49348">
          <cell r="O49348" t="str">
            <v/>
          </cell>
        </row>
        <row r="49349">
          <cell r="O49349" t="str">
            <v/>
          </cell>
        </row>
        <row r="49350">
          <cell r="O49350" t="str">
            <v/>
          </cell>
        </row>
        <row r="49351">
          <cell r="O49351" t="str">
            <v/>
          </cell>
        </row>
        <row r="49352">
          <cell r="O49352" t="str">
            <v/>
          </cell>
        </row>
        <row r="49353">
          <cell r="O49353" t="str">
            <v/>
          </cell>
        </row>
        <row r="49354">
          <cell r="O49354" t="str">
            <v/>
          </cell>
        </row>
        <row r="49355">
          <cell r="O49355" t="str">
            <v/>
          </cell>
        </row>
        <row r="49356">
          <cell r="O49356" t="str">
            <v/>
          </cell>
        </row>
        <row r="49357">
          <cell r="O49357" t="str">
            <v/>
          </cell>
        </row>
        <row r="49358">
          <cell r="O49358" t="str">
            <v/>
          </cell>
        </row>
        <row r="49359">
          <cell r="O49359" t="str">
            <v/>
          </cell>
        </row>
        <row r="49360">
          <cell r="O49360" t="str">
            <v/>
          </cell>
        </row>
        <row r="49361">
          <cell r="O49361" t="str">
            <v/>
          </cell>
        </row>
        <row r="49362">
          <cell r="O49362" t="str">
            <v/>
          </cell>
        </row>
        <row r="49363">
          <cell r="O49363" t="str">
            <v/>
          </cell>
        </row>
        <row r="49364">
          <cell r="O49364" t="str">
            <v/>
          </cell>
        </row>
        <row r="49365">
          <cell r="O49365" t="str">
            <v/>
          </cell>
        </row>
        <row r="49366">
          <cell r="O49366" t="str">
            <v/>
          </cell>
        </row>
        <row r="49367">
          <cell r="O49367" t="str">
            <v/>
          </cell>
        </row>
        <row r="49368">
          <cell r="O49368" t="str">
            <v/>
          </cell>
        </row>
        <row r="49369">
          <cell r="O49369" t="str">
            <v/>
          </cell>
        </row>
        <row r="49370">
          <cell r="O49370" t="str">
            <v/>
          </cell>
        </row>
        <row r="49371">
          <cell r="O49371" t="str">
            <v/>
          </cell>
        </row>
        <row r="49372">
          <cell r="O49372" t="str">
            <v/>
          </cell>
        </row>
        <row r="49373">
          <cell r="O49373" t="str">
            <v/>
          </cell>
        </row>
        <row r="49374">
          <cell r="O49374" t="str">
            <v/>
          </cell>
        </row>
        <row r="49375">
          <cell r="O49375" t="str">
            <v/>
          </cell>
        </row>
        <row r="49376">
          <cell r="O49376" t="str">
            <v/>
          </cell>
        </row>
        <row r="49377">
          <cell r="O49377" t="str">
            <v/>
          </cell>
        </row>
        <row r="49378">
          <cell r="O49378" t="str">
            <v/>
          </cell>
        </row>
        <row r="49379">
          <cell r="O49379" t="str">
            <v/>
          </cell>
        </row>
        <row r="49380">
          <cell r="O49380" t="str">
            <v/>
          </cell>
        </row>
        <row r="49381">
          <cell r="O49381" t="str">
            <v/>
          </cell>
        </row>
        <row r="49382">
          <cell r="O49382" t="str">
            <v/>
          </cell>
        </row>
        <row r="49383">
          <cell r="O49383" t="str">
            <v/>
          </cell>
        </row>
        <row r="49384">
          <cell r="O49384" t="str">
            <v/>
          </cell>
        </row>
        <row r="49385">
          <cell r="O49385" t="str">
            <v/>
          </cell>
        </row>
        <row r="49386">
          <cell r="O49386" t="str">
            <v/>
          </cell>
        </row>
        <row r="49387">
          <cell r="O49387" t="str">
            <v/>
          </cell>
        </row>
        <row r="49388">
          <cell r="O49388" t="str">
            <v/>
          </cell>
        </row>
        <row r="49389">
          <cell r="O49389" t="str">
            <v/>
          </cell>
        </row>
        <row r="49390">
          <cell r="O49390" t="str">
            <v/>
          </cell>
        </row>
        <row r="49391">
          <cell r="O49391" t="str">
            <v/>
          </cell>
        </row>
        <row r="49392">
          <cell r="O49392" t="str">
            <v/>
          </cell>
        </row>
        <row r="49393">
          <cell r="O49393" t="str">
            <v/>
          </cell>
        </row>
        <row r="49394">
          <cell r="O49394" t="str">
            <v/>
          </cell>
        </row>
        <row r="49395">
          <cell r="O49395" t="str">
            <v/>
          </cell>
        </row>
        <row r="49396">
          <cell r="O49396" t="str">
            <v/>
          </cell>
        </row>
        <row r="49397">
          <cell r="O49397" t="str">
            <v/>
          </cell>
        </row>
        <row r="49398">
          <cell r="O49398" t="str">
            <v/>
          </cell>
        </row>
        <row r="49399">
          <cell r="O49399" t="str">
            <v/>
          </cell>
        </row>
        <row r="49400">
          <cell r="O49400" t="str">
            <v/>
          </cell>
        </row>
        <row r="49401">
          <cell r="O49401" t="str">
            <v/>
          </cell>
        </row>
        <row r="49402">
          <cell r="O49402" t="str">
            <v/>
          </cell>
        </row>
        <row r="49403">
          <cell r="O49403" t="str">
            <v/>
          </cell>
        </row>
        <row r="49404">
          <cell r="O49404" t="str">
            <v/>
          </cell>
        </row>
        <row r="49405">
          <cell r="O49405" t="str">
            <v/>
          </cell>
        </row>
        <row r="49406">
          <cell r="O49406" t="str">
            <v/>
          </cell>
        </row>
        <row r="49407">
          <cell r="O49407" t="str">
            <v/>
          </cell>
        </row>
        <row r="49408">
          <cell r="O49408" t="str">
            <v/>
          </cell>
        </row>
        <row r="49409">
          <cell r="O49409" t="str">
            <v/>
          </cell>
        </row>
        <row r="49410">
          <cell r="O49410" t="str">
            <v/>
          </cell>
        </row>
        <row r="49411">
          <cell r="O49411" t="str">
            <v/>
          </cell>
        </row>
        <row r="49412">
          <cell r="O49412" t="str">
            <v/>
          </cell>
        </row>
        <row r="49413">
          <cell r="O49413" t="str">
            <v/>
          </cell>
        </row>
        <row r="49414">
          <cell r="O49414" t="str">
            <v/>
          </cell>
        </row>
        <row r="49415">
          <cell r="O49415" t="str">
            <v/>
          </cell>
        </row>
        <row r="49416">
          <cell r="O49416" t="str">
            <v/>
          </cell>
        </row>
        <row r="49417">
          <cell r="O49417" t="str">
            <v/>
          </cell>
        </row>
        <row r="49418">
          <cell r="O49418" t="str">
            <v/>
          </cell>
        </row>
        <row r="49419">
          <cell r="O49419" t="str">
            <v/>
          </cell>
        </row>
        <row r="49420">
          <cell r="O49420" t="str">
            <v/>
          </cell>
        </row>
        <row r="49421">
          <cell r="O49421" t="str">
            <v/>
          </cell>
        </row>
        <row r="49422">
          <cell r="O49422" t="str">
            <v/>
          </cell>
        </row>
        <row r="49423">
          <cell r="O49423" t="str">
            <v/>
          </cell>
        </row>
        <row r="49424">
          <cell r="O49424" t="str">
            <v/>
          </cell>
        </row>
        <row r="49425">
          <cell r="O49425" t="str">
            <v/>
          </cell>
        </row>
        <row r="49426">
          <cell r="O49426" t="str">
            <v/>
          </cell>
        </row>
        <row r="49427">
          <cell r="O49427" t="str">
            <v/>
          </cell>
        </row>
        <row r="49428">
          <cell r="O49428" t="str">
            <v/>
          </cell>
        </row>
        <row r="49429">
          <cell r="O49429" t="str">
            <v/>
          </cell>
        </row>
        <row r="49430">
          <cell r="O49430" t="str">
            <v/>
          </cell>
        </row>
        <row r="49431">
          <cell r="O49431" t="str">
            <v/>
          </cell>
        </row>
        <row r="49432">
          <cell r="O49432" t="str">
            <v/>
          </cell>
        </row>
        <row r="49433">
          <cell r="O49433" t="str">
            <v/>
          </cell>
        </row>
        <row r="49434">
          <cell r="O49434" t="str">
            <v/>
          </cell>
        </row>
        <row r="49435">
          <cell r="O49435" t="str">
            <v/>
          </cell>
        </row>
        <row r="49436">
          <cell r="O49436" t="str">
            <v/>
          </cell>
        </row>
        <row r="49437">
          <cell r="O49437" t="str">
            <v/>
          </cell>
        </row>
        <row r="49438">
          <cell r="O49438" t="str">
            <v/>
          </cell>
        </row>
        <row r="49439">
          <cell r="O49439" t="str">
            <v/>
          </cell>
        </row>
        <row r="49440">
          <cell r="O49440" t="str">
            <v/>
          </cell>
        </row>
        <row r="49441">
          <cell r="O49441" t="str">
            <v/>
          </cell>
        </row>
        <row r="49442">
          <cell r="O49442" t="str">
            <v/>
          </cell>
        </row>
        <row r="49443">
          <cell r="O49443" t="str">
            <v/>
          </cell>
        </row>
        <row r="49444">
          <cell r="O49444" t="str">
            <v/>
          </cell>
        </row>
        <row r="49445">
          <cell r="O49445" t="str">
            <v/>
          </cell>
        </row>
        <row r="49446">
          <cell r="O49446" t="str">
            <v/>
          </cell>
        </row>
        <row r="49447">
          <cell r="O49447" t="str">
            <v/>
          </cell>
        </row>
        <row r="49448">
          <cell r="O49448" t="str">
            <v/>
          </cell>
        </row>
        <row r="49449">
          <cell r="O49449" t="str">
            <v/>
          </cell>
        </row>
        <row r="49450">
          <cell r="O49450" t="str">
            <v/>
          </cell>
        </row>
        <row r="49451">
          <cell r="O49451" t="str">
            <v/>
          </cell>
        </row>
        <row r="49452">
          <cell r="O49452" t="str">
            <v/>
          </cell>
        </row>
        <row r="49453">
          <cell r="O49453" t="str">
            <v/>
          </cell>
        </row>
        <row r="49454">
          <cell r="O49454" t="str">
            <v/>
          </cell>
        </row>
        <row r="49455">
          <cell r="O49455" t="str">
            <v/>
          </cell>
        </row>
        <row r="49456">
          <cell r="O49456" t="str">
            <v/>
          </cell>
        </row>
        <row r="49457">
          <cell r="O49457" t="str">
            <v/>
          </cell>
        </row>
        <row r="49458">
          <cell r="O49458" t="str">
            <v/>
          </cell>
        </row>
        <row r="49459">
          <cell r="O49459" t="str">
            <v/>
          </cell>
        </row>
        <row r="49460">
          <cell r="O49460" t="str">
            <v/>
          </cell>
        </row>
        <row r="49461">
          <cell r="O49461" t="str">
            <v/>
          </cell>
        </row>
        <row r="49462">
          <cell r="O49462" t="str">
            <v/>
          </cell>
        </row>
        <row r="49463">
          <cell r="O49463" t="str">
            <v/>
          </cell>
        </row>
        <row r="49464">
          <cell r="O49464" t="str">
            <v/>
          </cell>
        </row>
        <row r="49465">
          <cell r="O49465" t="str">
            <v/>
          </cell>
        </row>
        <row r="49466">
          <cell r="O49466" t="str">
            <v/>
          </cell>
        </row>
        <row r="49467">
          <cell r="O49467" t="str">
            <v/>
          </cell>
        </row>
        <row r="49468">
          <cell r="O49468" t="str">
            <v/>
          </cell>
        </row>
        <row r="49469">
          <cell r="O49469" t="str">
            <v/>
          </cell>
        </row>
        <row r="49470">
          <cell r="O49470" t="str">
            <v/>
          </cell>
        </row>
        <row r="49471">
          <cell r="O49471" t="str">
            <v/>
          </cell>
        </row>
        <row r="49472">
          <cell r="O49472" t="str">
            <v/>
          </cell>
        </row>
        <row r="49473">
          <cell r="O49473" t="str">
            <v/>
          </cell>
        </row>
        <row r="49474">
          <cell r="O49474" t="str">
            <v/>
          </cell>
        </row>
        <row r="49475">
          <cell r="O49475" t="str">
            <v/>
          </cell>
        </row>
        <row r="49476">
          <cell r="O49476" t="str">
            <v/>
          </cell>
        </row>
        <row r="49477">
          <cell r="O49477" t="str">
            <v/>
          </cell>
        </row>
        <row r="49478">
          <cell r="O49478" t="str">
            <v/>
          </cell>
        </row>
        <row r="49479">
          <cell r="O49479" t="str">
            <v/>
          </cell>
        </row>
        <row r="49480">
          <cell r="O49480" t="str">
            <v/>
          </cell>
        </row>
        <row r="49481">
          <cell r="O49481" t="str">
            <v/>
          </cell>
        </row>
        <row r="49482">
          <cell r="O49482" t="str">
            <v/>
          </cell>
        </row>
        <row r="49483">
          <cell r="O49483" t="str">
            <v/>
          </cell>
        </row>
        <row r="49484">
          <cell r="O49484" t="str">
            <v/>
          </cell>
        </row>
        <row r="49485">
          <cell r="O49485" t="str">
            <v/>
          </cell>
        </row>
        <row r="49486">
          <cell r="O49486" t="str">
            <v/>
          </cell>
        </row>
        <row r="49487">
          <cell r="O49487" t="str">
            <v/>
          </cell>
        </row>
        <row r="49488">
          <cell r="O49488" t="str">
            <v/>
          </cell>
        </row>
        <row r="49489">
          <cell r="O49489" t="str">
            <v/>
          </cell>
        </row>
        <row r="49490">
          <cell r="O49490" t="str">
            <v/>
          </cell>
        </row>
        <row r="49491">
          <cell r="O49491" t="str">
            <v/>
          </cell>
        </row>
        <row r="49492">
          <cell r="O49492" t="str">
            <v/>
          </cell>
        </row>
        <row r="49493">
          <cell r="O49493" t="str">
            <v/>
          </cell>
        </row>
        <row r="49494">
          <cell r="O49494" t="str">
            <v/>
          </cell>
        </row>
        <row r="49495">
          <cell r="O49495" t="str">
            <v/>
          </cell>
        </row>
        <row r="49496">
          <cell r="O49496" t="str">
            <v/>
          </cell>
        </row>
        <row r="49497">
          <cell r="O49497" t="str">
            <v/>
          </cell>
        </row>
        <row r="49498">
          <cell r="O49498" t="str">
            <v/>
          </cell>
        </row>
        <row r="49499">
          <cell r="O49499" t="str">
            <v/>
          </cell>
        </row>
        <row r="49500">
          <cell r="O49500" t="str">
            <v/>
          </cell>
        </row>
        <row r="49501">
          <cell r="O49501" t="str">
            <v/>
          </cell>
        </row>
        <row r="49502">
          <cell r="O49502" t="str">
            <v/>
          </cell>
        </row>
        <row r="49503">
          <cell r="O49503" t="str">
            <v/>
          </cell>
        </row>
        <row r="49504">
          <cell r="O49504" t="str">
            <v/>
          </cell>
        </row>
        <row r="49505">
          <cell r="O49505" t="str">
            <v/>
          </cell>
        </row>
        <row r="49506">
          <cell r="O49506" t="str">
            <v/>
          </cell>
        </row>
        <row r="49507">
          <cell r="O49507" t="str">
            <v/>
          </cell>
        </row>
        <row r="49508">
          <cell r="O49508" t="str">
            <v/>
          </cell>
        </row>
        <row r="49509">
          <cell r="O49509" t="str">
            <v/>
          </cell>
        </row>
        <row r="49510">
          <cell r="O49510" t="str">
            <v/>
          </cell>
        </row>
        <row r="49511">
          <cell r="O49511" t="str">
            <v/>
          </cell>
        </row>
        <row r="49512">
          <cell r="O49512" t="str">
            <v/>
          </cell>
        </row>
        <row r="49513">
          <cell r="O49513" t="str">
            <v/>
          </cell>
        </row>
        <row r="49514">
          <cell r="O49514" t="str">
            <v/>
          </cell>
        </row>
        <row r="49515">
          <cell r="O49515" t="str">
            <v/>
          </cell>
        </row>
        <row r="49516">
          <cell r="O49516" t="str">
            <v/>
          </cell>
        </row>
        <row r="49517">
          <cell r="O49517" t="str">
            <v/>
          </cell>
        </row>
        <row r="49518">
          <cell r="O49518" t="str">
            <v/>
          </cell>
        </row>
        <row r="49519">
          <cell r="O49519" t="str">
            <v/>
          </cell>
        </row>
        <row r="49520">
          <cell r="O49520" t="str">
            <v/>
          </cell>
        </row>
        <row r="49521">
          <cell r="O49521" t="str">
            <v/>
          </cell>
        </row>
        <row r="49522">
          <cell r="O49522" t="str">
            <v/>
          </cell>
        </row>
        <row r="49523">
          <cell r="O49523" t="str">
            <v/>
          </cell>
        </row>
        <row r="49524">
          <cell r="O49524" t="str">
            <v/>
          </cell>
        </row>
        <row r="49525">
          <cell r="O49525" t="str">
            <v/>
          </cell>
        </row>
        <row r="49526">
          <cell r="O49526" t="str">
            <v/>
          </cell>
        </row>
        <row r="49527">
          <cell r="O49527" t="str">
            <v/>
          </cell>
        </row>
        <row r="49528">
          <cell r="O49528" t="str">
            <v/>
          </cell>
        </row>
        <row r="49529">
          <cell r="O49529" t="str">
            <v/>
          </cell>
        </row>
        <row r="49530">
          <cell r="O49530" t="str">
            <v/>
          </cell>
        </row>
        <row r="49531">
          <cell r="O49531" t="str">
            <v/>
          </cell>
        </row>
        <row r="49532">
          <cell r="O49532" t="str">
            <v/>
          </cell>
        </row>
        <row r="49533">
          <cell r="O49533" t="str">
            <v/>
          </cell>
        </row>
        <row r="49534">
          <cell r="O49534" t="str">
            <v/>
          </cell>
        </row>
        <row r="49535">
          <cell r="O49535" t="str">
            <v/>
          </cell>
        </row>
        <row r="49536">
          <cell r="O49536" t="str">
            <v/>
          </cell>
        </row>
        <row r="49537">
          <cell r="O49537" t="str">
            <v/>
          </cell>
        </row>
        <row r="49538">
          <cell r="O49538" t="str">
            <v/>
          </cell>
        </row>
        <row r="49539">
          <cell r="O49539" t="str">
            <v/>
          </cell>
        </row>
        <row r="49540">
          <cell r="O49540" t="str">
            <v/>
          </cell>
        </row>
        <row r="49541">
          <cell r="O49541" t="str">
            <v/>
          </cell>
        </row>
        <row r="49542">
          <cell r="O49542" t="str">
            <v/>
          </cell>
        </row>
        <row r="49543">
          <cell r="O49543" t="str">
            <v/>
          </cell>
        </row>
        <row r="49544">
          <cell r="O49544" t="str">
            <v/>
          </cell>
        </row>
        <row r="49545">
          <cell r="O49545" t="str">
            <v/>
          </cell>
        </row>
        <row r="49546">
          <cell r="O49546" t="str">
            <v/>
          </cell>
        </row>
        <row r="49547">
          <cell r="O49547" t="str">
            <v/>
          </cell>
        </row>
        <row r="49548">
          <cell r="O49548" t="str">
            <v/>
          </cell>
        </row>
        <row r="49549">
          <cell r="O49549" t="str">
            <v/>
          </cell>
        </row>
        <row r="49550">
          <cell r="O49550" t="str">
            <v/>
          </cell>
        </row>
        <row r="49551">
          <cell r="O49551" t="str">
            <v/>
          </cell>
        </row>
        <row r="49552">
          <cell r="O49552" t="str">
            <v/>
          </cell>
        </row>
        <row r="49553">
          <cell r="O49553" t="str">
            <v/>
          </cell>
        </row>
        <row r="49554">
          <cell r="O49554" t="str">
            <v/>
          </cell>
        </row>
        <row r="49555">
          <cell r="O49555" t="str">
            <v/>
          </cell>
        </row>
        <row r="49556">
          <cell r="O49556" t="str">
            <v/>
          </cell>
        </row>
        <row r="49557">
          <cell r="O49557" t="str">
            <v/>
          </cell>
        </row>
        <row r="49558">
          <cell r="O49558" t="str">
            <v/>
          </cell>
        </row>
        <row r="49559">
          <cell r="O49559" t="str">
            <v/>
          </cell>
        </row>
        <row r="49560">
          <cell r="O49560" t="str">
            <v/>
          </cell>
        </row>
        <row r="49561">
          <cell r="O49561" t="str">
            <v/>
          </cell>
        </row>
        <row r="49562">
          <cell r="O49562" t="str">
            <v/>
          </cell>
        </row>
        <row r="49563">
          <cell r="O49563" t="str">
            <v/>
          </cell>
        </row>
        <row r="49564">
          <cell r="O49564" t="str">
            <v/>
          </cell>
        </row>
        <row r="49565">
          <cell r="O49565" t="str">
            <v/>
          </cell>
        </row>
        <row r="49566">
          <cell r="O49566" t="str">
            <v/>
          </cell>
        </row>
        <row r="49567">
          <cell r="O49567" t="str">
            <v/>
          </cell>
        </row>
        <row r="49568">
          <cell r="O49568" t="str">
            <v/>
          </cell>
        </row>
        <row r="49569">
          <cell r="O49569" t="str">
            <v/>
          </cell>
        </row>
        <row r="49570">
          <cell r="O49570" t="str">
            <v/>
          </cell>
        </row>
        <row r="49571">
          <cell r="O49571" t="str">
            <v/>
          </cell>
        </row>
        <row r="49572">
          <cell r="O49572" t="str">
            <v/>
          </cell>
        </row>
        <row r="49573">
          <cell r="O49573" t="str">
            <v/>
          </cell>
        </row>
        <row r="49574">
          <cell r="O49574" t="str">
            <v/>
          </cell>
        </row>
        <row r="49575">
          <cell r="O49575" t="str">
            <v/>
          </cell>
        </row>
        <row r="49576">
          <cell r="O49576" t="str">
            <v/>
          </cell>
        </row>
        <row r="49577">
          <cell r="O49577" t="str">
            <v/>
          </cell>
        </row>
        <row r="49578">
          <cell r="O49578" t="str">
            <v/>
          </cell>
        </row>
        <row r="49579">
          <cell r="O49579" t="str">
            <v/>
          </cell>
        </row>
        <row r="49580">
          <cell r="O49580" t="str">
            <v/>
          </cell>
        </row>
        <row r="49581">
          <cell r="O49581" t="str">
            <v/>
          </cell>
        </row>
        <row r="49582">
          <cell r="O49582" t="str">
            <v/>
          </cell>
        </row>
        <row r="49583">
          <cell r="O49583" t="str">
            <v/>
          </cell>
        </row>
        <row r="49584">
          <cell r="O49584" t="str">
            <v/>
          </cell>
        </row>
        <row r="49585">
          <cell r="O49585" t="str">
            <v/>
          </cell>
        </row>
        <row r="49586">
          <cell r="O49586" t="str">
            <v/>
          </cell>
        </row>
        <row r="49587">
          <cell r="O49587" t="str">
            <v/>
          </cell>
        </row>
        <row r="49588">
          <cell r="O49588" t="str">
            <v/>
          </cell>
        </row>
        <row r="49589">
          <cell r="O49589" t="str">
            <v/>
          </cell>
        </row>
        <row r="49590">
          <cell r="O49590" t="str">
            <v/>
          </cell>
        </row>
        <row r="49591">
          <cell r="O49591" t="str">
            <v/>
          </cell>
        </row>
        <row r="49592">
          <cell r="O49592" t="str">
            <v/>
          </cell>
        </row>
        <row r="49593">
          <cell r="O49593" t="str">
            <v/>
          </cell>
        </row>
        <row r="49594">
          <cell r="O49594" t="str">
            <v/>
          </cell>
        </row>
        <row r="49595">
          <cell r="O49595" t="str">
            <v/>
          </cell>
        </row>
        <row r="49596">
          <cell r="O49596" t="str">
            <v/>
          </cell>
        </row>
        <row r="49597">
          <cell r="O49597" t="str">
            <v/>
          </cell>
        </row>
        <row r="49598">
          <cell r="O49598" t="str">
            <v/>
          </cell>
        </row>
        <row r="49599">
          <cell r="O49599" t="str">
            <v/>
          </cell>
        </row>
        <row r="49600">
          <cell r="O49600" t="str">
            <v/>
          </cell>
        </row>
        <row r="49601">
          <cell r="O49601" t="str">
            <v/>
          </cell>
        </row>
        <row r="49602">
          <cell r="O49602" t="str">
            <v/>
          </cell>
        </row>
        <row r="49603">
          <cell r="O49603" t="str">
            <v/>
          </cell>
        </row>
        <row r="49604">
          <cell r="O49604" t="str">
            <v/>
          </cell>
        </row>
        <row r="49605">
          <cell r="O49605" t="str">
            <v/>
          </cell>
        </row>
        <row r="49606">
          <cell r="O49606" t="str">
            <v/>
          </cell>
        </row>
        <row r="49607">
          <cell r="O49607" t="str">
            <v/>
          </cell>
        </row>
        <row r="49608">
          <cell r="O49608" t="str">
            <v/>
          </cell>
        </row>
        <row r="49609">
          <cell r="O49609" t="str">
            <v/>
          </cell>
        </row>
        <row r="49610">
          <cell r="O49610" t="str">
            <v/>
          </cell>
        </row>
        <row r="49611">
          <cell r="O49611" t="str">
            <v/>
          </cell>
        </row>
        <row r="49612">
          <cell r="O49612" t="str">
            <v/>
          </cell>
        </row>
        <row r="49613">
          <cell r="O49613" t="str">
            <v/>
          </cell>
        </row>
        <row r="49614">
          <cell r="O49614" t="str">
            <v/>
          </cell>
        </row>
        <row r="49615">
          <cell r="O49615" t="str">
            <v/>
          </cell>
        </row>
        <row r="49616">
          <cell r="O49616" t="str">
            <v/>
          </cell>
        </row>
        <row r="49617">
          <cell r="O49617" t="str">
            <v/>
          </cell>
        </row>
        <row r="49618">
          <cell r="O49618" t="str">
            <v/>
          </cell>
        </row>
        <row r="49619">
          <cell r="O49619" t="str">
            <v/>
          </cell>
        </row>
        <row r="49620">
          <cell r="O49620" t="str">
            <v/>
          </cell>
        </row>
        <row r="49621">
          <cell r="O49621" t="str">
            <v/>
          </cell>
        </row>
        <row r="49622">
          <cell r="O49622" t="str">
            <v/>
          </cell>
        </row>
        <row r="49623">
          <cell r="O49623" t="str">
            <v/>
          </cell>
        </row>
        <row r="49624">
          <cell r="O49624" t="str">
            <v/>
          </cell>
        </row>
        <row r="49625">
          <cell r="O49625" t="str">
            <v/>
          </cell>
        </row>
        <row r="49626">
          <cell r="O49626" t="str">
            <v/>
          </cell>
        </row>
        <row r="49627">
          <cell r="O49627" t="str">
            <v/>
          </cell>
        </row>
        <row r="49628">
          <cell r="O49628" t="str">
            <v/>
          </cell>
        </row>
        <row r="49629">
          <cell r="O49629" t="str">
            <v/>
          </cell>
        </row>
        <row r="49630">
          <cell r="O49630" t="str">
            <v/>
          </cell>
        </row>
        <row r="49631">
          <cell r="O49631" t="str">
            <v/>
          </cell>
        </row>
        <row r="49632">
          <cell r="O49632" t="str">
            <v/>
          </cell>
        </row>
        <row r="49633">
          <cell r="O49633" t="str">
            <v/>
          </cell>
        </row>
        <row r="49634">
          <cell r="O49634" t="str">
            <v/>
          </cell>
        </row>
        <row r="49635">
          <cell r="O49635" t="str">
            <v/>
          </cell>
        </row>
        <row r="49636">
          <cell r="O49636" t="str">
            <v/>
          </cell>
        </row>
        <row r="49637">
          <cell r="O49637" t="str">
            <v/>
          </cell>
        </row>
        <row r="49638">
          <cell r="O49638" t="str">
            <v/>
          </cell>
        </row>
        <row r="49639">
          <cell r="O49639" t="str">
            <v/>
          </cell>
        </row>
        <row r="49640">
          <cell r="O49640" t="str">
            <v/>
          </cell>
        </row>
        <row r="49641">
          <cell r="O49641" t="str">
            <v/>
          </cell>
        </row>
        <row r="49642">
          <cell r="O49642" t="str">
            <v/>
          </cell>
        </row>
        <row r="49643">
          <cell r="O49643" t="str">
            <v/>
          </cell>
        </row>
        <row r="49644">
          <cell r="O49644" t="str">
            <v/>
          </cell>
        </row>
        <row r="49645">
          <cell r="O49645" t="str">
            <v/>
          </cell>
        </row>
        <row r="49646">
          <cell r="O49646" t="str">
            <v/>
          </cell>
        </row>
        <row r="49647">
          <cell r="O49647" t="str">
            <v/>
          </cell>
        </row>
        <row r="49648">
          <cell r="O49648" t="str">
            <v/>
          </cell>
        </row>
        <row r="49649">
          <cell r="O49649" t="str">
            <v/>
          </cell>
        </row>
        <row r="49650">
          <cell r="O49650" t="str">
            <v/>
          </cell>
        </row>
        <row r="49651">
          <cell r="O49651" t="str">
            <v/>
          </cell>
        </row>
        <row r="49652">
          <cell r="O49652" t="str">
            <v/>
          </cell>
        </row>
        <row r="49653">
          <cell r="O49653" t="str">
            <v/>
          </cell>
        </row>
        <row r="49654">
          <cell r="O49654" t="str">
            <v/>
          </cell>
        </row>
        <row r="49655">
          <cell r="O49655" t="str">
            <v/>
          </cell>
        </row>
        <row r="49656">
          <cell r="O49656" t="str">
            <v/>
          </cell>
        </row>
        <row r="49657">
          <cell r="O49657" t="str">
            <v/>
          </cell>
        </row>
        <row r="49658">
          <cell r="O49658" t="str">
            <v/>
          </cell>
        </row>
        <row r="49659">
          <cell r="O49659" t="str">
            <v/>
          </cell>
        </row>
        <row r="49660">
          <cell r="O49660" t="str">
            <v/>
          </cell>
        </row>
        <row r="49661">
          <cell r="O49661" t="str">
            <v/>
          </cell>
        </row>
        <row r="49662">
          <cell r="O49662" t="str">
            <v/>
          </cell>
        </row>
        <row r="49663">
          <cell r="O49663" t="str">
            <v/>
          </cell>
        </row>
        <row r="49664">
          <cell r="O49664" t="str">
            <v/>
          </cell>
        </row>
        <row r="49665">
          <cell r="O49665" t="str">
            <v/>
          </cell>
        </row>
        <row r="49666">
          <cell r="O49666" t="str">
            <v/>
          </cell>
        </row>
        <row r="49667">
          <cell r="O49667" t="str">
            <v/>
          </cell>
        </row>
        <row r="49668">
          <cell r="O49668" t="str">
            <v/>
          </cell>
        </row>
        <row r="49669">
          <cell r="O49669" t="str">
            <v/>
          </cell>
        </row>
        <row r="49670">
          <cell r="O49670" t="str">
            <v/>
          </cell>
        </row>
        <row r="49671">
          <cell r="O49671" t="str">
            <v/>
          </cell>
        </row>
        <row r="49672">
          <cell r="O49672" t="str">
            <v/>
          </cell>
        </row>
        <row r="49673">
          <cell r="O49673" t="str">
            <v/>
          </cell>
        </row>
        <row r="49674">
          <cell r="O49674" t="str">
            <v/>
          </cell>
        </row>
        <row r="49675">
          <cell r="O49675" t="str">
            <v/>
          </cell>
        </row>
        <row r="49676">
          <cell r="O49676" t="str">
            <v/>
          </cell>
        </row>
        <row r="49677">
          <cell r="O49677" t="str">
            <v/>
          </cell>
        </row>
        <row r="49678">
          <cell r="O49678" t="str">
            <v/>
          </cell>
        </row>
        <row r="49679">
          <cell r="O49679" t="str">
            <v/>
          </cell>
        </row>
        <row r="49680">
          <cell r="O49680" t="str">
            <v/>
          </cell>
        </row>
        <row r="49681">
          <cell r="O49681" t="str">
            <v/>
          </cell>
        </row>
        <row r="49682">
          <cell r="O49682" t="str">
            <v/>
          </cell>
        </row>
        <row r="49683">
          <cell r="O49683" t="str">
            <v/>
          </cell>
        </row>
        <row r="49684">
          <cell r="O49684" t="str">
            <v/>
          </cell>
        </row>
        <row r="49685">
          <cell r="O49685" t="str">
            <v/>
          </cell>
        </row>
        <row r="49686">
          <cell r="O49686" t="str">
            <v/>
          </cell>
        </row>
        <row r="49687">
          <cell r="O49687" t="str">
            <v/>
          </cell>
        </row>
        <row r="49688">
          <cell r="O49688" t="str">
            <v/>
          </cell>
        </row>
        <row r="49689">
          <cell r="O49689" t="str">
            <v/>
          </cell>
        </row>
        <row r="49690">
          <cell r="O49690" t="str">
            <v/>
          </cell>
        </row>
        <row r="49691">
          <cell r="O49691" t="str">
            <v/>
          </cell>
        </row>
        <row r="49692">
          <cell r="O49692" t="str">
            <v/>
          </cell>
        </row>
        <row r="49693">
          <cell r="O49693" t="str">
            <v/>
          </cell>
        </row>
        <row r="49694">
          <cell r="O49694" t="str">
            <v/>
          </cell>
        </row>
        <row r="49695">
          <cell r="O49695" t="str">
            <v/>
          </cell>
        </row>
        <row r="49696">
          <cell r="O49696" t="str">
            <v/>
          </cell>
        </row>
        <row r="49697">
          <cell r="O49697" t="str">
            <v/>
          </cell>
        </row>
        <row r="49698">
          <cell r="O49698" t="str">
            <v/>
          </cell>
        </row>
        <row r="49699">
          <cell r="O49699" t="str">
            <v/>
          </cell>
        </row>
        <row r="49700">
          <cell r="O49700" t="str">
            <v/>
          </cell>
        </row>
        <row r="49701">
          <cell r="O49701" t="str">
            <v/>
          </cell>
        </row>
        <row r="49702">
          <cell r="O49702" t="str">
            <v/>
          </cell>
        </row>
        <row r="49703">
          <cell r="O49703" t="str">
            <v/>
          </cell>
        </row>
        <row r="49704">
          <cell r="O49704" t="str">
            <v/>
          </cell>
        </row>
        <row r="49705">
          <cell r="O49705" t="str">
            <v/>
          </cell>
        </row>
        <row r="49706">
          <cell r="O49706" t="str">
            <v/>
          </cell>
        </row>
        <row r="49707">
          <cell r="O49707" t="str">
            <v/>
          </cell>
        </row>
        <row r="49708">
          <cell r="O49708" t="str">
            <v/>
          </cell>
        </row>
        <row r="49709">
          <cell r="O49709" t="str">
            <v/>
          </cell>
        </row>
        <row r="49710">
          <cell r="O49710" t="str">
            <v/>
          </cell>
        </row>
        <row r="49711">
          <cell r="O49711" t="str">
            <v/>
          </cell>
        </row>
        <row r="49712">
          <cell r="O49712" t="str">
            <v/>
          </cell>
        </row>
        <row r="49713">
          <cell r="O49713" t="str">
            <v/>
          </cell>
        </row>
        <row r="49714">
          <cell r="O49714" t="str">
            <v/>
          </cell>
        </row>
        <row r="49715">
          <cell r="O49715" t="str">
            <v/>
          </cell>
        </row>
        <row r="49716">
          <cell r="O49716" t="str">
            <v/>
          </cell>
        </row>
        <row r="49717">
          <cell r="O49717" t="str">
            <v/>
          </cell>
        </row>
        <row r="49718">
          <cell r="O49718" t="str">
            <v/>
          </cell>
        </row>
        <row r="49719">
          <cell r="O49719" t="str">
            <v/>
          </cell>
        </row>
        <row r="49720">
          <cell r="O49720" t="str">
            <v/>
          </cell>
        </row>
        <row r="49721">
          <cell r="O49721" t="str">
            <v/>
          </cell>
        </row>
        <row r="49722">
          <cell r="O49722" t="str">
            <v/>
          </cell>
        </row>
        <row r="49723">
          <cell r="O49723" t="str">
            <v/>
          </cell>
        </row>
        <row r="49724">
          <cell r="O49724" t="str">
            <v/>
          </cell>
        </row>
        <row r="49725">
          <cell r="O49725" t="str">
            <v/>
          </cell>
        </row>
        <row r="49726">
          <cell r="O49726" t="str">
            <v/>
          </cell>
        </row>
        <row r="49727">
          <cell r="O49727" t="str">
            <v/>
          </cell>
        </row>
        <row r="49728">
          <cell r="O49728" t="str">
            <v/>
          </cell>
        </row>
        <row r="49729">
          <cell r="O49729" t="str">
            <v/>
          </cell>
        </row>
        <row r="49730">
          <cell r="O49730" t="str">
            <v/>
          </cell>
        </row>
        <row r="49731">
          <cell r="O49731" t="str">
            <v/>
          </cell>
        </row>
        <row r="49732">
          <cell r="O49732" t="str">
            <v/>
          </cell>
        </row>
        <row r="49733">
          <cell r="O49733" t="str">
            <v/>
          </cell>
        </row>
        <row r="49734">
          <cell r="O49734" t="str">
            <v/>
          </cell>
        </row>
        <row r="49735">
          <cell r="O49735" t="str">
            <v/>
          </cell>
        </row>
        <row r="49736">
          <cell r="O49736" t="str">
            <v/>
          </cell>
        </row>
        <row r="49737">
          <cell r="O49737" t="str">
            <v/>
          </cell>
        </row>
        <row r="49738">
          <cell r="O49738" t="str">
            <v/>
          </cell>
        </row>
        <row r="49739">
          <cell r="O49739" t="str">
            <v/>
          </cell>
        </row>
        <row r="49740">
          <cell r="O49740" t="str">
            <v/>
          </cell>
        </row>
        <row r="49741">
          <cell r="O49741" t="str">
            <v/>
          </cell>
        </row>
        <row r="49742">
          <cell r="O49742" t="str">
            <v/>
          </cell>
        </row>
        <row r="49743">
          <cell r="O49743" t="str">
            <v/>
          </cell>
        </row>
        <row r="49744">
          <cell r="O49744" t="str">
            <v/>
          </cell>
        </row>
        <row r="49745">
          <cell r="O49745" t="str">
            <v/>
          </cell>
        </row>
        <row r="49746">
          <cell r="O49746" t="str">
            <v/>
          </cell>
        </row>
        <row r="49747">
          <cell r="O49747" t="str">
            <v/>
          </cell>
        </row>
        <row r="49748">
          <cell r="O49748" t="str">
            <v/>
          </cell>
        </row>
        <row r="49749">
          <cell r="O49749" t="str">
            <v/>
          </cell>
        </row>
        <row r="49750">
          <cell r="O49750" t="str">
            <v/>
          </cell>
        </row>
        <row r="49751">
          <cell r="O49751" t="str">
            <v/>
          </cell>
        </row>
        <row r="49752">
          <cell r="O49752" t="str">
            <v/>
          </cell>
        </row>
        <row r="49753">
          <cell r="O49753" t="str">
            <v/>
          </cell>
        </row>
        <row r="49754">
          <cell r="O49754" t="str">
            <v/>
          </cell>
        </row>
        <row r="49755">
          <cell r="O49755" t="str">
            <v/>
          </cell>
        </row>
        <row r="49756">
          <cell r="O49756" t="str">
            <v/>
          </cell>
        </row>
        <row r="49757">
          <cell r="O49757" t="str">
            <v/>
          </cell>
        </row>
        <row r="49758">
          <cell r="O49758" t="str">
            <v/>
          </cell>
        </row>
        <row r="49759">
          <cell r="O49759" t="str">
            <v/>
          </cell>
        </row>
        <row r="49760">
          <cell r="O49760" t="str">
            <v/>
          </cell>
        </row>
        <row r="49761">
          <cell r="O49761" t="str">
            <v/>
          </cell>
        </row>
        <row r="49762">
          <cell r="O49762" t="str">
            <v/>
          </cell>
        </row>
        <row r="49763">
          <cell r="O49763" t="str">
            <v/>
          </cell>
        </row>
        <row r="49764">
          <cell r="O49764" t="str">
            <v/>
          </cell>
        </row>
        <row r="49765">
          <cell r="O49765" t="str">
            <v/>
          </cell>
        </row>
        <row r="49766">
          <cell r="O49766" t="str">
            <v/>
          </cell>
        </row>
        <row r="49767">
          <cell r="O49767" t="str">
            <v/>
          </cell>
        </row>
        <row r="49768">
          <cell r="O49768" t="str">
            <v/>
          </cell>
        </row>
        <row r="49769">
          <cell r="O49769" t="str">
            <v/>
          </cell>
        </row>
        <row r="49770">
          <cell r="O49770" t="str">
            <v/>
          </cell>
        </row>
        <row r="49771">
          <cell r="O49771" t="str">
            <v/>
          </cell>
        </row>
        <row r="49772">
          <cell r="O49772" t="str">
            <v/>
          </cell>
        </row>
        <row r="49773">
          <cell r="O49773" t="str">
            <v/>
          </cell>
        </row>
        <row r="49774">
          <cell r="O49774" t="str">
            <v/>
          </cell>
        </row>
        <row r="49775">
          <cell r="O49775" t="str">
            <v/>
          </cell>
        </row>
        <row r="49776">
          <cell r="O49776" t="str">
            <v/>
          </cell>
        </row>
        <row r="49777">
          <cell r="O49777" t="str">
            <v/>
          </cell>
        </row>
        <row r="49778">
          <cell r="O49778" t="str">
            <v/>
          </cell>
        </row>
        <row r="49779">
          <cell r="O49779" t="str">
            <v/>
          </cell>
        </row>
        <row r="49780">
          <cell r="O49780" t="str">
            <v/>
          </cell>
        </row>
        <row r="49781">
          <cell r="O49781" t="str">
            <v/>
          </cell>
        </row>
        <row r="49782">
          <cell r="O49782" t="str">
            <v/>
          </cell>
        </row>
        <row r="49783">
          <cell r="O49783" t="str">
            <v/>
          </cell>
        </row>
        <row r="49784">
          <cell r="O49784" t="str">
            <v/>
          </cell>
        </row>
        <row r="49785">
          <cell r="O49785" t="str">
            <v/>
          </cell>
        </row>
        <row r="49786">
          <cell r="O49786" t="str">
            <v/>
          </cell>
        </row>
        <row r="49787">
          <cell r="O49787" t="str">
            <v/>
          </cell>
        </row>
        <row r="49788">
          <cell r="O49788" t="str">
            <v/>
          </cell>
        </row>
        <row r="49789">
          <cell r="O49789" t="str">
            <v/>
          </cell>
        </row>
        <row r="49790">
          <cell r="O49790" t="str">
            <v/>
          </cell>
        </row>
        <row r="49791">
          <cell r="O49791" t="str">
            <v/>
          </cell>
        </row>
        <row r="49792">
          <cell r="O49792" t="str">
            <v/>
          </cell>
        </row>
        <row r="49793">
          <cell r="O49793" t="str">
            <v/>
          </cell>
        </row>
        <row r="49794">
          <cell r="O49794" t="str">
            <v/>
          </cell>
        </row>
        <row r="49795">
          <cell r="O49795" t="str">
            <v/>
          </cell>
        </row>
        <row r="49796">
          <cell r="O49796" t="str">
            <v/>
          </cell>
        </row>
        <row r="49797">
          <cell r="O49797" t="str">
            <v/>
          </cell>
        </row>
        <row r="49798">
          <cell r="O49798" t="str">
            <v/>
          </cell>
        </row>
        <row r="49799">
          <cell r="O49799" t="str">
            <v/>
          </cell>
        </row>
        <row r="49800">
          <cell r="O49800" t="str">
            <v/>
          </cell>
        </row>
        <row r="49801">
          <cell r="O49801" t="str">
            <v/>
          </cell>
        </row>
        <row r="49802">
          <cell r="O49802" t="str">
            <v/>
          </cell>
        </row>
        <row r="49803">
          <cell r="O49803" t="str">
            <v/>
          </cell>
        </row>
        <row r="49804">
          <cell r="O49804" t="str">
            <v/>
          </cell>
        </row>
        <row r="49805">
          <cell r="O49805" t="str">
            <v/>
          </cell>
        </row>
        <row r="49806">
          <cell r="O49806" t="str">
            <v/>
          </cell>
        </row>
        <row r="49807">
          <cell r="O49807" t="str">
            <v/>
          </cell>
        </row>
        <row r="49808">
          <cell r="O49808" t="str">
            <v/>
          </cell>
        </row>
        <row r="49809">
          <cell r="O49809" t="str">
            <v/>
          </cell>
        </row>
        <row r="49810">
          <cell r="O49810" t="str">
            <v/>
          </cell>
        </row>
        <row r="49811">
          <cell r="O49811" t="str">
            <v/>
          </cell>
        </row>
        <row r="49812">
          <cell r="O49812" t="str">
            <v/>
          </cell>
        </row>
        <row r="49813">
          <cell r="O49813" t="str">
            <v/>
          </cell>
        </row>
        <row r="49814">
          <cell r="O49814" t="str">
            <v/>
          </cell>
        </row>
        <row r="49815">
          <cell r="O49815" t="str">
            <v/>
          </cell>
        </row>
        <row r="49816">
          <cell r="O49816" t="str">
            <v/>
          </cell>
        </row>
        <row r="49817">
          <cell r="O49817" t="str">
            <v/>
          </cell>
        </row>
        <row r="49818">
          <cell r="O49818" t="str">
            <v/>
          </cell>
        </row>
        <row r="49819">
          <cell r="O49819" t="str">
            <v/>
          </cell>
        </row>
        <row r="49820">
          <cell r="O49820" t="str">
            <v/>
          </cell>
        </row>
        <row r="49821">
          <cell r="O49821" t="str">
            <v/>
          </cell>
        </row>
        <row r="49822">
          <cell r="O49822" t="str">
            <v/>
          </cell>
        </row>
        <row r="49823">
          <cell r="O49823" t="str">
            <v/>
          </cell>
        </row>
        <row r="49824">
          <cell r="O49824" t="str">
            <v/>
          </cell>
        </row>
        <row r="49825">
          <cell r="O49825" t="str">
            <v/>
          </cell>
        </row>
        <row r="49826">
          <cell r="O49826" t="str">
            <v/>
          </cell>
        </row>
        <row r="49827">
          <cell r="O49827" t="str">
            <v/>
          </cell>
        </row>
        <row r="49828">
          <cell r="O49828" t="str">
            <v/>
          </cell>
        </row>
        <row r="49829">
          <cell r="O49829" t="str">
            <v/>
          </cell>
        </row>
        <row r="49830">
          <cell r="O49830" t="str">
            <v/>
          </cell>
        </row>
        <row r="49831">
          <cell r="O49831" t="str">
            <v/>
          </cell>
        </row>
        <row r="49832">
          <cell r="O49832" t="str">
            <v/>
          </cell>
        </row>
        <row r="49833">
          <cell r="O49833" t="str">
            <v/>
          </cell>
        </row>
        <row r="49834">
          <cell r="O49834" t="str">
            <v/>
          </cell>
        </row>
        <row r="49835">
          <cell r="O49835" t="str">
            <v/>
          </cell>
        </row>
        <row r="49836">
          <cell r="O49836" t="str">
            <v/>
          </cell>
        </row>
        <row r="49837">
          <cell r="O49837" t="str">
            <v/>
          </cell>
        </row>
        <row r="49838">
          <cell r="O49838" t="str">
            <v/>
          </cell>
        </row>
        <row r="49839">
          <cell r="O49839" t="str">
            <v/>
          </cell>
        </row>
        <row r="49840">
          <cell r="O49840" t="str">
            <v/>
          </cell>
        </row>
        <row r="49841">
          <cell r="O49841" t="str">
            <v/>
          </cell>
        </row>
        <row r="49842">
          <cell r="O49842" t="str">
            <v/>
          </cell>
        </row>
        <row r="49843">
          <cell r="O49843" t="str">
            <v/>
          </cell>
        </row>
        <row r="49844">
          <cell r="O49844" t="str">
            <v/>
          </cell>
        </row>
        <row r="49845">
          <cell r="O49845" t="str">
            <v/>
          </cell>
        </row>
        <row r="49846">
          <cell r="O49846" t="str">
            <v/>
          </cell>
        </row>
        <row r="49847">
          <cell r="O49847" t="str">
            <v/>
          </cell>
        </row>
        <row r="49848">
          <cell r="O49848" t="str">
            <v/>
          </cell>
        </row>
        <row r="49849">
          <cell r="O49849" t="str">
            <v/>
          </cell>
        </row>
        <row r="49850">
          <cell r="O49850" t="str">
            <v/>
          </cell>
        </row>
        <row r="49851">
          <cell r="O49851" t="str">
            <v/>
          </cell>
        </row>
        <row r="49852">
          <cell r="O49852" t="str">
            <v/>
          </cell>
        </row>
        <row r="49853">
          <cell r="O49853" t="str">
            <v/>
          </cell>
        </row>
        <row r="49854">
          <cell r="O49854" t="str">
            <v/>
          </cell>
        </row>
        <row r="49855">
          <cell r="O49855" t="str">
            <v/>
          </cell>
        </row>
        <row r="49856">
          <cell r="O49856" t="str">
            <v/>
          </cell>
        </row>
        <row r="49857">
          <cell r="O49857" t="str">
            <v/>
          </cell>
        </row>
        <row r="49858">
          <cell r="O49858" t="str">
            <v/>
          </cell>
        </row>
        <row r="49859">
          <cell r="O49859" t="str">
            <v/>
          </cell>
        </row>
        <row r="49860">
          <cell r="O49860" t="str">
            <v/>
          </cell>
        </row>
        <row r="49861">
          <cell r="O49861" t="str">
            <v/>
          </cell>
        </row>
        <row r="49862">
          <cell r="O49862" t="str">
            <v/>
          </cell>
        </row>
        <row r="49863">
          <cell r="O49863" t="str">
            <v/>
          </cell>
        </row>
        <row r="49864">
          <cell r="O49864" t="str">
            <v/>
          </cell>
        </row>
        <row r="49865">
          <cell r="O49865" t="str">
            <v/>
          </cell>
        </row>
        <row r="49866">
          <cell r="O49866" t="str">
            <v/>
          </cell>
        </row>
        <row r="49867">
          <cell r="O49867" t="str">
            <v/>
          </cell>
        </row>
        <row r="49868">
          <cell r="O49868" t="str">
            <v/>
          </cell>
        </row>
        <row r="49869">
          <cell r="O49869" t="str">
            <v/>
          </cell>
        </row>
        <row r="49870">
          <cell r="O49870" t="str">
            <v/>
          </cell>
        </row>
        <row r="49871">
          <cell r="O49871" t="str">
            <v/>
          </cell>
        </row>
        <row r="49872">
          <cell r="O49872" t="str">
            <v/>
          </cell>
        </row>
        <row r="49873">
          <cell r="O49873" t="str">
            <v/>
          </cell>
        </row>
        <row r="49874">
          <cell r="O49874" t="str">
            <v/>
          </cell>
        </row>
        <row r="49875">
          <cell r="O49875" t="str">
            <v/>
          </cell>
        </row>
        <row r="49876">
          <cell r="O49876" t="str">
            <v/>
          </cell>
        </row>
        <row r="49877">
          <cell r="O49877" t="str">
            <v/>
          </cell>
        </row>
        <row r="49878">
          <cell r="O49878" t="str">
            <v/>
          </cell>
        </row>
        <row r="49879">
          <cell r="O49879" t="str">
            <v/>
          </cell>
        </row>
        <row r="49880">
          <cell r="O49880" t="str">
            <v/>
          </cell>
        </row>
        <row r="49881">
          <cell r="O49881" t="str">
            <v/>
          </cell>
        </row>
        <row r="49882">
          <cell r="O49882" t="str">
            <v/>
          </cell>
        </row>
        <row r="49883">
          <cell r="O49883" t="str">
            <v/>
          </cell>
        </row>
        <row r="49884">
          <cell r="O49884" t="str">
            <v/>
          </cell>
        </row>
        <row r="49885">
          <cell r="O49885" t="str">
            <v/>
          </cell>
        </row>
        <row r="49886">
          <cell r="O49886" t="str">
            <v/>
          </cell>
        </row>
        <row r="49887">
          <cell r="O49887" t="str">
            <v/>
          </cell>
        </row>
        <row r="49888">
          <cell r="O49888" t="str">
            <v/>
          </cell>
        </row>
        <row r="49889">
          <cell r="O49889" t="str">
            <v/>
          </cell>
        </row>
        <row r="49890">
          <cell r="O49890" t="str">
            <v/>
          </cell>
        </row>
        <row r="49891">
          <cell r="O49891" t="str">
            <v/>
          </cell>
        </row>
        <row r="49892">
          <cell r="O49892" t="str">
            <v/>
          </cell>
        </row>
        <row r="49893">
          <cell r="O49893" t="str">
            <v/>
          </cell>
        </row>
        <row r="49894">
          <cell r="O49894" t="str">
            <v/>
          </cell>
        </row>
        <row r="49895">
          <cell r="O49895" t="str">
            <v/>
          </cell>
        </row>
        <row r="49896">
          <cell r="O49896" t="str">
            <v/>
          </cell>
        </row>
        <row r="49897">
          <cell r="O49897" t="str">
            <v/>
          </cell>
        </row>
        <row r="49898">
          <cell r="O49898" t="str">
            <v/>
          </cell>
        </row>
        <row r="49899">
          <cell r="O49899" t="str">
            <v/>
          </cell>
        </row>
        <row r="49900">
          <cell r="O49900" t="str">
            <v/>
          </cell>
        </row>
        <row r="49901">
          <cell r="O49901" t="str">
            <v/>
          </cell>
        </row>
        <row r="49902">
          <cell r="O49902" t="str">
            <v/>
          </cell>
        </row>
        <row r="49903">
          <cell r="O49903" t="str">
            <v/>
          </cell>
        </row>
        <row r="49904">
          <cell r="O49904" t="str">
            <v/>
          </cell>
        </row>
        <row r="49905">
          <cell r="O49905" t="str">
            <v/>
          </cell>
        </row>
        <row r="49906">
          <cell r="O49906" t="str">
            <v/>
          </cell>
        </row>
        <row r="49907">
          <cell r="O49907" t="str">
            <v/>
          </cell>
        </row>
        <row r="49908">
          <cell r="O49908" t="str">
            <v/>
          </cell>
        </row>
        <row r="49909">
          <cell r="O49909" t="str">
            <v/>
          </cell>
        </row>
        <row r="49910">
          <cell r="O49910" t="str">
            <v/>
          </cell>
        </row>
        <row r="49911">
          <cell r="O49911" t="str">
            <v/>
          </cell>
        </row>
        <row r="49912">
          <cell r="O49912" t="str">
            <v/>
          </cell>
        </row>
        <row r="49913">
          <cell r="O49913" t="str">
            <v/>
          </cell>
        </row>
        <row r="49914">
          <cell r="O49914" t="str">
            <v/>
          </cell>
        </row>
        <row r="49915">
          <cell r="O49915" t="str">
            <v/>
          </cell>
        </row>
        <row r="49916">
          <cell r="O49916" t="str">
            <v/>
          </cell>
        </row>
        <row r="49917">
          <cell r="O49917" t="str">
            <v/>
          </cell>
        </row>
        <row r="49918">
          <cell r="O49918" t="str">
            <v/>
          </cell>
        </row>
        <row r="49919">
          <cell r="O49919" t="str">
            <v/>
          </cell>
        </row>
        <row r="49920">
          <cell r="O49920" t="str">
            <v/>
          </cell>
        </row>
        <row r="49921">
          <cell r="O49921" t="str">
            <v/>
          </cell>
        </row>
        <row r="49922">
          <cell r="O49922" t="str">
            <v/>
          </cell>
        </row>
        <row r="49923">
          <cell r="O49923" t="str">
            <v/>
          </cell>
        </row>
        <row r="49924">
          <cell r="O49924" t="str">
            <v/>
          </cell>
        </row>
        <row r="49925">
          <cell r="O49925" t="str">
            <v/>
          </cell>
        </row>
        <row r="49926">
          <cell r="O49926" t="str">
            <v/>
          </cell>
        </row>
        <row r="49927">
          <cell r="O49927" t="str">
            <v/>
          </cell>
        </row>
        <row r="49928">
          <cell r="O49928" t="str">
            <v/>
          </cell>
        </row>
        <row r="49929">
          <cell r="O49929" t="str">
            <v/>
          </cell>
        </row>
        <row r="49930">
          <cell r="O49930" t="str">
            <v/>
          </cell>
        </row>
        <row r="49931">
          <cell r="O49931" t="str">
            <v/>
          </cell>
        </row>
        <row r="49932">
          <cell r="O49932" t="str">
            <v/>
          </cell>
        </row>
        <row r="49933">
          <cell r="O49933" t="str">
            <v/>
          </cell>
        </row>
        <row r="49934">
          <cell r="O49934" t="str">
            <v/>
          </cell>
        </row>
        <row r="49935">
          <cell r="O49935" t="str">
            <v/>
          </cell>
        </row>
        <row r="49936">
          <cell r="O49936" t="str">
            <v/>
          </cell>
        </row>
        <row r="49937">
          <cell r="O49937" t="str">
            <v/>
          </cell>
        </row>
        <row r="49938">
          <cell r="O49938" t="str">
            <v/>
          </cell>
        </row>
        <row r="49939">
          <cell r="O49939" t="str">
            <v/>
          </cell>
        </row>
        <row r="49940">
          <cell r="O49940" t="str">
            <v/>
          </cell>
        </row>
        <row r="49941">
          <cell r="O49941" t="str">
            <v/>
          </cell>
        </row>
        <row r="49942">
          <cell r="O49942" t="str">
            <v/>
          </cell>
        </row>
        <row r="49943">
          <cell r="O49943" t="str">
            <v/>
          </cell>
        </row>
        <row r="49944">
          <cell r="O49944" t="str">
            <v/>
          </cell>
        </row>
        <row r="49945">
          <cell r="O49945" t="str">
            <v/>
          </cell>
        </row>
        <row r="49946">
          <cell r="O49946" t="str">
            <v/>
          </cell>
        </row>
        <row r="49947">
          <cell r="O49947" t="str">
            <v/>
          </cell>
        </row>
        <row r="49948">
          <cell r="O49948" t="str">
            <v/>
          </cell>
        </row>
        <row r="49949">
          <cell r="O49949" t="str">
            <v/>
          </cell>
        </row>
        <row r="49950">
          <cell r="O49950" t="str">
            <v/>
          </cell>
        </row>
        <row r="49951">
          <cell r="O49951" t="str">
            <v/>
          </cell>
        </row>
        <row r="49952">
          <cell r="O49952" t="str">
            <v/>
          </cell>
        </row>
        <row r="49953">
          <cell r="O49953" t="str">
            <v/>
          </cell>
        </row>
        <row r="49954">
          <cell r="O49954" t="str">
            <v/>
          </cell>
        </row>
        <row r="49955">
          <cell r="O49955" t="str">
            <v/>
          </cell>
        </row>
        <row r="49956">
          <cell r="O49956" t="str">
            <v/>
          </cell>
        </row>
        <row r="49957">
          <cell r="O49957" t="str">
            <v/>
          </cell>
        </row>
        <row r="49958">
          <cell r="O49958" t="str">
            <v/>
          </cell>
        </row>
        <row r="49959">
          <cell r="O49959" t="str">
            <v/>
          </cell>
        </row>
        <row r="49960">
          <cell r="O49960" t="str">
            <v/>
          </cell>
        </row>
        <row r="49961">
          <cell r="O49961" t="str">
            <v/>
          </cell>
        </row>
        <row r="49962">
          <cell r="O49962" t="str">
            <v/>
          </cell>
        </row>
        <row r="49963">
          <cell r="O49963" t="str">
            <v/>
          </cell>
        </row>
        <row r="49964">
          <cell r="O49964" t="str">
            <v/>
          </cell>
        </row>
        <row r="49965">
          <cell r="O49965" t="str">
            <v/>
          </cell>
        </row>
        <row r="49966">
          <cell r="O49966" t="str">
            <v/>
          </cell>
        </row>
        <row r="49967">
          <cell r="O49967" t="str">
            <v/>
          </cell>
        </row>
        <row r="49968">
          <cell r="O49968" t="str">
            <v/>
          </cell>
        </row>
        <row r="49969">
          <cell r="O49969" t="str">
            <v/>
          </cell>
        </row>
        <row r="49970">
          <cell r="O49970" t="str">
            <v/>
          </cell>
        </row>
        <row r="49971">
          <cell r="O49971" t="str">
            <v/>
          </cell>
        </row>
        <row r="49972">
          <cell r="O49972" t="str">
            <v/>
          </cell>
        </row>
        <row r="49973">
          <cell r="O49973" t="str">
            <v/>
          </cell>
        </row>
        <row r="49974">
          <cell r="O49974" t="str">
            <v/>
          </cell>
        </row>
        <row r="49975">
          <cell r="O49975" t="str">
            <v/>
          </cell>
        </row>
        <row r="49976">
          <cell r="O49976" t="str">
            <v/>
          </cell>
        </row>
        <row r="49977">
          <cell r="O49977" t="str">
            <v/>
          </cell>
        </row>
        <row r="49978">
          <cell r="O49978" t="str">
            <v/>
          </cell>
        </row>
        <row r="49979">
          <cell r="O49979" t="str">
            <v/>
          </cell>
        </row>
        <row r="49980">
          <cell r="O49980" t="str">
            <v/>
          </cell>
        </row>
        <row r="49981">
          <cell r="O49981" t="str">
            <v/>
          </cell>
        </row>
        <row r="49982">
          <cell r="O49982" t="str">
            <v/>
          </cell>
        </row>
        <row r="49983">
          <cell r="O49983" t="str">
            <v/>
          </cell>
        </row>
        <row r="49984">
          <cell r="O49984" t="str">
            <v/>
          </cell>
        </row>
        <row r="49985">
          <cell r="O49985" t="str">
            <v/>
          </cell>
        </row>
        <row r="49986">
          <cell r="O49986" t="str">
            <v/>
          </cell>
        </row>
        <row r="49987">
          <cell r="O49987" t="str">
            <v/>
          </cell>
        </row>
        <row r="49988">
          <cell r="O49988" t="str">
            <v/>
          </cell>
        </row>
        <row r="49989">
          <cell r="O49989" t="str">
            <v/>
          </cell>
        </row>
        <row r="49990">
          <cell r="O49990" t="str">
            <v/>
          </cell>
        </row>
        <row r="49991">
          <cell r="O49991" t="str">
            <v/>
          </cell>
        </row>
        <row r="49992">
          <cell r="O49992" t="str">
            <v/>
          </cell>
        </row>
        <row r="49993">
          <cell r="O49993" t="str">
            <v/>
          </cell>
        </row>
        <row r="49994">
          <cell r="O49994" t="str">
            <v/>
          </cell>
        </row>
        <row r="49995">
          <cell r="O49995" t="str">
            <v/>
          </cell>
        </row>
        <row r="49996">
          <cell r="O49996" t="str">
            <v/>
          </cell>
        </row>
        <row r="49997">
          <cell r="O49997" t="str">
            <v/>
          </cell>
        </row>
        <row r="49998">
          <cell r="O49998" t="str">
            <v/>
          </cell>
        </row>
        <row r="49999">
          <cell r="O49999" t="str">
            <v/>
          </cell>
        </row>
        <row r="50000">
          <cell r="O50000" t="str">
            <v/>
          </cell>
        </row>
        <row r="50001">
          <cell r="O50001" t="str">
            <v/>
          </cell>
        </row>
        <row r="50002">
          <cell r="O50002" t="str">
            <v/>
          </cell>
        </row>
        <row r="50003">
          <cell r="O50003" t="str">
            <v/>
          </cell>
        </row>
        <row r="50004">
          <cell r="O50004" t="str">
            <v/>
          </cell>
        </row>
        <row r="50005">
          <cell r="O50005" t="str">
            <v/>
          </cell>
        </row>
        <row r="50006">
          <cell r="O50006" t="str">
            <v/>
          </cell>
        </row>
        <row r="50007">
          <cell r="O50007" t="str">
            <v/>
          </cell>
        </row>
        <row r="50008">
          <cell r="O50008" t="str">
            <v/>
          </cell>
        </row>
        <row r="50009">
          <cell r="O50009" t="str">
            <v/>
          </cell>
        </row>
        <row r="50010">
          <cell r="O50010" t="str">
            <v/>
          </cell>
        </row>
        <row r="50011">
          <cell r="O50011" t="str">
            <v/>
          </cell>
        </row>
        <row r="50012">
          <cell r="O50012" t="str">
            <v/>
          </cell>
        </row>
        <row r="50013">
          <cell r="O50013" t="str">
            <v/>
          </cell>
        </row>
        <row r="50014">
          <cell r="O50014" t="str">
            <v/>
          </cell>
        </row>
        <row r="50015">
          <cell r="O50015" t="str">
            <v/>
          </cell>
        </row>
        <row r="50016">
          <cell r="O50016" t="str">
            <v/>
          </cell>
        </row>
        <row r="50017">
          <cell r="O50017" t="str">
            <v/>
          </cell>
        </row>
        <row r="50018">
          <cell r="O50018" t="str">
            <v/>
          </cell>
        </row>
        <row r="50019">
          <cell r="O50019" t="str">
            <v/>
          </cell>
        </row>
        <row r="50020">
          <cell r="O50020" t="str">
            <v/>
          </cell>
        </row>
        <row r="50021">
          <cell r="O50021" t="str">
            <v/>
          </cell>
        </row>
        <row r="50022">
          <cell r="O50022" t="str">
            <v/>
          </cell>
        </row>
        <row r="50023">
          <cell r="O50023" t="str">
            <v/>
          </cell>
        </row>
        <row r="50024">
          <cell r="O50024" t="str">
            <v/>
          </cell>
        </row>
        <row r="50025">
          <cell r="O50025" t="str">
            <v/>
          </cell>
        </row>
        <row r="50026">
          <cell r="O50026" t="str">
            <v/>
          </cell>
        </row>
        <row r="50027">
          <cell r="O50027" t="str">
            <v/>
          </cell>
        </row>
        <row r="50028">
          <cell r="O50028" t="str">
            <v/>
          </cell>
        </row>
        <row r="50029">
          <cell r="O50029" t="str">
            <v/>
          </cell>
        </row>
        <row r="50030">
          <cell r="O50030" t="str">
            <v/>
          </cell>
        </row>
        <row r="50031">
          <cell r="O50031" t="str">
            <v/>
          </cell>
        </row>
        <row r="50032">
          <cell r="O50032" t="str">
            <v/>
          </cell>
        </row>
        <row r="50033">
          <cell r="O50033" t="str">
            <v/>
          </cell>
        </row>
        <row r="50034">
          <cell r="O50034" t="str">
            <v/>
          </cell>
        </row>
        <row r="50035">
          <cell r="O50035" t="str">
            <v/>
          </cell>
        </row>
        <row r="50036">
          <cell r="O50036" t="str">
            <v/>
          </cell>
        </row>
        <row r="50037">
          <cell r="O50037" t="str">
            <v/>
          </cell>
        </row>
        <row r="50038">
          <cell r="O50038" t="str">
            <v/>
          </cell>
        </row>
        <row r="50039">
          <cell r="O50039" t="str">
            <v/>
          </cell>
        </row>
        <row r="50040">
          <cell r="O50040" t="str">
            <v/>
          </cell>
        </row>
        <row r="50041">
          <cell r="O50041" t="str">
            <v/>
          </cell>
        </row>
        <row r="50042">
          <cell r="O50042" t="str">
            <v/>
          </cell>
        </row>
        <row r="50043">
          <cell r="O50043" t="str">
            <v/>
          </cell>
        </row>
        <row r="50044">
          <cell r="O50044" t="str">
            <v/>
          </cell>
        </row>
        <row r="50045">
          <cell r="O50045" t="str">
            <v/>
          </cell>
        </row>
        <row r="50046">
          <cell r="O50046" t="str">
            <v/>
          </cell>
        </row>
        <row r="50047">
          <cell r="O50047" t="str">
            <v/>
          </cell>
        </row>
        <row r="50048">
          <cell r="O50048" t="str">
            <v/>
          </cell>
        </row>
        <row r="50049">
          <cell r="O50049" t="str">
            <v/>
          </cell>
        </row>
        <row r="50050">
          <cell r="O50050" t="str">
            <v/>
          </cell>
        </row>
        <row r="50051">
          <cell r="O50051" t="str">
            <v/>
          </cell>
        </row>
        <row r="50052">
          <cell r="O50052" t="str">
            <v/>
          </cell>
        </row>
        <row r="50053">
          <cell r="O50053" t="str">
            <v/>
          </cell>
        </row>
        <row r="50054">
          <cell r="O50054" t="str">
            <v/>
          </cell>
        </row>
        <row r="50055">
          <cell r="O50055" t="str">
            <v/>
          </cell>
        </row>
        <row r="50056">
          <cell r="O50056" t="str">
            <v/>
          </cell>
        </row>
        <row r="50057">
          <cell r="O50057" t="str">
            <v/>
          </cell>
        </row>
        <row r="50058">
          <cell r="O50058" t="str">
            <v/>
          </cell>
        </row>
        <row r="50059">
          <cell r="O50059" t="str">
            <v/>
          </cell>
        </row>
        <row r="50060">
          <cell r="O50060" t="str">
            <v/>
          </cell>
        </row>
        <row r="50061">
          <cell r="O50061" t="str">
            <v/>
          </cell>
        </row>
        <row r="50062">
          <cell r="O50062" t="str">
            <v/>
          </cell>
        </row>
        <row r="50063">
          <cell r="O50063" t="str">
            <v/>
          </cell>
        </row>
        <row r="50064">
          <cell r="O50064" t="str">
            <v/>
          </cell>
        </row>
        <row r="50065">
          <cell r="O50065" t="str">
            <v/>
          </cell>
        </row>
        <row r="50066">
          <cell r="O50066" t="str">
            <v/>
          </cell>
        </row>
        <row r="50067">
          <cell r="O50067" t="str">
            <v/>
          </cell>
        </row>
        <row r="50068">
          <cell r="O50068" t="str">
            <v/>
          </cell>
        </row>
        <row r="50069">
          <cell r="O50069" t="str">
            <v/>
          </cell>
        </row>
        <row r="50070">
          <cell r="O50070" t="str">
            <v/>
          </cell>
        </row>
        <row r="50071">
          <cell r="O50071" t="str">
            <v/>
          </cell>
        </row>
        <row r="50072">
          <cell r="O50072" t="str">
            <v/>
          </cell>
        </row>
        <row r="50073">
          <cell r="O50073" t="str">
            <v/>
          </cell>
        </row>
        <row r="50074">
          <cell r="O50074" t="str">
            <v/>
          </cell>
        </row>
        <row r="50075">
          <cell r="O50075" t="str">
            <v/>
          </cell>
        </row>
        <row r="50076">
          <cell r="O50076" t="str">
            <v/>
          </cell>
        </row>
        <row r="50077">
          <cell r="O50077" t="str">
            <v/>
          </cell>
        </row>
        <row r="50078">
          <cell r="O50078" t="str">
            <v/>
          </cell>
        </row>
        <row r="50079">
          <cell r="O50079" t="str">
            <v/>
          </cell>
        </row>
        <row r="50080">
          <cell r="O50080" t="str">
            <v/>
          </cell>
        </row>
        <row r="50081">
          <cell r="O50081" t="str">
            <v/>
          </cell>
        </row>
        <row r="50082">
          <cell r="O50082" t="str">
            <v/>
          </cell>
        </row>
        <row r="50083">
          <cell r="O50083" t="str">
            <v/>
          </cell>
        </row>
        <row r="50084">
          <cell r="O50084" t="str">
            <v/>
          </cell>
        </row>
        <row r="50085">
          <cell r="O50085" t="str">
            <v/>
          </cell>
        </row>
        <row r="50086">
          <cell r="O50086" t="str">
            <v/>
          </cell>
        </row>
        <row r="50087">
          <cell r="O50087" t="str">
            <v/>
          </cell>
        </row>
        <row r="50088">
          <cell r="O50088" t="str">
            <v/>
          </cell>
        </row>
        <row r="50089">
          <cell r="O50089" t="str">
            <v/>
          </cell>
        </row>
        <row r="50090">
          <cell r="O50090" t="str">
            <v/>
          </cell>
        </row>
        <row r="50091">
          <cell r="O50091" t="str">
            <v/>
          </cell>
        </row>
        <row r="50092">
          <cell r="O50092" t="str">
            <v/>
          </cell>
        </row>
        <row r="50093">
          <cell r="O50093" t="str">
            <v/>
          </cell>
        </row>
        <row r="50094">
          <cell r="O50094" t="str">
            <v/>
          </cell>
        </row>
        <row r="50095">
          <cell r="O50095" t="str">
            <v/>
          </cell>
        </row>
        <row r="50096">
          <cell r="O50096" t="str">
            <v/>
          </cell>
        </row>
        <row r="50097">
          <cell r="O50097" t="str">
            <v/>
          </cell>
        </row>
        <row r="50098">
          <cell r="O50098" t="str">
            <v/>
          </cell>
        </row>
        <row r="50099">
          <cell r="O50099" t="str">
            <v/>
          </cell>
        </row>
        <row r="50100">
          <cell r="O50100" t="str">
            <v/>
          </cell>
        </row>
        <row r="50101">
          <cell r="O50101" t="str">
            <v/>
          </cell>
        </row>
        <row r="50102">
          <cell r="O50102" t="str">
            <v/>
          </cell>
        </row>
        <row r="50103">
          <cell r="O50103" t="str">
            <v/>
          </cell>
        </row>
        <row r="50104">
          <cell r="O50104" t="str">
            <v/>
          </cell>
        </row>
        <row r="50105">
          <cell r="O50105" t="str">
            <v/>
          </cell>
        </row>
        <row r="50106">
          <cell r="O50106" t="str">
            <v/>
          </cell>
        </row>
        <row r="50107">
          <cell r="O50107" t="str">
            <v/>
          </cell>
        </row>
        <row r="50108">
          <cell r="O50108" t="str">
            <v/>
          </cell>
        </row>
        <row r="50109">
          <cell r="O50109" t="str">
            <v/>
          </cell>
        </row>
        <row r="50110">
          <cell r="O50110" t="str">
            <v/>
          </cell>
        </row>
        <row r="50111">
          <cell r="O50111" t="str">
            <v/>
          </cell>
        </row>
        <row r="50112">
          <cell r="O50112" t="str">
            <v/>
          </cell>
        </row>
        <row r="50113">
          <cell r="O50113" t="str">
            <v/>
          </cell>
        </row>
        <row r="50114">
          <cell r="O50114" t="str">
            <v/>
          </cell>
        </row>
        <row r="50115">
          <cell r="O50115" t="str">
            <v/>
          </cell>
        </row>
        <row r="50116">
          <cell r="O50116" t="str">
            <v/>
          </cell>
        </row>
        <row r="50117">
          <cell r="O50117" t="str">
            <v/>
          </cell>
        </row>
        <row r="50118">
          <cell r="O50118" t="str">
            <v/>
          </cell>
        </row>
        <row r="50119">
          <cell r="O50119" t="str">
            <v/>
          </cell>
        </row>
        <row r="50120">
          <cell r="O50120" t="str">
            <v/>
          </cell>
        </row>
        <row r="50121">
          <cell r="O50121" t="str">
            <v/>
          </cell>
        </row>
        <row r="50122">
          <cell r="O50122" t="str">
            <v/>
          </cell>
        </row>
        <row r="50123">
          <cell r="O50123" t="str">
            <v/>
          </cell>
        </row>
        <row r="50124">
          <cell r="O50124" t="str">
            <v/>
          </cell>
        </row>
        <row r="50125">
          <cell r="O50125" t="str">
            <v/>
          </cell>
        </row>
        <row r="50126">
          <cell r="O50126" t="str">
            <v/>
          </cell>
        </row>
        <row r="50127">
          <cell r="O50127" t="str">
            <v/>
          </cell>
        </row>
        <row r="50128">
          <cell r="O50128" t="str">
            <v/>
          </cell>
        </row>
        <row r="50129">
          <cell r="O50129" t="str">
            <v/>
          </cell>
        </row>
        <row r="50130">
          <cell r="O50130" t="str">
            <v/>
          </cell>
        </row>
        <row r="50131">
          <cell r="O50131" t="str">
            <v/>
          </cell>
        </row>
        <row r="50132">
          <cell r="O50132" t="str">
            <v/>
          </cell>
        </row>
        <row r="50133">
          <cell r="O50133" t="str">
            <v/>
          </cell>
        </row>
        <row r="50134">
          <cell r="O50134" t="str">
            <v/>
          </cell>
        </row>
        <row r="50135">
          <cell r="O50135" t="str">
            <v/>
          </cell>
        </row>
        <row r="50136">
          <cell r="O50136" t="str">
            <v/>
          </cell>
        </row>
        <row r="50137">
          <cell r="O50137" t="str">
            <v/>
          </cell>
        </row>
        <row r="50138">
          <cell r="O50138" t="str">
            <v/>
          </cell>
        </row>
        <row r="50139">
          <cell r="O50139" t="str">
            <v/>
          </cell>
        </row>
        <row r="50140">
          <cell r="O50140" t="str">
            <v/>
          </cell>
        </row>
        <row r="50141">
          <cell r="O50141" t="str">
            <v/>
          </cell>
        </row>
        <row r="50142">
          <cell r="O50142" t="str">
            <v/>
          </cell>
        </row>
        <row r="50143">
          <cell r="O50143" t="str">
            <v/>
          </cell>
        </row>
        <row r="50144">
          <cell r="O50144" t="str">
            <v/>
          </cell>
        </row>
        <row r="50145">
          <cell r="O50145" t="str">
            <v/>
          </cell>
        </row>
        <row r="50146">
          <cell r="O50146" t="str">
            <v/>
          </cell>
        </row>
        <row r="50147">
          <cell r="O50147" t="str">
            <v/>
          </cell>
        </row>
        <row r="50148">
          <cell r="O50148" t="str">
            <v/>
          </cell>
        </row>
        <row r="50149">
          <cell r="O50149" t="str">
            <v/>
          </cell>
        </row>
        <row r="50150">
          <cell r="O50150" t="str">
            <v/>
          </cell>
        </row>
        <row r="50151">
          <cell r="O50151" t="str">
            <v/>
          </cell>
        </row>
        <row r="50152">
          <cell r="O50152" t="str">
            <v/>
          </cell>
        </row>
        <row r="50153">
          <cell r="O50153" t="str">
            <v/>
          </cell>
        </row>
        <row r="50154">
          <cell r="O50154" t="str">
            <v/>
          </cell>
        </row>
        <row r="50155">
          <cell r="O50155" t="str">
            <v/>
          </cell>
        </row>
        <row r="50156">
          <cell r="O50156" t="str">
            <v/>
          </cell>
        </row>
        <row r="50157">
          <cell r="O50157" t="str">
            <v/>
          </cell>
        </row>
        <row r="50158">
          <cell r="O50158" t="str">
            <v/>
          </cell>
        </row>
        <row r="50159">
          <cell r="O50159" t="str">
            <v/>
          </cell>
        </row>
        <row r="50160">
          <cell r="O50160" t="str">
            <v/>
          </cell>
        </row>
        <row r="50161">
          <cell r="O50161" t="str">
            <v/>
          </cell>
        </row>
        <row r="50162">
          <cell r="O50162" t="str">
            <v/>
          </cell>
        </row>
        <row r="50163">
          <cell r="O50163" t="str">
            <v/>
          </cell>
        </row>
        <row r="50164">
          <cell r="O50164" t="str">
            <v/>
          </cell>
        </row>
        <row r="50165">
          <cell r="O50165" t="str">
            <v/>
          </cell>
        </row>
        <row r="50166">
          <cell r="O50166" t="str">
            <v/>
          </cell>
        </row>
        <row r="50167">
          <cell r="O50167" t="str">
            <v/>
          </cell>
        </row>
        <row r="50168">
          <cell r="O50168" t="str">
            <v/>
          </cell>
        </row>
        <row r="50169">
          <cell r="O50169" t="str">
            <v/>
          </cell>
        </row>
        <row r="50170">
          <cell r="O50170" t="str">
            <v/>
          </cell>
        </row>
        <row r="50171">
          <cell r="O50171" t="str">
            <v/>
          </cell>
        </row>
        <row r="50172">
          <cell r="O50172" t="str">
            <v/>
          </cell>
        </row>
        <row r="50173">
          <cell r="O50173" t="str">
            <v/>
          </cell>
        </row>
        <row r="50174">
          <cell r="O50174" t="str">
            <v/>
          </cell>
        </row>
        <row r="50175">
          <cell r="O50175" t="str">
            <v/>
          </cell>
        </row>
        <row r="50176">
          <cell r="O50176" t="str">
            <v/>
          </cell>
        </row>
        <row r="50177">
          <cell r="O50177" t="str">
            <v/>
          </cell>
        </row>
        <row r="50178">
          <cell r="O50178" t="str">
            <v/>
          </cell>
        </row>
        <row r="50179">
          <cell r="O50179" t="str">
            <v/>
          </cell>
        </row>
        <row r="50180">
          <cell r="O50180" t="str">
            <v/>
          </cell>
        </row>
        <row r="50181">
          <cell r="O50181" t="str">
            <v/>
          </cell>
        </row>
        <row r="50182">
          <cell r="O50182" t="str">
            <v/>
          </cell>
        </row>
        <row r="50183">
          <cell r="O50183" t="str">
            <v/>
          </cell>
        </row>
        <row r="50184">
          <cell r="O50184" t="str">
            <v/>
          </cell>
        </row>
        <row r="50185">
          <cell r="O50185" t="str">
            <v/>
          </cell>
        </row>
        <row r="50186">
          <cell r="O50186" t="str">
            <v/>
          </cell>
        </row>
        <row r="50187">
          <cell r="O50187" t="str">
            <v/>
          </cell>
        </row>
        <row r="50188">
          <cell r="O50188" t="str">
            <v/>
          </cell>
        </row>
        <row r="50189">
          <cell r="O50189" t="str">
            <v/>
          </cell>
        </row>
        <row r="50190">
          <cell r="O50190" t="str">
            <v/>
          </cell>
        </row>
        <row r="50191">
          <cell r="O50191" t="str">
            <v/>
          </cell>
        </row>
        <row r="50192">
          <cell r="O50192" t="str">
            <v/>
          </cell>
        </row>
        <row r="50193">
          <cell r="O50193" t="str">
            <v/>
          </cell>
        </row>
        <row r="50194">
          <cell r="O50194" t="str">
            <v/>
          </cell>
        </row>
        <row r="50195">
          <cell r="O50195" t="str">
            <v/>
          </cell>
        </row>
        <row r="50196">
          <cell r="O50196" t="str">
            <v/>
          </cell>
        </row>
        <row r="50197">
          <cell r="O50197" t="str">
            <v/>
          </cell>
        </row>
        <row r="50198">
          <cell r="O50198" t="str">
            <v/>
          </cell>
        </row>
        <row r="50199">
          <cell r="O50199" t="str">
            <v/>
          </cell>
        </row>
        <row r="50200">
          <cell r="O50200" t="str">
            <v/>
          </cell>
        </row>
        <row r="50201">
          <cell r="O50201" t="str">
            <v/>
          </cell>
        </row>
        <row r="50202">
          <cell r="O50202" t="str">
            <v/>
          </cell>
        </row>
        <row r="50203">
          <cell r="O50203" t="str">
            <v/>
          </cell>
        </row>
        <row r="50204">
          <cell r="O50204" t="str">
            <v/>
          </cell>
        </row>
        <row r="50205">
          <cell r="O50205" t="str">
            <v/>
          </cell>
        </row>
        <row r="50206">
          <cell r="O50206" t="str">
            <v/>
          </cell>
        </row>
        <row r="50207">
          <cell r="O50207" t="str">
            <v/>
          </cell>
        </row>
        <row r="50208">
          <cell r="O50208" t="str">
            <v/>
          </cell>
        </row>
        <row r="50209">
          <cell r="O50209" t="str">
            <v/>
          </cell>
        </row>
        <row r="50210">
          <cell r="O50210" t="str">
            <v/>
          </cell>
        </row>
        <row r="50211">
          <cell r="O50211" t="str">
            <v/>
          </cell>
        </row>
        <row r="50212">
          <cell r="O50212" t="str">
            <v/>
          </cell>
        </row>
        <row r="50213">
          <cell r="O50213" t="str">
            <v/>
          </cell>
        </row>
        <row r="50214">
          <cell r="O50214" t="str">
            <v/>
          </cell>
        </row>
        <row r="50215">
          <cell r="O50215" t="str">
            <v/>
          </cell>
        </row>
        <row r="50216">
          <cell r="O50216" t="str">
            <v/>
          </cell>
        </row>
        <row r="50217">
          <cell r="O50217" t="str">
            <v/>
          </cell>
        </row>
        <row r="50218">
          <cell r="O50218" t="str">
            <v/>
          </cell>
        </row>
        <row r="50219">
          <cell r="O50219" t="str">
            <v/>
          </cell>
        </row>
        <row r="50220">
          <cell r="O50220" t="str">
            <v/>
          </cell>
        </row>
        <row r="50221">
          <cell r="O50221" t="str">
            <v/>
          </cell>
        </row>
        <row r="50222">
          <cell r="O50222" t="str">
            <v/>
          </cell>
        </row>
        <row r="50223">
          <cell r="O50223" t="str">
            <v/>
          </cell>
        </row>
        <row r="50224">
          <cell r="O50224" t="str">
            <v/>
          </cell>
        </row>
        <row r="50225">
          <cell r="O50225" t="str">
            <v/>
          </cell>
        </row>
        <row r="50226">
          <cell r="O50226" t="str">
            <v/>
          </cell>
        </row>
        <row r="50227">
          <cell r="O50227" t="str">
            <v/>
          </cell>
        </row>
        <row r="50228">
          <cell r="O50228" t="str">
            <v/>
          </cell>
        </row>
        <row r="50229">
          <cell r="O50229" t="str">
            <v/>
          </cell>
        </row>
        <row r="50230">
          <cell r="O50230" t="str">
            <v/>
          </cell>
        </row>
        <row r="50231">
          <cell r="O50231" t="str">
            <v/>
          </cell>
        </row>
        <row r="50232">
          <cell r="O50232" t="str">
            <v/>
          </cell>
        </row>
        <row r="50233">
          <cell r="O50233" t="str">
            <v/>
          </cell>
        </row>
        <row r="50234">
          <cell r="O50234" t="str">
            <v/>
          </cell>
        </row>
        <row r="50235">
          <cell r="O50235" t="str">
            <v/>
          </cell>
        </row>
        <row r="50236">
          <cell r="O50236" t="str">
            <v/>
          </cell>
        </row>
        <row r="50237">
          <cell r="O50237" t="str">
            <v/>
          </cell>
        </row>
        <row r="50238">
          <cell r="O50238" t="str">
            <v/>
          </cell>
        </row>
        <row r="50239">
          <cell r="O50239" t="str">
            <v/>
          </cell>
        </row>
        <row r="50240">
          <cell r="O50240" t="str">
            <v/>
          </cell>
        </row>
        <row r="50241">
          <cell r="O50241" t="str">
            <v/>
          </cell>
        </row>
        <row r="50242">
          <cell r="O50242" t="str">
            <v/>
          </cell>
        </row>
        <row r="50243">
          <cell r="O50243" t="str">
            <v/>
          </cell>
        </row>
        <row r="50244">
          <cell r="O50244" t="str">
            <v/>
          </cell>
        </row>
        <row r="50245">
          <cell r="O50245" t="str">
            <v/>
          </cell>
        </row>
        <row r="50246">
          <cell r="O50246" t="str">
            <v/>
          </cell>
        </row>
        <row r="50247">
          <cell r="O50247" t="str">
            <v/>
          </cell>
        </row>
        <row r="50248">
          <cell r="O50248" t="str">
            <v/>
          </cell>
        </row>
        <row r="50249">
          <cell r="O50249" t="str">
            <v/>
          </cell>
        </row>
        <row r="50250">
          <cell r="O50250" t="str">
            <v/>
          </cell>
        </row>
        <row r="50251">
          <cell r="O50251" t="str">
            <v/>
          </cell>
        </row>
        <row r="50252">
          <cell r="O50252" t="str">
            <v/>
          </cell>
        </row>
        <row r="50253">
          <cell r="O50253" t="str">
            <v/>
          </cell>
        </row>
        <row r="50254">
          <cell r="O50254" t="str">
            <v/>
          </cell>
        </row>
        <row r="50255">
          <cell r="O50255" t="str">
            <v/>
          </cell>
        </row>
        <row r="50256">
          <cell r="O50256" t="str">
            <v/>
          </cell>
        </row>
        <row r="50257">
          <cell r="O50257" t="str">
            <v/>
          </cell>
        </row>
        <row r="50258">
          <cell r="O50258" t="str">
            <v/>
          </cell>
        </row>
        <row r="50259">
          <cell r="O50259" t="str">
            <v/>
          </cell>
        </row>
        <row r="50260">
          <cell r="O50260" t="str">
            <v/>
          </cell>
        </row>
        <row r="50261">
          <cell r="O50261" t="str">
            <v/>
          </cell>
        </row>
        <row r="50262">
          <cell r="O50262" t="str">
            <v/>
          </cell>
        </row>
        <row r="50263">
          <cell r="O50263" t="str">
            <v/>
          </cell>
        </row>
        <row r="50264">
          <cell r="O50264" t="str">
            <v/>
          </cell>
        </row>
        <row r="50265">
          <cell r="O50265" t="str">
            <v/>
          </cell>
        </row>
        <row r="50266">
          <cell r="O50266" t="str">
            <v/>
          </cell>
        </row>
        <row r="50267">
          <cell r="O50267" t="str">
            <v/>
          </cell>
        </row>
        <row r="50268">
          <cell r="O50268" t="str">
            <v/>
          </cell>
        </row>
        <row r="50269">
          <cell r="O50269" t="str">
            <v/>
          </cell>
        </row>
        <row r="50270">
          <cell r="O50270" t="str">
            <v/>
          </cell>
        </row>
        <row r="50271">
          <cell r="O50271" t="str">
            <v/>
          </cell>
        </row>
        <row r="50272">
          <cell r="O50272" t="str">
            <v/>
          </cell>
        </row>
        <row r="50273">
          <cell r="O50273" t="str">
            <v/>
          </cell>
        </row>
        <row r="50274">
          <cell r="O50274" t="str">
            <v/>
          </cell>
        </row>
        <row r="50275">
          <cell r="O50275" t="str">
            <v/>
          </cell>
        </row>
        <row r="50276">
          <cell r="O50276" t="str">
            <v/>
          </cell>
        </row>
        <row r="50277">
          <cell r="O50277" t="str">
            <v/>
          </cell>
        </row>
        <row r="50278">
          <cell r="O50278" t="str">
            <v/>
          </cell>
        </row>
        <row r="50279">
          <cell r="O50279" t="str">
            <v/>
          </cell>
        </row>
        <row r="50280">
          <cell r="O50280" t="str">
            <v/>
          </cell>
        </row>
        <row r="50281">
          <cell r="O50281" t="str">
            <v/>
          </cell>
        </row>
        <row r="50282">
          <cell r="O50282" t="str">
            <v/>
          </cell>
        </row>
        <row r="50283">
          <cell r="O50283" t="str">
            <v/>
          </cell>
        </row>
        <row r="50284">
          <cell r="O50284" t="str">
            <v/>
          </cell>
        </row>
        <row r="50285">
          <cell r="O50285" t="str">
            <v/>
          </cell>
        </row>
        <row r="50286">
          <cell r="O50286" t="str">
            <v/>
          </cell>
        </row>
        <row r="50287">
          <cell r="O50287" t="str">
            <v/>
          </cell>
        </row>
        <row r="50288">
          <cell r="O50288" t="str">
            <v/>
          </cell>
        </row>
        <row r="50289">
          <cell r="O50289" t="str">
            <v/>
          </cell>
        </row>
        <row r="50290">
          <cell r="O50290" t="str">
            <v/>
          </cell>
        </row>
        <row r="50291">
          <cell r="O50291" t="str">
            <v/>
          </cell>
        </row>
        <row r="50292">
          <cell r="O50292" t="str">
            <v/>
          </cell>
        </row>
        <row r="50293">
          <cell r="O50293" t="str">
            <v/>
          </cell>
        </row>
        <row r="50294">
          <cell r="O50294" t="str">
            <v/>
          </cell>
        </row>
        <row r="50295">
          <cell r="O50295" t="str">
            <v/>
          </cell>
        </row>
        <row r="50296">
          <cell r="O50296" t="str">
            <v/>
          </cell>
        </row>
        <row r="50297">
          <cell r="O50297" t="str">
            <v/>
          </cell>
        </row>
        <row r="50298">
          <cell r="O50298" t="str">
            <v/>
          </cell>
        </row>
        <row r="50299">
          <cell r="O50299" t="str">
            <v/>
          </cell>
        </row>
        <row r="50300">
          <cell r="O50300" t="str">
            <v/>
          </cell>
        </row>
        <row r="50301">
          <cell r="O50301" t="str">
            <v/>
          </cell>
        </row>
        <row r="50302">
          <cell r="O50302" t="str">
            <v/>
          </cell>
        </row>
        <row r="50303">
          <cell r="O50303" t="str">
            <v/>
          </cell>
        </row>
        <row r="50304">
          <cell r="O50304" t="str">
            <v/>
          </cell>
        </row>
        <row r="50305">
          <cell r="O50305" t="str">
            <v/>
          </cell>
        </row>
        <row r="50306">
          <cell r="O50306" t="str">
            <v/>
          </cell>
        </row>
        <row r="50307">
          <cell r="O50307" t="str">
            <v/>
          </cell>
        </row>
        <row r="50308">
          <cell r="O50308" t="str">
            <v/>
          </cell>
        </row>
        <row r="50309">
          <cell r="O50309" t="str">
            <v/>
          </cell>
        </row>
        <row r="50310">
          <cell r="O50310" t="str">
            <v/>
          </cell>
        </row>
        <row r="50311">
          <cell r="O50311" t="str">
            <v/>
          </cell>
        </row>
        <row r="50312">
          <cell r="O50312" t="str">
            <v/>
          </cell>
        </row>
        <row r="50313">
          <cell r="O50313" t="str">
            <v/>
          </cell>
        </row>
        <row r="50314">
          <cell r="O50314" t="str">
            <v/>
          </cell>
        </row>
        <row r="50315">
          <cell r="O50315" t="str">
            <v/>
          </cell>
        </row>
        <row r="50316">
          <cell r="O50316" t="str">
            <v/>
          </cell>
        </row>
        <row r="50317">
          <cell r="O50317" t="str">
            <v/>
          </cell>
        </row>
        <row r="50318">
          <cell r="O50318" t="str">
            <v/>
          </cell>
        </row>
        <row r="50319">
          <cell r="O50319" t="str">
            <v/>
          </cell>
        </row>
        <row r="50320">
          <cell r="O50320" t="str">
            <v/>
          </cell>
        </row>
        <row r="50321">
          <cell r="O50321" t="str">
            <v/>
          </cell>
        </row>
        <row r="50322">
          <cell r="O50322" t="str">
            <v/>
          </cell>
        </row>
        <row r="50323">
          <cell r="O50323" t="str">
            <v/>
          </cell>
        </row>
        <row r="50324">
          <cell r="O50324" t="str">
            <v/>
          </cell>
        </row>
        <row r="50325">
          <cell r="O50325" t="str">
            <v/>
          </cell>
        </row>
        <row r="50326">
          <cell r="O50326" t="str">
            <v/>
          </cell>
        </row>
        <row r="50327">
          <cell r="O50327" t="str">
            <v/>
          </cell>
        </row>
        <row r="50328">
          <cell r="O50328" t="str">
            <v/>
          </cell>
        </row>
        <row r="50329">
          <cell r="O50329" t="str">
            <v/>
          </cell>
        </row>
        <row r="50330">
          <cell r="O50330" t="str">
            <v/>
          </cell>
        </row>
        <row r="50331">
          <cell r="O50331" t="str">
            <v/>
          </cell>
        </row>
        <row r="50332">
          <cell r="O50332" t="str">
            <v/>
          </cell>
        </row>
        <row r="50333">
          <cell r="O50333" t="str">
            <v/>
          </cell>
        </row>
        <row r="50334">
          <cell r="O50334" t="str">
            <v/>
          </cell>
        </row>
        <row r="50335">
          <cell r="O50335" t="str">
            <v/>
          </cell>
        </row>
        <row r="50336">
          <cell r="O50336" t="str">
            <v/>
          </cell>
        </row>
        <row r="50337">
          <cell r="O50337" t="str">
            <v/>
          </cell>
        </row>
        <row r="50338">
          <cell r="O50338" t="str">
            <v/>
          </cell>
        </row>
        <row r="50339">
          <cell r="O50339" t="str">
            <v/>
          </cell>
        </row>
        <row r="50340">
          <cell r="O50340" t="str">
            <v/>
          </cell>
        </row>
        <row r="50341">
          <cell r="O50341" t="str">
            <v/>
          </cell>
        </row>
        <row r="50342">
          <cell r="O50342" t="str">
            <v/>
          </cell>
        </row>
        <row r="50343">
          <cell r="O50343" t="str">
            <v/>
          </cell>
        </row>
        <row r="50344">
          <cell r="O50344" t="str">
            <v/>
          </cell>
        </row>
        <row r="50345">
          <cell r="O50345" t="str">
            <v/>
          </cell>
        </row>
        <row r="50346">
          <cell r="O50346" t="str">
            <v/>
          </cell>
        </row>
        <row r="50347">
          <cell r="O50347" t="str">
            <v/>
          </cell>
        </row>
        <row r="50348">
          <cell r="O50348" t="str">
            <v/>
          </cell>
        </row>
        <row r="50349">
          <cell r="O50349" t="str">
            <v/>
          </cell>
        </row>
        <row r="50350">
          <cell r="O50350" t="str">
            <v/>
          </cell>
        </row>
        <row r="50351">
          <cell r="O50351" t="str">
            <v/>
          </cell>
        </row>
        <row r="50352">
          <cell r="O50352" t="str">
            <v/>
          </cell>
        </row>
        <row r="50353">
          <cell r="O50353" t="str">
            <v/>
          </cell>
        </row>
        <row r="50354">
          <cell r="O50354" t="str">
            <v/>
          </cell>
        </row>
        <row r="50355">
          <cell r="O50355" t="str">
            <v/>
          </cell>
        </row>
        <row r="50356">
          <cell r="O50356" t="str">
            <v/>
          </cell>
        </row>
        <row r="50357">
          <cell r="O50357" t="str">
            <v/>
          </cell>
        </row>
        <row r="50358">
          <cell r="O50358" t="str">
            <v/>
          </cell>
        </row>
        <row r="50359">
          <cell r="O50359" t="str">
            <v/>
          </cell>
        </row>
        <row r="50360">
          <cell r="O50360" t="str">
            <v/>
          </cell>
        </row>
        <row r="50361">
          <cell r="O50361" t="str">
            <v/>
          </cell>
        </row>
        <row r="50362">
          <cell r="O50362" t="str">
            <v/>
          </cell>
        </row>
        <row r="50363">
          <cell r="O50363" t="str">
            <v/>
          </cell>
        </row>
        <row r="50364">
          <cell r="O50364" t="str">
            <v/>
          </cell>
        </row>
        <row r="50365">
          <cell r="O50365" t="str">
            <v/>
          </cell>
        </row>
        <row r="50366">
          <cell r="O50366" t="str">
            <v/>
          </cell>
        </row>
        <row r="50367">
          <cell r="O50367" t="str">
            <v/>
          </cell>
        </row>
        <row r="50368">
          <cell r="O50368" t="str">
            <v/>
          </cell>
        </row>
        <row r="50369">
          <cell r="O50369" t="str">
            <v/>
          </cell>
        </row>
        <row r="50370">
          <cell r="O50370" t="str">
            <v/>
          </cell>
        </row>
        <row r="50371">
          <cell r="O50371" t="str">
            <v/>
          </cell>
        </row>
        <row r="50372">
          <cell r="O50372" t="str">
            <v/>
          </cell>
        </row>
        <row r="50373">
          <cell r="O50373" t="str">
            <v/>
          </cell>
        </row>
        <row r="50374">
          <cell r="O50374" t="str">
            <v/>
          </cell>
        </row>
        <row r="50375">
          <cell r="O50375" t="str">
            <v/>
          </cell>
        </row>
        <row r="50376">
          <cell r="O50376" t="str">
            <v/>
          </cell>
        </row>
        <row r="50377">
          <cell r="O50377" t="str">
            <v/>
          </cell>
        </row>
        <row r="50378">
          <cell r="O50378" t="str">
            <v/>
          </cell>
        </row>
        <row r="50379">
          <cell r="O50379" t="str">
            <v/>
          </cell>
        </row>
        <row r="50380">
          <cell r="O50380" t="str">
            <v/>
          </cell>
        </row>
        <row r="50381">
          <cell r="O50381" t="str">
            <v/>
          </cell>
        </row>
        <row r="50382">
          <cell r="O50382" t="str">
            <v/>
          </cell>
        </row>
        <row r="50383">
          <cell r="O50383" t="str">
            <v/>
          </cell>
        </row>
        <row r="50384">
          <cell r="O50384" t="str">
            <v/>
          </cell>
        </row>
        <row r="50385">
          <cell r="O50385" t="str">
            <v/>
          </cell>
        </row>
        <row r="50386">
          <cell r="O50386" t="str">
            <v/>
          </cell>
        </row>
        <row r="50387">
          <cell r="O50387" t="str">
            <v/>
          </cell>
        </row>
        <row r="50388">
          <cell r="O50388" t="str">
            <v/>
          </cell>
        </row>
        <row r="50389">
          <cell r="O50389" t="str">
            <v/>
          </cell>
        </row>
        <row r="50390">
          <cell r="O50390" t="str">
            <v/>
          </cell>
        </row>
        <row r="50391">
          <cell r="O50391" t="str">
            <v/>
          </cell>
        </row>
        <row r="50392">
          <cell r="O50392" t="str">
            <v/>
          </cell>
        </row>
        <row r="50393">
          <cell r="O50393" t="str">
            <v/>
          </cell>
        </row>
        <row r="50394">
          <cell r="O50394" t="str">
            <v/>
          </cell>
        </row>
        <row r="50395">
          <cell r="O50395" t="str">
            <v/>
          </cell>
        </row>
        <row r="50396">
          <cell r="O50396" t="str">
            <v/>
          </cell>
        </row>
        <row r="50397">
          <cell r="O50397" t="str">
            <v/>
          </cell>
        </row>
        <row r="50398">
          <cell r="O50398" t="str">
            <v/>
          </cell>
        </row>
        <row r="50399">
          <cell r="O50399" t="str">
            <v/>
          </cell>
        </row>
        <row r="50400">
          <cell r="O50400" t="str">
            <v/>
          </cell>
        </row>
        <row r="50401">
          <cell r="O50401" t="str">
            <v/>
          </cell>
        </row>
        <row r="50402">
          <cell r="O50402" t="str">
            <v/>
          </cell>
        </row>
        <row r="50403">
          <cell r="O50403" t="str">
            <v/>
          </cell>
        </row>
        <row r="50404">
          <cell r="O50404" t="str">
            <v/>
          </cell>
        </row>
        <row r="50405">
          <cell r="O50405" t="str">
            <v/>
          </cell>
        </row>
        <row r="50406">
          <cell r="O50406" t="str">
            <v/>
          </cell>
        </row>
        <row r="50407">
          <cell r="O50407" t="str">
            <v/>
          </cell>
        </row>
        <row r="50408">
          <cell r="O50408" t="str">
            <v/>
          </cell>
        </row>
        <row r="50409">
          <cell r="O50409" t="str">
            <v/>
          </cell>
        </row>
        <row r="50410">
          <cell r="O50410" t="str">
            <v/>
          </cell>
        </row>
        <row r="50411">
          <cell r="O50411" t="str">
            <v/>
          </cell>
        </row>
        <row r="50412">
          <cell r="O50412" t="str">
            <v/>
          </cell>
        </row>
        <row r="50413">
          <cell r="O50413" t="str">
            <v/>
          </cell>
        </row>
        <row r="50414">
          <cell r="O50414" t="str">
            <v/>
          </cell>
        </row>
        <row r="50415">
          <cell r="O50415" t="str">
            <v/>
          </cell>
        </row>
        <row r="50416">
          <cell r="O50416" t="str">
            <v/>
          </cell>
        </row>
        <row r="50417">
          <cell r="O50417" t="str">
            <v/>
          </cell>
        </row>
        <row r="50418">
          <cell r="O50418" t="str">
            <v/>
          </cell>
        </row>
        <row r="50419">
          <cell r="O50419" t="str">
            <v/>
          </cell>
        </row>
        <row r="50420">
          <cell r="O50420" t="str">
            <v/>
          </cell>
        </row>
        <row r="50421">
          <cell r="O50421" t="str">
            <v/>
          </cell>
        </row>
        <row r="50422">
          <cell r="O50422" t="str">
            <v/>
          </cell>
        </row>
        <row r="50423">
          <cell r="O50423" t="str">
            <v/>
          </cell>
        </row>
        <row r="50424">
          <cell r="O50424" t="str">
            <v/>
          </cell>
        </row>
        <row r="50425">
          <cell r="O50425" t="str">
            <v/>
          </cell>
        </row>
        <row r="50426">
          <cell r="O50426" t="str">
            <v/>
          </cell>
        </row>
        <row r="50427">
          <cell r="O50427" t="str">
            <v/>
          </cell>
        </row>
        <row r="50428">
          <cell r="O50428" t="str">
            <v/>
          </cell>
        </row>
        <row r="50429">
          <cell r="O50429" t="str">
            <v/>
          </cell>
        </row>
        <row r="50430">
          <cell r="O50430" t="str">
            <v/>
          </cell>
        </row>
        <row r="50431">
          <cell r="O50431" t="str">
            <v/>
          </cell>
        </row>
        <row r="50432">
          <cell r="O50432" t="str">
            <v/>
          </cell>
        </row>
        <row r="50433">
          <cell r="O50433" t="str">
            <v/>
          </cell>
        </row>
        <row r="50434">
          <cell r="O50434" t="str">
            <v/>
          </cell>
        </row>
        <row r="50435">
          <cell r="O50435" t="str">
            <v/>
          </cell>
        </row>
        <row r="50436">
          <cell r="O50436" t="str">
            <v/>
          </cell>
        </row>
        <row r="50437">
          <cell r="O50437" t="str">
            <v/>
          </cell>
        </row>
        <row r="50438">
          <cell r="O50438" t="str">
            <v/>
          </cell>
        </row>
        <row r="50439">
          <cell r="O50439" t="str">
            <v/>
          </cell>
        </row>
        <row r="50440">
          <cell r="O50440" t="str">
            <v/>
          </cell>
        </row>
        <row r="50441">
          <cell r="O50441" t="str">
            <v/>
          </cell>
        </row>
        <row r="50442">
          <cell r="O50442" t="str">
            <v/>
          </cell>
        </row>
        <row r="50443">
          <cell r="O50443" t="str">
            <v/>
          </cell>
        </row>
        <row r="50444">
          <cell r="O50444" t="str">
            <v/>
          </cell>
        </row>
        <row r="50445">
          <cell r="O50445" t="str">
            <v/>
          </cell>
        </row>
        <row r="50446">
          <cell r="O50446" t="str">
            <v/>
          </cell>
        </row>
        <row r="50447">
          <cell r="O50447" t="str">
            <v/>
          </cell>
        </row>
        <row r="50448">
          <cell r="O50448" t="str">
            <v/>
          </cell>
        </row>
        <row r="50449">
          <cell r="O50449" t="str">
            <v/>
          </cell>
        </row>
        <row r="50450">
          <cell r="O50450" t="str">
            <v/>
          </cell>
        </row>
        <row r="50451">
          <cell r="O50451" t="str">
            <v/>
          </cell>
        </row>
        <row r="50452">
          <cell r="O50452" t="str">
            <v/>
          </cell>
        </row>
        <row r="50453">
          <cell r="O50453" t="str">
            <v/>
          </cell>
        </row>
        <row r="50454">
          <cell r="O50454" t="str">
            <v/>
          </cell>
        </row>
        <row r="50455">
          <cell r="O50455" t="str">
            <v/>
          </cell>
        </row>
        <row r="50456">
          <cell r="O50456" t="str">
            <v/>
          </cell>
        </row>
        <row r="50457">
          <cell r="O50457" t="str">
            <v/>
          </cell>
        </row>
        <row r="50458">
          <cell r="O50458" t="str">
            <v/>
          </cell>
        </row>
        <row r="50459">
          <cell r="O50459" t="str">
            <v/>
          </cell>
        </row>
        <row r="50460">
          <cell r="O50460" t="str">
            <v/>
          </cell>
        </row>
        <row r="50461">
          <cell r="O50461" t="str">
            <v/>
          </cell>
        </row>
        <row r="50462">
          <cell r="O50462" t="str">
            <v/>
          </cell>
        </row>
        <row r="50463">
          <cell r="O50463" t="str">
            <v/>
          </cell>
        </row>
        <row r="50464">
          <cell r="O50464" t="str">
            <v/>
          </cell>
        </row>
        <row r="50465">
          <cell r="O50465" t="str">
            <v/>
          </cell>
        </row>
        <row r="50466">
          <cell r="O50466" t="str">
            <v/>
          </cell>
        </row>
        <row r="50467">
          <cell r="O50467" t="str">
            <v/>
          </cell>
        </row>
        <row r="50468">
          <cell r="O50468" t="str">
            <v/>
          </cell>
        </row>
        <row r="50469">
          <cell r="O50469" t="str">
            <v/>
          </cell>
        </row>
        <row r="50470">
          <cell r="O50470" t="str">
            <v/>
          </cell>
        </row>
        <row r="50471">
          <cell r="O50471" t="str">
            <v/>
          </cell>
        </row>
        <row r="50472">
          <cell r="O50472" t="str">
            <v/>
          </cell>
        </row>
        <row r="50473">
          <cell r="O50473" t="str">
            <v/>
          </cell>
        </row>
        <row r="50474">
          <cell r="O50474" t="str">
            <v/>
          </cell>
        </row>
        <row r="50475">
          <cell r="O50475" t="str">
            <v/>
          </cell>
        </row>
        <row r="50476">
          <cell r="O50476" t="str">
            <v/>
          </cell>
        </row>
        <row r="50477">
          <cell r="O50477" t="str">
            <v/>
          </cell>
        </row>
        <row r="50478">
          <cell r="O50478" t="str">
            <v/>
          </cell>
        </row>
        <row r="50479">
          <cell r="O50479" t="str">
            <v/>
          </cell>
        </row>
        <row r="50480">
          <cell r="O50480" t="str">
            <v/>
          </cell>
        </row>
        <row r="50481">
          <cell r="O50481" t="str">
            <v/>
          </cell>
        </row>
        <row r="50482">
          <cell r="O50482" t="str">
            <v/>
          </cell>
        </row>
        <row r="50483">
          <cell r="O50483" t="str">
            <v/>
          </cell>
        </row>
        <row r="50484">
          <cell r="O50484" t="str">
            <v/>
          </cell>
        </row>
        <row r="50485">
          <cell r="O50485" t="str">
            <v/>
          </cell>
        </row>
        <row r="50486">
          <cell r="O50486" t="str">
            <v/>
          </cell>
        </row>
        <row r="50487">
          <cell r="O50487" t="str">
            <v/>
          </cell>
        </row>
        <row r="50488">
          <cell r="O50488" t="str">
            <v/>
          </cell>
        </row>
        <row r="50489">
          <cell r="O50489" t="str">
            <v/>
          </cell>
        </row>
        <row r="50490">
          <cell r="O50490" t="str">
            <v/>
          </cell>
        </row>
        <row r="50491">
          <cell r="O50491" t="str">
            <v/>
          </cell>
        </row>
        <row r="50492">
          <cell r="O50492" t="str">
            <v/>
          </cell>
        </row>
        <row r="50493">
          <cell r="O50493" t="str">
            <v/>
          </cell>
        </row>
        <row r="50494">
          <cell r="O50494" t="str">
            <v/>
          </cell>
        </row>
        <row r="50495">
          <cell r="O50495" t="str">
            <v/>
          </cell>
        </row>
        <row r="50496">
          <cell r="O50496" t="str">
            <v/>
          </cell>
        </row>
        <row r="50497">
          <cell r="O50497" t="str">
            <v/>
          </cell>
        </row>
        <row r="50498">
          <cell r="O50498" t="str">
            <v/>
          </cell>
        </row>
        <row r="50499">
          <cell r="O50499" t="str">
            <v/>
          </cell>
        </row>
        <row r="50500">
          <cell r="O50500" t="str">
            <v/>
          </cell>
        </row>
        <row r="50501">
          <cell r="O50501" t="str">
            <v/>
          </cell>
        </row>
        <row r="50502">
          <cell r="O50502" t="str">
            <v/>
          </cell>
        </row>
        <row r="50503">
          <cell r="O50503" t="str">
            <v/>
          </cell>
        </row>
        <row r="50504">
          <cell r="O50504" t="str">
            <v/>
          </cell>
        </row>
        <row r="50505">
          <cell r="O50505" t="str">
            <v/>
          </cell>
        </row>
        <row r="50506">
          <cell r="O50506" t="str">
            <v/>
          </cell>
        </row>
        <row r="50507">
          <cell r="O50507" t="str">
            <v/>
          </cell>
        </row>
        <row r="50508">
          <cell r="O50508" t="str">
            <v/>
          </cell>
        </row>
        <row r="50509">
          <cell r="O50509" t="str">
            <v/>
          </cell>
        </row>
        <row r="50510">
          <cell r="O50510" t="str">
            <v/>
          </cell>
        </row>
        <row r="50511">
          <cell r="O50511" t="str">
            <v/>
          </cell>
        </row>
        <row r="50512">
          <cell r="O50512" t="str">
            <v/>
          </cell>
        </row>
        <row r="50513">
          <cell r="O50513" t="str">
            <v/>
          </cell>
        </row>
        <row r="50514">
          <cell r="O50514" t="str">
            <v/>
          </cell>
        </row>
        <row r="50515">
          <cell r="O50515" t="str">
            <v/>
          </cell>
        </row>
        <row r="50516">
          <cell r="O50516" t="str">
            <v/>
          </cell>
        </row>
        <row r="50517">
          <cell r="O50517" t="str">
            <v/>
          </cell>
        </row>
        <row r="50518">
          <cell r="O50518" t="str">
            <v/>
          </cell>
        </row>
        <row r="50519">
          <cell r="O50519" t="str">
            <v/>
          </cell>
        </row>
        <row r="50520">
          <cell r="O50520" t="str">
            <v/>
          </cell>
        </row>
        <row r="50521">
          <cell r="O50521" t="str">
            <v/>
          </cell>
        </row>
        <row r="50522">
          <cell r="O50522" t="str">
            <v/>
          </cell>
        </row>
        <row r="50523">
          <cell r="O50523" t="str">
            <v/>
          </cell>
        </row>
        <row r="50524">
          <cell r="O50524" t="str">
            <v/>
          </cell>
        </row>
        <row r="50525">
          <cell r="O50525" t="str">
            <v/>
          </cell>
        </row>
        <row r="50526">
          <cell r="O50526" t="str">
            <v/>
          </cell>
        </row>
        <row r="50527">
          <cell r="O50527" t="str">
            <v/>
          </cell>
        </row>
        <row r="50528">
          <cell r="O50528" t="str">
            <v/>
          </cell>
        </row>
        <row r="50529">
          <cell r="O50529" t="str">
            <v/>
          </cell>
        </row>
        <row r="50530">
          <cell r="O50530" t="str">
            <v/>
          </cell>
        </row>
        <row r="50531">
          <cell r="O50531" t="str">
            <v/>
          </cell>
        </row>
        <row r="50532">
          <cell r="O50532" t="str">
            <v/>
          </cell>
        </row>
        <row r="50533">
          <cell r="O50533" t="str">
            <v/>
          </cell>
        </row>
        <row r="50534">
          <cell r="O50534" t="str">
            <v/>
          </cell>
        </row>
        <row r="50535">
          <cell r="O50535" t="str">
            <v/>
          </cell>
        </row>
        <row r="50536">
          <cell r="O50536" t="str">
            <v/>
          </cell>
        </row>
        <row r="50537">
          <cell r="O50537" t="str">
            <v/>
          </cell>
        </row>
        <row r="50538">
          <cell r="O50538" t="str">
            <v/>
          </cell>
        </row>
        <row r="50539">
          <cell r="O50539" t="str">
            <v/>
          </cell>
        </row>
        <row r="50540">
          <cell r="O50540" t="str">
            <v/>
          </cell>
        </row>
        <row r="50541">
          <cell r="O50541" t="str">
            <v/>
          </cell>
        </row>
        <row r="50542">
          <cell r="O50542" t="str">
            <v/>
          </cell>
        </row>
        <row r="50543">
          <cell r="O50543" t="str">
            <v/>
          </cell>
        </row>
        <row r="50544">
          <cell r="O50544" t="str">
            <v/>
          </cell>
        </row>
        <row r="50545">
          <cell r="O50545" t="str">
            <v/>
          </cell>
        </row>
        <row r="50546">
          <cell r="O50546" t="str">
            <v/>
          </cell>
        </row>
        <row r="50547">
          <cell r="O50547" t="str">
            <v/>
          </cell>
        </row>
        <row r="50548">
          <cell r="O50548" t="str">
            <v/>
          </cell>
        </row>
        <row r="50549">
          <cell r="O50549" t="str">
            <v/>
          </cell>
        </row>
        <row r="50550">
          <cell r="O50550" t="str">
            <v/>
          </cell>
        </row>
        <row r="50551">
          <cell r="O50551" t="str">
            <v/>
          </cell>
        </row>
        <row r="50552">
          <cell r="O50552" t="str">
            <v/>
          </cell>
        </row>
        <row r="50553">
          <cell r="O50553" t="str">
            <v/>
          </cell>
        </row>
        <row r="50554">
          <cell r="O50554" t="str">
            <v/>
          </cell>
        </row>
        <row r="50555">
          <cell r="O50555" t="str">
            <v/>
          </cell>
        </row>
        <row r="50556">
          <cell r="O50556" t="str">
            <v/>
          </cell>
        </row>
        <row r="50557">
          <cell r="O50557" t="str">
            <v/>
          </cell>
        </row>
        <row r="50558">
          <cell r="O50558" t="str">
            <v/>
          </cell>
        </row>
        <row r="50559">
          <cell r="O50559" t="str">
            <v/>
          </cell>
        </row>
        <row r="50560">
          <cell r="O50560" t="str">
            <v/>
          </cell>
        </row>
        <row r="50561">
          <cell r="O50561" t="str">
            <v/>
          </cell>
        </row>
        <row r="50562">
          <cell r="O50562" t="str">
            <v/>
          </cell>
        </row>
        <row r="50563">
          <cell r="O50563" t="str">
            <v/>
          </cell>
        </row>
        <row r="50564">
          <cell r="O50564" t="str">
            <v/>
          </cell>
        </row>
        <row r="50565">
          <cell r="O50565" t="str">
            <v/>
          </cell>
        </row>
        <row r="50566">
          <cell r="O50566" t="str">
            <v/>
          </cell>
        </row>
        <row r="50567">
          <cell r="O50567" t="str">
            <v/>
          </cell>
        </row>
        <row r="50568">
          <cell r="O50568" t="str">
            <v/>
          </cell>
        </row>
        <row r="50569">
          <cell r="O50569" t="str">
            <v/>
          </cell>
        </row>
        <row r="50570">
          <cell r="O50570" t="str">
            <v/>
          </cell>
        </row>
        <row r="50571">
          <cell r="O50571" t="str">
            <v/>
          </cell>
        </row>
        <row r="50572">
          <cell r="O50572" t="str">
            <v/>
          </cell>
        </row>
        <row r="50573">
          <cell r="O50573" t="str">
            <v/>
          </cell>
        </row>
        <row r="50574">
          <cell r="O50574" t="str">
            <v/>
          </cell>
        </row>
        <row r="50575">
          <cell r="O50575" t="str">
            <v/>
          </cell>
        </row>
        <row r="50576">
          <cell r="O50576" t="str">
            <v/>
          </cell>
        </row>
        <row r="50577">
          <cell r="O50577" t="str">
            <v/>
          </cell>
        </row>
        <row r="50578">
          <cell r="O50578" t="str">
            <v/>
          </cell>
        </row>
        <row r="50579">
          <cell r="O50579" t="str">
            <v/>
          </cell>
        </row>
        <row r="50580">
          <cell r="O50580" t="str">
            <v/>
          </cell>
        </row>
        <row r="50581">
          <cell r="O50581" t="str">
            <v/>
          </cell>
        </row>
        <row r="50582">
          <cell r="O50582" t="str">
            <v/>
          </cell>
        </row>
        <row r="50583">
          <cell r="O50583" t="str">
            <v/>
          </cell>
        </row>
        <row r="50584">
          <cell r="O50584" t="str">
            <v/>
          </cell>
        </row>
        <row r="50585">
          <cell r="O50585" t="str">
            <v/>
          </cell>
        </row>
        <row r="50586">
          <cell r="O50586" t="str">
            <v/>
          </cell>
        </row>
        <row r="50587">
          <cell r="O50587" t="str">
            <v/>
          </cell>
        </row>
        <row r="50588">
          <cell r="O50588" t="str">
            <v/>
          </cell>
        </row>
        <row r="50589">
          <cell r="O50589" t="str">
            <v/>
          </cell>
        </row>
        <row r="50590">
          <cell r="O50590" t="str">
            <v/>
          </cell>
        </row>
        <row r="50591">
          <cell r="O50591" t="str">
            <v/>
          </cell>
        </row>
        <row r="50592">
          <cell r="O50592" t="str">
            <v/>
          </cell>
        </row>
        <row r="50593">
          <cell r="O50593" t="str">
            <v/>
          </cell>
        </row>
        <row r="50594">
          <cell r="O50594" t="str">
            <v/>
          </cell>
        </row>
        <row r="50595">
          <cell r="O50595" t="str">
            <v/>
          </cell>
        </row>
        <row r="50596">
          <cell r="O50596" t="str">
            <v/>
          </cell>
        </row>
        <row r="50597">
          <cell r="O50597" t="str">
            <v/>
          </cell>
        </row>
        <row r="50598">
          <cell r="O50598" t="str">
            <v/>
          </cell>
        </row>
        <row r="50599">
          <cell r="O50599" t="str">
            <v/>
          </cell>
        </row>
        <row r="50600">
          <cell r="O50600" t="str">
            <v/>
          </cell>
        </row>
        <row r="50601">
          <cell r="O50601" t="str">
            <v/>
          </cell>
        </row>
        <row r="50602">
          <cell r="O50602" t="str">
            <v/>
          </cell>
        </row>
        <row r="50603">
          <cell r="O50603" t="str">
            <v/>
          </cell>
        </row>
        <row r="50604">
          <cell r="O50604" t="str">
            <v/>
          </cell>
        </row>
        <row r="50605">
          <cell r="O50605" t="str">
            <v/>
          </cell>
        </row>
        <row r="50606">
          <cell r="O50606" t="str">
            <v/>
          </cell>
        </row>
        <row r="50607">
          <cell r="O50607" t="str">
            <v/>
          </cell>
        </row>
        <row r="50608">
          <cell r="O50608" t="str">
            <v/>
          </cell>
        </row>
        <row r="50609">
          <cell r="O50609" t="str">
            <v/>
          </cell>
        </row>
        <row r="50610">
          <cell r="O50610" t="str">
            <v/>
          </cell>
        </row>
        <row r="50611">
          <cell r="O50611" t="str">
            <v/>
          </cell>
        </row>
        <row r="50612">
          <cell r="O50612" t="str">
            <v/>
          </cell>
        </row>
        <row r="50613">
          <cell r="O50613" t="str">
            <v/>
          </cell>
        </row>
        <row r="50614">
          <cell r="O50614" t="str">
            <v/>
          </cell>
        </row>
        <row r="50615">
          <cell r="O50615" t="str">
            <v/>
          </cell>
        </row>
        <row r="50616">
          <cell r="O50616" t="str">
            <v/>
          </cell>
        </row>
        <row r="50617">
          <cell r="O50617" t="str">
            <v/>
          </cell>
        </row>
        <row r="50618">
          <cell r="O50618" t="str">
            <v/>
          </cell>
        </row>
        <row r="50619">
          <cell r="O50619" t="str">
            <v/>
          </cell>
        </row>
        <row r="50620">
          <cell r="O50620" t="str">
            <v/>
          </cell>
        </row>
        <row r="50621">
          <cell r="O50621" t="str">
            <v/>
          </cell>
        </row>
        <row r="50622">
          <cell r="O50622" t="str">
            <v/>
          </cell>
        </row>
        <row r="50623">
          <cell r="O50623" t="str">
            <v/>
          </cell>
        </row>
        <row r="50624">
          <cell r="O50624" t="str">
            <v/>
          </cell>
        </row>
        <row r="50625">
          <cell r="O50625" t="str">
            <v/>
          </cell>
        </row>
        <row r="50626">
          <cell r="O50626" t="str">
            <v/>
          </cell>
        </row>
        <row r="50627">
          <cell r="O50627" t="str">
            <v/>
          </cell>
        </row>
        <row r="50628">
          <cell r="O50628" t="str">
            <v/>
          </cell>
        </row>
        <row r="50629">
          <cell r="O50629" t="str">
            <v/>
          </cell>
        </row>
        <row r="50630">
          <cell r="O50630" t="str">
            <v/>
          </cell>
        </row>
        <row r="50631">
          <cell r="O50631" t="str">
            <v/>
          </cell>
        </row>
        <row r="50632">
          <cell r="O50632" t="str">
            <v/>
          </cell>
        </row>
        <row r="50633">
          <cell r="O50633" t="str">
            <v/>
          </cell>
        </row>
        <row r="50634">
          <cell r="O50634" t="str">
            <v/>
          </cell>
        </row>
        <row r="50635">
          <cell r="O50635" t="str">
            <v/>
          </cell>
        </row>
        <row r="50636">
          <cell r="O50636" t="str">
            <v/>
          </cell>
        </row>
        <row r="50637">
          <cell r="O50637" t="str">
            <v/>
          </cell>
        </row>
        <row r="50638">
          <cell r="O50638" t="str">
            <v/>
          </cell>
        </row>
        <row r="50639">
          <cell r="O50639" t="str">
            <v/>
          </cell>
        </row>
        <row r="50640">
          <cell r="O50640" t="str">
            <v/>
          </cell>
        </row>
        <row r="50641">
          <cell r="O50641" t="str">
            <v/>
          </cell>
        </row>
        <row r="50642">
          <cell r="O50642" t="str">
            <v/>
          </cell>
        </row>
        <row r="50643">
          <cell r="O50643" t="str">
            <v/>
          </cell>
        </row>
        <row r="50644">
          <cell r="O50644" t="str">
            <v/>
          </cell>
        </row>
        <row r="50645">
          <cell r="O50645" t="str">
            <v/>
          </cell>
        </row>
        <row r="50646">
          <cell r="O50646" t="str">
            <v/>
          </cell>
        </row>
        <row r="50647">
          <cell r="O50647" t="str">
            <v/>
          </cell>
        </row>
        <row r="50648">
          <cell r="O50648" t="str">
            <v/>
          </cell>
        </row>
        <row r="50649">
          <cell r="O50649" t="str">
            <v/>
          </cell>
        </row>
        <row r="50650">
          <cell r="O50650" t="str">
            <v/>
          </cell>
        </row>
        <row r="50651">
          <cell r="O50651" t="str">
            <v/>
          </cell>
        </row>
        <row r="50652">
          <cell r="O50652" t="str">
            <v/>
          </cell>
        </row>
        <row r="50653">
          <cell r="O50653" t="str">
            <v/>
          </cell>
        </row>
        <row r="50654">
          <cell r="O50654" t="str">
            <v/>
          </cell>
        </row>
        <row r="50655">
          <cell r="O50655" t="str">
            <v/>
          </cell>
        </row>
        <row r="50656">
          <cell r="O50656" t="str">
            <v/>
          </cell>
        </row>
        <row r="50657">
          <cell r="O50657" t="str">
            <v/>
          </cell>
        </row>
        <row r="50658">
          <cell r="O50658" t="str">
            <v/>
          </cell>
        </row>
        <row r="50659">
          <cell r="O50659" t="str">
            <v/>
          </cell>
        </row>
        <row r="50660">
          <cell r="O50660" t="str">
            <v/>
          </cell>
        </row>
        <row r="50661">
          <cell r="O50661" t="str">
            <v/>
          </cell>
        </row>
        <row r="50662">
          <cell r="O50662" t="str">
            <v/>
          </cell>
        </row>
        <row r="50663">
          <cell r="O50663" t="str">
            <v/>
          </cell>
        </row>
        <row r="50664">
          <cell r="O50664" t="str">
            <v/>
          </cell>
        </row>
        <row r="50665">
          <cell r="O50665" t="str">
            <v/>
          </cell>
        </row>
        <row r="50666">
          <cell r="O50666" t="str">
            <v/>
          </cell>
        </row>
        <row r="50667">
          <cell r="O50667" t="str">
            <v/>
          </cell>
        </row>
        <row r="50668">
          <cell r="O50668" t="str">
            <v/>
          </cell>
        </row>
        <row r="50669">
          <cell r="O50669" t="str">
            <v/>
          </cell>
        </row>
        <row r="50670">
          <cell r="O50670" t="str">
            <v/>
          </cell>
        </row>
        <row r="50671">
          <cell r="O50671" t="str">
            <v/>
          </cell>
        </row>
        <row r="50672">
          <cell r="O50672" t="str">
            <v/>
          </cell>
        </row>
        <row r="50673">
          <cell r="O50673" t="str">
            <v/>
          </cell>
        </row>
        <row r="50674">
          <cell r="O50674" t="str">
            <v/>
          </cell>
        </row>
        <row r="50675">
          <cell r="O50675" t="str">
            <v/>
          </cell>
        </row>
        <row r="50676">
          <cell r="O50676" t="str">
            <v/>
          </cell>
        </row>
        <row r="50677">
          <cell r="O50677" t="str">
            <v/>
          </cell>
        </row>
        <row r="50678">
          <cell r="O50678" t="str">
            <v/>
          </cell>
        </row>
        <row r="50679">
          <cell r="O50679" t="str">
            <v/>
          </cell>
        </row>
        <row r="50680">
          <cell r="O50680" t="str">
            <v/>
          </cell>
        </row>
        <row r="50681">
          <cell r="O50681" t="str">
            <v/>
          </cell>
        </row>
        <row r="50682">
          <cell r="O50682" t="str">
            <v/>
          </cell>
        </row>
        <row r="50683">
          <cell r="O50683" t="str">
            <v/>
          </cell>
        </row>
        <row r="50684">
          <cell r="O50684" t="str">
            <v/>
          </cell>
        </row>
        <row r="50685">
          <cell r="O50685" t="str">
            <v/>
          </cell>
        </row>
        <row r="50686">
          <cell r="O50686" t="str">
            <v/>
          </cell>
        </row>
        <row r="50687">
          <cell r="O50687" t="str">
            <v/>
          </cell>
        </row>
        <row r="50688">
          <cell r="O50688" t="str">
            <v/>
          </cell>
        </row>
        <row r="50689">
          <cell r="O50689" t="str">
            <v/>
          </cell>
        </row>
        <row r="50690">
          <cell r="O50690" t="str">
            <v/>
          </cell>
        </row>
        <row r="50691">
          <cell r="O50691" t="str">
            <v/>
          </cell>
        </row>
        <row r="50692">
          <cell r="O50692" t="str">
            <v/>
          </cell>
        </row>
        <row r="50693">
          <cell r="O50693" t="str">
            <v/>
          </cell>
        </row>
        <row r="50694">
          <cell r="O50694" t="str">
            <v/>
          </cell>
        </row>
        <row r="50695">
          <cell r="O50695" t="str">
            <v/>
          </cell>
        </row>
        <row r="50696">
          <cell r="O50696" t="str">
            <v/>
          </cell>
        </row>
        <row r="50697">
          <cell r="O50697" t="str">
            <v/>
          </cell>
        </row>
        <row r="50698">
          <cell r="O50698" t="str">
            <v/>
          </cell>
        </row>
        <row r="50699">
          <cell r="O50699" t="str">
            <v/>
          </cell>
        </row>
        <row r="50700">
          <cell r="O50700" t="str">
            <v/>
          </cell>
        </row>
        <row r="50701">
          <cell r="O50701" t="str">
            <v/>
          </cell>
        </row>
        <row r="50702">
          <cell r="O50702" t="str">
            <v/>
          </cell>
        </row>
        <row r="50703">
          <cell r="O50703" t="str">
            <v/>
          </cell>
        </row>
        <row r="50704">
          <cell r="O50704" t="str">
            <v/>
          </cell>
        </row>
        <row r="50705">
          <cell r="O50705" t="str">
            <v/>
          </cell>
        </row>
        <row r="50706">
          <cell r="O50706" t="str">
            <v/>
          </cell>
        </row>
        <row r="50707">
          <cell r="O50707" t="str">
            <v/>
          </cell>
        </row>
        <row r="50708">
          <cell r="O50708" t="str">
            <v/>
          </cell>
        </row>
        <row r="50709">
          <cell r="O50709" t="str">
            <v/>
          </cell>
        </row>
        <row r="50710">
          <cell r="O50710" t="str">
            <v/>
          </cell>
        </row>
        <row r="50711">
          <cell r="O50711" t="str">
            <v/>
          </cell>
        </row>
        <row r="50712">
          <cell r="O50712" t="str">
            <v/>
          </cell>
        </row>
        <row r="50713">
          <cell r="O50713" t="str">
            <v/>
          </cell>
        </row>
        <row r="50714">
          <cell r="O50714" t="str">
            <v/>
          </cell>
        </row>
        <row r="50715">
          <cell r="O50715" t="str">
            <v/>
          </cell>
        </row>
        <row r="50716">
          <cell r="O50716" t="str">
            <v/>
          </cell>
        </row>
        <row r="50717">
          <cell r="O50717" t="str">
            <v/>
          </cell>
        </row>
        <row r="50718">
          <cell r="O50718" t="str">
            <v/>
          </cell>
        </row>
        <row r="50719">
          <cell r="O50719" t="str">
            <v/>
          </cell>
        </row>
        <row r="50720">
          <cell r="O50720" t="str">
            <v/>
          </cell>
        </row>
        <row r="50721">
          <cell r="O50721" t="str">
            <v/>
          </cell>
        </row>
        <row r="50722">
          <cell r="O50722" t="str">
            <v/>
          </cell>
        </row>
        <row r="50723">
          <cell r="O50723" t="str">
            <v/>
          </cell>
        </row>
        <row r="50724">
          <cell r="O50724" t="str">
            <v/>
          </cell>
        </row>
        <row r="50725">
          <cell r="O50725" t="str">
            <v/>
          </cell>
        </row>
        <row r="50726">
          <cell r="O50726" t="str">
            <v/>
          </cell>
        </row>
        <row r="50727">
          <cell r="O50727" t="str">
            <v/>
          </cell>
        </row>
        <row r="50728">
          <cell r="O50728" t="str">
            <v/>
          </cell>
        </row>
        <row r="50729">
          <cell r="O50729" t="str">
            <v/>
          </cell>
        </row>
        <row r="50730">
          <cell r="O50730" t="str">
            <v/>
          </cell>
        </row>
        <row r="50731">
          <cell r="O50731" t="str">
            <v/>
          </cell>
        </row>
        <row r="50732">
          <cell r="O50732" t="str">
            <v/>
          </cell>
        </row>
        <row r="50733">
          <cell r="O50733" t="str">
            <v/>
          </cell>
        </row>
        <row r="50734">
          <cell r="O50734" t="str">
            <v/>
          </cell>
        </row>
        <row r="50735">
          <cell r="O50735" t="str">
            <v/>
          </cell>
        </row>
        <row r="50736">
          <cell r="O50736" t="str">
            <v/>
          </cell>
        </row>
        <row r="50737">
          <cell r="O50737" t="str">
            <v/>
          </cell>
        </row>
        <row r="50738">
          <cell r="O50738" t="str">
            <v/>
          </cell>
        </row>
        <row r="50739">
          <cell r="O50739" t="str">
            <v/>
          </cell>
        </row>
        <row r="50740">
          <cell r="O50740" t="str">
            <v/>
          </cell>
        </row>
        <row r="50741">
          <cell r="O50741" t="str">
            <v/>
          </cell>
        </row>
        <row r="50742">
          <cell r="O50742" t="str">
            <v/>
          </cell>
        </row>
        <row r="50743">
          <cell r="O50743" t="str">
            <v/>
          </cell>
        </row>
        <row r="50744">
          <cell r="O50744" t="str">
            <v/>
          </cell>
        </row>
        <row r="50745">
          <cell r="O50745" t="str">
            <v/>
          </cell>
        </row>
        <row r="50746">
          <cell r="O50746" t="str">
            <v/>
          </cell>
        </row>
        <row r="50747">
          <cell r="O50747" t="str">
            <v/>
          </cell>
        </row>
        <row r="50748">
          <cell r="O50748" t="str">
            <v/>
          </cell>
        </row>
        <row r="50749">
          <cell r="O50749" t="str">
            <v/>
          </cell>
        </row>
        <row r="50750">
          <cell r="O50750" t="str">
            <v/>
          </cell>
        </row>
        <row r="50751">
          <cell r="O50751" t="str">
            <v/>
          </cell>
        </row>
        <row r="50752">
          <cell r="O50752" t="str">
            <v/>
          </cell>
        </row>
        <row r="50753">
          <cell r="O50753" t="str">
            <v/>
          </cell>
        </row>
        <row r="50754">
          <cell r="O50754" t="str">
            <v/>
          </cell>
        </row>
        <row r="50755">
          <cell r="O50755" t="str">
            <v/>
          </cell>
        </row>
        <row r="50756">
          <cell r="O50756" t="str">
            <v/>
          </cell>
        </row>
        <row r="50757">
          <cell r="O50757" t="str">
            <v/>
          </cell>
        </row>
        <row r="50758">
          <cell r="O50758" t="str">
            <v/>
          </cell>
        </row>
        <row r="50759">
          <cell r="O50759" t="str">
            <v/>
          </cell>
        </row>
        <row r="50760">
          <cell r="O50760" t="str">
            <v/>
          </cell>
        </row>
        <row r="50761">
          <cell r="O50761" t="str">
            <v/>
          </cell>
        </row>
        <row r="50762">
          <cell r="O50762" t="str">
            <v/>
          </cell>
        </row>
        <row r="50763">
          <cell r="O50763" t="str">
            <v/>
          </cell>
        </row>
        <row r="50764">
          <cell r="O50764" t="str">
            <v/>
          </cell>
        </row>
        <row r="50765">
          <cell r="O50765" t="str">
            <v/>
          </cell>
        </row>
        <row r="50766">
          <cell r="O50766" t="str">
            <v/>
          </cell>
        </row>
        <row r="50767">
          <cell r="O50767" t="str">
            <v/>
          </cell>
        </row>
        <row r="50768">
          <cell r="O50768" t="str">
            <v/>
          </cell>
        </row>
        <row r="50769">
          <cell r="O50769" t="str">
            <v/>
          </cell>
        </row>
        <row r="50770">
          <cell r="O50770" t="str">
            <v/>
          </cell>
        </row>
        <row r="50771">
          <cell r="O50771" t="str">
            <v/>
          </cell>
        </row>
        <row r="50772">
          <cell r="O50772" t="str">
            <v/>
          </cell>
        </row>
        <row r="50773">
          <cell r="O50773" t="str">
            <v/>
          </cell>
        </row>
        <row r="50774">
          <cell r="O50774" t="str">
            <v/>
          </cell>
        </row>
        <row r="50775">
          <cell r="O50775" t="str">
            <v/>
          </cell>
        </row>
        <row r="50776">
          <cell r="O50776" t="str">
            <v/>
          </cell>
        </row>
        <row r="50777">
          <cell r="O50777" t="str">
            <v/>
          </cell>
        </row>
        <row r="50778">
          <cell r="O50778" t="str">
            <v/>
          </cell>
        </row>
        <row r="50779">
          <cell r="O50779" t="str">
            <v/>
          </cell>
        </row>
        <row r="50780">
          <cell r="O50780" t="str">
            <v/>
          </cell>
        </row>
        <row r="50781">
          <cell r="O50781" t="str">
            <v/>
          </cell>
        </row>
        <row r="50782">
          <cell r="O50782" t="str">
            <v/>
          </cell>
        </row>
        <row r="50783">
          <cell r="O50783" t="str">
            <v/>
          </cell>
        </row>
        <row r="50784">
          <cell r="O50784" t="str">
            <v/>
          </cell>
        </row>
        <row r="50785">
          <cell r="O50785" t="str">
            <v/>
          </cell>
        </row>
        <row r="50786">
          <cell r="O50786" t="str">
            <v/>
          </cell>
        </row>
        <row r="50787">
          <cell r="O50787" t="str">
            <v/>
          </cell>
        </row>
        <row r="50788">
          <cell r="O50788" t="str">
            <v/>
          </cell>
        </row>
        <row r="50789">
          <cell r="O50789" t="str">
            <v/>
          </cell>
        </row>
        <row r="50790">
          <cell r="O50790" t="str">
            <v/>
          </cell>
        </row>
        <row r="50791">
          <cell r="O50791" t="str">
            <v/>
          </cell>
        </row>
        <row r="50792">
          <cell r="O50792" t="str">
            <v/>
          </cell>
        </row>
        <row r="50793">
          <cell r="O50793" t="str">
            <v/>
          </cell>
        </row>
        <row r="50794">
          <cell r="O50794" t="str">
            <v/>
          </cell>
        </row>
        <row r="50795">
          <cell r="O50795" t="str">
            <v/>
          </cell>
        </row>
        <row r="50796">
          <cell r="O50796" t="str">
            <v/>
          </cell>
        </row>
        <row r="50797">
          <cell r="O50797" t="str">
            <v/>
          </cell>
        </row>
        <row r="50798">
          <cell r="O50798" t="str">
            <v/>
          </cell>
        </row>
        <row r="50799">
          <cell r="O50799" t="str">
            <v/>
          </cell>
        </row>
        <row r="50800">
          <cell r="O50800" t="str">
            <v/>
          </cell>
        </row>
        <row r="50801">
          <cell r="O50801" t="str">
            <v/>
          </cell>
        </row>
        <row r="50802">
          <cell r="O50802" t="str">
            <v/>
          </cell>
        </row>
        <row r="50803">
          <cell r="O50803" t="str">
            <v/>
          </cell>
        </row>
        <row r="50804">
          <cell r="O50804" t="str">
            <v/>
          </cell>
        </row>
        <row r="50805">
          <cell r="O50805" t="str">
            <v/>
          </cell>
        </row>
        <row r="50806">
          <cell r="O50806" t="str">
            <v/>
          </cell>
        </row>
        <row r="50807">
          <cell r="O50807" t="str">
            <v/>
          </cell>
        </row>
        <row r="50808">
          <cell r="O50808" t="str">
            <v/>
          </cell>
        </row>
        <row r="50809">
          <cell r="O50809" t="str">
            <v/>
          </cell>
        </row>
        <row r="50810">
          <cell r="O50810" t="str">
            <v/>
          </cell>
        </row>
        <row r="50811">
          <cell r="O50811" t="str">
            <v/>
          </cell>
        </row>
        <row r="50812">
          <cell r="O50812" t="str">
            <v/>
          </cell>
        </row>
        <row r="50813">
          <cell r="O50813" t="str">
            <v/>
          </cell>
        </row>
        <row r="50814">
          <cell r="O50814" t="str">
            <v/>
          </cell>
        </row>
        <row r="50815">
          <cell r="O50815" t="str">
            <v/>
          </cell>
        </row>
        <row r="50816">
          <cell r="O50816" t="str">
            <v/>
          </cell>
        </row>
        <row r="50817">
          <cell r="O50817" t="str">
            <v/>
          </cell>
        </row>
        <row r="50818">
          <cell r="O50818" t="str">
            <v/>
          </cell>
        </row>
        <row r="50819">
          <cell r="O50819" t="str">
            <v/>
          </cell>
        </row>
        <row r="50820">
          <cell r="O50820" t="str">
            <v/>
          </cell>
        </row>
        <row r="50821">
          <cell r="O50821" t="str">
            <v/>
          </cell>
        </row>
        <row r="50822">
          <cell r="O50822" t="str">
            <v/>
          </cell>
        </row>
        <row r="50823">
          <cell r="O50823" t="str">
            <v/>
          </cell>
        </row>
        <row r="50824">
          <cell r="O50824" t="str">
            <v/>
          </cell>
        </row>
        <row r="50825">
          <cell r="O50825" t="str">
            <v/>
          </cell>
        </row>
        <row r="50826">
          <cell r="O50826" t="str">
            <v/>
          </cell>
        </row>
        <row r="50827">
          <cell r="O50827" t="str">
            <v/>
          </cell>
        </row>
        <row r="50828">
          <cell r="O50828" t="str">
            <v/>
          </cell>
        </row>
        <row r="50829">
          <cell r="O50829" t="str">
            <v/>
          </cell>
        </row>
        <row r="50830">
          <cell r="O50830" t="str">
            <v/>
          </cell>
        </row>
        <row r="50831">
          <cell r="O50831" t="str">
            <v/>
          </cell>
        </row>
        <row r="50832">
          <cell r="O50832" t="str">
            <v/>
          </cell>
        </row>
        <row r="50833">
          <cell r="O50833" t="str">
            <v/>
          </cell>
        </row>
        <row r="50834">
          <cell r="O50834" t="str">
            <v/>
          </cell>
        </row>
        <row r="50835">
          <cell r="O50835" t="str">
            <v/>
          </cell>
        </row>
        <row r="50836">
          <cell r="O50836" t="str">
            <v/>
          </cell>
        </row>
        <row r="50837">
          <cell r="O50837" t="str">
            <v/>
          </cell>
        </row>
        <row r="50838">
          <cell r="O50838" t="str">
            <v/>
          </cell>
        </row>
        <row r="50839">
          <cell r="O50839" t="str">
            <v/>
          </cell>
        </row>
        <row r="50840">
          <cell r="O50840" t="str">
            <v/>
          </cell>
        </row>
        <row r="50841">
          <cell r="O50841" t="str">
            <v/>
          </cell>
        </row>
        <row r="50842">
          <cell r="O50842" t="str">
            <v/>
          </cell>
        </row>
        <row r="50843">
          <cell r="O50843" t="str">
            <v/>
          </cell>
        </row>
        <row r="50844">
          <cell r="O50844" t="str">
            <v/>
          </cell>
        </row>
        <row r="50845">
          <cell r="O50845" t="str">
            <v/>
          </cell>
        </row>
        <row r="50846">
          <cell r="O50846" t="str">
            <v/>
          </cell>
        </row>
        <row r="50847">
          <cell r="O50847" t="str">
            <v/>
          </cell>
        </row>
        <row r="50848">
          <cell r="O50848" t="str">
            <v/>
          </cell>
        </row>
        <row r="50849">
          <cell r="O50849" t="str">
            <v/>
          </cell>
        </row>
        <row r="50850">
          <cell r="O50850" t="str">
            <v/>
          </cell>
        </row>
        <row r="50851">
          <cell r="O50851" t="str">
            <v/>
          </cell>
        </row>
        <row r="50852">
          <cell r="O50852" t="str">
            <v/>
          </cell>
        </row>
        <row r="50853">
          <cell r="O50853" t="str">
            <v/>
          </cell>
        </row>
        <row r="50854">
          <cell r="O50854" t="str">
            <v/>
          </cell>
        </row>
        <row r="50855">
          <cell r="O50855" t="str">
            <v/>
          </cell>
        </row>
        <row r="50856">
          <cell r="O50856" t="str">
            <v/>
          </cell>
        </row>
        <row r="50857">
          <cell r="O50857" t="str">
            <v/>
          </cell>
        </row>
        <row r="50858">
          <cell r="O50858" t="str">
            <v/>
          </cell>
        </row>
        <row r="50859">
          <cell r="O50859" t="str">
            <v/>
          </cell>
        </row>
        <row r="50860">
          <cell r="O50860" t="str">
            <v/>
          </cell>
        </row>
        <row r="50861">
          <cell r="O50861" t="str">
            <v/>
          </cell>
        </row>
        <row r="50862">
          <cell r="O50862" t="str">
            <v/>
          </cell>
        </row>
        <row r="50863">
          <cell r="O50863" t="str">
            <v/>
          </cell>
        </row>
        <row r="50864">
          <cell r="O50864" t="str">
            <v/>
          </cell>
        </row>
        <row r="50865">
          <cell r="O50865" t="str">
            <v/>
          </cell>
        </row>
        <row r="50866">
          <cell r="O50866" t="str">
            <v/>
          </cell>
        </row>
        <row r="50867">
          <cell r="O50867" t="str">
            <v/>
          </cell>
        </row>
        <row r="50868">
          <cell r="O50868" t="str">
            <v/>
          </cell>
        </row>
        <row r="50869">
          <cell r="O50869" t="str">
            <v/>
          </cell>
        </row>
        <row r="50870">
          <cell r="O50870" t="str">
            <v/>
          </cell>
        </row>
        <row r="50871">
          <cell r="O50871" t="str">
            <v/>
          </cell>
        </row>
        <row r="50872">
          <cell r="O50872" t="str">
            <v/>
          </cell>
        </row>
        <row r="50873">
          <cell r="O50873" t="str">
            <v/>
          </cell>
        </row>
        <row r="50874">
          <cell r="O50874" t="str">
            <v/>
          </cell>
        </row>
        <row r="50875">
          <cell r="O50875" t="str">
            <v/>
          </cell>
        </row>
        <row r="50876">
          <cell r="O50876" t="str">
            <v/>
          </cell>
        </row>
        <row r="50877">
          <cell r="O50877" t="str">
            <v/>
          </cell>
        </row>
        <row r="50878">
          <cell r="O50878" t="str">
            <v/>
          </cell>
        </row>
        <row r="50879">
          <cell r="O50879" t="str">
            <v/>
          </cell>
        </row>
        <row r="50880">
          <cell r="O50880" t="str">
            <v/>
          </cell>
        </row>
        <row r="50881">
          <cell r="O50881" t="str">
            <v/>
          </cell>
        </row>
        <row r="50882">
          <cell r="O50882" t="str">
            <v/>
          </cell>
        </row>
        <row r="50883">
          <cell r="O50883" t="str">
            <v/>
          </cell>
        </row>
        <row r="50884">
          <cell r="O50884" t="str">
            <v/>
          </cell>
        </row>
        <row r="50885">
          <cell r="O50885" t="str">
            <v/>
          </cell>
        </row>
        <row r="50886">
          <cell r="O50886" t="str">
            <v/>
          </cell>
        </row>
        <row r="50887">
          <cell r="O50887" t="str">
            <v/>
          </cell>
        </row>
        <row r="50888">
          <cell r="O50888" t="str">
            <v/>
          </cell>
        </row>
        <row r="50889">
          <cell r="O50889" t="str">
            <v/>
          </cell>
        </row>
        <row r="50890">
          <cell r="O50890" t="str">
            <v/>
          </cell>
        </row>
        <row r="50891">
          <cell r="O50891" t="str">
            <v/>
          </cell>
        </row>
        <row r="50892">
          <cell r="O50892" t="str">
            <v/>
          </cell>
        </row>
        <row r="50893">
          <cell r="O50893" t="str">
            <v/>
          </cell>
        </row>
        <row r="50894">
          <cell r="O50894" t="str">
            <v/>
          </cell>
        </row>
        <row r="50895">
          <cell r="O50895" t="str">
            <v/>
          </cell>
        </row>
        <row r="50896">
          <cell r="O50896" t="str">
            <v/>
          </cell>
        </row>
        <row r="50897">
          <cell r="O50897" t="str">
            <v/>
          </cell>
        </row>
        <row r="50898">
          <cell r="O50898" t="str">
            <v/>
          </cell>
        </row>
        <row r="50899">
          <cell r="O50899" t="str">
            <v/>
          </cell>
        </row>
        <row r="50900">
          <cell r="O50900" t="str">
            <v/>
          </cell>
        </row>
        <row r="50901">
          <cell r="O50901" t="str">
            <v/>
          </cell>
        </row>
        <row r="50902">
          <cell r="O50902" t="str">
            <v/>
          </cell>
        </row>
        <row r="50903">
          <cell r="O50903" t="str">
            <v/>
          </cell>
        </row>
        <row r="50904">
          <cell r="O50904" t="str">
            <v/>
          </cell>
        </row>
        <row r="50905">
          <cell r="O50905" t="str">
            <v/>
          </cell>
        </row>
        <row r="50906">
          <cell r="O50906" t="str">
            <v/>
          </cell>
        </row>
        <row r="50907">
          <cell r="O50907" t="str">
            <v/>
          </cell>
        </row>
        <row r="50908">
          <cell r="O50908" t="str">
            <v/>
          </cell>
        </row>
        <row r="50909">
          <cell r="O50909" t="str">
            <v/>
          </cell>
        </row>
        <row r="50910">
          <cell r="O50910" t="str">
            <v/>
          </cell>
        </row>
        <row r="50911">
          <cell r="O50911" t="str">
            <v/>
          </cell>
        </row>
        <row r="50912">
          <cell r="O50912" t="str">
            <v/>
          </cell>
        </row>
        <row r="50913">
          <cell r="O50913" t="str">
            <v/>
          </cell>
        </row>
        <row r="50914">
          <cell r="O50914" t="str">
            <v/>
          </cell>
        </row>
        <row r="50915">
          <cell r="O50915" t="str">
            <v/>
          </cell>
        </row>
        <row r="50916">
          <cell r="O50916" t="str">
            <v/>
          </cell>
        </row>
        <row r="50917">
          <cell r="O50917" t="str">
            <v/>
          </cell>
        </row>
        <row r="50918">
          <cell r="O50918" t="str">
            <v/>
          </cell>
        </row>
        <row r="50919">
          <cell r="O50919" t="str">
            <v/>
          </cell>
        </row>
        <row r="50920">
          <cell r="O50920" t="str">
            <v/>
          </cell>
        </row>
        <row r="50921">
          <cell r="O50921" t="str">
            <v/>
          </cell>
        </row>
        <row r="50922">
          <cell r="O50922" t="str">
            <v/>
          </cell>
        </row>
        <row r="50923">
          <cell r="O50923" t="str">
            <v/>
          </cell>
        </row>
        <row r="50924">
          <cell r="O50924" t="str">
            <v/>
          </cell>
        </row>
        <row r="50925">
          <cell r="O50925" t="str">
            <v/>
          </cell>
        </row>
        <row r="50926">
          <cell r="O50926" t="str">
            <v/>
          </cell>
        </row>
        <row r="50927">
          <cell r="O50927" t="str">
            <v/>
          </cell>
        </row>
        <row r="50928">
          <cell r="O50928" t="str">
            <v/>
          </cell>
        </row>
        <row r="50929">
          <cell r="O50929" t="str">
            <v/>
          </cell>
        </row>
        <row r="50930">
          <cell r="O50930" t="str">
            <v/>
          </cell>
        </row>
        <row r="50931">
          <cell r="O50931" t="str">
            <v/>
          </cell>
        </row>
        <row r="50932">
          <cell r="O50932" t="str">
            <v/>
          </cell>
        </row>
        <row r="50933">
          <cell r="O50933" t="str">
            <v/>
          </cell>
        </row>
        <row r="50934">
          <cell r="O50934" t="str">
            <v/>
          </cell>
        </row>
        <row r="50935">
          <cell r="O50935" t="str">
            <v/>
          </cell>
        </row>
        <row r="50936">
          <cell r="O50936" t="str">
            <v/>
          </cell>
        </row>
        <row r="50937">
          <cell r="O50937" t="str">
            <v/>
          </cell>
        </row>
        <row r="50938">
          <cell r="O50938" t="str">
            <v/>
          </cell>
        </row>
        <row r="50939">
          <cell r="O50939" t="str">
            <v/>
          </cell>
        </row>
        <row r="50940">
          <cell r="O50940" t="str">
            <v/>
          </cell>
        </row>
        <row r="50941">
          <cell r="O50941" t="str">
            <v/>
          </cell>
        </row>
        <row r="50942">
          <cell r="O50942" t="str">
            <v/>
          </cell>
        </row>
        <row r="50943">
          <cell r="O50943" t="str">
            <v/>
          </cell>
        </row>
        <row r="50944">
          <cell r="O50944" t="str">
            <v/>
          </cell>
        </row>
        <row r="50945">
          <cell r="O50945" t="str">
            <v/>
          </cell>
        </row>
        <row r="50946">
          <cell r="O50946" t="str">
            <v/>
          </cell>
        </row>
        <row r="50947">
          <cell r="O50947" t="str">
            <v/>
          </cell>
        </row>
        <row r="50948">
          <cell r="O50948" t="str">
            <v/>
          </cell>
        </row>
        <row r="50949">
          <cell r="O50949" t="str">
            <v/>
          </cell>
        </row>
        <row r="50950">
          <cell r="O50950" t="str">
            <v/>
          </cell>
        </row>
        <row r="50951">
          <cell r="O50951" t="str">
            <v/>
          </cell>
        </row>
        <row r="50952">
          <cell r="O50952" t="str">
            <v/>
          </cell>
        </row>
        <row r="50953">
          <cell r="O50953" t="str">
            <v/>
          </cell>
        </row>
        <row r="50954">
          <cell r="O50954" t="str">
            <v/>
          </cell>
        </row>
        <row r="50955">
          <cell r="O50955" t="str">
            <v/>
          </cell>
        </row>
        <row r="50956">
          <cell r="O50956" t="str">
            <v/>
          </cell>
        </row>
        <row r="50957">
          <cell r="O50957" t="str">
            <v/>
          </cell>
        </row>
        <row r="50958">
          <cell r="O50958" t="str">
            <v/>
          </cell>
        </row>
        <row r="50959">
          <cell r="O50959" t="str">
            <v/>
          </cell>
        </row>
        <row r="50960">
          <cell r="O50960" t="str">
            <v/>
          </cell>
        </row>
        <row r="50961">
          <cell r="O50961" t="str">
            <v/>
          </cell>
        </row>
        <row r="50962">
          <cell r="O50962" t="str">
            <v/>
          </cell>
        </row>
        <row r="50963">
          <cell r="O50963" t="str">
            <v/>
          </cell>
        </row>
        <row r="50964">
          <cell r="O50964" t="str">
            <v/>
          </cell>
        </row>
        <row r="50965">
          <cell r="O50965" t="str">
            <v/>
          </cell>
        </row>
        <row r="50966">
          <cell r="O50966" t="str">
            <v/>
          </cell>
        </row>
        <row r="50967">
          <cell r="O50967" t="str">
            <v/>
          </cell>
        </row>
        <row r="50968">
          <cell r="O50968" t="str">
            <v/>
          </cell>
        </row>
        <row r="50969">
          <cell r="O50969" t="str">
            <v/>
          </cell>
        </row>
        <row r="50970">
          <cell r="O50970" t="str">
            <v/>
          </cell>
        </row>
        <row r="50971">
          <cell r="O50971" t="str">
            <v/>
          </cell>
        </row>
        <row r="50972">
          <cell r="O50972" t="str">
            <v/>
          </cell>
        </row>
        <row r="50973">
          <cell r="O50973" t="str">
            <v/>
          </cell>
        </row>
        <row r="50974">
          <cell r="O50974" t="str">
            <v/>
          </cell>
        </row>
        <row r="50975">
          <cell r="O50975" t="str">
            <v/>
          </cell>
        </row>
        <row r="50976">
          <cell r="O50976" t="str">
            <v/>
          </cell>
        </row>
        <row r="50977">
          <cell r="O50977" t="str">
            <v/>
          </cell>
        </row>
        <row r="50978">
          <cell r="O50978" t="str">
            <v/>
          </cell>
        </row>
        <row r="50979">
          <cell r="O50979" t="str">
            <v/>
          </cell>
        </row>
        <row r="50980">
          <cell r="O50980" t="str">
            <v/>
          </cell>
        </row>
        <row r="50981">
          <cell r="O50981" t="str">
            <v/>
          </cell>
        </row>
        <row r="50982">
          <cell r="O50982" t="str">
            <v/>
          </cell>
        </row>
        <row r="50983">
          <cell r="O50983" t="str">
            <v/>
          </cell>
        </row>
        <row r="50984">
          <cell r="O50984" t="str">
            <v/>
          </cell>
        </row>
        <row r="50985">
          <cell r="O50985" t="str">
            <v/>
          </cell>
        </row>
        <row r="50986">
          <cell r="O50986" t="str">
            <v/>
          </cell>
        </row>
        <row r="50987">
          <cell r="O50987" t="str">
            <v/>
          </cell>
        </row>
        <row r="50988">
          <cell r="O50988" t="str">
            <v/>
          </cell>
        </row>
        <row r="50989">
          <cell r="O50989" t="str">
            <v/>
          </cell>
        </row>
        <row r="50990">
          <cell r="O50990" t="str">
            <v/>
          </cell>
        </row>
        <row r="50991">
          <cell r="O50991" t="str">
            <v/>
          </cell>
        </row>
        <row r="50992">
          <cell r="O50992" t="str">
            <v/>
          </cell>
        </row>
        <row r="50993">
          <cell r="O50993" t="str">
            <v/>
          </cell>
        </row>
        <row r="50994">
          <cell r="O50994" t="str">
            <v/>
          </cell>
        </row>
        <row r="50995">
          <cell r="O50995" t="str">
            <v/>
          </cell>
        </row>
        <row r="50996">
          <cell r="O50996" t="str">
            <v/>
          </cell>
        </row>
        <row r="50997">
          <cell r="O50997" t="str">
            <v/>
          </cell>
        </row>
        <row r="50998">
          <cell r="O50998" t="str">
            <v/>
          </cell>
        </row>
        <row r="50999">
          <cell r="O50999" t="str">
            <v/>
          </cell>
        </row>
        <row r="51000">
          <cell r="O51000" t="str">
            <v/>
          </cell>
        </row>
        <row r="51001">
          <cell r="O51001" t="str">
            <v/>
          </cell>
        </row>
        <row r="51002">
          <cell r="O51002" t="str">
            <v/>
          </cell>
        </row>
        <row r="51003">
          <cell r="O51003" t="str">
            <v/>
          </cell>
        </row>
        <row r="51004">
          <cell r="O51004" t="str">
            <v/>
          </cell>
        </row>
        <row r="51005">
          <cell r="O51005" t="str">
            <v/>
          </cell>
        </row>
        <row r="51006">
          <cell r="O51006" t="str">
            <v/>
          </cell>
        </row>
        <row r="51007">
          <cell r="O51007" t="str">
            <v/>
          </cell>
        </row>
        <row r="51008">
          <cell r="O51008" t="str">
            <v/>
          </cell>
        </row>
        <row r="51009">
          <cell r="O51009" t="str">
            <v/>
          </cell>
        </row>
        <row r="51010">
          <cell r="O51010" t="str">
            <v/>
          </cell>
        </row>
        <row r="51011">
          <cell r="O51011" t="str">
            <v/>
          </cell>
        </row>
        <row r="51012">
          <cell r="O51012" t="str">
            <v/>
          </cell>
        </row>
        <row r="51013">
          <cell r="O51013" t="str">
            <v/>
          </cell>
        </row>
        <row r="51014">
          <cell r="O51014" t="str">
            <v/>
          </cell>
        </row>
        <row r="51015">
          <cell r="O51015" t="str">
            <v/>
          </cell>
        </row>
        <row r="51016">
          <cell r="O51016" t="str">
            <v/>
          </cell>
        </row>
        <row r="51017">
          <cell r="O51017" t="str">
            <v/>
          </cell>
        </row>
        <row r="51018">
          <cell r="O51018" t="str">
            <v/>
          </cell>
        </row>
        <row r="51019">
          <cell r="O51019" t="str">
            <v/>
          </cell>
        </row>
        <row r="51020">
          <cell r="O51020" t="str">
            <v/>
          </cell>
        </row>
        <row r="51021">
          <cell r="O51021" t="str">
            <v/>
          </cell>
        </row>
        <row r="51022">
          <cell r="O51022" t="str">
            <v/>
          </cell>
        </row>
        <row r="51023">
          <cell r="O51023" t="str">
            <v/>
          </cell>
        </row>
        <row r="51024">
          <cell r="O51024" t="str">
            <v/>
          </cell>
        </row>
        <row r="51025">
          <cell r="O51025" t="str">
            <v/>
          </cell>
        </row>
        <row r="51026">
          <cell r="O51026" t="str">
            <v/>
          </cell>
        </row>
        <row r="51027">
          <cell r="O51027" t="str">
            <v/>
          </cell>
        </row>
        <row r="51028">
          <cell r="O51028" t="str">
            <v/>
          </cell>
        </row>
        <row r="51029">
          <cell r="O51029" t="str">
            <v/>
          </cell>
        </row>
        <row r="51030">
          <cell r="O51030" t="str">
            <v/>
          </cell>
        </row>
        <row r="51031">
          <cell r="O51031" t="str">
            <v/>
          </cell>
        </row>
        <row r="51032">
          <cell r="O51032" t="str">
            <v/>
          </cell>
        </row>
        <row r="51033">
          <cell r="O51033" t="str">
            <v/>
          </cell>
        </row>
        <row r="51034">
          <cell r="O51034" t="str">
            <v/>
          </cell>
        </row>
        <row r="51035">
          <cell r="O51035" t="str">
            <v/>
          </cell>
        </row>
        <row r="51036">
          <cell r="O51036" t="str">
            <v/>
          </cell>
        </row>
        <row r="51037">
          <cell r="O51037" t="str">
            <v/>
          </cell>
        </row>
        <row r="51038">
          <cell r="O51038" t="str">
            <v/>
          </cell>
        </row>
        <row r="51039">
          <cell r="O51039" t="str">
            <v/>
          </cell>
        </row>
        <row r="51040">
          <cell r="O51040" t="str">
            <v/>
          </cell>
        </row>
        <row r="51041">
          <cell r="O51041" t="str">
            <v/>
          </cell>
        </row>
        <row r="51042">
          <cell r="O51042" t="str">
            <v/>
          </cell>
        </row>
        <row r="51043">
          <cell r="O51043" t="str">
            <v/>
          </cell>
        </row>
        <row r="51044">
          <cell r="O51044" t="str">
            <v/>
          </cell>
        </row>
        <row r="51045">
          <cell r="O51045" t="str">
            <v/>
          </cell>
        </row>
        <row r="51046">
          <cell r="O51046" t="str">
            <v/>
          </cell>
        </row>
        <row r="51047">
          <cell r="O51047" t="str">
            <v/>
          </cell>
        </row>
        <row r="51048">
          <cell r="O51048" t="str">
            <v/>
          </cell>
        </row>
        <row r="51049">
          <cell r="O51049" t="str">
            <v/>
          </cell>
        </row>
        <row r="51050">
          <cell r="O51050" t="str">
            <v/>
          </cell>
        </row>
        <row r="51051">
          <cell r="O51051" t="str">
            <v/>
          </cell>
        </row>
        <row r="51052">
          <cell r="O51052" t="str">
            <v/>
          </cell>
        </row>
        <row r="51053">
          <cell r="O51053" t="str">
            <v/>
          </cell>
        </row>
        <row r="51054">
          <cell r="O51054" t="str">
            <v/>
          </cell>
        </row>
        <row r="51055">
          <cell r="O51055" t="str">
            <v/>
          </cell>
        </row>
        <row r="51056">
          <cell r="O51056" t="str">
            <v/>
          </cell>
        </row>
        <row r="51057">
          <cell r="O51057" t="str">
            <v/>
          </cell>
        </row>
        <row r="51058">
          <cell r="O51058" t="str">
            <v/>
          </cell>
        </row>
        <row r="51059">
          <cell r="O51059" t="str">
            <v/>
          </cell>
        </row>
        <row r="51060">
          <cell r="O51060" t="str">
            <v/>
          </cell>
        </row>
        <row r="51061">
          <cell r="O51061" t="str">
            <v/>
          </cell>
        </row>
        <row r="51062">
          <cell r="O51062" t="str">
            <v/>
          </cell>
        </row>
        <row r="51063">
          <cell r="O51063" t="str">
            <v/>
          </cell>
        </row>
        <row r="51064">
          <cell r="O51064" t="str">
            <v/>
          </cell>
        </row>
        <row r="51065">
          <cell r="O51065" t="str">
            <v/>
          </cell>
        </row>
        <row r="51066">
          <cell r="O51066" t="str">
            <v/>
          </cell>
        </row>
        <row r="51067">
          <cell r="O51067" t="str">
            <v/>
          </cell>
        </row>
        <row r="51068">
          <cell r="O51068" t="str">
            <v/>
          </cell>
        </row>
        <row r="51069">
          <cell r="O51069" t="str">
            <v/>
          </cell>
        </row>
        <row r="51070">
          <cell r="O51070" t="str">
            <v/>
          </cell>
        </row>
        <row r="51071">
          <cell r="O51071" t="str">
            <v/>
          </cell>
        </row>
        <row r="51072">
          <cell r="O51072" t="str">
            <v/>
          </cell>
        </row>
        <row r="51073">
          <cell r="O51073" t="str">
            <v/>
          </cell>
        </row>
        <row r="51074">
          <cell r="O51074" t="str">
            <v/>
          </cell>
        </row>
        <row r="51075">
          <cell r="O51075" t="str">
            <v/>
          </cell>
        </row>
        <row r="51076">
          <cell r="O51076" t="str">
            <v/>
          </cell>
        </row>
        <row r="51077">
          <cell r="O51077" t="str">
            <v/>
          </cell>
        </row>
        <row r="51078">
          <cell r="O51078" t="str">
            <v/>
          </cell>
        </row>
        <row r="51079">
          <cell r="O51079" t="str">
            <v/>
          </cell>
        </row>
        <row r="51080">
          <cell r="O51080" t="str">
            <v/>
          </cell>
        </row>
        <row r="51081">
          <cell r="O51081" t="str">
            <v/>
          </cell>
        </row>
        <row r="51082">
          <cell r="O51082" t="str">
            <v/>
          </cell>
        </row>
        <row r="51083">
          <cell r="O51083" t="str">
            <v/>
          </cell>
        </row>
        <row r="51084">
          <cell r="O51084" t="str">
            <v/>
          </cell>
        </row>
        <row r="51085">
          <cell r="O51085" t="str">
            <v/>
          </cell>
        </row>
        <row r="51086">
          <cell r="O51086" t="str">
            <v/>
          </cell>
        </row>
        <row r="51087">
          <cell r="O51087" t="str">
            <v/>
          </cell>
        </row>
        <row r="51088">
          <cell r="O51088" t="str">
            <v/>
          </cell>
        </row>
        <row r="51089">
          <cell r="O51089" t="str">
            <v/>
          </cell>
        </row>
        <row r="51090">
          <cell r="O51090" t="str">
            <v/>
          </cell>
        </row>
        <row r="51091">
          <cell r="O51091" t="str">
            <v/>
          </cell>
        </row>
        <row r="51092">
          <cell r="O51092" t="str">
            <v/>
          </cell>
        </row>
        <row r="51093">
          <cell r="O51093" t="str">
            <v/>
          </cell>
        </row>
        <row r="51094">
          <cell r="O51094" t="str">
            <v/>
          </cell>
        </row>
        <row r="51095">
          <cell r="O51095" t="str">
            <v/>
          </cell>
        </row>
        <row r="51096">
          <cell r="O51096" t="str">
            <v/>
          </cell>
        </row>
        <row r="51097">
          <cell r="O51097" t="str">
            <v/>
          </cell>
        </row>
        <row r="51098">
          <cell r="O51098" t="str">
            <v/>
          </cell>
        </row>
        <row r="51099">
          <cell r="O51099" t="str">
            <v/>
          </cell>
        </row>
        <row r="51100">
          <cell r="O51100" t="str">
            <v/>
          </cell>
        </row>
        <row r="51101">
          <cell r="O51101" t="str">
            <v/>
          </cell>
        </row>
        <row r="51102">
          <cell r="O51102" t="str">
            <v/>
          </cell>
        </row>
        <row r="51103">
          <cell r="O51103" t="str">
            <v/>
          </cell>
        </row>
        <row r="51104">
          <cell r="O51104" t="str">
            <v/>
          </cell>
        </row>
        <row r="51105">
          <cell r="O51105" t="str">
            <v/>
          </cell>
        </row>
        <row r="51106">
          <cell r="O51106" t="str">
            <v/>
          </cell>
        </row>
        <row r="51107">
          <cell r="O51107" t="str">
            <v/>
          </cell>
        </row>
        <row r="51108">
          <cell r="O51108" t="str">
            <v/>
          </cell>
        </row>
        <row r="51109">
          <cell r="O51109" t="str">
            <v/>
          </cell>
        </row>
        <row r="51110">
          <cell r="O51110" t="str">
            <v/>
          </cell>
        </row>
        <row r="51111">
          <cell r="O51111" t="str">
            <v/>
          </cell>
        </row>
        <row r="51112">
          <cell r="O51112" t="str">
            <v/>
          </cell>
        </row>
        <row r="51113">
          <cell r="O51113" t="str">
            <v/>
          </cell>
        </row>
        <row r="51114">
          <cell r="O51114" t="str">
            <v/>
          </cell>
        </row>
        <row r="51115">
          <cell r="O51115" t="str">
            <v/>
          </cell>
        </row>
        <row r="51116">
          <cell r="O51116" t="str">
            <v/>
          </cell>
        </row>
        <row r="51117">
          <cell r="O51117" t="str">
            <v/>
          </cell>
        </row>
        <row r="51118">
          <cell r="O51118" t="str">
            <v/>
          </cell>
        </row>
        <row r="51119">
          <cell r="O51119" t="str">
            <v/>
          </cell>
        </row>
        <row r="51120">
          <cell r="O51120" t="str">
            <v/>
          </cell>
        </row>
        <row r="51121">
          <cell r="O51121" t="str">
            <v/>
          </cell>
        </row>
        <row r="51122">
          <cell r="O51122" t="str">
            <v/>
          </cell>
        </row>
        <row r="51123">
          <cell r="O51123" t="str">
            <v/>
          </cell>
        </row>
        <row r="51124">
          <cell r="O51124" t="str">
            <v/>
          </cell>
        </row>
        <row r="51125">
          <cell r="O51125" t="str">
            <v/>
          </cell>
        </row>
        <row r="51126">
          <cell r="O51126" t="str">
            <v/>
          </cell>
        </row>
        <row r="51127">
          <cell r="O51127" t="str">
            <v/>
          </cell>
        </row>
        <row r="51128">
          <cell r="O51128" t="str">
            <v/>
          </cell>
        </row>
        <row r="51129">
          <cell r="O51129" t="str">
            <v/>
          </cell>
        </row>
        <row r="51130">
          <cell r="O51130" t="str">
            <v/>
          </cell>
        </row>
        <row r="51131">
          <cell r="O51131" t="str">
            <v/>
          </cell>
        </row>
        <row r="51132">
          <cell r="O51132" t="str">
            <v/>
          </cell>
        </row>
        <row r="51133">
          <cell r="O51133" t="str">
            <v/>
          </cell>
        </row>
        <row r="51134">
          <cell r="O51134" t="str">
            <v/>
          </cell>
        </row>
        <row r="51135">
          <cell r="O51135" t="str">
            <v/>
          </cell>
        </row>
        <row r="51136">
          <cell r="O51136" t="str">
            <v/>
          </cell>
        </row>
        <row r="51137">
          <cell r="O51137" t="str">
            <v/>
          </cell>
        </row>
        <row r="51138">
          <cell r="O51138" t="str">
            <v/>
          </cell>
        </row>
        <row r="51139">
          <cell r="O51139" t="str">
            <v/>
          </cell>
        </row>
        <row r="51140">
          <cell r="O51140" t="str">
            <v/>
          </cell>
        </row>
        <row r="51141">
          <cell r="O51141" t="str">
            <v/>
          </cell>
        </row>
        <row r="51142">
          <cell r="O51142" t="str">
            <v/>
          </cell>
        </row>
        <row r="51143">
          <cell r="O51143" t="str">
            <v/>
          </cell>
        </row>
        <row r="51144">
          <cell r="O51144" t="str">
            <v/>
          </cell>
        </row>
        <row r="51145">
          <cell r="O51145" t="str">
            <v/>
          </cell>
        </row>
        <row r="51146">
          <cell r="O51146" t="str">
            <v/>
          </cell>
        </row>
        <row r="51147">
          <cell r="O51147" t="str">
            <v/>
          </cell>
        </row>
        <row r="51148">
          <cell r="O51148" t="str">
            <v/>
          </cell>
        </row>
        <row r="51149">
          <cell r="O51149" t="str">
            <v/>
          </cell>
        </row>
        <row r="51150">
          <cell r="O51150" t="str">
            <v/>
          </cell>
        </row>
        <row r="51151">
          <cell r="O51151" t="str">
            <v/>
          </cell>
        </row>
        <row r="51152">
          <cell r="O51152" t="str">
            <v/>
          </cell>
        </row>
        <row r="51153">
          <cell r="O51153" t="str">
            <v/>
          </cell>
        </row>
        <row r="51154">
          <cell r="O51154" t="str">
            <v/>
          </cell>
        </row>
        <row r="51155">
          <cell r="O51155" t="str">
            <v/>
          </cell>
        </row>
        <row r="51156">
          <cell r="O51156" t="str">
            <v/>
          </cell>
        </row>
        <row r="51157">
          <cell r="O51157" t="str">
            <v/>
          </cell>
        </row>
        <row r="51158">
          <cell r="O51158" t="str">
            <v/>
          </cell>
        </row>
        <row r="51159">
          <cell r="O51159" t="str">
            <v/>
          </cell>
        </row>
        <row r="51160">
          <cell r="O51160" t="str">
            <v/>
          </cell>
        </row>
        <row r="51161">
          <cell r="O51161" t="str">
            <v/>
          </cell>
        </row>
        <row r="51162">
          <cell r="O51162" t="str">
            <v/>
          </cell>
        </row>
        <row r="51163">
          <cell r="O51163" t="str">
            <v/>
          </cell>
        </row>
        <row r="51164">
          <cell r="O51164" t="str">
            <v/>
          </cell>
        </row>
        <row r="51165">
          <cell r="O51165" t="str">
            <v/>
          </cell>
        </row>
        <row r="51166">
          <cell r="O51166" t="str">
            <v/>
          </cell>
        </row>
        <row r="51167">
          <cell r="O51167" t="str">
            <v/>
          </cell>
        </row>
        <row r="51168">
          <cell r="O51168" t="str">
            <v/>
          </cell>
        </row>
        <row r="51169">
          <cell r="O51169" t="str">
            <v/>
          </cell>
        </row>
        <row r="51170">
          <cell r="O51170" t="str">
            <v/>
          </cell>
        </row>
        <row r="51171">
          <cell r="O51171" t="str">
            <v/>
          </cell>
        </row>
        <row r="51172">
          <cell r="O51172" t="str">
            <v/>
          </cell>
        </row>
        <row r="51173">
          <cell r="O51173" t="str">
            <v/>
          </cell>
        </row>
        <row r="51174">
          <cell r="O51174" t="str">
            <v/>
          </cell>
        </row>
        <row r="51175">
          <cell r="O51175" t="str">
            <v/>
          </cell>
        </row>
        <row r="51176">
          <cell r="O51176" t="str">
            <v/>
          </cell>
        </row>
        <row r="51177">
          <cell r="O51177" t="str">
            <v/>
          </cell>
        </row>
        <row r="51178">
          <cell r="O51178" t="str">
            <v/>
          </cell>
        </row>
        <row r="51179">
          <cell r="O51179" t="str">
            <v/>
          </cell>
        </row>
        <row r="51180">
          <cell r="O51180" t="str">
            <v/>
          </cell>
        </row>
        <row r="51181">
          <cell r="O51181" t="str">
            <v/>
          </cell>
        </row>
        <row r="51182">
          <cell r="O51182" t="str">
            <v/>
          </cell>
        </row>
        <row r="51183">
          <cell r="O51183" t="str">
            <v/>
          </cell>
        </row>
        <row r="51184">
          <cell r="O51184" t="str">
            <v/>
          </cell>
        </row>
        <row r="51185">
          <cell r="O51185" t="str">
            <v/>
          </cell>
        </row>
        <row r="51186">
          <cell r="O51186" t="str">
            <v/>
          </cell>
        </row>
        <row r="51187">
          <cell r="O51187" t="str">
            <v/>
          </cell>
        </row>
        <row r="51188">
          <cell r="O51188" t="str">
            <v/>
          </cell>
        </row>
        <row r="51189">
          <cell r="O51189" t="str">
            <v/>
          </cell>
        </row>
        <row r="51190">
          <cell r="O51190" t="str">
            <v/>
          </cell>
        </row>
        <row r="51191">
          <cell r="O51191" t="str">
            <v/>
          </cell>
        </row>
        <row r="51192">
          <cell r="O51192" t="str">
            <v/>
          </cell>
        </row>
        <row r="51193">
          <cell r="O51193" t="str">
            <v/>
          </cell>
        </row>
        <row r="51194">
          <cell r="O51194" t="str">
            <v/>
          </cell>
        </row>
        <row r="51195">
          <cell r="O51195" t="str">
            <v/>
          </cell>
        </row>
        <row r="51196">
          <cell r="O51196" t="str">
            <v/>
          </cell>
        </row>
        <row r="51197">
          <cell r="O51197" t="str">
            <v/>
          </cell>
        </row>
        <row r="51198">
          <cell r="O51198" t="str">
            <v/>
          </cell>
        </row>
        <row r="51199">
          <cell r="O51199" t="str">
            <v/>
          </cell>
        </row>
        <row r="51200">
          <cell r="O51200" t="str">
            <v/>
          </cell>
        </row>
        <row r="51201">
          <cell r="O51201" t="str">
            <v/>
          </cell>
        </row>
        <row r="51202">
          <cell r="O51202" t="str">
            <v/>
          </cell>
        </row>
        <row r="51203">
          <cell r="O51203" t="str">
            <v/>
          </cell>
        </row>
        <row r="51204">
          <cell r="O51204" t="str">
            <v/>
          </cell>
        </row>
        <row r="51205">
          <cell r="O51205" t="str">
            <v/>
          </cell>
        </row>
        <row r="51206">
          <cell r="O51206" t="str">
            <v/>
          </cell>
        </row>
        <row r="51207">
          <cell r="O51207" t="str">
            <v/>
          </cell>
        </row>
        <row r="51208">
          <cell r="O51208" t="str">
            <v/>
          </cell>
        </row>
        <row r="51209">
          <cell r="O51209" t="str">
            <v/>
          </cell>
        </row>
        <row r="51210">
          <cell r="O51210" t="str">
            <v/>
          </cell>
        </row>
        <row r="51211">
          <cell r="O51211" t="str">
            <v/>
          </cell>
        </row>
        <row r="51212">
          <cell r="O51212" t="str">
            <v/>
          </cell>
        </row>
        <row r="51213">
          <cell r="O51213" t="str">
            <v/>
          </cell>
        </row>
        <row r="51214">
          <cell r="O51214" t="str">
            <v/>
          </cell>
        </row>
        <row r="51215">
          <cell r="O51215" t="str">
            <v/>
          </cell>
        </row>
        <row r="51216">
          <cell r="O51216" t="str">
            <v/>
          </cell>
        </row>
        <row r="51217">
          <cell r="O51217" t="str">
            <v/>
          </cell>
        </row>
        <row r="51218">
          <cell r="O51218" t="str">
            <v/>
          </cell>
        </row>
        <row r="51219">
          <cell r="O51219" t="str">
            <v/>
          </cell>
        </row>
        <row r="51220">
          <cell r="O51220" t="str">
            <v/>
          </cell>
        </row>
        <row r="51221">
          <cell r="O51221" t="str">
            <v/>
          </cell>
        </row>
        <row r="51222">
          <cell r="O51222" t="str">
            <v/>
          </cell>
        </row>
        <row r="51223">
          <cell r="O51223" t="str">
            <v/>
          </cell>
        </row>
        <row r="51224">
          <cell r="O51224" t="str">
            <v/>
          </cell>
        </row>
        <row r="51225">
          <cell r="O51225" t="str">
            <v/>
          </cell>
        </row>
        <row r="51226">
          <cell r="O51226" t="str">
            <v/>
          </cell>
        </row>
        <row r="51227">
          <cell r="O51227" t="str">
            <v/>
          </cell>
        </row>
        <row r="51228">
          <cell r="O51228" t="str">
            <v/>
          </cell>
        </row>
        <row r="51229">
          <cell r="O51229" t="str">
            <v/>
          </cell>
        </row>
        <row r="51230">
          <cell r="O51230" t="str">
            <v/>
          </cell>
        </row>
        <row r="51231">
          <cell r="O51231" t="str">
            <v/>
          </cell>
        </row>
        <row r="51232">
          <cell r="O51232" t="str">
            <v/>
          </cell>
        </row>
        <row r="51233">
          <cell r="O51233" t="str">
            <v/>
          </cell>
        </row>
        <row r="51234">
          <cell r="O51234" t="str">
            <v/>
          </cell>
        </row>
        <row r="51235">
          <cell r="O51235" t="str">
            <v/>
          </cell>
        </row>
        <row r="51236">
          <cell r="O51236" t="str">
            <v/>
          </cell>
        </row>
        <row r="51237">
          <cell r="O51237" t="str">
            <v/>
          </cell>
        </row>
        <row r="51238">
          <cell r="O51238" t="str">
            <v/>
          </cell>
        </row>
        <row r="51239">
          <cell r="O51239" t="str">
            <v/>
          </cell>
        </row>
        <row r="51240">
          <cell r="O51240" t="str">
            <v/>
          </cell>
        </row>
        <row r="51241">
          <cell r="O51241" t="str">
            <v/>
          </cell>
        </row>
        <row r="51242">
          <cell r="O51242" t="str">
            <v/>
          </cell>
        </row>
        <row r="51243">
          <cell r="O51243" t="str">
            <v/>
          </cell>
        </row>
        <row r="51244">
          <cell r="O51244" t="str">
            <v/>
          </cell>
        </row>
        <row r="51245">
          <cell r="O51245" t="str">
            <v/>
          </cell>
        </row>
        <row r="51246">
          <cell r="O51246" t="str">
            <v/>
          </cell>
        </row>
        <row r="51247">
          <cell r="O51247" t="str">
            <v/>
          </cell>
        </row>
        <row r="51248">
          <cell r="O51248" t="str">
            <v/>
          </cell>
        </row>
        <row r="51249">
          <cell r="O51249" t="str">
            <v/>
          </cell>
        </row>
        <row r="51250">
          <cell r="O51250" t="str">
            <v/>
          </cell>
        </row>
        <row r="51251">
          <cell r="O51251" t="str">
            <v/>
          </cell>
        </row>
        <row r="51252">
          <cell r="O51252" t="str">
            <v/>
          </cell>
        </row>
        <row r="51253">
          <cell r="O51253" t="str">
            <v/>
          </cell>
        </row>
        <row r="51254">
          <cell r="O51254" t="str">
            <v/>
          </cell>
        </row>
        <row r="51255">
          <cell r="O51255" t="str">
            <v/>
          </cell>
        </row>
        <row r="51256">
          <cell r="O51256" t="str">
            <v/>
          </cell>
        </row>
        <row r="51257">
          <cell r="O51257" t="str">
            <v/>
          </cell>
        </row>
        <row r="51258">
          <cell r="O51258" t="str">
            <v/>
          </cell>
        </row>
        <row r="51259">
          <cell r="O51259" t="str">
            <v/>
          </cell>
        </row>
        <row r="51260">
          <cell r="O51260" t="str">
            <v/>
          </cell>
        </row>
        <row r="51261">
          <cell r="O51261" t="str">
            <v/>
          </cell>
        </row>
        <row r="51262">
          <cell r="O51262" t="str">
            <v/>
          </cell>
        </row>
        <row r="51263">
          <cell r="O51263" t="str">
            <v/>
          </cell>
        </row>
        <row r="51264">
          <cell r="O51264" t="str">
            <v/>
          </cell>
        </row>
        <row r="51265">
          <cell r="O51265" t="str">
            <v/>
          </cell>
        </row>
        <row r="51266">
          <cell r="O51266" t="str">
            <v/>
          </cell>
        </row>
        <row r="51267">
          <cell r="O51267" t="str">
            <v/>
          </cell>
        </row>
        <row r="51268">
          <cell r="O51268" t="str">
            <v/>
          </cell>
        </row>
        <row r="51269">
          <cell r="O51269" t="str">
            <v/>
          </cell>
        </row>
        <row r="51270">
          <cell r="O51270" t="str">
            <v/>
          </cell>
        </row>
        <row r="51271">
          <cell r="O51271" t="str">
            <v/>
          </cell>
        </row>
        <row r="51272">
          <cell r="O51272" t="str">
            <v/>
          </cell>
        </row>
        <row r="51273">
          <cell r="O51273" t="str">
            <v/>
          </cell>
        </row>
        <row r="51274">
          <cell r="O51274" t="str">
            <v/>
          </cell>
        </row>
        <row r="51275">
          <cell r="O51275" t="str">
            <v/>
          </cell>
        </row>
        <row r="51276">
          <cell r="O51276" t="str">
            <v/>
          </cell>
        </row>
        <row r="51277">
          <cell r="O51277" t="str">
            <v/>
          </cell>
        </row>
        <row r="51278">
          <cell r="O51278" t="str">
            <v/>
          </cell>
        </row>
        <row r="51279">
          <cell r="O51279" t="str">
            <v/>
          </cell>
        </row>
        <row r="51280">
          <cell r="O51280" t="str">
            <v/>
          </cell>
        </row>
        <row r="51281">
          <cell r="O51281" t="str">
            <v/>
          </cell>
        </row>
        <row r="51282">
          <cell r="O51282" t="str">
            <v/>
          </cell>
        </row>
        <row r="51283">
          <cell r="O51283" t="str">
            <v/>
          </cell>
        </row>
        <row r="51284">
          <cell r="O51284" t="str">
            <v/>
          </cell>
        </row>
        <row r="51285">
          <cell r="O51285" t="str">
            <v/>
          </cell>
        </row>
        <row r="51286">
          <cell r="O51286" t="str">
            <v/>
          </cell>
        </row>
        <row r="51287">
          <cell r="O51287" t="str">
            <v/>
          </cell>
        </row>
        <row r="51288">
          <cell r="O51288" t="str">
            <v/>
          </cell>
        </row>
        <row r="51289">
          <cell r="O51289" t="str">
            <v/>
          </cell>
        </row>
        <row r="51290">
          <cell r="O51290" t="str">
            <v/>
          </cell>
        </row>
        <row r="51291">
          <cell r="O51291" t="str">
            <v/>
          </cell>
        </row>
        <row r="51292">
          <cell r="O51292" t="str">
            <v/>
          </cell>
        </row>
        <row r="51293">
          <cell r="O51293" t="str">
            <v/>
          </cell>
        </row>
        <row r="51294">
          <cell r="O51294" t="str">
            <v/>
          </cell>
        </row>
        <row r="51295">
          <cell r="O51295" t="str">
            <v/>
          </cell>
        </row>
        <row r="51296">
          <cell r="O51296" t="str">
            <v/>
          </cell>
        </row>
        <row r="51297">
          <cell r="O51297" t="str">
            <v/>
          </cell>
        </row>
        <row r="51298">
          <cell r="O51298" t="str">
            <v/>
          </cell>
        </row>
        <row r="51299">
          <cell r="O51299" t="str">
            <v/>
          </cell>
        </row>
        <row r="51300">
          <cell r="O51300" t="str">
            <v/>
          </cell>
        </row>
        <row r="51301">
          <cell r="O51301" t="str">
            <v/>
          </cell>
        </row>
        <row r="51302">
          <cell r="O51302" t="str">
            <v/>
          </cell>
        </row>
        <row r="51303">
          <cell r="O51303" t="str">
            <v/>
          </cell>
        </row>
        <row r="51304">
          <cell r="O51304" t="str">
            <v/>
          </cell>
        </row>
        <row r="51305">
          <cell r="O51305" t="str">
            <v/>
          </cell>
        </row>
        <row r="51306">
          <cell r="O51306" t="str">
            <v/>
          </cell>
        </row>
        <row r="51307">
          <cell r="O51307" t="str">
            <v/>
          </cell>
        </row>
        <row r="51308">
          <cell r="O51308" t="str">
            <v/>
          </cell>
        </row>
        <row r="51309">
          <cell r="O51309" t="str">
            <v/>
          </cell>
        </row>
        <row r="51310">
          <cell r="O51310" t="str">
            <v/>
          </cell>
        </row>
        <row r="51311">
          <cell r="O51311" t="str">
            <v/>
          </cell>
        </row>
        <row r="51312">
          <cell r="O51312" t="str">
            <v/>
          </cell>
        </row>
        <row r="51313">
          <cell r="O51313" t="str">
            <v/>
          </cell>
        </row>
        <row r="51314">
          <cell r="O51314" t="str">
            <v/>
          </cell>
        </row>
        <row r="51315">
          <cell r="O51315" t="str">
            <v/>
          </cell>
        </row>
        <row r="51316">
          <cell r="O51316" t="str">
            <v/>
          </cell>
        </row>
        <row r="51317">
          <cell r="O51317" t="str">
            <v/>
          </cell>
        </row>
        <row r="51318">
          <cell r="O51318" t="str">
            <v/>
          </cell>
        </row>
        <row r="51319">
          <cell r="O51319" t="str">
            <v/>
          </cell>
        </row>
        <row r="51320">
          <cell r="O51320" t="str">
            <v/>
          </cell>
        </row>
        <row r="51321">
          <cell r="O51321" t="str">
            <v/>
          </cell>
        </row>
        <row r="51322">
          <cell r="O51322" t="str">
            <v/>
          </cell>
        </row>
        <row r="51323">
          <cell r="O51323" t="str">
            <v/>
          </cell>
        </row>
        <row r="51324">
          <cell r="O51324" t="str">
            <v/>
          </cell>
        </row>
        <row r="51325">
          <cell r="O51325" t="str">
            <v/>
          </cell>
        </row>
        <row r="51326">
          <cell r="O51326" t="str">
            <v/>
          </cell>
        </row>
        <row r="51327">
          <cell r="O51327" t="str">
            <v/>
          </cell>
        </row>
        <row r="51328">
          <cell r="O51328" t="str">
            <v/>
          </cell>
        </row>
        <row r="51329">
          <cell r="O51329" t="str">
            <v/>
          </cell>
        </row>
        <row r="51330">
          <cell r="O51330" t="str">
            <v/>
          </cell>
        </row>
        <row r="51331">
          <cell r="O51331" t="str">
            <v/>
          </cell>
        </row>
        <row r="51332">
          <cell r="O51332" t="str">
            <v/>
          </cell>
        </row>
        <row r="51333">
          <cell r="O51333" t="str">
            <v/>
          </cell>
        </row>
        <row r="51334">
          <cell r="O51334" t="str">
            <v/>
          </cell>
        </row>
        <row r="51335">
          <cell r="O51335" t="str">
            <v/>
          </cell>
        </row>
        <row r="51336">
          <cell r="O51336" t="str">
            <v/>
          </cell>
        </row>
        <row r="51337">
          <cell r="O51337" t="str">
            <v/>
          </cell>
        </row>
        <row r="51338">
          <cell r="O51338" t="str">
            <v/>
          </cell>
        </row>
        <row r="51339">
          <cell r="O51339" t="str">
            <v/>
          </cell>
        </row>
        <row r="51340">
          <cell r="O51340" t="str">
            <v/>
          </cell>
        </row>
        <row r="51341">
          <cell r="O51341" t="str">
            <v/>
          </cell>
        </row>
        <row r="51342">
          <cell r="O51342" t="str">
            <v/>
          </cell>
        </row>
        <row r="51343">
          <cell r="O51343" t="str">
            <v/>
          </cell>
        </row>
        <row r="51344">
          <cell r="O51344" t="str">
            <v/>
          </cell>
        </row>
        <row r="51345">
          <cell r="O51345" t="str">
            <v/>
          </cell>
        </row>
        <row r="51346">
          <cell r="O51346" t="str">
            <v/>
          </cell>
        </row>
        <row r="51347">
          <cell r="O51347" t="str">
            <v/>
          </cell>
        </row>
        <row r="51348">
          <cell r="O51348" t="str">
            <v/>
          </cell>
        </row>
        <row r="51349">
          <cell r="O51349" t="str">
            <v/>
          </cell>
        </row>
        <row r="51350">
          <cell r="O51350" t="str">
            <v/>
          </cell>
        </row>
        <row r="51351">
          <cell r="O51351" t="str">
            <v/>
          </cell>
        </row>
        <row r="51352">
          <cell r="O51352" t="str">
            <v/>
          </cell>
        </row>
        <row r="51353">
          <cell r="O51353" t="str">
            <v/>
          </cell>
        </row>
        <row r="51354">
          <cell r="O51354" t="str">
            <v/>
          </cell>
        </row>
        <row r="51355">
          <cell r="O51355" t="str">
            <v/>
          </cell>
        </row>
        <row r="51356">
          <cell r="O51356" t="str">
            <v/>
          </cell>
        </row>
        <row r="51357">
          <cell r="O51357" t="str">
            <v/>
          </cell>
        </row>
        <row r="51358">
          <cell r="O51358" t="str">
            <v/>
          </cell>
        </row>
        <row r="51359">
          <cell r="O51359" t="str">
            <v/>
          </cell>
        </row>
        <row r="51360">
          <cell r="O51360" t="str">
            <v/>
          </cell>
        </row>
        <row r="51361">
          <cell r="O51361" t="str">
            <v/>
          </cell>
        </row>
        <row r="51362">
          <cell r="O51362" t="str">
            <v/>
          </cell>
        </row>
        <row r="51363">
          <cell r="O51363" t="str">
            <v/>
          </cell>
        </row>
        <row r="51364">
          <cell r="O51364" t="str">
            <v/>
          </cell>
        </row>
        <row r="51365">
          <cell r="O51365" t="str">
            <v/>
          </cell>
        </row>
        <row r="51366">
          <cell r="O51366" t="str">
            <v/>
          </cell>
        </row>
        <row r="51367">
          <cell r="O51367" t="str">
            <v/>
          </cell>
        </row>
        <row r="51368">
          <cell r="O51368" t="str">
            <v/>
          </cell>
        </row>
        <row r="51369">
          <cell r="O51369" t="str">
            <v/>
          </cell>
        </row>
        <row r="51370">
          <cell r="O51370" t="str">
            <v/>
          </cell>
        </row>
        <row r="51371">
          <cell r="O51371" t="str">
            <v/>
          </cell>
        </row>
        <row r="51372">
          <cell r="O51372" t="str">
            <v/>
          </cell>
        </row>
        <row r="51373">
          <cell r="O51373" t="str">
            <v/>
          </cell>
        </row>
        <row r="51374">
          <cell r="O51374" t="str">
            <v/>
          </cell>
        </row>
        <row r="51375">
          <cell r="O51375" t="str">
            <v/>
          </cell>
        </row>
        <row r="51376">
          <cell r="O51376" t="str">
            <v/>
          </cell>
        </row>
        <row r="51377">
          <cell r="O51377" t="str">
            <v/>
          </cell>
        </row>
        <row r="51378">
          <cell r="O51378" t="str">
            <v/>
          </cell>
        </row>
        <row r="51379">
          <cell r="O51379" t="str">
            <v/>
          </cell>
        </row>
        <row r="51380">
          <cell r="O51380" t="str">
            <v/>
          </cell>
        </row>
        <row r="51381">
          <cell r="O51381" t="str">
            <v/>
          </cell>
        </row>
        <row r="51382">
          <cell r="O51382" t="str">
            <v/>
          </cell>
        </row>
        <row r="51383">
          <cell r="O51383" t="str">
            <v/>
          </cell>
        </row>
        <row r="51384">
          <cell r="O51384" t="str">
            <v/>
          </cell>
        </row>
        <row r="51385">
          <cell r="O51385" t="str">
            <v/>
          </cell>
        </row>
        <row r="51386">
          <cell r="O51386" t="str">
            <v/>
          </cell>
        </row>
        <row r="51387">
          <cell r="O51387" t="str">
            <v/>
          </cell>
        </row>
        <row r="51388">
          <cell r="O51388" t="str">
            <v/>
          </cell>
        </row>
        <row r="51389">
          <cell r="O51389" t="str">
            <v/>
          </cell>
        </row>
        <row r="51390">
          <cell r="O51390" t="str">
            <v/>
          </cell>
        </row>
        <row r="51391">
          <cell r="O51391" t="str">
            <v/>
          </cell>
        </row>
        <row r="51392">
          <cell r="O51392" t="str">
            <v/>
          </cell>
        </row>
        <row r="51393">
          <cell r="O51393" t="str">
            <v/>
          </cell>
        </row>
        <row r="51394">
          <cell r="O51394" t="str">
            <v/>
          </cell>
        </row>
        <row r="51395">
          <cell r="O51395" t="str">
            <v/>
          </cell>
        </row>
        <row r="51396">
          <cell r="O51396" t="str">
            <v/>
          </cell>
        </row>
        <row r="51397">
          <cell r="O51397" t="str">
            <v/>
          </cell>
        </row>
        <row r="51398">
          <cell r="O51398" t="str">
            <v/>
          </cell>
        </row>
        <row r="51399">
          <cell r="O51399" t="str">
            <v/>
          </cell>
        </row>
        <row r="51400">
          <cell r="O51400" t="str">
            <v/>
          </cell>
        </row>
        <row r="51401">
          <cell r="O51401" t="str">
            <v/>
          </cell>
        </row>
        <row r="51402">
          <cell r="O51402" t="str">
            <v/>
          </cell>
        </row>
        <row r="51403">
          <cell r="O51403" t="str">
            <v/>
          </cell>
        </row>
        <row r="51404">
          <cell r="O51404" t="str">
            <v/>
          </cell>
        </row>
        <row r="51405">
          <cell r="O51405" t="str">
            <v/>
          </cell>
        </row>
        <row r="51406">
          <cell r="O51406" t="str">
            <v/>
          </cell>
        </row>
        <row r="51407">
          <cell r="O51407" t="str">
            <v/>
          </cell>
        </row>
        <row r="51408">
          <cell r="O51408" t="str">
            <v/>
          </cell>
        </row>
        <row r="51409">
          <cell r="O51409" t="str">
            <v/>
          </cell>
        </row>
        <row r="51410">
          <cell r="O51410" t="str">
            <v/>
          </cell>
        </row>
        <row r="51411">
          <cell r="O51411" t="str">
            <v/>
          </cell>
        </row>
        <row r="51412">
          <cell r="O51412" t="str">
            <v/>
          </cell>
        </row>
        <row r="51413">
          <cell r="O51413" t="str">
            <v/>
          </cell>
        </row>
        <row r="51414">
          <cell r="O51414" t="str">
            <v/>
          </cell>
        </row>
        <row r="51415">
          <cell r="O51415" t="str">
            <v/>
          </cell>
        </row>
        <row r="51416">
          <cell r="O51416" t="str">
            <v/>
          </cell>
        </row>
        <row r="51417">
          <cell r="O51417" t="str">
            <v/>
          </cell>
        </row>
        <row r="51418">
          <cell r="O51418" t="str">
            <v/>
          </cell>
        </row>
        <row r="51419">
          <cell r="O51419" t="str">
            <v/>
          </cell>
        </row>
        <row r="51420">
          <cell r="O51420" t="str">
            <v/>
          </cell>
        </row>
        <row r="51421">
          <cell r="O51421" t="str">
            <v/>
          </cell>
        </row>
        <row r="51422">
          <cell r="O51422" t="str">
            <v/>
          </cell>
        </row>
        <row r="51423">
          <cell r="O51423" t="str">
            <v/>
          </cell>
        </row>
        <row r="51424">
          <cell r="O51424" t="str">
            <v/>
          </cell>
        </row>
        <row r="51425">
          <cell r="O51425" t="str">
            <v/>
          </cell>
        </row>
        <row r="51426">
          <cell r="O51426" t="str">
            <v/>
          </cell>
        </row>
        <row r="51427">
          <cell r="O51427" t="str">
            <v/>
          </cell>
        </row>
        <row r="51428">
          <cell r="O51428" t="str">
            <v/>
          </cell>
        </row>
        <row r="51429">
          <cell r="O51429" t="str">
            <v/>
          </cell>
        </row>
        <row r="51430">
          <cell r="O51430" t="str">
            <v/>
          </cell>
        </row>
        <row r="51431">
          <cell r="O51431" t="str">
            <v/>
          </cell>
        </row>
        <row r="51432">
          <cell r="O51432" t="str">
            <v/>
          </cell>
        </row>
        <row r="51433">
          <cell r="O51433" t="str">
            <v/>
          </cell>
        </row>
        <row r="51434">
          <cell r="O51434" t="str">
            <v/>
          </cell>
        </row>
        <row r="51435">
          <cell r="O51435" t="str">
            <v/>
          </cell>
        </row>
        <row r="51436">
          <cell r="O51436" t="str">
            <v/>
          </cell>
        </row>
        <row r="51437">
          <cell r="O51437" t="str">
            <v/>
          </cell>
        </row>
        <row r="51438">
          <cell r="O51438" t="str">
            <v/>
          </cell>
        </row>
        <row r="51439">
          <cell r="O51439" t="str">
            <v/>
          </cell>
        </row>
        <row r="51440">
          <cell r="O51440" t="str">
            <v/>
          </cell>
        </row>
        <row r="51441">
          <cell r="O51441" t="str">
            <v/>
          </cell>
        </row>
        <row r="51442">
          <cell r="O51442" t="str">
            <v/>
          </cell>
        </row>
        <row r="51443">
          <cell r="O51443" t="str">
            <v/>
          </cell>
        </row>
        <row r="51444">
          <cell r="O51444" t="str">
            <v/>
          </cell>
        </row>
        <row r="51445">
          <cell r="O51445" t="str">
            <v/>
          </cell>
        </row>
        <row r="51446">
          <cell r="O51446" t="str">
            <v/>
          </cell>
        </row>
        <row r="51447">
          <cell r="O51447" t="str">
            <v/>
          </cell>
        </row>
        <row r="51448">
          <cell r="O51448" t="str">
            <v/>
          </cell>
        </row>
        <row r="51449">
          <cell r="O51449" t="str">
            <v/>
          </cell>
        </row>
        <row r="51450">
          <cell r="O51450" t="str">
            <v/>
          </cell>
        </row>
        <row r="51451">
          <cell r="O51451" t="str">
            <v/>
          </cell>
        </row>
        <row r="51452">
          <cell r="O51452" t="str">
            <v/>
          </cell>
        </row>
        <row r="51453">
          <cell r="O51453" t="str">
            <v/>
          </cell>
        </row>
        <row r="51454">
          <cell r="O51454" t="str">
            <v/>
          </cell>
        </row>
        <row r="51455">
          <cell r="O51455" t="str">
            <v/>
          </cell>
        </row>
        <row r="51456">
          <cell r="O51456" t="str">
            <v/>
          </cell>
        </row>
        <row r="51457">
          <cell r="O51457" t="str">
            <v/>
          </cell>
        </row>
        <row r="51458">
          <cell r="O51458" t="str">
            <v/>
          </cell>
        </row>
        <row r="51459">
          <cell r="O51459" t="str">
            <v/>
          </cell>
        </row>
        <row r="51460">
          <cell r="O51460" t="str">
            <v/>
          </cell>
        </row>
        <row r="51461">
          <cell r="O51461" t="str">
            <v/>
          </cell>
        </row>
        <row r="51462">
          <cell r="O51462" t="str">
            <v/>
          </cell>
        </row>
        <row r="51463">
          <cell r="O51463" t="str">
            <v/>
          </cell>
        </row>
        <row r="51464">
          <cell r="O51464" t="str">
            <v/>
          </cell>
        </row>
        <row r="51465">
          <cell r="O51465" t="str">
            <v/>
          </cell>
        </row>
        <row r="51466">
          <cell r="O51466" t="str">
            <v/>
          </cell>
        </row>
        <row r="51467">
          <cell r="O51467" t="str">
            <v/>
          </cell>
        </row>
        <row r="51468">
          <cell r="O51468" t="str">
            <v/>
          </cell>
        </row>
        <row r="51469">
          <cell r="O51469" t="str">
            <v/>
          </cell>
        </row>
        <row r="51470">
          <cell r="O51470" t="str">
            <v/>
          </cell>
        </row>
        <row r="51471">
          <cell r="O51471" t="str">
            <v/>
          </cell>
        </row>
        <row r="51472">
          <cell r="O51472" t="str">
            <v/>
          </cell>
        </row>
        <row r="51473">
          <cell r="O51473" t="str">
            <v/>
          </cell>
        </row>
        <row r="51474">
          <cell r="O51474" t="str">
            <v/>
          </cell>
        </row>
        <row r="51475">
          <cell r="O51475" t="str">
            <v/>
          </cell>
        </row>
        <row r="51476">
          <cell r="O51476" t="str">
            <v/>
          </cell>
        </row>
        <row r="51477">
          <cell r="O51477" t="str">
            <v/>
          </cell>
        </row>
        <row r="51478">
          <cell r="O51478" t="str">
            <v/>
          </cell>
        </row>
        <row r="51479">
          <cell r="O51479" t="str">
            <v/>
          </cell>
        </row>
        <row r="51480">
          <cell r="O51480" t="str">
            <v/>
          </cell>
        </row>
        <row r="51481">
          <cell r="O51481" t="str">
            <v/>
          </cell>
        </row>
        <row r="51482">
          <cell r="O51482" t="str">
            <v/>
          </cell>
        </row>
        <row r="51483">
          <cell r="O51483" t="str">
            <v/>
          </cell>
        </row>
        <row r="51484">
          <cell r="O51484" t="str">
            <v/>
          </cell>
        </row>
        <row r="51485">
          <cell r="O51485" t="str">
            <v/>
          </cell>
        </row>
        <row r="51486">
          <cell r="O51486" t="str">
            <v/>
          </cell>
        </row>
        <row r="51487">
          <cell r="O51487" t="str">
            <v/>
          </cell>
        </row>
        <row r="51488">
          <cell r="O51488" t="str">
            <v/>
          </cell>
        </row>
        <row r="51489">
          <cell r="O51489" t="str">
            <v/>
          </cell>
        </row>
        <row r="51490">
          <cell r="O51490" t="str">
            <v/>
          </cell>
        </row>
        <row r="51491">
          <cell r="O51491" t="str">
            <v/>
          </cell>
        </row>
        <row r="51492">
          <cell r="O51492" t="str">
            <v/>
          </cell>
        </row>
        <row r="51493">
          <cell r="O51493" t="str">
            <v/>
          </cell>
        </row>
        <row r="51494">
          <cell r="O51494" t="str">
            <v/>
          </cell>
        </row>
        <row r="51495">
          <cell r="O51495" t="str">
            <v/>
          </cell>
        </row>
        <row r="51496">
          <cell r="O51496" t="str">
            <v/>
          </cell>
        </row>
        <row r="51497">
          <cell r="O51497" t="str">
            <v/>
          </cell>
        </row>
        <row r="51498">
          <cell r="O51498" t="str">
            <v/>
          </cell>
        </row>
        <row r="51499">
          <cell r="O51499" t="str">
            <v/>
          </cell>
        </row>
        <row r="51500">
          <cell r="O51500" t="str">
            <v/>
          </cell>
        </row>
        <row r="51501">
          <cell r="O51501" t="str">
            <v/>
          </cell>
        </row>
        <row r="51502">
          <cell r="O51502" t="str">
            <v/>
          </cell>
        </row>
        <row r="51503">
          <cell r="O51503" t="str">
            <v/>
          </cell>
        </row>
        <row r="51504">
          <cell r="O51504" t="str">
            <v/>
          </cell>
        </row>
        <row r="51505">
          <cell r="O51505" t="str">
            <v/>
          </cell>
        </row>
        <row r="51506">
          <cell r="O51506" t="str">
            <v/>
          </cell>
        </row>
        <row r="51507">
          <cell r="O51507" t="str">
            <v/>
          </cell>
        </row>
        <row r="51508">
          <cell r="O51508" t="str">
            <v/>
          </cell>
        </row>
        <row r="51509">
          <cell r="O51509" t="str">
            <v/>
          </cell>
        </row>
        <row r="51510">
          <cell r="O51510" t="str">
            <v/>
          </cell>
        </row>
        <row r="51511">
          <cell r="O51511" t="str">
            <v/>
          </cell>
        </row>
        <row r="51512">
          <cell r="O51512" t="str">
            <v/>
          </cell>
        </row>
        <row r="51513">
          <cell r="O51513" t="str">
            <v/>
          </cell>
        </row>
        <row r="51514">
          <cell r="O51514" t="str">
            <v/>
          </cell>
        </row>
        <row r="51515">
          <cell r="O51515" t="str">
            <v/>
          </cell>
        </row>
        <row r="51516">
          <cell r="O51516" t="str">
            <v/>
          </cell>
        </row>
        <row r="51517">
          <cell r="O51517" t="str">
            <v/>
          </cell>
        </row>
        <row r="51518">
          <cell r="O51518" t="str">
            <v/>
          </cell>
        </row>
        <row r="51519">
          <cell r="O51519" t="str">
            <v/>
          </cell>
        </row>
        <row r="51520">
          <cell r="O51520" t="str">
            <v/>
          </cell>
        </row>
        <row r="51521">
          <cell r="O51521" t="str">
            <v/>
          </cell>
        </row>
        <row r="51522">
          <cell r="O51522" t="str">
            <v/>
          </cell>
        </row>
        <row r="51523">
          <cell r="O51523" t="str">
            <v/>
          </cell>
        </row>
        <row r="51524">
          <cell r="O51524" t="str">
            <v/>
          </cell>
        </row>
        <row r="51525">
          <cell r="O51525" t="str">
            <v/>
          </cell>
        </row>
        <row r="51526">
          <cell r="O51526" t="str">
            <v/>
          </cell>
        </row>
        <row r="51527">
          <cell r="O51527" t="str">
            <v/>
          </cell>
        </row>
        <row r="51528">
          <cell r="O51528" t="str">
            <v/>
          </cell>
        </row>
        <row r="51529">
          <cell r="O51529" t="str">
            <v/>
          </cell>
        </row>
        <row r="51530">
          <cell r="O51530" t="str">
            <v/>
          </cell>
        </row>
        <row r="51531">
          <cell r="O51531" t="str">
            <v/>
          </cell>
        </row>
        <row r="51532">
          <cell r="O51532" t="str">
            <v/>
          </cell>
        </row>
        <row r="51533">
          <cell r="O51533" t="str">
            <v/>
          </cell>
        </row>
        <row r="51534">
          <cell r="O51534" t="str">
            <v/>
          </cell>
        </row>
        <row r="51535">
          <cell r="O51535" t="str">
            <v/>
          </cell>
        </row>
        <row r="51536">
          <cell r="O51536" t="str">
            <v/>
          </cell>
        </row>
        <row r="51537">
          <cell r="O51537" t="str">
            <v/>
          </cell>
        </row>
        <row r="51538">
          <cell r="O51538" t="str">
            <v/>
          </cell>
        </row>
        <row r="51539">
          <cell r="O51539" t="str">
            <v/>
          </cell>
        </row>
        <row r="51540">
          <cell r="O51540" t="str">
            <v/>
          </cell>
        </row>
        <row r="51541">
          <cell r="O51541" t="str">
            <v/>
          </cell>
        </row>
        <row r="51542">
          <cell r="O51542" t="str">
            <v/>
          </cell>
        </row>
        <row r="51543">
          <cell r="O51543" t="str">
            <v/>
          </cell>
        </row>
        <row r="51544">
          <cell r="O51544" t="str">
            <v/>
          </cell>
        </row>
        <row r="51545">
          <cell r="O51545" t="str">
            <v/>
          </cell>
        </row>
        <row r="51546">
          <cell r="O51546" t="str">
            <v/>
          </cell>
        </row>
        <row r="51547">
          <cell r="O51547" t="str">
            <v/>
          </cell>
        </row>
        <row r="51548">
          <cell r="O51548" t="str">
            <v/>
          </cell>
        </row>
        <row r="51549">
          <cell r="O51549" t="str">
            <v/>
          </cell>
        </row>
        <row r="51550">
          <cell r="O51550" t="str">
            <v/>
          </cell>
        </row>
        <row r="51551">
          <cell r="O51551" t="str">
            <v/>
          </cell>
        </row>
        <row r="51552">
          <cell r="O51552" t="str">
            <v/>
          </cell>
        </row>
        <row r="51553">
          <cell r="O51553" t="str">
            <v/>
          </cell>
        </row>
        <row r="51554">
          <cell r="O51554" t="str">
            <v/>
          </cell>
        </row>
        <row r="51555">
          <cell r="O51555" t="str">
            <v/>
          </cell>
        </row>
        <row r="51556">
          <cell r="O51556" t="str">
            <v/>
          </cell>
        </row>
        <row r="51557">
          <cell r="O51557" t="str">
            <v/>
          </cell>
        </row>
        <row r="51558">
          <cell r="O51558" t="str">
            <v/>
          </cell>
        </row>
        <row r="51559">
          <cell r="O51559" t="str">
            <v/>
          </cell>
        </row>
        <row r="51560">
          <cell r="O51560" t="str">
            <v/>
          </cell>
        </row>
        <row r="51561">
          <cell r="O51561" t="str">
            <v/>
          </cell>
        </row>
        <row r="51562">
          <cell r="O51562" t="str">
            <v/>
          </cell>
        </row>
        <row r="51563">
          <cell r="O51563" t="str">
            <v/>
          </cell>
        </row>
        <row r="51564">
          <cell r="O51564" t="str">
            <v/>
          </cell>
        </row>
        <row r="51565">
          <cell r="O51565" t="str">
            <v/>
          </cell>
        </row>
        <row r="51566">
          <cell r="O51566" t="str">
            <v/>
          </cell>
        </row>
        <row r="51567">
          <cell r="O51567" t="str">
            <v/>
          </cell>
        </row>
        <row r="51568">
          <cell r="O51568" t="str">
            <v/>
          </cell>
        </row>
        <row r="51569">
          <cell r="O51569" t="str">
            <v/>
          </cell>
        </row>
        <row r="51570">
          <cell r="O51570" t="str">
            <v/>
          </cell>
        </row>
        <row r="51571">
          <cell r="O51571" t="str">
            <v/>
          </cell>
        </row>
        <row r="51572">
          <cell r="O51572" t="str">
            <v/>
          </cell>
        </row>
        <row r="51573">
          <cell r="O51573" t="str">
            <v/>
          </cell>
        </row>
        <row r="51574">
          <cell r="O51574" t="str">
            <v/>
          </cell>
        </row>
        <row r="51575">
          <cell r="O51575" t="str">
            <v/>
          </cell>
        </row>
        <row r="51576">
          <cell r="O51576" t="str">
            <v/>
          </cell>
        </row>
        <row r="51577">
          <cell r="O51577" t="str">
            <v/>
          </cell>
        </row>
        <row r="51578">
          <cell r="O51578" t="str">
            <v/>
          </cell>
        </row>
        <row r="51579">
          <cell r="O51579" t="str">
            <v/>
          </cell>
        </row>
        <row r="51580">
          <cell r="O51580" t="str">
            <v/>
          </cell>
        </row>
        <row r="51581">
          <cell r="O51581" t="str">
            <v/>
          </cell>
        </row>
        <row r="51582">
          <cell r="O51582" t="str">
            <v/>
          </cell>
        </row>
        <row r="51583">
          <cell r="O51583" t="str">
            <v/>
          </cell>
        </row>
        <row r="51584">
          <cell r="O51584" t="str">
            <v/>
          </cell>
        </row>
        <row r="51585">
          <cell r="O51585" t="str">
            <v/>
          </cell>
        </row>
        <row r="51586">
          <cell r="O51586" t="str">
            <v/>
          </cell>
        </row>
        <row r="51587">
          <cell r="O51587" t="str">
            <v/>
          </cell>
        </row>
        <row r="51588">
          <cell r="O51588" t="str">
            <v/>
          </cell>
        </row>
        <row r="51589">
          <cell r="O51589" t="str">
            <v/>
          </cell>
        </row>
        <row r="51590">
          <cell r="O51590" t="str">
            <v/>
          </cell>
        </row>
        <row r="51591">
          <cell r="O51591" t="str">
            <v/>
          </cell>
        </row>
        <row r="51592">
          <cell r="O51592" t="str">
            <v/>
          </cell>
        </row>
        <row r="51593">
          <cell r="O51593" t="str">
            <v/>
          </cell>
        </row>
        <row r="51594">
          <cell r="O51594" t="str">
            <v/>
          </cell>
        </row>
        <row r="51595">
          <cell r="O51595" t="str">
            <v/>
          </cell>
        </row>
        <row r="51596">
          <cell r="O51596" t="str">
            <v/>
          </cell>
        </row>
        <row r="51597">
          <cell r="O51597" t="str">
            <v/>
          </cell>
        </row>
        <row r="51598">
          <cell r="O51598" t="str">
            <v/>
          </cell>
        </row>
        <row r="51599">
          <cell r="O51599" t="str">
            <v/>
          </cell>
        </row>
        <row r="51600">
          <cell r="O51600" t="str">
            <v/>
          </cell>
        </row>
        <row r="51601">
          <cell r="O51601" t="str">
            <v/>
          </cell>
        </row>
        <row r="51602">
          <cell r="O51602" t="str">
            <v/>
          </cell>
        </row>
        <row r="51603">
          <cell r="O51603" t="str">
            <v/>
          </cell>
        </row>
        <row r="51604">
          <cell r="O51604" t="str">
            <v/>
          </cell>
        </row>
        <row r="51605">
          <cell r="O51605" t="str">
            <v/>
          </cell>
        </row>
        <row r="51606">
          <cell r="O51606" t="str">
            <v/>
          </cell>
        </row>
        <row r="51607">
          <cell r="O51607" t="str">
            <v/>
          </cell>
        </row>
        <row r="51608">
          <cell r="O51608" t="str">
            <v/>
          </cell>
        </row>
        <row r="51609">
          <cell r="O51609" t="str">
            <v/>
          </cell>
        </row>
        <row r="51610">
          <cell r="O51610" t="str">
            <v/>
          </cell>
        </row>
        <row r="51611">
          <cell r="O51611" t="str">
            <v/>
          </cell>
        </row>
        <row r="51612">
          <cell r="O51612" t="str">
            <v/>
          </cell>
        </row>
        <row r="51613">
          <cell r="O51613" t="str">
            <v/>
          </cell>
        </row>
        <row r="51614">
          <cell r="O51614" t="str">
            <v/>
          </cell>
        </row>
        <row r="51615">
          <cell r="O51615" t="str">
            <v/>
          </cell>
        </row>
        <row r="51616">
          <cell r="O51616" t="str">
            <v/>
          </cell>
        </row>
        <row r="51617">
          <cell r="O51617" t="str">
            <v/>
          </cell>
        </row>
        <row r="51618">
          <cell r="O51618" t="str">
            <v/>
          </cell>
        </row>
        <row r="51619">
          <cell r="O51619" t="str">
            <v/>
          </cell>
        </row>
        <row r="51620">
          <cell r="O51620" t="str">
            <v/>
          </cell>
        </row>
        <row r="51621">
          <cell r="O51621" t="str">
            <v/>
          </cell>
        </row>
        <row r="51622">
          <cell r="O51622" t="str">
            <v/>
          </cell>
        </row>
        <row r="51623">
          <cell r="O51623" t="str">
            <v/>
          </cell>
        </row>
        <row r="51624">
          <cell r="O51624" t="str">
            <v/>
          </cell>
        </row>
        <row r="51625">
          <cell r="O51625" t="str">
            <v/>
          </cell>
        </row>
        <row r="51626">
          <cell r="O51626" t="str">
            <v/>
          </cell>
        </row>
        <row r="51627">
          <cell r="O51627" t="str">
            <v/>
          </cell>
        </row>
        <row r="51628">
          <cell r="O51628" t="str">
            <v/>
          </cell>
        </row>
        <row r="51629">
          <cell r="O51629" t="str">
            <v/>
          </cell>
        </row>
        <row r="51630">
          <cell r="O51630" t="str">
            <v/>
          </cell>
        </row>
        <row r="51631">
          <cell r="O51631" t="str">
            <v/>
          </cell>
        </row>
        <row r="51632">
          <cell r="O51632" t="str">
            <v/>
          </cell>
        </row>
        <row r="51633">
          <cell r="O51633" t="str">
            <v/>
          </cell>
        </row>
        <row r="51634">
          <cell r="O51634" t="str">
            <v/>
          </cell>
        </row>
        <row r="51635">
          <cell r="O51635" t="str">
            <v/>
          </cell>
        </row>
        <row r="51636">
          <cell r="O51636" t="str">
            <v/>
          </cell>
        </row>
        <row r="51637">
          <cell r="O51637" t="str">
            <v/>
          </cell>
        </row>
        <row r="51638">
          <cell r="O51638" t="str">
            <v/>
          </cell>
        </row>
        <row r="51639">
          <cell r="O51639" t="str">
            <v/>
          </cell>
        </row>
        <row r="51640">
          <cell r="O51640" t="str">
            <v/>
          </cell>
        </row>
        <row r="51641">
          <cell r="O51641" t="str">
            <v/>
          </cell>
        </row>
        <row r="51642">
          <cell r="O51642" t="str">
            <v/>
          </cell>
        </row>
        <row r="51643">
          <cell r="O51643" t="str">
            <v/>
          </cell>
        </row>
        <row r="51644">
          <cell r="O51644" t="str">
            <v/>
          </cell>
        </row>
        <row r="51645">
          <cell r="O51645" t="str">
            <v/>
          </cell>
        </row>
        <row r="51646">
          <cell r="O51646" t="str">
            <v/>
          </cell>
        </row>
        <row r="51647">
          <cell r="O51647" t="str">
            <v/>
          </cell>
        </row>
        <row r="51648">
          <cell r="O51648" t="str">
            <v/>
          </cell>
        </row>
        <row r="51649">
          <cell r="O51649" t="str">
            <v/>
          </cell>
        </row>
        <row r="51650">
          <cell r="O51650" t="str">
            <v/>
          </cell>
        </row>
        <row r="51651">
          <cell r="O51651" t="str">
            <v/>
          </cell>
        </row>
        <row r="51652">
          <cell r="O51652" t="str">
            <v/>
          </cell>
        </row>
        <row r="51653">
          <cell r="O51653" t="str">
            <v/>
          </cell>
        </row>
        <row r="51654">
          <cell r="O51654" t="str">
            <v/>
          </cell>
        </row>
        <row r="51655">
          <cell r="O51655" t="str">
            <v/>
          </cell>
        </row>
        <row r="51656">
          <cell r="O51656" t="str">
            <v/>
          </cell>
        </row>
        <row r="51657">
          <cell r="O51657" t="str">
            <v/>
          </cell>
        </row>
        <row r="51658">
          <cell r="O51658" t="str">
            <v/>
          </cell>
        </row>
        <row r="51659">
          <cell r="O51659" t="str">
            <v/>
          </cell>
        </row>
        <row r="51660">
          <cell r="O51660" t="str">
            <v/>
          </cell>
        </row>
        <row r="51661">
          <cell r="O51661" t="str">
            <v/>
          </cell>
        </row>
        <row r="51662">
          <cell r="O51662" t="str">
            <v/>
          </cell>
        </row>
        <row r="51663">
          <cell r="O51663" t="str">
            <v/>
          </cell>
        </row>
        <row r="51664">
          <cell r="O51664" t="str">
            <v/>
          </cell>
        </row>
        <row r="51665">
          <cell r="O51665" t="str">
            <v/>
          </cell>
        </row>
        <row r="51666">
          <cell r="O51666" t="str">
            <v/>
          </cell>
        </row>
        <row r="51667">
          <cell r="O51667" t="str">
            <v/>
          </cell>
        </row>
        <row r="51668">
          <cell r="O51668" t="str">
            <v/>
          </cell>
        </row>
        <row r="51669">
          <cell r="O51669" t="str">
            <v/>
          </cell>
        </row>
        <row r="51670">
          <cell r="O51670" t="str">
            <v/>
          </cell>
        </row>
        <row r="51671">
          <cell r="O51671" t="str">
            <v/>
          </cell>
        </row>
        <row r="51672">
          <cell r="O51672" t="str">
            <v/>
          </cell>
        </row>
        <row r="51673">
          <cell r="O51673" t="str">
            <v/>
          </cell>
        </row>
        <row r="51674">
          <cell r="O51674" t="str">
            <v/>
          </cell>
        </row>
        <row r="51675">
          <cell r="O51675" t="str">
            <v/>
          </cell>
        </row>
        <row r="51676">
          <cell r="O51676" t="str">
            <v/>
          </cell>
        </row>
        <row r="51677">
          <cell r="O51677" t="str">
            <v/>
          </cell>
        </row>
        <row r="51678">
          <cell r="O51678" t="str">
            <v/>
          </cell>
        </row>
        <row r="51679">
          <cell r="O51679" t="str">
            <v/>
          </cell>
        </row>
        <row r="51680">
          <cell r="O51680" t="str">
            <v/>
          </cell>
        </row>
        <row r="51681">
          <cell r="O51681" t="str">
            <v/>
          </cell>
        </row>
        <row r="51682">
          <cell r="O51682" t="str">
            <v/>
          </cell>
        </row>
        <row r="51683">
          <cell r="O51683" t="str">
            <v/>
          </cell>
        </row>
        <row r="51684">
          <cell r="O51684" t="str">
            <v/>
          </cell>
        </row>
        <row r="51685">
          <cell r="O51685" t="str">
            <v/>
          </cell>
        </row>
        <row r="51686">
          <cell r="O51686" t="str">
            <v/>
          </cell>
        </row>
        <row r="51687">
          <cell r="O51687" t="str">
            <v/>
          </cell>
        </row>
        <row r="51688">
          <cell r="O51688" t="str">
            <v/>
          </cell>
        </row>
        <row r="51689">
          <cell r="O51689" t="str">
            <v/>
          </cell>
        </row>
        <row r="51690">
          <cell r="O51690" t="str">
            <v/>
          </cell>
        </row>
        <row r="51691">
          <cell r="O51691" t="str">
            <v/>
          </cell>
        </row>
        <row r="51692">
          <cell r="O51692" t="str">
            <v/>
          </cell>
        </row>
        <row r="51693">
          <cell r="O51693" t="str">
            <v/>
          </cell>
        </row>
        <row r="51694">
          <cell r="O51694" t="str">
            <v/>
          </cell>
        </row>
        <row r="51695">
          <cell r="O51695" t="str">
            <v/>
          </cell>
        </row>
        <row r="51696">
          <cell r="O51696" t="str">
            <v/>
          </cell>
        </row>
        <row r="51697">
          <cell r="O51697" t="str">
            <v/>
          </cell>
        </row>
        <row r="51698">
          <cell r="O51698" t="str">
            <v/>
          </cell>
        </row>
        <row r="51699">
          <cell r="O51699" t="str">
            <v/>
          </cell>
        </row>
        <row r="51700">
          <cell r="O51700" t="str">
            <v/>
          </cell>
        </row>
        <row r="51701">
          <cell r="O51701" t="str">
            <v/>
          </cell>
        </row>
        <row r="51702">
          <cell r="O51702" t="str">
            <v/>
          </cell>
        </row>
        <row r="51703">
          <cell r="O51703" t="str">
            <v/>
          </cell>
        </row>
        <row r="51704">
          <cell r="O51704" t="str">
            <v/>
          </cell>
        </row>
        <row r="51705">
          <cell r="O51705" t="str">
            <v/>
          </cell>
        </row>
        <row r="51706">
          <cell r="O51706" t="str">
            <v/>
          </cell>
        </row>
        <row r="51707">
          <cell r="O51707" t="str">
            <v/>
          </cell>
        </row>
        <row r="51708">
          <cell r="O51708" t="str">
            <v/>
          </cell>
        </row>
        <row r="51709">
          <cell r="O51709" t="str">
            <v/>
          </cell>
        </row>
        <row r="51710">
          <cell r="O51710" t="str">
            <v/>
          </cell>
        </row>
        <row r="51711">
          <cell r="O51711" t="str">
            <v/>
          </cell>
        </row>
        <row r="51712">
          <cell r="O51712" t="str">
            <v/>
          </cell>
        </row>
        <row r="51713">
          <cell r="O51713" t="str">
            <v/>
          </cell>
        </row>
        <row r="51714">
          <cell r="O51714" t="str">
            <v/>
          </cell>
        </row>
        <row r="51715">
          <cell r="O51715" t="str">
            <v/>
          </cell>
        </row>
        <row r="51716">
          <cell r="O51716" t="str">
            <v/>
          </cell>
        </row>
        <row r="51717">
          <cell r="O51717" t="str">
            <v/>
          </cell>
        </row>
        <row r="51718">
          <cell r="O51718" t="str">
            <v/>
          </cell>
        </row>
        <row r="51719">
          <cell r="O51719" t="str">
            <v/>
          </cell>
        </row>
        <row r="51720">
          <cell r="O51720" t="str">
            <v/>
          </cell>
        </row>
        <row r="51721">
          <cell r="O51721" t="str">
            <v/>
          </cell>
        </row>
        <row r="51722">
          <cell r="O51722" t="str">
            <v/>
          </cell>
        </row>
        <row r="51723">
          <cell r="O51723" t="str">
            <v/>
          </cell>
        </row>
        <row r="51724">
          <cell r="O51724" t="str">
            <v/>
          </cell>
        </row>
        <row r="51725">
          <cell r="O51725" t="str">
            <v/>
          </cell>
        </row>
        <row r="51726">
          <cell r="O51726" t="str">
            <v/>
          </cell>
        </row>
        <row r="51727">
          <cell r="O51727" t="str">
            <v/>
          </cell>
        </row>
        <row r="51728">
          <cell r="O51728" t="str">
            <v/>
          </cell>
        </row>
        <row r="51729">
          <cell r="O51729" t="str">
            <v/>
          </cell>
        </row>
        <row r="51730">
          <cell r="O51730" t="str">
            <v/>
          </cell>
        </row>
        <row r="51731">
          <cell r="O51731" t="str">
            <v/>
          </cell>
        </row>
        <row r="51732">
          <cell r="O51732" t="str">
            <v/>
          </cell>
        </row>
        <row r="51733">
          <cell r="O51733" t="str">
            <v/>
          </cell>
        </row>
        <row r="51734">
          <cell r="O51734" t="str">
            <v/>
          </cell>
        </row>
        <row r="51735">
          <cell r="O51735" t="str">
            <v/>
          </cell>
        </row>
        <row r="51736">
          <cell r="O51736" t="str">
            <v/>
          </cell>
        </row>
        <row r="51737">
          <cell r="O51737" t="str">
            <v/>
          </cell>
        </row>
        <row r="51738">
          <cell r="O51738" t="str">
            <v/>
          </cell>
        </row>
        <row r="51739">
          <cell r="O51739" t="str">
            <v/>
          </cell>
        </row>
        <row r="51740">
          <cell r="O51740" t="str">
            <v/>
          </cell>
        </row>
        <row r="51741">
          <cell r="O51741" t="str">
            <v/>
          </cell>
        </row>
        <row r="51742">
          <cell r="O51742" t="str">
            <v/>
          </cell>
        </row>
        <row r="51743">
          <cell r="O51743" t="str">
            <v/>
          </cell>
        </row>
        <row r="51744">
          <cell r="O51744" t="str">
            <v/>
          </cell>
        </row>
        <row r="51745">
          <cell r="O51745" t="str">
            <v/>
          </cell>
        </row>
        <row r="51746">
          <cell r="O51746" t="str">
            <v/>
          </cell>
        </row>
        <row r="51747">
          <cell r="O51747" t="str">
            <v/>
          </cell>
        </row>
        <row r="51748">
          <cell r="O51748" t="str">
            <v/>
          </cell>
        </row>
        <row r="51749">
          <cell r="O51749" t="str">
            <v/>
          </cell>
        </row>
        <row r="51750">
          <cell r="O51750" t="str">
            <v/>
          </cell>
        </row>
        <row r="51751">
          <cell r="O51751" t="str">
            <v/>
          </cell>
        </row>
        <row r="51752">
          <cell r="O51752" t="str">
            <v/>
          </cell>
        </row>
        <row r="51753">
          <cell r="O51753" t="str">
            <v/>
          </cell>
        </row>
        <row r="51754">
          <cell r="O51754" t="str">
            <v/>
          </cell>
        </row>
        <row r="51755">
          <cell r="O51755" t="str">
            <v/>
          </cell>
        </row>
        <row r="51756">
          <cell r="O51756" t="str">
            <v/>
          </cell>
        </row>
        <row r="51757">
          <cell r="O51757" t="str">
            <v/>
          </cell>
        </row>
        <row r="51758">
          <cell r="O51758" t="str">
            <v/>
          </cell>
        </row>
        <row r="51759">
          <cell r="O51759" t="str">
            <v/>
          </cell>
        </row>
        <row r="51760">
          <cell r="O51760" t="str">
            <v/>
          </cell>
        </row>
        <row r="51761">
          <cell r="O51761" t="str">
            <v/>
          </cell>
        </row>
        <row r="51762">
          <cell r="O51762" t="str">
            <v/>
          </cell>
        </row>
        <row r="51763">
          <cell r="O51763" t="str">
            <v/>
          </cell>
        </row>
        <row r="51764">
          <cell r="O51764" t="str">
            <v/>
          </cell>
        </row>
        <row r="51765">
          <cell r="O51765" t="str">
            <v/>
          </cell>
        </row>
        <row r="51766">
          <cell r="O51766" t="str">
            <v/>
          </cell>
        </row>
        <row r="51767">
          <cell r="O51767" t="str">
            <v/>
          </cell>
        </row>
        <row r="51768">
          <cell r="O51768" t="str">
            <v/>
          </cell>
        </row>
        <row r="51769">
          <cell r="O51769" t="str">
            <v/>
          </cell>
        </row>
        <row r="51770">
          <cell r="O51770" t="str">
            <v/>
          </cell>
        </row>
        <row r="51771">
          <cell r="O51771" t="str">
            <v/>
          </cell>
        </row>
        <row r="51772">
          <cell r="O51772" t="str">
            <v/>
          </cell>
        </row>
        <row r="51773">
          <cell r="O51773" t="str">
            <v/>
          </cell>
        </row>
        <row r="51774">
          <cell r="O51774" t="str">
            <v/>
          </cell>
        </row>
        <row r="51775">
          <cell r="O51775" t="str">
            <v/>
          </cell>
        </row>
        <row r="51776">
          <cell r="O51776" t="str">
            <v/>
          </cell>
        </row>
        <row r="51777">
          <cell r="O51777" t="str">
            <v/>
          </cell>
        </row>
        <row r="51778">
          <cell r="O51778" t="str">
            <v/>
          </cell>
        </row>
        <row r="51779">
          <cell r="O51779" t="str">
            <v/>
          </cell>
        </row>
        <row r="51780">
          <cell r="O51780" t="str">
            <v/>
          </cell>
        </row>
        <row r="51781">
          <cell r="O51781" t="str">
            <v/>
          </cell>
        </row>
        <row r="51782">
          <cell r="O51782" t="str">
            <v/>
          </cell>
        </row>
        <row r="51783">
          <cell r="O51783" t="str">
            <v/>
          </cell>
        </row>
        <row r="51784">
          <cell r="O51784" t="str">
            <v/>
          </cell>
        </row>
        <row r="51785">
          <cell r="O51785" t="str">
            <v/>
          </cell>
        </row>
        <row r="51786">
          <cell r="O51786" t="str">
            <v/>
          </cell>
        </row>
        <row r="51787">
          <cell r="O51787" t="str">
            <v/>
          </cell>
        </row>
        <row r="51788">
          <cell r="O51788" t="str">
            <v/>
          </cell>
        </row>
        <row r="51789">
          <cell r="O51789" t="str">
            <v/>
          </cell>
        </row>
        <row r="51790">
          <cell r="O51790" t="str">
            <v/>
          </cell>
        </row>
        <row r="51791">
          <cell r="O51791" t="str">
            <v/>
          </cell>
        </row>
        <row r="51792">
          <cell r="O51792" t="str">
            <v/>
          </cell>
        </row>
        <row r="51793">
          <cell r="O51793" t="str">
            <v/>
          </cell>
        </row>
        <row r="51794">
          <cell r="O51794" t="str">
            <v/>
          </cell>
        </row>
        <row r="51795">
          <cell r="O51795" t="str">
            <v/>
          </cell>
        </row>
        <row r="51796">
          <cell r="O51796" t="str">
            <v/>
          </cell>
        </row>
        <row r="51797">
          <cell r="O51797" t="str">
            <v/>
          </cell>
        </row>
        <row r="51798">
          <cell r="O51798" t="str">
            <v/>
          </cell>
        </row>
        <row r="51799">
          <cell r="O51799" t="str">
            <v/>
          </cell>
        </row>
        <row r="51800">
          <cell r="O51800" t="str">
            <v/>
          </cell>
        </row>
        <row r="51801">
          <cell r="O51801" t="str">
            <v/>
          </cell>
        </row>
        <row r="51802">
          <cell r="O51802" t="str">
            <v/>
          </cell>
        </row>
        <row r="51803">
          <cell r="O51803" t="str">
            <v/>
          </cell>
        </row>
        <row r="51804">
          <cell r="O51804" t="str">
            <v/>
          </cell>
        </row>
        <row r="51805">
          <cell r="O51805" t="str">
            <v/>
          </cell>
        </row>
        <row r="51806">
          <cell r="O51806" t="str">
            <v/>
          </cell>
        </row>
        <row r="51807">
          <cell r="O51807" t="str">
            <v/>
          </cell>
        </row>
        <row r="51808">
          <cell r="O51808" t="str">
            <v/>
          </cell>
        </row>
        <row r="51809">
          <cell r="O51809" t="str">
            <v/>
          </cell>
        </row>
        <row r="51810">
          <cell r="O51810" t="str">
            <v/>
          </cell>
        </row>
        <row r="51811">
          <cell r="O51811" t="str">
            <v/>
          </cell>
        </row>
        <row r="51812">
          <cell r="O51812" t="str">
            <v/>
          </cell>
        </row>
        <row r="51813">
          <cell r="O51813" t="str">
            <v/>
          </cell>
        </row>
        <row r="51814">
          <cell r="O51814" t="str">
            <v/>
          </cell>
        </row>
        <row r="51815">
          <cell r="O51815" t="str">
            <v/>
          </cell>
        </row>
        <row r="51816">
          <cell r="O51816" t="str">
            <v/>
          </cell>
        </row>
        <row r="51817">
          <cell r="O51817" t="str">
            <v/>
          </cell>
        </row>
        <row r="51818">
          <cell r="O51818" t="str">
            <v/>
          </cell>
        </row>
        <row r="51819">
          <cell r="O51819" t="str">
            <v/>
          </cell>
        </row>
        <row r="51820">
          <cell r="O51820" t="str">
            <v/>
          </cell>
        </row>
        <row r="51821">
          <cell r="O51821" t="str">
            <v/>
          </cell>
        </row>
        <row r="51822">
          <cell r="O51822" t="str">
            <v/>
          </cell>
        </row>
        <row r="51823">
          <cell r="O51823" t="str">
            <v/>
          </cell>
        </row>
        <row r="51824">
          <cell r="O51824" t="str">
            <v/>
          </cell>
        </row>
        <row r="51825">
          <cell r="O51825" t="str">
            <v/>
          </cell>
        </row>
        <row r="51826">
          <cell r="O51826" t="str">
            <v/>
          </cell>
        </row>
        <row r="51827">
          <cell r="O51827" t="str">
            <v/>
          </cell>
        </row>
        <row r="51828">
          <cell r="O51828" t="str">
            <v/>
          </cell>
        </row>
        <row r="51829">
          <cell r="O51829" t="str">
            <v/>
          </cell>
        </row>
        <row r="51830">
          <cell r="O51830" t="str">
            <v/>
          </cell>
        </row>
        <row r="51831">
          <cell r="O51831" t="str">
            <v/>
          </cell>
        </row>
        <row r="51832">
          <cell r="O51832" t="str">
            <v/>
          </cell>
        </row>
        <row r="51833">
          <cell r="O51833" t="str">
            <v/>
          </cell>
        </row>
        <row r="51834">
          <cell r="O51834" t="str">
            <v/>
          </cell>
        </row>
        <row r="51835">
          <cell r="O51835" t="str">
            <v/>
          </cell>
        </row>
        <row r="51836">
          <cell r="O51836" t="str">
            <v/>
          </cell>
        </row>
        <row r="51837">
          <cell r="O51837" t="str">
            <v/>
          </cell>
        </row>
        <row r="51838">
          <cell r="O51838" t="str">
            <v/>
          </cell>
        </row>
        <row r="51839">
          <cell r="O51839" t="str">
            <v/>
          </cell>
        </row>
        <row r="51840">
          <cell r="O51840" t="str">
            <v/>
          </cell>
        </row>
        <row r="51841">
          <cell r="O51841" t="str">
            <v/>
          </cell>
        </row>
        <row r="51842">
          <cell r="O51842" t="str">
            <v/>
          </cell>
        </row>
        <row r="51843">
          <cell r="O51843" t="str">
            <v/>
          </cell>
        </row>
        <row r="51844">
          <cell r="O51844" t="str">
            <v/>
          </cell>
        </row>
        <row r="51845">
          <cell r="O51845" t="str">
            <v/>
          </cell>
        </row>
        <row r="51846">
          <cell r="O51846" t="str">
            <v/>
          </cell>
        </row>
        <row r="51847">
          <cell r="O51847" t="str">
            <v/>
          </cell>
        </row>
        <row r="51848">
          <cell r="O51848" t="str">
            <v/>
          </cell>
        </row>
        <row r="51849">
          <cell r="O51849" t="str">
            <v/>
          </cell>
        </row>
        <row r="51850">
          <cell r="O51850" t="str">
            <v/>
          </cell>
        </row>
        <row r="51851">
          <cell r="O51851" t="str">
            <v/>
          </cell>
        </row>
        <row r="51852">
          <cell r="O51852" t="str">
            <v/>
          </cell>
        </row>
        <row r="51853">
          <cell r="O51853" t="str">
            <v/>
          </cell>
        </row>
        <row r="51854">
          <cell r="O51854" t="str">
            <v/>
          </cell>
        </row>
        <row r="51855">
          <cell r="O51855" t="str">
            <v/>
          </cell>
        </row>
        <row r="51856">
          <cell r="O51856" t="str">
            <v/>
          </cell>
        </row>
        <row r="51857">
          <cell r="O51857" t="str">
            <v/>
          </cell>
        </row>
        <row r="51858">
          <cell r="O51858" t="str">
            <v/>
          </cell>
        </row>
        <row r="51859">
          <cell r="O51859" t="str">
            <v/>
          </cell>
        </row>
        <row r="51860">
          <cell r="O51860" t="str">
            <v/>
          </cell>
        </row>
        <row r="51861">
          <cell r="O51861" t="str">
            <v/>
          </cell>
        </row>
        <row r="51862">
          <cell r="O51862" t="str">
            <v/>
          </cell>
        </row>
        <row r="51863">
          <cell r="O51863" t="str">
            <v/>
          </cell>
        </row>
        <row r="51864">
          <cell r="O51864" t="str">
            <v/>
          </cell>
        </row>
        <row r="51865">
          <cell r="O51865" t="str">
            <v/>
          </cell>
        </row>
        <row r="51866">
          <cell r="O51866" t="str">
            <v/>
          </cell>
        </row>
        <row r="51867">
          <cell r="O51867" t="str">
            <v/>
          </cell>
        </row>
        <row r="51868">
          <cell r="O51868" t="str">
            <v/>
          </cell>
        </row>
        <row r="51869">
          <cell r="O51869" t="str">
            <v/>
          </cell>
        </row>
        <row r="51870">
          <cell r="O51870" t="str">
            <v/>
          </cell>
        </row>
        <row r="51871">
          <cell r="O51871" t="str">
            <v/>
          </cell>
        </row>
        <row r="51872">
          <cell r="O51872" t="str">
            <v/>
          </cell>
        </row>
        <row r="51873">
          <cell r="O51873" t="str">
            <v/>
          </cell>
        </row>
        <row r="51874">
          <cell r="O51874" t="str">
            <v/>
          </cell>
        </row>
        <row r="51875">
          <cell r="O51875" t="str">
            <v/>
          </cell>
        </row>
        <row r="51876">
          <cell r="O51876" t="str">
            <v/>
          </cell>
        </row>
        <row r="51877">
          <cell r="O51877" t="str">
            <v/>
          </cell>
        </row>
        <row r="51878">
          <cell r="O51878" t="str">
            <v/>
          </cell>
        </row>
        <row r="51879">
          <cell r="O51879" t="str">
            <v/>
          </cell>
        </row>
        <row r="51880">
          <cell r="O51880" t="str">
            <v/>
          </cell>
        </row>
        <row r="51881">
          <cell r="O51881" t="str">
            <v/>
          </cell>
        </row>
        <row r="51882">
          <cell r="O51882" t="str">
            <v/>
          </cell>
        </row>
        <row r="51883">
          <cell r="O51883" t="str">
            <v/>
          </cell>
        </row>
        <row r="51884">
          <cell r="O51884" t="str">
            <v/>
          </cell>
        </row>
        <row r="51885">
          <cell r="O51885" t="str">
            <v/>
          </cell>
        </row>
        <row r="51886">
          <cell r="O51886" t="str">
            <v/>
          </cell>
        </row>
        <row r="51887">
          <cell r="O51887" t="str">
            <v/>
          </cell>
        </row>
        <row r="51888">
          <cell r="O51888" t="str">
            <v/>
          </cell>
        </row>
        <row r="51889">
          <cell r="O51889" t="str">
            <v/>
          </cell>
        </row>
        <row r="51890">
          <cell r="O51890" t="str">
            <v/>
          </cell>
        </row>
        <row r="51891">
          <cell r="O51891" t="str">
            <v/>
          </cell>
        </row>
        <row r="51892">
          <cell r="O51892" t="str">
            <v/>
          </cell>
        </row>
        <row r="51893">
          <cell r="O51893" t="str">
            <v/>
          </cell>
        </row>
        <row r="51894">
          <cell r="O51894" t="str">
            <v/>
          </cell>
        </row>
        <row r="51895">
          <cell r="O51895" t="str">
            <v/>
          </cell>
        </row>
        <row r="51896">
          <cell r="O51896" t="str">
            <v/>
          </cell>
        </row>
        <row r="51897">
          <cell r="O51897" t="str">
            <v/>
          </cell>
        </row>
        <row r="51898">
          <cell r="O51898" t="str">
            <v/>
          </cell>
        </row>
        <row r="51899">
          <cell r="O51899" t="str">
            <v/>
          </cell>
        </row>
        <row r="51900">
          <cell r="O51900" t="str">
            <v/>
          </cell>
        </row>
        <row r="51901">
          <cell r="O51901" t="str">
            <v/>
          </cell>
        </row>
        <row r="51902">
          <cell r="O51902" t="str">
            <v/>
          </cell>
        </row>
        <row r="51903">
          <cell r="O51903" t="str">
            <v/>
          </cell>
        </row>
        <row r="51904">
          <cell r="O51904" t="str">
            <v/>
          </cell>
        </row>
        <row r="51905">
          <cell r="O51905" t="str">
            <v/>
          </cell>
        </row>
        <row r="51906">
          <cell r="O51906" t="str">
            <v/>
          </cell>
        </row>
        <row r="51907">
          <cell r="O51907" t="str">
            <v/>
          </cell>
        </row>
        <row r="51908">
          <cell r="O51908" t="str">
            <v/>
          </cell>
        </row>
        <row r="51909">
          <cell r="O51909" t="str">
            <v/>
          </cell>
        </row>
        <row r="51910">
          <cell r="O51910" t="str">
            <v/>
          </cell>
        </row>
        <row r="51911">
          <cell r="O51911" t="str">
            <v/>
          </cell>
        </row>
        <row r="51912">
          <cell r="O51912" t="str">
            <v/>
          </cell>
        </row>
        <row r="51913">
          <cell r="O51913" t="str">
            <v/>
          </cell>
        </row>
        <row r="51914">
          <cell r="O51914" t="str">
            <v/>
          </cell>
        </row>
        <row r="51915">
          <cell r="O51915" t="str">
            <v/>
          </cell>
        </row>
        <row r="51916">
          <cell r="O51916" t="str">
            <v/>
          </cell>
        </row>
        <row r="51917">
          <cell r="O51917" t="str">
            <v/>
          </cell>
        </row>
        <row r="51918">
          <cell r="O51918" t="str">
            <v/>
          </cell>
        </row>
        <row r="51919">
          <cell r="O51919" t="str">
            <v/>
          </cell>
        </row>
        <row r="51920">
          <cell r="O51920" t="str">
            <v/>
          </cell>
        </row>
        <row r="51921">
          <cell r="O51921" t="str">
            <v/>
          </cell>
        </row>
        <row r="51922">
          <cell r="O51922" t="str">
            <v/>
          </cell>
        </row>
        <row r="51923">
          <cell r="O51923" t="str">
            <v/>
          </cell>
        </row>
        <row r="51924">
          <cell r="O51924" t="str">
            <v/>
          </cell>
        </row>
        <row r="51925">
          <cell r="O51925" t="str">
            <v/>
          </cell>
        </row>
        <row r="51926">
          <cell r="O51926" t="str">
            <v/>
          </cell>
        </row>
        <row r="51927">
          <cell r="O51927" t="str">
            <v/>
          </cell>
        </row>
        <row r="51928">
          <cell r="O51928" t="str">
            <v/>
          </cell>
        </row>
        <row r="51929">
          <cell r="O51929" t="str">
            <v/>
          </cell>
        </row>
        <row r="51930">
          <cell r="O51930" t="str">
            <v/>
          </cell>
        </row>
        <row r="51931">
          <cell r="O51931" t="str">
            <v/>
          </cell>
        </row>
        <row r="51932">
          <cell r="O51932" t="str">
            <v/>
          </cell>
        </row>
        <row r="51933">
          <cell r="O51933" t="str">
            <v/>
          </cell>
        </row>
        <row r="51934">
          <cell r="O51934" t="str">
            <v/>
          </cell>
        </row>
        <row r="51935">
          <cell r="O51935" t="str">
            <v/>
          </cell>
        </row>
        <row r="51936">
          <cell r="O51936" t="str">
            <v/>
          </cell>
        </row>
        <row r="51937">
          <cell r="O51937" t="str">
            <v/>
          </cell>
        </row>
        <row r="51938">
          <cell r="O51938" t="str">
            <v/>
          </cell>
        </row>
        <row r="51939">
          <cell r="O51939" t="str">
            <v/>
          </cell>
        </row>
        <row r="51940">
          <cell r="O51940" t="str">
            <v/>
          </cell>
        </row>
        <row r="51941">
          <cell r="O51941" t="str">
            <v/>
          </cell>
        </row>
        <row r="51942">
          <cell r="O51942" t="str">
            <v/>
          </cell>
        </row>
        <row r="51943">
          <cell r="O51943" t="str">
            <v/>
          </cell>
        </row>
        <row r="51944">
          <cell r="O51944" t="str">
            <v/>
          </cell>
        </row>
        <row r="51945">
          <cell r="O51945" t="str">
            <v/>
          </cell>
        </row>
        <row r="51946">
          <cell r="O51946" t="str">
            <v/>
          </cell>
        </row>
        <row r="51947">
          <cell r="O51947" t="str">
            <v/>
          </cell>
        </row>
        <row r="51948">
          <cell r="O51948" t="str">
            <v/>
          </cell>
        </row>
        <row r="51949">
          <cell r="O51949" t="str">
            <v/>
          </cell>
        </row>
        <row r="51950">
          <cell r="O51950" t="str">
            <v/>
          </cell>
        </row>
        <row r="51951">
          <cell r="O51951" t="str">
            <v/>
          </cell>
        </row>
        <row r="51952">
          <cell r="O51952" t="str">
            <v/>
          </cell>
        </row>
        <row r="51953">
          <cell r="O51953" t="str">
            <v/>
          </cell>
        </row>
        <row r="51954">
          <cell r="O51954" t="str">
            <v/>
          </cell>
        </row>
        <row r="51955">
          <cell r="O51955" t="str">
            <v/>
          </cell>
        </row>
        <row r="51956">
          <cell r="O51956" t="str">
            <v/>
          </cell>
        </row>
        <row r="51957">
          <cell r="O51957" t="str">
            <v/>
          </cell>
        </row>
        <row r="51958">
          <cell r="O51958" t="str">
            <v/>
          </cell>
        </row>
        <row r="51959">
          <cell r="O51959" t="str">
            <v/>
          </cell>
        </row>
        <row r="51960">
          <cell r="O51960" t="str">
            <v/>
          </cell>
        </row>
        <row r="51961">
          <cell r="O51961" t="str">
            <v/>
          </cell>
        </row>
        <row r="51962">
          <cell r="O51962" t="str">
            <v/>
          </cell>
        </row>
        <row r="51963">
          <cell r="O51963" t="str">
            <v/>
          </cell>
        </row>
        <row r="51964">
          <cell r="O51964" t="str">
            <v/>
          </cell>
        </row>
        <row r="51965">
          <cell r="O51965" t="str">
            <v/>
          </cell>
        </row>
        <row r="51966">
          <cell r="O51966" t="str">
            <v/>
          </cell>
        </row>
        <row r="51967">
          <cell r="O51967" t="str">
            <v/>
          </cell>
        </row>
        <row r="51968">
          <cell r="O51968" t="str">
            <v/>
          </cell>
        </row>
        <row r="51969">
          <cell r="O51969" t="str">
            <v/>
          </cell>
        </row>
        <row r="51970">
          <cell r="O51970" t="str">
            <v/>
          </cell>
        </row>
        <row r="51971">
          <cell r="O51971" t="str">
            <v/>
          </cell>
        </row>
        <row r="51972">
          <cell r="O51972" t="str">
            <v/>
          </cell>
        </row>
        <row r="51973">
          <cell r="O51973" t="str">
            <v/>
          </cell>
        </row>
        <row r="51974">
          <cell r="O51974" t="str">
            <v/>
          </cell>
        </row>
        <row r="51975">
          <cell r="O51975" t="str">
            <v/>
          </cell>
        </row>
        <row r="51976">
          <cell r="O51976" t="str">
            <v/>
          </cell>
        </row>
        <row r="51977">
          <cell r="O51977" t="str">
            <v/>
          </cell>
        </row>
        <row r="51978">
          <cell r="O51978" t="str">
            <v/>
          </cell>
        </row>
        <row r="51979">
          <cell r="O51979" t="str">
            <v/>
          </cell>
        </row>
        <row r="51980">
          <cell r="O51980" t="str">
            <v/>
          </cell>
        </row>
        <row r="51981">
          <cell r="O51981" t="str">
            <v/>
          </cell>
        </row>
        <row r="51982">
          <cell r="O51982" t="str">
            <v/>
          </cell>
        </row>
        <row r="51983">
          <cell r="O51983" t="str">
            <v/>
          </cell>
        </row>
        <row r="51984">
          <cell r="O51984" t="str">
            <v/>
          </cell>
        </row>
        <row r="51985">
          <cell r="O51985" t="str">
            <v/>
          </cell>
        </row>
        <row r="51986">
          <cell r="O51986" t="str">
            <v/>
          </cell>
        </row>
        <row r="51987">
          <cell r="O51987" t="str">
            <v/>
          </cell>
        </row>
        <row r="51988">
          <cell r="O51988" t="str">
            <v/>
          </cell>
        </row>
        <row r="51989">
          <cell r="O51989" t="str">
            <v/>
          </cell>
        </row>
        <row r="51990">
          <cell r="O51990" t="str">
            <v/>
          </cell>
        </row>
        <row r="51991">
          <cell r="O51991" t="str">
            <v/>
          </cell>
        </row>
        <row r="51992">
          <cell r="O51992" t="str">
            <v/>
          </cell>
        </row>
        <row r="51993">
          <cell r="O51993" t="str">
            <v/>
          </cell>
        </row>
        <row r="51994">
          <cell r="O51994" t="str">
            <v/>
          </cell>
        </row>
        <row r="51995">
          <cell r="O51995" t="str">
            <v/>
          </cell>
        </row>
        <row r="51996">
          <cell r="O51996" t="str">
            <v/>
          </cell>
        </row>
        <row r="51997">
          <cell r="O51997" t="str">
            <v/>
          </cell>
        </row>
        <row r="51998">
          <cell r="O51998" t="str">
            <v/>
          </cell>
        </row>
        <row r="51999">
          <cell r="O51999" t="str">
            <v/>
          </cell>
        </row>
        <row r="52000">
          <cell r="O52000" t="str">
            <v/>
          </cell>
        </row>
        <row r="52001">
          <cell r="O52001" t="str">
            <v/>
          </cell>
        </row>
        <row r="52002">
          <cell r="O52002" t="str">
            <v/>
          </cell>
        </row>
        <row r="52003">
          <cell r="O52003" t="str">
            <v/>
          </cell>
        </row>
        <row r="52004">
          <cell r="O52004" t="str">
            <v/>
          </cell>
        </row>
        <row r="52005">
          <cell r="O52005" t="str">
            <v/>
          </cell>
        </row>
        <row r="52006">
          <cell r="O52006" t="str">
            <v/>
          </cell>
        </row>
        <row r="52007">
          <cell r="O52007" t="str">
            <v/>
          </cell>
        </row>
        <row r="52008">
          <cell r="O52008" t="str">
            <v/>
          </cell>
        </row>
        <row r="52009">
          <cell r="O52009" t="str">
            <v/>
          </cell>
        </row>
        <row r="52010">
          <cell r="O52010" t="str">
            <v/>
          </cell>
        </row>
        <row r="52011">
          <cell r="O52011" t="str">
            <v/>
          </cell>
        </row>
        <row r="52012">
          <cell r="O52012" t="str">
            <v/>
          </cell>
        </row>
        <row r="52013">
          <cell r="O52013" t="str">
            <v/>
          </cell>
        </row>
        <row r="52014">
          <cell r="O52014" t="str">
            <v/>
          </cell>
        </row>
        <row r="52015">
          <cell r="O52015" t="str">
            <v/>
          </cell>
        </row>
        <row r="52016">
          <cell r="O52016" t="str">
            <v/>
          </cell>
        </row>
        <row r="52017">
          <cell r="O52017" t="str">
            <v/>
          </cell>
        </row>
        <row r="52018">
          <cell r="O52018" t="str">
            <v/>
          </cell>
        </row>
        <row r="52019">
          <cell r="O52019" t="str">
            <v/>
          </cell>
        </row>
        <row r="52020">
          <cell r="O52020" t="str">
            <v/>
          </cell>
        </row>
        <row r="52021">
          <cell r="O52021" t="str">
            <v/>
          </cell>
        </row>
        <row r="52022">
          <cell r="O52022" t="str">
            <v/>
          </cell>
        </row>
        <row r="52023">
          <cell r="O52023" t="str">
            <v/>
          </cell>
        </row>
        <row r="52024">
          <cell r="O52024" t="str">
            <v/>
          </cell>
        </row>
        <row r="52025">
          <cell r="O52025" t="str">
            <v/>
          </cell>
        </row>
        <row r="52026">
          <cell r="O52026" t="str">
            <v/>
          </cell>
        </row>
        <row r="52027">
          <cell r="O52027" t="str">
            <v/>
          </cell>
        </row>
        <row r="52028">
          <cell r="O52028" t="str">
            <v/>
          </cell>
        </row>
        <row r="52029">
          <cell r="O52029" t="str">
            <v/>
          </cell>
        </row>
        <row r="52030">
          <cell r="O52030" t="str">
            <v/>
          </cell>
        </row>
        <row r="52031">
          <cell r="O52031" t="str">
            <v/>
          </cell>
        </row>
        <row r="52032">
          <cell r="O52032" t="str">
            <v/>
          </cell>
        </row>
        <row r="52033">
          <cell r="O52033" t="str">
            <v/>
          </cell>
        </row>
        <row r="52034">
          <cell r="O52034" t="str">
            <v/>
          </cell>
        </row>
        <row r="52035">
          <cell r="O52035" t="str">
            <v/>
          </cell>
        </row>
        <row r="52036">
          <cell r="O52036" t="str">
            <v/>
          </cell>
        </row>
        <row r="52037">
          <cell r="O52037" t="str">
            <v/>
          </cell>
        </row>
        <row r="52038">
          <cell r="O52038" t="str">
            <v/>
          </cell>
        </row>
        <row r="52039">
          <cell r="O52039" t="str">
            <v/>
          </cell>
        </row>
        <row r="52040">
          <cell r="O52040" t="str">
            <v/>
          </cell>
        </row>
        <row r="52041">
          <cell r="O52041" t="str">
            <v/>
          </cell>
        </row>
        <row r="52042">
          <cell r="O52042" t="str">
            <v/>
          </cell>
        </row>
        <row r="52043">
          <cell r="O52043" t="str">
            <v/>
          </cell>
        </row>
        <row r="52044">
          <cell r="O52044" t="str">
            <v/>
          </cell>
        </row>
        <row r="52045">
          <cell r="O52045" t="str">
            <v/>
          </cell>
        </row>
        <row r="52046">
          <cell r="O52046" t="str">
            <v/>
          </cell>
        </row>
        <row r="52047">
          <cell r="O52047" t="str">
            <v/>
          </cell>
        </row>
        <row r="52048">
          <cell r="O52048" t="str">
            <v/>
          </cell>
        </row>
        <row r="52049">
          <cell r="O52049" t="str">
            <v/>
          </cell>
        </row>
        <row r="52050">
          <cell r="O52050" t="str">
            <v/>
          </cell>
        </row>
        <row r="52051">
          <cell r="O52051" t="str">
            <v/>
          </cell>
        </row>
        <row r="52052">
          <cell r="O52052" t="str">
            <v/>
          </cell>
        </row>
        <row r="52053">
          <cell r="O52053" t="str">
            <v/>
          </cell>
        </row>
        <row r="52054">
          <cell r="O52054" t="str">
            <v/>
          </cell>
        </row>
        <row r="52055">
          <cell r="O52055" t="str">
            <v/>
          </cell>
        </row>
        <row r="52056">
          <cell r="O52056" t="str">
            <v/>
          </cell>
        </row>
        <row r="52057">
          <cell r="O52057" t="str">
            <v/>
          </cell>
        </row>
        <row r="52058">
          <cell r="O52058" t="str">
            <v/>
          </cell>
        </row>
        <row r="52059">
          <cell r="O52059" t="str">
            <v/>
          </cell>
        </row>
        <row r="52060">
          <cell r="O52060" t="str">
            <v/>
          </cell>
        </row>
        <row r="52061">
          <cell r="O52061" t="str">
            <v/>
          </cell>
        </row>
        <row r="52062">
          <cell r="O52062" t="str">
            <v/>
          </cell>
        </row>
        <row r="52063">
          <cell r="O52063" t="str">
            <v/>
          </cell>
        </row>
        <row r="52064">
          <cell r="O52064" t="str">
            <v/>
          </cell>
        </row>
        <row r="52065">
          <cell r="O52065" t="str">
            <v/>
          </cell>
        </row>
        <row r="52066">
          <cell r="O52066" t="str">
            <v/>
          </cell>
        </row>
        <row r="52067">
          <cell r="O52067" t="str">
            <v/>
          </cell>
        </row>
        <row r="52068">
          <cell r="O52068" t="str">
            <v/>
          </cell>
        </row>
        <row r="52069">
          <cell r="O52069" t="str">
            <v/>
          </cell>
        </row>
        <row r="52070">
          <cell r="O52070" t="str">
            <v/>
          </cell>
        </row>
        <row r="52071">
          <cell r="O52071" t="str">
            <v/>
          </cell>
        </row>
        <row r="52072">
          <cell r="O52072" t="str">
            <v/>
          </cell>
        </row>
        <row r="52073">
          <cell r="O52073" t="str">
            <v/>
          </cell>
        </row>
        <row r="52074">
          <cell r="O52074" t="str">
            <v/>
          </cell>
        </row>
        <row r="52075">
          <cell r="O52075" t="str">
            <v/>
          </cell>
        </row>
        <row r="52076">
          <cell r="O52076" t="str">
            <v/>
          </cell>
        </row>
        <row r="52077">
          <cell r="O52077" t="str">
            <v/>
          </cell>
        </row>
        <row r="52078">
          <cell r="O52078" t="str">
            <v/>
          </cell>
        </row>
        <row r="52079">
          <cell r="O52079" t="str">
            <v/>
          </cell>
        </row>
        <row r="52080">
          <cell r="O52080" t="str">
            <v/>
          </cell>
        </row>
        <row r="52081">
          <cell r="O52081" t="str">
            <v/>
          </cell>
        </row>
        <row r="52082">
          <cell r="O52082" t="str">
            <v/>
          </cell>
        </row>
        <row r="52083">
          <cell r="O52083" t="str">
            <v/>
          </cell>
        </row>
        <row r="52084">
          <cell r="O52084" t="str">
            <v/>
          </cell>
        </row>
        <row r="52085">
          <cell r="O52085" t="str">
            <v/>
          </cell>
        </row>
        <row r="52086">
          <cell r="O52086" t="str">
            <v/>
          </cell>
        </row>
        <row r="52087">
          <cell r="O52087" t="str">
            <v/>
          </cell>
        </row>
        <row r="52088">
          <cell r="O52088" t="str">
            <v/>
          </cell>
        </row>
        <row r="52089">
          <cell r="O52089" t="str">
            <v/>
          </cell>
        </row>
        <row r="52090">
          <cell r="O52090" t="str">
            <v/>
          </cell>
        </row>
        <row r="52091">
          <cell r="O52091" t="str">
            <v/>
          </cell>
        </row>
        <row r="52092">
          <cell r="O52092" t="str">
            <v/>
          </cell>
        </row>
        <row r="52093">
          <cell r="O52093" t="str">
            <v/>
          </cell>
        </row>
        <row r="52094">
          <cell r="O52094" t="str">
            <v/>
          </cell>
        </row>
        <row r="52095">
          <cell r="O52095" t="str">
            <v/>
          </cell>
        </row>
        <row r="52096">
          <cell r="O52096" t="str">
            <v/>
          </cell>
        </row>
        <row r="52097">
          <cell r="O52097" t="str">
            <v/>
          </cell>
        </row>
        <row r="52098">
          <cell r="O52098" t="str">
            <v/>
          </cell>
        </row>
        <row r="52099">
          <cell r="O52099" t="str">
            <v/>
          </cell>
        </row>
        <row r="52100">
          <cell r="O52100" t="str">
            <v/>
          </cell>
        </row>
        <row r="52101">
          <cell r="O52101" t="str">
            <v/>
          </cell>
        </row>
        <row r="52102">
          <cell r="O52102" t="str">
            <v/>
          </cell>
        </row>
        <row r="52103">
          <cell r="O52103" t="str">
            <v/>
          </cell>
        </row>
        <row r="52104">
          <cell r="O52104" t="str">
            <v/>
          </cell>
        </row>
        <row r="52105">
          <cell r="O52105" t="str">
            <v/>
          </cell>
        </row>
        <row r="52106">
          <cell r="O52106" t="str">
            <v/>
          </cell>
        </row>
        <row r="52107">
          <cell r="O52107" t="str">
            <v/>
          </cell>
        </row>
        <row r="52108">
          <cell r="O52108" t="str">
            <v/>
          </cell>
        </row>
        <row r="52109">
          <cell r="O52109" t="str">
            <v/>
          </cell>
        </row>
        <row r="52110">
          <cell r="O52110" t="str">
            <v/>
          </cell>
        </row>
        <row r="52111">
          <cell r="O52111" t="str">
            <v/>
          </cell>
        </row>
        <row r="52112">
          <cell r="O52112" t="str">
            <v/>
          </cell>
        </row>
        <row r="52113">
          <cell r="O52113" t="str">
            <v/>
          </cell>
        </row>
        <row r="52114">
          <cell r="O52114" t="str">
            <v/>
          </cell>
        </row>
        <row r="52115">
          <cell r="O52115" t="str">
            <v/>
          </cell>
        </row>
        <row r="52116">
          <cell r="O52116" t="str">
            <v/>
          </cell>
        </row>
        <row r="52117">
          <cell r="O52117" t="str">
            <v/>
          </cell>
        </row>
        <row r="52118">
          <cell r="O52118" t="str">
            <v/>
          </cell>
        </row>
        <row r="52119">
          <cell r="O52119" t="str">
            <v/>
          </cell>
        </row>
        <row r="52120">
          <cell r="O52120" t="str">
            <v/>
          </cell>
        </row>
        <row r="52121">
          <cell r="O52121" t="str">
            <v/>
          </cell>
        </row>
        <row r="52122">
          <cell r="O52122" t="str">
            <v/>
          </cell>
        </row>
        <row r="52123">
          <cell r="O52123" t="str">
            <v/>
          </cell>
        </row>
        <row r="52124">
          <cell r="O52124" t="str">
            <v/>
          </cell>
        </row>
        <row r="52125">
          <cell r="O52125" t="str">
            <v/>
          </cell>
        </row>
        <row r="52126">
          <cell r="O52126" t="str">
            <v/>
          </cell>
        </row>
        <row r="52127">
          <cell r="O52127" t="str">
            <v/>
          </cell>
        </row>
        <row r="52128">
          <cell r="O52128" t="str">
            <v/>
          </cell>
        </row>
        <row r="52129">
          <cell r="O52129" t="str">
            <v/>
          </cell>
        </row>
        <row r="52130">
          <cell r="O52130" t="str">
            <v/>
          </cell>
        </row>
        <row r="52131">
          <cell r="O52131" t="str">
            <v/>
          </cell>
        </row>
        <row r="52132">
          <cell r="O52132" t="str">
            <v/>
          </cell>
        </row>
        <row r="52133">
          <cell r="O52133" t="str">
            <v/>
          </cell>
        </row>
        <row r="52134">
          <cell r="O52134" t="str">
            <v/>
          </cell>
        </row>
        <row r="52135">
          <cell r="O52135" t="str">
            <v/>
          </cell>
        </row>
        <row r="52136">
          <cell r="O52136" t="str">
            <v/>
          </cell>
        </row>
        <row r="52137">
          <cell r="O52137" t="str">
            <v/>
          </cell>
        </row>
        <row r="52138">
          <cell r="O52138" t="str">
            <v/>
          </cell>
        </row>
        <row r="52139">
          <cell r="O52139" t="str">
            <v/>
          </cell>
        </row>
        <row r="52140">
          <cell r="O52140" t="str">
            <v/>
          </cell>
        </row>
        <row r="52141">
          <cell r="O52141" t="str">
            <v/>
          </cell>
        </row>
        <row r="52142">
          <cell r="O52142" t="str">
            <v/>
          </cell>
        </row>
        <row r="52143">
          <cell r="O52143" t="str">
            <v/>
          </cell>
        </row>
        <row r="52144">
          <cell r="O52144" t="str">
            <v/>
          </cell>
        </row>
        <row r="52145">
          <cell r="O52145" t="str">
            <v/>
          </cell>
        </row>
        <row r="52146">
          <cell r="O52146" t="str">
            <v/>
          </cell>
        </row>
        <row r="52147">
          <cell r="O52147" t="str">
            <v/>
          </cell>
        </row>
        <row r="52148">
          <cell r="O52148" t="str">
            <v/>
          </cell>
        </row>
        <row r="52149">
          <cell r="O52149" t="str">
            <v/>
          </cell>
        </row>
        <row r="52150">
          <cell r="O52150" t="str">
            <v/>
          </cell>
        </row>
        <row r="52151">
          <cell r="O52151" t="str">
            <v/>
          </cell>
        </row>
        <row r="52152">
          <cell r="O52152" t="str">
            <v/>
          </cell>
        </row>
        <row r="52153">
          <cell r="O52153" t="str">
            <v/>
          </cell>
        </row>
        <row r="52154">
          <cell r="O52154" t="str">
            <v/>
          </cell>
        </row>
        <row r="52155">
          <cell r="O52155" t="str">
            <v/>
          </cell>
        </row>
        <row r="52156">
          <cell r="O52156" t="str">
            <v/>
          </cell>
        </row>
        <row r="52157">
          <cell r="O52157" t="str">
            <v/>
          </cell>
        </row>
        <row r="52158">
          <cell r="O52158" t="str">
            <v/>
          </cell>
        </row>
        <row r="52159">
          <cell r="O52159" t="str">
            <v/>
          </cell>
        </row>
        <row r="52160">
          <cell r="O52160" t="str">
            <v/>
          </cell>
        </row>
        <row r="52161">
          <cell r="O52161" t="str">
            <v/>
          </cell>
        </row>
        <row r="52162">
          <cell r="O52162" t="str">
            <v/>
          </cell>
        </row>
        <row r="52163">
          <cell r="O52163" t="str">
            <v/>
          </cell>
        </row>
        <row r="52164">
          <cell r="O52164" t="str">
            <v/>
          </cell>
        </row>
        <row r="52165">
          <cell r="O52165" t="str">
            <v/>
          </cell>
        </row>
        <row r="52166">
          <cell r="O52166" t="str">
            <v/>
          </cell>
        </row>
        <row r="52167">
          <cell r="O52167" t="str">
            <v/>
          </cell>
        </row>
        <row r="52168">
          <cell r="O52168" t="str">
            <v/>
          </cell>
        </row>
        <row r="52169">
          <cell r="O52169" t="str">
            <v/>
          </cell>
        </row>
        <row r="52170">
          <cell r="O52170" t="str">
            <v/>
          </cell>
        </row>
        <row r="52171">
          <cell r="O52171" t="str">
            <v/>
          </cell>
        </row>
        <row r="52172">
          <cell r="O52172" t="str">
            <v/>
          </cell>
        </row>
        <row r="52173">
          <cell r="O52173" t="str">
            <v/>
          </cell>
        </row>
        <row r="52174">
          <cell r="O52174" t="str">
            <v/>
          </cell>
        </row>
        <row r="52175">
          <cell r="O52175" t="str">
            <v/>
          </cell>
        </row>
        <row r="52176">
          <cell r="O52176" t="str">
            <v/>
          </cell>
        </row>
        <row r="52177">
          <cell r="O52177" t="str">
            <v/>
          </cell>
        </row>
        <row r="52178">
          <cell r="O52178" t="str">
            <v/>
          </cell>
        </row>
        <row r="52179">
          <cell r="O52179" t="str">
            <v/>
          </cell>
        </row>
        <row r="52180">
          <cell r="O52180" t="str">
            <v/>
          </cell>
        </row>
        <row r="52181">
          <cell r="O52181" t="str">
            <v/>
          </cell>
        </row>
        <row r="52182">
          <cell r="O52182" t="str">
            <v/>
          </cell>
        </row>
        <row r="52183">
          <cell r="O52183" t="str">
            <v/>
          </cell>
        </row>
        <row r="52184">
          <cell r="O52184" t="str">
            <v/>
          </cell>
        </row>
        <row r="52185">
          <cell r="O52185" t="str">
            <v/>
          </cell>
        </row>
        <row r="52186">
          <cell r="O52186" t="str">
            <v/>
          </cell>
        </row>
        <row r="52187">
          <cell r="O52187" t="str">
            <v/>
          </cell>
        </row>
        <row r="52188">
          <cell r="O52188" t="str">
            <v/>
          </cell>
        </row>
        <row r="52189">
          <cell r="O52189" t="str">
            <v/>
          </cell>
        </row>
        <row r="52190">
          <cell r="O52190" t="str">
            <v/>
          </cell>
        </row>
        <row r="52191">
          <cell r="O52191" t="str">
            <v/>
          </cell>
        </row>
        <row r="52192">
          <cell r="O52192" t="str">
            <v/>
          </cell>
        </row>
        <row r="52193">
          <cell r="O52193" t="str">
            <v/>
          </cell>
        </row>
        <row r="52194">
          <cell r="O52194" t="str">
            <v/>
          </cell>
        </row>
        <row r="52195">
          <cell r="O52195" t="str">
            <v/>
          </cell>
        </row>
        <row r="52196">
          <cell r="O52196" t="str">
            <v/>
          </cell>
        </row>
        <row r="52197">
          <cell r="O52197" t="str">
            <v/>
          </cell>
        </row>
        <row r="52198">
          <cell r="O52198" t="str">
            <v/>
          </cell>
        </row>
        <row r="52199">
          <cell r="O52199" t="str">
            <v/>
          </cell>
        </row>
        <row r="52200">
          <cell r="O52200" t="str">
            <v/>
          </cell>
        </row>
        <row r="52201">
          <cell r="O52201" t="str">
            <v/>
          </cell>
        </row>
        <row r="52202">
          <cell r="O52202" t="str">
            <v/>
          </cell>
        </row>
        <row r="52203">
          <cell r="O52203" t="str">
            <v/>
          </cell>
        </row>
        <row r="52204">
          <cell r="O52204" t="str">
            <v/>
          </cell>
        </row>
        <row r="52205">
          <cell r="O52205" t="str">
            <v/>
          </cell>
        </row>
        <row r="52206">
          <cell r="O52206" t="str">
            <v/>
          </cell>
        </row>
        <row r="52207">
          <cell r="O52207" t="str">
            <v/>
          </cell>
        </row>
        <row r="52208">
          <cell r="O52208" t="str">
            <v/>
          </cell>
        </row>
        <row r="52209">
          <cell r="O52209" t="str">
            <v/>
          </cell>
        </row>
        <row r="52210">
          <cell r="O52210" t="str">
            <v/>
          </cell>
        </row>
        <row r="52211">
          <cell r="O52211" t="str">
            <v/>
          </cell>
        </row>
        <row r="52212">
          <cell r="O52212" t="str">
            <v/>
          </cell>
        </row>
        <row r="52213">
          <cell r="O52213" t="str">
            <v/>
          </cell>
        </row>
        <row r="52214">
          <cell r="O52214" t="str">
            <v/>
          </cell>
        </row>
        <row r="52215">
          <cell r="O52215" t="str">
            <v/>
          </cell>
        </row>
        <row r="52216">
          <cell r="O52216" t="str">
            <v/>
          </cell>
        </row>
        <row r="52217">
          <cell r="O52217" t="str">
            <v/>
          </cell>
        </row>
        <row r="52218">
          <cell r="O52218" t="str">
            <v/>
          </cell>
        </row>
        <row r="52219">
          <cell r="O52219" t="str">
            <v/>
          </cell>
        </row>
        <row r="52220">
          <cell r="O52220" t="str">
            <v/>
          </cell>
        </row>
        <row r="52221">
          <cell r="O52221" t="str">
            <v/>
          </cell>
        </row>
        <row r="52222">
          <cell r="O52222" t="str">
            <v/>
          </cell>
        </row>
        <row r="52223">
          <cell r="O52223" t="str">
            <v/>
          </cell>
        </row>
        <row r="52224">
          <cell r="O52224" t="str">
            <v/>
          </cell>
        </row>
        <row r="52225">
          <cell r="O52225" t="str">
            <v/>
          </cell>
        </row>
        <row r="52226">
          <cell r="O52226" t="str">
            <v/>
          </cell>
        </row>
        <row r="52227">
          <cell r="O52227" t="str">
            <v/>
          </cell>
        </row>
        <row r="52228">
          <cell r="O52228" t="str">
            <v/>
          </cell>
        </row>
        <row r="52229">
          <cell r="O52229" t="str">
            <v/>
          </cell>
        </row>
        <row r="52230">
          <cell r="O52230" t="str">
            <v/>
          </cell>
        </row>
        <row r="52231">
          <cell r="O52231" t="str">
            <v/>
          </cell>
        </row>
        <row r="52232">
          <cell r="O52232" t="str">
            <v/>
          </cell>
        </row>
        <row r="52233">
          <cell r="O52233" t="str">
            <v/>
          </cell>
        </row>
        <row r="52234">
          <cell r="O52234" t="str">
            <v/>
          </cell>
        </row>
        <row r="52235">
          <cell r="O52235" t="str">
            <v/>
          </cell>
        </row>
        <row r="52236">
          <cell r="O52236" t="str">
            <v/>
          </cell>
        </row>
        <row r="52237">
          <cell r="O52237" t="str">
            <v/>
          </cell>
        </row>
        <row r="52238">
          <cell r="O52238" t="str">
            <v/>
          </cell>
        </row>
        <row r="52239">
          <cell r="O52239" t="str">
            <v/>
          </cell>
        </row>
        <row r="52240">
          <cell r="O52240" t="str">
            <v/>
          </cell>
        </row>
        <row r="52241">
          <cell r="O52241" t="str">
            <v/>
          </cell>
        </row>
        <row r="52242">
          <cell r="O52242" t="str">
            <v/>
          </cell>
        </row>
        <row r="52243">
          <cell r="O52243" t="str">
            <v/>
          </cell>
        </row>
        <row r="52244">
          <cell r="O52244" t="str">
            <v/>
          </cell>
        </row>
        <row r="52245">
          <cell r="O52245" t="str">
            <v/>
          </cell>
        </row>
        <row r="52246">
          <cell r="O52246" t="str">
            <v/>
          </cell>
        </row>
        <row r="52247">
          <cell r="O52247" t="str">
            <v/>
          </cell>
        </row>
        <row r="52248">
          <cell r="O52248" t="str">
            <v/>
          </cell>
        </row>
        <row r="52249">
          <cell r="O52249" t="str">
            <v/>
          </cell>
        </row>
        <row r="52250">
          <cell r="O52250" t="str">
            <v/>
          </cell>
        </row>
        <row r="52251">
          <cell r="O52251" t="str">
            <v/>
          </cell>
        </row>
        <row r="52252">
          <cell r="O52252" t="str">
            <v/>
          </cell>
        </row>
        <row r="52253">
          <cell r="O52253" t="str">
            <v/>
          </cell>
        </row>
        <row r="52254">
          <cell r="O52254" t="str">
            <v/>
          </cell>
        </row>
        <row r="52255">
          <cell r="O52255" t="str">
            <v/>
          </cell>
        </row>
        <row r="52256">
          <cell r="O52256" t="str">
            <v/>
          </cell>
        </row>
        <row r="52257">
          <cell r="O52257" t="str">
            <v/>
          </cell>
        </row>
        <row r="52258">
          <cell r="O52258" t="str">
            <v/>
          </cell>
        </row>
        <row r="52259">
          <cell r="O52259" t="str">
            <v/>
          </cell>
        </row>
        <row r="52260">
          <cell r="O52260" t="str">
            <v/>
          </cell>
        </row>
        <row r="52261">
          <cell r="O52261" t="str">
            <v/>
          </cell>
        </row>
        <row r="52262">
          <cell r="O52262" t="str">
            <v/>
          </cell>
        </row>
        <row r="52263">
          <cell r="O52263" t="str">
            <v/>
          </cell>
        </row>
        <row r="52264">
          <cell r="O52264" t="str">
            <v/>
          </cell>
        </row>
        <row r="52265">
          <cell r="O52265" t="str">
            <v/>
          </cell>
        </row>
        <row r="52266">
          <cell r="O52266" t="str">
            <v/>
          </cell>
        </row>
        <row r="52267">
          <cell r="O52267" t="str">
            <v/>
          </cell>
        </row>
        <row r="52268">
          <cell r="O52268" t="str">
            <v/>
          </cell>
        </row>
        <row r="52269">
          <cell r="O52269" t="str">
            <v/>
          </cell>
        </row>
        <row r="52270">
          <cell r="O52270" t="str">
            <v/>
          </cell>
        </row>
        <row r="52271">
          <cell r="O52271" t="str">
            <v/>
          </cell>
        </row>
        <row r="52272">
          <cell r="O52272" t="str">
            <v/>
          </cell>
        </row>
        <row r="52273">
          <cell r="O52273" t="str">
            <v/>
          </cell>
        </row>
        <row r="52274">
          <cell r="O52274" t="str">
            <v/>
          </cell>
        </row>
        <row r="52275">
          <cell r="O52275" t="str">
            <v/>
          </cell>
        </row>
        <row r="52276">
          <cell r="O52276" t="str">
            <v/>
          </cell>
        </row>
        <row r="52277">
          <cell r="O52277" t="str">
            <v/>
          </cell>
        </row>
        <row r="52278">
          <cell r="O52278" t="str">
            <v/>
          </cell>
        </row>
        <row r="52279">
          <cell r="O52279" t="str">
            <v/>
          </cell>
        </row>
        <row r="52280">
          <cell r="O52280" t="str">
            <v/>
          </cell>
        </row>
        <row r="52281">
          <cell r="O52281" t="str">
            <v/>
          </cell>
        </row>
        <row r="52282">
          <cell r="O52282" t="str">
            <v/>
          </cell>
        </row>
        <row r="52283">
          <cell r="O52283" t="str">
            <v/>
          </cell>
        </row>
        <row r="52284">
          <cell r="O52284" t="str">
            <v/>
          </cell>
        </row>
        <row r="52285">
          <cell r="O52285" t="str">
            <v/>
          </cell>
        </row>
        <row r="52286">
          <cell r="O52286" t="str">
            <v/>
          </cell>
        </row>
        <row r="52287">
          <cell r="O52287" t="str">
            <v/>
          </cell>
        </row>
        <row r="52288">
          <cell r="O52288" t="str">
            <v/>
          </cell>
        </row>
        <row r="52289">
          <cell r="O52289" t="str">
            <v/>
          </cell>
        </row>
        <row r="52290">
          <cell r="O52290" t="str">
            <v/>
          </cell>
        </row>
        <row r="52291">
          <cell r="O52291" t="str">
            <v/>
          </cell>
        </row>
        <row r="52292">
          <cell r="O52292" t="str">
            <v/>
          </cell>
        </row>
        <row r="52293">
          <cell r="O52293" t="str">
            <v/>
          </cell>
        </row>
        <row r="52294">
          <cell r="O52294" t="str">
            <v/>
          </cell>
        </row>
        <row r="52295">
          <cell r="O52295" t="str">
            <v/>
          </cell>
        </row>
        <row r="52296">
          <cell r="O52296" t="str">
            <v/>
          </cell>
        </row>
        <row r="52297">
          <cell r="O52297" t="str">
            <v/>
          </cell>
        </row>
        <row r="52298">
          <cell r="O52298" t="str">
            <v/>
          </cell>
        </row>
        <row r="52299">
          <cell r="O52299" t="str">
            <v/>
          </cell>
        </row>
        <row r="52300">
          <cell r="O52300" t="str">
            <v/>
          </cell>
        </row>
        <row r="52301">
          <cell r="O52301" t="str">
            <v/>
          </cell>
        </row>
        <row r="52302">
          <cell r="O52302" t="str">
            <v/>
          </cell>
        </row>
        <row r="52303">
          <cell r="O52303" t="str">
            <v/>
          </cell>
        </row>
        <row r="52304">
          <cell r="O52304" t="str">
            <v/>
          </cell>
        </row>
        <row r="52305">
          <cell r="O52305" t="str">
            <v/>
          </cell>
        </row>
        <row r="52306">
          <cell r="O52306" t="str">
            <v/>
          </cell>
        </row>
        <row r="52307">
          <cell r="O52307" t="str">
            <v/>
          </cell>
        </row>
        <row r="52308">
          <cell r="O52308" t="str">
            <v/>
          </cell>
        </row>
        <row r="52309">
          <cell r="O52309" t="str">
            <v/>
          </cell>
        </row>
        <row r="52310">
          <cell r="O52310" t="str">
            <v/>
          </cell>
        </row>
        <row r="52311">
          <cell r="O52311" t="str">
            <v/>
          </cell>
        </row>
        <row r="52312">
          <cell r="O52312" t="str">
            <v/>
          </cell>
        </row>
        <row r="52313">
          <cell r="O52313" t="str">
            <v/>
          </cell>
        </row>
        <row r="52314">
          <cell r="O52314" t="str">
            <v/>
          </cell>
        </row>
        <row r="52315">
          <cell r="O52315" t="str">
            <v/>
          </cell>
        </row>
        <row r="52316">
          <cell r="O52316" t="str">
            <v/>
          </cell>
        </row>
        <row r="52317">
          <cell r="O52317" t="str">
            <v/>
          </cell>
        </row>
        <row r="52318">
          <cell r="O52318" t="str">
            <v/>
          </cell>
        </row>
        <row r="52319">
          <cell r="O52319" t="str">
            <v/>
          </cell>
        </row>
        <row r="52320">
          <cell r="O52320" t="str">
            <v/>
          </cell>
        </row>
        <row r="52321">
          <cell r="O52321" t="str">
            <v/>
          </cell>
        </row>
        <row r="52322">
          <cell r="O52322" t="str">
            <v/>
          </cell>
        </row>
        <row r="52323">
          <cell r="O52323" t="str">
            <v/>
          </cell>
        </row>
        <row r="52324">
          <cell r="O52324" t="str">
            <v/>
          </cell>
        </row>
        <row r="52325">
          <cell r="O52325" t="str">
            <v/>
          </cell>
        </row>
        <row r="52326">
          <cell r="O52326" t="str">
            <v/>
          </cell>
        </row>
        <row r="52327">
          <cell r="O52327" t="str">
            <v/>
          </cell>
        </row>
        <row r="52328">
          <cell r="O52328" t="str">
            <v/>
          </cell>
        </row>
        <row r="52329">
          <cell r="O52329" t="str">
            <v/>
          </cell>
        </row>
        <row r="52330">
          <cell r="O52330" t="str">
            <v/>
          </cell>
        </row>
        <row r="52331">
          <cell r="O52331" t="str">
            <v/>
          </cell>
        </row>
        <row r="52332">
          <cell r="O52332" t="str">
            <v/>
          </cell>
        </row>
        <row r="52333">
          <cell r="O52333" t="str">
            <v/>
          </cell>
        </row>
        <row r="52334">
          <cell r="O52334" t="str">
            <v/>
          </cell>
        </row>
        <row r="52335">
          <cell r="O52335" t="str">
            <v/>
          </cell>
        </row>
        <row r="52336">
          <cell r="O52336" t="str">
            <v/>
          </cell>
        </row>
        <row r="52337">
          <cell r="O52337" t="str">
            <v/>
          </cell>
        </row>
        <row r="52338">
          <cell r="O52338" t="str">
            <v/>
          </cell>
        </row>
        <row r="52339">
          <cell r="O52339" t="str">
            <v/>
          </cell>
        </row>
        <row r="52340">
          <cell r="O52340" t="str">
            <v/>
          </cell>
        </row>
        <row r="52341">
          <cell r="O52341" t="str">
            <v/>
          </cell>
        </row>
        <row r="52342">
          <cell r="O52342" t="str">
            <v/>
          </cell>
        </row>
        <row r="52343">
          <cell r="O52343" t="str">
            <v/>
          </cell>
        </row>
        <row r="52344">
          <cell r="O52344" t="str">
            <v/>
          </cell>
        </row>
        <row r="52345">
          <cell r="O52345" t="str">
            <v/>
          </cell>
        </row>
        <row r="52346">
          <cell r="O52346" t="str">
            <v/>
          </cell>
        </row>
        <row r="52347">
          <cell r="O52347" t="str">
            <v/>
          </cell>
        </row>
        <row r="52348">
          <cell r="O52348" t="str">
            <v/>
          </cell>
        </row>
        <row r="52349">
          <cell r="O52349" t="str">
            <v/>
          </cell>
        </row>
        <row r="52350">
          <cell r="O52350" t="str">
            <v/>
          </cell>
        </row>
        <row r="52351">
          <cell r="O52351" t="str">
            <v/>
          </cell>
        </row>
        <row r="52352">
          <cell r="O52352" t="str">
            <v/>
          </cell>
        </row>
        <row r="52353">
          <cell r="O52353" t="str">
            <v/>
          </cell>
        </row>
        <row r="52354">
          <cell r="O52354" t="str">
            <v/>
          </cell>
        </row>
        <row r="52355">
          <cell r="O52355" t="str">
            <v/>
          </cell>
        </row>
        <row r="52356">
          <cell r="O52356" t="str">
            <v/>
          </cell>
        </row>
        <row r="52357">
          <cell r="O52357" t="str">
            <v/>
          </cell>
        </row>
        <row r="52358">
          <cell r="O52358" t="str">
            <v/>
          </cell>
        </row>
        <row r="52359">
          <cell r="O52359" t="str">
            <v/>
          </cell>
        </row>
        <row r="52360">
          <cell r="O52360" t="str">
            <v/>
          </cell>
        </row>
        <row r="52361">
          <cell r="O52361" t="str">
            <v/>
          </cell>
        </row>
        <row r="52362">
          <cell r="O52362" t="str">
            <v/>
          </cell>
        </row>
        <row r="52363">
          <cell r="O52363" t="str">
            <v/>
          </cell>
        </row>
        <row r="52364">
          <cell r="O52364" t="str">
            <v/>
          </cell>
        </row>
        <row r="52365">
          <cell r="O52365" t="str">
            <v/>
          </cell>
        </row>
        <row r="52366">
          <cell r="O52366" t="str">
            <v/>
          </cell>
        </row>
        <row r="52367">
          <cell r="O52367" t="str">
            <v/>
          </cell>
        </row>
        <row r="52368">
          <cell r="O52368" t="str">
            <v/>
          </cell>
        </row>
        <row r="52369">
          <cell r="O52369" t="str">
            <v/>
          </cell>
        </row>
        <row r="52370">
          <cell r="O52370" t="str">
            <v/>
          </cell>
        </row>
        <row r="52371">
          <cell r="O52371" t="str">
            <v/>
          </cell>
        </row>
        <row r="52372">
          <cell r="O52372" t="str">
            <v/>
          </cell>
        </row>
        <row r="52373">
          <cell r="O52373" t="str">
            <v/>
          </cell>
        </row>
        <row r="52374">
          <cell r="O52374" t="str">
            <v/>
          </cell>
        </row>
        <row r="52375">
          <cell r="O52375" t="str">
            <v/>
          </cell>
        </row>
        <row r="52376">
          <cell r="O52376" t="str">
            <v/>
          </cell>
        </row>
        <row r="52377">
          <cell r="O52377" t="str">
            <v/>
          </cell>
        </row>
        <row r="52378">
          <cell r="O52378" t="str">
            <v/>
          </cell>
        </row>
        <row r="52379">
          <cell r="O52379" t="str">
            <v/>
          </cell>
        </row>
        <row r="52380">
          <cell r="O52380" t="str">
            <v/>
          </cell>
        </row>
        <row r="52381">
          <cell r="O52381" t="str">
            <v/>
          </cell>
        </row>
        <row r="52382">
          <cell r="O52382" t="str">
            <v/>
          </cell>
        </row>
        <row r="52383">
          <cell r="O52383" t="str">
            <v/>
          </cell>
        </row>
        <row r="52384">
          <cell r="O52384" t="str">
            <v/>
          </cell>
        </row>
        <row r="52385">
          <cell r="O52385" t="str">
            <v/>
          </cell>
        </row>
        <row r="52386">
          <cell r="O52386" t="str">
            <v/>
          </cell>
        </row>
        <row r="52387">
          <cell r="O52387" t="str">
            <v/>
          </cell>
        </row>
        <row r="52388">
          <cell r="O52388" t="str">
            <v/>
          </cell>
        </row>
        <row r="52389">
          <cell r="O52389" t="str">
            <v/>
          </cell>
        </row>
        <row r="52390">
          <cell r="O52390" t="str">
            <v/>
          </cell>
        </row>
        <row r="52391">
          <cell r="O52391" t="str">
            <v/>
          </cell>
        </row>
        <row r="52392">
          <cell r="O52392" t="str">
            <v/>
          </cell>
        </row>
        <row r="52393">
          <cell r="O52393" t="str">
            <v/>
          </cell>
        </row>
        <row r="52394">
          <cell r="O52394" t="str">
            <v/>
          </cell>
        </row>
        <row r="52395">
          <cell r="O52395" t="str">
            <v/>
          </cell>
        </row>
        <row r="52396">
          <cell r="O52396" t="str">
            <v/>
          </cell>
        </row>
        <row r="52397">
          <cell r="O52397" t="str">
            <v/>
          </cell>
        </row>
        <row r="52398">
          <cell r="O52398" t="str">
            <v/>
          </cell>
        </row>
        <row r="52399">
          <cell r="O52399" t="str">
            <v/>
          </cell>
        </row>
        <row r="52400">
          <cell r="O52400" t="str">
            <v/>
          </cell>
        </row>
        <row r="52401">
          <cell r="O52401" t="str">
            <v/>
          </cell>
        </row>
        <row r="52402">
          <cell r="O52402" t="str">
            <v/>
          </cell>
        </row>
        <row r="52403">
          <cell r="O52403" t="str">
            <v/>
          </cell>
        </row>
        <row r="52404">
          <cell r="O52404" t="str">
            <v/>
          </cell>
        </row>
        <row r="52405">
          <cell r="O52405" t="str">
            <v/>
          </cell>
        </row>
        <row r="52406">
          <cell r="O52406" t="str">
            <v/>
          </cell>
        </row>
        <row r="52407">
          <cell r="O52407" t="str">
            <v/>
          </cell>
        </row>
        <row r="52408">
          <cell r="O52408" t="str">
            <v/>
          </cell>
        </row>
        <row r="52409">
          <cell r="O52409" t="str">
            <v/>
          </cell>
        </row>
        <row r="52410">
          <cell r="O52410" t="str">
            <v/>
          </cell>
        </row>
        <row r="52411">
          <cell r="O52411" t="str">
            <v/>
          </cell>
        </row>
        <row r="52412">
          <cell r="O52412" t="str">
            <v/>
          </cell>
        </row>
        <row r="52413">
          <cell r="O52413" t="str">
            <v/>
          </cell>
        </row>
        <row r="52414">
          <cell r="O52414" t="str">
            <v/>
          </cell>
        </row>
        <row r="52415">
          <cell r="O52415" t="str">
            <v/>
          </cell>
        </row>
        <row r="52416">
          <cell r="O52416" t="str">
            <v/>
          </cell>
        </row>
        <row r="52417">
          <cell r="O52417" t="str">
            <v/>
          </cell>
        </row>
        <row r="52418">
          <cell r="O52418" t="str">
            <v/>
          </cell>
        </row>
        <row r="52419">
          <cell r="O52419" t="str">
            <v/>
          </cell>
        </row>
        <row r="52420">
          <cell r="O52420" t="str">
            <v/>
          </cell>
        </row>
        <row r="52421">
          <cell r="O52421" t="str">
            <v/>
          </cell>
        </row>
        <row r="52422">
          <cell r="O52422" t="str">
            <v/>
          </cell>
        </row>
        <row r="52423">
          <cell r="O52423" t="str">
            <v/>
          </cell>
        </row>
        <row r="52424">
          <cell r="O52424" t="str">
            <v/>
          </cell>
        </row>
        <row r="52425">
          <cell r="O52425" t="str">
            <v/>
          </cell>
        </row>
        <row r="52426">
          <cell r="O52426" t="str">
            <v/>
          </cell>
        </row>
        <row r="52427">
          <cell r="O52427" t="str">
            <v/>
          </cell>
        </row>
        <row r="52428">
          <cell r="O52428" t="str">
            <v/>
          </cell>
        </row>
        <row r="52429">
          <cell r="O52429" t="str">
            <v/>
          </cell>
        </row>
        <row r="52430">
          <cell r="O52430" t="str">
            <v/>
          </cell>
        </row>
        <row r="52431">
          <cell r="O52431" t="str">
            <v/>
          </cell>
        </row>
        <row r="52432">
          <cell r="O52432" t="str">
            <v/>
          </cell>
        </row>
        <row r="52433">
          <cell r="O52433" t="str">
            <v/>
          </cell>
        </row>
        <row r="52434">
          <cell r="O52434" t="str">
            <v/>
          </cell>
        </row>
        <row r="52435">
          <cell r="O52435" t="str">
            <v/>
          </cell>
        </row>
        <row r="52436">
          <cell r="O52436" t="str">
            <v/>
          </cell>
        </row>
        <row r="52437">
          <cell r="O52437" t="str">
            <v/>
          </cell>
        </row>
        <row r="52438">
          <cell r="O52438" t="str">
            <v/>
          </cell>
        </row>
        <row r="52439">
          <cell r="O52439" t="str">
            <v/>
          </cell>
        </row>
        <row r="52440">
          <cell r="O52440" t="str">
            <v/>
          </cell>
        </row>
        <row r="52441">
          <cell r="O52441" t="str">
            <v/>
          </cell>
        </row>
        <row r="52442">
          <cell r="O52442" t="str">
            <v/>
          </cell>
        </row>
        <row r="52443">
          <cell r="O52443" t="str">
            <v/>
          </cell>
        </row>
        <row r="52444">
          <cell r="O52444" t="str">
            <v/>
          </cell>
        </row>
        <row r="52445">
          <cell r="O52445" t="str">
            <v/>
          </cell>
        </row>
        <row r="52446">
          <cell r="O52446" t="str">
            <v/>
          </cell>
        </row>
        <row r="52447">
          <cell r="O52447" t="str">
            <v/>
          </cell>
        </row>
        <row r="52448">
          <cell r="O52448" t="str">
            <v/>
          </cell>
        </row>
        <row r="52449">
          <cell r="O52449" t="str">
            <v/>
          </cell>
        </row>
        <row r="52450">
          <cell r="O52450" t="str">
            <v/>
          </cell>
        </row>
        <row r="52451">
          <cell r="O52451" t="str">
            <v/>
          </cell>
        </row>
        <row r="52452">
          <cell r="O52452" t="str">
            <v/>
          </cell>
        </row>
        <row r="52453">
          <cell r="O52453" t="str">
            <v/>
          </cell>
        </row>
        <row r="52454">
          <cell r="O52454" t="str">
            <v/>
          </cell>
        </row>
        <row r="52455">
          <cell r="O52455" t="str">
            <v/>
          </cell>
        </row>
        <row r="52456">
          <cell r="O52456" t="str">
            <v/>
          </cell>
        </row>
        <row r="52457">
          <cell r="O52457" t="str">
            <v/>
          </cell>
        </row>
        <row r="52458">
          <cell r="O52458" t="str">
            <v/>
          </cell>
        </row>
        <row r="52459">
          <cell r="O52459" t="str">
            <v/>
          </cell>
        </row>
        <row r="52460">
          <cell r="O52460" t="str">
            <v/>
          </cell>
        </row>
        <row r="52461">
          <cell r="O52461" t="str">
            <v/>
          </cell>
        </row>
        <row r="52462">
          <cell r="O52462" t="str">
            <v/>
          </cell>
        </row>
        <row r="52463">
          <cell r="O52463" t="str">
            <v/>
          </cell>
        </row>
        <row r="52464">
          <cell r="O52464" t="str">
            <v/>
          </cell>
        </row>
        <row r="52465">
          <cell r="O52465" t="str">
            <v/>
          </cell>
        </row>
        <row r="52466">
          <cell r="O52466" t="str">
            <v/>
          </cell>
        </row>
        <row r="52467">
          <cell r="O52467" t="str">
            <v/>
          </cell>
        </row>
        <row r="52468">
          <cell r="O52468" t="str">
            <v/>
          </cell>
        </row>
        <row r="52469">
          <cell r="O52469" t="str">
            <v/>
          </cell>
        </row>
        <row r="52470">
          <cell r="O52470" t="str">
            <v/>
          </cell>
        </row>
        <row r="52471">
          <cell r="O52471" t="str">
            <v/>
          </cell>
        </row>
        <row r="52472">
          <cell r="O52472" t="str">
            <v/>
          </cell>
        </row>
        <row r="52473">
          <cell r="O52473" t="str">
            <v/>
          </cell>
        </row>
        <row r="52474">
          <cell r="O52474" t="str">
            <v/>
          </cell>
        </row>
        <row r="52475">
          <cell r="O52475" t="str">
            <v/>
          </cell>
        </row>
        <row r="52476">
          <cell r="O52476" t="str">
            <v/>
          </cell>
        </row>
        <row r="52477">
          <cell r="O52477" t="str">
            <v/>
          </cell>
        </row>
        <row r="52478">
          <cell r="O52478" t="str">
            <v/>
          </cell>
        </row>
        <row r="52479">
          <cell r="O52479" t="str">
            <v/>
          </cell>
        </row>
        <row r="52480">
          <cell r="O52480" t="str">
            <v/>
          </cell>
        </row>
        <row r="52481">
          <cell r="O52481" t="str">
            <v/>
          </cell>
        </row>
        <row r="52482">
          <cell r="O52482" t="str">
            <v/>
          </cell>
        </row>
        <row r="52483">
          <cell r="O52483" t="str">
            <v/>
          </cell>
        </row>
        <row r="52484">
          <cell r="O52484" t="str">
            <v/>
          </cell>
        </row>
        <row r="52485">
          <cell r="O52485" t="str">
            <v/>
          </cell>
        </row>
        <row r="52486">
          <cell r="O52486" t="str">
            <v/>
          </cell>
        </row>
        <row r="52487">
          <cell r="O52487" t="str">
            <v/>
          </cell>
        </row>
        <row r="52488">
          <cell r="O52488" t="str">
            <v/>
          </cell>
        </row>
        <row r="52489">
          <cell r="O52489" t="str">
            <v/>
          </cell>
        </row>
        <row r="52490">
          <cell r="O52490" t="str">
            <v/>
          </cell>
        </row>
        <row r="52491">
          <cell r="O52491" t="str">
            <v/>
          </cell>
        </row>
        <row r="52492">
          <cell r="O52492" t="str">
            <v/>
          </cell>
        </row>
        <row r="52493">
          <cell r="O52493" t="str">
            <v/>
          </cell>
        </row>
        <row r="52494">
          <cell r="O52494" t="str">
            <v/>
          </cell>
        </row>
        <row r="52495">
          <cell r="O52495" t="str">
            <v/>
          </cell>
        </row>
        <row r="52496">
          <cell r="O52496" t="str">
            <v/>
          </cell>
        </row>
        <row r="52497">
          <cell r="O52497" t="str">
            <v/>
          </cell>
        </row>
        <row r="52498">
          <cell r="O52498" t="str">
            <v/>
          </cell>
        </row>
        <row r="52499">
          <cell r="O52499" t="str">
            <v/>
          </cell>
        </row>
        <row r="52500">
          <cell r="O52500" t="str">
            <v/>
          </cell>
        </row>
        <row r="52501">
          <cell r="O52501" t="str">
            <v/>
          </cell>
        </row>
        <row r="52502">
          <cell r="O52502" t="str">
            <v/>
          </cell>
        </row>
        <row r="52503">
          <cell r="O52503" t="str">
            <v/>
          </cell>
        </row>
        <row r="52504">
          <cell r="O52504" t="str">
            <v/>
          </cell>
        </row>
        <row r="52505">
          <cell r="O52505" t="str">
            <v/>
          </cell>
        </row>
        <row r="52506">
          <cell r="O52506" t="str">
            <v/>
          </cell>
        </row>
        <row r="52507">
          <cell r="O52507" t="str">
            <v/>
          </cell>
        </row>
        <row r="52508">
          <cell r="O52508" t="str">
            <v/>
          </cell>
        </row>
        <row r="52509">
          <cell r="O52509" t="str">
            <v/>
          </cell>
        </row>
        <row r="52510">
          <cell r="O52510" t="str">
            <v/>
          </cell>
        </row>
        <row r="52511">
          <cell r="O52511" t="str">
            <v/>
          </cell>
        </row>
        <row r="52512">
          <cell r="O52512" t="str">
            <v/>
          </cell>
        </row>
        <row r="52513">
          <cell r="O52513" t="str">
            <v/>
          </cell>
        </row>
        <row r="52514">
          <cell r="O52514" t="str">
            <v/>
          </cell>
        </row>
        <row r="52515">
          <cell r="O52515" t="str">
            <v/>
          </cell>
        </row>
        <row r="52516">
          <cell r="O52516" t="str">
            <v/>
          </cell>
        </row>
        <row r="52517">
          <cell r="O52517" t="str">
            <v/>
          </cell>
        </row>
        <row r="52518">
          <cell r="O52518" t="str">
            <v/>
          </cell>
        </row>
        <row r="52519">
          <cell r="O52519" t="str">
            <v/>
          </cell>
        </row>
        <row r="52520">
          <cell r="O52520" t="str">
            <v/>
          </cell>
        </row>
        <row r="52521">
          <cell r="O52521" t="str">
            <v/>
          </cell>
        </row>
        <row r="52522">
          <cell r="O52522" t="str">
            <v/>
          </cell>
        </row>
        <row r="52523">
          <cell r="O52523" t="str">
            <v/>
          </cell>
        </row>
        <row r="52524">
          <cell r="O52524" t="str">
            <v/>
          </cell>
        </row>
        <row r="52525">
          <cell r="O52525" t="str">
            <v/>
          </cell>
        </row>
        <row r="52526">
          <cell r="O52526" t="str">
            <v/>
          </cell>
        </row>
        <row r="52527">
          <cell r="O52527" t="str">
            <v/>
          </cell>
        </row>
        <row r="52528">
          <cell r="O52528" t="str">
            <v/>
          </cell>
        </row>
        <row r="52529">
          <cell r="O52529" t="str">
            <v/>
          </cell>
        </row>
        <row r="52530">
          <cell r="O52530" t="str">
            <v/>
          </cell>
        </row>
        <row r="52531">
          <cell r="O52531" t="str">
            <v/>
          </cell>
        </row>
        <row r="52532">
          <cell r="O52532" t="str">
            <v/>
          </cell>
        </row>
        <row r="52533">
          <cell r="O52533" t="str">
            <v/>
          </cell>
        </row>
        <row r="52534">
          <cell r="O52534" t="str">
            <v/>
          </cell>
        </row>
        <row r="52535">
          <cell r="O52535" t="str">
            <v/>
          </cell>
        </row>
        <row r="52536">
          <cell r="O52536" t="str">
            <v/>
          </cell>
        </row>
        <row r="52537">
          <cell r="O52537" t="str">
            <v/>
          </cell>
        </row>
        <row r="52538">
          <cell r="O52538" t="str">
            <v/>
          </cell>
        </row>
        <row r="52539">
          <cell r="O52539" t="str">
            <v/>
          </cell>
        </row>
        <row r="52540">
          <cell r="O52540" t="str">
            <v/>
          </cell>
        </row>
        <row r="52541">
          <cell r="O52541" t="str">
            <v/>
          </cell>
        </row>
        <row r="52542">
          <cell r="O52542" t="str">
            <v/>
          </cell>
        </row>
        <row r="52543">
          <cell r="O52543" t="str">
            <v/>
          </cell>
        </row>
        <row r="52544">
          <cell r="O52544" t="str">
            <v/>
          </cell>
        </row>
        <row r="52545">
          <cell r="O52545" t="str">
            <v/>
          </cell>
        </row>
        <row r="52546">
          <cell r="O52546" t="str">
            <v/>
          </cell>
        </row>
        <row r="52547">
          <cell r="O52547" t="str">
            <v/>
          </cell>
        </row>
        <row r="52548">
          <cell r="O52548" t="str">
            <v/>
          </cell>
        </row>
        <row r="52549">
          <cell r="O52549" t="str">
            <v/>
          </cell>
        </row>
        <row r="52550">
          <cell r="O52550" t="str">
            <v/>
          </cell>
        </row>
        <row r="52551">
          <cell r="O52551" t="str">
            <v/>
          </cell>
        </row>
        <row r="52552">
          <cell r="O52552" t="str">
            <v/>
          </cell>
        </row>
        <row r="52553">
          <cell r="O52553" t="str">
            <v/>
          </cell>
        </row>
        <row r="52554">
          <cell r="O52554" t="str">
            <v/>
          </cell>
        </row>
        <row r="52555">
          <cell r="O52555" t="str">
            <v/>
          </cell>
        </row>
        <row r="52556">
          <cell r="O52556" t="str">
            <v/>
          </cell>
        </row>
        <row r="52557">
          <cell r="O52557" t="str">
            <v/>
          </cell>
        </row>
        <row r="52558">
          <cell r="O52558" t="str">
            <v/>
          </cell>
        </row>
        <row r="52559">
          <cell r="O52559" t="str">
            <v/>
          </cell>
        </row>
        <row r="52560">
          <cell r="O52560" t="str">
            <v/>
          </cell>
        </row>
        <row r="52561">
          <cell r="O52561" t="str">
            <v/>
          </cell>
        </row>
        <row r="52562">
          <cell r="O52562" t="str">
            <v/>
          </cell>
        </row>
        <row r="52563">
          <cell r="O52563" t="str">
            <v/>
          </cell>
        </row>
        <row r="52564">
          <cell r="O52564" t="str">
            <v/>
          </cell>
        </row>
        <row r="52565">
          <cell r="O52565" t="str">
            <v/>
          </cell>
        </row>
        <row r="52566">
          <cell r="O52566" t="str">
            <v/>
          </cell>
        </row>
        <row r="52567">
          <cell r="O52567" t="str">
            <v/>
          </cell>
        </row>
        <row r="52568">
          <cell r="O52568" t="str">
            <v/>
          </cell>
        </row>
        <row r="52569">
          <cell r="O52569" t="str">
            <v/>
          </cell>
        </row>
        <row r="52570">
          <cell r="O52570" t="str">
            <v/>
          </cell>
        </row>
        <row r="52571">
          <cell r="O52571" t="str">
            <v/>
          </cell>
        </row>
        <row r="52572">
          <cell r="O52572" t="str">
            <v/>
          </cell>
        </row>
        <row r="52573">
          <cell r="O52573" t="str">
            <v/>
          </cell>
        </row>
        <row r="52574">
          <cell r="O52574" t="str">
            <v/>
          </cell>
        </row>
        <row r="52575">
          <cell r="O52575" t="str">
            <v/>
          </cell>
        </row>
        <row r="52576">
          <cell r="O52576" t="str">
            <v/>
          </cell>
        </row>
        <row r="52577">
          <cell r="O52577" t="str">
            <v/>
          </cell>
        </row>
        <row r="52578">
          <cell r="O52578" t="str">
            <v/>
          </cell>
        </row>
        <row r="52579">
          <cell r="O52579" t="str">
            <v/>
          </cell>
        </row>
        <row r="52580">
          <cell r="O52580" t="str">
            <v/>
          </cell>
        </row>
        <row r="52581">
          <cell r="O52581" t="str">
            <v/>
          </cell>
        </row>
        <row r="52582">
          <cell r="O52582" t="str">
            <v/>
          </cell>
        </row>
        <row r="52583">
          <cell r="O52583" t="str">
            <v/>
          </cell>
        </row>
        <row r="52584">
          <cell r="O52584" t="str">
            <v/>
          </cell>
        </row>
        <row r="52585">
          <cell r="O52585" t="str">
            <v/>
          </cell>
        </row>
        <row r="52586">
          <cell r="O52586" t="str">
            <v/>
          </cell>
        </row>
        <row r="52587">
          <cell r="O52587" t="str">
            <v/>
          </cell>
        </row>
        <row r="52588">
          <cell r="O52588" t="str">
            <v/>
          </cell>
        </row>
        <row r="52589">
          <cell r="O52589" t="str">
            <v/>
          </cell>
        </row>
        <row r="52590">
          <cell r="O52590" t="str">
            <v/>
          </cell>
        </row>
        <row r="52591">
          <cell r="O52591" t="str">
            <v/>
          </cell>
        </row>
        <row r="52592">
          <cell r="O52592" t="str">
            <v/>
          </cell>
        </row>
        <row r="52593">
          <cell r="O52593" t="str">
            <v/>
          </cell>
        </row>
        <row r="52594">
          <cell r="O52594" t="str">
            <v/>
          </cell>
        </row>
        <row r="52595">
          <cell r="O52595" t="str">
            <v/>
          </cell>
        </row>
        <row r="52596">
          <cell r="O52596" t="str">
            <v/>
          </cell>
        </row>
        <row r="52597">
          <cell r="O52597" t="str">
            <v/>
          </cell>
        </row>
        <row r="52598">
          <cell r="O52598" t="str">
            <v/>
          </cell>
        </row>
        <row r="52599">
          <cell r="O52599" t="str">
            <v/>
          </cell>
        </row>
        <row r="52600">
          <cell r="O52600" t="str">
            <v/>
          </cell>
        </row>
        <row r="52601">
          <cell r="O52601" t="str">
            <v/>
          </cell>
        </row>
        <row r="52602">
          <cell r="O52602" t="str">
            <v/>
          </cell>
        </row>
        <row r="52603">
          <cell r="O52603" t="str">
            <v/>
          </cell>
        </row>
        <row r="52604">
          <cell r="O52604" t="str">
            <v/>
          </cell>
        </row>
        <row r="52605">
          <cell r="O52605" t="str">
            <v/>
          </cell>
        </row>
        <row r="52606">
          <cell r="O52606" t="str">
            <v/>
          </cell>
        </row>
        <row r="52607">
          <cell r="O52607" t="str">
            <v/>
          </cell>
        </row>
        <row r="52608">
          <cell r="O52608" t="str">
            <v/>
          </cell>
        </row>
        <row r="52609">
          <cell r="O52609" t="str">
            <v/>
          </cell>
        </row>
        <row r="52610">
          <cell r="O52610" t="str">
            <v/>
          </cell>
        </row>
        <row r="52611">
          <cell r="O52611" t="str">
            <v/>
          </cell>
        </row>
        <row r="52612">
          <cell r="O52612" t="str">
            <v/>
          </cell>
        </row>
        <row r="52613">
          <cell r="O52613" t="str">
            <v/>
          </cell>
        </row>
        <row r="52614">
          <cell r="O52614" t="str">
            <v/>
          </cell>
        </row>
        <row r="52615">
          <cell r="O52615" t="str">
            <v/>
          </cell>
        </row>
        <row r="52616">
          <cell r="O52616" t="str">
            <v/>
          </cell>
        </row>
        <row r="52617">
          <cell r="O52617" t="str">
            <v/>
          </cell>
        </row>
        <row r="52618">
          <cell r="O52618" t="str">
            <v/>
          </cell>
        </row>
        <row r="52619">
          <cell r="O52619" t="str">
            <v/>
          </cell>
        </row>
        <row r="52620">
          <cell r="O52620" t="str">
            <v/>
          </cell>
        </row>
        <row r="52621">
          <cell r="O52621" t="str">
            <v/>
          </cell>
        </row>
        <row r="52622">
          <cell r="O52622" t="str">
            <v/>
          </cell>
        </row>
        <row r="52623">
          <cell r="O52623" t="str">
            <v/>
          </cell>
        </row>
        <row r="52624">
          <cell r="O52624" t="str">
            <v/>
          </cell>
        </row>
        <row r="52625">
          <cell r="O52625" t="str">
            <v/>
          </cell>
        </row>
        <row r="52626">
          <cell r="O52626" t="str">
            <v/>
          </cell>
        </row>
        <row r="52627">
          <cell r="O52627" t="str">
            <v/>
          </cell>
        </row>
        <row r="52628">
          <cell r="O52628" t="str">
            <v/>
          </cell>
        </row>
        <row r="52629">
          <cell r="O52629" t="str">
            <v/>
          </cell>
        </row>
        <row r="52630">
          <cell r="O52630" t="str">
            <v/>
          </cell>
        </row>
        <row r="52631">
          <cell r="O52631" t="str">
            <v/>
          </cell>
        </row>
        <row r="52632">
          <cell r="O52632" t="str">
            <v/>
          </cell>
        </row>
        <row r="52633">
          <cell r="O52633" t="str">
            <v/>
          </cell>
        </row>
        <row r="52634">
          <cell r="O52634" t="str">
            <v/>
          </cell>
        </row>
        <row r="52635">
          <cell r="O52635" t="str">
            <v/>
          </cell>
        </row>
        <row r="52636">
          <cell r="O52636" t="str">
            <v/>
          </cell>
        </row>
        <row r="52637">
          <cell r="O52637" t="str">
            <v/>
          </cell>
        </row>
        <row r="52638">
          <cell r="O52638" t="str">
            <v/>
          </cell>
        </row>
        <row r="52639">
          <cell r="O52639" t="str">
            <v/>
          </cell>
        </row>
        <row r="52640">
          <cell r="O52640" t="str">
            <v/>
          </cell>
        </row>
        <row r="52641">
          <cell r="O52641" t="str">
            <v/>
          </cell>
        </row>
        <row r="52642">
          <cell r="O52642" t="str">
            <v/>
          </cell>
        </row>
        <row r="52643">
          <cell r="O52643" t="str">
            <v/>
          </cell>
        </row>
        <row r="52644">
          <cell r="O52644" t="str">
            <v/>
          </cell>
        </row>
        <row r="52645">
          <cell r="O52645" t="str">
            <v/>
          </cell>
        </row>
        <row r="52646">
          <cell r="O52646" t="str">
            <v/>
          </cell>
        </row>
        <row r="52647">
          <cell r="O52647" t="str">
            <v/>
          </cell>
        </row>
        <row r="52648">
          <cell r="O52648" t="str">
            <v/>
          </cell>
        </row>
        <row r="52649">
          <cell r="O52649" t="str">
            <v/>
          </cell>
        </row>
        <row r="52650">
          <cell r="O52650" t="str">
            <v/>
          </cell>
        </row>
        <row r="52651">
          <cell r="O52651" t="str">
            <v/>
          </cell>
        </row>
        <row r="52652">
          <cell r="O52652" t="str">
            <v/>
          </cell>
        </row>
        <row r="52653">
          <cell r="O52653" t="str">
            <v/>
          </cell>
        </row>
        <row r="52654">
          <cell r="O52654" t="str">
            <v/>
          </cell>
        </row>
        <row r="52655">
          <cell r="O52655" t="str">
            <v/>
          </cell>
        </row>
        <row r="52656">
          <cell r="O52656" t="str">
            <v/>
          </cell>
        </row>
        <row r="52657">
          <cell r="O52657" t="str">
            <v/>
          </cell>
        </row>
        <row r="52658">
          <cell r="O52658" t="str">
            <v/>
          </cell>
        </row>
        <row r="52659">
          <cell r="O52659" t="str">
            <v/>
          </cell>
        </row>
        <row r="52660">
          <cell r="O52660" t="str">
            <v/>
          </cell>
        </row>
        <row r="52661">
          <cell r="O52661" t="str">
            <v/>
          </cell>
        </row>
        <row r="52662">
          <cell r="O52662" t="str">
            <v/>
          </cell>
        </row>
        <row r="52663">
          <cell r="O52663" t="str">
            <v/>
          </cell>
        </row>
        <row r="52664">
          <cell r="O52664" t="str">
            <v/>
          </cell>
        </row>
        <row r="52665">
          <cell r="O52665" t="str">
            <v/>
          </cell>
        </row>
        <row r="52666">
          <cell r="O52666" t="str">
            <v/>
          </cell>
        </row>
        <row r="52667">
          <cell r="O52667" t="str">
            <v/>
          </cell>
        </row>
        <row r="52668">
          <cell r="O52668" t="str">
            <v/>
          </cell>
        </row>
        <row r="52669">
          <cell r="O52669" t="str">
            <v/>
          </cell>
        </row>
        <row r="52670">
          <cell r="O52670" t="str">
            <v/>
          </cell>
        </row>
        <row r="52671">
          <cell r="O52671" t="str">
            <v/>
          </cell>
        </row>
        <row r="52672">
          <cell r="O52672" t="str">
            <v/>
          </cell>
        </row>
        <row r="52673">
          <cell r="O52673" t="str">
            <v/>
          </cell>
        </row>
        <row r="52674">
          <cell r="O52674" t="str">
            <v/>
          </cell>
        </row>
        <row r="52675">
          <cell r="O52675" t="str">
            <v/>
          </cell>
        </row>
        <row r="52676">
          <cell r="O52676" t="str">
            <v/>
          </cell>
        </row>
        <row r="52677">
          <cell r="O52677" t="str">
            <v/>
          </cell>
        </row>
        <row r="52678">
          <cell r="O52678" t="str">
            <v/>
          </cell>
        </row>
        <row r="52679">
          <cell r="O52679" t="str">
            <v/>
          </cell>
        </row>
        <row r="52680">
          <cell r="O52680" t="str">
            <v/>
          </cell>
        </row>
        <row r="52681">
          <cell r="O52681" t="str">
            <v/>
          </cell>
        </row>
        <row r="52682">
          <cell r="O52682" t="str">
            <v/>
          </cell>
        </row>
        <row r="52683">
          <cell r="O52683" t="str">
            <v/>
          </cell>
        </row>
        <row r="52684">
          <cell r="O52684" t="str">
            <v/>
          </cell>
        </row>
        <row r="52685">
          <cell r="O52685" t="str">
            <v/>
          </cell>
        </row>
        <row r="52686">
          <cell r="O52686" t="str">
            <v/>
          </cell>
        </row>
        <row r="52687">
          <cell r="O52687" t="str">
            <v/>
          </cell>
        </row>
        <row r="52688">
          <cell r="O52688" t="str">
            <v/>
          </cell>
        </row>
        <row r="52689">
          <cell r="O52689" t="str">
            <v/>
          </cell>
        </row>
        <row r="52690">
          <cell r="O52690" t="str">
            <v/>
          </cell>
        </row>
        <row r="52691">
          <cell r="O52691" t="str">
            <v/>
          </cell>
        </row>
        <row r="52692">
          <cell r="O52692" t="str">
            <v/>
          </cell>
        </row>
        <row r="52693">
          <cell r="O52693" t="str">
            <v/>
          </cell>
        </row>
        <row r="52694">
          <cell r="O52694" t="str">
            <v/>
          </cell>
        </row>
        <row r="52695">
          <cell r="O52695" t="str">
            <v/>
          </cell>
        </row>
        <row r="52696">
          <cell r="O52696" t="str">
            <v/>
          </cell>
        </row>
        <row r="52697">
          <cell r="O52697" t="str">
            <v/>
          </cell>
        </row>
        <row r="52698">
          <cell r="O52698" t="str">
            <v/>
          </cell>
        </row>
        <row r="52699">
          <cell r="O52699" t="str">
            <v/>
          </cell>
        </row>
        <row r="52700">
          <cell r="O52700" t="str">
            <v/>
          </cell>
        </row>
        <row r="52701">
          <cell r="O52701" t="str">
            <v/>
          </cell>
        </row>
        <row r="52702">
          <cell r="O52702" t="str">
            <v/>
          </cell>
        </row>
        <row r="52703">
          <cell r="O52703" t="str">
            <v/>
          </cell>
        </row>
        <row r="52704">
          <cell r="O52704" t="str">
            <v/>
          </cell>
        </row>
        <row r="52705">
          <cell r="O52705" t="str">
            <v/>
          </cell>
        </row>
        <row r="52706">
          <cell r="O52706" t="str">
            <v/>
          </cell>
        </row>
        <row r="52707">
          <cell r="O52707" t="str">
            <v/>
          </cell>
        </row>
        <row r="52708">
          <cell r="O52708" t="str">
            <v/>
          </cell>
        </row>
        <row r="52709">
          <cell r="O52709" t="str">
            <v/>
          </cell>
        </row>
        <row r="52710">
          <cell r="O52710" t="str">
            <v/>
          </cell>
        </row>
        <row r="52711">
          <cell r="O52711" t="str">
            <v/>
          </cell>
        </row>
        <row r="52712">
          <cell r="O52712" t="str">
            <v/>
          </cell>
        </row>
        <row r="52713">
          <cell r="O52713" t="str">
            <v/>
          </cell>
        </row>
        <row r="52714">
          <cell r="O52714" t="str">
            <v/>
          </cell>
        </row>
        <row r="52715">
          <cell r="O52715" t="str">
            <v/>
          </cell>
        </row>
        <row r="52716">
          <cell r="O52716" t="str">
            <v/>
          </cell>
        </row>
        <row r="52717">
          <cell r="O52717" t="str">
            <v/>
          </cell>
        </row>
        <row r="52718">
          <cell r="O52718" t="str">
            <v/>
          </cell>
        </row>
        <row r="52719">
          <cell r="O52719" t="str">
            <v/>
          </cell>
        </row>
        <row r="52720">
          <cell r="O52720" t="str">
            <v/>
          </cell>
        </row>
        <row r="52721">
          <cell r="O52721" t="str">
            <v/>
          </cell>
        </row>
        <row r="52722">
          <cell r="O52722" t="str">
            <v/>
          </cell>
        </row>
        <row r="52723">
          <cell r="O52723" t="str">
            <v/>
          </cell>
        </row>
        <row r="52724">
          <cell r="O52724" t="str">
            <v/>
          </cell>
        </row>
        <row r="52725">
          <cell r="O52725" t="str">
            <v/>
          </cell>
        </row>
        <row r="52726">
          <cell r="O52726" t="str">
            <v/>
          </cell>
        </row>
        <row r="52727">
          <cell r="O52727" t="str">
            <v/>
          </cell>
        </row>
        <row r="52728">
          <cell r="O52728" t="str">
            <v/>
          </cell>
        </row>
        <row r="52729">
          <cell r="O52729" t="str">
            <v/>
          </cell>
        </row>
        <row r="52730">
          <cell r="O52730" t="str">
            <v/>
          </cell>
        </row>
        <row r="52731">
          <cell r="O52731" t="str">
            <v/>
          </cell>
        </row>
        <row r="52732">
          <cell r="O52732" t="str">
            <v/>
          </cell>
        </row>
        <row r="52733">
          <cell r="O52733" t="str">
            <v/>
          </cell>
        </row>
        <row r="52734">
          <cell r="O52734" t="str">
            <v/>
          </cell>
        </row>
        <row r="52735">
          <cell r="O52735" t="str">
            <v/>
          </cell>
        </row>
        <row r="52736">
          <cell r="O52736" t="str">
            <v/>
          </cell>
        </row>
        <row r="52737">
          <cell r="O52737" t="str">
            <v/>
          </cell>
        </row>
        <row r="52738">
          <cell r="O52738" t="str">
            <v/>
          </cell>
        </row>
        <row r="52739">
          <cell r="O52739" t="str">
            <v/>
          </cell>
        </row>
        <row r="52740">
          <cell r="O52740" t="str">
            <v/>
          </cell>
        </row>
        <row r="52741">
          <cell r="O52741" t="str">
            <v/>
          </cell>
        </row>
        <row r="52742">
          <cell r="O52742" t="str">
            <v/>
          </cell>
        </row>
        <row r="52743">
          <cell r="O52743" t="str">
            <v/>
          </cell>
        </row>
        <row r="52744">
          <cell r="O52744" t="str">
            <v/>
          </cell>
        </row>
        <row r="52745">
          <cell r="O52745" t="str">
            <v/>
          </cell>
        </row>
        <row r="52746">
          <cell r="O52746" t="str">
            <v/>
          </cell>
        </row>
        <row r="52747">
          <cell r="O52747" t="str">
            <v/>
          </cell>
        </row>
        <row r="52748">
          <cell r="O52748" t="str">
            <v/>
          </cell>
        </row>
        <row r="52749">
          <cell r="O52749" t="str">
            <v/>
          </cell>
        </row>
        <row r="52750">
          <cell r="O52750" t="str">
            <v/>
          </cell>
        </row>
        <row r="52751">
          <cell r="O52751" t="str">
            <v/>
          </cell>
        </row>
        <row r="52752">
          <cell r="O52752" t="str">
            <v/>
          </cell>
        </row>
        <row r="52753">
          <cell r="O52753" t="str">
            <v/>
          </cell>
        </row>
        <row r="52754">
          <cell r="O52754" t="str">
            <v/>
          </cell>
        </row>
        <row r="52755">
          <cell r="O52755" t="str">
            <v/>
          </cell>
        </row>
        <row r="52756">
          <cell r="O52756" t="str">
            <v/>
          </cell>
        </row>
        <row r="52757">
          <cell r="O52757" t="str">
            <v/>
          </cell>
        </row>
        <row r="52758">
          <cell r="O52758" t="str">
            <v/>
          </cell>
        </row>
        <row r="52759">
          <cell r="O52759" t="str">
            <v/>
          </cell>
        </row>
        <row r="52760">
          <cell r="O52760" t="str">
            <v/>
          </cell>
        </row>
        <row r="52761">
          <cell r="O52761" t="str">
            <v/>
          </cell>
        </row>
        <row r="52762">
          <cell r="O52762" t="str">
            <v/>
          </cell>
        </row>
        <row r="52763">
          <cell r="O52763" t="str">
            <v/>
          </cell>
        </row>
        <row r="52764">
          <cell r="O52764" t="str">
            <v/>
          </cell>
        </row>
        <row r="52765">
          <cell r="O52765" t="str">
            <v/>
          </cell>
        </row>
        <row r="52766">
          <cell r="O52766" t="str">
            <v/>
          </cell>
        </row>
        <row r="52767">
          <cell r="O52767" t="str">
            <v/>
          </cell>
        </row>
        <row r="52768">
          <cell r="O52768" t="str">
            <v/>
          </cell>
        </row>
        <row r="52769">
          <cell r="O52769" t="str">
            <v/>
          </cell>
        </row>
        <row r="52770">
          <cell r="O52770" t="str">
            <v/>
          </cell>
        </row>
        <row r="52771">
          <cell r="O52771" t="str">
            <v/>
          </cell>
        </row>
        <row r="52772">
          <cell r="O52772" t="str">
            <v/>
          </cell>
        </row>
        <row r="52773">
          <cell r="O52773" t="str">
            <v/>
          </cell>
        </row>
        <row r="52774">
          <cell r="O52774" t="str">
            <v/>
          </cell>
        </row>
        <row r="52775">
          <cell r="O52775" t="str">
            <v/>
          </cell>
        </row>
        <row r="52776">
          <cell r="O52776" t="str">
            <v/>
          </cell>
        </row>
        <row r="52777">
          <cell r="O52777" t="str">
            <v/>
          </cell>
        </row>
        <row r="52778">
          <cell r="O52778" t="str">
            <v/>
          </cell>
        </row>
        <row r="52779">
          <cell r="O52779" t="str">
            <v/>
          </cell>
        </row>
        <row r="52780">
          <cell r="O52780" t="str">
            <v/>
          </cell>
        </row>
        <row r="52781">
          <cell r="O52781" t="str">
            <v/>
          </cell>
        </row>
        <row r="52782">
          <cell r="O52782" t="str">
            <v/>
          </cell>
        </row>
        <row r="52783">
          <cell r="O52783" t="str">
            <v/>
          </cell>
        </row>
        <row r="52784">
          <cell r="O52784" t="str">
            <v/>
          </cell>
        </row>
        <row r="52785">
          <cell r="O52785" t="str">
            <v/>
          </cell>
        </row>
        <row r="52786">
          <cell r="O52786" t="str">
            <v/>
          </cell>
        </row>
        <row r="52787">
          <cell r="O52787" t="str">
            <v/>
          </cell>
        </row>
        <row r="52788">
          <cell r="O52788" t="str">
            <v/>
          </cell>
        </row>
        <row r="52789">
          <cell r="O52789" t="str">
            <v/>
          </cell>
        </row>
        <row r="52790">
          <cell r="O52790" t="str">
            <v/>
          </cell>
        </row>
        <row r="52791">
          <cell r="O52791" t="str">
            <v/>
          </cell>
        </row>
        <row r="52792">
          <cell r="O52792" t="str">
            <v/>
          </cell>
        </row>
        <row r="52793">
          <cell r="O52793" t="str">
            <v/>
          </cell>
        </row>
        <row r="52794">
          <cell r="O52794" t="str">
            <v/>
          </cell>
        </row>
        <row r="52795">
          <cell r="O52795" t="str">
            <v/>
          </cell>
        </row>
        <row r="52796">
          <cell r="O52796" t="str">
            <v/>
          </cell>
        </row>
        <row r="52797">
          <cell r="O52797" t="str">
            <v/>
          </cell>
        </row>
        <row r="52798">
          <cell r="O52798" t="str">
            <v/>
          </cell>
        </row>
        <row r="52799">
          <cell r="O52799" t="str">
            <v/>
          </cell>
        </row>
        <row r="52800">
          <cell r="O52800" t="str">
            <v/>
          </cell>
        </row>
        <row r="52801">
          <cell r="O52801" t="str">
            <v/>
          </cell>
        </row>
        <row r="52802">
          <cell r="O52802" t="str">
            <v/>
          </cell>
        </row>
        <row r="52803">
          <cell r="O52803" t="str">
            <v/>
          </cell>
        </row>
        <row r="52804">
          <cell r="O52804" t="str">
            <v/>
          </cell>
        </row>
        <row r="52805">
          <cell r="O52805" t="str">
            <v/>
          </cell>
        </row>
        <row r="52806">
          <cell r="O52806" t="str">
            <v/>
          </cell>
        </row>
        <row r="52807">
          <cell r="O52807" t="str">
            <v/>
          </cell>
        </row>
        <row r="52808">
          <cell r="O52808" t="str">
            <v/>
          </cell>
        </row>
        <row r="52809">
          <cell r="O52809" t="str">
            <v/>
          </cell>
        </row>
        <row r="52810">
          <cell r="O52810" t="str">
            <v/>
          </cell>
        </row>
        <row r="52811">
          <cell r="O52811" t="str">
            <v/>
          </cell>
        </row>
        <row r="52812">
          <cell r="O52812" t="str">
            <v/>
          </cell>
        </row>
        <row r="52813">
          <cell r="O52813" t="str">
            <v/>
          </cell>
        </row>
        <row r="52814">
          <cell r="O52814" t="str">
            <v/>
          </cell>
        </row>
        <row r="52815">
          <cell r="O52815" t="str">
            <v/>
          </cell>
        </row>
        <row r="52816">
          <cell r="O52816" t="str">
            <v/>
          </cell>
        </row>
        <row r="52817">
          <cell r="O52817" t="str">
            <v/>
          </cell>
        </row>
        <row r="52818">
          <cell r="O52818" t="str">
            <v/>
          </cell>
        </row>
        <row r="52819">
          <cell r="O52819" t="str">
            <v/>
          </cell>
        </row>
        <row r="52820">
          <cell r="O52820" t="str">
            <v/>
          </cell>
        </row>
        <row r="52821">
          <cell r="O52821" t="str">
            <v/>
          </cell>
        </row>
        <row r="52822">
          <cell r="O52822" t="str">
            <v/>
          </cell>
        </row>
        <row r="52823">
          <cell r="O52823" t="str">
            <v/>
          </cell>
        </row>
        <row r="52824">
          <cell r="O52824" t="str">
            <v/>
          </cell>
        </row>
        <row r="52825">
          <cell r="O52825" t="str">
            <v/>
          </cell>
        </row>
        <row r="52826">
          <cell r="O52826" t="str">
            <v/>
          </cell>
        </row>
        <row r="52827">
          <cell r="O52827" t="str">
            <v/>
          </cell>
        </row>
        <row r="52828">
          <cell r="O52828" t="str">
            <v/>
          </cell>
        </row>
        <row r="52829">
          <cell r="O52829" t="str">
            <v/>
          </cell>
        </row>
        <row r="52830">
          <cell r="O52830" t="str">
            <v/>
          </cell>
        </row>
        <row r="52831">
          <cell r="O52831" t="str">
            <v/>
          </cell>
        </row>
        <row r="52832">
          <cell r="O52832" t="str">
            <v/>
          </cell>
        </row>
        <row r="52833">
          <cell r="O52833" t="str">
            <v/>
          </cell>
        </row>
        <row r="52834">
          <cell r="O52834" t="str">
            <v/>
          </cell>
        </row>
        <row r="52835">
          <cell r="O52835" t="str">
            <v/>
          </cell>
        </row>
        <row r="52836">
          <cell r="O52836" t="str">
            <v/>
          </cell>
        </row>
        <row r="52837">
          <cell r="O52837" t="str">
            <v/>
          </cell>
        </row>
        <row r="52838">
          <cell r="O52838" t="str">
            <v/>
          </cell>
        </row>
        <row r="52839">
          <cell r="O52839" t="str">
            <v/>
          </cell>
        </row>
        <row r="52840">
          <cell r="O52840" t="str">
            <v/>
          </cell>
        </row>
        <row r="52841">
          <cell r="O52841" t="str">
            <v/>
          </cell>
        </row>
        <row r="52842">
          <cell r="O52842" t="str">
            <v/>
          </cell>
        </row>
        <row r="52843">
          <cell r="O52843" t="str">
            <v/>
          </cell>
        </row>
        <row r="52844">
          <cell r="O52844" t="str">
            <v/>
          </cell>
        </row>
        <row r="52845">
          <cell r="O52845" t="str">
            <v/>
          </cell>
        </row>
        <row r="52846">
          <cell r="O52846" t="str">
            <v/>
          </cell>
        </row>
        <row r="52847">
          <cell r="O52847" t="str">
            <v/>
          </cell>
        </row>
        <row r="52848">
          <cell r="O52848" t="str">
            <v/>
          </cell>
        </row>
        <row r="52849">
          <cell r="O52849" t="str">
            <v/>
          </cell>
        </row>
        <row r="52850">
          <cell r="O52850" t="str">
            <v/>
          </cell>
        </row>
        <row r="52851">
          <cell r="O52851" t="str">
            <v/>
          </cell>
        </row>
        <row r="52852">
          <cell r="O52852" t="str">
            <v/>
          </cell>
        </row>
        <row r="52853">
          <cell r="O52853" t="str">
            <v/>
          </cell>
        </row>
        <row r="52854">
          <cell r="O52854" t="str">
            <v/>
          </cell>
        </row>
        <row r="52855">
          <cell r="O52855" t="str">
            <v/>
          </cell>
        </row>
        <row r="52856">
          <cell r="O52856" t="str">
            <v/>
          </cell>
        </row>
        <row r="52857">
          <cell r="O52857" t="str">
            <v/>
          </cell>
        </row>
        <row r="52858">
          <cell r="O52858" t="str">
            <v/>
          </cell>
        </row>
        <row r="52859">
          <cell r="O52859" t="str">
            <v/>
          </cell>
        </row>
        <row r="52860">
          <cell r="O52860" t="str">
            <v/>
          </cell>
        </row>
        <row r="52861">
          <cell r="O52861" t="str">
            <v/>
          </cell>
        </row>
        <row r="52862">
          <cell r="O52862" t="str">
            <v/>
          </cell>
        </row>
        <row r="52863">
          <cell r="O52863" t="str">
            <v/>
          </cell>
        </row>
        <row r="52864">
          <cell r="O52864" t="str">
            <v/>
          </cell>
        </row>
        <row r="52865">
          <cell r="O52865" t="str">
            <v/>
          </cell>
        </row>
        <row r="52866">
          <cell r="O52866" t="str">
            <v/>
          </cell>
        </row>
        <row r="52867">
          <cell r="O52867" t="str">
            <v/>
          </cell>
        </row>
        <row r="52868">
          <cell r="O52868" t="str">
            <v/>
          </cell>
        </row>
        <row r="52869">
          <cell r="O52869" t="str">
            <v/>
          </cell>
        </row>
        <row r="52870">
          <cell r="O52870" t="str">
            <v/>
          </cell>
        </row>
        <row r="52871">
          <cell r="O52871" t="str">
            <v/>
          </cell>
        </row>
        <row r="52872">
          <cell r="O52872" t="str">
            <v/>
          </cell>
        </row>
        <row r="52873">
          <cell r="O52873" t="str">
            <v/>
          </cell>
        </row>
        <row r="52874">
          <cell r="O52874" t="str">
            <v/>
          </cell>
        </row>
        <row r="52875">
          <cell r="O52875" t="str">
            <v/>
          </cell>
        </row>
        <row r="52876">
          <cell r="O52876" t="str">
            <v/>
          </cell>
        </row>
        <row r="52877">
          <cell r="O52877" t="str">
            <v/>
          </cell>
        </row>
        <row r="52878">
          <cell r="O52878" t="str">
            <v/>
          </cell>
        </row>
        <row r="52879">
          <cell r="O52879" t="str">
            <v/>
          </cell>
        </row>
        <row r="52880">
          <cell r="O52880" t="str">
            <v/>
          </cell>
        </row>
        <row r="52881">
          <cell r="O52881" t="str">
            <v/>
          </cell>
        </row>
        <row r="52882">
          <cell r="O52882" t="str">
            <v/>
          </cell>
        </row>
        <row r="52883">
          <cell r="O52883" t="str">
            <v/>
          </cell>
        </row>
        <row r="52884">
          <cell r="O52884" t="str">
            <v/>
          </cell>
        </row>
        <row r="52885">
          <cell r="O52885" t="str">
            <v/>
          </cell>
        </row>
        <row r="52886">
          <cell r="O52886" t="str">
            <v/>
          </cell>
        </row>
        <row r="52887">
          <cell r="O52887" t="str">
            <v/>
          </cell>
        </row>
        <row r="52888">
          <cell r="O52888" t="str">
            <v/>
          </cell>
        </row>
        <row r="52889">
          <cell r="O52889" t="str">
            <v/>
          </cell>
        </row>
        <row r="52890">
          <cell r="O52890" t="str">
            <v/>
          </cell>
        </row>
        <row r="52891">
          <cell r="O52891" t="str">
            <v/>
          </cell>
        </row>
        <row r="52892">
          <cell r="O52892" t="str">
            <v/>
          </cell>
        </row>
        <row r="52893">
          <cell r="O52893" t="str">
            <v/>
          </cell>
        </row>
        <row r="52894">
          <cell r="O52894" t="str">
            <v/>
          </cell>
        </row>
        <row r="52895">
          <cell r="O52895" t="str">
            <v/>
          </cell>
        </row>
        <row r="52896">
          <cell r="O52896" t="str">
            <v/>
          </cell>
        </row>
        <row r="52897">
          <cell r="O52897" t="str">
            <v/>
          </cell>
        </row>
        <row r="52898">
          <cell r="O52898" t="str">
            <v/>
          </cell>
        </row>
        <row r="52899">
          <cell r="O52899" t="str">
            <v/>
          </cell>
        </row>
        <row r="52900">
          <cell r="O52900" t="str">
            <v/>
          </cell>
        </row>
        <row r="52901">
          <cell r="O52901" t="str">
            <v/>
          </cell>
        </row>
        <row r="52902">
          <cell r="O52902" t="str">
            <v/>
          </cell>
        </row>
        <row r="52903">
          <cell r="O52903" t="str">
            <v/>
          </cell>
        </row>
        <row r="52904">
          <cell r="O52904" t="str">
            <v/>
          </cell>
        </row>
        <row r="52905">
          <cell r="O52905" t="str">
            <v/>
          </cell>
        </row>
        <row r="52906">
          <cell r="O52906" t="str">
            <v/>
          </cell>
        </row>
        <row r="52907">
          <cell r="O52907" t="str">
            <v/>
          </cell>
        </row>
        <row r="52908">
          <cell r="O52908" t="str">
            <v/>
          </cell>
        </row>
        <row r="52909">
          <cell r="O52909" t="str">
            <v/>
          </cell>
        </row>
        <row r="52910">
          <cell r="O52910" t="str">
            <v/>
          </cell>
        </row>
        <row r="52911">
          <cell r="O52911" t="str">
            <v/>
          </cell>
        </row>
        <row r="52912">
          <cell r="O52912" t="str">
            <v/>
          </cell>
        </row>
        <row r="52913">
          <cell r="O52913" t="str">
            <v/>
          </cell>
        </row>
        <row r="52914">
          <cell r="O52914" t="str">
            <v/>
          </cell>
        </row>
        <row r="52915">
          <cell r="O52915" t="str">
            <v/>
          </cell>
        </row>
        <row r="52916">
          <cell r="O52916" t="str">
            <v/>
          </cell>
        </row>
        <row r="52917">
          <cell r="O52917" t="str">
            <v/>
          </cell>
        </row>
        <row r="52918">
          <cell r="O52918" t="str">
            <v/>
          </cell>
        </row>
        <row r="52919">
          <cell r="O52919" t="str">
            <v/>
          </cell>
        </row>
        <row r="52920">
          <cell r="O52920" t="str">
            <v/>
          </cell>
        </row>
        <row r="52921">
          <cell r="O52921" t="str">
            <v/>
          </cell>
        </row>
        <row r="52922">
          <cell r="O52922" t="str">
            <v/>
          </cell>
        </row>
        <row r="52923">
          <cell r="O52923" t="str">
            <v/>
          </cell>
        </row>
        <row r="52924">
          <cell r="O52924" t="str">
            <v/>
          </cell>
        </row>
        <row r="52925">
          <cell r="O52925" t="str">
            <v/>
          </cell>
        </row>
        <row r="52926">
          <cell r="O52926" t="str">
            <v/>
          </cell>
        </row>
        <row r="52927">
          <cell r="O52927" t="str">
            <v/>
          </cell>
        </row>
        <row r="52928">
          <cell r="O52928" t="str">
            <v/>
          </cell>
        </row>
        <row r="52929">
          <cell r="O52929" t="str">
            <v/>
          </cell>
        </row>
        <row r="52930">
          <cell r="O52930" t="str">
            <v/>
          </cell>
        </row>
        <row r="52931">
          <cell r="O52931" t="str">
            <v/>
          </cell>
        </row>
        <row r="52932">
          <cell r="O52932" t="str">
            <v/>
          </cell>
        </row>
        <row r="52933">
          <cell r="O52933" t="str">
            <v/>
          </cell>
        </row>
        <row r="52934">
          <cell r="O52934" t="str">
            <v/>
          </cell>
        </row>
        <row r="52935">
          <cell r="O52935" t="str">
            <v/>
          </cell>
        </row>
        <row r="52936">
          <cell r="O52936" t="str">
            <v/>
          </cell>
        </row>
        <row r="52937">
          <cell r="O52937" t="str">
            <v/>
          </cell>
        </row>
        <row r="52938">
          <cell r="O52938" t="str">
            <v/>
          </cell>
        </row>
        <row r="52939">
          <cell r="O52939" t="str">
            <v/>
          </cell>
        </row>
        <row r="52940">
          <cell r="O52940" t="str">
            <v/>
          </cell>
        </row>
        <row r="52941">
          <cell r="O52941" t="str">
            <v/>
          </cell>
        </row>
        <row r="52942">
          <cell r="O52942" t="str">
            <v/>
          </cell>
        </row>
        <row r="52943">
          <cell r="O52943" t="str">
            <v/>
          </cell>
        </row>
        <row r="52944">
          <cell r="O52944" t="str">
            <v/>
          </cell>
        </row>
        <row r="52945">
          <cell r="O52945" t="str">
            <v/>
          </cell>
        </row>
        <row r="52946">
          <cell r="O52946" t="str">
            <v/>
          </cell>
        </row>
        <row r="52947">
          <cell r="O52947" t="str">
            <v/>
          </cell>
        </row>
        <row r="52948">
          <cell r="O52948" t="str">
            <v/>
          </cell>
        </row>
        <row r="52949">
          <cell r="O52949" t="str">
            <v/>
          </cell>
        </row>
        <row r="52950">
          <cell r="O52950" t="str">
            <v/>
          </cell>
        </row>
        <row r="52951">
          <cell r="O52951" t="str">
            <v/>
          </cell>
        </row>
        <row r="52952">
          <cell r="O52952" t="str">
            <v/>
          </cell>
        </row>
        <row r="52953">
          <cell r="O52953" t="str">
            <v/>
          </cell>
        </row>
        <row r="52954">
          <cell r="O52954" t="str">
            <v/>
          </cell>
        </row>
        <row r="52955">
          <cell r="O52955" t="str">
            <v/>
          </cell>
        </row>
        <row r="52956">
          <cell r="O52956" t="str">
            <v/>
          </cell>
        </row>
        <row r="52957">
          <cell r="O52957" t="str">
            <v/>
          </cell>
        </row>
        <row r="52958">
          <cell r="O52958" t="str">
            <v/>
          </cell>
        </row>
        <row r="52959">
          <cell r="O52959" t="str">
            <v/>
          </cell>
        </row>
        <row r="52960">
          <cell r="O52960" t="str">
            <v/>
          </cell>
        </row>
        <row r="52961">
          <cell r="O52961" t="str">
            <v/>
          </cell>
        </row>
        <row r="52962">
          <cell r="O52962" t="str">
            <v/>
          </cell>
        </row>
        <row r="52963">
          <cell r="O52963" t="str">
            <v/>
          </cell>
        </row>
        <row r="52964">
          <cell r="O52964" t="str">
            <v/>
          </cell>
        </row>
        <row r="52965">
          <cell r="O52965" t="str">
            <v/>
          </cell>
        </row>
        <row r="52966">
          <cell r="O52966" t="str">
            <v/>
          </cell>
        </row>
        <row r="52967">
          <cell r="O52967" t="str">
            <v/>
          </cell>
        </row>
        <row r="52968">
          <cell r="O52968" t="str">
            <v/>
          </cell>
        </row>
        <row r="52969">
          <cell r="O52969" t="str">
            <v/>
          </cell>
        </row>
        <row r="52970">
          <cell r="O52970" t="str">
            <v/>
          </cell>
        </row>
        <row r="52971">
          <cell r="O52971" t="str">
            <v/>
          </cell>
        </row>
        <row r="52972">
          <cell r="O52972" t="str">
            <v/>
          </cell>
        </row>
        <row r="52973">
          <cell r="O52973" t="str">
            <v/>
          </cell>
        </row>
        <row r="52974">
          <cell r="O52974" t="str">
            <v/>
          </cell>
        </row>
        <row r="52975">
          <cell r="O52975" t="str">
            <v/>
          </cell>
        </row>
        <row r="52976">
          <cell r="O52976" t="str">
            <v/>
          </cell>
        </row>
        <row r="52977">
          <cell r="O52977" t="str">
            <v/>
          </cell>
        </row>
        <row r="52978">
          <cell r="O52978" t="str">
            <v/>
          </cell>
        </row>
        <row r="52979">
          <cell r="O52979" t="str">
            <v/>
          </cell>
        </row>
        <row r="52980">
          <cell r="O52980" t="str">
            <v/>
          </cell>
        </row>
        <row r="52981">
          <cell r="O52981" t="str">
            <v/>
          </cell>
        </row>
        <row r="52982">
          <cell r="O52982" t="str">
            <v/>
          </cell>
        </row>
        <row r="52983">
          <cell r="O52983" t="str">
            <v/>
          </cell>
        </row>
        <row r="52984">
          <cell r="O52984" t="str">
            <v/>
          </cell>
        </row>
        <row r="52985">
          <cell r="O52985" t="str">
            <v/>
          </cell>
        </row>
        <row r="52986">
          <cell r="O52986" t="str">
            <v/>
          </cell>
        </row>
        <row r="52987">
          <cell r="O52987" t="str">
            <v/>
          </cell>
        </row>
        <row r="52988">
          <cell r="O52988" t="str">
            <v/>
          </cell>
        </row>
        <row r="52989">
          <cell r="O52989" t="str">
            <v/>
          </cell>
        </row>
        <row r="52990">
          <cell r="O52990" t="str">
            <v/>
          </cell>
        </row>
        <row r="52991">
          <cell r="O52991" t="str">
            <v/>
          </cell>
        </row>
        <row r="52992">
          <cell r="O52992" t="str">
            <v/>
          </cell>
        </row>
        <row r="52993">
          <cell r="O52993" t="str">
            <v/>
          </cell>
        </row>
        <row r="52994">
          <cell r="O52994" t="str">
            <v/>
          </cell>
        </row>
        <row r="52995">
          <cell r="O52995" t="str">
            <v/>
          </cell>
        </row>
        <row r="52996">
          <cell r="O52996" t="str">
            <v/>
          </cell>
        </row>
        <row r="52997">
          <cell r="O52997" t="str">
            <v/>
          </cell>
        </row>
        <row r="52998">
          <cell r="O52998" t="str">
            <v/>
          </cell>
        </row>
        <row r="52999">
          <cell r="O52999" t="str">
            <v/>
          </cell>
        </row>
        <row r="53000">
          <cell r="O53000" t="str">
            <v/>
          </cell>
        </row>
        <row r="53001">
          <cell r="O53001" t="str">
            <v/>
          </cell>
        </row>
        <row r="53002">
          <cell r="O53002" t="str">
            <v/>
          </cell>
        </row>
        <row r="53003">
          <cell r="O53003" t="str">
            <v/>
          </cell>
        </row>
        <row r="53004">
          <cell r="O53004" t="str">
            <v/>
          </cell>
        </row>
        <row r="53005">
          <cell r="O53005" t="str">
            <v/>
          </cell>
        </row>
        <row r="53006">
          <cell r="O53006" t="str">
            <v/>
          </cell>
        </row>
        <row r="53007">
          <cell r="O53007" t="str">
            <v/>
          </cell>
        </row>
        <row r="53008">
          <cell r="O53008" t="str">
            <v/>
          </cell>
        </row>
        <row r="53009">
          <cell r="O53009" t="str">
            <v/>
          </cell>
        </row>
        <row r="53010">
          <cell r="O53010" t="str">
            <v/>
          </cell>
        </row>
        <row r="53011">
          <cell r="O53011" t="str">
            <v/>
          </cell>
        </row>
        <row r="53012">
          <cell r="O53012" t="str">
            <v/>
          </cell>
        </row>
        <row r="53013">
          <cell r="O53013" t="str">
            <v/>
          </cell>
        </row>
        <row r="53014">
          <cell r="O53014" t="str">
            <v/>
          </cell>
        </row>
        <row r="53015">
          <cell r="O53015" t="str">
            <v/>
          </cell>
        </row>
        <row r="53016">
          <cell r="O53016" t="str">
            <v/>
          </cell>
        </row>
        <row r="53017">
          <cell r="O53017" t="str">
            <v/>
          </cell>
        </row>
        <row r="53018">
          <cell r="O53018" t="str">
            <v/>
          </cell>
        </row>
        <row r="53019">
          <cell r="O53019" t="str">
            <v/>
          </cell>
        </row>
        <row r="53020">
          <cell r="O53020" t="str">
            <v/>
          </cell>
        </row>
        <row r="53021">
          <cell r="O53021" t="str">
            <v/>
          </cell>
        </row>
        <row r="53022">
          <cell r="O53022" t="str">
            <v/>
          </cell>
        </row>
        <row r="53023">
          <cell r="O53023" t="str">
            <v/>
          </cell>
        </row>
        <row r="53024">
          <cell r="O53024" t="str">
            <v/>
          </cell>
        </row>
        <row r="53025">
          <cell r="O53025" t="str">
            <v/>
          </cell>
        </row>
        <row r="53026">
          <cell r="O53026" t="str">
            <v/>
          </cell>
        </row>
        <row r="53027">
          <cell r="O53027" t="str">
            <v/>
          </cell>
        </row>
        <row r="53028">
          <cell r="O53028" t="str">
            <v/>
          </cell>
        </row>
        <row r="53029">
          <cell r="O53029" t="str">
            <v/>
          </cell>
        </row>
        <row r="53030">
          <cell r="O53030" t="str">
            <v/>
          </cell>
        </row>
        <row r="53031">
          <cell r="O53031" t="str">
            <v/>
          </cell>
        </row>
        <row r="53032">
          <cell r="O53032" t="str">
            <v/>
          </cell>
        </row>
        <row r="53033">
          <cell r="O53033" t="str">
            <v/>
          </cell>
        </row>
        <row r="53034">
          <cell r="O53034" t="str">
            <v/>
          </cell>
        </row>
        <row r="53035">
          <cell r="O53035" t="str">
            <v/>
          </cell>
        </row>
        <row r="53036">
          <cell r="O53036" t="str">
            <v/>
          </cell>
        </row>
        <row r="53037">
          <cell r="O53037" t="str">
            <v/>
          </cell>
        </row>
        <row r="53038">
          <cell r="O53038" t="str">
            <v/>
          </cell>
        </row>
        <row r="53039">
          <cell r="O53039" t="str">
            <v/>
          </cell>
        </row>
        <row r="53040">
          <cell r="O53040" t="str">
            <v/>
          </cell>
        </row>
        <row r="53041">
          <cell r="O53041" t="str">
            <v/>
          </cell>
        </row>
        <row r="53042">
          <cell r="O53042" t="str">
            <v/>
          </cell>
        </row>
        <row r="53043">
          <cell r="O53043" t="str">
            <v/>
          </cell>
        </row>
        <row r="53044">
          <cell r="O53044" t="str">
            <v/>
          </cell>
        </row>
        <row r="53045">
          <cell r="O53045" t="str">
            <v/>
          </cell>
        </row>
        <row r="53046">
          <cell r="O53046" t="str">
            <v/>
          </cell>
        </row>
        <row r="53047">
          <cell r="O53047" t="str">
            <v/>
          </cell>
        </row>
        <row r="53048">
          <cell r="O53048" t="str">
            <v/>
          </cell>
        </row>
        <row r="53049">
          <cell r="O53049" t="str">
            <v/>
          </cell>
        </row>
        <row r="53050">
          <cell r="O53050" t="str">
            <v/>
          </cell>
        </row>
        <row r="53051">
          <cell r="O53051" t="str">
            <v/>
          </cell>
        </row>
        <row r="53052">
          <cell r="O53052" t="str">
            <v/>
          </cell>
        </row>
        <row r="53053">
          <cell r="O53053" t="str">
            <v/>
          </cell>
        </row>
        <row r="53054">
          <cell r="O53054" t="str">
            <v/>
          </cell>
        </row>
        <row r="53055">
          <cell r="O53055" t="str">
            <v/>
          </cell>
        </row>
        <row r="53056">
          <cell r="O53056" t="str">
            <v/>
          </cell>
        </row>
        <row r="53057">
          <cell r="O53057" t="str">
            <v/>
          </cell>
        </row>
        <row r="53058">
          <cell r="O53058" t="str">
            <v/>
          </cell>
        </row>
        <row r="53059">
          <cell r="O53059" t="str">
            <v/>
          </cell>
        </row>
        <row r="53060">
          <cell r="O53060" t="str">
            <v/>
          </cell>
        </row>
        <row r="53061">
          <cell r="O53061" t="str">
            <v/>
          </cell>
        </row>
        <row r="53062">
          <cell r="O53062" t="str">
            <v/>
          </cell>
        </row>
        <row r="53063">
          <cell r="O53063" t="str">
            <v/>
          </cell>
        </row>
        <row r="53064">
          <cell r="O53064" t="str">
            <v/>
          </cell>
        </row>
        <row r="53065">
          <cell r="O53065" t="str">
            <v/>
          </cell>
        </row>
        <row r="53066">
          <cell r="O53066" t="str">
            <v/>
          </cell>
        </row>
        <row r="53067">
          <cell r="O53067" t="str">
            <v/>
          </cell>
        </row>
        <row r="53068">
          <cell r="O53068" t="str">
            <v/>
          </cell>
        </row>
        <row r="53069">
          <cell r="O53069" t="str">
            <v/>
          </cell>
        </row>
        <row r="53070">
          <cell r="O53070" t="str">
            <v/>
          </cell>
        </row>
        <row r="53071">
          <cell r="O53071" t="str">
            <v/>
          </cell>
        </row>
        <row r="53072">
          <cell r="O53072" t="str">
            <v/>
          </cell>
        </row>
        <row r="53073">
          <cell r="O53073" t="str">
            <v/>
          </cell>
        </row>
        <row r="53074">
          <cell r="O53074" t="str">
            <v/>
          </cell>
        </row>
        <row r="53075">
          <cell r="O53075" t="str">
            <v/>
          </cell>
        </row>
        <row r="53076">
          <cell r="O53076" t="str">
            <v/>
          </cell>
        </row>
        <row r="53077">
          <cell r="O53077" t="str">
            <v/>
          </cell>
        </row>
        <row r="53078">
          <cell r="O53078" t="str">
            <v/>
          </cell>
        </row>
        <row r="53079">
          <cell r="O53079" t="str">
            <v/>
          </cell>
        </row>
        <row r="53080">
          <cell r="O53080" t="str">
            <v/>
          </cell>
        </row>
        <row r="53081">
          <cell r="O53081" t="str">
            <v/>
          </cell>
        </row>
        <row r="53082">
          <cell r="O53082" t="str">
            <v/>
          </cell>
        </row>
        <row r="53083">
          <cell r="O53083" t="str">
            <v/>
          </cell>
        </row>
        <row r="53084">
          <cell r="O53084" t="str">
            <v/>
          </cell>
        </row>
        <row r="53085">
          <cell r="O53085" t="str">
            <v/>
          </cell>
        </row>
        <row r="53086">
          <cell r="O53086" t="str">
            <v/>
          </cell>
        </row>
        <row r="53087">
          <cell r="O53087" t="str">
            <v/>
          </cell>
        </row>
        <row r="53088">
          <cell r="O53088" t="str">
            <v/>
          </cell>
        </row>
        <row r="53089">
          <cell r="O53089" t="str">
            <v/>
          </cell>
        </row>
        <row r="53090">
          <cell r="O53090" t="str">
            <v/>
          </cell>
        </row>
        <row r="53091">
          <cell r="O53091" t="str">
            <v/>
          </cell>
        </row>
        <row r="53092">
          <cell r="O53092" t="str">
            <v/>
          </cell>
        </row>
        <row r="53093">
          <cell r="O53093" t="str">
            <v/>
          </cell>
        </row>
        <row r="53094">
          <cell r="O53094" t="str">
            <v/>
          </cell>
        </row>
        <row r="53095">
          <cell r="O53095" t="str">
            <v/>
          </cell>
        </row>
        <row r="53096">
          <cell r="O53096" t="str">
            <v/>
          </cell>
        </row>
        <row r="53097">
          <cell r="O53097" t="str">
            <v/>
          </cell>
        </row>
        <row r="53098">
          <cell r="O53098" t="str">
            <v/>
          </cell>
        </row>
        <row r="53099">
          <cell r="O53099" t="str">
            <v/>
          </cell>
        </row>
        <row r="53100">
          <cell r="O53100" t="str">
            <v/>
          </cell>
        </row>
        <row r="53101">
          <cell r="O53101" t="str">
            <v/>
          </cell>
        </row>
        <row r="53102">
          <cell r="O53102" t="str">
            <v/>
          </cell>
        </row>
        <row r="53103">
          <cell r="O53103" t="str">
            <v/>
          </cell>
        </row>
        <row r="53104">
          <cell r="O53104" t="str">
            <v/>
          </cell>
        </row>
        <row r="53105">
          <cell r="O53105" t="str">
            <v/>
          </cell>
        </row>
        <row r="53106">
          <cell r="O53106" t="str">
            <v/>
          </cell>
        </row>
        <row r="53107">
          <cell r="O53107" t="str">
            <v/>
          </cell>
        </row>
        <row r="53108">
          <cell r="O53108" t="str">
            <v/>
          </cell>
        </row>
        <row r="53109">
          <cell r="O53109" t="str">
            <v/>
          </cell>
        </row>
        <row r="53110">
          <cell r="O53110" t="str">
            <v/>
          </cell>
        </row>
        <row r="53111">
          <cell r="O53111" t="str">
            <v/>
          </cell>
        </row>
        <row r="53112">
          <cell r="O53112" t="str">
            <v/>
          </cell>
        </row>
        <row r="53113">
          <cell r="O53113" t="str">
            <v/>
          </cell>
        </row>
        <row r="53114">
          <cell r="O53114" t="str">
            <v/>
          </cell>
        </row>
        <row r="53115">
          <cell r="O53115" t="str">
            <v/>
          </cell>
        </row>
        <row r="53116">
          <cell r="O53116" t="str">
            <v/>
          </cell>
        </row>
        <row r="53117">
          <cell r="O53117" t="str">
            <v/>
          </cell>
        </row>
        <row r="53118">
          <cell r="O53118" t="str">
            <v/>
          </cell>
        </row>
        <row r="53119">
          <cell r="O53119" t="str">
            <v/>
          </cell>
        </row>
        <row r="53120">
          <cell r="O53120" t="str">
            <v/>
          </cell>
        </row>
        <row r="53121">
          <cell r="O53121" t="str">
            <v/>
          </cell>
        </row>
        <row r="53122">
          <cell r="O53122" t="str">
            <v/>
          </cell>
        </row>
        <row r="53123">
          <cell r="O53123" t="str">
            <v/>
          </cell>
        </row>
        <row r="53124">
          <cell r="O53124" t="str">
            <v/>
          </cell>
        </row>
        <row r="53125">
          <cell r="O53125" t="str">
            <v/>
          </cell>
        </row>
        <row r="53126">
          <cell r="O53126" t="str">
            <v/>
          </cell>
        </row>
        <row r="53127">
          <cell r="O53127" t="str">
            <v/>
          </cell>
        </row>
        <row r="53128">
          <cell r="O53128" t="str">
            <v/>
          </cell>
        </row>
        <row r="53129">
          <cell r="O53129" t="str">
            <v/>
          </cell>
        </row>
        <row r="53130">
          <cell r="O53130" t="str">
            <v/>
          </cell>
        </row>
        <row r="53131">
          <cell r="O53131" t="str">
            <v/>
          </cell>
        </row>
        <row r="53132">
          <cell r="O53132" t="str">
            <v/>
          </cell>
        </row>
        <row r="53133">
          <cell r="O53133" t="str">
            <v/>
          </cell>
        </row>
        <row r="53134">
          <cell r="O53134" t="str">
            <v/>
          </cell>
        </row>
        <row r="53135">
          <cell r="O53135" t="str">
            <v/>
          </cell>
        </row>
        <row r="53136">
          <cell r="O53136" t="str">
            <v/>
          </cell>
        </row>
        <row r="53137">
          <cell r="O53137" t="str">
            <v/>
          </cell>
        </row>
        <row r="53138">
          <cell r="O53138" t="str">
            <v/>
          </cell>
        </row>
        <row r="53139">
          <cell r="O53139" t="str">
            <v/>
          </cell>
        </row>
        <row r="53140">
          <cell r="O53140" t="str">
            <v/>
          </cell>
        </row>
        <row r="53141">
          <cell r="O53141" t="str">
            <v/>
          </cell>
        </row>
        <row r="53142">
          <cell r="O53142" t="str">
            <v/>
          </cell>
        </row>
        <row r="53143">
          <cell r="O53143" t="str">
            <v/>
          </cell>
        </row>
        <row r="53144">
          <cell r="O53144" t="str">
            <v/>
          </cell>
        </row>
        <row r="53145">
          <cell r="O53145" t="str">
            <v/>
          </cell>
        </row>
        <row r="53146">
          <cell r="O53146" t="str">
            <v/>
          </cell>
        </row>
        <row r="53147">
          <cell r="O53147" t="str">
            <v/>
          </cell>
        </row>
        <row r="53148">
          <cell r="O53148" t="str">
            <v/>
          </cell>
        </row>
        <row r="53149">
          <cell r="O53149" t="str">
            <v/>
          </cell>
        </row>
        <row r="53150">
          <cell r="O53150" t="str">
            <v/>
          </cell>
        </row>
        <row r="53151">
          <cell r="O53151" t="str">
            <v/>
          </cell>
        </row>
        <row r="53152">
          <cell r="O53152" t="str">
            <v/>
          </cell>
        </row>
        <row r="53153">
          <cell r="O53153" t="str">
            <v/>
          </cell>
        </row>
        <row r="53154">
          <cell r="O53154" t="str">
            <v/>
          </cell>
        </row>
        <row r="53155">
          <cell r="O53155" t="str">
            <v/>
          </cell>
        </row>
        <row r="53156">
          <cell r="O53156" t="str">
            <v/>
          </cell>
        </row>
        <row r="53157">
          <cell r="O53157" t="str">
            <v/>
          </cell>
        </row>
        <row r="53158">
          <cell r="O53158" t="str">
            <v/>
          </cell>
        </row>
        <row r="53159">
          <cell r="O53159" t="str">
            <v/>
          </cell>
        </row>
        <row r="53160">
          <cell r="O53160" t="str">
            <v/>
          </cell>
        </row>
        <row r="53161">
          <cell r="O53161" t="str">
            <v/>
          </cell>
        </row>
        <row r="53162">
          <cell r="O53162" t="str">
            <v/>
          </cell>
        </row>
        <row r="53163">
          <cell r="O53163" t="str">
            <v/>
          </cell>
        </row>
        <row r="53164">
          <cell r="O53164" t="str">
            <v/>
          </cell>
        </row>
        <row r="53165">
          <cell r="O53165" t="str">
            <v/>
          </cell>
        </row>
        <row r="53166">
          <cell r="O53166" t="str">
            <v/>
          </cell>
        </row>
        <row r="53167">
          <cell r="O53167" t="str">
            <v/>
          </cell>
        </row>
        <row r="53168">
          <cell r="O53168" t="str">
            <v/>
          </cell>
        </row>
        <row r="53169">
          <cell r="O53169" t="str">
            <v/>
          </cell>
        </row>
        <row r="53170">
          <cell r="O53170" t="str">
            <v/>
          </cell>
        </row>
        <row r="53171">
          <cell r="O53171" t="str">
            <v/>
          </cell>
        </row>
        <row r="53172">
          <cell r="O53172" t="str">
            <v/>
          </cell>
        </row>
        <row r="53173">
          <cell r="O53173" t="str">
            <v/>
          </cell>
        </row>
        <row r="53174">
          <cell r="O53174" t="str">
            <v/>
          </cell>
        </row>
        <row r="53175">
          <cell r="O53175" t="str">
            <v/>
          </cell>
        </row>
        <row r="53176">
          <cell r="O53176" t="str">
            <v/>
          </cell>
        </row>
        <row r="53177">
          <cell r="O53177" t="str">
            <v/>
          </cell>
        </row>
        <row r="53178">
          <cell r="O53178" t="str">
            <v/>
          </cell>
        </row>
        <row r="53179">
          <cell r="O53179" t="str">
            <v/>
          </cell>
        </row>
        <row r="53180">
          <cell r="O53180" t="str">
            <v/>
          </cell>
        </row>
        <row r="53181">
          <cell r="O53181" t="str">
            <v/>
          </cell>
        </row>
        <row r="53182">
          <cell r="O53182" t="str">
            <v/>
          </cell>
        </row>
        <row r="53183">
          <cell r="O53183" t="str">
            <v/>
          </cell>
        </row>
        <row r="53184">
          <cell r="O53184" t="str">
            <v/>
          </cell>
        </row>
        <row r="53185">
          <cell r="O53185" t="str">
            <v/>
          </cell>
        </row>
        <row r="53186">
          <cell r="O53186" t="str">
            <v/>
          </cell>
        </row>
        <row r="53187">
          <cell r="O53187" t="str">
            <v/>
          </cell>
        </row>
        <row r="53188">
          <cell r="O53188" t="str">
            <v/>
          </cell>
        </row>
        <row r="53189">
          <cell r="O53189" t="str">
            <v/>
          </cell>
        </row>
        <row r="53190">
          <cell r="O53190" t="str">
            <v/>
          </cell>
        </row>
        <row r="53191">
          <cell r="O53191" t="str">
            <v/>
          </cell>
        </row>
        <row r="53192">
          <cell r="O53192" t="str">
            <v/>
          </cell>
        </row>
        <row r="53193">
          <cell r="O53193" t="str">
            <v/>
          </cell>
        </row>
        <row r="53194">
          <cell r="O53194" t="str">
            <v/>
          </cell>
        </row>
        <row r="53195">
          <cell r="O53195" t="str">
            <v/>
          </cell>
        </row>
        <row r="53196">
          <cell r="O53196" t="str">
            <v/>
          </cell>
        </row>
        <row r="53197">
          <cell r="O53197" t="str">
            <v/>
          </cell>
        </row>
        <row r="53198">
          <cell r="O53198" t="str">
            <v/>
          </cell>
        </row>
        <row r="53199">
          <cell r="O53199" t="str">
            <v/>
          </cell>
        </row>
        <row r="53200">
          <cell r="O53200" t="str">
            <v/>
          </cell>
        </row>
        <row r="53201">
          <cell r="O53201" t="str">
            <v/>
          </cell>
        </row>
        <row r="53202">
          <cell r="O53202" t="str">
            <v/>
          </cell>
        </row>
        <row r="53203">
          <cell r="O53203" t="str">
            <v/>
          </cell>
        </row>
        <row r="53204">
          <cell r="O53204" t="str">
            <v/>
          </cell>
        </row>
        <row r="53205">
          <cell r="O53205" t="str">
            <v/>
          </cell>
        </row>
        <row r="53206">
          <cell r="O53206" t="str">
            <v/>
          </cell>
        </row>
        <row r="53207">
          <cell r="O53207" t="str">
            <v/>
          </cell>
        </row>
        <row r="53208">
          <cell r="O53208" t="str">
            <v/>
          </cell>
        </row>
        <row r="53209">
          <cell r="O53209" t="str">
            <v/>
          </cell>
        </row>
        <row r="53210">
          <cell r="O53210" t="str">
            <v/>
          </cell>
        </row>
        <row r="53211">
          <cell r="O53211" t="str">
            <v/>
          </cell>
        </row>
        <row r="53212">
          <cell r="O53212" t="str">
            <v/>
          </cell>
        </row>
        <row r="53213">
          <cell r="O53213" t="str">
            <v/>
          </cell>
        </row>
        <row r="53214">
          <cell r="O53214" t="str">
            <v/>
          </cell>
        </row>
        <row r="53215">
          <cell r="O53215" t="str">
            <v/>
          </cell>
        </row>
        <row r="53216">
          <cell r="O53216" t="str">
            <v/>
          </cell>
        </row>
        <row r="53217">
          <cell r="O53217" t="str">
            <v/>
          </cell>
        </row>
        <row r="53218">
          <cell r="O53218" t="str">
            <v/>
          </cell>
        </row>
        <row r="53219">
          <cell r="O53219" t="str">
            <v/>
          </cell>
        </row>
        <row r="53220">
          <cell r="O53220" t="str">
            <v/>
          </cell>
        </row>
        <row r="53221">
          <cell r="O53221" t="str">
            <v/>
          </cell>
        </row>
        <row r="53222">
          <cell r="O53222" t="str">
            <v/>
          </cell>
        </row>
        <row r="53223">
          <cell r="O53223" t="str">
            <v/>
          </cell>
        </row>
        <row r="53224">
          <cell r="O53224" t="str">
            <v/>
          </cell>
        </row>
        <row r="53225">
          <cell r="O53225" t="str">
            <v/>
          </cell>
        </row>
        <row r="53226">
          <cell r="O53226" t="str">
            <v/>
          </cell>
        </row>
        <row r="53227">
          <cell r="O53227" t="str">
            <v/>
          </cell>
        </row>
        <row r="53228">
          <cell r="O53228" t="str">
            <v/>
          </cell>
        </row>
        <row r="53229">
          <cell r="O53229" t="str">
            <v/>
          </cell>
        </row>
        <row r="53230">
          <cell r="O53230" t="str">
            <v/>
          </cell>
        </row>
        <row r="53231">
          <cell r="O53231" t="str">
            <v/>
          </cell>
        </row>
        <row r="53232">
          <cell r="O53232" t="str">
            <v/>
          </cell>
        </row>
        <row r="53233">
          <cell r="O53233" t="str">
            <v/>
          </cell>
        </row>
        <row r="53234">
          <cell r="O53234" t="str">
            <v/>
          </cell>
        </row>
        <row r="53235">
          <cell r="O53235" t="str">
            <v/>
          </cell>
        </row>
        <row r="53236">
          <cell r="O53236" t="str">
            <v/>
          </cell>
        </row>
        <row r="53237">
          <cell r="O53237" t="str">
            <v/>
          </cell>
        </row>
        <row r="53238">
          <cell r="O53238" t="str">
            <v/>
          </cell>
        </row>
        <row r="53239">
          <cell r="O53239" t="str">
            <v/>
          </cell>
        </row>
        <row r="53240">
          <cell r="O53240" t="str">
            <v/>
          </cell>
        </row>
        <row r="53241">
          <cell r="O53241" t="str">
            <v/>
          </cell>
        </row>
        <row r="53242">
          <cell r="O53242" t="str">
            <v/>
          </cell>
        </row>
        <row r="53243">
          <cell r="O53243" t="str">
            <v/>
          </cell>
        </row>
        <row r="53244">
          <cell r="O53244" t="str">
            <v/>
          </cell>
        </row>
        <row r="53245">
          <cell r="O53245" t="str">
            <v/>
          </cell>
        </row>
        <row r="53246">
          <cell r="O53246" t="str">
            <v/>
          </cell>
        </row>
        <row r="53247">
          <cell r="O53247" t="str">
            <v/>
          </cell>
        </row>
        <row r="53248">
          <cell r="O53248" t="str">
            <v/>
          </cell>
        </row>
        <row r="53249">
          <cell r="O53249" t="str">
            <v/>
          </cell>
        </row>
        <row r="53250">
          <cell r="O53250" t="str">
            <v/>
          </cell>
        </row>
        <row r="53251">
          <cell r="O53251" t="str">
            <v/>
          </cell>
        </row>
        <row r="53252">
          <cell r="O53252" t="str">
            <v/>
          </cell>
        </row>
        <row r="53253">
          <cell r="O53253" t="str">
            <v/>
          </cell>
        </row>
        <row r="53254">
          <cell r="O53254" t="str">
            <v/>
          </cell>
        </row>
        <row r="53255">
          <cell r="O53255" t="str">
            <v/>
          </cell>
        </row>
        <row r="53256">
          <cell r="O53256" t="str">
            <v/>
          </cell>
        </row>
        <row r="53257">
          <cell r="O53257" t="str">
            <v/>
          </cell>
        </row>
        <row r="53258">
          <cell r="O53258" t="str">
            <v/>
          </cell>
        </row>
        <row r="53259">
          <cell r="O53259" t="str">
            <v/>
          </cell>
        </row>
        <row r="53260">
          <cell r="O53260" t="str">
            <v/>
          </cell>
        </row>
        <row r="53261">
          <cell r="O53261" t="str">
            <v/>
          </cell>
        </row>
        <row r="53262">
          <cell r="O53262" t="str">
            <v/>
          </cell>
        </row>
        <row r="53263">
          <cell r="O53263" t="str">
            <v/>
          </cell>
        </row>
        <row r="53264">
          <cell r="O53264" t="str">
            <v/>
          </cell>
        </row>
        <row r="53265">
          <cell r="O53265" t="str">
            <v/>
          </cell>
        </row>
        <row r="53266">
          <cell r="O53266" t="str">
            <v/>
          </cell>
        </row>
        <row r="53267">
          <cell r="O53267" t="str">
            <v/>
          </cell>
        </row>
        <row r="53268">
          <cell r="O53268" t="str">
            <v/>
          </cell>
        </row>
        <row r="53269">
          <cell r="O53269" t="str">
            <v/>
          </cell>
        </row>
        <row r="53270">
          <cell r="O53270" t="str">
            <v/>
          </cell>
        </row>
        <row r="53271">
          <cell r="O53271" t="str">
            <v/>
          </cell>
        </row>
        <row r="53272">
          <cell r="O53272" t="str">
            <v/>
          </cell>
        </row>
        <row r="53273">
          <cell r="O53273" t="str">
            <v/>
          </cell>
        </row>
        <row r="53274">
          <cell r="O53274" t="str">
            <v/>
          </cell>
        </row>
        <row r="53275">
          <cell r="O53275" t="str">
            <v/>
          </cell>
        </row>
        <row r="53276">
          <cell r="O53276" t="str">
            <v/>
          </cell>
        </row>
        <row r="53277">
          <cell r="O53277" t="str">
            <v/>
          </cell>
        </row>
        <row r="53278">
          <cell r="O53278" t="str">
            <v/>
          </cell>
        </row>
        <row r="53279">
          <cell r="O53279" t="str">
            <v/>
          </cell>
        </row>
        <row r="53280">
          <cell r="O53280" t="str">
            <v/>
          </cell>
        </row>
        <row r="53281">
          <cell r="O53281" t="str">
            <v/>
          </cell>
        </row>
        <row r="53282">
          <cell r="O53282" t="str">
            <v/>
          </cell>
        </row>
        <row r="53283">
          <cell r="O53283" t="str">
            <v/>
          </cell>
        </row>
        <row r="53284">
          <cell r="O53284" t="str">
            <v/>
          </cell>
        </row>
        <row r="53285">
          <cell r="O53285" t="str">
            <v/>
          </cell>
        </row>
        <row r="53286">
          <cell r="O53286" t="str">
            <v/>
          </cell>
        </row>
        <row r="53287">
          <cell r="O53287" t="str">
            <v/>
          </cell>
        </row>
        <row r="53288">
          <cell r="O53288" t="str">
            <v/>
          </cell>
        </row>
        <row r="53289">
          <cell r="O53289" t="str">
            <v/>
          </cell>
        </row>
        <row r="53290">
          <cell r="O53290" t="str">
            <v/>
          </cell>
        </row>
        <row r="53291">
          <cell r="O53291" t="str">
            <v/>
          </cell>
        </row>
        <row r="53292">
          <cell r="O53292" t="str">
            <v/>
          </cell>
        </row>
        <row r="53293">
          <cell r="O53293" t="str">
            <v/>
          </cell>
        </row>
        <row r="53294">
          <cell r="O53294" t="str">
            <v/>
          </cell>
        </row>
        <row r="53295">
          <cell r="O53295" t="str">
            <v/>
          </cell>
        </row>
        <row r="53296">
          <cell r="O53296" t="str">
            <v/>
          </cell>
        </row>
        <row r="53297">
          <cell r="O53297" t="str">
            <v/>
          </cell>
        </row>
        <row r="53298">
          <cell r="O53298" t="str">
            <v/>
          </cell>
        </row>
        <row r="53299">
          <cell r="O53299" t="str">
            <v/>
          </cell>
        </row>
        <row r="53300">
          <cell r="O53300" t="str">
            <v/>
          </cell>
        </row>
        <row r="53301">
          <cell r="O53301" t="str">
            <v/>
          </cell>
        </row>
        <row r="53302">
          <cell r="O53302" t="str">
            <v/>
          </cell>
        </row>
        <row r="53303">
          <cell r="O53303" t="str">
            <v/>
          </cell>
        </row>
        <row r="53304">
          <cell r="O53304" t="str">
            <v/>
          </cell>
        </row>
        <row r="53305">
          <cell r="O53305" t="str">
            <v/>
          </cell>
        </row>
        <row r="53306">
          <cell r="O53306" t="str">
            <v/>
          </cell>
        </row>
        <row r="53307">
          <cell r="O53307" t="str">
            <v/>
          </cell>
        </row>
        <row r="53308">
          <cell r="O53308" t="str">
            <v/>
          </cell>
        </row>
        <row r="53309">
          <cell r="O53309" t="str">
            <v/>
          </cell>
        </row>
        <row r="53310">
          <cell r="O53310" t="str">
            <v/>
          </cell>
        </row>
        <row r="53311">
          <cell r="O53311" t="str">
            <v/>
          </cell>
        </row>
        <row r="53312">
          <cell r="O53312" t="str">
            <v/>
          </cell>
        </row>
        <row r="53313">
          <cell r="O53313" t="str">
            <v/>
          </cell>
        </row>
        <row r="53314">
          <cell r="O53314" t="str">
            <v/>
          </cell>
        </row>
        <row r="53315">
          <cell r="O53315" t="str">
            <v/>
          </cell>
        </row>
        <row r="53316">
          <cell r="O53316" t="str">
            <v/>
          </cell>
        </row>
        <row r="53317">
          <cell r="O53317" t="str">
            <v/>
          </cell>
        </row>
        <row r="53318">
          <cell r="O53318" t="str">
            <v/>
          </cell>
        </row>
        <row r="53319">
          <cell r="O53319" t="str">
            <v/>
          </cell>
        </row>
        <row r="53320">
          <cell r="O53320" t="str">
            <v/>
          </cell>
        </row>
        <row r="53321">
          <cell r="O53321" t="str">
            <v/>
          </cell>
        </row>
        <row r="53322">
          <cell r="O53322" t="str">
            <v/>
          </cell>
        </row>
        <row r="53323">
          <cell r="O53323" t="str">
            <v/>
          </cell>
        </row>
        <row r="53324">
          <cell r="O53324" t="str">
            <v/>
          </cell>
        </row>
        <row r="53325">
          <cell r="O53325" t="str">
            <v/>
          </cell>
        </row>
        <row r="53326">
          <cell r="O53326" t="str">
            <v/>
          </cell>
        </row>
        <row r="53327">
          <cell r="O53327" t="str">
            <v/>
          </cell>
        </row>
        <row r="53328">
          <cell r="O53328" t="str">
            <v/>
          </cell>
        </row>
        <row r="53329">
          <cell r="O53329" t="str">
            <v/>
          </cell>
        </row>
        <row r="53330">
          <cell r="O53330" t="str">
            <v/>
          </cell>
        </row>
        <row r="53331">
          <cell r="O53331" t="str">
            <v/>
          </cell>
        </row>
        <row r="53332">
          <cell r="O53332" t="str">
            <v/>
          </cell>
        </row>
        <row r="53333">
          <cell r="O53333" t="str">
            <v/>
          </cell>
        </row>
        <row r="53334">
          <cell r="O53334" t="str">
            <v/>
          </cell>
        </row>
        <row r="53335">
          <cell r="O53335" t="str">
            <v/>
          </cell>
        </row>
        <row r="53336">
          <cell r="O53336" t="str">
            <v/>
          </cell>
        </row>
        <row r="53337">
          <cell r="O53337" t="str">
            <v/>
          </cell>
        </row>
        <row r="53338">
          <cell r="O53338" t="str">
            <v/>
          </cell>
        </row>
        <row r="53339">
          <cell r="O53339" t="str">
            <v/>
          </cell>
        </row>
        <row r="53340">
          <cell r="O53340" t="str">
            <v/>
          </cell>
        </row>
        <row r="53341">
          <cell r="O53341" t="str">
            <v/>
          </cell>
        </row>
        <row r="53342">
          <cell r="O53342" t="str">
            <v/>
          </cell>
        </row>
        <row r="53343">
          <cell r="O53343" t="str">
            <v/>
          </cell>
        </row>
        <row r="53344">
          <cell r="O53344" t="str">
            <v/>
          </cell>
        </row>
        <row r="53345">
          <cell r="O53345" t="str">
            <v/>
          </cell>
        </row>
        <row r="53346">
          <cell r="O53346" t="str">
            <v/>
          </cell>
        </row>
        <row r="53347">
          <cell r="O53347" t="str">
            <v/>
          </cell>
        </row>
        <row r="53348">
          <cell r="O53348" t="str">
            <v/>
          </cell>
        </row>
        <row r="53349">
          <cell r="O53349" t="str">
            <v/>
          </cell>
        </row>
        <row r="53350">
          <cell r="O53350" t="str">
            <v/>
          </cell>
        </row>
        <row r="53351">
          <cell r="O53351" t="str">
            <v/>
          </cell>
        </row>
        <row r="53352">
          <cell r="O53352" t="str">
            <v/>
          </cell>
        </row>
        <row r="53353">
          <cell r="O53353" t="str">
            <v/>
          </cell>
        </row>
        <row r="53354">
          <cell r="O53354" t="str">
            <v/>
          </cell>
        </row>
        <row r="53355">
          <cell r="O53355" t="str">
            <v/>
          </cell>
        </row>
        <row r="53356">
          <cell r="O53356" t="str">
            <v/>
          </cell>
        </row>
        <row r="53357">
          <cell r="O53357" t="str">
            <v/>
          </cell>
        </row>
        <row r="53358">
          <cell r="O53358" t="str">
            <v/>
          </cell>
        </row>
        <row r="53359">
          <cell r="O53359" t="str">
            <v/>
          </cell>
        </row>
        <row r="53360">
          <cell r="O53360" t="str">
            <v/>
          </cell>
        </row>
        <row r="53361">
          <cell r="O53361" t="str">
            <v/>
          </cell>
        </row>
        <row r="53362">
          <cell r="O53362" t="str">
            <v/>
          </cell>
        </row>
        <row r="53363">
          <cell r="O53363" t="str">
            <v/>
          </cell>
        </row>
        <row r="53364">
          <cell r="O53364" t="str">
            <v/>
          </cell>
        </row>
        <row r="53365">
          <cell r="O53365" t="str">
            <v/>
          </cell>
        </row>
        <row r="53366">
          <cell r="O53366" t="str">
            <v/>
          </cell>
        </row>
        <row r="53367">
          <cell r="O53367" t="str">
            <v/>
          </cell>
        </row>
        <row r="53368">
          <cell r="O53368" t="str">
            <v/>
          </cell>
        </row>
        <row r="53369">
          <cell r="O53369" t="str">
            <v/>
          </cell>
        </row>
        <row r="53370">
          <cell r="O53370" t="str">
            <v/>
          </cell>
        </row>
        <row r="53371">
          <cell r="O53371" t="str">
            <v/>
          </cell>
        </row>
        <row r="53372">
          <cell r="O53372" t="str">
            <v/>
          </cell>
        </row>
        <row r="53373">
          <cell r="O53373" t="str">
            <v/>
          </cell>
        </row>
        <row r="53374">
          <cell r="O53374" t="str">
            <v/>
          </cell>
        </row>
        <row r="53375">
          <cell r="O53375" t="str">
            <v/>
          </cell>
        </row>
        <row r="53376">
          <cell r="O53376" t="str">
            <v/>
          </cell>
        </row>
        <row r="53377">
          <cell r="O53377" t="str">
            <v/>
          </cell>
        </row>
        <row r="53378">
          <cell r="O53378" t="str">
            <v/>
          </cell>
        </row>
        <row r="53379">
          <cell r="O53379" t="str">
            <v/>
          </cell>
        </row>
        <row r="53380">
          <cell r="O53380" t="str">
            <v/>
          </cell>
        </row>
        <row r="53381">
          <cell r="O53381" t="str">
            <v/>
          </cell>
        </row>
        <row r="53382">
          <cell r="O53382" t="str">
            <v/>
          </cell>
        </row>
        <row r="53383">
          <cell r="O53383" t="str">
            <v/>
          </cell>
        </row>
        <row r="53384">
          <cell r="O53384" t="str">
            <v/>
          </cell>
        </row>
        <row r="53385">
          <cell r="O53385" t="str">
            <v/>
          </cell>
        </row>
        <row r="53386">
          <cell r="O53386" t="str">
            <v/>
          </cell>
        </row>
        <row r="53387">
          <cell r="O53387" t="str">
            <v/>
          </cell>
        </row>
        <row r="53388">
          <cell r="O53388" t="str">
            <v/>
          </cell>
        </row>
        <row r="53389">
          <cell r="O53389" t="str">
            <v/>
          </cell>
        </row>
        <row r="53390">
          <cell r="O53390" t="str">
            <v/>
          </cell>
        </row>
        <row r="53391">
          <cell r="O53391" t="str">
            <v/>
          </cell>
        </row>
        <row r="53392">
          <cell r="O53392" t="str">
            <v/>
          </cell>
        </row>
        <row r="53393">
          <cell r="O53393" t="str">
            <v/>
          </cell>
        </row>
        <row r="53394">
          <cell r="O53394" t="str">
            <v/>
          </cell>
        </row>
        <row r="53395">
          <cell r="O53395" t="str">
            <v/>
          </cell>
        </row>
        <row r="53396">
          <cell r="O53396" t="str">
            <v/>
          </cell>
        </row>
        <row r="53397">
          <cell r="O53397" t="str">
            <v/>
          </cell>
        </row>
        <row r="53398">
          <cell r="O53398" t="str">
            <v/>
          </cell>
        </row>
        <row r="53399">
          <cell r="O53399" t="str">
            <v/>
          </cell>
        </row>
        <row r="53400">
          <cell r="O53400" t="str">
            <v/>
          </cell>
        </row>
        <row r="53401">
          <cell r="O53401" t="str">
            <v/>
          </cell>
        </row>
        <row r="53402">
          <cell r="O53402" t="str">
            <v/>
          </cell>
        </row>
        <row r="53403">
          <cell r="O53403" t="str">
            <v/>
          </cell>
        </row>
        <row r="53404">
          <cell r="O53404" t="str">
            <v/>
          </cell>
        </row>
        <row r="53405">
          <cell r="O53405" t="str">
            <v/>
          </cell>
        </row>
        <row r="53406">
          <cell r="O53406" t="str">
            <v/>
          </cell>
        </row>
        <row r="53407">
          <cell r="O53407" t="str">
            <v/>
          </cell>
        </row>
        <row r="53408">
          <cell r="O53408" t="str">
            <v/>
          </cell>
        </row>
        <row r="53409">
          <cell r="O53409" t="str">
            <v/>
          </cell>
        </row>
        <row r="53410">
          <cell r="O53410" t="str">
            <v/>
          </cell>
        </row>
        <row r="53411">
          <cell r="O53411" t="str">
            <v/>
          </cell>
        </row>
        <row r="53412">
          <cell r="O53412" t="str">
            <v/>
          </cell>
        </row>
        <row r="53413">
          <cell r="O53413" t="str">
            <v/>
          </cell>
        </row>
        <row r="53414">
          <cell r="O53414" t="str">
            <v/>
          </cell>
        </row>
        <row r="53415">
          <cell r="O53415" t="str">
            <v/>
          </cell>
        </row>
        <row r="53416">
          <cell r="O53416" t="str">
            <v/>
          </cell>
        </row>
        <row r="53417">
          <cell r="O53417" t="str">
            <v/>
          </cell>
        </row>
        <row r="53418">
          <cell r="O53418" t="str">
            <v/>
          </cell>
        </row>
        <row r="53419">
          <cell r="O53419" t="str">
            <v/>
          </cell>
        </row>
        <row r="53420">
          <cell r="O53420" t="str">
            <v/>
          </cell>
        </row>
        <row r="53421">
          <cell r="O53421" t="str">
            <v/>
          </cell>
        </row>
        <row r="53422">
          <cell r="O53422" t="str">
            <v/>
          </cell>
        </row>
        <row r="53423">
          <cell r="O53423" t="str">
            <v/>
          </cell>
        </row>
        <row r="53424">
          <cell r="O53424" t="str">
            <v/>
          </cell>
        </row>
        <row r="53425">
          <cell r="O53425" t="str">
            <v/>
          </cell>
        </row>
        <row r="53426">
          <cell r="O53426" t="str">
            <v/>
          </cell>
        </row>
        <row r="53427">
          <cell r="O53427" t="str">
            <v/>
          </cell>
        </row>
        <row r="53428">
          <cell r="O53428" t="str">
            <v/>
          </cell>
        </row>
        <row r="53429">
          <cell r="O53429" t="str">
            <v/>
          </cell>
        </row>
        <row r="53430">
          <cell r="O53430" t="str">
            <v/>
          </cell>
        </row>
        <row r="53431">
          <cell r="O53431" t="str">
            <v/>
          </cell>
        </row>
        <row r="53432">
          <cell r="O53432" t="str">
            <v/>
          </cell>
        </row>
        <row r="53433">
          <cell r="O53433" t="str">
            <v/>
          </cell>
        </row>
        <row r="53434">
          <cell r="O53434" t="str">
            <v/>
          </cell>
        </row>
        <row r="53435">
          <cell r="O53435" t="str">
            <v/>
          </cell>
        </row>
        <row r="53436">
          <cell r="O53436" t="str">
            <v/>
          </cell>
        </row>
        <row r="53437">
          <cell r="O53437" t="str">
            <v/>
          </cell>
        </row>
        <row r="53438">
          <cell r="O53438" t="str">
            <v/>
          </cell>
        </row>
        <row r="53439">
          <cell r="O53439" t="str">
            <v/>
          </cell>
        </row>
        <row r="53440">
          <cell r="O53440" t="str">
            <v/>
          </cell>
        </row>
        <row r="53441">
          <cell r="O53441" t="str">
            <v/>
          </cell>
        </row>
        <row r="53442">
          <cell r="O53442" t="str">
            <v/>
          </cell>
        </row>
        <row r="53443">
          <cell r="O53443" t="str">
            <v/>
          </cell>
        </row>
        <row r="53444">
          <cell r="O53444" t="str">
            <v/>
          </cell>
        </row>
        <row r="53445">
          <cell r="O53445" t="str">
            <v/>
          </cell>
        </row>
        <row r="53446">
          <cell r="O53446" t="str">
            <v/>
          </cell>
        </row>
        <row r="53447">
          <cell r="O53447" t="str">
            <v/>
          </cell>
        </row>
        <row r="53448">
          <cell r="O53448" t="str">
            <v/>
          </cell>
        </row>
        <row r="53449">
          <cell r="O53449" t="str">
            <v/>
          </cell>
        </row>
        <row r="53450">
          <cell r="O53450" t="str">
            <v/>
          </cell>
        </row>
        <row r="53451">
          <cell r="O53451" t="str">
            <v/>
          </cell>
        </row>
        <row r="53452">
          <cell r="O53452" t="str">
            <v/>
          </cell>
        </row>
        <row r="53453">
          <cell r="O53453" t="str">
            <v/>
          </cell>
        </row>
        <row r="53454">
          <cell r="O53454" t="str">
            <v/>
          </cell>
        </row>
        <row r="53455">
          <cell r="O53455" t="str">
            <v/>
          </cell>
        </row>
        <row r="53456">
          <cell r="O53456" t="str">
            <v/>
          </cell>
        </row>
        <row r="53457">
          <cell r="O53457" t="str">
            <v/>
          </cell>
        </row>
        <row r="53458">
          <cell r="O53458" t="str">
            <v/>
          </cell>
        </row>
        <row r="53459">
          <cell r="O53459" t="str">
            <v/>
          </cell>
        </row>
        <row r="53460">
          <cell r="O53460" t="str">
            <v/>
          </cell>
        </row>
        <row r="53461">
          <cell r="O53461" t="str">
            <v/>
          </cell>
        </row>
        <row r="53462">
          <cell r="O53462" t="str">
            <v/>
          </cell>
        </row>
        <row r="53463">
          <cell r="O53463" t="str">
            <v/>
          </cell>
        </row>
        <row r="53464">
          <cell r="O53464" t="str">
            <v/>
          </cell>
        </row>
        <row r="53465">
          <cell r="O53465" t="str">
            <v/>
          </cell>
        </row>
        <row r="53466">
          <cell r="O53466" t="str">
            <v/>
          </cell>
        </row>
        <row r="53467">
          <cell r="O53467" t="str">
            <v/>
          </cell>
        </row>
        <row r="53468">
          <cell r="O53468" t="str">
            <v/>
          </cell>
        </row>
        <row r="53469">
          <cell r="O53469" t="str">
            <v/>
          </cell>
        </row>
        <row r="53470">
          <cell r="O53470" t="str">
            <v/>
          </cell>
        </row>
        <row r="53471">
          <cell r="O53471" t="str">
            <v/>
          </cell>
        </row>
        <row r="53472">
          <cell r="O53472" t="str">
            <v/>
          </cell>
        </row>
        <row r="53473">
          <cell r="O53473" t="str">
            <v/>
          </cell>
        </row>
        <row r="53474">
          <cell r="O53474" t="str">
            <v/>
          </cell>
        </row>
        <row r="53475">
          <cell r="O53475" t="str">
            <v/>
          </cell>
        </row>
        <row r="53476">
          <cell r="O53476" t="str">
            <v/>
          </cell>
        </row>
        <row r="53477">
          <cell r="O53477" t="str">
            <v/>
          </cell>
        </row>
        <row r="53478">
          <cell r="O53478" t="str">
            <v/>
          </cell>
        </row>
        <row r="53479">
          <cell r="O53479" t="str">
            <v/>
          </cell>
        </row>
        <row r="53480">
          <cell r="O53480" t="str">
            <v/>
          </cell>
        </row>
        <row r="53481">
          <cell r="O53481" t="str">
            <v/>
          </cell>
        </row>
        <row r="53482">
          <cell r="O53482" t="str">
            <v/>
          </cell>
        </row>
        <row r="53483">
          <cell r="O53483" t="str">
            <v/>
          </cell>
        </row>
        <row r="53484">
          <cell r="O53484" t="str">
            <v/>
          </cell>
        </row>
        <row r="53485">
          <cell r="O53485" t="str">
            <v/>
          </cell>
        </row>
        <row r="53486">
          <cell r="O53486" t="str">
            <v/>
          </cell>
        </row>
        <row r="53487">
          <cell r="O53487" t="str">
            <v/>
          </cell>
        </row>
        <row r="53488">
          <cell r="O53488" t="str">
            <v/>
          </cell>
        </row>
        <row r="53489">
          <cell r="O53489" t="str">
            <v/>
          </cell>
        </row>
        <row r="53490">
          <cell r="O53490" t="str">
            <v/>
          </cell>
        </row>
        <row r="53491">
          <cell r="O53491" t="str">
            <v/>
          </cell>
        </row>
        <row r="53492">
          <cell r="O53492" t="str">
            <v/>
          </cell>
        </row>
        <row r="53493">
          <cell r="O53493" t="str">
            <v/>
          </cell>
        </row>
        <row r="53494">
          <cell r="O53494" t="str">
            <v/>
          </cell>
        </row>
        <row r="53495">
          <cell r="O53495" t="str">
            <v/>
          </cell>
        </row>
        <row r="53496">
          <cell r="O53496" t="str">
            <v/>
          </cell>
        </row>
        <row r="53497">
          <cell r="O53497" t="str">
            <v/>
          </cell>
        </row>
        <row r="53498">
          <cell r="O53498" t="str">
            <v/>
          </cell>
        </row>
        <row r="53499">
          <cell r="O53499" t="str">
            <v/>
          </cell>
        </row>
        <row r="53500">
          <cell r="O53500" t="str">
            <v/>
          </cell>
        </row>
        <row r="53501">
          <cell r="O53501" t="str">
            <v/>
          </cell>
        </row>
        <row r="53502">
          <cell r="O53502" t="str">
            <v/>
          </cell>
        </row>
        <row r="53503">
          <cell r="O53503" t="str">
            <v/>
          </cell>
        </row>
        <row r="53504">
          <cell r="O53504" t="str">
            <v/>
          </cell>
        </row>
        <row r="53505">
          <cell r="O53505" t="str">
            <v/>
          </cell>
        </row>
        <row r="53506">
          <cell r="O53506" t="str">
            <v/>
          </cell>
        </row>
        <row r="53507">
          <cell r="O53507" t="str">
            <v/>
          </cell>
        </row>
        <row r="53508">
          <cell r="O53508" t="str">
            <v/>
          </cell>
        </row>
        <row r="53509">
          <cell r="O53509" t="str">
            <v/>
          </cell>
        </row>
        <row r="53510">
          <cell r="O53510" t="str">
            <v/>
          </cell>
        </row>
        <row r="53511">
          <cell r="O53511" t="str">
            <v/>
          </cell>
        </row>
        <row r="53512">
          <cell r="O53512" t="str">
            <v/>
          </cell>
        </row>
        <row r="53513">
          <cell r="O53513" t="str">
            <v/>
          </cell>
        </row>
        <row r="53514">
          <cell r="O53514" t="str">
            <v/>
          </cell>
        </row>
        <row r="53515">
          <cell r="O53515" t="str">
            <v/>
          </cell>
        </row>
        <row r="53516">
          <cell r="O53516" t="str">
            <v/>
          </cell>
        </row>
        <row r="53517">
          <cell r="O53517" t="str">
            <v/>
          </cell>
        </row>
        <row r="53518">
          <cell r="O53518" t="str">
            <v/>
          </cell>
        </row>
        <row r="53519">
          <cell r="O53519" t="str">
            <v/>
          </cell>
        </row>
        <row r="53520">
          <cell r="O53520" t="str">
            <v/>
          </cell>
        </row>
        <row r="53521">
          <cell r="O53521" t="str">
            <v/>
          </cell>
        </row>
        <row r="53522">
          <cell r="O53522" t="str">
            <v/>
          </cell>
        </row>
        <row r="53523">
          <cell r="O53523" t="str">
            <v/>
          </cell>
        </row>
        <row r="53524">
          <cell r="O53524" t="str">
            <v/>
          </cell>
        </row>
        <row r="53525">
          <cell r="O53525" t="str">
            <v/>
          </cell>
        </row>
        <row r="53526">
          <cell r="O53526" t="str">
            <v/>
          </cell>
        </row>
        <row r="53527">
          <cell r="O53527" t="str">
            <v/>
          </cell>
        </row>
        <row r="53528">
          <cell r="O53528" t="str">
            <v/>
          </cell>
        </row>
        <row r="53529">
          <cell r="O53529" t="str">
            <v/>
          </cell>
        </row>
        <row r="53530">
          <cell r="O53530" t="str">
            <v/>
          </cell>
        </row>
        <row r="53531">
          <cell r="O53531" t="str">
            <v/>
          </cell>
        </row>
        <row r="53532">
          <cell r="O53532" t="str">
            <v/>
          </cell>
        </row>
        <row r="53533">
          <cell r="O53533" t="str">
            <v/>
          </cell>
        </row>
        <row r="53534">
          <cell r="O53534" t="str">
            <v/>
          </cell>
        </row>
        <row r="53535">
          <cell r="O53535" t="str">
            <v/>
          </cell>
        </row>
        <row r="53536">
          <cell r="O53536" t="str">
            <v/>
          </cell>
        </row>
        <row r="53537">
          <cell r="O53537" t="str">
            <v/>
          </cell>
        </row>
        <row r="53538">
          <cell r="O53538" t="str">
            <v/>
          </cell>
        </row>
        <row r="53539">
          <cell r="O53539" t="str">
            <v/>
          </cell>
        </row>
        <row r="53540">
          <cell r="O53540" t="str">
            <v/>
          </cell>
        </row>
        <row r="53541">
          <cell r="O53541" t="str">
            <v/>
          </cell>
        </row>
        <row r="53542">
          <cell r="O53542" t="str">
            <v/>
          </cell>
        </row>
        <row r="53543">
          <cell r="O53543" t="str">
            <v/>
          </cell>
        </row>
        <row r="53544">
          <cell r="O53544" t="str">
            <v/>
          </cell>
        </row>
        <row r="53545">
          <cell r="O53545" t="str">
            <v/>
          </cell>
        </row>
        <row r="53546">
          <cell r="O53546" t="str">
            <v/>
          </cell>
        </row>
        <row r="53547">
          <cell r="O53547" t="str">
            <v/>
          </cell>
        </row>
        <row r="53548">
          <cell r="O53548" t="str">
            <v/>
          </cell>
        </row>
        <row r="53549">
          <cell r="O53549" t="str">
            <v/>
          </cell>
        </row>
        <row r="53550">
          <cell r="O53550" t="str">
            <v/>
          </cell>
        </row>
        <row r="53551">
          <cell r="O53551" t="str">
            <v/>
          </cell>
        </row>
        <row r="53552">
          <cell r="O53552" t="str">
            <v/>
          </cell>
        </row>
        <row r="53553">
          <cell r="O53553" t="str">
            <v/>
          </cell>
        </row>
        <row r="53554">
          <cell r="O53554" t="str">
            <v/>
          </cell>
        </row>
        <row r="53555">
          <cell r="O53555" t="str">
            <v/>
          </cell>
        </row>
        <row r="53556">
          <cell r="O53556" t="str">
            <v/>
          </cell>
        </row>
        <row r="53557">
          <cell r="O53557" t="str">
            <v/>
          </cell>
        </row>
        <row r="53558">
          <cell r="O53558" t="str">
            <v/>
          </cell>
        </row>
        <row r="53559">
          <cell r="O53559" t="str">
            <v/>
          </cell>
        </row>
        <row r="53560">
          <cell r="O53560" t="str">
            <v/>
          </cell>
        </row>
        <row r="53561">
          <cell r="O53561" t="str">
            <v/>
          </cell>
        </row>
        <row r="53562">
          <cell r="O53562" t="str">
            <v/>
          </cell>
        </row>
        <row r="53563">
          <cell r="O53563" t="str">
            <v/>
          </cell>
        </row>
        <row r="53564">
          <cell r="O53564" t="str">
            <v/>
          </cell>
        </row>
        <row r="53565">
          <cell r="O53565" t="str">
            <v/>
          </cell>
        </row>
        <row r="53566">
          <cell r="O53566" t="str">
            <v/>
          </cell>
        </row>
        <row r="53567">
          <cell r="O53567" t="str">
            <v/>
          </cell>
        </row>
        <row r="53568">
          <cell r="O53568" t="str">
            <v/>
          </cell>
        </row>
        <row r="53569">
          <cell r="O53569" t="str">
            <v/>
          </cell>
        </row>
        <row r="53570">
          <cell r="O53570" t="str">
            <v/>
          </cell>
        </row>
        <row r="53571">
          <cell r="O53571" t="str">
            <v/>
          </cell>
        </row>
        <row r="53572">
          <cell r="O53572" t="str">
            <v/>
          </cell>
        </row>
        <row r="53573">
          <cell r="O53573" t="str">
            <v/>
          </cell>
        </row>
        <row r="53574">
          <cell r="O53574" t="str">
            <v/>
          </cell>
        </row>
        <row r="53575">
          <cell r="O53575" t="str">
            <v/>
          </cell>
        </row>
        <row r="53576">
          <cell r="O53576" t="str">
            <v/>
          </cell>
        </row>
        <row r="53577">
          <cell r="O53577" t="str">
            <v/>
          </cell>
        </row>
        <row r="53578">
          <cell r="O53578" t="str">
            <v/>
          </cell>
        </row>
        <row r="53579">
          <cell r="O53579" t="str">
            <v/>
          </cell>
        </row>
        <row r="53580">
          <cell r="O53580" t="str">
            <v/>
          </cell>
        </row>
        <row r="53581">
          <cell r="O53581" t="str">
            <v/>
          </cell>
        </row>
        <row r="53582">
          <cell r="O53582" t="str">
            <v/>
          </cell>
        </row>
        <row r="53583">
          <cell r="O53583" t="str">
            <v/>
          </cell>
        </row>
        <row r="53584">
          <cell r="O53584" t="str">
            <v/>
          </cell>
        </row>
        <row r="53585">
          <cell r="O53585" t="str">
            <v/>
          </cell>
        </row>
        <row r="53586">
          <cell r="O53586" t="str">
            <v/>
          </cell>
        </row>
        <row r="53587">
          <cell r="O53587" t="str">
            <v/>
          </cell>
        </row>
        <row r="53588">
          <cell r="O53588" t="str">
            <v/>
          </cell>
        </row>
        <row r="53589">
          <cell r="O53589" t="str">
            <v/>
          </cell>
        </row>
        <row r="53590">
          <cell r="O53590" t="str">
            <v/>
          </cell>
        </row>
        <row r="53591">
          <cell r="O53591" t="str">
            <v/>
          </cell>
        </row>
        <row r="53592">
          <cell r="O53592" t="str">
            <v/>
          </cell>
        </row>
        <row r="53593">
          <cell r="O53593" t="str">
            <v/>
          </cell>
        </row>
        <row r="53594">
          <cell r="O53594" t="str">
            <v/>
          </cell>
        </row>
        <row r="53595">
          <cell r="O53595" t="str">
            <v/>
          </cell>
        </row>
        <row r="53596">
          <cell r="O53596" t="str">
            <v/>
          </cell>
        </row>
        <row r="53597">
          <cell r="O53597" t="str">
            <v/>
          </cell>
        </row>
        <row r="53598">
          <cell r="O53598" t="str">
            <v/>
          </cell>
        </row>
        <row r="53599">
          <cell r="O53599" t="str">
            <v/>
          </cell>
        </row>
        <row r="53600">
          <cell r="O53600" t="str">
            <v/>
          </cell>
        </row>
        <row r="53601">
          <cell r="O53601" t="str">
            <v/>
          </cell>
        </row>
        <row r="53602">
          <cell r="O53602" t="str">
            <v/>
          </cell>
        </row>
        <row r="53603">
          <cell r="O53603" t="str">
            <v/>
          </cell>
        </row>
        <row r="53604">
          <cell r="O53604" t="str">
            <v/>
          </cell>
        </row>
        <row r="53605">
          <cell r="O53605" t="str">
            <v/>
          </cell>
        </row>
        <row r="53606">
          <cell r="O53606" t="str">
            <v/>
          </cell>
        </row>
        <row r="53607">
          <cell r="O53607" t="str">
            <v/>
          </cell>
        </row>
        <row r="53608">
          <cell r="O53608" t="str">
            <v/>
          </cell>
        </row>
        <row r="53609">
          <cell r="O53609" t="str">
            <v/>
          </cell>
        </row>
        <row r="53610">
          <cell r="O53610" t="str">
            <v/>
          </cell>
        </row>
        <row r="53611">
          <cell r="O53611" t="str">
            <v/>
          </cell>
        </row>
        <row r="53612">
          <cell r="O53612" t="str">
            <v/>
          </cell>
        </row>
        <row r="53613">
          <cell r="O53613" t="str">
            <v/>
          </cell>
        </row>
        <row r="53614">
          <cell r="O53614" t="str">
            <v/>
          </cell>
        </row>
        <row r="53615">
          <cell r="O53615" t="str">
            <v/>
          </cell>
        </row>
        <row r="53616">
          <cell r="O53616" t="str">
            <v/>
          </cell>
        </row>
        <row r="53617">
          <cell r="O53617" t="str">
            <v/>
          </cell>
        </row>
        <row r="53618">
          <cell r="O53618" t="str">
            <v/>
          </cell>
        </row>
        <row r="53619">
          <cell r="O53619" t="str">
            <v/>
          </cell>
        </row>
        <row r="53620">
          <cell r="O53620" t="str">
            <v/>
          </cell>
        </row>
        <row r="53621">
          <cell r="O53621" t="str">
            <v/>
          </cell>
        </row>
        <row r="53622">
          <cell r="O53622" t="str">
            <v/>
          </cell>
        </row>
        <row r="53623">
          <cell r="O53623" t="str">
            <v/>
          </cell>
        </row>
        <row r="53624">
          <cell r="O53624" t="str">
            <v/>
          </cell>
        </row>
        <row r="53625">
          <cell r="O53625" t="str">
            <v/>
          </cell>
        </row>
        <row r="53626">
          <cell r="O53626" t="str">
            <v/>
          </cell>
        </row>
        <row r="53627">
          <cell r="O53627" t="str">
            <v/>
          </cell>
        </row>
        <row r="53628">
          <cell r="O53628" t="str">
            <v/>
          </cell>
        </row>
        <row r="53629">
          <cell r="O53629" t="str">
            <v/>
          </cell>
        </row>
        <row r="53630">
          <cell r="O53630" t="str">
            <v/>
          </cell>
        </row>
        <row r="53631">
          <cell r="O53631" t="str">
            <v/>
          </cell>
        </row>
        <row r="53632">
          <cell r="O53632" t="str">
            <v/>
          </cell>
        </row>
        <row r="53633">
          <cell r="O53633" t="str">
            <v/>
          </cell>
        </row>
        <row r="53634">
          <cell r="O53634" t="str">
            <v/>
          </cell>
        </row>
        <row r="53635">
          <cell r="O53635" t="str">
            <v/>
          </cell>
        </row>
        <row r="53636">
          <cell r="O53636" t="str">
            <v/>
          </cell>
        </row>
        <row r="53637">
          <cell r="O53637" t="str">
            <v/>
          </cell>
        </row>
        <row r="53638">
          <cell r="O53638" t="str">
            <v/>
          </cell>
        </row>
        <row r="53639">
          <cell r="O53639" t="str">
            <v/>
          </cell>
        </row>
        <row r="53640">
          <cell r="O53640" t="str">
            <v/>
          </cell>
        </row>
        <row r="53641">
          <cell r="O53641" t="str">
            <v/>
          </cell>
        </row>
        <row r="53642">
          <cell r="O53642" t="str">
            <v/>
          </cell>
        </row>
        <row r="53643">
          <cell r="O53643" t="str">
            <v/>
          </cell>
        </row>
        <row r="53644">
          <cell r="O53644" t="str">
            <v/>
          </cell>
        </row>
        <row r="53645">
          <cell r="O53645" t="str">
            <v/>
          </cell>
        </row>
        <row r="53646">
          <cell r="O53646" t="str">
            <v/>
          </cell>
        </row>
        <row r="53647">
          <cell r="O53647" t="str">
            <v/>
          </cell>
        </row>
        <row r="53648">
          <cell r="O53648" t="str">
            <v/>
          </cell>
        </row>
        <row r="53649">
          <cell r="O53649" t="str">
            <v/>
          </cell>
        </row>
        <row r="53650">
          <cell r="O53650" t="str">
            <v/>
          </cell>
        </row>
        <row r="53651">
          <cell r="O53651" t="str">
            <v/>
          </cell>
        </row>
        <row r="53652">
          <cell r="O53652" t="str">
            <v/>
          </cell>
        </row>
        <row r="53653">
          <cell r="O53653" t="str">
            <v/>
          </cell>
        </row>
        <row r="53654">
          <cell r="O53654" t="str">
            <v/>
          </cell>
        </row>
        <row r="53655">
          <cell r="O53655" t="str">
            <v/>
          </cell>
        </row>
        <row r="53656">
          <cell r="O53656" t="str">
            <v/>
          </cell>
        </row>
        <row r="53657">
          <cell r="O53657" t="str">
            <v/>
          </cell>
        </row>
        <row r="53658">
          <cell r="O53658" t="str">
            <v/>
          </cell>
        </row>
        <row r="53659">
          <cell r="O53659" t="str">
            <v/>
          </cell>
        </row>
        <row r="53660">
          <cell r="O53660" t="str">
            <v/>
          </cell>
        </row>
        <row r="53661">
          <cell r="O53661" t="str">
            <v/>
          </cell>
        </row>
        <row r="53662">
          <cell r="O53662" t="str">
            <v/>
          </cell>
        </row>
        <row r="53663">
          <cell r="O53663" t="str">
            <v/>
          </cell>
        </row>
        <row r="53664">
          <cell r="O53664" t="str">
            <v/>
          </cell>
        </row>
        <row r="53665">
          <cell r="O53665" t="str">
            <v/>
          </cell>
        </row>
        <row r="53666">
          <cell r="O53666" t="str">
            <v/>
          </cell>
        </row>
        <row r="53667">
          <cell r="O53667" t="str">
            <v/>
          </cell>
        </row>
        <row r="53668">
          <cell r="O53668" t="str">
            <v/>
          </cell>
        </row>
        <row r="53669">
          <cell r="O53669" t="str">
            <v/>
          </cell>
        </row>
        <row r="53670">
          <cell r="O53670" t="str">
            <v/>
          </cell>
        </row>
        <row r="53671">
          <cell r="O53671" t="str">
            <v/>
          </cell>
        </row>
        <row r="53672">
          <cell r="O53672" t="str">
            <v/>
          </cell>
        </row>
        <row r="53673">
          <cell r="O53673" t="str">
            <v/>
          </cell>
        </row>
        <row r="53674">
          <cell r="O53674" t="str">
            <v/>
          </cell>
        </row>
        <row r="53675">
          <cell r="O53675" t="str">
            <v/>
          </cell>
        </row>
        <row r="53676">
          <cell r="O53676" t="str">
            <v/>
          </cell>
        </row>
        <row r="53677">
          <cell r="O53677" t="str">
            <v/>
          </cell>
        </row>
        <row r="53678">
          <cell r="O53678" t="str">
            <v/>
          </cell>
        </row>
        <row r="53679">
          <cell r="O53679" t="str">
            <v/>
          </cell>
        </row>
        <row r="53680">
          <cell r="O53680" t="str">
            <v/>
          </cell>
        </row>
        <row r="53681">
          <cell r="O53681" t="str">
            <v/>
          </cell>
        </row>
        <row r="53682">
          <cell r="O53682" t="str">
            <v/>
          </cell>
        </row>
        <row r="53683">
          <cell r="O53683" t="str">
            <v/>
          </cell>
        </row>
        <row r="53684">
          <cell r="O53684" t="str">
            <v/>
          </cell>
        </row>
        <row r="53685">
          <cell r="O53685" t="str">
            <v/>
          </cell>
        </row>
        <row r="53686">
          <cell r="O53686" t="str">
            <v/>
          </cell>
        </row>
        <row r="53687">
          <cell r="O53687" t="str">
            <v/>
          </cell>
        </row>
        <row r="53688">
          <cell r="O53688" t="str">
            <v/>
          </cell>
        </row>
        <row r="53689">
          <cell r="O53689" t="str">
            <v/>
          </cell>
        </row>
        <row r="53690">
          <cell r="O53690" t="str">
            <v/>
          </cell>
        </row>
        <row r="53691">
          <cell r="O53691" t="str">
            <v/>
          </cell>
        </row>
        <row r="53692">
          <cell r="O53692" t="str">
            <v/>
          </cell>
        </row>
        <row r="53693">
          <cell r="O53693" t="str">
            <v/>
          </cell>
        </row>
        <row r="53694">
          <cell r="O53694" t="str">
            <v/>
          </cell>
        </row>
        <row r="53695">
          <cell r="O53695" t="str">
            <v/>
          </cell>
        </row>
        <row r="53696">
          <cell r="O53696" t="str">
            <v/>
          </cell>
        </row>
        <row r="53697">
          <cell r="O53697" t="str">
            <v/>
          </cell>
        </row>
        <row r="53698">
          <cell r="O53698" t="str">
            <v/>
          </cell>
        </row>
        <row r="53699">
          <cell r="O53699" t="str">
            <v/>
          </cell>
        </row>
        <row r="53700">
          <cell r="O53700" t="str">
            <v/>
          </cell>
        </row>
        <row r="53701">
          <cell r="O53701" t="str">
            <v/>
          </cell>
        </row>
        <row r="53702">
          <cell r="O53702" t="str">
            <v/>
          </cell>
        </row>
        <row r="53703">
          <cell r="O53703" t="str">
            <v/>
          </cell>
        </row>
        <row r="53704">
          <cell r="O53704" t="str">
            <v/>
          </cell>
        </row>
        <row r="53705">
          <cell r="O53705" t="str">
            <v/>
          </cell>
        </row>
        <row r="53706">
          <cell r="O53706" t="str">
            <v/>
          </cell>
        </row>
        <row r="53707">
          <cell r="O53707" t="str">
            <v/>
          </cell>
        </row>
        <row r="53708">
          <cell r="O53708" t="str">
            <v/>
          </cell>
        </row>
        <row r="53709">
          <cell r="O53709" t="str">
            <v/>
          </cell>
        </row>
        <row r="53710">
          <cell r="O53710" t="str">
            <v/>
          </cell>
        </row>
        <row r="53711">
          <cell r="O53711" t="str">
            <v/>
          </cell>
        </row>
        <row r="53712">
          <cell r="O53712" t="str">
            <v/>
          </cell>
        </row>
        <row r="53713">
          <cell r="O53713" t="str">
            <v/>
          </cell>
        </row>
        <row r="53714">
          <cell r="O53714" t="str">
            <v/>
          </cell>
        </row>
        <row r="53715">
          <cell r="O53715" t="str">
            <v/>
          </cell>
        </row>
        <row r="53716">
          <cell r="O53716" t="str">
            <v/>
          </cell>
        </row>
        <row r="53717">
          <cell r="O53717" t="str">
            <v/>
          </cell>
        </row>
        <row r="53718">
          <cell r="O53718" t="str">
            <v/>
          </cell>
        </row>
        <row r="53719">
          <cell r="O53719" t="str">
            <v/>
          </cell>
        </row>
        <row r="53720">
          <cell r="O53720" t="str">
            <v/>
          </cell>
        </row>
        <row r="53721">
          <cell r="O53721" t="str">
            <v/>
          </cell>
        </row>
        <row r="53722">
          <cell r="O53722" t="str">
            <v/>
          </cell>
        </row>
        <row r="53723">
          <cell r="O53723" t="str">
            <v/>
          </cell>
        </row>
        <row r="53724">
          <cell r="O53724" t="str">
            <v/>
          </cell>
        </row>
        <row r="53725">
          <cell r="O53725" t="str">
            <v/>
          </cell>
        </row>
        <row r="53726">
          <cell r="O53726" t="str">
            <v/>
          </cell>
        </row>
        <row r="53727">
          <cell r="O53727" t="str">
            <v/>
          </cell>
        </row>
        <row r="53728">
          <cell r="O53728" t="str">
            <v/>
          </cell>
        </row>
        <row r="53729">
          <cell r="O53729" t="str">
            <v/>
          </cell>
        </row>
        <row r="53730">
          <cell r="O53730" t="str">
            <v/>
          </cell>
        </row>
        <row r="53731">
          <cell r="O53731" t="str">
            <v/>
          </cell>
        </row>
        <row r="53732">
          <cell r="O53732" t="str">
            <v/>
          </cell>
        </row>
        <row r="53733">
          <cell r="O53733" t="str">
            <v/>
          </cell>
        </row>
        <row r="53734">
          <cell r="O53734" t="str">
            <v/>
          </cell>
        </row>
        <row r="53735">
          <cell r="O53735" t="str">
            <v/>
          </cell>
        </row>
        <row r="53736">
          <cell r="O53736" t="str">
            <v/>
          </cell>
        </row>
        <row r="53737">
          <cell r="O53737" t="str">
            <v/>
          </cell>
        </row>
        <row r="53738">
          <cell r="O53738" t="str">
            <v/>
          </cell>
        </row>
        <row r="53739">
          <cell r="O53739" t="str">
            <v/>
          </cell>
        </row>
        <row r="53740">
          <cell r="O53740" t="str">
            <v/>
          </cell>
        </row>
        <row r="53741">
          <cell r="O53741" t="str">
            <v/>
          </cell>
        </row>
        <row r="53742">
          <cell r="O53742" t="str">
            <v/>
          </cell>
        </row>
        <row r="53743">
          <cell r="O53743" t="str">
            <v/>
          </cell>
        </row>
        <row r="53744">
          <cell r="O53744" t="str">
            <v/>
          </cell>
        </row>
        <row r="53745">
          <cell r="O53745" t="str">
            <v/>
          </cell>
        </row>
        <row r="53746">
          <cell r="O53746" t="str">
            <v/>
          </cell>
        </row>
        <row r="53747">
          <cell r="O53747" t="str">
            <v/>
          </cell>
        </row>
        <row r="53748">
          <cell r="O53748" t="str">
            <v/>
          </cell>
        </row>
        <row r="53749">
          <cell r="O53749" t="str">
            <v/>
          </cell>
        </row>
        <row r="53750">
          <cell r="O53750" t="str">
            <v/>
          </cell>
        </row>
        <row r="53751">
          <cell r="O53751" t="str">
            <v/>
          </cell>
        </row>
        <row r="53752">
          <cell r="O53752" t="str">
            <v/>
          </cell>
        </row>
        <row r="53753">
          <cell r="O53753" t="str">
            <v/>
          </cell>
        </row>
        <row r="53754">
          <cell r="O53754" t="str">
            <v/>
          </cell>
        </row>
        <row r="53755">
          <cell r="O53755" t="str">
            <v/>
          </cell>
        </row>
        <row r="53756">
          <cell r="O53756" t="str">
            <v/>
          </cell>
        </row>
        <row r="53757">
          <cell r="O53757" t="str">
            <v/>
          </cell>
        </row>
        <row r="53758">
          <cell r="O53758" t="str">
            <v/>
          </cell>
        </row>
        <row r="53759">
          <cell r="O53759" t="str">
            <v/>
          </cell>
        </row>
        <row r="53760">
          <cell r="O53760" t="str">
            <v/>
          </cell>
        </row>
        <row r="53761">
          <cell r="O53761" t="str">
            <v/>
          </cell>
        </row>
        <row r="53762">
          <cell r="O53762" t="str">
            <v/>
          </cell>
        </row>
        <row r="53763">
          <cell r="O53763" t="str">
            <v/>
          </cell>
        </row>
        <row r="53764">
          <cell r="O53764" t="str">
            <v/>
          </cell>
        </row>
        <row r="53765">
          <cell r="O53765" t="str">
            <v/>
          </cell>
        </row>
        <row r="53766">
          <cell r="O53766" t="str">
            <v/>
          </cell>
        </row>
        <row r="53767">
          <cell r="O53767" t="str">
            <v/>
          </cell>
        </row>
        <row r="53768">
          <cell r="O53768" t="str">
            <v/>
          </cell>
        </row>
        <row r="53769">
          <cell r="O53769" t="str">
            <v/>
          </cell>
        </row>
        <row r="53770">
          <cell r="O53770" t="str">
            <v/>
          </cell>
        </row>
        <row r="53771">
          <cell r="O53771" t="str">
            <v/>
          </cell>
        </row>
        <row r="53772">
          <cell r="O53772" t="str">
            <v/>
          </cell>
        </row>
        <row r="53773">
          <cell r="O53773" t="str">
            <v/>
          </cell>
        </row>
        <row r="53774">
          <cell r="O53774" t="str">
            <v/>
          </cell>
        </row>
        <row r="53775">
          <cell r="O53775" t="str">
            <v/>
          </cell>
        </row>
        <row r="53776">
          <cell r="O53776" t="str">
            <v/>
          </cell>
        </row>
        <row r="53777">
          <cell r="O53777" t="str">
            <v/>
          </cell>
        </row>
        <row r="53778">
          <cell r="O53778" t="str">
            <v/>
          </cell>
        </row>
        <row r="53779">
          <cell r="O53779" t="str">
            <v/>
          </cell>
        </row>
        <row r="53780">
          <cell r="O53780" t="str">
            <v/>
          </cell>
        </row>
        <row r="53781">
          <cell r="O53781" t="str">
            <v/>
          </cell>
        </row>
        <row r="53782">
          <cell r="O53782" t="str">
            <v/>
          </cell>
        </row>
        <row r="53783">
          <cell r="O53783" t="str">
            <v/>
          </cell>
        </row>
        <row r="53784">
          <cell r="O53784" t="str">
            <v/>
          </cell>
        </row>
        <row r="53785">
          <cell r="O53785" t="str">
            <v/>
          </cell>
        </row>
        <row r="53786">
          <cell r="O53786" t="str">
            <v/>
          </cell>
        </row>
        <row r="53787">
          <cell r="O53787" t="str">
            <v/>
          </cell>
        </row>
        <row r="53788">
          <cell r="O53788" t="str">
            <v/>
          </cell>
        </row>
        <row r="53789">
          <cell r="O53789" t="str">
            <v/>
          </cell>
        </row>
        <row r="53790">
          <cell r="O53790" t="str">
            <v/>
          </cell>
        </row>
        <row r="53791">
          <cell r="O53791" t="str">
            <v/>
          </cell>
        </row>
        <row r="53792">
          <cell r="O53792" t="str">
            <v/>
          </cell>
        </row>
        <row r="53793">
          <cell r="O53793" t="str">
            <v/>
          </cell>
        </row>
        <row r="53794">
          <cell r="O53794" t="str">
            <v/>
          </cell>
        </row>
        <row r="53795">
          <cell r="O53795" t="str">
            <v/>
          </cell>
        </row>
        <row r="53796">
          <cell r="O53796" t="str">
            <v/>
          </cell>
        </row>
        <row r="53797">
          <cell r="O53797" t="str">
            <v/>
          </cell>
        </row>
        <row r="53798">
          <cell r="O53798" t="str">
            <v/>
          </cell>
        </row>
        <row r="53799">
          <cell r="O53799" t="str">
            <v/>
          </cell>
        </row>
        <row r="53800">
          <cell r="O53800" t="str">
            <v/>
          </cell>
        </row>
        <row r="53801">
          <cell r="O53801" t="str">
            <v/>
          </cell>
        </row>
        <row r="53802">
          <cell r="O53802" t="str">
            <v/>
          </cell>
        </row>
        <row r="53803">
          <cell r="O53803" t="str">
            <v/>
          </cell>
        </row>
        <row r="53804">
          <cell r="O53804" t="str">
            <v/>
          </cell>
        </row>
        <row r="53805">
          <cell r="O53805" t="str">
            <v/>
          </cell>
        </row>
        <row r="53806">
          <cell r="O53806" t="str">
            <v/>
          </cell>
        </row>
        <row r="53807">
          <cell r="O53807" t="str">
            <v/>
          </cell>
        </row>
        <row r="53808">
          <cell r="O53808" t="str">
            <v/>
          </cell>
        </row>
        <row r="53809">
          <cell r="O53809" t="str">
            <v/>
          </cell>
        </row>
        <row r="53810">
          <cell r="O53810" t="str">
            <v/>
          </cell>
        </row>
        <row r="53811">
          <cell r="O53811" t="str">
            <v/>
          </cell>
        </row>
        <row r="53812">
          <cell r="O53812" t="str">
            <v/>
          </cell>
        </row>
        <row r="53813">
          <cell r="O53813" t="str">
            <v/>
          </cell>
        </row>
        <row r="53814">
          <cell r="O53814" t="str">
            <v/>
          </cell>
        </row>
        <row r="53815">
          <cell r="O53815" t="str">
            <v/>
          </cell>
        </row>
        <row r="53816">
          <cell r="O53816" t="str">
            <v/>
          </cell>
        </row>
        <row r="53817">
          <cell r="O53817" t="str">
            <v/>
          </cell>
        </row>
        <row r="53818">
          <cell r="O53818" t="str">
            <v/>
          </cell>
        </row>
        <row r="53819">
          <cell r="O53819" t="str">
            <v/>
          </cell>
        </row>
        <row r="53820">
          <cell r="O53820" t="str">
            <v/>
          </cell>
        </row>
        <row r="53821">
          <cell r="O53821" t="str">
            <v/>
          </cell>
        </row>
        <row r="53822">
          <cell r="O53822" t="str">
            <v/>
          </cell>
        </row>
        <row r="53823">
          <cell r="O53823" t="str">
            <v/>
          </cell>
        </row>
        <row r="53824">
          <cell r="O53824" t="str">
            <v/>
          </cell>
        </row>
        <row r="53825">
          <cell r="O53825" t="str">
            <v/>
          </cell>
        </row>
        <row r="53826">
          <cell r="O53826" t="str">
            <v/>
          </cell>
        </row>
        <row r="53827">
          <cell r="O53827" t="str">
            <v/>
          </cell>
        </row>
        <row r="53828">
          <cell r="O53828" t="str">
            <v/>
          </cell>
        </row>
        <row r="53829">
          <cell r="O53829" t="str">
            <v/>
          </cell>
        </row>
        <row r="53830">
          <cell r="O53830" t="str">
            <v/>
          </cell>
        </row>
        <row r="53831">
          <cell r="O53831" t="str">
            <v/>
          </cell>
        </row>
        <row r="53832">
          <cell r="O53832" t="str">
            <v/>
          </cell>
        </row>
        <row r="53833">
          <cell r="O53833" t="str">
            <v/>
          </cell>
        </row>
        <row r="53834">
          <cell r="O53834" t="str">
            <v/>
          </cell>
        </row>
        <row r="53835">
          <cell r="O53835" t="str">
            <v/>
          </cell>
        </row>
        <row r="53836">
          <cell r="O53836" t="str">
            <v/>
          </cell>
        </row>
        <row r="53837">
          <cell r="O53837" t="str">
            <v/>
          </cell>
        </row>
        <row r="53838">
          <cell r="O53838" t="str">
            <v/>
          </cell>
        </row>
        <row r="53839">
          <cell r="O53839" t="str">
            <v/>
          </cell>
        </row>
        <row r="53840">
          <cell r="O53840" t="str">
            <v/>
          </cell>
        </row>
        <row r="53841">
          <cell r="O53841" t="str">
            <v/>
          </cell>
        </row>
        <row r="53842">
          <cell r="O53842" t="str">
            <v/>
          </cell>
        </row>
        <row r="53843">
          <cell r="O53843" t="str">
            <v/>
          </cell>
        </row>
        <row r="53844">
          <cell r="O53844" t="str">
            <v/>
          </cell>
        </row>
        <row r="53845">
          <cell r="O53845" t="str">
            <v/>
          </cell>
        </row>
        <row r="53846">
          <cell r="O53846" t="str">
            <v/>
          </cell>
        </row>
        <row r="53847">
          <cell r="O53847" t="str">
            <v/>
          </cell>
        </row>
        <row r="53848">
          <cell r="O53848" t="str">
            <v/>
          </cell>
        </row>
        <row r="53849">
          <cell r="O53849" t="str">
            <v/>
          </cell>
        </row>
        <row r="53850">
          <cell r="O53850" t="str">
            <v/>
          </cell>
        </row>
        <row r="53851">
          <cell r="O53851" t="str">
            <v/>
          </cell>
        </row>
        <row r="53852">
          <cell r="O53852" t="str">
            <v/>
          </cell>
        </row>
        <row r="53853">
          <cell r="O53853" t="str">
            <v/>
          </cell>
        </row>
        <row r="53854">
          <cell r="O53854" t="str">
            <v/>
          </cell>
        </row>
        <row r="53855">
          <cell r="O53855" t="str">
            <v/>
          </cell>
        </row>
        <row r="53856">
          <cell r="O53856" t="str">
            <v/>
          </cell>
        </row>
        <row r="53857">
          <cell r="O53857" t="str">
            <v/>
          </cell>
        </row>
        <row r="53858">
          <cell r="O53858" t="str">
            <v/>
          </cell>
        </row>
        <row r="53859">
          <cell r="O53859" t="str">
            <v/>
          </cell>
        </row>
        <row r="53860">
          <cell r="O53860" t="str">
            <v/>
          </cell>
        </row>
        <row r="53861">
          <cell r="O53861" t="str">
            <v/>
          </cell>
        </row>
        <row r="53862">
          <cell r="O53862" t="str">
            <v/>
          </cell>
        </row>
        <row r="53863">
          <cell r="O53863" t="str">
            <v/>
          </cell>
        </row>
        <row r="53864">
          <cell r="O53864" t="str">
            <v/>
          </cell>
        </row>
        <row r="53865">
          <cell r="O53865" t="str">
            <v/>
          </cell>
        </row>
        <row r="53866">
          <cell r="O53866" t="str">
            <v/>
          </cell>
        </row>
        <row r="53867">
          <cell r="O53867" t="str">
            <v/>
          </cell>
        </row>
        <row r="53868">
          <cell r="O53868" t="str">
            <v/>
          </cell>
        </row>
        <row r="53869">
          <cell r="O53869" t="str">
            <v/>
          </cell>
        </row>
        <row r="53870">
          <cell r="O53870" t="str">
            <v/>
          </cell>
        </row>
        <row r="53871">
          <cell r="O53871" t="str">
            <v/>
          </cell>
        </row>
        <row r="53872">
          <cell r="O53872" t="str">
            <v/>
          </cell>
        </row>
        <row r="53873">
          <cell r="O53873" t="str">
            <v/>
          </cell>
        </row>
        <row r="53874">
          <cell r="O53874" t="str">
            <v/>
          </cell>
        </row>
        <row r="53875">
          <cell r="O53875" t="str">
            <v/>
          </cell>
        </row>
        <row r="53876">
          <cell r="O53876" t="str">
            <v/>
          </cell>
        </row>
        <row r="53877">
          <cell r="O53877" t="str">
            <v/>
          </cell>
        </row>
        <row r="53878">
          <cell r="O53878" t="str">
            <v/>
          </cell>
        </row>
        <row r="53879">
          <cell r="O53879" t="str">
            <v/>
          </cell>
        </row>
        <row r="53880">
          <cell r="O53880" t="str">
            <v/>
          </cell>
        </row>
        <row r="53881">
          <cell r="O53881" t="str">
            <v/>
          </cell>
        </row>
        <row r="53882">
          <cell r="O53882" t="str">
            <v/>
          </cell>
        </row>
        <row r="53883">
          <cell r="O53883" t="str">
            <v/>
          </cell>
        </row>
        <row r="53884">
          <cell r="O53884" t="str">
            <v/>
          </cell>
        </row>
        <row r="53885">
          <cell r="O53885" t="str">
            <v/>
          </cell>
        </row>
        <row r="53886">
          <cell r="O53886" t="str">
            <v/>
          </cell>
        </row>
        <row r="53887">
          <cell r="O53887" t="str">
            <v/>
          </cell>
        </row>
        <row r="53888">
          <cell r="O53888" t="str">
            <v/>
          </cell>
        </row>
        <row r="53889">
          <cell r="O53889" t="str">
            <v/>
          </cell>
        </row>
        <row r="53890">
          <cell r="O53890" t="str">
            <v/>
          </cell>
        </row>
        <row r="53891">
          <cell r="O53891" t="str">
            <v/>
          </cell>
        </row>
        <row r="53892">
          <cell r="O53892" t="str">
            <v/>
          </cell>
        </row>
        <row r="53893">
          <cell r="O53893" t="str">
            <v/>
          </cell>
        </row>
        <row r="53894">
          <cell r="O53894" t="str">
            <v/>
          </cell>
        </row>
        <row r="53895">
          <cell r="O53895" t="str">
            <v/>
          </cell>
        </row>
        <row r="53896">
          <cell r="O53896" t="str">
            <v/>
          </cell>
        </row>
        <row r="53897">
          <cell r="O53897" t="str">
            <v/>
          </cell>
        </row>
        <row r="53898">
          <cell r="O53898" t="str">
            <v/>
          </cell>
        </row>
        <row r="53899">
          <cell r="O53899" t="str">
            <v/>
          </cell>
        </row>
        <row r="53900">
          <cell r="O53900" t="str">
            <v/>
          </cell>
        </row>
        <row r="53901">
          <cell r="O53901" t="str">
            <v/>
          </cell>
        </row>
        <row r="53902">
          <cell r="O53902" t="str">
            <v/>
          </cell>
        </row>
        <row r="53903">
          <cell r="O53903" t="str">
            <v/>
          </cell>
        </row>
        <row r="53904">
          <cell r="O53904" t="str">
            <v/>
          </cell>
        </row>
        <row r="53905">
          <cell r="O53905" t="str">
            <v/>
          </cell>
        </row>
        <row r="53906">
          <cell r="O53906" t="str">
            <v/>
          </cell>
        </row>
        <row r="53907">
          <cell r="O53907" t="str">
            <v/>
          </cell>
        </row>
        <row r="53908">
          <cell r="O53908" t="str">
            <v/>
          </cell>
        </row>
        <row r="53909">
          <cell r="O53909" t="str">
            <v/>
          </cell>
        </row>
        <row r="53910">
          <cell r="O53910" t="str">
            <v/>
          </cell>
        </row>
        <row r="53911">
          <cell r="O53911" t="str">
            <v/>
          </cell>
        </row>
        <row r="53912">
          <cell r="O53912" t="str">
            <v/>
          </cell>
        </row>
        <row r="53913">
          <cell r="O53913" t="str">
            <v/>
          </cell>
        </row>
        <row r="53914">
          <cell r="O53914" t="str">
            <v/>
          </cell>
        </row>
        <row r="53915">
          <cell r="O53915" t="str">
            <v/>
          </cell>
        </row>
        <row r="53916">
          <cell r="O53916" t="str">
            <v/>
          </cell>
        </row>
        <row r="53917">
          <cell r="O53917" t="str">
            <v/>
          </cell>
        </row>
        <row r="53918">
          <cell r="O53918" t="str">
            <v/>
          </cell>
        </row>
        <row r="53919">
          <cell r="O53919" t="str">
            <v/>
          </cell>
        </row>
        <row r="53920">
          <cell r="O53920" t="str">
            <v/>
          </cell>
        </row>
        <row r="53921">
          <cell r="O53921" t="str">
            <v/>
          </cell>
        </row>
        <row r="53922">
          <cell r="O53922" t="str">
            <v/>
          </cell>
        </row>
        <row r="53923">
          <cell r="O53923" t="str">
            <v/>
          </cell>
        </row>
        <row r="53924">
          <cell r="O53924" t="str">
            <v/>
          </cell>
        </row>
        <row r="53925">
          <cell r="O53925" t="str">
            <v/>
          </cell>
        </row>
        <row r="53926">
          <cell r="O53926" t="str">
            <v/>
          </cell>
        </row>
        <row r="53927">
          <cell r="O53927" t="str">
            <v/>
          </cell>
        </row>
        <row r="53928">
          <cell r="O53928" t="str">
            <v/>
          </cell>
        </row>
        <row r="53929">
          <cell r="O53929" t="str">
            <v/>
          </cell>
        </row>
        <row r="53930">
          <cell r="O53930" t="str">
            <v/>
          </cell>
        </row>
        <row r="53931">
          <cell r="O53931" t="str">
            <v/>
          </cell>
        </row>
        <row r="53932">
          <cell r="O53932" t="str">
            <v/>
          </cell>
        </row>
        <row r="53933">
          <cell r="O53933" t="str">
            <v/>
          </cell>
        </row>
        <row r="53934">
          <cell r="O53934" t="str">
            <v/>
          </cell>
        </row>
        <row r="53935">
          <cell r="O53935" t="str">
            <v/>
          </cell>
        </row>
        <row r="53936">
          <cell r="O53936" t="str">
            <v/>
          </cell>
        </row>
        <row r="53937">
          <cell r="O53937" t="str">
            <v/>
          </cell>
        </row>
        <row r="53938">
          <cell r="O53938" t="str">
            <v/>
          </cell>
        </row>
        <row r="53939">
          <cell r="O53939" t="str">
            <v/>
          </cell>
        </row>
        <row r="53940">
          <cell r="O53940" t="str">
            <v/>
          </cell>
        </row>
        <row r="53941">
          <cell r="O53941" t="str">
            <v/>
          </cell>
        </row>
        <row r="53942">
          <cell r="O53942" t="str">
            <v/>
          </cell>
        </row>
        <row r="53943">
          <cell r="O53943" t="str">
            <v/>
          </cell>
        </row>
        <row r="53944">
          <cell r="O53944" t="str">
            <v/>
          </cell>
        </row>
        <row r="53945">
          <cell r="O53945" t="str">
            <v/>
          </cell>
        </row>
        <row r="53946">
          <cell r="O53946" t="str">
            <v/>
          </cell>
        </row>
        <row r="53947">
          <cell r="O53947" t="str">
            <v/>
          </cell>
        </row>
        <row r="53948">
          <cell r="O53948" t="str">
            <v/>
          </cell>
        </row>
        <row r="53949">
          <cell r="O53949" t="str">
            <v/>
          </cell>
        </row>
        <row r="53950">
          <cell r="O53950" t="str">
            <v/>
          </cell>
        </row>
        <row r="53951">
          <cell r="O53951" t="str">
            <v/>
          </cell>
        </row>
        <row r="53952">
          <cell r="O53952" t="str">
            <v/>
          </cell>
        </row>
        <row r="53953">
          <cell r="O53953" t="str">
            <v/>
          </cell>
        </row>
        <row r="53954">
          <cell r="O53954" t="str">
            <v/>
          </cell>
        </row>
        <row r="53955">
          <cell r="O53955" t="str">
            <v/>
          </cell>
        </row>
        <row r="53956">
          <cell r="O53956" t="str">
            <v/>
          </cell>
        </row>
        <row r="53957">
          <cell r="O53957" t="str">
            <v/>
          </cell>
        </row>
        <row r="53958">
          <cell r="O53958" t="str">
            <v/>
          </cell>
        </row>
        <row r="53959">
          <cell r="O53959" t="str">
            <v/>
          </cell>
        </row>
        <row r="53960">
          <cell r="O53960" t="str">
            <v/>
          </cell>
        </row>
        <row r="53961">
          <cell r="O53961" t="str">
            <v/>
          </cell>
        </row>
        <row r="53962">
          <cell r="O53962" t="str">
            <v/>
          </cell>
        </row>
        <row r="53963">
          <cell r="O53963" t="str">
            <v/>
          </cell>
        </row>
        <row r="53964">
          <cell r="O53964" t="str">
            <v/>
          </cell>
        </row>
        <row r="53965">
          <cell r="O53965" t="str">
            <v/>
          </cell>
        </row>
        <row r="53966">
          <cell r="O53966" t="str">
            <v/>
          </cell>
        </row>
        <row r="53967">
          <cell r="O53967" t="str">
            <v/>
          </cell>
        </row>
        <row r="53968">
          <cell r="O53968" t="str">
            <v/>
          </cell>
        </row>
        <row r="53969">
          <cell r="O53969" t="str">
            <v/>
          </cell>
        </row>
        <row r="53970">
          <cell r="O53970" t="str">
            <v/>
          </cell>
        </row>
        <row r="53971">
          <cell r="O53971" t="str">
            <v/>
          </cell>
        </row>
        <row r="53972">
          <cell r="O53972" t="str">
            <v/>
          </cell>
        </row>
        <row r="53973">
          <cell r="O53973" t="str">
            <v/>
          </cell>
        </row>
        <row r="53974">
          <cell r="O53974" t="str">
            <v/>
          </cell>
        </row>
        <row r="53975">
          <cell r="O53975" t="str">
            <v/>
          </cell>
        </row>
        <row r="53976">
          <cell r="O53976" t="str">
            <v/>
          </cell>
        </row>
        <row r="53977">
          <cell r="O53977" t="str">
            <v/>
          </cell>
        </row>
        <row r="53978">
          <cell r="O53978" t="str">
            <v/>
          </cell>
        </row>
        <row r="53979">
          <cell r="O53979" t="str">
            <v/>
          </cell>
        </row>
        <row r="53980">
          <cell r="O53980" t="str">
            <v/>
          </cell>
        </row>
        <row r="53981">
          <cell r="O53981" t="str">
            <v/>
          </cell>
        </row>
        <row r="53982">
          <cell r="O53982" t="str">
            <v/>
          </cell>
        </row>
        <row r="53983">
          <cell r="O53983" t="str">
            <v/>
          </cell>
        </row>
        <row r="53984">
          <cell r="O53984" t="str">
            <v/>
          </cell>
        </row>
        <row r="53985">
          <cell r="O53985" t="str">
            <v/>
          </cell>
        </row>
        <row r="53986">
          <cell r="O53986" t="str">
            <v/>
          </cell>
        </row>
        <row r="53987">
          <cell r="O53987" t="str">
            <v/>
          </cell>
        </row>
        <row r="53988">
          <cell r="O53988" t="str">
            <v/>
          </cell>
        </row>
        <row r="53989">
          <cell r="O53989" t="str">
            <v/>
          </cell>
        </row>
        <row r="53990">
          <cell r="O53990" t="str">
            <v/>
          </cell>
        </row>
        <row r="53991">
          <cell r="O53991" t="str">
            <v/>
          </cell>
        </row>
        <row r="53992">
          <cell r="O53992" t="str">
            <v/>
          </cell>
        </row>
        <row r="53993">
          <cell r="O53993" t="str">
            <v/>
          </cell>
        </row>
        <row r="53994">
          <cell r="O53994" t="str">
            <v/>
          </cell>
        </row>
        <row r="53995">
          <cell r="O53995" t="str">
            <v/>
          </cell>
        </row>
        <row r="53996">
          <cell r="O53996" t="str">
            <v/>
          </cell>
        </row>
        <row r="53997">
          <cell r="O53997" t="str">
            <v/>
          </cell>
        </row>
        <row r="53998">
          <cell r="O53998" t="str">
            <v/>
          </cell>
        </row>
        <row r="53999">
          <cell r="O53999" t="str">
            <v/>
          </cell>
        </row>
        <row r="54000">
          <cell r="O54000" t="str">
            <v/>
          </cell>
        </row>
        <row r="54001">
          <cell r="O54001" t="str">
            <v/>
          </cell>
        </row>
        <row r="54002">
          <cell r="O54002" t="str">
            <v/>
          </cell>
        </row>
        <row r="54003">
          <cell r="O54003" t="str">
            <v/>
          </cell>
        </row>
        <row r="54004">
          <cell r="O54004" t="str">
            <v/>
          </cell>
        </row>
        <row r="54005">
          <cell r="O54005" t="str">
            <v/>
          </cell>
        </row>
        <row r="54006">
          <cell r="O54006" t="str">
            <v/>
          </cell>
        </row>
        <row r="54007">
          <cell r="O54007" t="str">
            <v/>
          </cell>
        </row>
        <row r="54008">
          <cell r="O54008" t="str">
            <v/>
          </cell>
        </row>
        <row r="54009">
          <cell r="O54009" t="str">
            <v/>
          </cell>
        </row>
        <row r="54010">
          <cell r="O54010" t="str">
            <v/>
          </cell>
        </row>
        <row r="54011">
          <cell r="O54011" t="str">
            <v/>
          </cell>
        </row>
        <row r="54012">
          <cell r="O54012" t="str">
            <v/>
          </cell>
        </row>
        <row r="54013">
          <cell r="O54013" t="str">
            <v/>
          </cell>
        </row>
        <row r="54014">
          <cell r="O54014" t="str">
            <v/>
          </cell>
        </row>
        <row r="54015">
          <cell r="O54015" t="str">
            <v/>
          </cell>
        </row>
        <row r="54016">
          <cell r="O54016" t="str">
            <v/>
          </cell>
        </row>
        <row r="54017">
          <cell r="O54017" t="str">
            <v/>
          </cell>
        </row>
        <row r="54018">
          <cell r="O54018" t="str">
            <v/>
          </cell>
        </row>
        <row r="54019">
          <cell r="O54019" t="str">
            <v/>
          </cell>
        </row>
        <row r="54020">
          <cell r="O54020" t="str">
            <v/>
          </cell>
        </row>
        <row r="54021">
          <cell r="O54021" t="str">
            <v/>
          </cell>
        </row>
        <row r="54022">
          <cell r="O54022" t="str">
            <v/>
          </cell>
        </row>
        <row r="54023">
          <cell r="O54023" t="str">
            <v/>
          </cell>
        </row>
        <row r="54024">
          <cell r="O54024" t="str">
            <v/>
          </cell>
        </row>
        <row r="54025">
          <cell r="O54025" t="str">
            <v/>
          </cell>
        </row>
        <row r="54026">
          <cell r="O54026" t="str">
            <v/>
          </cell>
        </row>
        <row r="54027">
          <cell r="O54027" t="str">
            <v/>
          </cell>
        </row>
        <row r="54028">
          <cell r="O54028" t="str">
            <v/>
          </cell>
        </row>
        <row r="54029">
          <cell r="O54029" t="str">
            <v/>
          </cell>
        </row>
        <row r="54030">
          <cell r="O54030" t="str">
            <v/>
          </cell>
        </row>
        <row r="54031">
          <cell r="O54031" t="str">
            <v/>
          </cell>
        </row>
        <row r="54032">
          <cell r="O54032" t="str">
            <v/>
          </cell>
        </row>
        <row r="54033">
          <cell r="O54033" t="str">
            <v/>
          </cell>
        </row>
        <row r="54034">
          <cell r="O54034" t="str">
            <v/>
          </cell>
        </row>
        <row r="54035">
          <cell r="O54035" t="str">
            <v/>
          </cell>
        </row>
        <row r="54036">
          <cell r="O54036" t="str">
            <v/>
          </cell>
        </row>
        <row r="54037">
          <cell r="O54037" t="str">
            <v/>
          </cell>
        </row>
        <row r="54038">
          <cell r="O54038" t="str">
            <v/>
          </cell>
        </row>
        <row r="54039">
          <cell r="O54039" t="str">
            <v/>
          </cell>
        </row>
        <row r="54040">
          <cell r="O54040" t="str">
            <v/>
          </cell>
        </row>
        <row r="54041">
          <cell r="O54041" t="str">
            <v/>
          </cell>
        </row>
        <row r="54042">
          <cell r="O54042" t="str">
            <v/>
          </cell>
        </row>
        <row r="54043">
          <cell r="O54043" t="str">
            <v/>
          </cell>
        </row>
        <row r="54044">
          <cell r="O54044" t="str">
            <v/>
          </cell>
        </row>
        <row r="54045">
          <cell r="O54045" t="str">
            <v/>
          </cell>
        </row>
        <row r="54046">
          <cell r="O54046" t="str">
            <v/>
          </cell>
        </row>
        <row r="54047">
          <cell r="O54047" t="str">
            <v/>
          </cell>
        </row>
        <row r="54048">
          <cell r="O54048" t="str">
            <v/>
          </cell>
        </row>
        <row r="54049">
          <cell r="O54049" t="str">
            <v/>
          </cell>
        </row>
        <row r="54050">
          <cell r="O54050" t="str">
            <v/>
          </cell>
        </row>
        <row r="54051">
          <cell r="O54051" t="str">
            <v/>
          </cell>
        </row>
        <row r="54052">
          <cell r="O54052" t="str">
            <v/>
          </cell>
        </row>
        <row r="54053">
          <cell r="O54053" t="str">
            <v/>
          </cell>
        </row>
        <row r="54054">
          <cell r="O54054" t="str">
            <v/>
          </cell>
        </row>
        <row r="54055">
          <cell r="O54055" t="str">
            <v/>
          </cell>
        </row>
        <row r="54056">
          <cell r="O54056" t="str">
            <v/>
          </cell>
        </row>
        <row r="54057">
          <cell r="O54057" t="str">
            <v/>
          </cell>
        </row>
        <row r="54058">
          <cell r="O54058" t="str">
            <v/>
          </cell>
        </row>
        <row r="54059">
          <cell r="O54059" t="str">
            <v/>
          </cell>
        </row>
        <row r="54060">
          <cell r="O54060" t="str">
            <v/>
          </cell>
        </row>
        <row r="54061">
          <cell r="O54061" t="str">
            <v/>
          </cell>
        </row>
        <row r="54062">
          <cell r="O54062" t="str">
            <v/>
          </cell>
        </row>
        <row r="54063">
          <cell r="O54063" t="str">
            <v/>
          </cell>
        </row>
        <row r="54064">
          <cell r="O54064" t="str">
            <v/>
          </cell>
        </row>
        <row r="54065">
          <cell r="O54065" t="str">
            <v/>
          </cell>
        </row>
        <row r="54066">
          <cell r="O54066" t="str">
            <v/>
          </cell>
        </row>
        <row r="54067">
          <cell r="O54067" t="str">
            <v/>
          </cell>
        </row>
        <row r="54068">
          <cell r="O54068" t="str">
            <v/>
          </cell>
        </row>
        <row r="54069">
          <cell r="O54069" t="str">
            <v/>
          </cell>
        </row>
        <row r="54070">
          <cell r="O54070" t="str">
            <v/>
          </cell>
        </row>
        <row r="54071">
          <cell r="O54071" t="str">
            <v/>
          </cell>
        </row>
        <row r="54072">
          <cell r="O54072" t="str">
            <v/>
          </cell>
        </row>
        <row r="54073">
          <cell r="O54073" t="str">
            <v/>
          </cell>
        </row>
        <row r="54074">
          <cell r="O54074" t="str">
            <v/>
          </cell>
        </row>
        <row r="54075">
          <cell r="O54075" t="str">
            <v/>
          </cell>
        </row>
        <row r="54076">
          <cell r="O54076" t="str">
            <v/>
          </cell>
        </row>
        <row r="54077">
          <cell r="O54077" t="str">
            <v/>
          </cell>
        </row>
        <row r="54078">
          <cell r="O54078" t="str">
            <v/>
          </cell>
        </row>
        <row r="54079">
          <cell r="O54079" t="str">
            <v/>
          </cell>
        </row>
        <row r="54080">
          <cell r="O54080" t="str">
            <v/>
          </cell>
        </row>
        <row r="54081">
          <cell r="O54081" t="str">
            <v/>
          </cell>
        </row>
        <row r="54082">
          <cell r="O54082" t="str">
            <v/>
          </cell>
        </row>
        <row r="54083">
          <cell r="O54083" t="str">
            <v/>
          </cell>
        </row>
        <row r="54084">
          <cell r="O54084" t="str">
            <v/>
          </cell>
        </row>
        <row r="54085">
          <cell r="O54085" t="str">
            <v/>
          </cell>
        </row>
        <row r="54086">
          <cell r="O54086" t="str">
            <v/>
          </cell>
        </row>
        <row r="54087">
          <cell r="O54087" t="str">
            <v/>
          </cell>
        </row>
        <row r="54088">
          <cell r="O54088" t="str">
            <v/>
          </cell>
        </row>
        <row r="54089">
          <cell r="O54089" t="str">
            <v/>
          </cell>
        </row>
        <row r="54090">
          <cell r="O54090" t="str">
            <v/>
          </cell>
        </row>
        <row r="54091">
          <cell r="O54091" t="str">
            <v/>
          </cell>
        </row>
        <row r="54092">
          <cell r="O54092" t="str">
            <v/>
          </cell>
        </row>
        <row r="54093">
          <cell r="O54093" t="str">
            <v/>
          </cell>
        </row>
        <row r="54094">
          <cell r="O54094" t="str">
            <v/>
          </cell>
        </row>
        <row r="54095">
          <cell r="O54095" t="str">
            <v/>
          </cell>
        </row>
        <row r="54096">
          <cell r="O54096" t="str">
            <v/>
          </cell>
        </row>
        <row r="54097">
          <cell r="O54097" t="str">
            <v/>
          </cell>
        </row>
        <row r="54098">
          <cell r="O54098" t="str">
            <v/>
          </cell>
        </row>
        <row r="54099">
          <cell r="O54099" t="str">
            <v/>
          </cell>
        </row>
        <row r="54100">
          <cell r="O54100" t="str">
            <v/>
          </cell>
        </row>
        <row r="54101">
          <cell r="O54101" t="str">
            <v/>
          </cell>
        </row>
        <row r="54102">
          <cell r="O54102" t="str">
            <v/>
          </cell>
        </row>
        <row r="54103">
          <cell r="O54103" t="str">
            <v/>
          </cell>
        </row>
        <row r="54104">
          <cell r="O54104" t="str">
            <v/>
          </cell>
        </row>
        <row r="54105">
          <cell r="O54105" t="str">
            <v/>
          </cell>
        </row>
        <row r="54106">
          <cell r="O54106" t="str">
            <v/>
          </cell>
        </row>
        <row r="54107">
          <cell r="O54107" t="str">
            <v/>
          </cell>
        </row>
        <row r="54108">
          <cell r="O54108" t="str">
            <v/>
          </cell>
        </row>
        <row r="54109">
          <cell r="O54109" t="str">
            <v/>
          </cell>
        </row>
        <row r="54110">
          <cell r="O54110" t="str">
            <v/>
          </cell>
        </row>
        <row r="54111">
          <cell r="O54111" t="str">
            <v/>
          </cell>
        </row>
        <row r="54112">
          <cell r="O54112" t="str">
            <v/>
          </cell>
        </row>
        <row r="54113">
          <cell r="O54113" t="str">
            <v/>
          </cell>
        </row>
        <row r="54114">
          <cell r="O54114" t="str">
            <v/>
          </cell>
        </row>
        <row r="54115">
          <cell r="O54115" t="str">
            <v/>
          </cell>
        </row>
        <row r="54116">
          <cell r="O54116" t="str">
            <v/>
          </cell>
        </row>
        <row r="54117">
          <cell r="O54117" t="str">
            <v/>
          </cell>
        </row>
        <row r="54118">
          <cell r="O54118" t="str">
            <v/>
          </cell>
        </row>
        <row r="54119">
          <cell r="O54119" t="str">
            <v/>
          </cell>
        </row>
        <row r="54120">
          <cell r="O54120" t="str">
            <v/>
          </cell>
        </row>
        <row r="54121">
          <cell r="O54121" t="str">
            <v/>
          </cell>
        </row>
        <row r="54122">
          <cell r="O54122" t="str">
            <v/>
          </cell>
        </row>
        <row r="54123">
          <cell r="O54123" t="str">
            <v/>
          </cell>
        </row>
        <row r="54124">
          <cell r="O54124" t="str">
            <v/>
          </cell>
        </row>
        <row r="54125">
          <cell r="O54125" t="str">
            <v/>
          </cell>
        </row>
        <row r="54126">
          <cell r="O54126" t="str">
            <v/>
          </cell>
        </row>
        <row r="54127">
          <cell r="O54127" t="str">
            <v/>
          </cell>
        </row>
        <row r="54128">
          <cell r="O54128" t="str">
            <v/>
          </cell>
        </row>
        <row r="54129">
          <cell r="O54129" t="str">
            <v/>
          </cell>
        </row>
        <row r="54130">
          <cell r="O54130" t="str">
            <v/>
          </cell>
        </row>
        <row r="54131">
          <cell r="O54131" t="str">
            <v/>
          </cell>
        </row>
        <row r="54132">
          <cell r="O54132" t="str">
            <v/>
          </cell>
        </row>
        <row r="54133">
          <cell r="O54133" t="str">
            <v/>
          </cell>
        </row>
        <row r="54134">
          <cell r="O54134" t="str">
            <v/>
          </cell>
        </row>
        <row r="54135">
          <cell r="O54135" t="str">
            <v/>
          </cell>
        </row>
        <row r="54136">
          <cell r="O54136" t="str">
            <v/>
          </cell>
        </row>
        <row r="54137">
          <cell r="O54137" t="str">
            <v/>
          </cell>
        </row>
        <row r="54138">
          <cell r="O54138" t="str">
            <v/>
          </cell>
        </row>
        <row r="54139">
          <cell r="O54139" t="str">
            <v/>
          </cell>
        </row>
        <row r="54140">
          <cell r="O54140" t="str">
            <v/>
          </cell>
        </row>
        <row r="54141">
          <cell r="O54141" t="str">
            <v/>
          </cell>
        </row>
        <row r="54142">
          <cell r="O54142" t="str">
            <v/>
          </cell>
        </row>
        <row r="54143">
          <cell r="O54143" t="str">
            <v/>
          </cell>
        </row>
        <row r="54144">
          <cell r="O54144" t="str">
            <v/>
          </cell>
        </row>
        <row r="54145">
          <cell r="O54145" t="str">
            <v/>
          </cell>
        </row>
        <row r="54146">
          <cell r="O54146" t="str">
            <v/>
          </cell>
        </row>
        <row r="54147">
          <cell r="O54147" t="str">
            <v/>
          </cell>
        </row>
        <row r="54148">
          <cell r="O54148" t="str">
            <v/>
          </cell>
        </row>
        <row r="54149">
          <cell r="O54149" t="str">
            <v/>
          </cell>
        </row>
        <row r="54150">
          <cell r="O54150" t="str">
            <v/>
          </cell>
        </row>
        <row r="54151">
          <cell r="O54151" t="str">
            <v/>
          </cell>
        </row>
        <row r="54152">
          <cell r="O54152" t="str">
            <v/>
          </cell>
        </row>
        <row r="54153">
          <cell r="O54153" t="str">
            <v/>
          </cell>
        </row>
        <row r="54154">
          <cell r="O54154" t="str">
            <v/>
          </cell>
        </row>
        <row r="54155">
          <cell r="O54155" t="str">
            <v/>
          </cell>
        </row>
        <row r="54156">
          <cell r="O54156" t="str">
            <v/>
          </cell>
        </row>
        <row r="54157">
          <cell r="O54157" t="str">
            <v/>
          </cell>
        </row>
        <row r="54158">
          <cell r="O54158" t="str">
            <v/>
          </cell>
        </row>
        <row r="54159">
          <cell r="O54159" t="str">
            <v/>
          </cell>
        </row>
        <row r="54160">
          <cell r="O54160" t="str">
            <v/>
          </cell>
        </row>
        <row r="54161">
          <cell r="O54161" t="str">
            <v/>
          </cell>
        </row>
        <row r="54162">
          <cell r="O54162" t="str">
            <v/>
          </cell>
        </row>
        <row r="54163">
          <cell r="O54163" t="str">
            <v/>
          </cell>
        </row>
        <row r="54164">
          <cell r="O54164" t="str">
            <v/>
          </cell>
        </row>
        <row r="54165">
          <cell r="O54165" t="str">
            <v/>
          </cell>
        </row>
        <row r="54166">
          <cell r="O54166" t="str">
            <v/>
          </cell>
        </row>
        <row r="54167">
          <cell r="O54167" t="str">
            <v/>
          </cell>
        </row>
        <row r="54168">
          <cell r="O54168" t="str">
            <v/>
          </cell>
        </row>
        <row r="54169">
          <cell r="O54169" t="str">
            <v/>
          </cell>
        </row>
        <row r="54170">
          <cell r="O54170" t="str">
            <v/>
          </cell>
        </row>
        <row r="54171">
          <cell r="O54171" t="str">
            <v/>
          </cell>
        </row>
        <row r="54172">
          <cell r="O54172" t="str">
            <v/>
          </cell>
        </row>
        <row r="54173">
          <cell r="O54173" t="str">
            <v/>
          </cell>
        </row>
        <row r="54174">
          <cell r="O54174" t="str">
            <v/>
          </cell>
        </row>
        <row r="54175">
          <cell r="O54175" t="str">
            <v/>
          </cell>
        </row>
        <row r="54176">
          <cell r="O54176" t="str">
            <v/>
          </cell>
        </row>
        <row r="54177">
          <cell r="O54177" t="str">
            <v/>
          </cell>
        </row>
        <row r="54178">
          <cell r="O54178" t="str">
            <v/>
          </cell>
        </row>
        <row r="54179">
          <cell r="O54179" t="str">
            <v/>
          </cell>
        </row>
        <row r="54180">
          <cell r="O54180" t="str">
            <v/>
          </cell>
        </row>
        <row r="54181">
          <cell r="O54181" t="str">
            <v/>
          </cell>
        </row>
        <row r="54182">
          <cell r="O54182" t="str">
            <v/>
          </cell>
        </row>
        <row r="54183">
          <cell r="O54183" t="str">
            <v/>
          </cell>
        </row>
        <row r="54184">
          <cell r="O54184" t="str">
            <v/>
          </cell>
        </row>
        <row r="54185">
          <cell r="O54185" t="str">
            <v/>
          </cell>
        </row>
        <row r="54186">
          <cell r="O54186" t="str">
            <v/>
          </cell>
        </row>
        <row r="54187">
          <cell r="O54187" t="str">
            <v/>
          </cell>
        </row>
        <row r="54188">
          <cell r="O54188" t="str">
            <v/>
          </cell>
        </row>
        <row r="54189">
          <cell r="O54189" t="str">
            <v/>
          </cell>
        </row>
        <row r="54190">
          <cell r="O54190" t="str">
            <v/>
          </cell>
        </row>
        <row r="54191">
          <cell r="O54191" t="str">
            <v/>
          </cell>
        </row>
        <row r="54192">
          <cell r="O54192" t="str">
            <v/>
          </cell>
        </row>
        <row r="54193">
          <cell r="O54193" t="str">
            <v/>
          </cell>
        </row>
        <row r="54194">
          <cell r="O54194" t="str">
            <v/>
          </cell>
        </row>
        <row r="54195">
          <cell r="O54195" t="str">
            <v/>
          </cell>
        </row>
        <row r="54196">
          <cell r="O54196" t="str">
            <v/>
          </cell>
        </row>
        <row r="54197">
          <cell r="O54197" t="str">
            <v/>
          </cell>
        </row>
        <row r="54198">
          <cell r="O54198" t="str">
            <v/>
          </cell>
        </row>
        <row r="54199">
          <cell r="O54199" t="str">
            <v/>
          </cell>
        </row>
        <row r="54200">
          <cell r="O54200" t="str">
            <v/>
          </cell>
        </row>
        <row r="54201">
          <cell r="O54201" t="str">
            <v/>
          </cell>
        </row>
        <row r="54202">
          <cell r="O54202" t="str">
            <v/>
          </cell>
        </row>
        <row r="54203">
          <cell r="O54203" t="str">
            <v/>
          </cell>
        </row>
        <row r="54204">
          <cell r="O54204" t="str">
            <v/>
          </cell>
        </row>
        <row r="54205">
          <cell r="O54205" t="str">
            <v/>
          </cell>
        </row>
        <row r="54206">
          <cell r="O54206" t="str">
            <v/>
          </cell>
        </row>
        <row r="54207">
          <cell r="O54207" t="str">
            <v/>
          </cell>
        </row>
        <row r="54208">
          <cell r="O54208" t="str">
            <v/>
          </cell>
        </row>
        <row r="54209">
          <cell r="O54209" t="str">
            <v/>
          </cell>
        </row>
        <row r="54210">
          <cell r="O54210" t="str">
            <v/>
          </cell>
        </row>
        <row r="54211">
          <cell r="O54211" t="str">
            <v/>
          </cell>
        </row>
        <row r="54212">
          <cell r="O54212" t="str">
            <v/>
          </cell>
        </row>
        <row r="54213">
          <cell r="O54213" t="str">
            <v/>
          </cell>
        </row>
        <row r="54214">
          <cell r="O54214" t="str">
            <v/>
          </cell>
        </row>
        <row r="54215">
          <cell r="O54215" t="str">
            <v/>
          </cell>
        </row>
        <row r="54216">
          <cell r="O54216" t="str">
            <v/>
          </cell>
        </row>
        <row r="54217">
          <cell r="O54217" t="str">
            <v/>
          </cell>
        </row>
        <row r="54218">
          <cell r="O54218" t="str">
            <v/>
          </cell>
        </row>
        <row r="54219">
          <cell r="O54219" t="str">
            <v/>
          </cell>
        </row>
        <row r="54220">
          <cell r="O54220" t="str">
            <v/>
          </cell>
        </row>
        <row r="54221">
          <cell r="O54221" t="str">
            <v/>
          </cell>
        </row>
        <row r="54222">
          <cell r="O54222" t="str">
            <v/>
          </cell>
        </row>
        <row r="54223">
          <cell r="O54223" t="str">
            <v/>
          </cell>
        </row>
        <row r="54224">
          <cell r="O54224" t="str">
            <v/>
          </cell>
        </row>
        <row r="54225">
          <cell r="O54225" t="str">
            <v/>
          </cell>
        </row>
        <row r="54226">
          <cell r="O54226" t="str">
            <v/>
          </cell>
        </row>
        <row r="54227">
          <cell r="O54227" t="str">
            <v/>
          </cell>
        </row>
        <row r="54228">
          <cell r="O54228" t="str">
            <v/>
          </cell>
        </row>
        <row r="54229">
          <cell r="O54229" t="str">
            <v/>
          </cell>
        </row>
        <row r="54230">
          <cell r="O54230" t="str">
            <v/>
          </cell>
        </row>
        <row r="54231">
          <cell r="O54231" t="str">
            <v/>
          </cell>
        </row>
        <row r="54232">
          <cell r="O54232" t="str">
            <v/>
          </cell>
        </row>
        <row r="54233">
          <cell r="O54233" t="str">
            <v/>
          </cell>
        </row>
        <row r="54234">
          <cell r="O54234" t="str">
            <v/>
          </cell>
        </row>
        <row r="54235">
          <cell r="O54235" t="str">
            <v/>
          </cell>
        </row>
        <row r="54236">
          <cell r="O54236" t="str">
            <v/>
          </cell>
        </row>
        <row r="54237">
          <cell r="O54237" t="str">
            <v/>
          </cell>
        </row>
        <row r="54238">
          <cell r="O54238" t="str">
            <v/>
          </cell>
        </row>
        <row r="54239">
          <cell r="O54239" t="str">
            <v/>
          </cell>
        </row>
        <row r="54240">
          <cell r="O54240" t="str">
            <v/>
          </cell>
        </row>
        <row r="54241">
          <cell r="O54241" t="str">
            <v/>
          </cell>
        </row>
        <row r="54242">
          <cell r="O54242" t="str">
            <v/>
          </cell>
        </row>
        <row r="54243">
          <cell r="O54243" t="str">
            <v/>
          </cell>
        </row>
        <row r="54244">
          <cell r="O54244" t="str">
            <v/>
          </cell>
        </row>
        <row r="54245">
          <cell r="O54245" t="str">
            <v/>
          </cell>
        </row>
        <row r="54246">
          <cell r="O54246" t="str">
            <v/>
          </cell>
        </row>
        <row r="54247">
          <cell r="O54247" t="str">
            <v/>
          </cell>
        </row>
        <row r="54248">
          <cell r="O54248" t="str">
            <v/>
          </cell>
        </row>
        <row r="54249">
          <cell r="O54249" t="str">
            <v/>
          </cell>
        </row>
        <row r="54250">
          <cell r="O54250" t="str">
            <v/>
          </cell>
        </row>
        <row r="54251">
          <cell r="O54251" t="str">
            <v/>
          </cell>
        </row>
        <row r="54252">
          <cell r="O54252" t="str">
            <v/>
          </cell>
        </row>
        <row r="54253">
          <cell r="O54253" t="str">
            <v/>
          </cell>
        </row>
        <row r="54254">
          <cell r="O54254" t="str">
            <v/>
          </cell>
        </row>
        <row r="54255">
          <cell r="O54255" t="str">
            <v/>
          </cell>
        </row>
        <row r="54256">
          <cell r="O54256" t="str">
            <v/>
          </cell>
        </row>
        <row r="54257">
          <cell r="O54257" t="str">
            <v/>
          </cell>
        </row>
        <row r="54258">
          <cell r="O54258" t="str">
            <v/>
          </cell>
        </row>
        <row r="54259">
          <cell r="O54259" t="str">
            <v/>
          </cell>
        </row>
        <row r="54260">
          <cell r="O54260" t="str">
            <v/>
          </cell>
        </row>
        <row r="54261">
          <cell r="O54261" t="str">
            <v/>
          </cell>
        </row>
        <row r="54262">
          <cell r="O54262" t="str">
            <v/>
          </cell>
        </row>
        <row r="54263">
          <cell r="O54263" t="str">
            <v/>
          </cell>
        </row>
        <row r="54264">
          <cell r="O54264" t="str">
            <v/>
          </cell>
        </row>
        <row r="54265">
          <cell r="O54265" t="str">
            <v/>
          </cell>
        </row>
        <row r="54266">
          <cell r="O54266" t="str">
            <v/>
          </cell>
        </row>
        <row r="54267">
          <cell r="O54267" t="str">
            <v/>
          </cell>
        </row>
        <row r="54268">
          <cell r="O54268" t="str">
            <v/>
          </cell>
        </row>
        <row r="54269">
          <cell r="O54269" t="str">
            <v/>
          </cell>
        </row>
        <row r="54270">
          <cell r="O54270" t="str">
            <v/>
          </cell>
        </row>
        <row r="54271">
          <cell r="O54271" t="str">
            <v/>
          </cell>
        </row>
        <row r="54272">
          <cell r="O54272" t="str">
            <v/>
          </cell>
        </row>
        <row r="54273">
          <cell r="O54273" t="str">
            <v/>
          </cell>
        </row>
        <row r="54274">
          <cell r="O54274" t="str">
            <v/>
          </cell>
        </row>
        <row r="54275">
          <cell r="O54275" t="str">
            <v/>
          </cell>
        </row>
        <row r="54276">
          <cell r="O54276" t="str">
            <v/>
          </cell>
        </row>
        <row r="54277">
          <cell r="O54277" t="str">
            <v/>
          </cell>
        </row>
        <row r="54278">
          <cell r="O54278" t="str">
            <v/>
          </cell>
        </row>
        <row r="54279">
          <cell r="O54279" t="str">
            <v/>
          </cell>
        </row>
        <row r="54280">
          <cell r="O54280" t="str">
            <v/>
          </cell>
        </row>
        <row r="54281">
          <cell r="O54281" t="str">
            <v/>
          </cell>
        </row>
        <row r="54282">
          <cell r="O54282" t="str">
            <v/>
          </cell>
        </row>
        <row r="54283">
          <cell r="O54283" t="str">
            <v/>
          </cell>
        </row>
        <row r="54284">
          <cell r="O54284" t="str">
            <v/>
          </cell>
        </row>
        <row r="54285">
          <cell r="O54285" t="str">
            <v/>
          </cell>
        </row>
        <row r="54286">
          <cell r="O54286" t="str">
            <v/>
          </cell>
        </row>
        <row r="54287">
          <cell r="O54287" t="str">
            <v/>
          </cell>
        </row>
        <row r="54288">
          <cell r="O54288" t="str">
            <v/>
          </cell>
        </row>
        <row r="54289">
          <cell r="O54289" t="str">
            <v/>
          </cell>
        </row>
        <row r="54290">
          <cell r="O54290" t="str">
            <v/>
          </cell>
        </row>
        <row r="54291">
          <cell r="O54291" t="str">
            <v/>
          </cell>
        </row>
        <row r="54292">
          <cell r="O54292" t="str">
            <v/>
          </cell>
        </row>
        <row r="54293">
          <cell r="O54293" t="str">
            <v/>
          </cell>
        </row>
        <row r="54294">
          <cell r="O54294" t="str">
            <v/>
          </cell>
        </row>
        <row r="54295">
          <cell r="O54295" t="str">
            <v/>
          </cell>
        </row>
        <row r="54296">
          <cell r="O54296" t="str">
            <v/>
          </cell>
        </row>
        <row r="54297">
          <cell r="O54297" t="str">
            <v/>
          </cell>
        </row>
        <row r="54298">
          <cell r="O54298" t="str">
            <v/>
          </cell>
        </row>
        <row r="54299">
          <cell r="O54299" t="str">
            <v/>
          </cell>
        </row>
        <row r="54300">
          <cell r="O54300" t="str">
            <v/>
          </cell>
        </row>
        <row r="54301">
          <cell r="O54301" t="str">
            <v/>
          </cell>
        </row>
        <row r="54302">
          <cell r="O54302" t="str">
            <v/>
          </cell>
        </row>
        <row r="54303">
          <cell r="O54303" t="str">
            <v/>
          </cell>
        </row>
        <row r="54304">
          <cell r="O54304" t="str">
            <v/>
          </cell>
        </row>
        <row r="54305">
          <cell r="O54305" t="str">
            <v/>
          </cell>
        </row>
        <row r="54306">
          <cell r="O54306" t="str">
            <v/>
          </cell>
        </row>
        <row r="54307">
          <cell r="O54307" t="str">
            <v/>
          </cell>
        </row>
        <row r="54308">
          <cell r="O54308" t="str">
            <v/>
          </cell>
        </row>
        <row r="54309">
          <cell r="O54309" t="str">
            <v/>
          </cell>
        </row>
        <row r="54310">
          <cell r="O54310" t="str">
            <v/>
          </cell>
        </row>
        <row r="54311">
          <cell r="O54311" t="str">
            <v/>
          </cell>
        </row>
        <row r="54312">
          <cell r="O54312" t="str">
            <v/>
          </cell>
        </row>
        <row r="54313">
          <cell r="O54313" t="str">
            <v/>
          </cell>
        </row>
        <row r="54314">
          <cell r="O54314" t="str">
            <v/>
          </cell>
        </row>
        <row r="54315">
          <cell r="O54315" t="str">
            <v/>
          </cell>
        </row>
        <row r="54316">
          <cell r="O54316" t="str">
            <v/>
          </cell>
        </row>
        <row r="54317">
          <cell r="O54317" t="str">
            <v/>
          </cell>
        </row>
        <row r="54318">
          <cell r="O54318" t="str">
            <v/>
          </cell>
        </row>
        <row r="54319">
          <cell r="O54319" t="str">
            <v/>
          </cell>
        </row>
        <row r="54320">
          <cell r="O54320" t="str">
            <v/>
          </cell>
        </row>
        <row r="54321">
          <cell r="O54321" t="str">
            <v/>
          </cell>
        </row>
        <row r="54322">
          <cell r="O54322" t="str">
            <v/>
          </cell>
        </row>
        <row r="54323">
          <cell r="O54323" t="str">
            <v/>
          </cell>
        </row>
        <row r="54324">
          <cell r="O54324" t="str">
            <v/>
          </cell>
        </row>
        <row r="54325">
          <cell r="O54325" t="str">
            <v/>
          </cell>
        </row>
        <row r="54326">
          <cell r="O54326" t="str">
            <v/>
          </cell>
        </row>
        <row r="54327">
          <cell r="O54327" t="str">
            <v/>
          </cell>
        </row>
        <row r="54328">
          <cell r="O54328" t="str">
            <v/>
          </cell>
        </row>
        <row r="54329">
          <cell r="O54329" t="str">
            <v/>
          </cell>
        </row>
        <row r="54330">
          <cell r="O54330" t="str">
            <v/>
          </cell>
        </row>
        <row r="54331">
          <cell r="O54331" t="str">
            <v/>
          </cell>
        </row>
        <row r="54332">
          <cell r="O54332" t="str">
            <v/>
          </cell>
        </row>
        <row r="54333">
          <cell r="O54333" t="str">
            <v/>
          </cell>
        </row>
        <row r="54334">
          <cell r="O54334" t="str">
            <v/>
          </cell>
        </row>
        <row r="54335">
          <cell r="O54335" t="str">
            <v/>
          </cell>
        </row>
        <row r="54336">
          <cell r="O54336" t="str">
            <v/>
          </cell>
        </row>
        <row r="54337">
          <cell r="O54337" t="str">
            <v/>
          </cell>
        </row>
        <row r="54338">
          <cell r="O54338" t="str">
            <v/>
          </cell>
        </row>
        <row r="54339">
          <cell r="O54339" t="str">
            <v/>
          </cell>
        </row>
        <row r="54340">
          <cell r="O54340" t="str">
            <v/>
          </cell>
        </row>
        <row r="54341">
          <cell r="O54341" t="str">
            <v/>
          </cell>
        </row>
        <row r="54342">
          <cell r="O54342" t="str">
            <v/>
          </cell>
        </row>
        <row r="54343">
          <cell r="O54343" t="str">
            <v/>
          </cell>
        </row>
        <row r="54344">
          <cell r="O54344" t="str">
            <v/>
          </cell>
        </row>
        <row r="54345">
          <cell r="O54345" t="str">
            <v/>
          </cell>
        </row>
        <row r="54346">
          <cell r="O54346" t="str">
            <v/>
          </cell>
        </row>
        <row r="54347">
          <cell r="O54347" t="str">
            <v/>
          </cell>
        </row>
        <row r="54348">
          <cell r="O54348" t="str">
            <v/>
          </cell>
        </row>
        <row r="54349">
          <cell r="O54349" t="str">
            <v/>
          </cell>
        </row>
        <row r="54350">
          <cell r="O54350" t="str">
            <v/>
          </cell>
        </row>
        <row r="54351">
          <cell r="O54351" t="str">
            <v/>
          </cell>
        </row>
        <row r="54352">
          <cell r="O54352" t="str">
            <v/>
          </cell>
        </row>
        <row r="54353">
          <cell r="O54353" t="str">
            <v/>
          </cell>
        </row>
        <row r="54354">
          <cell r="O54354" t="str">
            <v/>
          </cell>
        </row>
        <row r="54355">
          <cell r="O54355" t="str">
            <v/>
          </cell>
        </row>
        <row r="54356">
          <cell r="O54356" t="str">
            <v/>
          </cell>
        </row>
        <row r="54357">
          <cell r="O54357" t="str">
            <v/>
          </cell>
        </row>
        <row r="54358">
          <cell r="O54358" t="str">
            <v/>
          </cell>
        </row>
        <row r="54359">
          <cell r="O54359" t="str">
            <v/>
          </cell>
        </row>
        <row r="54360">
          <cell r="O54360" t="str">
            <v/>
          </cell>
        </row>
        <row r="54361">
          <cell r="O54361" t="str">
            <v/>
          </cell>
        </row>
        <row r="54362">
          <cell r="O54362" t="str">
            <v/>
          </cell>
        </row>
        <row r="54363">
          <cell r="O54363" t="str">
            <v/>
          </cell>
        </row>
        <row r="54364">
          <cell r="O54364" t="str">
            <v/>
          </cell>
        </row>
        <row r="54365">
          <cell r="O54365" t="str">
            <v/>
          </cell>
        </row>
        <row r="54366">
          <cell r="O54366" t="str">
            <v/>
          </cell>
        </row>
        <row r="54367">
          <cell r="O54367" t="str">
            <v/>
          </cell>
        </row>
        <row r="54368">
          <cell r="O54368" t="str">
            <v/>
          </cell>
        </row>
        <row r="54369">
          <cell r="O54369" t="str">
            <v/>
          </cell>
        </row>
        <row r="54370">
          <cell r="O54370" t="str">
            <v/>
          </cell>
        </row>
        <row r="54371">
          <cell r="O54371" t="str">
            <v/>
          </cell>
        </row>
        <row r="54372">
          <cell r="O54372" t="str">
            <v/>
          </cell>
        </row>
        <row r="54373">
          <cell r="O54373" t="str">
            <v/>
          </cell>
        </row>
        <row r="54374">
          <cell r="O54374" t="str">
            <v/>
          </cell>
        </row>
        <row r="54375">
          <cell r="O54375" t="str">
            <v/>
          </cell>
        </row>
        <row r="54376">
          <cell r="O54376" t="str">
            <v/>
          </cell>
        </row>
        <row r="54377">
          <cell r="O54377" t="str">
            <v/>
          </cell>
        </row>
        <row r="54378">
          <cell r="O54378" t="str">
            <v/>
          </cell>
        </row>
        <row r="54379">
          <cell r="O54379" t="str">
            <v/>
          </cell>
        </row>
        <row r="54380">
          <cell r="O54380" t="str">
            <v/>
          </cell>
        </row>
        <row r="54381">
          <cell r="O54381" t="str">
            <v/>
          </cell>
        </row>
        <row r="54382">
          <cell r="O54382" t="str">
            <v/>
          </cell>
        </row>
        <row r="54383">
          <cell r="O54383" t="str">
            <v/>
          </cell>
        </row>
        <row r="54384">
          <cell r="O54384" t="str">
            <v/>
          </cell>
        </row>
        <row r="54385">
          <cell r="O54385" t="str">
            <v/>
          </cell>
        </row>
        <row r="54386">
          <cell r="O54386" t="str">
            <v/>
          </cell>
        </row>
        <row r="54387">
          <cell r="O54387" t="str">
            <v/>
          </cell>
        </row>
        <row r="54388">
          <cell r="O54388" t="str">
            <v/>
          </cell>
        </row>
        <row r="54389">
          <cell r="O54389" t="str">
            <v/>
          </cell>
        </row>
        <row r="54390">
          <cell r="O54390" t="str">
            <v/>
          </cell>
        </row>
        <row r="54391">
          <cell r="O54391" t="str">
            <v/>
          </cell>
        </row>
        <row r="54392">
          <cell r="O54392" t="str">
            <v/>
          </cell>
        </row>
        <row r="54393">
          <cell r="O54393" t="str">
            <v/>
          </cell>
        </row>
        <row r="54394">
          <cell r="O54394" t="str">
            <v/>
          </cell>
        </row>
        <row r="54395">
          <cell r="O54395" t="str">
            <v/>
          </cell>
        </row>
        <row r="54396">
          <cell r="O54396" t="str">
            <v/>
          </cell>
        </row>
        <row r="54397">
          <cell r="O54397" t="str">
            <v/>
          </cell>
        </row>
        <row r="54398">
          <cell r="O54398" t="str">
            <v/>
          </cell>
        </row>
        <row r="54399">
          <cell r="O54399" t="str">
            <v/>
          </cell>
        </row>
        <row r="54400">
          <cell r="O54400" t="str">
            <v/>
          </cell>
        </row>
        <row r="54401">
          <cell r="O54401" t="str">
            <v/>
          </cell>
        </row>
        <row r="54402">
          <cell r="O54402" t="str">
            <v/>
          </cell>
        </row>
        <row r="54403">
          <cell r="O54403" t="str">
            <v/>
          </cell>
        </row>
        <row r="54404">
          <cell r="O54404" t="str">
            <v/>
          </cell>
        </row>
        <row r="54405">
          <cell r="O54405" t="str">
            <v/>
          </cell>
        </row>
        <row r="54406">
          <cell r="O54406" t="str">
            <v/>
          </cell>
        </row>
        <row r="54407">
          <cell r="O54407" t="str">
            <v/>
          </cell>
        </row>
        <row r="54408">
          <cell r="O54408" t="str">
            <v/>
          </cell>
        </row>
        <row r="54409">
          <cell r="O54409" t="str">
            <v/>
          </cell>
        </row>
        <row r="54410">
          <cell r="O54410" t="str">
            <v/>
          </cell>
        </row>
        <row r="54411">
          <cell r="O54411" t="str">
            <v/>
          </cell>
        </row>
        <row r="54412">
          <cell r="O54412" t="str">
            <v/>
          </cell>
        </row>
        <row r="54413">
          <cell r="O54413" t="str">
            <v/>
          </cell>
        </row>
        <row r="54414">
          <cell r="O54414" t="str">
            <v/>
          </cell>
        </row>
        <row r="54415">
          <cell r="O54415" t="str">
            <v/>
          </cell>
        </row>
        <row r="54416">
          <cell r="O54416" t="str">
            <v/>
          </cell>
        </row>
        <row r="54417">
          <cell r="O54417" t="str">
            <v/>
          </cell>
        </row>
        <row r="54418">
          <cell r="O54418" t="str">
            <v/>
          </cell>
        </row>
        <row r="54419">
          <cell r="O54419" t="str">
            <v/>
          </cell>
        </row>
        <row r="54420">
          <cell r="O54420" t="str">
            <v/>
          </cell>
        </row>
        <row r="54421">
          <cell r="O54421" t="str">
            <v/>
          </cell>
        </row>
        <row r="54422">
          <cell r="O54422" t="str">
            <v/>
          </cell>
        </row>
        <row r="54423">
          <cell r="O54423" t="str">
            <v/>
          </cell>
        </row>
        <row r="54424">
          <cell r="O54424" t="str">
            <v/>
          </cell>
        </row>
        <row r="54425">
          <cell r="O54425" t="str">
            <v/>
          </cell>
        </row>
        <row r="54426">
          <cell r="O54426" t="str">
            <v/>
          </cell>
        </row>
        <row r="54427">
          <cell r="O54427" t="str">
            <v/>
          </cell>
        </row>
        <row r="54428">
          <cell r="O54428" t="str">
            <v/>
          </cell>
        </row>
        <row r="54429">
          <cell r="O54429" t="str">
            <v/>
          </cell>
        </row>
        <row r="54430">
          <cell r="O54430" t="str">
            <v/>
          </cell>
        </row>
        <row r="54431">
          <cell r="O54431" t="str">
            <v/>
          </cell>
        </row>
        <row r="54432">
          <cell r="O54432" t="str">
            <v/>
          </cell>
        </row>
        <row r="54433">
          <cell r="O54433" t="str">
            <v/>
          </cell>
        </row>
        <row r="54434">
          <cell r="O54434" t="str">
            <v/>
          </cell>
        </row>
        <row r="54435">
          <cell r="O54435" t="str">
            <v/>
          </cell>
        </row>
        <row r="54436">
          <cell r="O54436" t="str">
            <v/>
          </cell>
        </row>
        <row r="54437">
          <cell r="O54437" t="str">
            <v/>
          </cell>
        </row>
        <row r="54438">
          <cell r="O54438" t="str">
            <v/>
          </cell>
        </row>
        <row r="54439">
          <cell r="O54439" t="str">
            <v/>
          </cell>
        </row>
        <row r="54440">
          <cell r="O54440" t="str">
            <v/>
          </cell>
        </row>
        <row r="54441">
          <cell r="O54441" t="str">
            <v/>
          </cell>
        </row>
        <row r="54442">
          <cell r="O54442" t="str">
            <v/>
          </cell>
        </row>
        <row r="54443">
          <cell r="O54443" t="str">
            <v/>
          </cell>
        </row>
        <row r="54444">
          <cell r="O54444" t="str">
            <v/>
          </cell>
        </row>
        <row r="54445">
          <cell r="O54445" t="str">
            <v/>
          </cell>
        </row>
        <row r="54446">
          <cell r="O54446" t="str">
            <v/>
          </cell>
        </row>
        <row r="54447">
          <cell r="O54447" t="str">
            <v/>
          </cell>
        </row>
        <row r="54448">
          <cell r="O54448" t="str">
            <v/>
          </cell>
        </row>
        <row r="54449">
          <cell r="O54449" t="str">
            <v/>
          </cell>
        </row>
        <row r="54450">
          <cell r="O54450" t="str">
            <v/>
          </cell>
        </row>
        <row r="54451">
          <cell r="O54451" t="str">
            <v/>
          </cell>
        </row>
        <row r="54452">
          <cell r="O54452" t="str">
            <v/>
          </cell>
        </row>
        <row r="54453">
          <cell r="O54453" t="str">
            <v/>
          </cell>
        </row>
        <row r="54454">
          <cell r="O54454" t="str">
            <v/>
          </cell>
        </row>
        <row r="54455">
          <cell r="O54455" t="str">
            <v/>
          </cell>
        </row>
        <row r="54456">
          <cell r="O54456" t="str">
            <v/>
          </cell>
        </row>
        <row r="54457">
          <cell r="O54457" t="str">
            <v/>
          </cell>
        </row>
        <row r="54458">
          <cell r="O54458" t="str">
            <v/>
          </cell>
        </row>
        <row r="54459">
          <cell r="O54459" t="str">
            <v/>
          </cell>
        </row>
        <row r="54460">
          <cell r="O54460" t="str">
            <v/>
          </cell>
        </row>
        <row r="54461">
          <cell r="O54461" t="str">
            <v/>
          </cell>
        </row>
        <row r="54462">
          <cell r="O54462" t="str">
            <v/>
          </cell>
        </row>
        <row r="54463">
          <cell r="O54463" t="str">
            <v/>
          </cell>
        </row>
        <row r="54464">
          <cell r="O54464" t="str">
            <v/>
          </cell>
        </row>
        <row r="54465">
          <cell r="O54465" t="str">
            <v/>
          </cell>
        </row>
        <row r="54466">
          <cell r="O54466" t="str">
            <v/>
          </cell>
        </row>
        <row r="54467">
          <cell r="O54467" t="str">
            <v/>
          </cell>
        </row>
        <row r="54468">
          <cell r="O54468" t="str">
            <v/>
          </cell>
        </row>
        <row r="54469">
          <cell r="O54469" t="str">
            <v/>
          </cell>
        </row>
        <row r="54470">
          <cell r="O54470" t="str">
            <v/>
          </cell>
        </row>
        <row r="54471">
          <cell r="O54471" t="str">
            <v/>
          </cell>
        </row>
        <row r="54472">
          <cell r="O54472" t="str">
            <v/>
          </cell>
        </row>
        <row r="54473">
          <cell r="O54473" t="str">
            <v/>
          </cell>
        </row>
        <row r="54474">
          <cell r="O54474" t="str">
            <v/>
          </cell>
        </row>
        <row r="54475">
          <cell r="O54475" t="str">
            <v/>
          </cell>
        </row>
        <row r="54476">
          <cell r="O54476" t="str">
            <v/>
          </cell>
        </row>
        <row r="54477">
          <cell r="O54477" t="str">
            <v/>
          </cell>
        </row>
        <row r="54478">
          <cell r="O54478" t="str">
            <v/>
          </cell>
        </row>
        <row r="54479">
          <cell r="O54479" t="str">
            <v/>
          </cell>
        </row>
        <row r="54480">
          <cell r="O54480" t="str">
            <v/>
          </cell>
        </row>
        <row r="54481">
          <cell r="O54481" t="str">
            <v/>
          </cell>
        </row>
        <row r="54482">
          <cell r="O54482" t="str">
            <v/>
          </cell>
        </row>
        <row r="54483">
          <cell r="O54483" t="str">
            <v/>
          </cell>
        </row>
        <row r="54484">
          <cell r="O54484" t="str">
            <v/>
          </cell>
        </row>
        <row r="54485">
          <cell r="O54485" t="str">
            <v/>
          </cell>
        </row>
        <row r="54486">
          <cell r="O54486" t="str">
            <v/>
          </cell>
        </row>
        <row r="54487">
          <cell r="O54487" t="str">
            <v/>
          </cell>
        </row>
        <row r="54488">
          <cell r="O54488" t="str">
            <v/>
          </cell>
        </row>
        <row r="54489">
          <cell r="O54489" t="str">
            <v/>
          </cell>
        </row>
        <row r="54490">
          <cell r="O54490" t="str">
            <v/>
          </cell>
        </row>
        <row r="54491">
          <cell r="O54491" t="str">
            <v/>
          </cell>
        </row>
        <row r="54492">
          <cell r="O54492" t="str">
            <v/>
          </cell>
        </row>
        <row r="54493">
          <cell r="O54493" t="str">
            <v/>
          </cell>
        </row>
        <row r="54494">
          <cell r="O54494" t="str">
            <v/>
          </cell>
        </row>
        <row r="54495">
          <cell r="O54495" t="str">
            <v/>
          </cell>
        </row>
        <row r="54496">
          <cell r="O54496" t="str">
            <v/>
          </cell>
        </row>
        <row r="54497">
          <cell r="O54497" t="str">
            <v/>
          </cell>
        </row>
        <row r="54498">
          <cell r="O54498" t="str">
            <v/>
          </cell>
        </row>
        <row r="54499">
          <cell r="O54499" t="str">
            <v/>
          </cell>
        </row>
        <row r="54500">
          <cell r="O54500" t="str">
            <v/>
          </cell>
        </row>
        <row r="54501">
          <cell r="O54501" t="str">
            <v/>
          </cell>
        </row>
        <row r="54502">
          <cell r="O54502" t="str">
            <v/>
          </cell>
        </row>
        <row r="54503">
          <cell r="O54503" t="str">
            <v/>
          </cell>
        </row>
        <row r="54504">
          <cell r="O54504" t="str">
            <v/>
          </cell>
        </row>
        <row r="54505">
          <cell r="O54505" t="str">
            <v/>
          </cell>
        </row>
        <row r="54506">
          <cell r="O54506" t="str">
            <v/>
          </cell>
        </row>
        <row r="54507">
          <cell r="O54507" t="str">
            <v/>
          </cell>
        </row>
        <row r="54508">
          <cell r="O54508" t="str">
            <v/>
          </cell>
        </row>
        <row r="54509">
          <cell r="O54509" t="str">
            <v/>
          </cell>
        </row>
        <row r="54510">
          <cell r="O54510" t="str">
            <v/>
          </cell>
        </row>
        <row r="54511">
          <cell r="O54511" t="str">
            <v/>
          </cell>
        </row>
        <row r="54512">
          <cell r="O54512" t="str">
            <v/>
          </cell>
        </row>
        <row r="54513">
          <cell r="O54513" t="str">
            <v/>
          </cell>
        </row>
        <row r="54514">
          <cell r="O54514" t="str">
            <v/>
          </cell>
        </row>
        <row r="54515">
          <cell r="O54515" t="str">
            <v/>
          </cell>
        </row>
        <row r="54516">
          <cell r="O54516" t="str">
            <v/>
          </cell>
        </row>
        <row r="54517">
          <cell r="O54517" t="str">
            <v/>
          </cell>
        </row>
        <row r="54518">
          <cell r="O54518" t="str">
            <v/>
          </cell>
        </row>
        <row r="54519">
          <cell r="O54519" t="str">
            <v/>
          </cell>
        </row>
        <row r="54520">
          <cell r="O54520" t="str">
            <v/>
          </cell>
        </row>
        <row r="54521">
          <cell r="O54521" t="str">
            <v/>
          </cell>
        </row>
        <row r="54522">
          <cell r="O54522" t="str">
            <v/>
          </cell>
        </row>
        <row r="54523">
          <cell r="O54523" t="str">
            <v/>
          </cell>
        </row>
        <row r="54524">
          <cell r="O54524" t="str">
            <v/>
          </cell>
        </row>
        <row r="54525">
          <cell r="O54525" t="str">
            <v/>
          </cell>
        </row>
        <row r="54526">
          <cell r="O54526" t="str">
            <v/>
          </cell>
        </row>
        <row r="54527">
          <cell r="O54527" t="str">
            <v/>
          </cell>
        </row>
        <row r="54528">
          <cell r="O54528" t="str">
            <v/>
          </cell>
        </row>
        <row r="54529">
          <cell r="O54529" t="str">
            <v/>
          </cell>
        </row>
        <row r="54530">
          <cell r="O54530" t="str">
            <v/>
          </cell>
        </row>
        <row r="54531">
          <cell r="O54531" t="str">
            <v/>
          </cell>
        </row>
        <row r="54532">
          <cell r="O54532" t="str">
            <v/>
          </cell>
        </row>
        <row r="54533">
          <cell r="O54533" t="str">
            <v/>
          </cell>
        </row>
        <row r="54534">
          <cell r="O54534" t="str">
            <v/>
          </cell>
        </row>
        <row r="54535">
          <cell r="O54535" t="str">
            <v/>
          </cell>
        </row>
        <row r="54536">
          <cell r="O54536" t="str">
            <v/>
          </cell>
        </row>
        <row r="54537">
          <cell r="O54537" t="str">
            <v/>
          </cell>
        </row>
        <row r="54538">
          <cell r="O54538" t="str">
            <v/>
          </cell>
        </row>
        <row r="54539">
          <cell r="O54539" t="str">
            <v/>
          </cell>
        </row>
        <row r="54540">
          <cell r="O54540" t="str">
            <v/>
          </cell>
        </row>
        <row r="54541">
          <cell r="O54541" t="str">
            <v/>
          </cell>
        </row>
        <row r="54542">
          <cell r="O54542" t="str">
            <v/>
          </cell>
        </row>
        <row r="54543">
          <cell r="O54543" t="str">
            <v/>
          </cell>
        </row>
        <row r="54544">
          <cell r="O54544" t="str">
            <v/>
          </cell>
        </row>
        <row r="54545">
          <cell r="O54545" t="str">
            <v/>
          </cell>
        </row>
        <row r="54546">
          <cell r="O54546" t="str">
            <v/>
          </cell>
        </row>
        <row r="54547">
          <cell r="O54547" t="str">
            <v/>
          </cell>
        </row>
        <row r="54548">
          <cell r="O54548" t="str">
            <v/>
          </cell>
        </row>
        <row r="54549">
          <cell r="O54549" t="str">
            <v/>
          </cell>
        </row>
        <row r="54550">
          <cell r="O54550" t="str">
            <v/>
          </cell>
        </row>
        <row r="54551">
          <cell r="O54551" t="str">
            <v/>
          </cell>
        </row>
        <row r="54552">
          <cell r="O54552" t="str">
            <v/>
          </cell>
        </row>
        <row r="54553">
          <cell r="O54553" t="str">
            <v/>
          </cell>
        </row>
        <row r="54554">
          <cell r="O54554" t="str">
            <v/>
          </cell>
        </row>
        <row r="54555">
          <cell r="O54555" t="str">
            <v/>
          </cell>
        </row>
        <row r="54556">
          <cell r="O54556" t="str">
            <v/>
          </cell>
        </row>
        <row r="54557">
          <cell r="O54557" t="str">
            <v/>
          </cell>
        </row>
        <row r="54558">
          <cell r="O54558" t="str">
            <v/>
          </cell>
        </row>
        <row r="54559">
          <cell r="O54559" t="str">
            <v/>
          </cell>
        </row>
        <row r="54560">
          <cell r="O54560" t="str">
            <v/>
          </cell>
        </row>
        <row r="54561">
          <cell r="O54561" t="str">
            <v/>
          </cell>
        </row>
        <row r="54562">
          <cell r="O54562" t="str">
            <v/>
          </cell>
        </row>
        <row r="54563">
          <cell r="O54563" t="str">
            <v/>
          </cell>
        </row>
        <row r="54564">
          <cell r="O54564" t="str">
            <v/>
          </cell>
        </row>
        <row r="54565">
          <cell r="O54565" t="str">
            <v/>
          </cell>
        </row>
        <row r="54566">
          <cell r="O54566" t="str">
            <v/>
          </cell>
        </row>
        <row r="54567">
          <cell r="O54567" t="str">
            <v/>
          </cell>
        </row>
        <row r="54568">
          <cell r="O54568" t="str">
            <v/>
          </cell>
        </row>
        <row r="54569">
          <cell r="O54569" t="str">
            <v/>
          </cell>
        </row>
        <row r="54570">
          <cell r="O54570" t="str">
            <v/>
          </cell>
        </row>
        <row r="54571">
          <cell r="O54571" t="str">
            <v/>
          </cell>
        </row>
        <row r="54572">
          <cell r="O54572" t="str">
            <v/>
          </cell>
        </row>
        <row r="54573">
          <cell r="O54573" t="str">
            <v/>
          </cell>
        </row>
        <row r="54574">
          <cell r="O54574" t="str">
            <v/>
          </cell>
        </row>
        <row r="54575">
          <cell r="O54575" t="str">
            <v/>
          </cell>
        </row>
        <row r="54576">
          <cell r="O54576" t="str">
            <v/>
          </cell>
        </row>
        <row r="54577">
          <cell r="O54577" t="str">
            <v/>
          </cell>
        </row>
        <row r="54578">
          <cell r="O54578" t="str">
            <v/>
          </cell>
        </row>
        <row r="54579">
          <cell r="O54579" t="str">
            <v/>
          </cell>
        </row>
        <row r="54580">
          <cell r="O54580" t="str">
            <v/>
          </cell>
        </row>
        <row r="54581">
          <cell r="O54581" t="str">
            <v/>
          </cell>
        </row>
        <row r="54582">
          <cell r="O54582" t="str">
            <v/>
          </cell>
        </row>
        <row r="54583">
          <cell r="O54583" t="str">
            <v/>
          </cell>
        </row>
        <row r="54584">
          <cell r="O54584" t="str">
            <v/>
          </cell>
        </row>
        <row r="54585">
          <cell r="O54585" t="str">
            <v/>
          </cell>
        </row>
        <row r="54586">
          <cell r="O54586" t="str">
            <v/>
          </cell>
        </row>
        <row r="54587">
          <cell r="O54587" t="str">
            <v/>
          </cell>
        </row>
        <row r="54588">
          <cell r="O54588" t="str">
            <v/>
          </cell>
        </row>
        <row r="54589">
          <cell r="O54589" t="str">
            <v/>
          </cell>
        </row>
        <row r="54590">
          <cell r="O54590" t="str">
            <v/>
          </cell>
        </row>
        <row r="54591">
          <cell r="O54591" t="str">
            <v/>
          </cell>
        </row>
        <row r="54592">
          <cell r="O54592" t="str">
            <v/>
          </cell>
        </row>
        <row r="54593">
          <cell r="O54593" t="str">
            <v/>
          </cell>
        </row>
        <row r="54594">
          <cell r="O54594" t="str">
            <v/>
          </cell>
        </row>
        <row r="54595">
          <cell r="O54595" t="str">
            <v/>
          </cell>
        </row>
        <row r="54596">
          <cell r="O54596" t="str">
            <v/>
          </cell>
        </row>
        <row r="54597">
          <cell r="O54597" t="str">
            <v/>
          </cell>
        </row>
        <row r="54598">
          <cell r="O54598" t="str">
            <v/>
          </cell>
        </row>
        <row r="54599">
          <cell r="O54599" t="str">
            <v/>
          </cell>
        </row>
        <row r="54600">
          <cell r="O54600" t="str">
            <v/>
          </cell>
        </row>
        <row r="54601">
          <cell r="O54601" t="str">
            <v/>
          </cell>
        </row>
        <row r="54602">
          <cell r="O54602" t="str">
            <v/>
          </cell>
        </row>
        <row r="54603">
          <cell r="O54603" t="str">
            <v/>
          </cell>
        </row>
        <row r="54604">
          <cell r="O54604" t="str">
            <v/>
          </cell>
        </row>
        <row r="54605">
          <cell r="O54605" t="str">
            <v/>
          </cell>
        </row>
        <row r="54606">
          <cell r="O54606" t="str">
            <v/>
          </cell>
        </row>
        <row r="54607">
          <cell r="O54607" t="str">
            <v/>
          </cell>
        </row>
        <row r="54608">
          <cell r="O54608" t="str">
            <v/>
          </cell>
        </row>
        <row r="54609">
          <cell r="O54609" t="str">
            <v/>
          </cell>
        </row>
        <row r="54610">
          <cell r="O54610" t="str">
            <v/>
          </cell>
        </row>
        <row r="54611">
          <cell r="O54611" t="str">
            <v/>
          </cell>
        </row>
        <row r="54612">
          <cell r="O54612" t="str">
            <v/>
          </cell>
        </row>
        <row r="54613">
          <cell r="O54613" t="str">
            <v/>
          </cell>
        </row>
        <row r="54614">
          <cell r="O54614" t="str">
            <v/>
          </cell>
        </row>
        <row r="54615">
          <cell r="O54615" t="str">
            <v/>
          </cell>
        </row>
        <row r="54616">
          <cell r="O54616" t="str">
            <v/>
          </cell>
        </row>
        <row r="54617">
          <cell r="O54617" t="str">
            <v/>
          </cell>
        </row>
        <row r="54618">
          <cell r="O54618" t="str">
            <v/>
          </cell>
        </row>
        <row r="54619">
          <cell r="O54619" t="str">
            <v/>
          </cell>
        </row>
        <row r="54620">
          <cell r="O54620" t="str">
            <v/>
          </cell>
        </row>
        <row r="54621">
          <cell r="O54621" t="str">
            <v/>
          </cell>
        </row>
        <row r="54622">
          <cell r="O54622" t="str">
            <v/>
          </cell>
        </row>
        <row r="54623">
          <cell r="O54623" t="str">
            <v/>
          </cell>
        </row>
        <row r="54624">
          <cell r="O54624" t="str">
            <v/>
          </cell>
        </row>
        <row r="54625">
          <cell r="O54625" t="str">
            <v/>
          </cell>
        </row>
        <row r="54626">
          <cell r="O54626" t="str">
            <v/>
          </cell>
        </row>
        <row r="54627">
          <cell r="O54627" t="str">
            <v/>
          </cell>
        </row>
        <row r="54628">
          <cell r="O54628" t="str">
            <v/>
          </cell>
        </row>
        <row r="54629">
          <cell r="O54629" t="str">
            <v/>
          </cell>
        </row>
        <row r="54630">
          <cell r="O54630" t="str">
            <v/>
          </cell>
        </row>
        <row r="54631">
          <cell r="O54631" t="str">
            <v/>
          </cell>
        </row>
        <row r="54632">
          <cell r="O54632" t="str">
            <v/>
          </cell>
        </row>
        <row r="54633">
          <cell r="O54633" t="str">
            <v/>
          </cell>
        </row>
        <row r="54634">
          <cell r="O54634" t="str">
            <v/>
          </cell>
        </row>
        <row r="54635">
          <cell r="O54635" t="str">
            <v/>
          </cell>
        </row>
        <row r="54636">
          <cell r="O54636" t="str">
            <v/>
          </cell>
        </row>
        <row r="54637">
          <cell r="O54637" t="str">
            <v/>
          </cell>
        </row>
        <row r="54638">
          <cell r="O54638" t="str">
            <v/>
          </cell>
        </row>
        <row r="54639">
          <cell r="O54639" t="str">
            <v/>
          </cell>
        </row>
        <row r="54640">
          <cell r="O54640" t="str">
            <v/>
          </cell>
        </row>
        <row r="54641">
          <cell r="O54641" t="str">
            <v/>
          </cell>
        </row>
        <row r="54642">
          <cell r="O54642" t="str">
            <v/>
          </cell>
        </row>
        <row r="54643">
          <cell r="O54643" t="str">
            <v/>
          </cell>
        </row>
        <row r="54644">
          <cell r="O54644" t="str">
            <v/>
          </cell>
        </row>
        <row r="54645">
          <cell r="O54645" t="str">
            <v/>
          </cell>
        </row>
        <row r="54646">
          <cell r="O54646" t="str">
            <v/>
          </cell>
        </row>
        <row r="54647">
          <cell r="O54647" t="str">
            <v/>
          </cell>
        </row>
        <row r="54648">
          <cell r="O54648" t="str">
            <v/>
          </cell>
        </row>
        <row r="54649">
          <cell r="O54649" t="str">
            <v/>
          </cell>
        </row>
        <row r="54650">
          <cell r="O54650" t="str">
            <v/>
          </cell>
        </row>
        <row r="54651">
          <cell r="O54651" t="str">
            <v/>
          </cell>
        </row>
        <row r="54652">
          <cell r="O54652" t="str">
            <v/>
          </cell>
        </row>
        <row r="54653">
          <cell r="O54653" t="str">
            <v/>
          </cell>
        </row>
        <row r="54654">
          <cell r="O54654" t="str">
            <v/>
          </cell>
        </row>
        <row r="54655">
          <cell r="O54655" t="str">
            <v/>
          </cell>
        </row>
        <row r="54656">
          <cell r="O54656" t="str">
            <v/>
          </cell>
        </row>
        <row r="54657">
          <cell r="O54657" t="str">
            <v/>
          </cell>
        </row>
        <row r="54658">
          <cell r="O54658" t="str">
            <v/>
          </cell>
        </row>
        <row r="54659">
          <cell r="O54659" t="str">
            <v/>
          </cell>
        </row>
        <row r="54660">
          <cell r="O54660" t="str">
            <v/>
          </cell>
        </row>
        <row r="54661">
          <cell r="O54661" t="str">
            <v/>
          </cell>
        </row>
        <row r="54662">
          <cell r="O54662" t="str">
            <v/>
          </cell>
        </row>
        <row r="54663">
          <cell r="O54663" t="str">
            <v/>
          </cell>
        </row>
        <row r="54664">
          <cell r="O54664" t="str">
            <v/>
          </cell>
        </row>
        <row r="54665">
          <cell r="O54665" t="str">
            <v/>
          </cell>
        </row>
        <row r="54666">
          <cell r="O54666" t="str">
            <v/>
          </cell>
        </row>
        <row r="54667">
          <cell r="O54667" t="str">
            <v/>
          </cell>
        </row>
        <row r="54668">
          <cell r="O54668" t="str">
            <v/>
          </cell>
        </row>
        <row r="54669">
          <cell r="O54669" t="str">
            <v/>
          </cell>
        </row>
        <row r="54670">
          <cell r="O54670" t="str">
            <v/>
          </cell>
        </row>
        <row r="54671">
          <cell r="O54671" t="str">
            <v/>
          </cell>
        </row>
        <row r="54672">
          <cell r="O54672" t="str">
            <v/>
          </cell>
        </row>
        <row r="54673">
          <cell r="O54673" t="str">
            <v/>
          </cell>
        </row>
        <row r="54674">
          <cell r="O54674" t="str">
            <v/>
          </cell>
        </row>
        <row r="54675">
          <cell r="O54675" t="str">
            <v/>
          </cell>
        </row>
        <row r="54676">
          <cell r="O54676" t="str">
            <v/>
          </cell>
        </row>
        <row r="54677">
          <cell r="O54677" t="str">
            <v/>
          </cell>
        </row>
        <row r="54678">
          <cell r="O54678" t="str">
            <v/>
          </cell>
        </row>
        <row r="54679">
          <cell r="O54679" t="str">
            <v/>
          </cell>
        </row>
        <row r="54680">
          <cell r="O54680" t="str">
            <v/>
          </cell>
        </row>
        <row r="54681">
          <cell r="O54681" t="str">
            <v/>
          </cell>
        </row>
        <row r="54682">
          <cell r="O54682" t="str">
            <v/>
          </cell>
        </row>
        <row r="54683">
          <cell r="O54683" t="str">
            <v/>
          </cell>
        </row>
        <row r="54684">
          <cell r="O54684" t="str">
            <v/>
          </cell>
        </row>
        <row r="54685">
          <cell r="O54685" t="str">
            <v/>
          </cell>
        </row>
        <row r="54686">
          <cell r="O54686" t="str">
            <v/>
          </cell>
        </row>
        <row r="54687">
          <cell r="O54687" t="str">
            <v/>
          </cell>
        </row>
        <row r="54688">
          <cell r="O54688" t="str">
            <v/>
          </cell>
        </row>
        <row r="54689">
          <cell r="O54689" t="str">
            <v/>
          </cell>
        </row>
        <row r="54690">
          <cell r="O54690" t="str">
            <v/>
          </cell>
        </row>
        <row r="54691">
          <cell r="O54691" t="str">
            <v/>
          </cell>
        </row>
        <row r="54692">
          <cell r="O54692" t="str">
            <v/>
          </cell>
        </row>
        <row r="54693">
          <cell r="O54693" t="str">
            <v/>
          </cell>
        </row>
        <row r="54694">
          <cell r="O54694" t="str">
            <v/>
          </cell>
        </row>
        <row r="54695">
          <cell r="O54695" t="str">
            <v/>
          </cell>
        </row>
        <row r="54696">
          <cell r="O54696" t="str">
            <v/>
          </cell>
        </row>
        <row r="54697">
          <cell r="O54697" t="str">
            <v/>
          </cell>
        </row>
        <row r="54698">
          <cell r="O54698" t="str">
            <v/>
          </cell>
        </row>
        <row r="54699">
          <cell r="O54699" t="str">
            <v/>
          </cell>
        </row>
        <row r="54700">
          <cell r="O54700" t="str">
            <v/>
          </cell>
        </row>
        <row r="54701">
          <cell r="O54701" t="str">
            <v/>
          </cell>
        </row>
        <row r="54702">
          <cell r="O54702" t="str">
            <v/>
          </cell>
        </row>
        <row r="54703">
          <cell r="O54703" t="str">
            <v/>
          </cell>
        </row>
        <row r="54704">
          <cell r="O54704" t="str">
            <v/>
          </cell>
        </row>
        <row r="54705">
          <cell r="O54705" t="str">
            <v/>
          </cell>
        </row>
        <row r="54706">
          <cell r="O54706" t="str">
            <v/>
          </cell>
        </row>
        <row r="54707">
          <cell r="O54707" t="str">
            <v/>
          </cell>
        </row>
        <row r="54708">
          <cell r="O54708" t="str">
            <v/>
          </cell>
        </row>
        <row r="54709">
          <cell r="O54709" t="str">
            <v/>
          </cell>
        </row>
        <row r="54710">
          <cell r="O54710" t="str">
            <v/>
          </cell>
        </row>
        <row r="54711">
          <cell r="O54711" t="str">
            <v/>
          </cell>
        </row>
        <row r="54712">
          <cell r="O54712" t="str">
            <v/>
          </cell>
        </row>
        <row r="54713">
          <cell r="O54713" t="str">
            <v/>
          </cell>
        </row>
        <row r="54714">
          <cell r="O54714" t="str">
            <v/>
          </cell>
        </row>
        <row r="54715">
          <cell r="O54715" t="str">
            <v/>
          </cell>
        </row>
        <row r="54716">
          <cell r="O54716" t="str">
            <v/>
          </cell>
        </row>
        <row r="54717">
          <cell r="O54717" t="str">
            <v/>
          </cell>
        </row>
        <row r="54718">
          <cell r="O54718" t="str">
            <v/>
          </cell>
        </row>
        <row r="54719">
          <cell r="O54719" t="str">
            <v/>
          </cell>
        </row>
        <row r="54720">
          <cell r="O54720" t="str">
            <v/>
          </cell>
        </row>
        <row r="54721">
          <cell r="O54721" t="str">
            <v/>
          </cell>
        </row>
        <row r="54722">
          <cell r="O54722" t="str">
            <v/>
          </cell>
        </row>
        <row r="54723">
          <cell r="O54723" t="str">
            <v/>
          </cell>
        </row>
        <row r="54724">
          <cell r="O54724" t="str">
            <v/>
          </cell>
        </row>
        <row r="54725">
          <cell r="O54725" t="str">
            <v/>
          </cell>
        </row>
        <row r="54726">
          <cell r="O54726" t="str">
            <v/>
          </cell>
        </row>
        <row r="54727">
          <cell r="O54727" t="str">
            <v/>
          </cell>
        </row>
        <row r="54728">
          <cell r="O54728" t="str">
            <v/>
          </cell>
        </row>
        <row r="54729">
          <cell r="O54729" t="str">
            <v/>
          </cell>
        </row>
        <row r="54730">
          <cell r="O54730" t="str">
            <v/>
          </cell>
        </row>
        <row r="54731">
          <cell r="O54731" t="str">
            <v/>
          </cell>
        </row>
        <row r="54732">
          <cell r="O54732" t="str">
            <v/>
          </cell>
        </row>
        <row r="54733">
          <cell r="O54733" t="str">
            <v/>
          </cell>
        </row>
        <row r="54734">
          <cell r="O54734" t="str">
            <v/>
          </cell>
        </row>
        <row r="54735">
          <cell r="O54735" t="str">
            <v/>
          </cell>
        </row>
        <row r="54736">
          <cell r="O54736" t="str">
            <v/>
          </cell>
        </row>
        <row r="54737">
          <cell r="O54737" t="str">
            <v/>
          </cell>
        </row>
        <row r="54738">
          <cell r="O54738" t="str">
            <v/>
          </cell>
        </row>
        <row r="54739">
          <cell r="O54739" t="str">
            <v/>
          </cell>
        </row>
        <row r="54740">
          <cell r="O54740" t="str">
            <v/>
          </cell>
        </row>
        <row r="54741">
          <cell r="O54741" t="str">
            <v/>
          </cell>
        </row>
        <row r="54742">
          <cell r="O54742" t="str">
            <v/>
          </cell>
        </row>
        <row r="54743">
          <cell r="O54743" t="str">
            <v/>
          </cell>
        </row>
        <row r="54744">
          <cell r="O54744" t="str">
            <v/>
          </cell>
        </row>
        <row r="54745">
          <cell r="O54745" t="str">
            <v/>
          </cell>
        </row>
        <row r="54746">
          <cell r="O54746" t="str">
            <v/>
          </cell>
        </row>
        <row r="54747">
          <cell r="O54747" t="str">
            <v/>
          </cell>
        </row>
        <row r="54748">
          <cell r="O54748" t="str">
            <v/>
          </cell>
        </row>
        <row r="54749">
          <cell r="O54749" t="str">
            <v/>
          </cell>
        </row>
        <row r="54750">
          <cell r="O54750" t="str">
            <v/>
          </cell>
        </row>
        <row r="54751">
          <cell r="O54751" t="str">
            <v/>
          </cell>
        </row>
        <row r="54752">
          <cell r="O54752" t="str">
            <v/>
          </cell>
        </row>
        <row r="54753">
          <cell r="O54753" t="str">
            <v/>
          </cell>
        </row>
        <row r="54754">
          <cell r="O54754" t="str">
            <v/>
          </cell>
        </row>
        <row r="54755">
          <cell r="O54755" t="str">
            <v/>
          </cell>
        </row>
        <row r="54756">
          <cell r="O54756" t="str">
            <v/>
          </cell>
        </row>
        <row r="54757">
          <cell r="O54757" t="str">
            <v/>
          </cell>
        </row>
        <row r="54758">
          <cell r="O54758" t="str">
            <v/>
          </cell>
        </row>
        <row r="54759">
          <cell r="O54759" t="str">
            <v/>
          </cell>
        </row>
        <row r="54760">
          <cell r="O54760" t="str">
            <v/>
          </cell>
        </row>
        <row r="54761">
          <cell r="O54761" t="str">
            <v/>
          </cell>
        </row>
        <row r="54762">
          <cell r="O54762" t="str">
            <v/>
          </cell>
        </row>
        <row r="54763">
          <cell r="O54763" t="str">
            <v/>
          </cell>
        </row>
        <row r="54764">
          <cell r="O54764" t="str">
            <v/>
          </cell>
        </row>
        <row r="54765">
          <cell r="O54765" t="str">
            <v/>
          </cell>
        </row>
        <row r="54766">
          <cell r="O54766" t="str">
            <v/>
          </cell>
        </row>
        <row r="54767">
          <cell r="O54767" t="str">
            <v/>
          </cell>
        </row>
        <row r="54768">
          <cell r="O54768" t="str">
            <v/>
          </cell>
        </row>
        <row r="54769">
          <cell r="O54769" t="str">
            <v/>
          </cell>
        </row>
        <row r="54770">
          <cell r="O54770" t="str">
            <v/>
          </cell>
        </row>
        <row r="54771">
          <cell r="O54771" t="str">
            <v/>
          </cell>
        </row>
        <row r="54772">
          <cell r="O54772" t="str">
            <v/>
          </cell>
        </row>
        <row r="54773">
          <cell r="O54773" t="str">
            <v/>
          </cell>
        </row>
        <row r="54774">
          <cell r="O54774" t="str">
            <v/>
          </cell>
        </row>
        <row r="54775">
          <cell r="O54775" t="str">
            <v/>
          </cell>
        </row>
        <row r="54776">
          <cell r="O54776" t="str">
            <v/>
          </cell>
        </row>
        <row r="54777">
          <cell r="O54777" t="str">
            <v/>
          </cell>
        </row>
        <row r="54778">
          <cell r="O54778" t="str">
            <v/>
          </cell>
        </row>
        <row r="54779">
          <cell r="O54779" t="str">
            <v/>
          </cell>
        </row>
        <row r="54780">
          <cell r="O54780" t="str">
            <v/>
          </cell>
        </row>
        <row r="54781">
          <cell r="O54781" t="str">
            <v/>
          </cell>
        </row>
        <row r="54782">
          <cell r="O54782" t="str">
            <v/>
          </cell>
        </row>
        <row r="54783">
          <cell r="O54783" t="str">
            <v/>
          </cell>
        </row>
        <row r="54784">
          <cell r="O54784" t="str">
            <v/>
          </cell>
        </row>
        <row r="54785">
          <cell r="O54785" t="str">
            <v/>
          </cell>
        </row>
        <row r="54786">
          <cell r="O54786" t="str">
            <v/>
          </cell>
        </row>
        <row r="54787">
          <cell r="O54787" t="str">
            <v/>
          </cell>
        </row>
        <row r="54788">
          <cell r="O54788" t="str">
            <v/>
          </cell>
        </row>
        <row r="54789">
          <cell r="O54789" t="str">
            <v/>
          </cell>
        </row>
        <row r="54790">
          <cell r="O54790" t="str">
            <v/>
          </cell>
        </row>
        <row r="54791">
          <cell r="O54791" t="str">
            <v/>
          </cell>
        </row>
        <row r="54792">
          <cell r="O54792" t="str">
            <v/>
          </cell>
        </row>
        <row r="54793">
          <cell r="O54793" t="str">
            <v/>
          </cell>
        </row>
        <row r="54794">
          <cell r="O54794" t="str">
            <v/>
          </cell>
        </row>
        <row r="54795">
          <cell r="O54795" t="str">
            <v/>
          </cell>
        </row>
        <row r="54796">
          <cell r="O54796" t="str">
            <v/>
          </cell>
        </row>
        <row r="54797">
          <cell r="O54797" t="str">
            <v/>
          </cell>
        </row>
        <row r="54798">
          <cell r="O54798" t="str">
            <v/>
          </cell>
        </row>
        <row r="54799">
          <cell r="O54799" t="str">
            <v/>
          </cell>
        </row>
        <row r="54800">
          <cell r="O54800" t="str">
            <v/>
          </cell>
        </row>
        <row r="54801">
          <cell r="O54801" t="str">
            <v/>
          </cell>
        </row>
        <row r="54802">
          <cell r="O54802" t="str">
            <v/>
          </cell>
        </row>
        <row r="54803">
          <cell r="O54803" t="str">
            <v/>
          </cell>
        </row>
        <row r="54804">
          <cell r="O54804" t="str">
            <v/>
          </cell>
        </row>
        <row r="54805">
          <cell r="O54805" t="str">
            <v/>
          </cell>
        </row>
        <row r="54806">
          <cell r="O54806" t="str">
            <v/>
          </cell>
        </row>
        <row r="54807">
          <cell r="O54807" t="str">
            <v/>
          </cell>
        </row>
        <row r="54808">
          <cell r="O54808" t="str">
            <v/>
          </cell>
        </row>
        <row r="54809">
          <cell r="O54809" t="str">
            <v/>
          </cell>
        </row>
        <row r="54810">
          <cell r="O54810" t="str">
            <v/>
          </cell>
        </row>
        <row r="54811">
          <cell r="O54811" t="str">
            <v/>
          </cell>
        </row>
        <row r="54812">
          <cell r="O54812" t="str">
            <v/>
          </cell>
        </row>
        <row r="54813">
          <cell r="O54813" t="str">
            <v/>
          </cell>
        </row>
        <row r="54814">
          <cell r="O54814" t="str">
            <v/>
          </cell>
        </row>
        <row r="54815">
          <cell r="O54815" t="str">
            <v/>
          </cell>
        </row>
        <row r="54816">
          <cell r="O54816" t="str">
            <v/>
          </cell>
        </row>
        <row r="54817">
          <cell r="O54817" t="str">
            <v/>
          </cell>
        </row>
        <row r="54818">
          <cell r="O54818" t="str">
            <v/>
          </cell>
        </row>
        <row r="54819">
          <cell r="O54819" t="str">
            <v/>
          </cell>
        </row>
        <row r="54820">
          <cell r="O54820" t="str">
            <v/>
          </cell>
        </row>
        <row r="54821">
          <cell r="O54821" t="str">
            <v/>
          </cell>
        </row>
        <row r="54822">
          <cell r="O54822" t="str">
            <v/>
          </cell>
        </row>
        <row r="54823">
          <cell r="O54823" t="str">
            <v/>
          </cell>
        </row>
        <row r="54824">
          <cell r="O54824" t="str">
            <v/>
          </cell>
        </row>
        <row r="54825">
          <cell r="O54825" t="str">
            <v/>
          </cell>
        </row>
        <row r="54826">
          <cell r="O54826" t="str">
            <v/>
          </cell>
        </row>
        <row r="54827">
          <cell r="O54827" t="str">
            <v/>
          </cell>
        </row>
        <row r="54828">
          <cell r="O54828" t="str">
            <v/>
          </cell>
        </row>
        <row r="54829">
          <cell r="O54829" t="str">
            <v/>
          </cell>
        </row>
        <row r="54830">
          <cell r="O54830" t="str">
            <v/>
          </cell>
        </row>
        <row r="54831">
          <cell r="O54831" t="str">
            <v/>
          </cell>
        </row>
        <row r="54832">
          <cell r="O54832" t="str">
            <v/>
          </cell>
        </row>
        <row r="54833">
          <cell r="O54833" t="str">
            <v/>
          </cell>
        </row>
        <row r="54834">
          <cell r="O54834" t="str">
            <v/>
          </cell>
        </row>
        <row r="54835">
          <cell r="O54835" t="str">
            <v/>
          </cell>
        </row>
        <row r="54836">
          <cell r="O54836" t="str">
            <v/>
          </cell>
        </row>
        <row r="54837">
          <cell r="O54837" t="str">
            <v/>
          </cell>
        </row>
        <row r="54838">
          <cell r="O54838" t="str">
            <v/>
          </cell>
        </row>
        <row r="54839">
          <cell r="O54839" t="str">
            <v/>
          </cell>
        </row>
        <row r="54840">
          <cell r="O54840" t="str">
            <v/>
          </cell>
        </row>
        <row r="54841">
          <cell r="O54841" t="str">
            <v/>
          </cell>
        </row>
        <row r="54842">
          <cell r="O54842" t="str">
            <v/>
          </cell>
        </row>
        <row r="54843">
          <cell r="O54843" t="str">
            <v/>
          </cell>
        </row>
        <row r="54844">
          <cell r="O54844" t="str">
            <v/>
          </cell>
        </row>
        <row r="54845">
          <cell r="O54845" t="str">
            <v/>
          </cell>
        </row>
        <row r="54846">
          <cell r="O54846" t="str">
            <v/>
          </cell>
        </row>
        <row r="54847">
          <cell r="O54847" t="str">
            <v/>
          </cell>
        </row>
        <row r="54848">
          <cell r="O54848" t="str">
            <v/>
          </cell>
        </row>
        <row r="54849">
          <cell r="O54849" t="str">
            <v/>
          </cell>
        </row>
        <row r="54850">
          <cell r="O54850" t="str">
            <v/>
          </cell>
        </row>
        <row r="54851">
          <cell r="O54851" t="str">
            <v/>
          </cell>
        </row>
        <row r="54852">
          <cell r="O54852" t="str">
            <v/>
          </cell>
        </row>
        <row r="54853">
          <cell r="O54853" t="str">
            <v/>
          </cell>
        </row>
        <row r="54854">
          <cell r="O54854" t="str">
            <v/>
          </cell>
        </row>
        <row r="54855">
          <cell r="O54855" t="str">
            <v/>
          </cell>
        </row>
        <row r="54856">
          <cell r="O54856" t="str">
            <v/>
          </cell>
        </row>
        <row r="54857">
          <cell r="O54857" t="str">
            <v/>
          </cell>
        </row>
        <row r="54858">
          <cell r="O54858" t="str">
            <v/>
          </cell>
        </row>
        <row r="54859">
          <cell r="O54859" t="str">
            <v/>
          </cell>
        </row>
        <row r="54860">
          <cell r="O54860" t="str">
            <v/>
          </cell>
        </row>
        <row r="54861">
          <cell r="O54861" t="str">
            <v/>
          </cell>
        </row>
        <row r="54862">
          <cell r="O54862" t="str">
            <v/>
          </cell>
        </row>
        <row r="54863">
          <cell r="O54863" t="str">
            <v/>
          </cell>
        </row>
        <row r="54864">
          <cell r="O54864" t="str">
            <v/>
          </cell>
        </row>
        <row r="54865">
          <cell r="O54865" t="str">
            <v/>
          </cell>
        </row>
        <row r="54866">
          <cell r="O54866" t="str">
            <v/>
          </cell>
        </row>
        <row r="54867">
          <cell r="O54867" t="str">
            <v/>
          </cell>
        </row>
        <row r="54868">
          <cell r="O54868" t="str">
            <v/>
          </cell>
        </row>
        <row r="54869">
          <cell r="O54869" t="str">
            <v/>
          </cell>
        </row>
        <row r="54870">
          <cell r="O54870" t="str">
            <v/>
          </cell>
        </row>
        <row r="54871">
          <cell r="O54871" t="str">
            <v/>
          </cell>
        </row>
        <row r="54872">
          <cell r="O54872" t="str">
            <v/>
          </cell>
        </row>
        <row r="54873">
          <cell r="O54873" t="str">
            <v/>
          </cell>
        </row>
        <row r="54874">
          <cell r="O54874" t="str">
            <v/>
          </cell>
        </row>
        <row r="54875">
          <cell r="O54875" t="str">
            <v/>
          </cell>
        </row>
        <row r="54876">
          <cell r="O54876" t="str">
            <v/>
          </cell>
        </row>
        <row r="54877">
          <cell r="O54877" t="str">
            <v/>
          </cell>
        </row>
        <row r="54878">
          <cell r="O54878" t="str">
            <v/>
          </cell>
        </row>
        <row r="54879">
          <cell r="O54879" t="str">
            <v/>
          </cell>
        </row>
        <row r="54880">
          <cell r="O54880" t="str">
            <v/>
          </cell>
        </row>
        <row r="54881">
          <cell r="O54881" t="str">
            <v/>
          </cell>
        </row>
        <row r="54882">
          <cell r="O54882" t="str">
            <v/>
          </cell>
        </row>
        <row r="54883">
          <cell r="O54883" t="str">
            <v/>
          </cell>
        </row>
        <row r="54884">
          <cell r="O54884" t="str">
            <v/>
          </cell>
        </row>
        <row r="54885">
          <cell r="O54885" t="str">
            <v/>
          </cell>
        </row>
        <row r="54886">
          <cell r="O54886" t="str">
            <v/>
          </cell>
        </row>
        <row r="54887">
          <cell r="O54887" t="str">
            <v/>
          </cell>
        </row>
        <row r="54888">
          <cell r="O54888" t="str">
            <v/>
          </cell>
        </row>
        <row r="54889">
          <cell r="O54889" t="str">
            <v/>
          </cell>
        </row>
        <row r="54890">
          <cell r="O54890" t="str">
            <v/>
          </cell>
        </row>
        <row r="54891">
          <cell r="O54891" t="str">
            <v/>
          </cell>
        </row>
        <row r="54892">
          <cell r="O54892" t="str">
            <v/>
          </cell>
        </row>
        <row r="54893">
          <cell r="O54893" t="str">
            <v/>
          </cell>
        </row>
        <row r="54894">
          <cell r="O54894" t="str">
            <v/>
          </cell>
        </row>
        <row r="54895">
          <cell r="O54895" t="str">
            <v/>
          </cell>
        </row>
        <row r="54896">
          <cell r="O54896" t="str">
            <v/>
          </cell>
        </row>
        <row r="54897">
          <cell r="O54897" t="str">
            <v/>
          </cell>
        </row>
        <row r="54898">
          <cell r="O54898" t="str">
            <v/>
          </cell>
        </row>
        <row r="54899">
          <cell r="O54899" t="str">
            <v/>
          </cell>
        </row>
        <row r="54900">
          <cell r="O54900" t="str">
            <v/>
          </cell>
        </row>
        <row r="54901">
          <cell r="O54901" t="str">
            <v/>
          </cell>
        </row>
        <row r="54902">
          <cell r="O54902" t="str">
            <v/>
          </cell>
        </row>
        <row r="54903">
          <cell r="O54903" t="str">
            <v/>
          </cell>
        </row>
        <row r="54904">
          <cell r="O54904" t="str">
            <v/>
          </cell>
        </row>
        <row r="54905">
          <cell r="O54905" t="str">
            <v/>
          </cell>
        </row>
        <row r="54906">
          <cell r="O54906" t="str">
            <v/>
          </cell>
        </row>
        <row r="54907">
          <cell r="O54907" t="str">
            <v/>
          </cell>
        </row>
        <row r="54908">
          <cell r="O54908" t="str">
            <v/>
          </cell>
        </row>
        <row r="54909">
          <cell r="O54909" t="str">
            <v/>
          </cell>
        </row>
        <row r="54910">
          <cell r="O54910" t="str">
            <v/>
          </cell>
        </row>
        <row r="54911">
          <cell r="O54911" t="str">
            <v/>
          </cell>
        </row>
        <row r="54912">
          <cell r="O54912" t="str">
            <v/>
          </cell>
        </row>
        <row r="54913">
          <cell r="O54913" t="str">
            <v/>
          </cell>
        </row>
        <row r="54914">
          <cell r="O54914" t="str">
            <v/>
          </cell>
        </row>
        <row r="54915">
          <cell r="O54915" t="str">
            <v/>
          </cell>
        </row>
        <row r="54916">
          <cell r="O54916" t="str">
            <v/>
          </cell>
        </row>
        <row r="54917">
          <cell r="O54917" t="str">
            <v/>
          </cell>
        </row>
        <row r="54918">
          <cell r="O54918" t="str">
            <v/>
          </cell>
        </row>
        <row r="54919">
          <cell r="O54919" t="str">
            <v/>
          </cell>
        </row>
        <row r="54920">
          <cell r="O54920" t="str">
            <v/>
          </cell>
        </row>
        <row r="54921">
          <cell r="O54921" t="str">
            <v/>
          </cell>
        </row>
        <row r="54922">
          <cell r="O54922" t="str">
            <v/>
          </cell>
        </row>
        <row r="54923">
          <cell r="O54923" t="str">
            <v/>
          </cell>
        </row>
        <row r="54924">
          <cell r="O54924" t="str">
            <v/>
          </cell>
        </row>
        <row r="54925">
          <cell r="O54925" t="str">
            <v/>
          </cell>
        </row>
        <row r="54926">
          <cell r="O54926" t="str">
            <v/>
          </cell>
        </row>
        <row r="54927">
          <cell r="O54927" t="str">
            <v/>
          </cell>
        </row>
        <row r="54928">
          <cell r="O54928" t="str">
            <v/>
          </cell>
        </row>
        <row r="54929">
          <cell r="O54929" t="str">
            <v/>
          </cell>
        </row>
        <row r="54930">
          <cell r="O54930" t="str">
            <v/>
          </cell>
        </row>
        <row r="54931">
          <cell r="O54931" t="str">
            <v/>
          </cell>
        </row>
        <row r="54932">
          <cell r="O54932" t="str">
            <v/>
          </cell>
        </row>
        <row r="54933">
          <cell r="O54933" t="str">
            <v/>
          </cell>
        </row>
        <row r="54934">
          <cell r="O54934" t="str">
            <v/>
          </cell>
        </row>
        <row r="54935">
          <cell r="O54935" t="str">
            <v/>
          </cell>
        </row>
        <row r="54936">
          <cell r="O54936" t="str">
            <v/>
          </cell>
        </row>
        <row r="54937">
          <cell r="O54937" t="str">
            <v/>
          </cell>
        </row>
        <row r="54938">
          <cell r="O54938" t="str">
            <v/>
          </cell>
        </row>
        <row r="54939">
          <cell r="O54939" t="str">
            <v/>
          </cell>
        </row>
        <row r="54940">
          <cell r="O54940" t="str">
            <v/>
          </cell>
        </row>
        <row r="54941">
          <cell r="O54941" t="str">
            <v/>
          </cell>
        </row>
        <row r="54942">
          <cell r="O54942" t="str">
            <v/>
          </cell>
        </row>
        <row r="54943">
          <cell r="O54943" t="str">
            <v/>
          </cell>
        </row>
        <row r="54944">
          <cell r="O54944" t="str">
            <v/>
          </cell>
        </row>
        <row r="54945">
          <cell r="O54945" t="str">
            <v/>
          </cell>
        </row>
        <row r="54946">
          <cell r="O54946" t="str">
            <v/>
          </cell>
        </row>
        <row r="54947">
          <cell r="O54947" t="str">
            <v/>
          </cell>
        </row>
        <row r="54948">
          <cell r="O54948" t="str">
            <v/>
          </cell>
        </row>
        <row r="54949">
          <cell r="O54949" t="str">
            <v/>
          </cell>
        </row>
        <row r="54950">
          <cell r="O54950" t="str">
            <v/>
          </cell>
        </row>
        <row r="54951">
          <cell r="O54951" t="str">
            <v/>
          </cell>
        </row>
        <row r="54952">
          <cell r="O54952" t="str">
            <v/>
          </cell>
        </row>
        <row r="54953">
          <cell r="O54953" t="str">
            <v/>
          </cell>
        </row>
        <row r="54954">
          <cell r="O54954" t="str">
            <v/>
          </cell>
        </row>
        <row r="54955">
          <cell r="O54955" t="str">
            <v/>
          </cell>
        </row>
        <row r="54956">
          <cell r="O54956" t="str">
            <v/>
          </cell>
        </row>
        <row r="54957">
          <cell r="O54957" t="str">
            <v/>
          </cell>
        </row>
        <row r="54958">
          <cell r="O54958" t="str">
            <v/>
          </cell>
        </row>
        <row r="54959">
          <cell r="O54959" t="str">
            <v/>
          </cell>
        </row>
        <row r="54960">
          <cell r="O54960" t="str">
            <v/>
          </cell>
        </row>
        <row r="54961">
          <cell r="O54961" t="str">
            <v/>
          </cell>
        </row>
        <row r="54962">
          <cell r="O54962" t="str">
            <v/>
          </cell>
        </row>
        <row r="54963">
          <cell r="O54963" t="str">
            <v/>
          </cell>
        </row>
        <row r="54964">
          <cell r="O54964" t="str">
            <v/>
          </cell>
        </row>
        <row r="54965">
          <cell r="O54965" t="str">
            <v/>
          </cell>
        </row>
        <row r="54966">
          <cell r="O54966" t="str">
            <v/>
          </cell>
        </row>
        <row r="54967">
          <cell r="O54967" t="str">
            <v/>
          </cell>
        </row>
        <row r="54968">
          <cell r="O54968" t="str">
            <v/>
          </cell>
        </row>
        <row r="54969">
          <cell r="O54969" t="str">
            <v/>
          </cell>
        </row>
        <row r="54970">
          <cell r="O54970" t="str">
            <v/>
          </cell>
        </row>
        <row r="54971">
          <cell r="O54971" t="str">
            <v/>
          </cell>
        </row>
        <row r="54972">
          <cell r="O54972" t="str">
            <v/>
          </cell>
        </row>
        <row r="54973">
          <cell r="O54973" t="str">
            <v/>
          </cell>
        </row>
        <row r="54974">
          <cell r="O54974" t="str">
            <v/>
          </cell>
        </row>
        <row r="54975">
          <cell r="O54975" t="str">
            <v/>
          </cell>
        </row>
        <row r="54976">
          <cell r="O54976" t="str">
            <v/>
          </cell>
        </row>
        <row r="54977">
          <cell r="O54977" t="str">
            <v/>
          </cell>
        </row>
        <row r="54978">
          <cell r="O54978" t="str">
            <v/>
          </cell>
        </row>
        <row r="54979">
          <cell r="O54979" t="str">
            <v/>
          </cell>
        </row>
        <row r="54980">
          <cell r="O54980" t="str">
            <v/>
          </cell>
        </row>
        <row r="54981">
          <cell r="O54981" t="str">
            <v/>
          </cell>
        </row>
        <row r="54982">
          <cell r="O54982" t="str">
            <v/>
          </cell>
        </row>
        <row r="54983">
          <cell r="O54983" t="str">
            <v/>
          </cell>
        </row>
        <row r="54984">
          <cell r="O54984" t="str">
            <v/>
          </cell>
        </row>
        <row r="54985">
          <cell r="O54985" t="str">
            <v/>
          </cell>
        </row>
        <row r="54986">
          <cell r="O54986" t="str">
            <v/>
          </cell>
        </row>
        <row r="54987">
          <cell r="O54987" t="str">
            <v/>
          </cell>
        </row>
        <row r="54988">
          <cell r="O54988" t="str">
            <v/>
          </cell>
        </row>
        <row r="54989">
          <cell r="O54989" t="str">
            <v/>
          </cell>
        </row>
        <row r="54990">
          <cell r="O54990" t="str">
            <v/>
          </cell>
        </row>
        <row r="54991">
          <cell r="O54991" t="str">
            <v/>
          </cell>
        </row>
        <row r="54992">
          <cell r="O54992" t="str">
            <v/>
          </cell>
        </row>
        <row r="54993">
          <cell r="O54993" t="str">
            <v/>
          </cell>
        </row>
        <row r="54994">
          <cell r="O54994" t="str">
            <v/>
          </cell>
        </row>
        <row r="54995">
          <cell r="O54995" t="str">
            <v/>
          </cell>
        </row>
        <row r="54996">
          <cell r="O54996" t="str">
            <v/>
          </cell>
        </row>
        <row r="54997">
          <cell r="O54997" t="str">
            <v/>
          </cell>
        </row>
        <row r="54998">
          <cell r="O54998" t="str">
            <v/>
          </cell>
        </row>
        <row r="54999">
          <cell r="O54999" t="str">
            <v/>
          </cell>
        </row>
        <row r="55000">
          <cell r="O55000" t="str">
            <v/>
          </cell>
        </row>
        <row r="55001">
          <cell r="O55001" t="str">
            <v/>
          </cell>
        </row>
        <row r="55002">
          <cell r="O55002" t="str">
            <v/>
          </cell>
        </row>
        <row r="55003">
          <cell r="O55003" t="str">
            <v/>
          </cell>
        </row>
        <row r="55004">
          <cell r="O55004" t="str">
            <v/>
          </cell>
        </row>
        <row r="55005">
          <cell r="O55005" t="str">
            <v/>
          </cell>
        </row>
        <row r="55006">
          <cell r="O55006" t="str">
            <v/>
          </cell>
        </row>
        <row r="55007">
          <cell r="O55007" t="str">
            <v/>
          </cell>
        </row>
        <row r="55008">
          <cell r="O55008" t="str">
            <v/>
          </cell>
        </row>
        <row r="55009">
          <cell r="O55009" t="str">
            <v/>
          </cell>
        </row>
        <row r="55010">
          <cell r="O55010" t="str">
            <v/>
          </cell>
        </row>
        <row r="55011">
          <cell r="O55011" t="str">
            <v/>
          </cell>
        </row>
        <row r="55012">
          <cell r="O55012" t="str">
            <v/>
          </cell>
        </row>
        <row r="55013">
          <cell r="O55013" t="str">
            <v/>
          </cell>
        </row>
        <row r="55014">
          <cell r="O55014" t="str">
            <v/>
          </cell>
        </row>
        <row r="55015">
          <cell r="O55015" t="str">
            <v/>
          </cell>
        </row>
        <row r="55016">
          <cell r="O55016" t="str">
            <v/>
          </cell>
        </row>
        <row r="55017">
          <cell r="O55017" t="str">
            <v/>
          </cell>
        </row>
        <row r="55018">
          <cell r="O55018" t="str">
            <v/>
          </cell>
        </row>
        <row r="55019">
          <cell r="O55019" t="str">
            <v/>
          </cell>
        </row>
        <row r="55020">
          <cell r="O55020" t="str">
            <v/>
          </cell>
        </row>
        <row r="55021">
          <cell r="O55021" t="str">
            <v/>
          </cell>
        </row>
        <row r="55022">
          <cell r="O55022" t="str">
            <v/>
          </cell>
        </row>
        <row r="55023">
          <cell r="O55023" t="str">
            <v/>
          </cell>
        </row>
        <row r="55024">
          <cell r="O55024" t="str">
            <v/>
          </cell>
        </row>
        <row r="55025">
          <cell r="O55025" t="str">
            <v/>
          </cell>
        </row>
        <row r="55026">
          <cell r="O55026" t="str">
            <v/>
          </cell>
        </row>
        <row r="55027">
          <cell r="O55027" t="str">
            <v/>
          </cell>
        </row>
        <row r="55028">
          <cell r="O55028" t="str">
            <v/>
          </cell>
        </row>
        <row r="55029">
          <cell r="O55029" t="str">
            <v/>
          </cell>
        </row>
        <row r="55030">
          <cell r="O55030" t="str">
            <v/>
          </cell>
        </row>
        <row r="55031">
          <cell r="O55031" t="str">
            <v/>
          </cell>
        </row>
        <row r="55032">
          <cell r="O55032" t="str">
            <v/>
          </cell>
        </row>
        <row r="55033">
          <cell r="O55033" t="str">
            <v/>
          </cell>
        </row>
        <row r="55034">
          <cell r="O55034" t="str">
            <v/>
          </cell>
        </row>
        <row r="55035">
          <cell r="O55035" t="str">
            <v/>
          </cell>
        </row>
        <row r="55036">
          <cell r="O55036" t="str">
            <v/>
          </cell>
        </row>
        <row r="55037">
          <cell r="O55037" t="str">
            <v/>
          </cell>
        </row>
        <row r="55038">
          <cell r="O55038" t="str">
            <v/>
          </cell>
        </row>
        <row r="55039">
          <cell r="O55039" t="str">
            <v/>
          </cell>
        </row>
        <row r="55040">
          <cell r="O55040" t="str">
            <v/>
          </cell>
        </row>
        <row r="55041">
          <cell r="O55041" t="str">
            <v/>
          </cell>
        </row>
        <row r="55042">
          <cell r="O55042" t="str">
            <v/>
          </cell>
        </row>
        <row r="55043">
          <cell r="O55043" t="str">
            <v/>
          </cell>
        </row>
        <row r="55044">
          <cell r="O55044" t="str">
            <v/>
          </cell>
        </row>
        <row r="55045">
          <cell r="O55045" t="str">
            <v/>
          </cell>
        </row>
        <row r="55046">
          <cell r="O55046" t="str">
            <v/>
          </cell>
        </row>
        <row r="55047">
          <cell r="O55047" t="str">
            <v/>
          </cell>
        </row>
        <row r="55048">
          <cell r="O55048" t="str">
            <v/>
          </cell>
        </row>
        <row r="55049">
          <cell r="O55049" t="str">
            <v/>
          </cell>
        </row>
        <row r="55050">
          <cell r="O55050" t="str">
            <v/>
          </cell>
        </row>
        <row r="55051">
          <cell r="O55051" t="str">
            <v/>
          </cell>
        </row>
        <row r="55052">
          <cell r="O55052" t="str">
            <v/>
          </cell>
        </row>
        <row r="55053">
          <cell r="O55053" t="str">
            <v/>
          </cell>
        </row>
        <row r="55054">
          <cell r="O55054" t="str">
            <v/>
          </cell>
        </row>
        <row r="55055">
          <cell r="O55055" t="str">
            <v/>
          </cell>
        </row>
        <row r="55056">
          <cell r="O55056" t="str">
            <v/>
          </cell>
        </row>
        <row r="55057">
          <cell r="O55057" t="str">
            <v/>
          </cell>
        </row>
        <row r="55058">
          <cell r="O55058" t="str">
            <v/>
          </cell>
        </row>
        <row r="55059">
          <cell r="O55059" t="str">
            <v/>
          </cell>
        </row>
        <row r="55060">
          <cell r="O55060" t="str">
            <v/>
          </cell>
        </row>
        <row r="55061">
          <cell r="O55061" t="str">
            <v/>
          </cell>
        </row>
        <row r="55062">
          <cell r="O55062" t="str">
            <v/>
          </cell>
        </row>
        <row r="55063">
          <cell r="O55063" t="str">
            <v/>
          </cell>
        </row>
        <row r="55064">
          <cell r="O55064" t="str">
            <v/>
          </cell>
        </row>
        <row r="55065">
          <cell r="O55065" t="str">
            <v/>
          </cell>
        </row>
        <row r="55066">
          <cell r="O55066" t="str">
            <v/>
          </cell>
        </row>
        <row r="55067">
          <cell r="O55067" t="str">
            <v/>
          </cell>
        </row>
        <row r="55068">
          <cell r="O55068" t="str">
            <v/>
          </cell>
        </row>
        <row r="55069">
          <cell r="O55069" t="str">
            <v/>
          </cell>
        </row>
        <row r="55070">
          <cell r="O55070" t="str">
            <v/>
          </cell>
        </row>
        <row r="55071">
          <cell r="O55071" t="str">
            <v/>
          </cell>
        </row>
        <row r="55072">
          <cell r="O55072" t="str">
            <v/>
          </cell>
        </row>
        <row r="55073">
          <cell r="O55073" t="str">
            <v/>
          </cell>
        </row>
        <row r="55074">
          <cell r="O55074" t="str">
            <v/>
          </cell>
        </row>
        <row r="55075">
          <cell r="O55075" t="str">
            <v/>
          </cell>
        </row>
        <row r="55076">
          <cell r="O55076" t="str">
            <v/>
          </cell>
        </row>
        <row r="55077">
          <cell r="O55077" t="str">
            <v/>
          </cell>
        </row>
        <row r="55078">
          <cell r="O55078" t="str">
            <v/>
          </cell>
        </row>
        <row r="55079">
          <cell r="O55079" t="str">
            <v/>
          </cell>
        </row>
        <row r="55080">
          <cell r="O55080" t="str">
            <v/>
          </cell>
        </row>
        <row r="55081">
          <cell r="O55081" t="str">
            <v/>
          </cell>
        </row>
        <row r="55082">
          <cell r="O55082" t="str">
            <v/>
          </cell>
        </row>
        <row r="55083">
          <cell r="O55083" t="str">
            <v/>
          </cell>
        </row>
        <row r="55084">
          <cell r="O55084" t="str">
            <v/>
          </cell>
        </row>
        <row r="55085">
          <cell r="O55085" t="str">
            <v/>
          </cell>
        </row>
        <row r="55086">
          <cell r="O55086" t="str">
            <v/>
          </cell>
        </row>
        <row r="55087">
          <cell r="O55087" t="str">
            <v/>
          </cell>
        </row>
        <row r="55088">
          <cell r="O55088" t="str">
            <v/>
          </cell>
        </row>
        <row r="55089">
          <cell r="O55089" t="str">
            <v/>
          </cell>
        </row>
        <row r="55090">
          <cell r="O55090" t="str">
            <v/>
          </cell>
        </row>
        <row r="55091">
          <cell r="O55091" t="str">
            <v/>
          </cell>
        </row>
        <row r="55092">
          <cell r="O55092" t="str">
            <v/>
          </cell>
        </row>
        <row r="55093">
          <cell r="O55093" t="str">
            <v/>
          </cell>
        </row>
        <row r="55094">
          <cell r="O55094" t="str">
            <v/>
          </cell>
        </row>
        <row r="55095">
          <cell r="O55095" t="str">
            <v/>
          </cell>
        </row>
        <row r="55096">
          <cell r="O55096" t="str">
            <v/>
          </cell>
        </row>
        <row r="55097">
          <cell r="O55097" t="str">
            <v/>
          </cell>
        </row>
        <row r="55098">
          <cell r="O55098" t="str">
            <v/>
          </cell>
        </row>
        <row r="55099">
          <cell r="O55099" t="str">
            <v/>
          </cell>
        </row>
        <row r="55100">
          <cell r="O55100" t="str">
            <v/>
          </cell>
        </row>
        <row r="55101">
          <cell r="O55101" t="str">
            <v/>
          </cell>
        </row>
        <row r="55102">
          <cell r="O55102" t="str">
            <v/>
          </cell>
        </row>
        <row r="55103">
          <cell r="O55103" t="str">
            <v/>
          </cell>
        </row>
        <row r="55104">
          <cell r="O55104" t="str">
            <v/>
          </cell>
        </row>
        <row r="55105">
          <cell r="O55105" t="str">
            <v/>
          </cell>
        </row>
        <row r="55106">
          <cell r="O55106" t="str">
            <v/>
          </cell>
        </row>
        <row r="55107">
          <cell r="O55107" t="str">
            <v/>
          </cell>
        </row>
        <row r="55108">
          <cell r="O55108" t="str">
            <v/>
          </cell>
        </row>
        <row r="55109">
          <cell r="O55109" t="str">
            <v/>
          </cell>
        </row>
        <row r="55110">
          <cell r="O55110" t="str">
            <v/>
          </cell>
        </row>
        <row r="55111">
          <cell r="O55111" t="str">
            <v/>
          </cell>
        </row>
        <row r="55112">
          <cell r="O55112" t="str">
            <v/>
          </cell>
        </row>
        <row r="55113">
          <cell r="O55113" t="str">
            <v/>
          </cell>
        </row>
        <row r="55114">
          <cell r="O55114" t="str">
            <v/>
          </cell>
        </row>
        <row r="55115">
          <cell r="O55115" t="str">
            <v/>
          </cell>
        </row>
        <row r="55116">
          <cell r="O55116" t="str">
            <v/>
          </cell>
        </row>
        <row r="55117">
          <cell r="O55117" t="str">
            <v/>
          </cell>
        </row>
        <row r="55118">
          <cell r="O55118" t="str">
            <v/>
          </cell>
        </row>
        <row r="55119">
          <cell r="O55119" t="str">
            <v/>
          </cell>
        </row>
        <row r="55120">
          <cell r="O55120" t="str">
            <v/>
          </cell>
        </row>
        <row r="55121">
          <cell r="O55121" t="str">
            <v/>
          </cell>
        </row>
        <row r="55122">
          <cell r="O55122" t="str">
            <v/>
          </cell>
        </row>
        <row r="55123">
          <cell r="O55123" t="str">
            <v/>
          </cell>
        </row>
        <row r="55124">
          <cell r="O55124" t="str">
            <v/>
          </cell>
        </row>
        <row r="55125">
          <cell r="O55125" t="str">
            <v/>
          </cell>
        </row>
        <row r="55126">
          <cell r="O55126" t="str">
            <v/>
          </cell>
        </row>
        <row r="55127">
          <cell r="O55127" t="str">
            <v/>
          </cell>
        </row>
        <row r="55128">
          <cell r="O55128" t="str">
            <v/>
          </cell>
        </row>
        <row r="55129">
          <cell r="O55129" t="str">
            <v/>
          </cell>
        </row>
        <row r="55130">
          <cell r="O55130" t="str">
            <v/>
          </cell>
        </row>
        <row r="55131">
          <cell r="O55131" t="str">
            <v/>
          </cell>
        </row>
        <row r="55132">
          <cell r="O55132" t="str">
            <v/>
          </cell>
        </row>
        <row r="55133">
          <cell r="O55133" t="str">
            <v/>
          </cell>
        </row>
        <row r="55134">
          <cell r="O55134" t="str">
            <v/>
          </cell>
        </row>
        <row r="55135">
          <cell r="O55135" t="str">
            <v/>
          </cell>
        </row>
        <row r="55136">
          <cell r="O55136" t="str">
            <v/>
          </cell>
        </row>
        <row r="55137">
          <cell r="O55137" t="str">
            <v/>
          </cell>
        </row>
        <row r="55138">
          <cell r="O55138" t="str">
            <v/>
          </cell>
        </row>
        <row r="55139">
          <cell r="O55139" t="str">
            <v/>
          </cell>
        </row>
        <row r="55140">
          <cell r="O55140" t="str">
            <v/>
          </cell>
        </row>
        <row r="55141">
          <cell r="O55141" t="str">
            <v/>
          </cell>
        </row>
        <row r="55142">
          <cell r="O55142" t="str">
            <v/>
          </cell>
        </row>
        <row r="55143">
          <cell r="O55143" t="str">
            <v/>
          </cell>
        </row>
        <row r="55144">
          <cell r="O55144" t="str">
            <v/>
          </cell>
        </row>
        <row r="55145">
          <cell r="O55145" t="str">
            <v/>
          </cell>
        </row>
        <row r="55146">
          <cell r="O55146" t="str">
            <v/>
          </cell>
        </row>
        <row r="55147">
          <cell r="O55147" t="str">
            <v/>
          </cell>
        </row>
        <row r="55148">
          <cell r="O55148" t="str">
            <v/>
          </cell>
        </row>
        <row r="55149">
          <cell r="O55149" t="str">
            <v/>
          </cell>
        </row>
        <row r="55150">
          <cell r="O55150" t="str">
            <v/>
          </cell>
        </row>
        <row r="55151">
          <cell r="O55151" t="str">
            <v/>
          </cell>
        </row>
        <row r="55152">
          <cell r="O55152" t="str">
            <v/>
          </cell>
        </row>
        <row r="55153">
          <cell r="O55153" t="str">
            <v/>
          </cell>
        </row>
        <row r="55154">
          <cell r="O55154" t="str">
            <v/>
          </cell>
        </row>
        <row r="55155">
          <cell r="O55155" t="str">
            <v/>
          </cell>
        </row>
        <row r="55156">
          <cell r="O55156" t="str">
            <v/>
          </cell>
        </row>
        <row r="55157">
          <cell r="O55157" t="str">
            <v/>
          </cell>
        </row>
        <row r="55158">
          <cell r="O55158" t="str">
            <v/>
          </cell>
        </row>
        <row r="55159">
          <cell r="O55159" t="str">
            <v/>
          </cell>
        </row>
        <row r="55160">
          <cell r="O55160" t="str">
            <v/>
          </cell>
        </row>
        <row r="55161">
          <cell r="O55161" t="str">
            <v/>
          </cell>
        </row>
        <row r="55162">
          <cell r="O55162" t="str">
            <v/>
          </cell>
        </row>
        <row r="55163">
          <cell r="O55163" t="str">
            <v/>
          </cell>
        </row>
        <row r="55164">
          <cell r="O55164" t="str">
            <v/>
          </cell>
        </row>
        <row r="55165">
          <cell r="O55165" t="str">
            <v/>
          </cell>
        </row>
        <row r="55166">
          <cell r="O55166" t="str">
            <v/>
          </cell>
        </row>
        <row r="55167">
          <cell r="O55167" t="str">
            <v/>
          </cell>
        </row>
        <row r="55168">
          <cell r="O55168" t="str">
            <v/>
          </cell>
        </row>
        <row r="55169">
          <cell r="O55169" t="str">
            <v/>
          </cell>
        </row>
        <row r="55170">
          <cell r="O55170" t="str">
            <v/>
          </cell>
        </row>
        <row r="55171">
          <cell r="O55171" t="str">
            <v/>
          </cell>
        </row>
        <row r="55172">
          <cell r="O55172" t="str">
            <v/>
          </cell>
        </row>
        <row r="55173">
          <cell r="O55173" t="str">
            <v/>
          </cell>
        </row>
        <row r="55174">
          <cell r="O55174" t="str">
            <v/>
          </cell>
        </row>
        <row r="55175">
          <cell r="O55175" t="str">
            <v/>
          </cell>
        </row>
        <row r="55176">
          <cell r="O55176" t="str">
            <v/>
          </cell>
        </row>
        <row r="55177">
          <cell r="O55177" t="str">
            <v/>
          </cell>
        </row>
        <row r="55178">
          <cell r="O55178" t="str">
            <v/>
          </cell>
        </row>
        <row r="55179">
          <cell r="O55179" t="str">
            <v/>
          </cell>
        </row>
        <row r="55180">
          <cell r="O55180" t="str">
            <v/>
          </cell>
        </row>
        <row r="55181">
          <cell r="O55181" t="str">
            <v/>
          </cell>
        </row>
        <row r="55182">
          <cell r="O55182" t="str">
            <v/>
          </cell>
        </row>
        <row r="55183">
          <cell r="O55183" t="str">
            <v/>
          </cell>
        </row>
        <row r="55184">
          <cell r="O55184" t="str">
            <v/>
          </cell>
        </row>
        <row r="55185">
          <cell r="O55185" t="str">
            <v/>
          </cell>
        </row>
        <row r="55186">
          <cell r="O55186" t="str">
            <v/>
          </cell>
        </row>
        <row r="55187">
          <cell r="O55187" t="str">
            <v/>
          </cell>
        </row>
        <row r="55188">
          <cell r="O55188" t="str">
            <v/>
          </cell>
        </row>
        <row r="55189">
          <cell r="O55189" t="str">
            <v/>
          </cell>
        </row>
        <row r="55190">
          <cell r="O55190" t="str">
            <v/>
          </cell>
        </row>
        <row r="55191">
          <cell r="O55191" t="str">
            <v/>
          </cell>
        </row>
        <row r="55192">
          <cell r="O55192" t="str">
            <v/>
          </cell>
        </row>
        <row r="55193">
          <cell r="O55193" t="str">
            <v/>
          </cell>
        </row>
        <row r="55194">
          <cell r="O55194" t="str">
            <v/>
          </cell>
        </row>
        <row r="55195">
          <cell r="O55195" t="str">
            <v/>
          </cell>
        </row>
        <row r="55196">
          <cell r="O55196" t="str">
            <v/>
          </cell>
        </row>
        <row r="55197">
          <cell r="O55197" t="str">
            <v/>
          </cell>
        </row>
        <row r="55198">
          <cell r="O55198" t="str">
            <v/>
          </cell>
        </row>
        <row r="55199">
          <cell r="O55199" t="str">
            <v/>
          </cell>
        </row>
        <row r="55200">
          <cell r="O55200" t="str">
            <v/>
          </cell>
        </row>
        <row r="55201">
          <cell r="O55201" t="str">
            <v/>
          </cell>
        </row>
        <row r="55202">
          <cell r="O55202" t="str">
            <v/>
          </cell>
        </row>
        <row r="55203">
          <cell r="O55203" t="str">
            <v/>
          </cell>
        </row>
        <row r="55204">
          <cell r="O55204" t="str">
            <v/>
          </cell>
        </row>
        <row r="55205">
          <cell r="O55205" t="str">
            <v/>
          </cell>
        </row>
        <row r="55206">
          <cell r="O55206" t="str">
            <v/>
          </cell>
        </row>
        <row r="55207">
          <cell r="O55207" t="str">
            <v/>
          </cell>
        </row>
        <row r="55208">
          <cell r="O55208" t="str">
            <v/>
          </cell>
        </row>
        <row r="55209">
          <cell r="O55209" t="str">
            <v/>
          </cell>
        </row>
        <row r="55210">
          <cell r="O55210" t="str">
            <v/>
          </cell>
        </row>
        <row r="55211">
          <cell r="O55211" t="str">
            <v/>
          </cell>
        </row>
        <row r="55212">
          <cell r="O55212" t="str">
            <v/>
          </cell>
        </row>
        <row r="55213">
          <cell r="O55213" t="str">
            <v/>
          </cell>
        </row>
        <row r="55214">
          <cell r="O55214" t="str">
            <v/>
          </cell>
        </row>
        <row r="55215">
          <cell r="O55215" t="str">
            <v/>
          </cell>
        </row>
        <row r="55216">
          <cell r="O55216" t="str">
            <v/>
          </cell>
        </row>
        <row r="55217">
          <cell r="O55217" t="str">
            <v/>
          </cell>
        </row>
        <row r="55218">
          <cell r="O55218" t="str">
            <v/>
          </cell>
        </row>
        <row r="55219">
          <cell r="O55219" t="str">
            <v/>
          </cell>
        </row>
        <row r="55220">
          <cell r="O55220" t="str">
            <v/>
          </cell>
        </row>
        <row r="55221">
          <cell r="O55221" t="str">
            <v/>
          </cell>
        </row>
        <row r="55222">
          <cell r="O55222" t="str">
            <v/>
          </cell>
        </row>
        <row r="55223">
          <cell r="O55223" t="str">
            <v/>
          </cell>
        </row>
        <row r="55224">
          <cell r="O55224" t="str">
            <v/>
          </cell>
        </row>
        <row r="55225">
          <cell r="O55225" t="str">
            <v/>
          </cell>
        </row>
        <row r="55226">
          <cell r="O55226" t="str">
            <v/>
          </cell>
        </row>
        <row r="55227">
          <cell r="O55227" t="str">
            <v/>
          </cell>
        </row>
        <row r="55228">
          <cell r="O55228" t="str">
            <v/>
          </cell>
        </row>
        <row r="55229">
          <cell r="O55229" t="str">
            <v/>
          </cell>
        </row>
        <row r="55230">
          <cell r="O55230" t="str">
            <v/>
          </cell>
        </row>
        <row r="55231">
          <cell r="O55231" t="str">
            <v/>
          </cell>
        </row>
        <row r="55232">
          <cell r="O55232" t="str">
            <v/>
          </cell>
        </row>
        <row r="55233">
          <cell r="O55233" t="str">
            <v/>
          </cell>
        </row>
        <row r="55234">
          <cell r="O55234" t="str">
            <v/>
          </cell>
        </row>
        <row r="55235">
          <cell r="O55235" t="str">
            <v/>
          </cell>
        </row>
        <row r="55236">
          <cell r="O55236" t="str">
            <v/>
          </cell>
        </row>
        <row r="55237">
          <cell r="O55237" t="str">
            <v/>
          </cell>
        </row>
        <row r="55238">
          <cell r="O55238" t="str">
            <v/>
          </cell>
        </row>
        <row r="55239">
          <cell r="O55239" t="str">
            <v/>
          </cell>
        </row>
        <row r="55240">
          <cell r="O55240" t="str">
            <v/>
          </cell>
        </row>
        <row r="55241">
          <cell r="O55241" t="str">
            <v/>
          </cell>
        </row>
        <row r="55242">
          <cell r="O55242" t="str">
            <v/>
          </cell>
        </row>
        <row r="55243">
          <cell r="O55243" t="str">
            <v/>
          </cell>
        </row>
        <row r="55244">
          <cell r="O55244" t="str">
            <v/>
          </cell>
        </row>
        <row r="55245">
          <cell r="O55245" t="str">
            <v/>
          </cell>
        </row>
        <row r="55246">
          <cell r="O55246" t="str">
            <v/>
          </cell>
        </row>
        <row r="55247">
          <cell r="O55247" t="str">
            <v/>
          </cell>
        </row>
        <row r="55248">
          <cell r="O55248" t="str">
            <v/>
          </cell>
        </row>
        <row r="55249">
          <cell r="O55249" t="str">
            <v/>
          </cell>
        </row>
        <row r="55250">
          <cell r="O55250" t="str">
            <v/>
          </cell>
        </row>
        <row r="55251">
          <cell r="O55251" t="str">
            <v/>
          </cell>
        </row>
        <row r="55252">
          <cell r="O55252" t="str">
            <v/>
          </cell>
        </row>
        <row r="55253">
          <cell r="O55253" t="str">
            <v/>
          </cell>
        </row>
        <row r="55254">
          <cell r="O55254" t="str">
            <v/>
          </cell>
        </row>
        <row r="55255">
          <cell r="O55255" t="str">
            <v/>
          </cell>
        </row>
        <row r="55256">
          <cell r="O55256" t="str">
            <v/>
          </cell>
        </row>
        <row r="55257">
          <cell r="O55257" t="str">
            <v/>
          </cell>
        </row>
        <row r="55258">
          <cell r="O55258" t="str">
            <v/>
          </cell>
        </row>
        <row r="55259">
          <cell r="O55259" t="str">
            <v/>
          </cell>
        </row>
        <row r="55260">
          <cell r="O55260" t="str">
            <v/>
          </cell>
        </row>
        <row r="55261">
          <cell r="O55261" t="str">
            <v/>
          </cell>
        </row>
        <row r="55262">
          <cell r="O55262" t="str">
            <v/>
          </cell>
        </row>
        <row r="55263">
          <cell r="O55263" t="str">
            <v/>
          </cell>
        </row>
        <row r="55264">
          <cell r="O55264" t="str">
            <v/>
          </cell>
        </row>
        <row r="55265">
          <cell r="O55265" t="str">
            <v/>
          </cell>
        </row>
        <row r="55266">
          <cell r="O55266" t="str">
            <v/>
          </cell>
        </row>
        <row r="55267">
          <cell r="O55267" t="str">
            <v/>
          </cell>
        </row>
        <row r="55268">
          <cell r="O55268" t="str">
            <v/>
          </cell>
        </row>
        <row r="55269">
          <cell r="O55269" t="str">
            <v/>
          </cell>
        </row>
        <row r="55270">
          <cell r="O55270" t="str">
            <v/>
          </cell>
        </row>
        <row r="55271">
          <cell r="O55271" t="str">
            <v/>
          </cell>
        </row>
        <row r="55272">
          <cell r="O55272" t="str">
            <v/>
          </cell>
        </row>
        <row r="55273">
          <cell r="O55273" t="str">
            <v/>
          </cell>
        </row>
        <row r="55274">
          <cell r="O55274" t="str">
            <v/>
          </cell>
        </row>
        <row r="55275">
          <cell r="O55275" t="str">
            <v/>
          </cell>
        </row>
        <row r="55276">
          <cell r="O55276" t="str">
            <v/>
          </cell>
        </row>
        <row r="55277">
          <cell r="O55277" t="str">
            <v/>
          </cell>
        </row>
        <row r="55278">
          <cell r="O55278" t="str">
            <v/>
          </cell>
        </row>
        <row r="55279">
          <cell r="O55279" t="str">
            <v/>
          </cell>
        </row>
        <row r="55280">
          <cell r="O55280" t="str">
            <v/>
          </cell>
        </row>
        <row r="55281">
          <cell r="O55281" t="str">
            <v/>
          </cell>
        </row>
        <row r="55282">
          <cell r="O55282" t="str">
            <v/>
          </cell>
        </row>
        <row r="55283">
          <cell r="O55283" t="str">
            <v/>
          </cell>
        </row>
        <row r="55284">
          <cell r="O55284" t="str">
            <v/>
          </cell>
        </row>
        <row r="55285">
          <cell r="O55285" t="str">
            <v/>
          </cell>
        </row>
        <row r="55286">
          <cell r="O55286" t="str">
            <v/>
          </cell>
        </row>
        <row r="55287">
          <cell r="O55287" t="str">
            <v/>
          </cell>
        </row>
        <row r="55288">
          <cell r="O55288" t="str">
            <v/>
          </cell>
        </row>
        <row r="55289">
          <cell r="O55289" t="str">
            <v/>
          </cell>
        </row>
        <row r="55290">
          <cell r="O55290" t="str">
            <v/>
          </cell>
        </row>
        <row r="55291">
          <cell r="O55291" t="str">
            <v/>
          </cell>
        </row>
        <row r="55292">
          <cell r="O55292" t="str">
            <v/>
          </cell>
        </row>
        <row r="55293">
          <cell r="O55293" t="str">
            <v/>
          </cell>
        </row>
        <row r="55294">
          <cell r="O55294" t="str">
            <v/>
          </cell>
        </row>
        <row r="55295">
          <cell r="O55295" t="str">
            <v/>
          </cell>
        </row>
        <row r="55296">
          <cell r="O55296" t="str">
            <v/>
          </cell>
        </row>
        <row r="55297">
          <cell r="O55297" t="str">
            <v/>
          </cell>
        </row>
        <row r="55298">
          <cell r="O55298" t="str">
            <v/>
          </cell>
        </row>
        <row r="55299">
          <cell r="O55299" t="str">
            <v/>
          </cell>
        </row>
        <row r="55300">
          <cell r="O55300" t="str">
            <v/>
          </cell>
        </row>
        <row r="55301">
          <cell r="O55301" t="str">
            <v/>
          </cell>
        </row>
        <row r="55302">
          <cell r="O55302" t="str">
            <v/>
          </cell>
        </row>
        <row r="55303">
          <cell r="O55303" t="str">
            <v/>
          </cell>
        </row>
        <row r="55304">
          <cell r="O55304" t="str">
            <v/>
          </cell>
        </row>
        <row r="55305">
          <cell r="O55305" t="str">
            <v/>
          </cell>
        </row>
        <row r="55306">
          <cell r="O55306" t="str">
            <v/>
          </cell>
        </row>
        <row r="55307">
          <cell r="O55307" t="str">
            <v/>
          </cell>
        </row>
        <row r="55308">
          <cell r="O55308" t="str">
            <v/>
          </cell>
        </row>
        <row r="55309">
          <cell r="O55309" t="str">
            <v/>
          </cell>
        </row>
        <row r="55310">
          <cell r="O55310" t="str">
            <v/>
          </cell>
        </row>
        <row r="55311">
          <cell r="O55311" t="str">
            <v/>
          </cell>
        </row>
        <row r="55312">
          <cell r="O55312" t="str">
            <v/>
          </cell>
        </row>
        <row r="55313">
          <cell r="O55313" t="str">
            <v/>
          </cell>
        </row>
        <row r="55314">
          <cell r="O55314" t="str">
            <v/>
          </cell>
        </row>
        <row r="55315">
          <cell r="O55315" t="str">
            <v/>
          </cell>
        </row>
        <row r="55316">
          <cell r="O55316" t="str">
            <v/>
          </cell>
        </row>
        <row r="55317">
          <cell r="O55317" t="str">
            <v/>
          </cell>
        </row>
        <row r="55318">
          <cell r="O55318" t="str">
            <v/>
          </cell>
        </row>
        <row r="55319">
          <cell r="O55319" t="str">
            <v/>
          </cell>
        </row>
        <row r="55320">
          <cell r="O55320" t="str">
            <v/>
          </cell>
        </row>
        <row r="55321">
          <cell r="O55321" t="str">
            <v/>
          </cell>
        </row>
        <row r="55322">
          <cell r="O55322" t="str">
            <v/>
          </cell>
        </row>
        <row r="55323">
          <cell r="O55323" t="str">
            <v/>
          </cell>
        </row>
        <row r="55324">
          <cell r="O55324" t="str">
            <v/>
          </cell>
        </row>
        <row r="55325">
          <cell r="O55325" t="str">
            <v/>
          </cell>
        </row>
        <row r="55326">
          <cell r="O55326" t="str">
            <v/>
          </cell>
        </row>
        <row r="55327">
          <cell r="O55327" t="str">
            <v/>
          </cell>
        </row>
        <row r="55328">
          <cell r="O55328" t="str">
            <v/>
          </cell>
        </row>
        <row r="55329">
          <cell r="O55329" t="str">
            <v/>
          </cell>
        </row>
        <row r="55330">
          <cell r="O55330" t="str">
            <v/>
          </cell>
        </row>
        <row r="55331">
          <cell r="O55331" t="str">
            <v/>
          </cell>
        </row>
        <row r="55332">
          <cell r="O55332" t="str">
            <v/>
          </cell>
        </row>
        <row r="55333">
          <cell r="O55333" t="str">
            <v/>
          </cell>
        </row>
        <row r="55334">
          <cell r="O55334" t="str">
            <v/>
          </cell>
        </row>
        <row r="55335">
          <cell r="O55335" t="str">
            <v/>
          </cell>
        </row>
        <row r="55336">
          <cell r="O55336" t="str">
            <v/>
          </cell>
        </row>
        <row r="55337">
          <cell r="O55337" t="str">
            <v/>
          </cell>
        </row>
        <row r="55338">
          <cell r="O55338" t="str">
            <v/>
          </cell>
        </row>
        <row r="55339">
          <cell r="O55339" t="str">
            <v/>
          </cell>
        </row>
        <row r="55340">
          <cell r="O55340" t="str">
            <v/>
          </cell>
        </row>
        <row r="55341">
          <cell r="O55341" t="str">
            <v/>
          </cell>
        </row>
        <row r="55342">
          <cell r="O55342" t="str">
            <v/>
          </cell>
        </row>
        <row r="55343">
          <cell r="O55343" t="str">
            <v/>
          </cell>
        </row>
        <row r="55344">
          <cell r="O55344" t="str">
            <v/>
          </cell>
        </row>
        <row r="55345">
          <cell r="O55345" t="str">
            <v/>
          </cell>
        </row>
        <row r="55346">
          <cell r="O55346" t="str">
            <v/>
          </cell>
        </row>
        <row r="55347">
          <cell r="O55347" t="str">
            <v/>
          </cell>
        </row>
        <row r="55348">
          <cell r="O55348" t="str">
            <v/>
          </cell>
        </row>
        <row r="55349">
          <cell r="O55349" t="str">
            <v/>
          </cell>
        </row>
        <row r="55350">
          <cell r="O55350" t="str">
            <v/>
          </cell>
        </row>
        <row r="55351">
          <cell r="O55351" t="str">
            <v/>
          </cell>
        </row>
        <row r="55352">
          <cell r="O55352" t="str">
            <v/>
          </cell>
        </row>
        <row r="55353">
          <cell r="O55353" t="str">
            <v/>
          </cell>
        </row>
        <row r="55354">
          <cell r="O55354" t="str">
            <v/>
          </cell>
        </row>
        <row r="55355">
          <cell r="O55355" t="str">
            <v/>
          </cell>
        </row>
        <row r="55356">
          <cell r="O55356" t="str">
            <v/>
          </cell>
        </row>
        <row r="55357">
          <cell r="O55357" t="str">
            <v/>
          </cell>
        </row>
        <row r="55358">
          <cell r="O55358" t="str">
            <v/>
          </cell>
        </row>
        <row r="55359">
          <cell r="O55359" t="str">
            <v/>
          </cell>
        </row>
        <row r="55360">
          <cell r="O55360" t="str">
            <v/>
          </cell>
        </row>
        <row r="55361">
          <cell r="O55361" t="str">
            <v/>
          </cell>
        </row>
        <row r="55362">
          <cell r="O55362" t="str">
            <v/>
          </cell>
        </row>
        <row r="55363">
          <cell r="O55363" t="str">
            <v/>
          </cell>
        </row>
        <row r="55364">
          <cell r="O55364" t="str">
            <v/>
          </cell>
        </row>
        <row r="55365">
          <cell r="O55365" t="str">
            <v/>
          </cell>
        </row>
        <row r="55366">
          <cell r="O55366" t="str">
            <v/>
          </cell>
        </row>
        <row r="55367">
          <cell r="O55367" t="str">
            <v/>
          </cell>
        </row>
        <row r="55368">
          <cell r="O55368" t="str">
            <v/>
          </cell>
        </row>
        <row r="55369">
          <cell r="O55369" t="str">
            <v/>
          </cell>
        </row>
        <row r="55370">
          <cell r="O55370" t="str">
            <v/>
          </cell>
        </row>
        <row r="55371">
          <cell r="O55371" t="str">
            <v/>
          </cell>
        </row>
        <row r="55372">
          <cell r="O55372" t="str">
            <v/>
          </cell>
        </row>
        <row r="55373">
          <cell r="O55373" t="str">
            <v/>
          </cell>
        </row>
        <row r="55374">
          <cell r="O55374" t="str">
            <v/>
          </cell>
        </row>
        <row r="55375">
          <cell r="O55375" t="str">
            <v/>
          </cell>
        </row>
        <row r="55376">
          <cell r="O55376" t="str">
            <v/>
          </cell>
        </row>
        <row r="55377">
          <cell r="O55377" t="str">
            <v/>
          </cell>
        </row>
        <row r="55378">
          <cell r="O55378" t="str">
            <v/>
          </cell>
        </row>
        <row r="55379">
          <cell r="O55379" t="str">
            <v/>
          </cell>
        </row>
        <row r="55380">
          <cell r="O55380" t="str">
            <v/>
          </cell>
        </row>
        <row r="55381">
          <cell r="O55381" t="str">
            <v/>
          </cell>
        </row>
        <row r="55382">
          <cell r="O55382" t="str">
            <v/>
          </cell>
        </row>
        <row r="55383">
          <cell r="O55383" t="str">
            <v/>
          </cell>
        </row>
        <row r="55384">
          <cell r="O55384" t="str">
            <v/>
          </cell>
        </row>
        <row r="55385">
          <cell r="O55385" t="str">
            <v/>
          </cell>
        </row>
        <row r="55386">
          <cell r="O55386" t="str">
            <v/>
          </cell>
        </row>
        <row r="55387">
          <cell r="O55387" t="str">
            <v/>
          </cell>
        </row>
        <row r="55388">
          <cell r="O55388" t="str">
            <v/>
          </cell>
        </row>
        <row r="55389">
          <cell r="O55389" t="str">
            <v/>
          </cell>
        </row>
        <row r="55390">
          <cell r="O55390" t="str">
            <v/>
          </cell>
        </row>
        <row r="55391">
          <cell r="O55391" t="str">
            <v/>
          </cell>
        </row>
        <row r="55392">
          <cell r="O55392" t="str">
            <v/>
          </cell>
        </row>
        <row r="55393">
          <cell r="O55393" t="str">
            <v/>
          </cell>
        </row>
        <row r="55394">
          <cell r="O55394" t="str">
            <v/>
          </cell>
        </row>
        <row r="55395">
          <cell r="O55395" t="str">
            <v/>
          </cell>
        </row>
        <row r="55396">
          <cell r="O55396" t="str">
            <v/>
          </cell>
        </row>
        <row r="55397">
          <cell r="O55397" t="str">
            <v/>
          </cell>
        </row>
        <row r="55398">
          <cell r="O55398" t="str">
            <v/>
          </cell>
        </row>
        <row r="55399">
          <cell r="O55399" t="str">
            <v/>
          </cell>
        </row>
        <row r="55400">
          <cell r="O55400" t="str">
            <v/>
          </cell>
        </row>
        <row r="55401">
          <cell r="O55401" t="str">
            <v/>
          </cell>
        </row>
        <row r="55402">
          <cell r="O55402" t="str">
            <v/>
          </cell>
        </row>
        <row r="55403">
          <cell r="O55403" t="str">
            <v/>
          </cell>
        </row>
        <row r="55404">
          <cell r="O55404" t="str">
            <v/>
          </cell>
        </row>
        <row r="55405">
          <cell r="O55405" t="str">
            <v/>
          </cell>
        </row>
        <row r="55406">
          <cell r="O55406" t="str">
            <v/>
          </cell>
        </row>
        <row r="55407">
          <cell r="O55407" t="str">
            <v/>
          </cell>
        </row>
        <row r="55408">
          <cell r="O55408" t="str">
            <v/>
          </cell>
        </row>
        <row r="55409">
          <cell r="O55409" t="str">
            <v/>
          </cell>
        </row>
        <row r="55410">
          <cell r="O55410" t="str">
            <v/>
          </cell>
        </row>
        <row r="55411">
          <cell r="O55411" t="str">
            <v/>
          </cell>
        </row>
        <row r="55412">
          <cell r="O55412" t="str">
            <v/>
          </cell>
        </row>
        <row r="55413">
          <cell r="O55413" t="str">
            <v/>
          </cell>
        </row>
        <row r="55414">
          <cell r="O55414" t="str">
            <v/>
          </cell>
        </row>
        <row r="55415">
          <cell r="O55415" t="str">
            <v/>
          </cell>
        </row>
        <row r="55416">
          <cell r="O55416" t="str">
            <v/>
          </cell>
        </row>
        <row r="55417">
          <cell r="O55417" t="str">
            <v/>
          </cell>
        </row>
        <row r="55418">
          <cell r="O55418" t="str">
            <v/>
          </cell>
        </row>
        <row r="55419">
          <cell r="O55419" t="str">
            <v/>
          </cell>
        </row>
        <row r="55420">
          <cell r="O55420" t="str">
            <v/>
          </cell>
        </row>
        <row r="55421">
          <cell r="O55421" t="str">
            <v/>
          </cell>
        </row>
        <row r="55422">
          <cell r="O55422" t="str">
            <v/>
          </cell>
        </row>
        <row r="55423">
          <cell r="O55423" t="str">
            <v/>
          </cell>
        </row>
        <row r="55424">
          <cell r="O55424" t="str">
            <v/>
          </cell>
        </row>
        <row r="55425">
          <cell r="O55425" t="str">
            <v/>
          </cell>
        </row>
        <row r="55426">
          <cell r="O55426" t="str">
            <v/>
          </cell>
        </row>
        <row r="55427">
          <cell r="O55427" t="str">
            <v/>
          </cell>
        </row>
        <row r="55428">
          <cell r="O55428" t="str">
            <v/>
          </cell>
        </row>
        <row r="55429">
          <cell r="O55429" t="str">
            <v/>
          </cell>
        </row>
        <row r="55430">
          <cell r="O55430" t="str">
            <v/>
          </cell>
        </row>
        <row r="55431">
          <cell r="O55431" t="str">
            <v/>
          </cell>
        </row>
        <row r="55432">
          <cell r="O55432" t="str">
            <v/>
          </cell>
        </row>
        <row r="55433">
          <cell r="O55433" t="str">
            <v/>
          </cell>
        </row>
        <row r="55434">
          <cell r="O55434" t="str">
            <v/>
          </cell>
        </row>
        <row r="55435">
          <cell r="O55435" t="str">
            <v/>
          </cell>
        </row>
        <row r="55436">
          <cell r="O55436" t="str">
            <v/>
          </cell>
        </row>
        <row r="55437">
          <cell r="O55437" t="str">
            <v/>
          </cell>
        </row>
        <row r="55438">
          <cell r="O55438" t="str">
            <v/>
          </cell>
        </row>
        <row r="55439">
          <cell r="O55439" t="str">
            <v/>
          </cell>
        </row>
        <row r="55440">
          <cell r="O55440" t="str">
            <v/>
          </cell>
        </row>
        <row r="55441">
          <cell r="O55441" t="str">
            <v/>
          </cell>
        </row>
        <row r="55442">
          <cell r="O55442" t="str">
            <v/>
          </cell>
        </row>
        <row r="55443">
          <cell r="O55443" t="str">
            <v/>
          </cell>
        </row>
        <row r="55444">
          <cell r="O55444" t="str">
            <v/>
          </cell>
        </row>
        <row r="55445">
          <cell r="O55445" t="str">
            <v/>
          </cell>
        </row>
        <row r="55446">
          <cell r="O55446" t="str">
            <v/>
          </cell>
        </row>
        <row r="55447">
          <cell r="O55447" t="str">
            <v/>
          </cell>
        </row>
        <row r="55448">
          <cell r="O55448" t="str">
            <v/>
          </cell>
        </row>
        <row r="55449">
          <cell r="O55449" t="str">
            <v/>
          </cell>
        </row>
        <row r="55450">
          <cell r="O55450" t="str">
            <v/>
          </cell>
        </row>
        <row r="55451">
          <cell r="O55451" t="str">
            <v/>
          </cell>
        </row>
        <row r="55452">
          <cell r="O55452" t="str">
            <v/>
          </cell>
        </row>
        <row r="55453">
          <cell r="O55453" t="str">
            <v/>
          </cell>
        </row>
        <row r="55454">
          <cell r="O55454" t="str">
            <v/>
          </cell>
        </row>
        <row r="55455">
          <cell r="O55455" t="str">
            <v/>
          </cell>
        </row>
        <row r="55456">
          <cell r="O55456" t="str">
            <v/>
          </cell>
        </row>
        <row r="55457">
          <cell r="O55457" t="str">
            <v/>
          </cell>
        </row>
        <row r="55458">
          <cell r="O55458" t="str">
            <v/>
          </cell>
        </row>
        <row r="55459">
          <cell r="O55459" t="str">
            <v/>
          </cell>
        </row>
        <row r="55460">
          <cell r="O55460" t="str">
            <v/>
          </cell>
        </row>
        <row r="55461">
          <cell r="O55461" t="str">
            <v/>
          </cell>
        </row>
        <row r="55462">
          <cell r="O55462" t="str">
            <v/>
          </cell>
        </row>
        <row r="55463">
          <cell r="O55463" t="str">
            <v/>
          </cell>
        </row>
        <row r="55464">
          <cell r="O55464" t="str">
            <v/>
          </cell>
        </row>
        <row r="55465">
          <cell r="O55465" t="str">
            <v/>
          </cell>
        </row>
        <row r="55466">
          <cell r="O55466" t="str">
            <v/>
          </cell>
        </row>
        <row r="55467">
          <cell r="O55467" t="str">
            <v/>
          </cell>
        </row>
        <row r="55468">
          <cell r="O55468" t="str">
            <v/>
          </cell>
        </row>
        <row r="55469">
          <cell r="O55469" t="str">
            <v/>
          </cell>
        </row>
        <row r="55470">
          <cell r="O55470" t="str">
            <v/>
          </cell>
        </row>
        <row r="55471">
          <cell r="O55471" t="str">
            <v/>
          </cell>
        </row>
        <row r="55472">
          <cell r="O55472" t="str">
            <v/>
          </cell>
        </row>
        <row r="55473">
          <cell r="O55473" t="str">
            <v/>
          </cell>
        </row>
        <row r="55474">
          <cell r="O55474" t="str">
            <v/>
          </cell>
        </row>
        <row r="55475">
          <cell r="O55475" t="str">
            <v/>
          </cell>
        </row>
        <row r="55476">
          <cell r="O55476" t="str">
            <v/>
          </cell>
        </row>
        <row r="55477">
          <cell r="O55477" t="str">
            <v/>
          </cell>
        </row>
        <row r="55478">
          <cell r="O55478" t="str">
            <v/>
          </cell>
        </row>
        <row r="55479">
          <cell r="O55479" t="str">
            <v/>
          </cell>
        </row>
        <row r="55480">
          <cell r="O55480" t="str">
            <v/>
          </cell>
        </row>
        <row r="55481">
          <cell r="O55481" t="str">
            <v/>
          </cell>
        </row>
        <row r="55482">
          <cell r="O55482" t="str">
            <v/>
          </cell>
        </row>
        <row r="55483">
          <cell r="O55483" t="str">
            <v/>
          </cell>
        </row>
        <row r="55484">
          <cell r="O55484" t="str">
            <v/>
          </cell>
        </row>
        <row r="55485">
          <cell r="O55485" t="str">
            <v/>
          </cell>
        </row>
        <row r="55486">
          <cell r="O55486" t="str">
            <v/>
          </cell>
        </row>
        <row r="55487">
          <cell r="O55487" t="str">
            <v/>
          </cell>
        </row>
        <row r="55488">
          <cell r="O55488" t="str">
            <v/>
          </cell>
        </row>
        <row r="55489">
          <cell r="O55489" t="str">
            <v/>
          </cell>
        </row>
        <row r="55490">
          <cell r="O55490" t="str">
            <v/>
          </cell>
        </row>
        <row r="55491">
          <cell r="O55491" t="str">
            <v/>
          </cell>
        </row>
        <row r="55492">
          <cell r="O55492" t="str">
            <v/>
          </cell>
        </row>
        <row r="55493">
          <cell r="O55493" t="str">
            <v/>
          </cell>
        </row>
        <row r="55494">
          <cell r="O55494" t="str">
            <v/>
          </cell>
        </row>
        <row r="55495">
          <cell r="O55495" t="str">
            <v/>
          </cell>
        </row>
        <row r="55496">
          <cell r="O55496" t="str">
            <v/>
          </cell>
        </row>
        <row r="55497">
          <cell r="O55497" t="str">
            <v/>
          </cell>
        </row>
        <row r="55498">
          <cell r="O55498" t="str">
            <v/>
          </cell>
        </row>
        <row r="55499">
          <cell r="O55499" t="str">
            <v/>
          </cell>
        </row>
        <row r="55500">
          <cell r="O55500" t="str">
            <v/>
          </cell>
        </row>
        <row r="55501">
          <cell r="O55501" t="str">
            <v/>
          </cell>
        </row>
        <row r="55502">
          <cell r="O55502" t="str">
            <v/>
          </cell>
        </row>
        <row r="55503">
          <cell r="O55503" t="str">
            <v/>
          </cell>
        </row>
        <row r="55504">
          <cell r="O55504" t="str">
            <v/>
          </cell>
        </row>
        <row r="55505">
          <cell r="O55505" t="str">
            <v/>
          </cell>
        </row>
        <row r="55506">
          <cell r="O55506" t="str">
            <v/>
          </cell>
        </row>
        <row r="55507">
          <cell r="O55507" t="str">
            <v/>
          </cell>
        </row>
        <row r="55508">
          <cell r="O55508" t="str">
            <v/>
          </cell>
        </row>
        <row r="55509">
          <cell r="O55509" t="str">
            <v/>
          </cell>
        </row>
        <row r="55510">
          <cell r="O55510" t="str">
            <v/>
          </cell>
        </row>
        <row r="55511">
          <cell r="O55511" t="str">
            <v/>
          </cell>
        </row>
        <row r="55512">
          <cell r="O55512" t="str">
            <v/>
          </cell>
        </row>
        <row r="55513">
          <cell r="O55513" t="str">
            <v/>
          </cell>
        </row>
        <row r="55514">
          <cell r="O55514" t="str">
            <v/>
          </cell>
        </row>
        <row r="55515">
          <cell r="O55515" t="str">
            <v/>
          </cell>
        </row>
        <row r="55516">
          <cell r="O55516" t="str">
            <v/>
          </cell>
        </row>
        <row r="55517">
          <cell r="O55517" t="str">
            <v/>
          </cell>
        </row>
        <row r="55518">
          <cell r="O55518" t="str">
            <v/>
          </cell>
        </row>
        <row r="55519">
          <cell r="O55519" t="str">
            <v/>
          </cell>
        </row>
        <row r="55520">
          <cell r="O55520" t="str">
            <v/>
          </cell>
        </row>
        <row r="55521">
          <cell r="O55521" t="str">
            <v/>
          </cell>
        </row>
        <row r="55522">
          <cell r="O55522" t="str">
            <v/>
          </cell>
        </row>
        <row r="55523">
          <cell r="O55523" t="str">
            <v/>
          </cell>
        </row>
        <row r="55524">
          <cell r="O55524" t="str">
            <v/>
          </cell>
        </row>
        <row r="55525">
          <cell r="O55525" t="str">
            <v/>
          </cell>
        </row>
        <row r="55526">
          <cell r="O55526" t="str">
            <v/>
          </cell>
        </row>
        <row r="55527">
          <cell r="O55527" t="str">
            <v/>
          </cell>
        </row>
        <row r="55528">
          <cell r="O55528" t="str">
            <v/>
          </cell>
        </row>
        <row r="55529">
          <cell r="O55529" t="str">
            <v/>
          </cell>
        </row>
        <row r="55530">
          <cell r="O55530" t="str">
            <v/>
          </cell>
        </row>
        <row r="55531">
          <cell r="O55531" t="str">
            <v/>
          </cell>
        </row>
        <row r="55532">
          <cell r="O55532" t="str">
            <v/>
          </cell>
        </row>
        <row r="55533">
          <cell r="O55533" t="str">
            <v/>
          </cell>
        </row>
        <row r="55534">
          <cell r="O55534" t="str">
            <v/>
          </cell>
        </row>
        <row r="55535">
          <cell r="O55535" t="str">
            <v/>
          </cell>
        </row>
        <row r="55536">
          <cell r="O55536" t="str">
            <v/>
          </cell>
        </row>
        <row r="55537">
          <cell r="O55537" t="str">
            <v/>
          </cell>
        </row>
        <row r="55538">
          <cell r="O55538" t="str">
            <v/>
          </cell>
        </row>
        <row r="55539">
          <cell r="O55539" t="str">
            <v/>
          </cell>
        </row>
        <row r="55540">
          <cell r="O55540" t="str">
            <v/>
          </cell>
        </row>
        <row r="55541">
          <cell r="O55541" t="str">
            <v/>
          </cell>
        </row>
        <row r="55542">
          <cell r="O55542" t="str">
            <v/>
          </cell>
        </row>
        <row r="55543">
          <cell r="O55543" t="str">
            <v/>
          </cell>
        </row>
        <row r="55544">
          <cell r="O55544" t="str">
            <v/>
          </cell>
        </row>
        <row r="55545">
          <cell r="O55545" t="str">
            <v/>
          </cell>
        </row>
        <row r="55546">
          <cell r="O55546" t="str">
            <v/>
          </cell>
        </row>
        <row r="55547">
          <cell r="O55547" t="str">
            <v/>
          </cell>
        </row>
        <row r="55548">
          <cell r="O55548" t="str">
            <v/>
          </cell>
        </row>
        <row r="55549">
          <cell r="O55549" t="str">
            <v/>
          </cell>
        </row>
        <row r="55550">
          <cell r="O55550" t="str">
            <v/>
          </cell>
        </row>
        <row r="55551">
          <cell r="O55551" t="str">
            <v/>
          </cell>
        </row>
        <row r="55552">
          <cell r="O55552" t="str">
            <v/>
          </cell>
        </row>
        <row r="55553">
          <cell r="O55553" t="str">
            <v/>
          </cell>
        </row>
        <row r="55554">
          <cell r="O55554" t="str">
            <v/>
          </cell>
        </row>
        <row r="55555">
          <cell r="O55555" t="str">
            <v/>
          </cell>
        </row>
        <row r="55556">
          <cell r="O55556" t="str">
            <v/>
          </cell>
        </row>
        <row r="55557">
          <cell r="O55557" t="str">
            <v/>
          </cell>
        </row>
        <row r="55558">
          <cell r="O55558" t="str">
            <v/>
          </cell>
        </row>
        <row r="55559">
          <cell r="O55559" t="str">
            <v/>
          </cell>
        </row>
        <row r="55560">
          <cell r="O55560" t="str">
            <v/>
          </cell>
        </row>
        <row r="55561">
          <cell r="O55561" t="str">
            <v/>
          </cell>
        </row>
        <row r="55562">
          <cell r="O55562" t="str">
            <v/>
          </cell>
        </row>
        <row r="55563">
          <cell r="O55563" t="str">
            <v/>
          </cell>
        </row>
        <row r="55564">
          <cell r="O55564" t="str">
            <v/>
          </cell>
        </row>
        <row r="55565">
          <cell r="O55565" t="str">
            <v/>
          </cell>
        </row>
        <row r="55566">
          <cell r="O55566" t="str">
            <v/>
          </cell>
        </row>
        <row r="55567">
          <cell r="O55567" t="str">
            <v/>
          </cell>
        </row>
        <row r="55568">
          <cell r="O55568" t="str">
            <v/>
          </cell>
        </row>
        <row r="55569">
          <cell r="O55569" t="str">
            <v/>
          </cell>
        </row>
        <row r="55570">
          <cell r="O55570" t="str">
            <v/>
          </cell>
        </row>
        <row r="55571">
          <cell r="O55571" t="str">
            <v/>
          </cell>
        </row>
        <row r="55572">
          <cell r="O55572" t="str">
            <v/>
          </cell>
        </row>
        <row r="55573">
          <cell r="O55573" t="str">
            <v/>
          </cell>
        </row>
        <row r="55574">
          <cell r="O55574" t="str">
            <v/>
          </cell>
        </row>
        <row r="55575">
          <cell r="O55575" t="str">
            <v/>
          </cell>
        </row>
        <row r="55576">
          <cell r="O55576" t="str">
            <v/>
          </cell>
        </row>
        <row r="55577">
          <cell r="O55577" t="str">
            <v/>
          </cell>
        </row>
        <row r="55578">
          <cell r="O55578" t="str">
            <v/>
          </cell>
        </row>
        <row r="55579">
          <cell r="O55579" t="str">
            <v/>
          </cell>
        </row>
        <row r="55580">
          <cell r="O55580" t="str">
            <v/>
          </cell>
        </row>
        <row r="55581">
          <cell r="O55581" t="str">
            <v/>
          </cell>
        </row>
        <row r="55582">
          <cell r="O55582" t="str">
            <v/>
          </cell>
        </row>
        <row r="55583">
          <cell r="O55583" t="str">
            <v/>
          </cell>
        </row>
        <row r="55584">
          <cell r="O55584" t="str">
            <v/>
          </cell>
        </row>
        <row r="55585">
          <cell r="O55585" t="str">
            <v/>
          </cell>
        </row>
        <row r="55586">
          <cell r="O55586" t="str">
            <v/>
          </cell>
        </row>
        <row r="55587">
          <cell r="O55587" t="str">
            <v/>
          </cell>
        </row>
        <row r="55588">
          <cell r="O55588" t="str">
            <v/>
          </cell>
        </row>
        <row r="55589">
          <cell r="O55589" t="str">
            <v/>
          </cell>
        </row>
        <row r="55590">
          <cell r="O55590" t="str">
            <v/>
          </cell>
        </row>
        <row r="55591">
          <cell r="O55591" t="str">
            <v/>
          </cell>
        </row>
        <row r="55592">
          <cell r="O55592" t="str">
            <v/>
          </cell>
        </row>
        <row r="55593">
          <cell r="O55593" t="str">
            <v/>
          </cell>
        </row>
        <row r="55594">
          <cell r="O55594" t="str">
            <v/>
          </cell>
        </row>
        <row r="55595">
          <cell r="O55595" t="str">
            <v/>
          </cell>
        </row>
        <row r="55596">
          <cell r="O55596" t="str">
            <v/>
          </cell>
        </row>
        <row r="55597">
          <cell r="O55597" t="str">
            <v/>
          </cell>
        </row>
        <row r="55598">
          <cell r="O55598" t="str">
            <v/>
          </cell>
        </row>
        <row r="55599">
          <cell r="O55599" t="str">
            <v/>
          </cell>
        </row>
        <row r="55600">
          <cell r="O55600" t="str">
            <v/>
          </cell>
        </row>
        <row r="55601">
          <cell r="O55601" t="str">
            <v/>
          </cell>
        </row>
        <row r="55602">
          <cell r="O55602" t="str">
            <v/>
          </cell>
        </row>
        <row r="55603">
          <cell r="O55603" t="str">
            <v/>
          </cell>
        </row>
        <row r="55604">
          <cell r="O55604" t="str">
            <v/>
          </cell>
        </row>
        <row r="55605">
          <cell r="O55605" t="str">
            <v/>
          </cell>
        </row>
        <row r="55606">
          <cell r="O55606" t="str">
            <v/>
          </cell>
        </row>
        <row r="55607">
          <cell r="O55607" t="str">
            <v/>
          </cell>
        </row>
        <row r="55608">
          <cell r="O55608" t="str">
            <v/>
          </cell>
        </row>
        <row r="55609">
          <cell r="O55609" t="str">
            <v/>
          </cell>
        </row>
        <row r="55610">
          <cell r="O55610" t="str">
            <v/>
          </cell>
        </row>
        <row r="55611">
          <cell r="O55611" t="str">
            <v/>
          </cell>
        </row>
        <row r="55612">
          <cell r="O55612" t="str">
            <v/>
          </cell>
        </row>
        <row r="55613">
          <cell r="O55613" t="str">
            <v/>
          </cell>
        </row>
        <row r="55614">
          <cell r="O55614" t="str">
            <v/>
          </cell>
        </row>
        <row r="55615">
          <cell r="O55615" t="str">
            <v/>
          </cell>
        </row>
        <row r="55616">
          <cell r="O55616" t="str">
            <v/>
          </cell>
        </row>
        <row r="55617">
          <cell r="O55617" t="str">
            <v/>
          </cell>
        </row>
        <row r="55618">
          <cell r="O55618" t="str">
            <v/>
          </cell>
        </row>
        <row r="55619">
          <cell r="O55619" t="str">
            <v/>
          </cell>
        </row>
        <row r="55620">
          <cell r="O55620" t="str">
            <v/>
          </cell>
        </row>
        <row r="55621">
          <cell r="O55621" t="str">
            <v/>
          </cell>
        </row>
        <row r="55622">
          <cell r="O55622" t="str">
            <v/>
          </cell>
        </row>
        <row r="55623">
          <cell r="O55623" t="str">
            <v/>
          </cell>
        </row>
        <row r="55624">
          <cell r="O55624" t="str">
            <v/>
          </cell>
        </row>
        <row r="55625">
          <cell r="O55625" t="str">
            <v/>
          </cell>
        </row>
        <row r="55626">
          <cell r="O55626" t="str">
            <v/>
          </cell>
        </row>
        <row r="55627">
          <cell r="O55627" t="str">
            <v/>
          </cell>
        </row>
        <row r="55628">
          <cell r="O55628" t="str">
            <v/>
          </cell>
        </row>
        <row r="55629">
          <cell r="O55629" t="str">
            <v/>
          </cell>
        </row>
        <row r="55630">
          <cell r="O55630" t="str">
            <v/>
          </cell>
        </row>
        <row r="55631">
          <cell r="O55631" t="str">
            <v/>
          </cell>
        </row>
        <row r="55632">
          <cell r="O55632" t="str">
            <v/>
          </cell>
        </row>
        <row r="55633">
          <cell r="O55633" t="str">
            <v/>
          </cell>
        </row>
        <row r="55634">
          <cell r="O55634" t="str">
            <v/>
          </cell>
        </row>
        <row r="55635">
          <cell r="O55635" t="str">
            <v/>
          </cell>
        </row>
        <row r="55636">
          <cell r="O55636" t="str">
            <v/>
          </cell>
        </row>
        <row r="55637">
          <cell r="O55637" t="str">
            <v/>
          </cell>
        </row>
        <row r="55638">
          <cell r="O55638" t="str">
            <v/>
          </cell>
        </row>
        <row r="55639">
          <cell r="O55639" t="str">
            <v/>
          </cell>
        </row>
        <row r="55640">
          <cell r="O55640" t="str">
            <v/>
          </cell>
        </row>
        <row r="55641">
          <cell r="O55641" t="str">
            <v/>
          </cell>
        </row>
        <row r="55642">
          <cell r="O55642" t="str">
            <v/>
          </cell>
        </row>
        <row r="55643">
          <cell r="O55643" t="str">
            <v/>
          </cell>
        </row>
        <row r="55644">
          <cell r="O55644" t="str">
            <v/>
          </cell>
        </row>
        <row r="55645">
          <cell r="O55645" t="str">
            <v/>
          </cell>
        </row>
        <row r="55646">
          <cell r="O55646" t="str">
            <v/>
          </cell>
        </row>
        <row r="55647">
          <cell r="O55647" t="str">
            <v/>
          </cell>
        </row>
        <row r="55648">
          <cell r="O55648" t="str">
            <v/>
          </cell>
        </row>
        <row r="55649">
          <cell r="O55649" t="str">
            <v/>
          </cell>
        </row>
        <row r="55650">
          <cell r="O55650" t="str">
            <v/>
          </cell>
        </row>
        <row r="55651">
          <cell r="O55651" t="str">
            <v/>
          </cell>
        </row>
        <row r="55652">
          <cell r="O55652" t="str">
            <v/>
          </cell>
        </row>
        <row r="55653">
          <cell r="O55653" t="str">
            <v/>
          </cell>
        </row>
        <row r="55654">
          <cell r="O55654" t="str">
            <v/>
          </cell>
        </row>
        <row r="55655">
          <cell r="O55655" t="str">
            <v/>
          </cell>
        </row>
        <row r="55656">
          <cell r="O55656" t="str">
            <v/>
          </cell>
        </row>
        <row r="55657">
          <cell r="O55657" t="str">
            <v/>
          </cell>
        </row>
        <row r="55658">
          <cell r="O55658" t="str">
            <v/>
          </cell>
        </row>
        <row r="55659">
          <cell r="O55659" t="str">
            <v/>
          </cell>
        </row>
        <row r="55660">
          <cell r="O55660" t="str">
            <v/>
          </cell>
        </row>
        <row r="55661">
          <cell r="O55661" t="str">
            <v/>
          </cell>
        </row>
        <row r="55662">
          <cell r="O55662" t="str">
            <v/>
          </cell>
        </row>
        <row r="55663">
          <cell r="O55663" t="str">
            <v/>
          </cell>
        </row>
        <row r="55664">
          <cell r="O55664" t="str">
            <v/>
          </cell>
        </row>
        <row r="55665">
          <cell r="O55665" t="str">
            <v/>
          </cell>
        </row>
        <row r="55666">
          <cell r="O55666" t="str">
            <v/>
          </cell>
        </row>
        <row r="55667">
          <cell r="O55667" t="str">
            <v/>
          </cell>
        </row>
        <row r="55668">
          <cell r="O55668" t="str">
            <v/>
          </cell>
        </row>
        <row r="55669">
          <cell r="O55669" t="str">
            <v/>
          </cell>
        </row>
        <row r="55670">
          <cell r="O55670" t="str">
            <v/>
          </cell>
        </row>
        <row r="55671">
          <cell r="O55671" t="str">
            <v/>
          </cell>
        </row>
        <row r="55672">
          <cell r="O55672" t="str">
            <v/>
          </cell>
        </row>
        <row r="55673">
          <cell r="O55673" t="str">
            <v/>
          </cell>
        </row>
        <row r="55674">
          <cell r="O55674" t="str">
            <v/>
          </cell>
        </row>
        <row r="55675">
          <cell r="O55675" t="str">
            <v/>
          </cell>
        </row>
        <row r="55676">
          <cell r="O55676" t="str">
            <v/>
          </cell>
        </row>
        <row r="55677">
          <cell r="O55677" t="str">
            <v/>
          </cell>
        </row>
        <row r="55678">
          <cell r="O55678" t="str">
            <v/>
          </cell>
        </row>
        <row r="55679">
          <cell r="O55679" t="str">
            <v/>
          </cell>
        </row>
        <row r="55680">
          <cell r="O55680" t="str">
            <v/>
          </cell>
        </row>
        <row r="55681">
          <cell r="O55681" t="str">
            <v/>
          </cell>
        </row>
        <row r="55682">
          <cell r="O55682" t="str">
            <v/>
          </cell>
        </row>
        <row r="55683">
          <cell r="O55683" t="str">
            <v/>
          </cell>
        </row>
        <row r="55684">
          <cell r="O55684" t="str">
            <v/>
          </cell>
        </row>
        <row r="55685">
          <cell r="O55685" t="str">
            <v/>
          </cell>
        </row>
        <row r="55686">
          <cell r="O55686" t="str">
            <v/>
          </cell>
        </row>
        <row r="55687">
          <cell r="O55687" t="str">
            <v/>
          </cell>
        </row>
        <row r="55688">
          <cell r="O55688" t="str">
            <v/>
          </cell>
        </row>
        <row r="55689">
          <cell r="O55689" t="str">
            <v/>
          </cell>
        </row>
        <row r="55690">
          <cell r="O55690" t="str">
            <v/>
          </cell>
        </row>
        <row r="55691">
          <cell r="O55691" t="str">
            <v/>
          </cell>
        </row>
        <row r="55692">
          <cell r="O55692" t="str">
            <v/>
          </cell>
        </row>
        <row r="55693">
          <cell r="O55693" t="str">
            <v/>
          </cell>
        </row>
        <row r="55694">
          <cell r="O55694" t="str">
            <v/>
          </cell>
        </row>
        <row r="55695">
          <cell r="O55695" t="str">
            <v/>
          </cell>
        </row>
        <row r="55696">
          <cell r="O55696" t="str">
            <v/>
          </cell>
        </row>
        <row r="55697">
          <cell r="O55697" t="str">
            <v/>
          </cell>
        </row>
        <row r="55698">
          <cell r="O55698" t="str">
            <v/>
          </cell>
        </row>
        <row r="55699">
          <cell r="O55699" t="str">
            <v/>
          </cell>
        </row>
        <row r="55700">
          <cell r="O55700" t="str">
            <v/>
          </cell>
        </row>
        <row r="55701">
          <cell r="O55701" t="str">
            <v/>
          </cell>
        </row>
        <row r="55702">
          <cell r="O55702" t="str">
            <v/>
          </cell>
        </row>
        <row r="55703">
          <cell r="O55703" t="str">
            <v/>
          </cell>
        </row>
        <row r="55704">
          <cell r="O55704" t="str">
            <v/>
          </cell>
        </row>
        <row r="55705">
          <cell r="O55705" t="str">
            <v/>
          </cell>
        </row>
        <row r="55706">
          <cell r="O55706" t="str">
            <v/>
          </cell>
        </row>
        <row r="55707">
          <cell r="O55707" t="str">
            <v/>
          </cell>
        </row>
        <row r="55708">
          <cell r="O55708" t="str">
            <v/>
          </cell>
        </row>
        <row r="55709">
          <cell r="O55709" t="str">
            <v/>
          </cell>
        </row>
        <row r="55710">
          <cell r="O55710" t="str">
            <v/>
          </cell>
        </row>
        <row r="55711">
          <cell r="O55711" t="str">
            <v/>
          </cell>
        </row>
        <row r="55712">
          <cell r="O55712" t="str">
            <v/>
          </cell>
        </row>
        <row r="55713">
          <cell r="O55713" t="str">
            <v/>
          </cell>
        </row>
        <row r="55714">
          <cell r="O55714" t="str">
            <v/>
          </cell>
        </row>
        <row r="55715">
          <cell r="O55715" t="str">
            <v/>
          </cell>
        </row>
        <row r="55716">
          <cell r="O55716" t="str">
            <v/>
          </cell>
        </row>
        <row r="55717">
          <cell r="O55717" t="str">
            <v/>
          </cell>
        </row>
        <row r="55718">
          <cell r="O55718" t="str">
            <v/>
          </cell>
        </row>
        <row r="55719">
          <cell r="O55719" t="str">
            <v/>
          </cell>
        </row>
        <row r="55720">
          <cell r="O55720" t="str">
            <v/>
          </cell>
        </row>
        <row r="55721">
          <cell r="O55721" t="str">
            <v/>
          </cell>
        </row>
        <row r="55722">
          <cell r="O55722" t="str">
            <v/>
          </cell>
        </row>
        <row r="55723">
          <cell r="O55723" t="str">
            <v/>
          </cell>
        </row>
        <row r="55724">
          <cell r="O55724" t="str">
            <v/>
          </cell>
        </row>
        <row r="55725">
          <cell r="O55725" t="str">
            <v/>
          </cell>
        </row>
        <row r="55726">
          <cell r="O55726" t="str">
            <v/>
          </cell>
        </row>
        <row r="55727">
          <cell r="O55727" t="str">
            <v/>
          </cell>
        </row>
        <row r="55728">
          <cell r="O55728" t="str">
            <v/>
          </cell>
        </row>
        <row r="55729">
          <cell r="O55729" t="str">
            <v/>
          </cell>
        </row>
        <row r="55730">
          <cell r="O55730" t="str">
            <v/>
          </cell>
        </row>
        <row r="55731">
          <cell r="O55731" t="str">
            <v/>
          </cell>
        </row>
        <row r="55732">
          <cell r="O55732" t="str">
            <v/>
          </cell>
        </row>
        <row r="55733">
          <cell r="O55733" t="str">
            <v/>
          </cell>
        </row>
        <row r="55734">
          <cell r="O55734" t="str">
            <v/>
          </cell>
        </row>
        <row r="55735">
          <cell r="O55735" t="str">
            <v/>
          </cell>
        </row>
        <row r="55736">
          <cell r="O55736" t="str">
            <v/>
          </cell>
        </row>
        <row r="55737">
          <cell r="O55737" t="str">
            <v/>
          </cell>
        </row>
        <row r="55738">
          <cell r="O55738" t="str">
            <v/>
          </cell>
        </row>
        <row r="55739">
          <cell r="O55739" t="str">
            <v/>
          </cell>
        </row>
        <row r="55740">
          <cell r="O55740" t="str">
            <v/>
          </cell>
        </row>
        <row r="55741">
          <cell r="O55741" t="str">
            <v/>
          </cell>
        </row>
        <row r="55742">
          <cell r="O55742" t="str">
            <v/>
          </cell>
        </row>
        <row r="55743">
          <cell r="O55743" t="str">
            <v/>
          </cell>
        </row>
        <row r="55744">
          <cell r="O55744" t="str">
            <v/>
          </cell>
        </row>
        <row r="55745">
          <cell r="O55745" t="str">
            <v/>
          </cell>
        </row>
        <row r="55746">
          <cell r="O55746" t="str">
            <v/>
          </cell>
        </row>
        <row r="55747">
          <cell r="O55747" t="str">
            <v/>
          </cell>
        </row>
        <row r="55748">
          <cell r="O55748" t="str">
            <v/>
          </cell>
        </row>
        <row r="55749">
          <cell r="O55749" t="str">
            <v/>
          </cell>
        </row>
        <row r="55750">
          <cell r="O55750" t="str">
            <v/>
          </cell>
        </row>
        <row r="55751">
          <cell r="O55751" t="str">
            <v/>
          </cell>
        </row>
        <row r="55752">
          <cell r="O55752" t="str">
            <v/>
          </cell>
        </row>
        <row r="55753">
          <cell r="O55753" t="str">
            <v/>
          </cell>
        </row>
        <row r="55754">
          <cell r="O55754" t="str">
            <v/>
          </cell>
        </row>
        <row r="55755">
          <cell r="O55755" t="str">
            <v/>
          </cell>
        </row>
        <row r="55756">
          <cell r="O55756" t="str">
            <v/>
          </cell>
        </row>
        <row r="55757">
          <cell r="O55757" t="str">
            <v/>
          </cell>
        </row>
        <row r="55758">
          <cell r="O55758" t="str">
            <v/>
          </cell>
        </row>
        <row r="55759">
          <cell r="O55759" t="str">
            <v/>
          </cell>
        </row>
        <row r="55760">
          <cell r="O55760" t="str">
            <v/>
          </cell>
        </row>
        <row r="55761">
          <cell r="O55761" t="str">
            <v/>
          </cell>
        </row>
        <row r="55762">
          <cell r="O55762" t="str">
            <v/>
          </cell>
        </row>
        <row r="55763">
          <cell r="O55763" t="str">
            <v/>
          </cell>
        </row>
        <row r="55764">
          <cell r="O55764" t="str">
            <v/>
          </cell>
        </row>
        <row r="55765">
          <cell r="O55765" t="str">
            <v/>
          </cell>
        </row>
        <row r="55766">
          <cell r="O55766" t="str">
            <v/>
          </cell>
        </row>
        <row r="55767">
          <cell r="O55767" t="str">
            <v/>
          </cell>
        </row>
        <row r="55768">
          <cell r="O55768" t="str">
            <v/>
          </cell>
        </row>
        <row r="55769">
          <cell r="O55769" t="str">
            <v/>
          </cell>
        </row>
        <row r="55770">
          <cell r="O55770" t="str">
            <v/>
          </cell>
        </row>
        <row r="55771">
          <cell r="O55771" t="str">
            <v/>
          </cell>
        </row>
        <row r="55772">
          <cell r="O55772" t="str">
            <v/>
          </cell>
        </row>
        <row r="55773">
          <cell r="O55773" t="str">
            <v/>
          </cell>
        </row>
        <row r="55774">
          <cell r="O55774" t="str">
            <v/>
          </cell>
        </row>
        <row r="55775">
          <cell r="O55775" t="str">
            <v/>
          </cell>
        </row>
        <row r="55776">
          <cell r="O55776" t="str">
            <v/>
          </cell>
        </row>
        <row r="55777">
          <cell r="O55777" t="str">
            <v/>
          </cell>
        </row>
        <row r="55778">
          <cell r="O55778" t="str">
            <v/>
          </cell>
        </row>
        <row r="55779">
          <cell r="O55779" t="str">
            <v/>
          </cell>
        </row>
        <row r="55780">
          <cell r="O55780" t="str">
            <v/>
          </cell>
        </row>
        <row r="55781">
          <cell r="O55781" t="str">
            <v/>
          </cell>
        </row>
        <row r="55782">
          <cell r="O55782" t="str">
            <v/>
          </cell>
        </row>
        <row r="55783">
          <cell r="O55783" t="str">
            <v/>
          </cell>
        </row>
        <row r="55784">
          <cell r="O55784" t="str">
            <v/>
          </cell>
        </row>
        <row r="55785">
          <cell r="O55785" t="str">
            <v/>
          </cell>
        </row>
        <row r="55786">
          <cell r="O55786" t="str">
            <v/>
          </cell>
        </row>
        <row r="55787">
          <cell r="O55787" t="str">
            <v/>
          </cell>
        </row>
        <row r="55788">
          <cell r="O55788" t="str">
            <v/>
          </cell>
        </row>
        <row r="55789">
          <cell r="O55789" t="str">
            <v/>
          </cell>
        </row>
        <row r="55790">
          <cell r="O55790" t="str">
            <v/>
          </cell>
        </row>
        <row r="55791">
          <cell r="O55791" t="str">
            <v/>
          </cell>
        </row>
        <row r="55792">
          <cell r="O55792" t="str">
            <v/>
          </cell>
        </row>
        <row r="55793">
          <cell r="O55793" t="str">
            <v/>
          </cell>
        </row>
        <row r="55794">
          <cell r="O55794" t="str">
            <v/>
          </cell>
        </row>
        <row r="55795">
          <cell r="O55795" t="str">
            <v/>
          </cell>
        </row>
        <row r="55796">
          <cell r="O55796" t="str">
            <v/>
          </cell>
        </row>
        <row r="55797">
          <cell r="O55797" t="str">
            <v/>
          </cell>
        </row>
        <row r="55798">
          <cell r="O55798" t="str">
            <v/>
          </cell>
        </row>
        <row r="55799">
          <cell r="O55799" t="str">
            <v/>
          </cell>
        </row>
        <row r="55800">
          <cell r="O55800" t="str">
            <v/>
          </cell>
        </row>
        <row r="55801">
          <cell r="O55801" t="str">
            <v/>
          </cell>
        </row>
        <row r="55802">
          <cell r="O55802" t="str">
            <v/>
          </cell>
        </row>
        <row r="55803">
          <cell r="O55803" t="str">
            <v/>
          </cell>
        </row>
        <row r="55804">
          <cell r="O55804" t="str">
            <v/>
          </cell>
        </row>
        <row r="55805">
          <cell r="O55805" t="str">
            <v/>
          </cell>
        </row>
        <row r="55806">
          <cell r="O55806" t="str">
            <v/>
          </cell>
        </row>
        <row r="55807">
          <cell r="O55807" t="str">
            <v/>
          </cell>
        </row>
        <row r="55808">
          <cell r="O55808" t="str">
            <v/>
          </cell>
        </row>
        <row r="55809">
          <cell r="O55809" t="str">
            <v/>
          </cell>
        </row>
        <row r="55810">
          <cell r="O55810" t="str">
            <v/>
          </cell>
        </row>
        <row r="55811">
          <cell r="O55811" t="str">
            <v/>
          </cell>
        </row>
        <row r="55812">
          <cell r="O55812" t="str">
            <v/>
          </cell>
        </row>
        <row r="55813">
          <cell r="O55813" t="str">
            <v/>
          </cell>
        </row>
        <row r="55814">
          <cell r="O55814" t="str">
            <v/>
          </cell>
        </row>
        <row r="55815">
          <cell r="O55815" t="str">
            <v/>
          </cell>
        </row>
        <row r="55816">
          <cell r="O55816" t="str">
            <v/>
          </cell>
        </row>
        <row r="55817">
          <cell r="O55817" t="str">
            <v/>
          </cell>
        </row>
        <row r="55818">
          <cell r="O55818" t="str">
            <v/>
          </cell>
        </row>
        <row r="55819">
          <cell r="O55819" t="str">
            <v/>
          </cell>
        </row>
        <row r="55820">
          <cell r="O55820" t="str">
            <v/>
          </cell>
        </row>
        <row r="55821">
          <cell r="O55821" t="str">
            <v/>
          </cell>
        </row>
        <row r="55822">
          <cell r="O55822" t="str">
            <v/>
          </cell>
        </row>
        <row r="55823">
          <cell r="O55823" t="str">
            <v/>
          </cell>
        </row>
        <row r="55824">
          <cell r="O55824" t="str">
            <v/>
          </cell>
        </row>
        <row r="55825">
          <cell r="O55825" t="str">
            <v/>
          </cell>
        </row>
        <row r="55826">
          <cell r="O55826" t="str">
            <v/>
          </cell>
        </row>
        <row r="55827">
          <cell r="O55827" t="str">
            <v/>
          </cell>
        </row>
        <row r="55828">
          <cell r="O55828" t="str">
            <v/>
          </cell>
        </row>
        <row r="55829">
          <cell r="O55829" t="str">
            <v/>
          </cell>
        </row>
        <row r="55830">
          <cell r="O55830" t="str">
            <v/>
          </cell>
        </row>
        <row r="55831">
          <cell r="O55831" t="str">
            <v/>
          </cell>
        </row>
        <row r="55832">
          <cell r="O55832" t="str">
            <v/>
          </cell>
        </row>
        <row r="55833">
          <cell r="O55833" t="str">
            <v/>
          </cell>
        </row>
        <row r="55834">
          <cell r="O55834" t="str">
            <v/>
          </cell>
        </row>
        <row r="55835">
          <cell r="O55835" t="str">
            <v/>
          </cell>
        </row>
        <row r="55836">
          <cell r="O55836" t="str">
            <v/>
          </cell>
        </row>
        <row r="55837">
          <cell r="O55837" t="str">
            <v/>
          </cell>
        </row>
        <row r="55838">
          <cell r="O55838" t="str">
            <v/>
          </cell>
        </row>
        <row r="55839">
          <cell r="O55839" t="str">
            <v/>
          </cell>
        </row>
        <row r="55840">
          <cell r="O55840" t="str">
            <v/>
          </cell>
        </row>
        <row r="55841">
          <cell r="O55841" t="str">
            <v/>
          </cell>
        </row>
        <row r="55842">
          <cell r="O55842" t="str">
            <v/>
          </cell>
        </row>
        <row r="55843">
          <cell r="O55843" t="str">
            <v/>
          </cell>
        </row>
        <row r="55844">
          <cell r="O55844" t="str">
            <v/>
          </cell>
        </row>
        <row r="55845">
          <cell r="O55845" t="str">
            <v/>
          </cell>
        </row>
        <row r="55846">
          <cell r="O55846" t="str">
            <v/>
          </cell>
        </row>
        <row r="55847">
          <cell r="O55847" t="str">
            <v/>
          </cell>
        </row>
        <row r="55848">
          <cell r="O55848" t="str">
            <v/>
          </cell>
        </row>
        <row r="55849">
          <cell r="O55849" t="str">
            <v/>
          </cell>
        </row>
        <row r="55850">
          <cell r="O55850" t="str">
            <v/>
          </cell>
        </row>
        <row r="55851">
          <cell r="O55851" t="str">
            <v/>
          </cell>
        </row>
        <row r="55852">
          <cell r="O55852" t="str">
            <v/>
          </cell>
        </row>
        <row r="55853">
          <cell r="O55853" t="str">
            <v/>
          </cell>
        </row>
        <row r="55854">
          <cell r="O55854" t="str">
            <v/>
          </cell>
        </row>
        <row r="55855">
          <cell r="O55855" t="str">
            <v/>
          </cell>
        </row>
        <row r="55856">
          <cell r="O55856" t="str">
            <v/>
          </cell>
        </row>
        <row r="55857">
          <cell r="O55857" t="str">
            <v/>
          </cell>
        </row>
        <row r="55858">
          <cell r="O55858" t="str">
            <v/>
          </cell>
        </row>
        <row r="55859">
          <cell r="O55859" t="str">
            <v/>
          </cell>
        </row>
        <row r="55860">
          <cell r="O55860" t="str">
            <v/>
          </cell>
        </row>
        <row r="55861">
          <cell r="O55861" t="str">
            <v/>
          </cell>
        </row>
        <row r="55862">
          <cell r="O55862" t="str">
            <v/>
          </cell>
        </row>
        <row r="55863">
          <cell r="O55863" t="str">
            <v/>
          </cell>
        </row>
        <row r="55864">
          <cell r="O55864" t="str">
            <v/>
          </cell>
        </row>
        <row r="55865">
          <cell r="O55865" t="str">
            <v/>
          </cell>
        </row>
        <row r="55866">
          <cell r="O55866" t="str">
            <v/>
          </cell>
        </row>
        <row r="55867">
          <cell r="O55867" t="str">
            <v/>
          </cell>
        </row>
        <row r="55868">
          <cell r="O55868" t="str">
            <v/>
          </cell>
        </row>
        <row r="55869">
          <cell r="O55869" t="str">
            <v/>
          </cell>
        </row>
        <row r="55870">
          <cell r="O55870" t="str">
            <v/>
          </cell>
        </row>
        <row r="55871">
          <cell r="O55871" t="str">
            <v/>
          </cell>
        </row>
        <row r="55872">
          <cell r="O55872" t="str">
            <v/>
          </cell>
        </row>
        <row r="55873">
          <cell r="O55873" t="str">
            <v/>
          </cell>
        </row>
        <row r="55874">
          <cell r="O55874" t="str">
            <v/>
          </cell>
        </row>
        <row r="55875">
          <cell r="O55875" t="str">
            <v/>
          </cell>
        </row>
        <row r="55876">
          <cell r="O55876" t="str">
            <v/>
          </cell>
        </row>
        <row r="55877">
          <cell r="O55877" t="str">
            <v/>
          </cell>
        </row>
        <row r="55878">
          <cell r="O55878" t="str">
            <v/>
          </cell>
        </row>
        <row r="55879">
          <cell r="O55879" t="str">
            <v/>
          </cell>
        </row>
        <row r="55880">
          <cell r="O55880" t="str">
            <v/>
          </cell>
        </row>
        <row r="55881">
          <cell r="O55881" t="str">
            <v/>
          </cell>
        </row>
        <row r="55882">
          <cell r="O55882" t="str">
            <v/>
          </cell>
        </row>
        <row r="55883">
          <cell r="O55883" t="str">
            <v/>
          </cell>
        </row>
        <row r="55884">
          <cell r="O55884" t="str">
            <v/>
          </cell>
        </row>
        <row r="55885">
          <cell r="O55885" t="str">
            <v/>
          </cell>
        </row>
        <row r="55886">
          <cell r="O55886" t="str">
            <v/>
          </cell>
        </row>
        <row r="55887">
          <cell r="O55887" t="str">
            <v/>
          </cell>
        </row>
        <row r="55888">
          <cell r="O55888" t="str">
            <v/>
          </cell>
        </row>
        <row r="55889">
          <cell r="O55889" t="str">
            <v/>
          </cell>
        </row>
        <row r="55890">
          <cell r="O55890" t="str">
            <v/>
          </cell>
        </row>
        <row r="55891">
          <cell r="O55891" t="str">
            <v/>
          </cell>
        </row>
        <row r="55892">
          <cell r="O55892" t="str">
            <v/>
          </cell>
        </row>
        <row r="55893">
          <cell r="O55893" t="str">
            <v/>
          </cell>
        </row>
        <row r="55894">
          <cell r="O55894" t="str">
            <v/>
          </cell>
        </row>
        <row r="55895">
          <cell r="O55895" t="str">
            <v/>
          </cell>
        </row>
        <row r="55896">
          <cell r="O55896" t="str">
            <v/>
          </cell>
        </row>
        <row r="55897">
          <cell r="O55897" t="str">
            <v/>
          </cell>
        </row>
        <row r="55898">
          <cell r="O55898" t="str">
            <v/>
          </cell>
        </row>
        <row r="55899">
          <cell r="O55899" t="str">
            <v/>
          </cell>
        </row>
        <row r="55900">
          <cell r="O55900" t="str">
            <v/>
          </cell>
        </row>
        <row r="55901">
          <cell r="O55901" t="str">
            <v/>
          </cell>
        </row>
        <row r="55902">
          <cell r="O55902" t="str">
            <v/>
          </cell>
        </row>
        <row r="55903">
          <cell r="O55903" t="str">
            <v/>
          </cell>
        </row>
        <row r="55904">
          <cell r="O55904" t="str">
            <v/>
          </cell>
        </row>
        <row r="55905">
          <cell r="O55905" t="str">
            <v/>
          </cell>
        </row>
        <row r="55906">
          <cell r="O55906" t="str">
            <v/>
          </cell>
        </row>
        <row r="55907">
          <cell r="O55907" t="str">
            <v/>
          </cell>
        </row>
        <row r="55908">
          <cell r="O55908" t="str">
            <v/>
          </cell>
        </row>
        <row r="55909">
          <cell r="O55909" t="str">
            <v/>
          </cell>
        </row>
        <row r="55910">
          <cell r="O55910" t="str">
            <v/>
          </cell>
        </row>
        <row r="55911">
          <cell r="O55911" t="str">
            <v/>
          </cell>
        </row>
        <row r="55912">
          <cell r="O55912" t="str">
            <v/>
          </cell>
        </row>
        <row r="55913">
          <cell r="O55913" t="str">
            <v/>
          </cell>
        </row>
        <row r="55914">
          <cell r="O55914" t="str">
            <v/>
          </cell>
        </row>
        <row r="55915">
          <cell r="O55915" t="str">
            <v/>
          </cell>
        </row>
        <row r="55916">
          <cell r="O55916" t="str">
            <v/>
          </cell>
        </row>
        <row r="55917">
          <cell r="O55917" t="str">
            <v/>
          </cell>
        </row>
        <row r="55918">
          <cell r="O55918" t="str">
            <v/>
          </cell>
        </row>
        <row r="55919">
          <cell r="O55919" t="str">
            <v/>
          </cell>
        </row>
        <row r="55920">
          <cell r="O55920" t="str">
            <v/>
          </cell>
        </row>
        <row r="55921">
          <cell r="O55921" t="str">
            <v/>
          </cell>
        </row>
        <row r="55922">
          <cell r="O55922" t="str">
            <v/>
          </cell>
        </row>
        <row r="55923">
          <cell r="O55923" t="str">
            <v/>
          </cell>
        </row>
        <row r="55924">
          <cell r="O55924" t="str">
            <v/>
          </cell>
        </row>
        <row r="55925">
          <cell r="O55925" t="str">
            <v/>
          </cell>
        </row>
        <row r="55926">
          <cell r="O55926" t="str">
            <v/>
          </cell>
        </row>
        <row r="55927">
          <cell r="O55927" t="str">
            <v/>
          </cell>
        </row>
        <row r="55928">
          <cell r="O55928" t="str">
            <v/>
          </cell>
        </row>
        <row r="55929">
          <cell r="O55929" t="str">
            <v/>
          </cell>
        </row>
        <row r="55930">
          <cell r="O55930" t="str">
            <v/>
          </cell>
        </row>
        <row r="55931">
          <cell r="O55931" t="str">
            <v/>
          </cell>
        </row>
        <row r="55932">
          <cell r="O55932" t="str">
            <v/>
          </cell>
        </row>
        <row r="55933">
          <cell r="O55933" t="str">
            <v/>
          </cell>
        </row>
        <row r="55934">
          <cell r="O55934" t="str">
            <v/>
          </cell>
        </row>
        <row r="55935">
          <cell r="O55935" t="str">
            <v/>
          </cell>
        </row>
        <row r="55936">
          <cell r="O55936" t="str">
            <v/>
          </cell>
        </row>
        <row r="55937">
          <cell r="O55937" t="str">
            <v/>
          </cell>
        </row>
        <row r="55938">
          <cell r="O55938" t="str">
            <v/>
          </cell>
        </row>
        <row r="55939">
          <cell r="O55939" t="str">
            <v/>
          </cell>
        </row>
        <row r="55940">
          <cell r="O55940" t="str">
            <v/>
          </cell>
        </row>
        <row r="55941">
          <cell r="O55941" t="str">
            <v/>
          </cell>
        </row>
        <row r="55942">
          <cell r="O55942" t="str">
            <v/>
          </cell>
        </row>
        <row r="55943">
          <cell r="O55943" t="str">
            <v/>
          </cell>
        </row>
        <row r="55944">
          <cell r="O55944" t="str">
            <v/>
          </cell>
        </row>
        <row r="55945">
          <cell r="O55945" t="str">
            <v/>
          </cell>
        </row>
        <row r="55946">
          <cell r="O55946" t="str">
            <v/>
          </cell>
        </row>
        <row r="55947">
          <cell r="O55947" t="str">
            <v/>
          </cell>
        </row>
        <row r="55948">
          <cell r="O55948" t="str">
            <v/>
          </cell>
        </row>
        <row r="55949">
          <cell r="O55949" t="str">
            <v/>
          </cell>
        </row>
        <row r="55950">
          <cell r="O55950" t="str">
            <v/>
          </cell>
        </row>
        <row r="55951">
          <cell r="O55951" t="str">
            <v/>
          </cell>
        </row>
        <row r="55952">
          <cell r="O55952" t="str">
            <v/>
          </cell>
        </row>
        <row r="55953">
          <cell r="O55953" t="str">
            <v/>
          </cell>
        </row>
        <row r="55954">
          <cell r="O55954" t="str">
            <v/>
          </cell>
        </row>
        <row r="55955">
          <cell r="O55955" t="str">
            <v/>
          </cell>
        </row>
        <row r="55956">
          <cell r="O55956" t="str">
            <v/>
          </cell>
        </row>
        <row r="55957">
          <cell r="O55957" t="str">
            <v/>
          </cell>
        </row>
        <row r="55958">
          <cell r="O55958" t="str">
            <v/>
          </cell>
        </row>
        <row r="55959">
          <cell r="O55959" t="str">
            <v/>
          </cell>
        </row>
        <row r="55960">
          <cell r="O55960" t="str">
            <v/>
          </cell>
        </row>
        <row r="55961">
          <cell r="O55961" t="str">
            <v/>
          </cell>
        </row>
        <row r="55962">
          <cell r="O55962" t="str">
            <v/>
          </cell>
        </row>
        <row r="55963">
          <cell r="O55963" t="str">
            <v/>
          </cell>
        </row>
        <row r="55964">
          <cell r="O55964" t="str">
            <v/>
          </cell>
        </row>
        <row r="55965">
          <cell r="O55965" t="str">
            <v/>
          </cell>
        </row>
        <row r="55966">
          <cell r="O55966" t="str">
            <v/>
          </cell>
        </row>
        <row r="55967">
          <cell r="O55967" t="str">
            <v/>
          </cell>
        </row>
        <row r="55968">
          <cell r="O55968" t="str">
            <v/>
          </cell>
        </row>
        <row r="55969">
          <cell r="O55969" t="str">
            <v/>
          </cell>
        </row>
        <row r="55970">
          <cell r="O55970" t="str">
            <v/>
          </cell>
        </row>
        <row r="55971">
          <cell r="O55971" t="str">
            <v/>
          </cell>
        </row>
        <row r="55972">
          <cell r="O55972" t="str">
            <v/>
          </cell>
        </row>
        <row r="55973">
          <cell r="O55973" t="str">
            <v/>
          </cell>
        </row>
        <row r="55974">
          <cell r="O55974" t="str">
            <v/>
          </cell>
        </row>
        <row r="55975">
          <cell r="O55975" t="str">
            <v/>
          </cell>
        </row>
        <row r="55976">
          <cell r="O55976" t="str">
            <v/>
          </cell>
        </row>
        <row r="55977">
          <cell r="O55977" t="str">
            <v/>
          </cell>
        </row>
        <row r="55978">
          <cell r="O55978" t="str">
            <v/>
          </cell>
        </row>
        <row r="55979">
          <cell r="O55979" t="str">
            <v/>
          </cell>
        </row>
        <row r="55980">
          <cell r="O55980" t="str">
            <v/>
          </cell>
        </row>
        <row r="55981">
          <cell r="O55981" t="str">
            <v/>
          </cell>
        </row>
        <row r="55982">
          <cell r="O55982" t="str">
            <v/>
          </cell>
        </row>
        <row r="55983">
          <cell r="O55983" t="str">
            <v/>
          </cell>
        </row>
        <row r="55984">
          <cell r="O55984" t="str">
            <v/>
          </cell>
        </row>
        <row r="55985">
          <cell r="O55985" t="str">
            <v/>
          </cell>
        </row>
        <row r="55986">
          <cell r="O55986" t="str">
            <v/>
          </cell>
        </row>
        <row r="55987">
          <cell r="O55987" t="str">
            <v/>
          </cell>
        </row>
        <row r="55988">
          <cell r="O55988" t="str">
            <v/>
          </cell>
        </row>
        <row r="55989">
          <cell r="O55989" t="str">
            <v/>
          </cell>
        </row>
        <row r="55990">
          <cell r="O55990" t="str">
            <v/>
          </cell>
        </row>
        <row r="55991">
          <cell r="O55991" t="str">
            <v/>
          </cell>
        </row>
        <row r="55992">
          <cell r="O55992" t="str">
            <v/>
          </cell>
        </row>
        <row r="55993">
          <cell r="O55993" t="str">
            <v/>
          </cell>
        </row>
        <row r="55994">
          <cell r="O55994" t="str">
            <v/>
          </cell>
        </row>
        <row r="55995">
          <cell r="O55995" t="str">
            <v/>
          </cell>
        </row>
        <row r="55996">
          <cell r="O55996" t="str">
            <v/>
          </cell>
        </row>
        <row r="55997">
          <cell r="O55997" t="str">
            <v/>
          </cell>
        </row>
        <row r="55998">
          <cell r="O55998" t="str">
            <v/>
          </cell>
        </row>
        <row r="55999">
          <cell r="O55999" t="str">
            <v/>
          </cell>
        </row>
        <row r="56000">
          <cell r="O56000" t="str">
            <v/>
          </cell>
        </row>
        <row r="56001">
          <cell r="O56001" t="str">
            <v/>
          </cell>
        </row>
        <row r="56002">
          <cell r="O56002" t="str">
            <v/>
          </cell>
        </row>
        <row r="56003">
          <cell r="O56003" t="str">
            <v/>
          </cell>
        </row>
        <row r="56004">
          <cell r="O56004" t="str">
            <v/>
          </cell>
        </row>
        <row r="56005">
          <cell r="O56005" t="str">
            <v/>
          </cell>
        </row>
        <row r="56006">
          <cell r="O56006" t="str">
            <v/>
          </cell>
        </row>
        <row r="56007">
          <cell r="O56007" t="str">
            <v/>
          </cell>
        </row>
        <row r="56008">
          <cell r="O56008" t="str">
            <v/>
          </cell>
        </row>
        <row r="56009">
          <cell r="O56009" t="str">
            <v/>
          </cell>
        </row>
        <row r="56010">
          <cell r="O56010" t="str">
            <v/>
          </cell>
        </row>
        <row r="56011">
          <cell r="O56011" t="str">
            <v/>
          </cell>
        </row>
        <row r="56012">
          <cell r="O56012" t="str">
            <v/>
          </cell>
        </row>
        <row r="56013">
          <cell r="O56013" t="str">
            <v/>
          </cell>
        </row>
        <row r="56014">
          <cell r="O56014" t="str">
            <v/>
          </cell>
        </row>
        <row r="56015">
          <cell r="O56015" t="str">
            <v/>
          </cell>
        </row>
        <row r="56016">
          <cell r="O56016" t="str">
            <v/>
          </cell>
        </row>
        <row r="56017">
          <cell r="O56017" t="str">
            <v/>
          </cell>
        </row>
        <row r="56018">
          <cell r="O56018" t="str">
            <v/>
          </cell>
        </row>
        <row r="56019">
          <cell r="O56019" t="str">
            <v/>
          </cell>
        </row>
        <row r="56020">
          <cell r="O56020" t="str">
            <v/>
          </cell>
        </row>
        <row r="56021">
          <cell r="O56021" t="str">
            <v/>
          </cell>
        </row>
        <row r="56022">
          <cell r="O56022" t="str">
            <v/>
          </cell>
        </row>
        <row r="56023">
          <cell r="O56023" t="str">
            <v/>
          </cell>
        </row>
        <row r="56024">
          <cell r="O56024" t="str">
            <v/>
          </cell>
        </row>
        <row r="56025">
          <cell r="O56025" t="str">
            <v/>
          </cell>
        </row>
        <row r="56026">
          <cell r="O56026" t="str">
            <v/>
          </cell>
        </row>
        <row r="56027">
          <cell r="O56027" t="str">
            <v/>
          </cell>
        </row>
        <row r="56028">
          <cell r="O56028" t="str">
            <v/>
          </cell>
        </row>
        <row r="56029">
          <cell r="O56029" t="str">
            <v/>
          </cell>
        </row>
        <row r="56030">
          <cell r="O56030" t="str">
            <v/>
          </cell>
        </row>
        <row r="56031">
          <cell r="O56031" t="str">
            <v/>
          </cell>
        </row>
        <row r="56032">
          <cell r="O56032" t="str">
            <v/>
          </cell>
        </row>
        <row r="56033">
          <cell r="O56033" t="str">
            <v/>
          </cell>
        </row>
        <row r="56034">
          <cell r="O56034" t="str">
            <v/>
          </cell>
        </row>
        <row r="56035">
          <cell r="O56035" t="str">
            <v/>
          </cell>
        </row>
        <row r="56036">
          <cell r="O56036" t="str">
            <v/>
          </cell>
        </row>
        <row r="56037">
          <cell r="O56037" t="str">
            <v/>
          </cell>
        </row>
        <row r="56038">
          <cell r="O56038" t="str">
            <v/>
          </cell>
        </row>
        <row r="56039">
          <cell r="O56039" t="str">
            <v/>
          </cell>
        </row>
        <row r="56040">
          <cell r="O56040" t="str">
            <v/>
          </cell>
        </row>
        <row r="56041">
          <cell r="O56041" t="str">
            <v/>
          </cell>
        </row>
        <row r="56042">
          <cell r="O56042" t="str">
            <v/>
          </cell>
        </row>
        <row r="56043">
          <cell r="O56043" t="str">
            <v/>
          </cell>
        </row>
        <row r="56044">
          <cell r="O56044" t="str">
            <v/>
          </cell>
        </row>
        <row r="56045">
          <cell r="O56045" t="str">
            <v/>
          </cell>
        </row>
        <row r="56046">
          <cell r="O56046" t="str">
            <v/>
          </cell>
        </row>
        <row r="56047">
          <cell r="O56047" t="str">
            <v/>
          </cell>
        </row>
        <row r="56048">
          <cell r="O56048" t="str">
            <v/>
          </cell>
        </row>
        <row r="56049">
          <cell r="O56049" t="str">
            <v/>
          </cell>
        </row>
        <row r="56050">
          <cell r="O56050" t="str">
            <v/>
          </cell>
        </row>
        <row r="56051">
          <cell r="O56051" t="str">
            <v/>
          </cell>
        </row>
        <row r="56052">
          <cell r="O56052" t="str">
            <v/>
          </cell>
        </row>
        <row r="56053">
          <cell r="O56053" t="str">
            <v/>
          </cell>
        </row>
        <row r="56054">
          <cell r="O56054" t="str">
            <v/>
          </cell>
        </row>
        <row r="56055">
          <cell r="O56055" t="str">
            <v/>
          </cell>
        </row>
        <row r="56056">
          <cell r="O56056" t="str">
            <v/>
          </cell>
        </row>
        <row r="56057">
          <cell r="O56057" t="str">
            <v/>
          </cell>
        </row>
        <row r="56058">
          <cell r="O56058" t="str">
            <v/>
          </cell>
        </row>
        <row r="56059">
          <cell r="O56059" t="str">
            <v/>
          </cell>
        </row>
        <row r="56060">
          <cell r="O56060" t="str">
            <v/>
          </cell>
        </row>
        <row r="56061">
          <cell r="O56061" t="str">
            <v/>
          </cell>
        </row>
        <row r="56062">
          <cell r="O56062" t="str">
            <v/>
          </cell>
        </row>
        <row r="56063">
          <cell r="O56063" t="str">
            <v/>
          </cell>
        </row>
        <row r="56064">
          <cell r="O56064" t="str">
            <v/>
          </cell>
        </row>
        <row r="56065">
          <cell r="O56065" t="str">
            <v/>
          </cell>
        </row>
        <row r="56066">
          <cell r="O56066" t="str">
            <v/>
          </cell>
        </row>
        <row r="56067">
          <cell r="O56067" t="str">
            <v/>
          </cell>
        </row>
        <row r="56068">
          <cell r="O56068" t="str">
            <v/>
          </cell>
        </row>
        <row r="56069">
          <cell r="O56069" t="str">
            <v/>
          </cell>
        </row>
        <row r="56070">
          <cell r="O56070" t="str">
            <v/>
          </cell>
        </row>
        <row r="56071">
          <cell r="O56071" t="str">
            <v/>
          </cell>
        </row>
        <row r="56072">
          <cell r="O56072" t="str">
            <v/>
          </cell>
        </row>
        <row r="56073">
          <cell r="O56073" t="str">
            <v/>
          </cell>
        </row>
        <row r="56074">
          <cell r="O56074" t="str">
            <v/>
          </cell>
        </row>
        <row r="56075">
          <cell r="O56075" t="str">
            <v/>
          </cell>
        </row>
        <row r="56076">
          <cell r="O56076" t="str">
            <v/>
          </cell>
        </row>
        <row r="56077">
          <cell r="O56077" t="str">
            <v/>
          </cell>
        </row>
        <row r="56078">
          <cell r="O56078" t="str">
            <v/>
          </cell>
        </row>
        <row r="56079">
          <cell r="O56079" t="str">
            <v/>
          </cell>
        </row>
        <row r="56080">
          <cell r="O56080" t="str">
            <v/>
          </cell>
        </row>
        <row r="56081">
          <cell r="O56081" t="str">
            <v/>
          </cell>
        </row>
        <row r="56082">
          <cell r="O56082" t="str">
            <v/>
          </cell>
        </row>
        <row r="56083">
          <cell r="O56083" t="str">
            <v/>
          </cell>
        </row>
        <row r="56084">
          <cell r="O56084" t="str">
            <v/>
          </cell>
        </row>
        <row r="56085">
          <cell r="O56085" t="str">
            <v/>
          </cell>
        </row>
        <row r="56086">
          <cell r="O56086" t="str">
            <v/>
          </cell>
        </row>
        <row r="56087">
          <cell r="O56087" t="str">
            <v/>
          </cell>
        </row>
        <row r="56088">
          <cell r="O56088" t="str">
            <v/>
          </cell>
        </row>
        <row r="56089">
          <cell r="O56089" t="str">
            <v/>
          </cell>
        </row>
        <row r="56090">
          <cell r="O56090" t="str">
            <v/>
          </cell>
        </row>
        <row r="56091">
          <cell r="O56091" t="str">
            <v/>
          </cell>
        </row>
        <row r="56092">
          <cell r="O56092" t="str">
            <v/>
          </cell>
        </row>
        <row r="56093">
          <cell r="O56093" t="str">
            <v/>
          </cell>
        </row>
        <row r="56094">
          <cell r="O56094" t="str">
            <v/>
          </cell>
        </row>
        <row r="56095">
          <cell r="O56095" t="str">
            <v/>
          </cell>
        </row>
        <row r="56096">
          <cell r="O56096" t="str">
            <v/>
          </cell>
        </row>
        <row r="56097">
          <cell r="O56097" t="str">
            <v/>
          </cell>
        </row>
        <row r="56098">
          <cell r="O56098" t="str">
            <v/>
          </cell>
        </row>
        <row r="56099">
          <cell r="O56099" t="str">
            <v/>
          </cell>
        </row>
        <row r="56100">
          <cell r="O56100" t="str">
            <v/>
          </cell>
        </row>
        <row r="56101">
          <cell r="O56101" t="str">
            <v/>
          </cell>
        </row>
        <row r="56102">
          <cell r="O56102" t="str">
            <v/>
          </cell>
        </row>
        <row r="56103">
          <cell r="O56103" t="str">
            <v/>
          </cell>
        </row>
        <row r="56104">
          <cell r="O56104" t="str">
            <v/>
          </cell>
        </row>
        <row r="56105">
          <cell r="O56105" t="str">
            <v/>
          </cell>
        </row>
        <row r="56106">
          <cell r="O56106" t="str">
            <v/>
          </cell>
        </row>
        <row r="56107">
          <cell r="O56107" t="str">
            <v/>
          </cell>
        </row>
        <row r="56108">
          <cell r="O56108" t="str">
            <v/>
          </cell>
        </row>
        <row r="56109">
          <cell r="O56109" t="str">
            <v/>
          </cell>
        </row>
        <row r="56110">
          <cell r="O56110" t="str">
            <v/>
          </cell>
        </row>
        <row r="56111">
          <cell r="O56111" t="str">
            <v/>
          </cell>
        </row>
        <row r="56112">
          <cell r="O56112" t="str">
            <v/>
          </cell>
        </row>
        <row r="56113">
          <cell r="O56113" t="str">
            <v/>
          </cell>
        </row>
        <row r="56114">
          <cell r="O56114" t="str">
            <v/>
          </cell>
        </row>
        <row r="56115">
          <cell r="O56115" t="str">
            <v/>
          </cell>
        </row>
        <row r="56116">
          <cell r="O56116" t="str">
            <v/>
          </cell>
        </row>
        <row r="56117">
          <cell r="O56117" t="str">
            <v/>
          </cell>
        </row>
        <row r="56118">
          <cell r="O56118" t="str">
            <v/>
          </cell>
        </row>
        <row r="56119">
          <cell r="O56119" t="str">
            <v/>
          </cell>
        </row>
        <row r="56120">
          <cell r="O56120" t="str">
            <v/>
          </cell>
        </row>
        <row r="56121">
          <cell r="O56121" t="str">
            <v/>
          </cell>
        </row>
        <row r="56122">
          <cell r="O56122" t="str">
            <v/>
          </cell>
        </row>
        <row r="56123">
          <cell r="O56123" t="str">
            <v/>
          </cell>
        </row>
        <row r="56124">
          <cell r="O56124" t="str">
            <v/>
          </cell>
        </row>
        <row r="56125">
          <cell r="O56125" t="str">
            <v/>
          </cell>
        </row>
        <row r="56126">
          <cell r="O56126" t="str">
            <v/>
          </cell>
        </row>
        <row r="56127">
          <cell r="O56127" t="str">
            <v/>
          </cell>
        </row>
        <row r="56128">
          <cell r="O56128" t="str">
            <v/>
          </cell>
        </row>
        <row r="56129">
          <cell r="O56129" t="str">
            <v/>
          </cell>
        </row>
        <row r="56130">
          <cell r="O56130" t="str">
            <v/>
          </cell>
        </row>
        <row r="56131">
          <cell r="O56131" t="str">
            <v/>
          </cell>
        </row>
        <row r="56132">
          <cell r="O56132" t="str">
            <v/>
          </cell>
        </row>
        <row r="56133">
          <cell r="O56133" t="str">
            <v/>
          </cell>
        </row>
        <row r="56134">
          <cell r="O56134" t="str">
            <v/>
          </cell>
        </row>
        <row r="56135">
          <cell r="O56135" t="str">
            <v/>
          </cell>
        </row>
        <row r="56136">
          <cell r="O56136" t="str">
            <v/>
          </cell>
        </row>
        <row r="56137">
          <cell r="O56137" t="str">
            <v/>
          </cell>
        </row>
        <row r="56138">
          <cell r="O56138" t="str">
            <v/>
          </cell>
        </row>
        <row r="56139">
          <cell r="O56139" t="str">
            <v/>
          </cell>
        </row>
        <row r="56140">
          <cell r="O56140" t="str">
            <v/>
          </cell>
        </row>
        <row r="56141">
          <cell r="O56141" t="str">
            <v/>
          </cell>
        </row>
        <row r="56142">
          <cell r="O56142" t="str">
            <v/>
          </cell>
        </row>
        <row r="56143">
          <cell r="O56143" t="str">
            <v/>
          </cell>
        </row>
        <row r="56144">
          <cell r="O56144" t="str">
            <v/>
          </cell>
        </row>
        <row r="56145">
          <cell r="O56145" t="str">
            <v/>
          </cell>
        </row>
        <row r="56146">
          <cell r="O56146" t="str">
            <v/>
          </cell>
        </row>
        <row r="56147">
          <cell r="O56147" t="str">
            <v/>
          </cell>
        </row>
        <row r="56148">
          <cell r="O56148" t="str">
            <v/>
          </cell>
        </row>
        <row r="56149">
          <cell r="O56149" t="str">
            <v/>
          </cell>
        </row>
        <row r="56150">
          <cell r="O56150" t="str">
            <v/>
          </cell>
        </row>
        <row r="56151">
          <cell r="O56151" t="str">
            <v/>
          </cell>
        </row>
        <row r="56152">
          <cell r="O56152" t="str">
            <v/>
          </cell>
        </row>
        <row r="56153">
          <cell r="O56153" t="str">
            <v/>
          </cell>
        </row>
        <row r="56154">
          <cell r="O56154" t="str">
            <v/>
          </cell>
        </row>
        <row r="56155">
          <cell r="O56155" t="str">
            <v/>
          </cell>
        </row>
        <row r="56156">
          <cell r="O56156" t="str">
            <v/>
          </cell>
        </row>
        <row r="56157">
          <cell r="O56157" t="str">
            <v/>
          </cell>
        </row>
        <row r="56158">
          <cell r="O56158" t="str">
            <v/>
          </cell>
        </row>
        <row r="56159">
          <cell r="O56159" t="str">
            <v/>
          </cell>
        </row>
        <row r="56160">
          <cell r="O56160" t="str">
            <v/>
          </cell>
        </row>
        <row r="56161">
          <cell r="O56161" t="str">
            <v/>
          </cell>
        </row>
        <row r="56162">
          <cell r="O56162" t="str">
            <v/>
          </cell>
        </row>
        <row r="56163">
          <cell r="O56163" t="str">
            <v/>
          </cell>
        </row>
        <row r="56164">
          <cell r="O56164" t="str">
            <v/>
          </cell>
        </row>
        <row r="56165">
          <cell r="O56165" t="str">
            <v/>
          </cell>
        </row>
        <row r="56166">
          <cell r="O56166" t="str">
            <v/>
          </cell>
        </row>
        <row r="56167">
          <cell r="O56167" t="str">
            <v/>
          </cell>
        </row>
        <row r="56168">
          <cell r="O56168" t="str">
            <v/>
          </cell>
        </row>
        <row r="56169">
          <cell r="O56169" t="str">
            <v/>
          </cell>
        </row>
        <row r="56170">
          <cell r="O56170" t="str">
            <v/>
          </cell>
        </row>
        <row r="56171">
          <cell r="O56171" t="str">
            <v/>
          </cell>
        </row>
        <row r="56172">
          <cell r="O56172" t="str">
            <v/>
          </cell>
        </row>
        <row r="56173">
          <cell r="O56173" t="str">
            <v/>
          </cell>
        </row>
        <row r="56174">
          <cell r="O56174" t="str">
            <v/>
          </cell>
        </row>
        <row r="56175">
          <cell r="O56175" t="str">
            <v/>
          </cell>
        </row>
        <row r="56176">
          <cell r="O56176" t="str">
            <v/>
          </cell>
        </row>
        <row r="56177">
          <cell r="O56177" t="str">
            <v/>
          </cell>
        </row>
        <row r="56178">
          <cell r="O56178" t="str">
            <v/>
          </cell>
        </row>
        <row r="56179">
          <cell r="O56179" t="str">
            <v/>
          </cell>
        </row>
        <row r="56180">
          <cell r="O56180" t="str">
            <v/>
          </cell>
        </row>
        <row r="56181">
          <cell r="O56181" t="str">
            <v/>
          </cell>
        </row>
        <row r="56182">
          <cell r="O56182" t="str">
            <v/>
          </cell>
        </row>
        <row r="56183">
          <cell r="O56183" t="str">
            <v/>
          </cell>
        </row>
        <row r="56184">
          <cell r="O56184" t="str">
            <v/>
          </cell>
        </row>
        <row r="56185">
          <cell r="O56185" t="str">
            <v/>
          </cell>
        </row>
        <row r="56186">
          <cell r="O56186" t="str">
            <v/>
          </cell>
        </row>
        <row r="56187">
          <cell r="O56187" t="str">
            <v/>
          </cell>
        </row>
        <row r="56188">
          <cell r="O56188" t="str">
            <v/>
          </cell>
        </row>
        <row r="56189">
          <cell r="O56189" t="str">
            <v/>
          </cell>
        </row>
        <row r="56190">
          <cell r="O56190" t="str">
            <v/>
          </cell>
        </row>
        <row r="56191">
          <cell r="O56191" t="str">
            <v/>
          </cell>
        </row>
        <row r="56192">
          <cell r="O56192" t="str">
            <v/>
          </cell>
        </row>
        <row r="56193">
          <cell r="O56193" t="str">
            <v/>
          </cell>
        </row>
        <row r="56194">
          <cell r="O56194" t="str">
            <v/>
          </cell>
        </row>
        <row r="56195">
          <cell r="O56195" t="str">
            <v/>
          </cell>
        </row>
        <row r="56196">
          <cell r="O56196" t="str">
            <v/>
          </cell>
        </row>
        <row r="56197">
          <cell r="O56197" t="str">
            <v/>
          </cell>
        </row>
        <row r="56198">
          <cell r="O56198" t="str">
            <v/>
          </cell>
        </row>
        <row r="56199">
          <cell r="O56199" t="str">
            <v/>
          </cell>
        </row>
        <row r="56200">
          <cell r="O56200" t="str">
            <v/>
          </cell>
        </row>
        <row r="56201">
          <cell r="O56201" t="str">
            <v/>
          </cell>
        </row>
        <row r="56202">
          <cell r="O56202" t="str">
            <v/>
          </cell>
        </row>
        <row r="56203">
          <cell r="O56203" t="str">
            <v/>
          </cell>
        </row>
        <row r="56204">
          <cell r="O56204" t="str">
            <v/>
          </cell>
        </row>
        <row r="56205">
          <cell r="O56205" t="str">
            <v/>
          </cell>
        </row>
        <row r="56206">
          <cell r="O56206" t="str">
            <v/>
          </cell>
        </row>
        <row r="56207">
          <cell r="O56207" t="str">
            <v/>
          </cell>
        </row>
        <row r="56208">
          <cell r="O56208" t="str">
            <v/>
          </cell>
        </row>
        <row r="56209">
          <cell r="O56209" t="str">
            <v/>
          </cell>
        </row>
        <row r="56210">
          <cell r="O56210" t="str">
            <v/>
          </cell>
        </row>
        <row r="56211">
          <cell r="O56211" t="str">
            <v/>
          </cell>
        </row>
        <row r="56212">
          <cell r="O56212" t="str">
            <v/>
          </cell>
        </row>
        <row r="56213">
          <cell r="O56213" t="str">
            <v/>
          </cell>
        </row>
        <row r="56214">
          <cell r="O56214" t="str">
            <v/>
          </cell>
        </row>
        <row r="56215">
          <cell r="O56215" t="str">
            <v/>
          </cell>
        </row>
        <row r="56216">
          <cell r="O56216" t="str">
            <v/>
          </cell>
        </row>
        <row r="56217">
          <cell r="O56217" t="str">
            <v/>
          </cell>
        </row>
        <row r="56218">
          <cell r="O56218" t="str">
            <v/>
          </cell>
        </row>
        <row r="56219">
          <cell r="O56219" t="str">
            <v/>
          </cell>
        </row>
        <row r="56220">
          <cell r="O56220" t="str">
            <v/>
          </cell>
        </row>
        <row r="56221">
          <cell r="O56221" t="str">
            <v/>
          </cell>
        </row>
        <row r="56222">
          <cell r="O56222" t="str">
            <v/>
          </cell>
        </row>
        <row r="56223">
          <cell r="O56223" t="str">
            <v/>
          </cell>
        </row>
        <row r="56224">
          <cell r="O56224" t="str">
            <v/>
          </cell>
        </row>
        <row r="56225">
          <cell r="O56225" t="str">
            <v/>
          </cell>
        </row>
        <row r="56226">
          <cell r="O56226" t="str">
            <v/>
          </cell>
        </row>
        <row r="56227">
          <cell r="O56227" t="str">
            <v/>
          </cell>
        </row>
        <row r="56228">
          <cell r="O56228" t="str">
            <v/>
          </cell>
        </row>
        <row r="56229">
          <cell r="O56229" t="str">
            <v/>
          </cell>
        </row>
        <row r="56230">
          <cell r="O56230" t="str">
            <v/>
          </cell>
        </row>
        <row r="56231">
          <cell r="O56231" t="str">
            <v/>
          </cell>
        </row>
        <row r="56232">
          <cell r="O56232" t="str">
            <v/>
          </cell>
        </row>
        <row r="56233">
          <cell r="O56233" t="str">
            <v/>
          </cell>
        </row>
        <row r="56234">
          <cell r="O56234" t="str">
            <v/>
          </cell>
        </row>
        <row r="56235">
          <cell r="O56235" t="str">
            <v/>
          </cell>
        </row>
        <row r="56236">
          <cell r="O56236" t="str">
            <v/>
          </cell>
        </row>
        <row r="56237">
          <cell r="O56237" t="str">
            <v/>
          </cell>
        </row>
        <row r="56238">
          <cell r="O56238" t="str">
            <v/>
          </cell>
        </row>
        <row r="56239">
          <cell r="O56239" t="str">
            <v/>
          </cell>
        </row>
        <row r="56240">
          <cell r="O56240" t="str">
            <v/>
          </cell>
        </row>
        <row r="56241">
          <cell r="O56241" t="str">
            <v/>
          </cell>
        </row>
        <row r="56242">
          <cell r="O56242" t="str">
            <v/>
          </cell>
        </row>
        <row r="56243">
          <cell r="O56243" t="str">
            <v/>
          </cell>
        </row>
        <row r="56244">
          <cell r="O56244" t="str">
            <v/>
          </cell>
        </row>
        <row r="56245">
          <cell r="O56245" t="str">
            <v/>
          </cell>
        </row>
        <row r="56246">
          <cell r="O56246" t="str">
            <v/>
          </cell>
        </row>
        <row r="56247">
          <cell r="O56247" t="str">
            <v/>
          </cell>
        </row>
        <row r="56248">
          <cell r="O56248" t="str">
            <v/>
          </cell>
        </row>
        <row r="56249">
          <cell r="O56249" t="str">
            <v/>
          </cell>
        </row>
        <row r="56250">
          <cell r="O56250" t="str">
            <v/>
          </cell>
        </row>
        <row r="56251">
          <cell r="O56251" t="str">
            <v/>
          </cell>
        </row>
        <row r="56252">
          <cell r="O56252" t="str">
            <v/>
          </cell>
        </row>
        <row r="56253">
          <cell r="O56253" t="str">
            <v/>
          </cell>
        </row>
        <row r="56254">
          <cell r="O56254" t="str">
            <v/>
          </cell>
        </row>
        <row r="56255">
          <cell r="O56255" t="str">
            <v/>
          </cell>
        </row>
        <row r="56256">
          <cell r="O56256" t="str">
            <v/>
          </cell>
        </row>
        <row r="56257">
          <cell r="O56257" t="str">
            <v/>
          </cell>
        </row>
        <row r="56258">
          <cell r="O56258" t="str">
            <v/>
          </cell>
        </row>
        <row r="56259">
          <cell r="O56259" t="str">
            <v/>
          </cell>
        </row>
        <row r="56260">
          <cell r="O56260" t="str">
            <v/>
          </cell>
        </row>
        <row r="56261">
          <cell r="O56261" t="str">
            <v/>
          </cell>
        </row>
        <row r="56262">
          <cell r="O56262" t="str">
            <v/>
          </cell>
        </row>
        <row r="56263">
          <cell r="O56263" t="str">
            <v/>
          </cell>
        </row>
        <row r="56264">
          <cell r="O56264" t="str">
            <v/>
          </cell>
        </row>
        <row r="56265">
          <cell r="O56265" t="str">
            <v/>
          </cell>
        </row>
        <row r="56266">
          <cell r="O56266" t="str">
            <v/>
          </cell>
        </row>
        <row r="56267">
          <cell r="O56267" t="str">
            <v/>
          </cell>
        </row>
        <row r="56268">
          <cell r="O56268" t="str">
            <v/>
          </cell>
        </row>
        <row r="56269">
          <cell r="O56269" t="str">
            <v/>
          </cell>
        </row>
        <row r="56270">
          <cell r="O56270" t="str">
            <v/>
          </cell>
        </row>
        <row r="56271">
          <cell r="O56271" t="str">
            <v/>
          </cell>
        </row>
        <row r="56272">
          <cell r="O56272" t="str">
            <v/>
          </cell>
        </row>
        <row r="56273">
          <cell r="O56273" t="str">
            <v/>
          </cell>
        </row>
        <row r="56274">
          <cell r="O56274" t="str">
            <v/>
          </cell>
        </row>
        <row r="56275">
          <cell r="O56275" t="str">
            <v/>
          </cell>
        </row>
        <row r="56276">
          <cell r="O56276" t="str">
            <v/>
          </cell>
        </row>
        <row r="56277">
          <cell r="O56277" t="str">
            <v/>
          </cell>
        </row>
        <row r="56278">
          <cell r="O56278" t="str">
            <v/>
          </cell>
        </row>
        <row r="56279">
          <cell r="O56279" t="str">
            <v/>
          </cell>
        </row>
        <row r="56280">
          <cell r="O56280" t="str">
            <v/>
          </cell>
        </row>
        <row r="56281">
          <cell r="O56281" t="str">
            <v/>
          </cell>
        </row>
        <row r="56282">
          <cell r="O56282" t="str">
            <v/>
          </cell>
        </row>
        <row r="56283">
          <cell r="O56283" t="str">
            <v/>
          </cell>
        </row>
        <row r="56284">
          <cell r="O56284" t="str">
            <v/>
          </cell>
        </row>
        <row r="56285">
          <cell r="O56285" t="str">
            <v/>
          </cell>
        </row>
        <row r="56286">
          <cell r="O56286" t="str">
            <v/>
          </cell>
        </row>
        <row r="56287">
          <cell r="O56287" t="str">
            <v/>
          </cell>
        </row>
        <row r="56288">
          <cell r="O56288" t="str">
            <v/>
          </cell>
        </row>
        <row r="56289">
          <cell r="O56289" t="str">
            <v/>
          </cell>
        </row>
        <row r="56290">
          <cell r="O56290" t="str">
            <v/>
          </cell>
        </row>
        <row r="56291">
          <cell r="O56291" t="str">
            <v/>
          </cell>
        </row>
        <row r="56292">
          <cell r="O56292" t="str">
            <v/>
          </cell>
        </row>
        <row r="56293">
          <cell r="O56293" t="str">
            <v/>
          </cell>
        </row>
        <row r="56294">
          <cell r="O56294" t="str">
            <v/>
          </cell>
        </row>
        <row r="56295">
          <cell r="O56295" t="str">
            <v/>
          </cell>
        </row>
        <row r="56296">
          <cell r="O56296" t="str">
            <v/>
          </cell>
        </row>
        <row r="56297">
          <cell r="O56297" t="str">
            <v/>
          </cell>
        </row>
        <row r="56298">
          <cell r="O56298" t="str">
            <v/>
          </cell>
        </row>
        <row r="56299">
          <cell r="O56299" t="str">
            <v/>
          </cell>
        </row>
        <row r="56300">
          <cell r="O56300" t="str">
            <v/>
          </cell>
        </row>
        <row r="56301">
          <cell r="O56301" t="str">
            <v/>
          </cell>
        </row>
        <row r="56302">
          <cell r="O56302" t="str">
            <v/>
          </cell>
        </row>
        <row r="56303">
          <cell r="O56303" t="str">
            <v/>
          </cell>
        </row>
        <row r="56304">
          <cell r="O56304" t="str">
            <v/>
          </cell>
        </row>
        <row r="56305">
          <cell r="O56305" t="str">
            <v/>
          </cell>
        </row>
        <row r="56306">
          <cell r="O56306" t="str">
            <v/>
          </cell>
        </row>
        <row r="56307">
          <cell r="O56307" t="str">
            <v/>
          </cell>
        </row>
        <row r="56308">
          <cell r="O56308" t="str">
            <v/>
          </cell>
        </row>
        <row r="56309">
          <cell r="O56309" t="str">
            <v/>
          </cell>
        </row>
        <row r="56310">
          <cell r="O56310" t="str">
            <v/>
          </cell>
        </row>
        <row r="56311">
          <cell r="O56311" t="str">
            <v/>
          </cell>
        </row>
        <row r="56312">
          <cell r="O56312" t="str">
            <v/>
          </cell>
        </row>
        <row r="56313">
          <cell r="O56313" t="str">
            <v/>
          </cell>
        </row>
        <row r="56314">
          <cell r="O56314" t="str">
            <v/>
          </cell>
        </row>
        <row r="56315">
          <cell r="O56315" t="str">
            <v/>
          </cell>
        </row>
        <row r="56316">
          <cell r="O56316" t="str">
            <v/>
          </cell>
        </row>
        <row r="56317">
          <cell r="O56317" t="str">
            <v/>
          </cell>
        </row>
        <row r="56318">
          <cell r="O56318" t="str">
            <v/>
          </cell>
        </row>
        <row r="56319">
          <cell r="O56319" t="str">
            <v/>
          </cell>
        </row>
        <row r="56320">
          <cell r="O56320" t="str">
            <v/>
          </cell>
        </row>
        <row r="56321">
          <cell r="O56321" t="str">
            <v/>
          </cell>
        </row>
        <row r="56322">
          <cell r="O56322" t="str">
            <v/>
          </cell>
        </row>
        <row r="56323">
          <cell r="O56323" t="str">
            <v/>
          </cell>
        </row>
        <row r="56324">
          <cell r="O56324" t="str">
            <v/>
          </cell>
        </row>
        <row r="56325">
          <cell r="O56325" t="str">
            <v/>
          </cell>
        </row>
        <row r="56326">
          <cell r="O56326" t="str">
            <v/>
          </cell>
        </row>
        <row r="56327">
          <cell r="O56327" t="str">
            <v/>
          </cell>
        </row>
        <row r="56328">
          <cell r="O56328" t="str">
            <v/>
          </cell>
        </row>
        <row r="56329">
          <cell r="O56329" t="str">
            <v/>
          </cell>
        </row>
        <row r="56330">
          <cell r="O56330" t="str">
            <v/>
          </cell>
        </row>
        <row r="56331">
          <cell r="O56331" t="str">
            <v/>
          </cell>
        </row>
        <row r="56332">
          <cell r="O56332" t="str">
            <v/>
          </cell>
        </row>
        <row r="56333">
          <cell r="O56333" t="str">
            <v/>
          </cell>
        </row>
        <row r="56334">
          <cell r="O56334" t="str">
            <v/>
          </cell>
        </row>
        <row r="56335">
          <cell r="O56335" t="str">
            <v/>
          </cell>
        </row>
        <row r="56336">
          <cell r="O56336" t="str">
            <v/>
          </cell>
        </row>
        <row r="56337">
          <cell r="O56337" t="str">
            <v/>
          </cell>
        </row>
        <row r="56338">
          <cell r="O56338" t="str">
            <v/>
          </cell>
        </row>
        <row r="56339">
          <cell r="O56339" t="str">
            <v/>
          </cell>
        </row>
        <row r="56340">
          <cell r="O56340" t="str">
            <v/>
          </cell>
        </row>
        <row r="56341">
          <cell r="O56341" t="str">
            <v/>
          </cell>
        </row>
        <row r="56342">
          <cell r="O56342" t="str">
            <v/>
          </cell>
        </row>
        <row r="56343">
          <cell r="O56343" t="str">
            <v/>
          </cell>
        </row>
        <row r="56344">
          <cell r="O56344" t="str">
            <v/>
          </cell>
        </row>
        <row r="56345">
          <cell r="O56345" t="str">
            <v/>
          </cell>
        </row>
        <row r="56346">
          <cell r="O56346" t="str">
            <v/>
          </cell>
        </row>
        <row r="56347">
          <cell r="O56347" t="str">
            <v/>
          </cell>
        </row>
        <row r="56348">
          <cell r="O56348" t="str">
            <v/>
          </cell>
        </row>
        <row r="56349">
          <cell r="O56349" t="str">
            <v/>
          </cell>
        </row>
        <row r="56350">
          <cell r="O56350" t="str">
            <v/>
          </cell>
        </row>
        <row r="56351">
          <cell r="O56351" t="str">
            <v/>
          </cell>
        </row>
        <row r="56352">
          <cell r="O56352" t="str">
            <v/>
          </cell>
        </row>
        <row r="56353">
          <cell r="O56353" t="str">
            <v/>
          </cell>
        </row>
        <row r="56354">
          <cell r="O56354" t="str">
            <v/>
          </cell>
        </row>
        <row r="56355">
          <cell r="O56355" t="str">
            <v/>
          </cell>
        </row>
        <row r="56356">
          <cell r="O56356" t="str">
            <v/>
          </cell>
        </row>
        <row r="56357">
          <cell r="O56357" t="str">
            <v/>
          </cell>
        </row>
        <row r="56358">
          <cell r="O56358" t="str">
            <v/>
          </cell>
        </row>
        <row r="56359">
          <cell r="O56359" t="str">
            <v/>
          </cell>
        </row>
        <row r="56360">
          <cell r="O56360" t="str">
            <v/>
          </cell>
        </row>
        <row r="56361">
          <cell r="O56361" t="str">
            <v/>
          </cell>
        </row>
        <row r="56362">
          <cell r="O56362" t="str">
            <v/>
          </cell>
        </row>
        <row r="56363">
          <cell r="O56363" t="str">
            <v/>
          </cell>
        </row>
        <row r="56364">
          <cell r="O56364" t="str">
            <v/>
          </cell>
        </row>
        <row r="56365">
          <cell r="O56365" t="str">
            <v/>
          </cell>
        </row>
        <row r="56366">
          <cell r="O56366" t="str">
            <v/>
          </cell>
        </row>
        <row r="56367">
          <cell r="O56367" t="str">
            <v/>
          </cell>
        </row>
        <row r="56368">
          <cell r="O56368" t="str">
            <v/>
          </cell>
        </row>
        <row r="56369">
          <cell r="O56369" t="str">
            <v/>
          </cell>
        </row>
        <row r="56370">
          <cell r="O56370" t="str">
            <v/>
          </cell>
        </row>
        <row r="56371">
          <cell r="O56371" t="str">
            <v/>
          </cell>
        </row>
        <row r="56372">
          <cell r="O56372" t="str">
            <v/>
          </cell>
        </row>
        <row r="56373">
          <cell r="O56373" t="str">
            <v/>
          </cell>
        </row>
        <row r="56374">
          <cell r="O56374" t="str">
            <v/>
          </cell>
        </row>
        <row r="56375">
          <cell r="O56375" t="str">
            <v/>
          </cell>
        </row>
        <row r="56376">
          <cell r="O56376" t="str">
            <v/>
          </cell>
        </row>
        <row r="56377">
          <cell r="O56377" t="str">
            <v/>
          </cell>
        </row>
        <row r="56378">
          <cell r="O56378" t="str">
            <v/>
          </cell>
        </row>
        <row r="56379">
          <cell r="O56379" t="str">
            <v/>
          </cell>
        </row>
        <row r="56380">
          <cell r="O56380" t="str">
            <v/>
          </cell>
        </row>
        <row r="56381">
          <cell r="O56381" t="str">
            <v/>
          </cell>
        </row>
        <row r="56382">
          <cell r="O56382" t="str">
            <v/>
          </cell>
        </row>
        <row r="56383">
          <cell r="O56383" t="str">
            <v/>
          </cell>
        </row>
        <row r="56384">
          <cell r="O56384" t="str">
            <v/>
          </cell>
        </row>
        <row r="56385">
          <cell r="O56385" t="str">
            <v/>
          </cell>
        </row>
        <row r="56386">
          <cell r="O56386" t="str">
            <v/>
          </cell>
        </row>
        <row r="56387">
          <cell r="O56387" t="str">
            <v/>
          </cell>
        </row>
        <row r="56388">
          <cell r="O56388" t="str">
            <v/>
          </cell>
        </row>
        <row r="56389">
          <cell r="O56389" t="str">
            <v/>
          </cell>
        </row>
        <row r="56390">
          <cell r="O56390" t="str">
            <v/>
          </cell>
        </row>
        <row r="56391">
          <cell r="O56391" t="str">
            <v/>
          </cell>
        </row>
        <row r="56392">
          <cell r="O56392" t="str">
            <v/>
          </cell>
        </row>
        <row r="56393">
          <cell r="O56393" t="str">
            <v/>
          </cell>
        </row>
        <row r="56394">
          <cell r="O56394" t="str">
            <v/>
          </cell>
        </row>
        <row r="56395">
          <cell r="O56395" t="str">
            <v/>
          </cell>
        </row>
        <row r="56396">
          <cell r="O56396" t="str">
            <v/>
          </cell>
        </row>
        <row r="56397">
          <cell r="O56397" t="str">
            <v/>
          </cell>
        </row>
        <row r="56398">
          <cell r="O56398" t="str">
            <v/>
          </cell>
        </row>
        <row r="56399">
          <cell r="O56399" t="str">
            <v/>
          </cell>
        </row>
        <row r="56400">
          <cell r="O56400" t="str">
            <v/>
          </cell>
        </row>
        <row r="56401">
          <cell r="O56401" t="str">
            <v/>
          </cell>
        </row>
        <row r="56402">
          <cell r="O56402" t="str">
            <v/>
          </cell>
        </row>
        <row r="56403">
          <cell r="O56403" t="str">
            <v/>
          </cell>
        </row>
        <row r="56404">
          <cell r="O56404" t="str">
            <v/>
          </cell>
        </row>
        <row r="56405">
          <cell r="O56405" t="str">
            <v/>
          </cell>
        </row>
        <row r="56406">
          <cell r="O56406" t="str">
            <v/>
          </cell>
        </row>
        <row r="56407">
          <cell r="O56407" t="str">
            <v/>
          </cell>
        </row>
        <row r="56408">
          <cell r="O56408" t="str">
            <v/>
          </cell>
        </row>
        <row r="56409">
          <cell r="O56409" t="str">
            <v/>
          </cell>
        </row>
        <row r="56410">
          <cell r="O56410" t="str">
            <v/>
          </cell>
        </row>
        <row r="56411">
          <cell r="O56411" t="str">
            <v/>
          </cell>
        </row>
        <row r="56412">
          <cell r="O56412" t="str">
            <v/>
          </cell>
        </row>
        <row r="56413">
          <cell r="O56413" t="str">
            <v/>
          </cell>
        </row>
        <row r="56414">
          <cell r="O56414" t="str">
            <v/>
          </cell>
        </row>
        <row r="56415">
          <cell r="O56415" t="str">
            <v/>
          </cell>
        </row>
        <row r="56416">
          <cell r="O56416" t="str">
            <v/>
          </cell>
        </row>
        <row r="56417">
          <cell r="O56417" t="str">
            <v/>
          </cell>
        </row>
        <row r="56418">
          <cell r="O56418" t="str">
            <v/>
          </cell>
        </row>
        <row r="56419">
          <cell r="O56419" t="str">
            <v/>
          </cell>
        </row>
        <row r="56420">
          <cell r="O56420" t="str">
            <v/>
          </cell>
        </row>
        <row r="56421">
          <cell r="O56421" t="str">
            <v/>
          </cell>
        </row>
        <row r="56422">
          <cell r="O56422" t="str">
            <v/>
          </cell>
        </row>
        <row r="56423">
          <cell r="O56423" t="str">
            <v/>
          </cell>
        </row>
        <row r="56424">
          <cell r="O56424" t="str">
            <v/>
          </cell>
        </row>
        <row r="56425">
          <cell r="O56425" t="str">
            <v/>
          </cell>
        </row>
        <row r="56426">
          <cell r="O56426" t="str">
            <v/>
          </cell>
        </row>
        <row r="56427">
          <cell r="O56427" t="str">
            <v/>
          </cell>
        </row>
        <row r="56428">
          <cell r="O56428" t="str">
            <v/>
          </cell>
        </row>
        <row r="56429">
          <cell r="O56429" t="str">
            <v/>
          </cell>
        </row>
        <row r="56430">
          <cell r="O56430" t="str">
            <v/>
          </cell>
        </row>
        <row r="56431">
          <cell r="O56431" t="str">
            <v/>
          </cell>
        </row>
        <row r="56432">
          <cell r="O56432" t="str">
            <v/>
          </cell>
        </row>
        <row r="56433">
          <cell r="O56433" t="str">
            <v/>
          </cell>
        </row>
        <row r="56434">
          <cell r="O56434" t="str">
            <v/>
          </cell>
        </row>
        <row r="56435">
          <cell r="O56435" t="str">
            <v/>
          </cell>
        </row>
        <row r="56436">
          <cell r="O56436" t="str">
            <v/>
          </cell>
        </row>
        <row r="56437">
          <cell r="O56437" t="str">
            <v/>
          </cell>
        </row>
        <row r="56438">
          <cell r="O56438" t="str">
            <v/>
          </cell>
        </row>
        <row r="56439">
          <cell r="O56439" t="str">
            <v/>
          </cell>
        </row>
        <row r="56440">
          <cell r="O56440" t="str">
            <v/>
          </cell>
        </row>
        <row r="56441">
          <cell r="O56441" t="str">
            <v/>
          </cell>
        </row>
        <row r="56442">
          <cell r="O56442" t="str">
            <v/>
          </cell>
        </row>
        <row r="56443">
          <cell r="O56443" t="str">
            <v/>
          </cell>
        </row>
        <row r="56444">
          <cell r="O56444" t="str">
            <v/>
          </cell>
        </row>
        <row r="56445">
          <cell r="O56445" t="str">
            <v/>
          </cell>
        </row>
        <row r="56446">
          <cell r="O56446" t="str">
            <v/>
          </cell>
        </row>
        <row r="56447">
          <cell r="O56447" t="str">
            <v/>
          </cell>
        </row>
        <row r="56448">
          <cell r="O56448" t="str">
            <v/>
          </cell>
        </row>
        <row r="56449">
          <cell r="O56449" t="str">
            <v/>
          </cell>
        </row>
        <row r="56450">
          <cell r="O56450" t="str">
            <v/>
          </cell>
        </row>
        <row r="56451">
          <cell r="O56451" t="str">
            <v/>
          </cell>
        </row>
        <row r="56452">
          <cell r="O56452" t="str">
            <v/>
          </cell>
        </row>
        <row r="56453">
          <cell r="O56453" t="str">
            <v/>
          </cell>
        </row>
        <row r="56454">
          <cell r="O56454" t="str">
            <v/>
          </cell>
        </row>
        <row r="56455">
          <cell r="O56455" t="str">
            <v/>
          </cell>
        </row>
        <row r="56456">
          <cell r="O56456" t="str">
            <v/>
          </cell>
        </row>
        <row r="56457">
          <cell r="O56457" t="str">
            <v/>
          </cell>
        </row>
        <row r="56458">
          <cell r="O56458" t="str">
            <v/>
          </cell>
        </row>
        <row r="56459">
          <cell r="O56459" t="str">
            <v/>
          </cell>
        </row>
        <row r="56460">
          <cell r="O56460" t="str">
            <v/>
          </cell>
        </row>
        <row r="56461">
          <cell r="O56461" t="str">
            <v/>
          </cell>
        </row>
        <row r="56462">
          <cell r="O56462" t="str">
            <v/>
          </cell>
        </row>
        <row r="56463">
          <cell r="O56463" t="str">
            <v/>
          </cell>
        </row>
        <row r="56464">
          <cell r="O56464" t="str">
            <v/>
          </cell>
        </row>
        <row r="56465">
          <cell r="O56465" t="str">
            <v/>
          </cell>
        </row>
        <row r="56466">
          <cell r="O56466" t="str">
            <v/>
          </cell>
        </row>
        <row r="56467">
          <cell r="O56467" t="str">
            <v/>
          </cell>
        </row>
        <row r="56468">
          <cell r="O56468" t="str">
            <v/>
          </cell>
        </row>
        <row r="56469">
          <cell r="O56469" t="str">
            <v/>
          </cell>
        </row>
        <row r="56470">
          <cell r="O56470" t="str">
            <v/>
          </cell>
        </row>
        <row r="56471">
          <cell r="O56471" t="str">
            <v/>
          </cell>
        </row>
        <row r="56472">
          <cell r="O56472" t="str">
            <v/>
          </cell>
        </row>
        <row r="56473">
          <cell r="O56473" t="str">
            <v/>
          </cell>
        </row>
        <row r="56474">
          <cell r="O56474" t="str">
            <v/>
          </cell>
        </row>
        <row r="56475">
          <cell r="O56475" t="str">
            <v/>
          </cell>
        </row>
        <row r="56476">
          <cell r="O56476" t="str">
            <v/>
          </cell>
        </row>
        <row r="56477">
          <cell r="O56477" t="str">
            <v/>
          </cell>
        </row>
        <row r="56478">
          <cell r="O56478" t="str">
            <v/>
          </cell>
        </row>
        <row r="56479">
          <cell r="O56479" t="str">
            <v/>
          </cell>
        </row>
        <row r="56480">
          <cell r="O56480" t="str">
            <v/>
          </cell>
        </row>
        <row r="56481">
          <cell r="O56481" t="str">
            <v/>
          </cell>
        </row>
        <row r="56482">
          <cell r="O56482" t="str">
            <v/>
          </cell>
        </row>
        <row r="56483">
          <cell r="O56483" t="str">
            <v/>
          </cell>
        </row>
        <row r="56484">
          <cell r="O56484" t="str">
            <v/>
          </cell>
        </row>
        <row r="56485">
          <cell r="O56485" t="str">
            <v/>
          </cell>
        </row>
        <row r="56486">
          <cell r="O56486" t="str">
            <v/>
          </cell>
        </row>
        <row r="56487">
          <cell r="O56487" t="str">
            <v/>
          </cell>
        </row>
        <row r="56488">
          <cell r="O56488" t="str">
            <v/>
          </cell>
        </row>
        <row r="56489">
          <cell r="O56489" t="str">
            <v/>
          </cell>
        </row>
        <row r="56490">
          <cell r="O56490" t="str">
            <v/>
          </cell>
        </row>
        <row r="56491">
          <cell r="O56491" t="str">
            <v/>
          </cell>
        </row>
        <row r="56492">
          <cell r="O56492" t="str">
            <v/>
          </cell>
        </row>
        <row r="56493">
          <cell r="O56493" t="str">
            <v/>
          </cell>
        </row>
        <row r="56494">
          <cell r="O56494" t="str">
            <v/>
          </cell>
        </row>
        <row r="56495">
          <cell r="O56495" t="str">
            <v/>
          </cell>
        </row>
        <row r="56496">
          <cell r="O56496" t="str">
            <v/>
          </cell>
        </row>
        <row r="56497">
          <cell r="O56497" t="str">
            <v/>
          </cell>
        </row>
        <row r="56498">
          <cell r="O56498" t="str">
            <v/>
          </cell>
        </row>
        <row r="56499">
          <cell r="O56499" t="str">
            <v/>
          </cell>
        </row>
        <row r="56500">
          <cell r="O56500" t="str">
            <v/>
          </cell>
        </row>
        <row r="56501">
          <cell r="O56501" t="str">
            <v/>
          </cell>
        </row>
        <row r="56502">
          <cell r="O56502" t="str">
            <v/>
          </cell>
        </row>
        <row r="56503">
          <cell r="O56503" t="str">
            <v/>
          </cell>
        </row>
        <row r="56504">
          <cell r="O56504" t="str">
            <v/>
          </cell>
        </row>
        <row r="56505">
          <cell r="O56505" t="str">
            <v/>
          </cell>
        </row>
        <row r="56506">
          <cell r="O56506" t="str">
            <v/>
          </cell>
        </row>
        <row r="56507">
          <cell r="O56507" t="str">
            <v/>
          </cell>
        </row>
        <row r="56508">
          <cell r="O56508" t="str">
            <v/>
          </cell>
        </row>
        <row r="56509">
          <cell r="O56509" t="str">
            <v/>
          </cell>
        </row>
        <row r="56510">
          <cell r="O56510" t="str">
            <v/>
          </cell>
        </row>
        <row r="56511">
          <cell r="O56511" t="str">
            <v/>
          </cell>
        </row>
        <row r="56512">
          <cell r="O56512" t="str">
            <v/>
          </cell>
        </row>
        <row r="56513">
          <cell r="O56513" t="str">
            <v/>
          </cell>
        </row>
        <row r="56514">
          <cell r="O56514" t="str">
            <v/>
          </cell>
        </row>
        <row r="56515">
          <cell r="O56515" t="str">
            <v/>
          </cell>
        </row>
        <row r="56516">
          <cell r="O56516" t="str">
            <v/>
          </cell>
        </row>
        <row r="56517">
          <cell r="O56517" t="str">
            <v/>
          </cell>
        </row>
        <row r="56518">
          <cell r="O56518" t="str">
            <v/>
          </cell>
        </row>
        <row r="56519">
          <cell r="O56519" t="str">
            <v/>
          </cell>
        </row>
        <row r="56520">
          <cell r="O56520" t="str">
            <v/>
          </cell>
        </row>
        <row r="56521">
          <cell r="O56521" t="str">
            <v/>
          </cell>
        </row>
        <row r="56522">
          <cell r="O56522" t="str">
            <v/>
          </cell>
        </row>
        <row r="56523">
          <cell r="O56523" t="str">
            <v/>
          </cell>
        </row>
        <row r="56524">
          <cell r="O56524" t="str">
            <v/>
          </cell>
        </row>
        <row r="56525">
          <cell r="O56525" t="str">
            <v/>
          </cell>
        </row>
        <row r="56526">
          <cell r="O56526" t="str">
            <v/>
          </cell>
        </row>
        <row r="56527">
          <cell r="O56527" t="str">
            <v/>
          </cell>
        </row>
        <row r="56528">
          <cell r="O56528" t="str">
            <v/>
          </cell>
        </row>
        <row r="56529">
          <cell r="O56529" t="str">
            <v/>
          </cell>
        </row>
        <row r="56530">
          <cell r="O56530" t="str">
            <v/>
          </cell>
        </row>
        <row r="56531">
          <cell r="O56531" t="str">
            <v/>
          </cell>
        </row>
        <row r="56532">
          <cell r="O56532" t="str">
            <v/>
          </cell>
        </row>
        <row r="56533">
          <cell r="O56533" t="str">
            <v/>
          </cell>
        </row>
        <row r="56534">
          <cell r="O56534" t="str">
            <v/>
          </cell>
        </row>
        <row r="56535">
          <cell r="O56535" t="str">
            <v/>
          </cell>
        </row>
        <row r="56536">
          <cell r="O56536" t="str">
            <v/>
          </cell>
        </row>
        <row r="56537">
          <cell r="O56537" t="str">
            <v/>
          </cell>
        </row>
        <row r="56538">
          <cell r="O56538" t="str">
            <v/>
          </cell>
        </row>
        <row r="56539">
          <cell r="O56539" t="str">
            <v/>
          </cell>
        </row>
        <row r="56540">
          <cell r="O56540" t="str">
            <v/>
          </cell>
        </row>
        <row r="56541">
          <cell r="O56541" t="str">
            <v/>
          </cell>
        </row>
        <row r="56542">
          <cell r="O56542" t="str">
            <v/>
          </cell>
        </row>
        <row r="56543">
          <cell r="O56543" t="str">
            <v/>
          </cell>
        </row>
        <row r="56544">
          <cell r="O56544" t="str">
            <v/>
          </cell>
        </row>
        <row r="56545">
          <cell r="O56545" t="str">
            <v/>
          </cell>
        </row>
        <row r="56546">
          <cell r="O56546" t="str">
            <v/>
          </cell>
        </row>
        <row r="56547">
          <cell r="O56547" t="str">
            <v/>
          </cell>
        </row>
        <row r="56548">
          <cell r="O56548" t="str">
            <v/>
          </cell>
        </row>
        <row r="56549">
          <cell r="O56549" t="str">
            <v/>
          </cell>
        </row>
        <row r="56550">
          <cell r="O56550" t="str">
            <v/>
          </cell>
        </row>
        <row r="56551">
          <cell r="O56551" t="str">
            <v/>
          </cell>
        </row>
        <row r="56552">
          <cell r="O56552" t="str">
            <v/>
          </cell>
        </row>
        <row r="56553">
          <cell r="O56553" t="str">
            <v/>
          </cell>
        </row>
        <row r="56554">
          <cell r="O56554" t="str">
            <v/>
          </cell>
        </row>
        <row r="56555">
          <cell r="O56555" t="str">
            <v/>
          </cell>
        </row>
        <row r="56556">
          <cell r="O56556" t="str">
            <v/>
          </cell>
        </row>
        <row r="56557">
          <cell r="O56557" t="str">
            <v/>
          </cell>
        </row>
        <row r="56558">
          <cell r="O56558" t="str">
            <v/>
          </cell>
        </row>
        <row r="56559">
          <cell r="O56559" t="str">
            <v/>
          </cell>
        </row>
        <row r="56560">
          <cell r="O56560" t="str">
            <v/>
          </cell>
        </row>
        <row r="56561">
          <cell r="O56561" t="str">
            <v/>
          </cell>
        </row>
        <row r="56562">
          <cell r="O56562" t="str">
            <v/>
          </cell>
        </row>
        <row r="56563">
          <cell r="O56563" t="str">
            <v/>
          </cell>
        </row>
        <row r="56564">
          <cell r="O56564" t="str">
            <v/>
          </cell>
        </row>
        <row r="56565">
          <cell r="O56565" t="str">
            <v/>
          </cell>
        </row>
        <row r="56566">
          <cell r="O56566" t="str">
            <v/>
          </cell>
        </row>
        <row r="56567">
          <cell r="O56567" t="str">
            <v/>
          </cell>
        </row>
        <row r="56568">
          <cell r="O56568" t="str">
            <v/>
          </cell>
        </row>
        <row r="56569">
          <cell r="O56569" t="str">
            <v/>
          </cell>
        </row>
        <row r="56570">
          <cell r="O56570" t="str">
            <v/>
          </cell>
        </row>
        <row r="56571">
          <cell r="O56571" t="str">
            <v/>
          </cell>
        </row>
        <row r="56572">
          <cell r="O56572" t="str">
            <v/>
          </cell>
        </row>
        <row r="56573">
          <cell r="O56573" t="str">
            <v/>
          </cell>
        </row>
        <row r="56574">
          <cell r="O56574" t="str">
            <v/>
          </cell>
        </row>
        <row r="56575">
          <cell r="O56575" t="str">
            <v/>
          </cell>
        </row>
        <row r="56576">
          <cell r="O56576" t="str">
            <v/>
          </cell>
        </row>
        <row r="56577">
          <cell r="O56577" t="str">
            <v/>
          </cell>
        </row>
        <row r="56578">
          <cell r="O56578" t="str">
            <v/>
          </cell>
        </row>
        <row r="56579">
          <cell r="O56579" t="str">
            <v/>
          </cell>
        </row>
        <row r="56580">
          <cell r="O56580" t="str">
            <v/>
          </cell>
        </row>
        <row r="56581">
          <cell r="O56581" t="str">
            <v/>
          </cell>
        </row>
        <row r="56582">
          <cell r="O56582" t="str">
            <v/>
          </cell>
        </row>
        <row r="56583">
          <cell r="O56583" t="str">
            <v/>
          </cell>
        </row>
        <row r="56584">
          <cell r="O56584" t="str">
            <v/>
          </cell>
        </row>
        <row r="56585">
          <cell r="O56585" t="str">
            <v/>
          </cell>
        </row>
        <row r="56586">
          <cell r="O56586" t="str">
            <v/>
          </cell>
        </row>
        <row r="56587">
          <cell r="O56587" t="str">
            <v/>
          </cell>
        </row>
        <row r="56588">
          <cell r="O56588" t="str">
            <v/>
          </cell>
        </row>
        <row r="56589">
          <cell r="O56589" t="str">
            <v/>
          </cell>
        </row>
        <row r="56590">
          <cell r="O56590" t="str">
            <v/>
          </cell>
        </row>
        <row r="56591">
          <cell r="O56591" t="str">
            <v/>
          </cell>
        </row>
        <row r="56592">
          <cell r="O56592" t="str">
            <v/>
          </cell>
        </row>
        <row r="56593">
          <cell r="O56593" t="str">
            <v/>
          </cell>
        </row>
        <row r="56594">
          <cell r="O56594" t="str">
            <v/>
          </cell>
        </row>
        <row r="56595">
          <cell r="O56595" t="str">
            <v/>
          </cell>
        </row>
        <row r="56596">
          <cell r="O56596" t="str">
            <v/>
          </cell>
        </row>
        <row r="56597">
          <cell r="O56597" t="str">
            <v/>
          </cell>
        </row>
        <row r="56598">
          <cell r="O56598" t="str">
            <v/>
          </cell>
        </row>
        <row r="56599">
          <cell r="O56599" t="str">
            <v/>
          </cell>
        </row>
        <row r="56600">
          <cell r="O56600" t="str">
            <v/>
          </cell>
        </row>
        <row r="56601">
          <cell r="O56601" t="str">
            <v/>
          </cell>
        </row>
        <row r="56602">
          <cell r="O56602" t="str">
            <v/>
          </cell>
        </row>
        <row r="56603">
          <cell r="O56603" t="str">
            <v/>
          </cell>
        </row>
        <row r="56604">
          <cell r="O56604" t="str">
            <v/>
          </cell>
        </row>
        <row r="56605">
          <cell r="O56605" t="str">
            <v/>
          </cell>
        </row>
        <row r="56606">
          <cell r="O56606" t="str">
            <v/>
          </cell>
        </row>
        <row r="56607">
          <cell r="O56607" t="str">
            <v/>
          </cell>
        </row>
        <row r="56608">
          <cell r="O56608" t="str">
            <v/>
          </cell>
        </row>
        <row r="56609">
          <cell r="O56609" t="str">
            <v/>
          </cell>
        </row>
        <row r="56610">
          <cell r="O56610" t="str">
            <v/>
          </cell>
        </row>
        <row r="56611">
          <cell r="O56611" t="str">
            <v/>
          </cell>
        </row>
        <row r="56612">
          <cell r="O56612" t="str">
            <v/>
          </cell>
        </row>
        <row r="56613">
          <cell r="O56613" t="str">
            <v/>
          </cell>
        </row>
        <row r="56614">
          <cell r="O56614" t="str">
            <v/>
          </cell>
        </row>
        <row r="56615">
          <cell r="O56615" t="str">
            <v/>
          </cell>
        </row>
        <row r="56616">
          <cell r="O56616" t="str">
            <v/>
          </cell>
        </row>
        <row r="56617">
          <cell r="O56617" t="str">
            <v/>
          </cell>
        </row>
        <row r="56618">
          <cell r="O56618" t="str">
            <v/>
          </cell>
        </row>
        <row r="56619">
          <cell r="O56619" t="str">
            <v/>
          </cell>
        </row>
        <row r="56620">
          <cell r="O56620" t="str">
            <v/>
          </cell>
        </row>
        <row r="56621">
          <cell r="O56621" t="str">
            <v/>
          </cell>
        </row>
        <row r="56622">
          <cell r="O56622" t="str">
            <v/>
          </cell>
        </row>
        <row r="56623">
          <cell r="O56623" t="str">
            <v/>
          </cell>
        </row>
        <row r="56624">
          <cell r="O56624" t="str">
            <v/>
          </cell>
        </row>
        <row r="56625">
          <cell r="O56625" t="str">
            <v/>
          </cell>
        </row>
        <row r="56626">
          <cell r="O56626" t="str">
            <v/>
          </cell>
        </row>
        <row r="56627">
          <cell r="O56627" t="str">
            <v/>
          </cell>
        </row>
        <row r="56628">
          <cell r="O56628" t="str">
            <v/>
          </cell>
        </row>
        <row r="56629">
          <cell r="O56629" t="str">
            <v/>
          </cell>
        </row>
        <row r="56630">
          <cell r="O56630" t="str">
            <v/>
          </cell>
        </row>
        <row r="56631">
          <cell r="O56631" t="str">
            <v/>
          </cell>
        </row>
        <row r="56632">
          <cell r="O56632" t="str">
            <v/>
          </cell>
        </row>
        <row r="56633">
          <cell r="O56633" t="str">
            <v/>
          </cell>
        </row>
        <row r="56634">
          <cell r="O56634" t="str">
            <v/>
          </cell>
        </row>
        <row r="56635">
          <cell r="O56635" t="str">
            <v/>
          </cell>
        </row>
        <row r="56636">
          <cell r="O56636" t="str">
            <v/>
          </cell>
        </row>
        <row r="56637">
          <cell r="O56637" t="str">
            <v/>
          </cell>
        </row>
        <row r="56638">
          <cell r="O56638" t="str">
            <v/>
          </cell>
        </row>
        <row r="56639">
          <cell r="O56639" t="str">
            <v/>
          </cell>
        </row>
        <row r="56640">
          <cell r="O56640" t="str">
            <v/>
          </cell>
        </row>
        <row r="56641">
          <cell r="O56641" t="str">
            <v/>
          </cell>
        </row>
        <row r="56642">
          <cell r="O56642" t="str">
            <v/>
          </cell>
        </row>
        <row r="56643">
          <cell r="O56643" t="str">
            <v/>
          </cell>
        </row>
        <row r="56644">
          <cell r="O56644" t="str">
            <v/>
          </cell>
        </row>
        <row r="56645">
          <cell r="O56645" t="str">
            <v/>
          </cell>
        </row>
        <row r="56646">
          <cell r="O56646" t="str">
            <v/>
          </cell>
        </row>
        <row r="56647">
          <cell r="O56647" t="str">
            <v/>
          </cell>
        </row>
        <row r="56648">
          <cell r="O56648" t="str">
            <v/>
          </cell>
        </row>
        <row r="56649">
          <cell r="O56649" t="str">
            <v/>
          </cell>
        </row>
        <row r="56650">
          <cell r="O56650" t="str">
            <v/>
          </cell>
        </row>
        <row r="56651">
          <cell r="O56651" t="str">
            <v/>
          </cell>
        </row>
        <row r="56652">
          <cell r="O56652" t="str">
            <v/>
          </cell>
        </row>
        <row r="56653">
          <cell r="O56653" t="str">
            <v/>
          </cell>
        </row>
        <row r="56654">
          <cell r="O56654" t="str">
            <v/>
          </cell>
        </row>
        <row r="56655">
          <cell r="O56655" t="str">
            <v/>
          </cell>
        </row>
        <row r="56656">
          <cell r="O56656" t="str">
            <v/>
          </cell>
        </row>
        <row r="56657">
          <cell r="O56657" t="str">
            <v/>
          </cell>
        </row>
        <row r="56658">
          <cell r="O56658" t="str">
            <v/>
          </cell>
        </row>
        <row r="56659">
          <cell r="O56659" t="str">
            <v/>
          </cell>
        </row>
        <row r="56660">
          <cell r="O56660" t="str">
            <v/>
          </cell>
        </row>
        <row r="56661">
          <cell r="O56661" t="str">
            <v/>
          </cell>
        </row>
        <row r="56662">
          <cell r="O56662" t="str">
            <v/>
          </cell>
        </row>
        <row r="56663">
          <cell r="O56663" t="str">
            <v/>
          </cell>
        </row>
        <row r="56664">
          <cell r="O56664" t="str">
            <v/>
          </cell>
        </row>
        <row r="56665">
          <cell r="O56665" t="str">
            <v/>
          </cell>
        </row>
        <row r="56666">
          <cell r="O56666" t="str">
            <v/>
          </cell>
        </row>
        <row r="56667">
          <cell r="O56667" t="str">
            <v/>
          </cell>
        </row>
        <row r="56668">
          <cell r="O56668" t="str">
            <v/>
          </cell>
        </row>
        <row r="56669">
          <cell r="O56669" t="str">
            <v/>
          </cell>
        </row>
        <row r="56670">
          <cell r="O56670" t="str">
            <v/>
          </cell>
        </row>
        <row r="56671">
          <cell r="O56671" t="str">
            <v/>
          </cell>
        </row>
        <row r="56672">
          <cell r="O56672" t="str">
            <v/>
          </cell>
        </row>
        <row r="56673">
          <cell r="O56673" t="str">
            <v/>
          </cell>
        </row>
        <row r="56674">
          <cell r="O56674" t="str">
            <v/>
          </cell>
        </row>
        <row r="56675">
          <cell r="O56675" t="str">
            <v/>
          </cell>
        </row>
        <row r="56676">
          <cell r="O56676" t="str">
            <v/>
          </cell>
        </row>
        <row r="56677">
          <cell r="O56677" t="str">
            <v/>
          </cell>
        </row>
        <row r="56678">
          <cell r="O56678" t="str">
            <v/>
          </cell>
        </row>
        <row r="56679">
          <cell r="O56679" t="str">
            <v/>
          </cell>
        </row>
        <row r="56680">
          <cell r="O56680" t="str">
            <v/>
          </cell>
        </row>
        <row r="56681">
          <cell r="O56681" t="str">
            <v/>
          </cell>
        </row>
        <row r="56682">
          <cell r="O56682" t="str">
            <v/>
          </cell>
        </row>
        <row r="56683">
          <cell r="O56683" t="str">
            <v/>
          </cell>
        </row>
        <row r="56684">
          <cell r="O56684" t="str">
            <v/>
          </cell>
        </row>
        <row r="56685">
          <cell r="O56685" t="str">
            <v/>
          </cell>
        </row>
        <row r="56686">
          <cell r="O56686" t="str">
            <v/>
          </cell>
        </row>
        <row r="56687">
          <cell r="O56687" t="str">
            <v/>
          </cell>
        </row>
        <row r="56688">
          <cell r="O56688" t="str">
            <v/>
          </cell>
        </row>
        <row r="56689">
          <cell r="O56689" t="str">
            <v/>
          </cell>
        </row>
        <row r="56690">
          <cell r="O56690" t="str">
            <v/>
          </cell>
        </row>
        <row r="56691">
          <cell r="O56691" t="str">
            <v/>
          </cell>
        </row>
        <row r="56692">
          <cell r="O56692" t="str">
            <v/>
          </cell>
        </row>
        <row r="56693">
          <cell r="O56693" t="str">
            <v/>
          </cell>
        </row>
        <row r="56694">
          <cell r="O56694" t="str">
            <v/>
          </cell>
        </row>
        <row r="56695">
          <cell r="O56695" t="str">
            <v/>
          </cell>
        </row>
        <row r="56696">
          <cell r="O56696" t="str">
            <v/>
          </cell>
        </row>
        <row r="56697">
          <cell r="O56697" t="str">
            <v/>
          </cell>
        </row>
        <row r="56698">
          <cell r="O56698" t="str">
            <v/>
          </cell>
        </row>
        <row r="56699">
          <cell r="O56699" t="str">
            <v/>
          </cell>
        </row>
        <row r="56700">
          <cell r="O56700" t="str">
            <v/>
          </cell>
        </row>
        <row r="56701">
          <cell r="O56701" t="str">
            <v/>
          </cell>
        </row>
        <row r="56702">
          <cell r="O56702" t="str">
            <v/>
          </cell>
        </row>
        <row r="56703">
          <cell r="O56703" t="str">
            <v/>
          </cell>
        </row>
        <row r="56704">
          <cell r="O56704" t="str">
            <v/>
          </cell>
        </row>
        <row r="56705">
          <cell r="O56705" t="str">
            <v/>
          </cell>
        </row>
        <row r="56706">
          <cell r="O56706" t="str">
            <v/>
          </cell>
        </row>
        <row r="56707">
          <cell r="O56707" t="str">
            <v/>
          </cell>
        </row>
        <row r="56708">
          <cell r="O56708" t="str">
            <v/>
          </cell>
        </row>
        <row r="56709">
          <cell r="O56709" t="str">
            <v/>
          </cell>
        </row>
        <row r="56710">
          <cell r="O56710" t="str">
            <v/>
          </cell>
        </row>
        <row r="56711">
          <cell r="O56711" t="str">
            <v/>
          </cell>
        </row>
        <row r="56712">
          <cell r="O56712" t="str">
            <v/>
          </cell>
        </row>
        <row r="56713">
          <cell r="O56713" t="str">
            <v/>
          </cell>
        </row>
        <row r="56714">
          <cell r="O56714" t="str">
            <v/>
          </cell>
        </row>
        <row r="56715">
          <cell r="O56715" t="str">
            <v/>
          </cell>
        </row>
        <row r="56716">
          <cell r="O56716" t="str">
            <v/>
          </cell>
        </row>
        <row r="56717">
          <cell r="O56717" t="str">
            <v/>
          </cell>
        </row>
        <row r="56718">
          <cell r="O56718" t="str">
            <v/>
          </cell>
        </row>
        <row r="56719">
          <cell r="O56719" t="str">
            <v/>
          </cell>
        </row>
        <row r="56720">
          <cell r="O56720" t="str">
            <v/>
          </cell>
        </row>
        <row r="56721">
          <cell r="O56721" t="str">
            <v/>
          </cell>
        </row>
        <row r="56722">
          <cell r="O56722" t="str">
            <v/>
          </cell>
        </row>
        <row r="56723">
          <cell r="O56723" t="str">
            <v/>
          </cell>
        </row>
        <row r="56724">
          <cell r="O56724" t="str">
            <v/>
          </cell>
        </row>
        <row r="56725">
          <cell r="O56725" t="str">
            <v/>
          </cell>
        </row>
        <row r="56726">
          <cell r="O56726" t="str">
            <v/>
          </cell>
        </row>
        <row r="56727">
          <cell r="O56727" t="str">
            <v/>
          </cell>
        </row>
        <row r="56728">
          <cell r="O56728" t="str">
            <v/>
          </cell>
        </row>
        <row r="56729">
          <cell r="O56729" t="str">
            <v/>
          </cell>
        </row>
        <row r="56730">
          <cell r="O56730" t="str">
            <v/>
          </cell>
        </row>
        <row r="56731">
          <cell r="O56731" t="str">
            <v/>
          </cell>
        </row>
        <row r="56732">
          <cell r="O56732" t="str">
            <v/>
          </cell>
        </row>
        <row r="56733">
          <cell r="O56733" t="str">
            <v/>
          </cell>
        </row>
        <row r="56734">
          <cell r="O56734" t="str">
            <v/>
          </cell>
        </row>
        <row r="56735">
          <cell r="O56735" t="str">
            <v/>
          </cell>
        </row>
        <row r="56736">
          <cell r="O56736" t="str">
            <v/>
          </cell>
        </row>
        <row r="56737">
          <cell r="O56737" t="str">
            <v/>
          </cell>
        </row>
        <row r="56738">
          <cell r="O56738" t="str">
            <v/>
          </cell>
        </row>
        <row r="56739">
          <cell r="O56739" t="str">
            <v/>
          </cell>
        </row>
        <row r="56740">
          <cell r="O56740" t="str">
            <v/>
          </cell>
        </row>
        <row r="56741">
          <cell r="O56741" t="str">
            <v/>
          </cell>
        </row>
        <row r="56742">
          <cell r="O56742" t="str">
            <v/>
          </cell>
        </row>
        <row r="56743">
          <cell r="O56743" t="str">
            <v/>
          </cell>
        </row>
        <row r="56744">
          <cell r="O56744" t="str">
            <v/>
          </cell>
        </row>
        <row r="56745">
          <cell r="O56745" t="str">
            <v/>
          </cell>
        </row>
        <row r="56746">
          <cell r="O56746" t="str">
            <v/>
          </cell>
        </row>
        <row r="56747">
          <cell r="O56747" t="str">
            <v/>
          </cell>
        </row>
        <row r="56748">
          <cell r="O56748" t="str">
            <v/>
          </cell>
        </row>
        <row r="56749">
          <cell r="O56749" t="str">
            <v/>
          </cell>
        </row>
        <row r="56750">
          <cell r="O56750" t="str">
            <v/>
          </cell>
        </row>
        <row r="56751">
          <cell r="O56751" t="str">
            <v/>
          </cell>
        </row>
        <row r="56752">
          <cell r="O56752" t="str">
            <v/>
          </cell>
        </row>
        <row r="56753">
          <cell r="O56753" t="str">
            <v/>
          </cell>
        </row>
        <row r="56754">
          <cell r="O56754" t="str">
            <v/>
          </cell>
        </row>
        <row r="56755">
          <cell r="O56755" t="str">
            <v/>
          </cell>
        </row>
        <row r="56756">
          <cell r="O56756" t="str">
            <v/>
          </cell>
        </row>
        <row r="56757">
          <cell r="O56757" t="str">
            <v/>
          </cell>
        </row>
        <row r="56758">
          <cell r="O56758" t="str">
            <v/>
          </cell>
        </row>
        <row r="56759">
          <cell r="O56759" t="str">
            <v/>
          </cell>
        </row>
        <row r="56760">
          <cell r="O56760" t="str">
            <v/>
          </cell>
        </row>
        <row r="56761">
          <cell r="O56761" t="str">
            <v/>
          </cell>
        </row>
        <row r="56762">
          <cell r="O56762" t="str">
            <v/>
          </cell>
        </row>
        <row r="56763">
          <cell r="O56763" t="str">
            <v/>
          </cell>
        </row>
        <row r="56764">
          <cell r="O56764" t="str">
            <v/>
          </cell>
        </row>
        <row r="56765">
          <cell r="O56765" t="str">
            <v/>
          </cell>
        </row>
        <row r="56766">
          <cell r="O56766" t="str">
            <v/>
          </cell>
        </row>
        <row r="56767">
          <cell r="O56767" t="str">
            <v/>
          </cell>
        </row>
        <row r="56768">
          <cell r="O56768" t="str">
            <v/>
          </cell>
        </row>
        <row r="56769">
          <cell r="O56769" t="str">
            <v/>
          </cell>
        </row>
        <row r="56770">
          <cell r="O56770" t="str">
            <v/>
          </cell>
        </row>
        <row r="56771">
          <cell r="O56771" t="str">
            <v/>
          </cell>
        </row>
        <row r="56772">
          <cell r="O56772" t="str">
            <v/>
          </cell>
        </row>
        <row r="56773">
          <cell r="O56773" t="str">
            <v/>
          </cell>
        </row>
        <row r="56774">
          <cell r="O56774" t="str">
            <v/>
          </cell>
        </row>
        <row r="56775">
          <cell r="O56775" t="str">
            <v/>
          </cell>
        </row>
        <row r="56776">
          <cell r="O56776" t="str">
            <v/>
          </cell>
        </row>
        <row r="56777">
          <cell r="O56777" t="str">
            <v/>
          </cell>
        </row>
        <row r="56778">
          <cell r="O56778" t="str">
            <v/>
          </cell>
        </row>
        <row r="56779">
          <cell r="O56779" t="str">
            <v/>
          </cell>
        </row>
        <row r="56780">
          <cell r="O56780" t="str">
            <v/>
          </cell>
        </row>
        <row r="56781">
          <cell r="O56781" t="str">
            <v/>
          </cell>
        </row>
        <row r="56782">
          <cell r="O56782" t="str">
            <v/>
          </cell>
        </row>
        <row r="56783">
          <cell r="O56783" t="str">
            <v/>
          </cell>
        </row>
        <row r="56784">
          <cell r="O56784" t="str">
            <v/>
          </cell>
        </row>
        <row r="56785">
          <cell r="O56785" t="str">
            <v/>
          </cell>
        </row>
        <row r="56786">
          <cell r="O56786" t="str">
            <v/>
          </cell>
        </row>
        <row r="56787">
          <cell r="O56787" t="str">
            <v/>
          </cell>
        </row>
        <row r="56788">
          <cell r="O56788" t="str">
            <v/>
          </cell>
        </row>
        <row r="56789">
          <cell r="O56789" t="str">
            <v/>
          </cell>
        </row>
        <row r="56790">
          <cell r="O56790" t="str">
            <v/>
          </cell>
        </row>
        <row r="56791">
          <cell r="O56791" t="str">
            <v/>
          </cell>
        </row>
        <row r="56792">
          <cell r="O56792" t="str">
            <v/>
          </cell>
        </row>
        <row r="56793">
          <cell r="O56793" t="str">
            <v/>
          </cell>
        </row>
        <row r="56794">
          <cell r="O56794" t="str">
            <v/>
          </cell>
        </row>
        <row r="56795">
          <cell r="O56795" t="str">
            <v/>
          </cell>
        </row>
        <row r="56796">
          <cell r="O56796" t="str">
            <v/>
          </cell>
        </row>
        <row r="56797">
          <cell r="O56797" t="str">
            <v/>
          </cell>
        </row>
        <row r="56798">
          <cell r="O56798" t="str">
            <v/>
          </cell>
        </row>
        <row r="56799">
          <cell r="O56799" t="str">
            <v/>
          </cell>
        </row>
        <row r="56800">
          <cell r="O56800" t="str">
            <v/>
          </cell>
        </row>
        <row r="56801">
          <cell r="O56801" t="str">
            <v/>
          </cell>
        </row>
        <row r="56802">
          <cell r="O56802" t="str">
            <v/>
          </cell>
        </row>
        <row r="56803">
          <cell r="O56803" t="str">
            <v/>
          </cell>
        </row>
        <row r="56804">
          <cell r="O56804" t="str">
            <v/>
          </cell>
        </row>
        <row r="56805">
          <cell r="O56805" t="str">
            <v/>
          </cell>
        </row>
        <row r="56806">
          <cell r="O56806" t="str">
            <v/>
          </cell>
        </row>
        <row r="56807">
          <cell r="O56807" t="str">
            <v/>
          </cell>
        </row>
        <row r="56808">
          <cell r="O56808" t="str">
            <v/>
          </cell>
        </row>
        <row r="56809">
          <cell r="O56809" t="str">
            <v/>
          </cell>
        </row>
        <row r="56810">
          <cell r="O56810" t="str">
            <v/>
          </cell>
        </row>
        <row r="56811">
          <cell r="O56811" t="str">
            <v/>
          </cell>
        </row>
        <row r="56812">
          <cell r="O56812" t="str">
            <v/>
          </cell>
        </row>
        <row r="56813">
          <cell r="O56813" t="str">
            <v/>
          </cell>
        </row>
        <row r="56814">
          <cell r="O56814" t="str">
            <v/>
          </cell>
        </row>
        <row r="56815">
          <cell r="O56815" t="str">
            <v/>
          </cell>
        </row>
        <row r="56816">
          <cell r="O56816" t="str">
            <v/>
          </cell>
        </row>
        <row r="56817">
          <cell r="O56817" t="str">
            <v/>
          </cell>
        </row>
        <row r="56818">
          <cell r="O56818" t="str">
            <v/>
          </cell>
        </row>
        <row r="56819">
          <cell r="O56819" t="str">
            <v/>
          </cell>
        </row>
        <row r="56820">
          <cell r="O56820" t="str">
            <v/>
          </cell>
        </row>
        <row r="56821">
          <cell r="O56821" t="str">
            <v/>
          </cell>
        </row>
        <row r="56822">
          <cell r="O56822" t="str">
            <v/>
          </cell>
        </row>
        <row r="56823">
          <cell r="O56823" t="str">
            <v/>
          </cell>
        </row>
        <row r="56824">
          <cell r="O56824" t="str">
            <v/>
          </cell>
        </row>
        <row r="56825">
          <cell r="O56825" t="str">
            <v/>
          </cell>
        </row>
        <row r="56826">
          <cell r="O56826" t="str">
            <v/>
          </cell>
        </row>
        <row r="56827">
          <cell r="O56827" t="str">
            <v/>
          </cell>
        </row>
        <row r="56828">
          <cell r="O56828" t="str">
            <v/>
          </cell>
        </row>
        <row r="56829">
          <cell r="O56829" t="str">
            <v/>
          </cell>
        </row>
        <row r="56830">
          <cell r="O56830" t="str">
            <v/>
          </cell>
        </row>
        <row r="56831">
          <cell r="O56831" t="str">
            <v/>
          </cell>
        </row>
        <row r="56832">
          <cell r="O56832" t="str">
            <v/>
          </cell>
        </row>
        <row r="56833">
          <cell r="O56833" t="str">
            <v/>
          </cell>
        </row>
        <row r="56834">
          <cell r="O56834" t="str">
            <v/>
          </cell>
        </row>
        <row r="56835">
          <cell r="O56835" t="str">
            <v/>
          </cell>
        </row>
        <row r="56836">
          <cell r="O56836" t="str">
            <v/>
          </cell>
        </row>
        <row r="56837">
          <cell r="O56837" t="str">
            <v/>
          </cell>
        </row>
        <row r="56838">
          <cell r="O56838" t="str">
            <v/>
          </cell>
        </row>
        <row r="56839">
          <cell r="O56839" t="str">
            <v/>
          </cell>
        </row>
        <row r="56840">
          <cell r="O56840" t="str">
            <v/>
          </cell>
        </row>
        <row r="56841">
          <cell r="O56841" t="str">
            <v/>
          </cell>
        </row>
        <row r="56842">
          <cell r="O56842" t="str">
            <v/>
          </cell>
        </row>
        <row r="56843">
          <cell r="O56843" t="str">
            <v/>
          </cell>
        </row>
        <row r="56844">
          <cell r="O56844" t="str">
            <v/>
          </cell>
        </row>
        <row r="56845">
          <cell r="O56845" t="str">
            <v/>
          </cell>
        </row>
        <row r="56846">
          <cell r="O56846" t="str">
            <v/>
          </cell>
        </row>
        <row r="56847">
          <cell r="O56847" t="str">
            <v/>
          </cell>
        </row>
        <row r="56848">
          <cell r="O56848" t="str">
            <v/>
          </cell>
        </row>
        <row r="56849">
          <cell r="O56849" t="str">
            <v/>
          </cell>
        </row>
        <row r="56850">
          <cell r="O56850" t="str">
            <v/>
          </cell>
        </row>
        <row r="56851">
          <cell r="O56851" t="str">
            <v/>
          </cell>
        </row>
        <row r="56852">
          <cell r="O56852" t="str">
            <v/>
          </cell>
        </row>
        <row r="56853">
          <cell r="O56853" t="str">
            <v/>
          </cell>
        </row>
        <row r="56854">
          <cell r="O56854" t="str">
            <v/>
          </cell>
        </row>
        <row r="56855">
          <cell r="O56855" t="str">
            <v/>
          </cell>
        </row>
        <row r="56856">
          <cell r="O56856" t="str">
            <v/>
          </cell>
        </row>
        <row r="56857">
          <cell r="O56857" t="str">
            <v/>
          </cell>
        </row>
        <row r="56858">
          <cell r="O56858" t="str">
            <v/>
          </cell>
        </row>
        <row r="56859">
          <cell r="O56859" t="str">
            <v/>
          </cell>
        </row>
        <row r="56860">
          <cell r="O56860" t="str">
            <v/>
          </cell>
        </row>
        <row r="56861">
          <cell r="O56861" t="str">
            <v/>
          </cell>
        </row>
        <row r="56862">
          <cell r="O56862" t="str">
            <v/>
          </cell>
        </row>
        <row r="56863">
          <cell r="O56863" t="str">
            <v/>
          </cell>
        </row>
        <row r="56864">
          <cell r="O56864" t="str">
            <v/>
          </cell>
        </row>
        <row r="56865">
          <cell r="O56865" t="str">
            <v/>
          </cell>
        </row>
        <row r="56866">
          <cell r="O56866" t="str">
            <v/>
          </cell>
        </row>
        <row r="56867">
          <cell r="O56867" t="str">
            <v/>
          </cell>
        </row>
        <row r="56868">
          <cell r="O56868" t="str">
            <v/>
          </cell>
        </row>
        <row r="56869">
          <cell r="O56869" t="str">
            <v/>
          </cell>
        </row>
        <row r="56870">
          <cell r="O56870" t="str">
            <v/>
          </cell>
        </row>
        <row r="56871">
          <cell r="O56871" t="str">
            <v/>
          </cell>
        </row>
        <row r="56872">
          <cell r="O56872" t="str">
            <v/>
          </cell>
        </row>
        <row r="56873">
          <cell r="O56873" t="str">
            <v/>
          </cell>
        </row>
        <row r="56874">
          <cell r="O56874" t="str">
            <v/>
          </cell>
        </row>
        <row r="56875">
          <cell r="O56875" t="str">
            <v/>
          </cell>
        </row>
        <row r="56876">
          <cell r="O56876" t="str">
            <v/>
          </cell>
        </row>
        <row r="56877">
          <cell r="O56877" t="str">
            <v/>
          </cell>
        </row>
        <row r="56878">
          <cell r="O56878" t="str">
            <v/>
          </cell>
        </row>
        <row r="56879">
          <cell r="O56879" t="str">
            <v/>
          </cell>
        </row>
        <row r="56880">
          <cell r="O56880" t="str">
            <v/>
          </cell>
        </row>
        <row r="56881">
          <cell r="O56881" t="str">
            <v/>
          </cell>
        </row>
        <row r="56882">
          <cell r="O56882" t="str">
            <v/>
          </cell>
        </row>
        <row r="56883">
          <cell r="O56883" t="str">
            <v/>
          </cell>
        </row>
        <row r="56884">
          <cell r="O56884" t="str">
            <v/>
          </cell>
        </row>
        <row r="56885">
          <cell r="O56885" t="str">
            <v/>
          </cell>
        </row>
        <row r="56886">
          <cell r="O56886" t="str">
            <v/>
          </cell>
        </row>
        <row r="56887">
          <cell r="O56887" t="str">
            <v/>
          </cell>
        </row>
        <row r="56888">
          <cell r="O56888" t="str">
            <v/>
          </cell>
        </row>
        <row r="56889">
          <cell r="O56889" t="str">
            <v/>
          </cell>
        </row>
        <row r="56890">
          <cell r="O56890" t="str">
            <v/>
          </cell>
        </row>
        <row r="56891">
          <cell r="O56891" t="str">
            <v/>
          </cell>
        </row>
        <row r="56892">
          <cell r="O56892" t="str">
            <v/>
          </cell>
        </row>
        <row r="56893">
          <cell r="O56893" t="str">
            <v/>
          </cell>
        </row>
        <row r="56894">
          <cell r="O56894" t="str">
            <v/>
          </cell>
        </row>
        <row r="56895">
          <cell r="O56895" t="str">
            <v/>
          </cell>
        </row>
        <row r="56896">
          <cell r="O56896" t="str">
            <v/>
          </cell>
        </row>
        <row r="56897">
          <cell r="O56897" t="str">
            <v/>
          </cell>
        </row>
        <row r="56898">
          <cell r="O56898" t="str">
            <v/>
          </cell>
        </row>
        <row r="56899">
          <cell r="O56899" t="str">
            <v/>
          </cell>
        </row>
        <row r="56900">
          <cell r="O56900" t="str">
            <v/>
          </cell>
        </row>
        <row r="56901">
          <cell r="O56901" t="str">
            <v/>
          </cell>
        </row>
        <row r="56902">
          <cell r="O56902" t="str">
            <v/>
          </cell>
        </row>
        <row r="56903">
          <cell r="O56903" t="str">
            <v/>
          </cell>
        </row>
        <row r="56904">
          <cell r="O56904" t="str">
            <v/>
          </cell>
        </row>
        <row r="56905">
          <cell r="O56905" t="str">
            <v/>
          </cell>
        </row>
        <row r="56906">
          <cell r="O56906" t="str">
            <v/>
          </cell>
        </row>
        <row r="56907">
          <cell r="O56907" t="str">
            <v/>
          </cell>
        </row>
        <row r="56908">
          <cell r="O56908" t="str">
            <v/>
          </cell>
        </row>
        <row r="56909">
          <cell r="O56909" t="str">
            <v/>
          </cell>
        </row>
        <row r="56910">
          <cell r="O56910" t="str">
            <v/>
          </cell>
        </row>
        <row r="56911">
          <cell r="O56911" t="str">
            <v/>
          </cell>
        </row>
        <row r="56912">
          <cell r="O56912" t="str">
            <v/>
          </cell>
        </row>
        <row r="56913">
          <cell r="O56913" t="str">
            <v/>
          </cell>
        </row>
        <row r="56914">
          <cell r="O56914" t="str">
            <v/>
          </cell>
        </row>
        <row r="56915">
          <cell r="O56915" t="str">
            <v/>
          </cell>
        </row>
        <row r="56916">
          <cell r="O56916" t="str">
            <v/>
          </cell>
        </row>
        <row r="56917">
          <cell r="O56917" t="str">
            <v/>
          </cell>
        </row>
        <row r="56918">
          <cell r="O56918" t="str">
            <v/>
          </cell>
        </row>
        <row r="56919">
          <cell r="O56919" t="str">
            <v/>
          </cell>
        </row>
        <row r="56920">
          <cell r="O56920" t="str">
            <v/>
          </cell>
        </row>
        <row r="56921">
          <cell r="O56921" t="str">
            <v/>
          </cell>
        </row>
        <row r="56922">
          <cell r="O56922" t="str">
            <v/>
          </cell>
        </row>
        <row r="56923">
          <cell r="O56923" t="str">
            <v/>
          </cell>
        </row>
        <row r="56924">
          <cell r="O56924" t="str">
            <v/>
          </cell>
        </row>
        <row r="56925">
          <cell r="O56925" t="str">
            <v/>
          </cell>
        </row>
        <row r="56926">
          <cell r="O56926" t="str">
            <v/>
          </cell>
        </row>
        <row r="56927">
          <cell r="O56927" t="str">
            <v/>
          </cell>
        </row>
        <row r="56928">
          <cell r="O56928" t="str">
            <v/>
          </cell>
        </row>
        <row r="56929">
          <cell r="O56929" t="str">
            <v/>
          </cell>
        </row>
        <row r="56930">
          <cell r="O56930" t="str">
            <v/>
          </cell>
        </row>
        <row r="56931">
          <cell r="O56931" t="str">
            <v/>
          </cell>
        </row>
        <row r="56932">
          <cell r="O56932" t="str">
            <v/>
          </cell>
        </row>
        <row r="56933">
          <cell r="O56933" t="str">
            <v/>
          </cell>
        </row>
        <row r="56934">
          <cell r="O56934" t="str">
            <v/>
          </cell>
        </row>
        <row r="56935">
          <cell r="O56935" t="str">
            <v/>
          </cell>
        </row>
        <row r="56936">
          <cell r="O56936" t="str">
            <v/>
          </cell>
        </row>
        <row r="56937">
          <cell r="O56937" t="str">
            <v/>
          </cell>
        </row>
        <row r="56938">
          <cell r="O56938" t="str">
            <v/>
          </cell>
        </row>
        <row r="56939">
          <cell r="O56939" t="str">
            <v/>
          </cell>
        </row>
        <row r="56940">
          <cell r="O56940" t="str">
            <v/>
          </cell>
        </row>
        <row r="56941">
          <cell r="O56941" t="str">
            <v/>
          </cell>
        </row>
        <row r="56942">
          <cell r="O56942" t="str">
            <v/>
          </cell>
        </row>
        <row r="56943">
          <cell r="O56943" t="str">
            <v/>
          </cell>
        </row>
        <row r="56944">
          <cell r="O56944" t="str">
            <v/>
          </cell>
        </row>
        <row r="56945">
          <cell r="O56945" t="str">
            <v/>
          </cell>
        </row>
        <row r="56946">
          <cell r="O56946" t="str">
            <v/>
          </cell>
        </row>
        <row r="56947">
          <cell r="O56947" t="str">
            <v/>
          </cell>
        </row>
        <row r="56948">
          <cell r="O56948" t="str">
            <v/>
          </cell>
        </row>
        <row r="56949">
          <cell r="O56949" t="str">
            <v/>
          </cell>
        </row>
        <row r="56950">
          <cell r="O56950" t="str">
            <v/>
          </cell>
        </row>
        <row r="56951">
          <cell r="O56951" t="str">
            <v/>
          </cell>
        </row>
        <row r="56952">
          <cell r="O56952" t="str">
            <v/>
          </cell>
        </row>
        <row r="56953">
          <cell r="O56953" t="str">
            <v/>
          </cell>
        </row>
        <row r="56954">
          <cell r="O56954" t="str">
            <v/>
          </cell>
        </row>
        <row r="56955">
          <cell r="O56955" t="str">
            <v/>
          </cell>
        </row>
        <row r="56956">
          <cell r="O56956" t="str">
            <v/>
          </cell>
        </row>
        <row r="56957">
          <cell r="O56957" t="str">
            <v/>
          </cell>
        </row>
        <row r="56958">
          <cell r="O56958" t="str">
            <v/>
          </cell>
        </row>
        <row r="56959">
          <cell r="O56959" t="str">
            <v/>
          </cell>
        </row>
        <row r="56960">
          <cell r="O56960" t="str">
            <v/>
          </cell>
        </row>
        <row r="56961">
          <cell r="O56961" t="str">
            <v/>
          </cell>
        </row>
        <row r="56962">
          <cell r="O56962" t="str">
            <v/>
          </cell>
        </row>
        <row r="56963">
          <cell r="O56963" t="str">
            <v/>
          </cell>
        </row>
        <row r="56964">
          <cell r="O56964" t="str">
            <v/>
          </cell>
        </row>
        <row r="56965">
          <cell r="O56965" t="str">
            <v/>
          </cell>
        </row>
        <row r="56966">
          <cell r="O56966" t="str">
            <v/>
          </cell>
        </row>
        <row r="56967">
          <cell r="O56967" t="str">
            <v/>
          </cell>
        </row>
        <row r="56968">
          <cell r="O56968" t="str">
            <v/>
          </cell>
        </row>
        <row r="56969">
          <cell r="O56969" t="str">
            <v/>
          </cell>
        </row>
        <row r="56970">
          <cell r="O56970" t="str">
            <v/>
          </cell>
        </row>
        <row r="56971">
          <cell r="O56971" t="str">
            <v/>
          </cell>
        </row>
        <row r="56972">
          <cell r="O56972" t="str">
            <v/>
          </cell>
        </row>
        <row r="56973">
          <cell r="O56973" t="str">
            <v/>
          </cell>
        </row>
        <row r="56974">
          <cell r="O56974" t="str">
            <v/>
          </cell>
        </row>
        <row r="56975">
          <cell r="O56975" t="str">
            <v/>
          </cell>
        </row>
        <row r="56976">
          <cell r="O56976" t="str">
            <v/>
          </cell>
        </row>
        <row r="56977">
          <cell r="O56977" t="str">
            <v/>
          </cell>
        </row>
        <row r="56978">
          <cell r="O56978" t="str">
            <v/>
          </cell>
        </row>
        <row r="56979">
          <cell r="O56979" t="str">
            <v/>
          </cell>
        </row>
        <row r="56980">
          <cell r="O56980" t="str">
            <v/>
          </cell>
        </row>
        <row r="56981">
          <cell r="O56981" t="str">
            <v/>
          </cell>
        </row>
        <row r="56982">
          <cell r="O56982" t="str">
            <v/>
          </cell>
        </row>
        <row r="56983">
          <cell r="O56983" t="str">
            <v/>
          </cell>
        </row>
        <row r="56984">
          <cell r="O56984" t="str">
            <v/>
          </cell>
        </row>
        <row r="56985">
          <cell r="O56985" t="str">
            <v/>
          </cell>
        </row>
        <row r="56986">
          <cell r="O56986" t="str">
            <v/>
          </cell>
        </row>
        <row r="56987">
          <cell r="O56987" t="str">
            <v/>
          </cell>
        </row>
        <row r="56988">
          <cell r="O56988" t="str">
            <v/>
          </cell>
        </row>
        <row r="56989">
          <cell r="O56989" t="str">
            <v/>
          </cell>
        </row>
        <row r="56990">
          <cell r="O56990" t="str">
            <v/>
          </cell>
        </row>
        <row r="56991">
          <cell r="O56991" t="str">
            <v/>
          </cell>
        </row>
        <row r="56992">
          <cell r="O56992" t="str">
            <v/>
          </cell>
        </row>
        <row r="56993">
          <cell r="O56993" t="str">
            <v/>
          </cell>
        </row>
        <row r="56994">
          <cell r="O56994" t="str">
            <v/>
          </cell>
        </row>
        <row r="56995">
          <cell r="O56995" t="str">
            <v/>
          </cell>
        </row>
        <row r="56996">
          <cell r="O56996" t="str">
            <v/>
          </cell>
        </row>
        <row r="56997">
          <cell r="O56997" t="str">
            <v/>
          </cell>
        </row>
        <row r="56998">
          <cell r="O56998" t="str">
            <v/>
          </cell>
        </row>
        <row r="56999">
          <cell r="O56999" t="str">
            <v/>
          </cell>
        </row>
        <row r="57000">
          <cell r="O57000" t="str">
            <v/>
          </cell>
        </row>
        <row r="57001">
          <cell r="O57001" t="str">
            <v/>
          </cell>
        </row>
        <row r="57002">
          <cell r="O57002" t="str">
            <v/>
          </cell>
        </row>
        <row r="57003">
          <cell r="O57003" t="str">
            <v/>
          </cell>
        </row>
        <row r="57004">
          <cell r="O57004" t="str">
            <v/>
          </cell>
        </row>
        <row r="57005">
          <cell r="O57005" t="str">
            <v/>
          </cell>
        </row>
        <row r="57006">
          <cell r="O57006" t="str">
            <v/>
          </cell>
        </row>
        <row r="57007">
          <cell r="O57007" t="str">
            <v/>
          </cell>
        </row>
        <row r="57008">
          <cell r="O57008" t="str">
            <v/>
          </cell>
        </row>
        <row r="57009">
          <cell r="O57009" t="str">
            <v/>
          </cell>
        </row>
        <row r="57010">
          <cell r="O57010" t="str">
            <v/>
          </cell>
        </row>
        <row r="57011">
          <cell r="O57011" t="str">
            <v/>
          </cell>
        </row>
        <row r="57012">
          <cell r="O57012" t="str">
            <v/>
          </cell>
        </row>
        <row r="57013">
          <cell r="O57013" t="str">
            <v/>
          </cell>
        </row>
        <row r="57014">
          <cell r="O57014" t="str">
            <v/>
          </cell>
        </row>
        <row r="57015">
          <cell r="O57015" t="str">
            <v/>
          </cell>
        </row>
        <row r="57016">
          <cell r="O57016" t="str">
            <v/>
          </cell>
        </row>
        <row r="57017">
          <cell r="O57017" t="str">
            <v/>
          </cell>
        </row>
        <row r="57018">
          <cell r="O57018" t="str">
            <v/>
          </cell>
        </row>
        <row r="57019">
          <cell r="O57019" t="str">
            <v/>
          </cell>
        </row>
        <row r="57020">
          <cell r="O57020" t="str">
            <v/>
          </cell>
        </row>
        <row r="57021">
          <cell r="O57021" t="str">
            <v/>
          </cell>
        </row>
        <row r="57022">
          <cell r="O57022" t="str">
            <v/>
          </cell>
        </row>
        <row r="57023">
          <cell r="O57023" t="str">
            <v/>
          </cell>
        </row>
        <row r="57024">
          <cell r="O57024" t="str">
            <v/>
          </cell>
        </row>
        <row r="57025">
          <cell r="O57025" t="str">
            <v/>
          </cell>
        </row>
        <row r="57026">
          <cell r="O57026" t="str">
            <v/>
          </cell>
        </row>
        <row r="57027">
          <cell r="O57027" t="str">
            <v/>
          </cell>
        </row>
        <row r="57028">
          <cell r="O57028" t="str">
            <v/>
          </cell>
        </row>
        <row r="57029">
          <cell r="O57029" t="str">
            <v/>
          </cell>
        </row>
        <row r="57030">
          <cell r="O57030" t="str">
            <v/>
          </cell>
        </row>
        <row r="57031">
          <cell r="O57031" t="str">
            <v/>
          </cell>
        </row>
        <row r="57032">
          <cell r="O57032" t="str">
            <v/>
          </cell>
        </row>
        <row r="57033">
          <cell r="O57033" t="str">
            <v/>
          </cell>
        </row>
        <row r="57034">
          <cell r="O57034" t="str">
            <v/>
          </cell>
        </row>
        <row r="57035">
          <cell r="O57035" t="str">
            <v/>
          </cell>
        </row>
        <row r="57036">
          <cell r="O57036" t="str">
            <v/>
          </cell>
        </row>
        <row r="57037">
          <cell r="O57037" t="str">
            <v/>
          </cell>
        </row>
        <row r="57038">
          <cell r="O57038" t="str">
            <v/>
          </cell>
        </row>
        <row r="57039">
          <cell r="O57039" t="str">
            <v/>
          </cell>
        </row>
        <row r="57040">
          <cell r="O57040" t="str">
            <v/>
          </cell>
        </row>
        <row r="57041">
          <cell r="O57041" t="str">
            <v/>
          </cell>
        </row>
        <row r="57042">
          <cell r="O57042" t="str">
            <v/>
          </cell>
        </row>
        <row r="57043">
          <cell r="O57043" t="str">
            <v/>
          </cell>
        </row>
        <row r="57044">
          <cell r="O57044" t="str">
            <v/>
          </cell>
        </row>
        <row r="57045">
          <cell r="O57045" t="str">
            <v/>
          </cell>
        </row>
        <row r="57046">
          <cell r="O57046" t="str">
            <v/>
          </cell>
        </row>
        <row r="57047">
          <cell r="O57047" t="str">
            <v/>
          </cell>
        </row>
        <row r="57048">
          <cell r="O57048" t="str">
            <v/>
          </cell>
        </row>
        <row r="57049">
          <cell r="O57049" t="str">
            <v/>
          </cell>
        </row>
        <row r="57050">
          <cell r="O57050" t="str">
            <v/>
          </cell>
        </row>
        <row r="57051">
          <cell r="O57051" t="str">
            <v/>
          </cell>
        </row>
        <row r="57052">
          <cell r="O57052" t="str">
            <v/>
          </cell>
        </row>
        <row r="57053">
          <cell r="O57053" t="str">
            <v/>
          </cell>
        </row>
        <row r="57054">
          <cell r="O57054" t="str">
            <v/>
          </cell>
        </row>
        <row r="57055">
          <cell r="O57055" t="str">
            <v/>
          </cell>
        </row>
        <row r="57056">
          <cell r="O57056" t="str">
            <v/>
          </cell>
        </row>
        <row r="57057">
          <cell r="O57057" t="str">
            <v/>
          </cell>
        </row>
        <row r="57058">
          <cell r="O57058" t="str">
            <v/>
          </cell>
        </row>
        <row r="57059">
          <cell r="O57059" t="str">
            <v/>
          </cell>
        </row>
        <row r="57060">
          <cell r="O57060" t="str">
            <v/>
          </cell>
        </row>
        <row r="57061">
          <cell r="O57061" t="str">
            <v/>
          </cell>
        </row>
        <row r="57062">
          <cell r="O57062" t="str">
            <v/>
          </cell>
        </row>
        <row r="57063">
          <cell r="O57063" t="str">
            <v/>
          </cell>
        </row>
        <row r="57064">
          <cell r="O57064" t="str">
            <v/>
          </cell>
        </row>
        <row r="57065">
          <cell r="O57065" t="str">
            <v/>
          </cell>
        </row>
        <row r="57066">
          <cell r="O57066" t="str">
            <v/>
          </cell>
        </row>
        <row r="57067">
          <cell r="O57067" t="str">
            <v/>
          </cell>
        </row>
        <row r="57068">
          <cell r="O57068" t="str">
            <v/>
          </cell>
        </row>
        <row r="57069">
          <cell r="O57069" t="str">
            <v/>
          </cell>
        </row>
        <row r="57070">
          <cell r="O57070" t="str">
            <v/>
          </cell>
        </row>
        <row r="57071">
          <cell r="O57071" t="str">
            <v/>
          </cell>
        </row>
        <row r="57072">
          <cell r="O57072" t="str">
            <v/>
          </cell>
        </row>
        <row r="57073">
          <cell r="O57073" t="str">
            <v/>
          </cell>
        </row>
        <row r="57074">
          <cell r="O57074" t="str">
            <v/>
          </cell>
        </row>
        <row r="57075">
          <cell r="O57075" t="str">
            <v/>
          </cell>
        </row>
        <row r="57076">
          <cell r="O57076" t="str">
            <v/>
          </cell>
        </row>
        <row r="57077">
          <cell r="O57077" t="str">
            <v/>
          </cell>
        </row>
        <row r="57078">
          <cell r="O57078" t="str">
            <v/>
          </cell>
        </row>
        <row r="57079">
          <cell r="O57079" t="str">
            <v/>
          </cell>
        </row>
        <row r="57080">
          <cell r="O57080" t="str">
            <v/>
          </cell>
        </row>
        <row r="57081">
          <cell r="O57081" t="str">
            <v/>
          </cell>
        </row>
        <row r="57082">
          <cell r="O57082" t="str">
            <v/>
          </cell>
        </row>
        <row r="57083">
          <cell r="O57083" t="str">
            <v/>
          </cell>
        </row>
        <row r="57084">
          <cell r="O57084" t="str">
            <v/>
          </cell>
        </row>
        <row r="57085">
          <cell r="O57085" t="str">
            <v/>
          </cell>
        </row>
        <row r="57086">
          <cell r="O57086" t="str">
            <v/>
          </cell>
        </row>
        <row r="57087">
          <cell r="O57087" t="str">
            <v/>
          </cell>
        </row>
        <row r="57088">
          <cell r="O57088" t="str">
            <v/>
          </cell>
        </row>
        <row r="57089">
          <cell r="O57089" t="str">
            <v/>
          </cell>
        </row>
        <row r="57090">
          <cell r="O57090" t="str">
            <v/>
          </cell>
        </row>
        <row r="57091">
          <cell r="O57091" t="str">
            <v/>
          </cell>
        </row>
        <row r="57092">
          <cell r="O57092" t="str">
            <v/>
          </cell>
        </row>
        <row r="57093">
          <cell r="O57093" t="str">
            <v/>
          </cell>
        </row>
        <row r="57094">
          <cell r="O57094" t="str">
            <v/>
          </cell>
        </row>
        <row r="57095">
          <cell r="O57095" t="str">
            <v/>
          </cell>
        </row>
        <row r="57096">
          <cell r="O57096" t="str">
            <v/>
          </cell>
        </row>
        <row r="57097">
          <cell r="O57097" t="str">
            <v/>
          </cell>
        </row>
        <row r="57098">
          <cell r="O57098" t="str">
            <v/>
          </cell>
        </row>
        <row r="57099">
          <cell r="O57099" t="str">
            <v/>
          </cell>
        </row>
        <row r="57100">
          <cell r="O57100" t="str">
            <v/>
          </cell>
        </row>
        <row r="57101">
          <cell r="O57101" t="str">
            <v/>
          </cell>
        </row>
        <row r="57102">
          <cell r="O57102" t="str">
            <v/>
          </cell>
        </row>
        <row r="57103">
          <cell r="O57103" t="str">
            <v/>
          </cell>
        </row>
        <row r="57104">
          <cell r="O57104" t="str">
            <v/>
          </cell>
        </row>
        <row r="57105">
          <cell r="O57105" t="str">
            <v/>
          </cell>
        </row>
        <row r="57106">
          <cell r="O57106" t="str">
            <v/>
          </cell>
        </row>
        <row r="57107">
          <cell r="O57107" t="str">
            <v/>
          </cell>
        </row>
        <row r="57108">
          <cell r="O57108" t="str">
            <v/>
          </cell>
        </row>
        <row r="57109">
          <cell r="O57109" t="str">
            <v/>
          </cell>
        </row>
        <row r="57110">
          <cell r="O57110" t="str">
            <v/>
          </cell>
        </row>
        <row r="57111">
          <cell r="O57111" t="str">
            <v/>
          </cell>
        </row>
        <row r="57112">
          <cell r="O57112" t="str">
            <v/>
          </cell>
        </row>
        <row r="57113">
          <cell r="O57113" t="str">
            <v/>
          </cell>
        </row>
        <row r="57114">
          <cell r="O57114" t="str">
            <v/>
          </cell>
        </row>
        <row r="57115">
          <cell r="O57115" t="str">
            <v/>
          </cell>
        </row>
        <row r="57116">
          <cell r="O57116" t="str">
            <v/>
          </cell>
        </row>
        <row r="57117">
          <cell r="O57117" t="str">
            <v/>
          </cell>
        </row>
        <row r="57118">
          <cell r="O57118" t="str">
            <v/>
          </cell>
        </row>
        <row r="57119">
          <cell r="O57119" t="str">
            <v/>
          </cell>
        </row>
        <row r="57120">
          <cell r="O57120" t="str">
            <v/>
          </cell>
        </row>
        <row r="57121">
          <cell r="O57121" t="str">
            <v/>
          </cell>
        </row>
        <row r="57122">
          <cell r="O57122" t="str">
            <v/>
          </cell>
        </row>
        <row r="57123">
          <cell r="O57123" t="str">
            <v/>
          </cell>
        </row>
        <row r="57124">
          <cell r="O57124" t="str">
            <v/>
          </cell>
        </row>
        <row r="57125">
          <cell r="O57125" t="str">
            <v/>
          </cell>
        </row>
        <row r="57126">
          <cell r="O57126" t="str">
            <v/>
          </cell>
        </row>
        <row r="57127">
          <cell r="O57127" t="str">
            <v/>
          </cell>
        </row>
        <row r="57128">
          <cell r="O57128" t="str">
            <v/>
          </cell>
        </row>
        <row r="57129">
          <cell r="O57129" t="str">
            <v/>
          </cell>
        </row>
        <row r="57130">
          <cell r="O57130" t="str">
            <v/>
          </cell>
        </row>
        <row r="57131">
          <cell r="O57131" t="str">
            <v/>
          </cell>
        </row>
        <row r="57132">
          <cell r="O57132" t="str">
            <v/>
          </cell>
        </row>
        <row r="57133">
          <cell r="O57133" t="str">
            <v/>
          </cell>
        </row>
        <row r="57134">
          <cell r="O57134" t="str">
            <v/>
          </cell>
        </row>
        <row r="57135">
          <cell r="O57135" t="str">
            <v/>
          </cell>
        </row>
        <row r="57136">
          <cell r="O57136" t="str">
            <v/>
          </cell>
        </row>
        <row r="57137">
          <cell r="O57137" t="str">
            <v/>
          </cell>
        </row>
        <row r="57138">
          <cell r="O57138" t="str">
            <v/>
          </cell>
        </row>
        <row r="57139">
          <cell r="O57139" t="str">
            <v/>
          </cell>
        </row>
        <row r="57140">
          <cell r="O57140" t="str">
            <v/>
          </cell>
        </row>
        <row r="57141">
          <cell r="O57141" t="str">
            <v/>
          </cell>
        </row>
        <row r="57142">
          <cell r="O57142" t="str">
            <v/>
          </cell>
        </row>
        <row r="57143">
          <cell r="O57143" t="str">
            <v/>
          </cell>
        </row>
        <row r="57144">
          <cell r="O57144" t="str">
            <v/>
          </cell>
        </row>
        <row r="57145">
          <cell r="O57145" t="str">
            <v/>
          </cell>
        </row>
        <row r="57146">
          <cell r="O57146" t="str">
            <v/>
          </cell>
        </row>
        <row r="57147">
          <cell r="O57147" t="str">
            <v/>
          </cell>
        </row>
        <row r="57148">
          <cell r="O57148" t="str">
            <v/>
          </cell>
        </row>
        <row r="57149">
          <cell r="O57149" t="str">
            <v/>
          </cell>
        </row>
        <row r="57150">
          <cell r="O57150" t="str">
            <v/>
          </cell>
        </row>
        <row r="57151">
          <cell r="O57151" t="str">
            <v/>
          </cell>
        </row>
        <row r="57152">
          <cell r="O57152" t="str">
            <v/>
          </cell>
        </row>
        <row r="57153">
          <cell r="O57153" t="str">
            <v/>
          </cell>
        </row>
        <row r="57154">
          <cell r="O57154" t="str">
            <v/>
          </cell>
        </row>
        <row r="57155">
          <cell r="O57155" t="str">
            <v/>
          </cell>
        </row>
        <row r="57156">
          <cell r="O57156" t="str">
            <v/>
          </cell>
        </row>
        <row r="57157">
          <cell r="O57157" t="str">
            <v/>
          </cell>
        </row>
        <row r="57158">
          <cell r="O57158" t="str">
            <v/>
          </cell>
        </row>
        <row r="57159">
          <cell r="O57159" t="str">
            <v/>
          </cell>
        </row>
        <row r="57160">
          <cell r="O57160" t="str">
            <v/>
          </cell>
        </row>
        <row r="57161">
          <cell r="O57161" t="str">
            <v/>
          </cell>
        </row>
        <row r="57162">
          <cell r="O57162" t="str">
            <v/>
          </cell>
        </row>
        <row r="57163">
          <cell r="O57163" t="str">
            <v/>
          </cell>
        </row>
        <row r="57164">
          <cell r="O57164" t="str">
            <v/>
          </cell>
        </row>
        <row r="57165">
          <cell r="O57165" t="str">
            <v/>
          </cell>
        </row>
        <row r="57166">
          <cell r="O57166" t="str">
            <v/>
          </cell>
        </row>
        <row r="57167">
          <cell r="O57167" t="str">
            <v/>
          </cell>
        </row>
        <row r="57168">
          <cell r="O57168" t="str">
            <v/>
          </cell>
        </row>
        <row r="57169">
          <cell r="O57169" t="str">
            <v/>
          </cell>
        </row>
        <row r="57170">
          <cell r="O57170" t="str">
            <v/>
          </cell>
        </row>
        <row r="57171">
          <cell r="O57171" t="str">
            <v/>
          </cell>
        </row>
        <row r="57172">
          <cell r="O57172" t="str">
            <v/>
          </cell>
        </row>
        <row r="57173">
          <cell r="O57173" t="str">
            <v/>
          </cell>
        </row>
        <row r="57174">
          <cell r="O57174" t="str">
            <v/>
          </cell>
        </row>
        <row r="57175">
          <cell r="O57175" t="str">
            <v/>
          </cell>
        </row>
        <row r="57176">
          <cell r="O57176" t="str">
            <v/>
          </cell>
        </row>
        <row r="57177">
          <cell r="O57177" t="str">
            <v/>
          </cell>
        </row>
        <row r="57178">
          <cell r="O57178" t="str">
            <v/>
          </cell>
        </row>
        <row r="57179">
          <cell r="O57179" t="str">
            <v/>
          </cell>
        </row>
        <row r="57180">
          <cell r="O57180" t="str">
            <v/>
          </cell>
        </row>
        <row r="57181">
          <cell r="O57181" t="str">
            <v/>
          </cell>
        </row>
        <row r="57182">
          <cell r="O57182" t="str">
            <v/>
          </cell>
        </row>
        <row r="57183">
          <cell r="O57183" t="str">
            <v/>
          </cell>
        </row>
        <row r="57184">
          <cell r="O57184" t="str">
            <v/>
          </cell>
        </row>
        <row r="57185">
          <cell r="O57185" t="str">
            <v/>
          </cell>
        </row>
        <row r="57186">
          <cell r="O57186" t="str">
            <v/>
          </cell>
        </row>
        <row r="57187">
          <cell r="O57187" t="str">
            <v/>
          </cell>
        </row>
        <row r="57188">
          <cell r="O57188" t="str">
            <v/>
          </cell>
        </row>
        <row r="57189">
          <cell r="O57189" t="str">
            <v/>
          </cell>
        </row>
        <row r="57190">
          <cell r="O57190" t="str">
            <v/>
          </cell>
        </row>
        <row r="57191">
          <cell r="O57191" t="str">
            <v/>
          </cell>
        </row>
        <row r="57192">
          <cell r="O57192" t="str">
            <v/>
          </cell>
        </row>
        <row r="57193">
          <cell r="O57193" t="str">
            <v/>
          </cell>
        </row>
        <row r="57194">
          <cell r="O57194" t="str">
            <v/>
          </cell>
        </row>
        <row r="57195">
          <cell r="O57195" t="str">
            <v/>
          </cell>
        </row>
        <row r="57196">
          <cell r="O57196" t="str">
            <v/>
          </cell>
        </row>
        <row r="57197">
          <cell r="O57197" t="str">
            <v/>
          </cell>
        </row>
        <row r="57198">
          <cell r="O57198" t="str">
            <v/>
          </cell>
        </row>
        <row r="57199">
          <cell r="O57199" t="str">
            <v/>
          </cell>
        </row>
        <row r="57200">
          <cell r="O57200" t="str">
            <v/>
          </cell>
        </row>
        <row r="57201">
          <cell r="O57201" t="str">
            <v/>
          </cell>
        </row>
        <row r="57202">
          <cell r="O57202" t="str">
            <v/>
          </cell>
        </row>
        <row r="57203">
          <cell r="O57203" t="str">
            <v/>
          </cell>
        </row>
        <row r="57204">
          <cell r="O57204" t="str">
            <v/>
          </cell>
        </row>
        <row r="57205">
          <cell r="O57205" t="str">
            <v/>
          </cell>
        </row>
        <row r="57206">
          <cell r="O57206" t="str">
            <v/>
          </cell>
        </row>
        <row r="57207">
          <cell r="O57207" t="str">
            <v/>
          </cell>
        </row>
        <row r="57208">
          <cell r="O57208" t="str">
            <v/>
          </cell>
        </row>
        <row r="57209">
          <cell r="O57209" t="str">
            <v/>
          </cell>
        </row>
        <row r="57210">
          <cell r="O57210" t="str">
            <v/>
          </cell>
        </row>
        <row r="57211">
          <cell r="O57211" t="str">
            <v/>
          </cell>
        </row>
        <row r="57212">
          <cell r="O57212" t="str">
            <v/>
          </cell>
        </row>
        <row r="57213">
          <cell r="O57213" t="str">
            <v/>
          </cell>
        </row>
        <row r="57214">
          <cell r="O57214" t="str">
            <v/>
          </cell>
        </row>
        <row r="57215">
          <cell r="O57215" t="str">
            <v/>
          </cell>
        </row>
        <row r="57216">
          <cell r="O57216" t="str">
            <v/>
          </cell>
        </row>
        <row r="57217">
          <cell r="O57217" t="str">
            <v/>
          </cell>
        </row>
        <row r="57218">
          <cell r="O57218" t="str">
            <v/>
          </cell>
        </row>
        <row r="57219">
          <cell r="O57219" t="str">
            <v/>
          </cell>
        </row>
        <row r="57220">
          <cell r="O57220" t="str">
            <v/>
          </cell>
        </row>
        <row r="57221">
          <cell r="O57221" t="str">
            <v/>
          </cell>
        </row>
        <row r="57222">
          <cell r="O57222" t="str">
            <v/>
          </cell>
        </row>
        <row r="57223">
          <cell r="O57223" t="str">
            <v/>
          </cell>
        </row>
        <row r="57224">
          <cell r="O57224" t="str">
            <v/>
          </cell>
        </row>
        <row r="57225">
          <cell r="O57225" t="str">
            <v/>
          </cell>
        </row>
        <row r="57226">
          <cell r="O57226" t="str">
            <v/>
          </cell>
        </row>
        <row r="57227">
          <cell r="O57227" t="str">
            <v/>
          </cell>
        </row>
        <row r="57228">
          <cell r="O57228" t="str">
            <v/>
          </cell>
        </row>
        <row r="57229">
          <cell r="O57229" t="str">
            <v/>
          </cell>
        </row>
        <row r="57230">
          <cell r="O57230" t="str">
            <v/>
          </cell>
        </row>
        <row r="57231">
          <cell r="O57231" t="str">
            <v/>
          </cell>
        </row>
        <row r="57232">
          <cell r="O57232" t="str">
            <v/>
          </cell>
        </row>
        <row r="57233">
          <cell r="O57233" t="str">
            <v/>
          </cell>
        </row>
        <row r="57234">
          <cell r="O57234" t="str">
            <v/>
          </cell>
        </row>
        <row r="57235">
          <cell r="O57235" t="str">
            <v/>
          </cell>
        </row>
        <row r="57236">
          <cell r="O57236" t="str">
            <v/>
          </cell>
        </row>
        <row r="57237">
          <cell r="O57237" t="str">
            <v/>
          </cell>
        </row>
        <row r="57238">
          <cell r="O57238" t="str">
            <v/>
          </cell>
        </row>
        <row r="57239">
          <cell r="O57239" t="str">
            <v/>
          </cell>
        </row>
        <row r="57240">
          <cell r="O57240" t="str">
            <v/>
          </cell>
        </row>
        <row r="57241">
          <cell r="O57241" t="str">
            <v/>
          </cell>
        </row>
        <row r="57242">
          <cell r="O57242" t="str">
            <v/>
          </cell>
        </row>
        <row r="57243">
          <cell r="O57243" t="str">
            <v/>
          </cell>
        </row>
        <row r="57244">
          <cell r="O57244" t="str">
            <v/>
          </cell>
        </row>
        <row r="57245">
          <cell r="O57245" t="str">
            <v/>
          </cell>
        </row>
        <row r="57246">
          <cell r="O57246" t="str">
            <v/>
          </cell>
        </row>
        <row r="57247">
          <cell r="O57247" t="str">
            <v/>
          </cell>
        </row>
        <row r="57248">
          <cell r="O57248" t="str">
            <v/>
          </cell>
        </row>
        <row r="57249">
          <cell r="O57249" t="str">
            <v/>
          </cell>
        </row>
        <row r="57250">
          <cell r="O57250" t="str">
            <v/>
          </cell>
        </row>
        <row r="57251">
          <cell r="O57251" t="str">
            <v/>
          </cell>
        </row>
        <row r="57252">
          <cell r="O57252" t="str">
            <v/>
          </cell>
        </row>
        <row r="57253">
          <cell r="O57253" t="str">
            <v/>
          </cell>
        </row>
        <row r="57254">
          <cell r="O57254" t="str">
            <v/>
          </cell>
        </row>
        <row r="57255">
          <cell r="O57255" t="str">
            <v/>
          </cell>
        </row>
        <row r="57256">
          <cell r="O57256" t="str">
            <v/>
          </cell>
        </row>
        <row r="57257">
          <cell r="O57257" t="str">
            <v/>
          </cell>
        </row>
        <row r="57258">
          <cell r="O57258" t="str">
            <v/>
          </cell>
        </row>
        <row r="57259">
          <cell r="O57259" t="str">
            <v/>
          </cell>
        </row>
        <row r="57260">
          <cell r="O57260" t="str">
            <v/>
          </cell>
        </row>
        <row r="57261">
          <cell r="O57261" t="str">
            <v/>
          </cell>
        </row>
        <row r="57262">
          <cell r="O57262" t="str">
            <v/>
          </cell>
        </row>
        <row r="57263">
          <cell r="O57263" t="str">
            <v/>
          </cell>
        </row>
        <row r="57264">
          <cell r="O57264" t="str">
            <v/>
          </cell>
        </row>
        <row r="57265">
          <cell r="O57265" t="str">
            <v/>
          </cell>
        </row>
        <row r="57266">
          <cell r="O57266" t="str">
            <v/>
          </cell>
        </row>
        <row r="57267">
          <cell r="O57267" t="str">
            <v/>
          </cell>
        </row>
        <row r="57268">
          <cell r="O57268" t="str">
            <v/>
          </cell>
        </row>
        <row r="57269">
          <cell r="O57269" t="str">
            <v/>
          </cell>
        </row>
        <row r="57270">
          <cell r="O57270" t="str">
            <v/>
          </cell>
        </row>
        <row r="57271">
          <cell r="O57271" t="str">
            <v/>
          </cell>
        </row>
        <row r="57272">
          <cell r="O57272" t="str">
            <v/>
          </cell>
        </row>
        <row r="57273">
          <cell r="O57273" t="str">
            <v/>
          </cell>
        </row>
        <row r="57274">
          <cell r="O57274" t="str">
            <v/>
          </cell>
        </row>
        <row r="57275">
          <cell r="O57275" t="str">
            <v/>
          </cell>
        </row>
        <row r="57276">
          <cell r="O57276" t="str">
            <v/>
          </cell>
        </row>
        <row r="57277">
          <cell r="O57277" t="str">
            <v/>
          </cell>
        </row>
        <row r="57278">
          <cell r="O57278" t="str">
            <v/>
          </cell>
        </row>
        <row r="57279">
          <cell r="O57279" t="str">
            <v/>
          </cell>
        </row>
        <row r="57280">
          <cell r="O57280" t="str">
            <v/>
          </cell>
        </row>
        <row r="57281">
          <cell r="O57281" t="str">
            <v/>
          </cell>
        </row>
        <row r="57282">
          <cell r="O57282" t="str">
            <v/>
          </cell>
        </row>
        <row r="57283">
          <cell r="O57283" t="str">
            <v/>
          </cell>
        </row>
        <row r="57284">
          <cell r="O57284" t="str">
            <v/>
          </cell>
        </row>
        <row r="57285">
          <cell r="O57285" t="str">
            <v/>
          </cell>
        </row>
        <row r="57286">
          <cell r="O57286" t="str">
            <v/>
          </cell>
        </row>
        <row r="57287">
          <cell r="O57287" t="str">
            <v/>
          </cell>
        </row>
        <row r="57288">
          <cell r="O57288" t="str">
            <v/>
          </cell>
        </row>
        <row r="57289">
          <cell r="O57289" t="str">
            <v/>
          </cell>
        </row>
        <row r="57290">
          <cell r="O57290" t="str">
            <v/>
          </cell>
        </row>
        <row r="57291">
          <cell r="O57291" t="str">
            <v/>
          </cell>
        </row>
        <row r="57292">
          <cell r="O57292" t="str">
            <v/>
          </cell>
        </row>
        <row r="57293">
          <cell r="O57293" t="str">
            <v/>
          </cell>
        </row>
        <row r="57294">
          <cell r="O57294" t="str">
            <v/>
          </cell>
        </row>
        <row r="57295">
          <cell r="O57295" t="str">
            <v/>
          </cell>
        </row>
        <row r="57296">
          <cell r="O57296" t="str">
            <v/>
          </cell>
        </row>
        <row r="57297">
          <cell r="O57297" t="str">
            <v/>
          </cell>
        </row>
        <row r="57298">
          <cell r="O57298" t="str">
            <v/>
          </cell>
        </row>
        <row r="57299">
          <cell r="O57299" t="str">
            <v/>
          </cell>
        </row>
        <row r="57300">
          <cell r="O57300" t="str">
            <v/>
          </cell>
        </row>
        <row r="57301">
          <cell r="O57301" t="str">
            <v/>
          </cell>
        </row>
        <row r="57302">
          <cell r="O57302" t="str">
            <v/>
          </cell>
        </row>
        <row r="57303">
          <cell r="O57303" t="str">
            <v/>
          </cell>
        </row>
        <row r="57304">
          <cell r="O57304" t="str">
            <v/>
          </cell>
        </row>
        <row r="57305">
          <cell r="O57305" t="str">
            <v/>
          </cell>
        </row>
        <row r="57306">
          <cell r="O57306" t="str">
            <v/>
          </cell>
        </row>
        <row r="57307">
          <cell r="O57307" t="str">
            <v/>
          </cell>
        </row>
        <row r="57308">
          <cell r="O57308" t="str">
            <v/>
          </cell>
        </row>
        <row r="57309">
          <cell r="O57309" t="str">
            <v/>
          </cell>
        </row>
        <row r="57310">
          <cell r="O57310" t="str">
            <v/>
          </cell>
        </row>
        <row r="57311">
          <cell r="O57311" t="str">
            <v/>
          </cell>
        </row>
        <row r="57312">
          <cell r="O57312" t="str">
            <v/>
          </cell>
        </row>
        <row r="57313">
          <cell r="O57313" t="str">
            <v/>
          </cell>
        </row>
        <row r="57314">
          <cell r="O57314" t="str">
            <v/>
          </cell>
        </row>
        <row r="57315">
          <cell r="O57315" t="str">
            <v/>
          </cell>
        </row>
        <row r="57316">
          <cell r="O57316" t="str">
            <v/>
          </cell>
        </row>
        <row r="57317">
          <cell r="O57317" t="str">
            <v/>
          </cell>
        </row>
        <row r="57318">
          <cell r="O57318" t="str">
            <v/>
          </cell>
        </row>
        <row r="57319">
          <cell r="O57319" t="str">
            <v/>
          </cell>
        </row>
        <row r="57320">
          <cell r="O57320" t="str">
            <v/>
          </cell>
        </row>
        <row r="57321">
          <cell r="O57321" t="str">
            <v/>
          </cell>
        </row>
        <row r="57322">
          <cell r="O57322" t="str">
            <v/>
          </cell>
        </row>
        <row r="57323">
          <cell r="O57323" t="str">
            <v/>
          </cell>
        </row>
        <row r="57324">
          <cell r="O57324" t="str">
            <v/>
          </cell>
        </row>
        <row r="57325">
          <cell r="O57325" t="str">
            <v/>
          </cell>
        </row>
        <row r="57326">
          <cell r="O57326" t="str">
            <v/>
          </cell>
        </row>
        <row r="57327">
          <cell r="O57327" t="str">
            <v/>
          </cell>
        </row>
        <row r="57328">
          <cell r="O57328" t="str">
            <v/>
          </cell>
        </row>
        <row r="57329">
          <cell r="O57329" t="str">
            <v/>
          </cell>
        </row>
        <row r="57330">
          <cell r="O57330" t="str">
            <v/>
          </cell>
        </row>
        <row r="57331">
          <cell r="O57331" t="str">
            <v/>
          </cell>
        </row>
        <row r="57332">
          <cell r="O57332" t="str">
            <v/>
          </cell>
        </row>
        <row r="57333">
          <cell r="O57333" t="str">
            <v/>
          </cell>
        </row>
        <row r="57334">
          <cell r="O57334" t="str">
            <v/>
          </cell>
        </row>
        <row r="57335">
          <cell r="O57335" t="str">
            <v/>
          </cell>
        </row>
        <row r="57336">
          <cell r="O57336" t="str">
            <v/>
          </cell>
        </row>
        <row r="57337">
          <cell r="O57337" t="str">
            <v/>
          </cell>
        </row>
        <row r="57338">
          <cell r="O57338" t="str">
            <v/>
          </cell>
        </row>
        <row r="57339">
          <cell r="O57339" t="str">
            <v/>
          </cell>
        </row>
        <row r="57340">
          <cell r="O57340" t="str">
            <v/>
          </cell>
        </row>
        <row r="57341">
          <cell r="O57341" t="str">
            <v/>
          </cell>
        </row>
        <row r="57342">
          <cell r="O57342" t="str">
            <v/>
          </cell>
        </row>
        <row r="57343">
          <cell r="O57343" t="str">
            <v/>
          </cell>
        </row>
        <row r="57344">
          <cell r="O57344" t="str">
            <v/>
          </cell>
        </row>
        <row r="57345">
          <cell r="O57345" t="str">
            <v/>
          </cell>
        </row>
        <row r="57346">
          <cell r="O57346" t="str">
            <v/>
          </cell>
        </row>
        <row r="57347">
          <cell r="O57347" t="str">
            <v/>
          </cell>
        </row>
        <row r="57348">
          <cell r="O57348" t="str">
            <v/>
          </cell>
        </row>
        <row r="57349">
          <cell r="O57349" t="str">
            <v/>
          </cell>
        </row>
        <row r="57350">
          <cell r="O57350" t="str">
            <v/>
          </cell>
        </row>
        <row r="57351">
          <cell r="O57351" t="str">
            <v/>
          </cell>
        </row>
        <row r="57352">
          <cell r="O57352" t="str">
            <v/>
          </cell>
        </row>
        <row r="57353">
          <cell r="O57353" t="str">
            <v/>
          </cell>
        </row>
        <row r="57354">
          <cell r="O57354" t="str">
            <v/>
          </cell>
        </row>
        <row r="57355">
          <cell r="O57355" t="str">
            <v/>
          </cell>
        </row>
        <row r="57356">
          <cell r="O57356" t="str">
            <v/>
          </cell>
        </row>
        <row r="57357">
          <cell r="O57357" t="str">
            <v/>
          </cell>
        </row>
        <row r="57358">
          <cell r="O57358" t="str">
            <v/>
          </cell>
        </row>
        <row r="57359">
          <cell r="O57359" t="str">
            <v/>
          </cell>
        </row>
        <row r="57360">
          <cell r="O57360" t="str">
            <v/>
          </cell>
        </row>
        <row r="57361">
          <cell r="O57361" t="str">
            <v/>
          </cell>
        </row>
        <row r="57362">
          <cell r="O57362" t="str">
            <v/>
          </cell>
        </row>
        <row r="57363">
          <cell r="O57363" t="str">
            <v/>
          </cell>
        </row>
        <row r="57364">
          <cell r="O57364" t="str">
            <v/>
          </cell>
        </row>
        <row r="57365">
          <cell r="O57365" t="str">
            <v/>
          </cell>
        </row>
        <row r="57366">
          <cell r="O57366" t="str">
            <v/>
          </cell>
        </row>
        <row r="57367">
          <cell r="O57367" t="str">
            <v/>
          </cell>
        </row>
        <row r="57368">
          <cell r="O57368" t="str">
            <v/>
          </cell>
        </row>
        <row r="57369">
          <cell r="O57369" t="str">
            <v/>
          </cell>
        </row>
        <row r="57370">
          <cell r="O57370" t="str">
            <v/>
          </cell>
        </row>
        <row r="57371">
          <cell r="O57371" t="str">
            <v/>
          </cell>
        </row>
        <row r="57372">
          <cell r="O57372" t="str">
            <v/>
          </cell>
        </row>
        <row r="57373">
          <cell r="O57373" t="str">
            <v/>
          </cell>
        </row>
        <row r="57374">
          <cell r="O57374" t="str">
            <v/>
          </cell>
        </row>
        <row r="57375">
          <cell r="O57375" t="str">
            <v/>
          </cell>
        </row>
        <row r="57376">
          <cell r="O57376" t="str">
            <v/>
          </cell>
        </row>
        <row r="57377">
          <cell r="O57377" t="str">
            <v/>
          </cell>
        </row>
        <row r="57378">
          <cell r="O57378" t="str">
            <v/>
          </cell>
        </row>
        <row r="57379">
          <cell r="O57379" t="str">
            <v/>
          </cell>
        </row>
        <row r="57380">
          <cell r="O57380" t="str">
            <v/>
          </cell>
        </row>
        <row r="57381">
          <cell r="O57381" t="str">
            <v/>
          </cell>
        </row>
        <row r="57382">
          <cell r="O57382" t="str">
            <v/>
          </cell>
        </row>
        <row r="57383">
          <cell r="O57383" t="str">
            <v/>
          </cell>
        </row>
        <row r="57384">
          <cell r="O57384" t="str">
            <v/>
          </cell>
        </row>
        <row r="57385">
          <cell r="O57385" t="str">
            <v/>
          </cell>
        </row>
        <row r="57386">
          <cell r="O57386" t="str">
            <v/>
          </cell>
        </row>
        <row r="57387">
          <cell r="O57387" t="str">
            <v/>
          </cell>
        </row>
        <row r="57388">
          <cell r="O57388" t="str">
            <v/>
          </cell>
        </row>
        <row r="57389">
          <cell r="O57389" t="str">
            <v/>
          </cell>
        </row>
        <row r="57390">
          <cell r="O57390" t="str">
            <v/>
          </cell>
        </row>
        <row r="57391">
          <cell r="O57391" t="str">
            <v/>
          </cell>
        </row>
        <row r="57392">
          <cell r="O57392" t="str">
            <v/>
          </cell>
        </row>
        <row r="57393">
          <cell r="O57393" t="str">
            <v/>
          </cell>
        </row>
        <row r="57394">
          <cell r="O57394" t="str">
            <v/>
          </cell>
        </row>
        <row r="57395">
          <cell r="O57395" t="str">
            <v/>
          </cell>
        </row>
        <row r="57396">
          <cell r="O57396" t="str">
            <v/>
          </cell>
        </row>
        <row r="57397">
          <cell r="O57397" t="str">
            <v/>
          </cell>
        </row>
        <row r="57398">
          <cell r="O57398" t="str">
            <v/>
          </cell>
        </row>
        <row r="57399">
          <cell r="O57399" t="str">
            <v/>
          </cell>
        </row>
        <row r="57400">
          <cell r="O57400" t="str">
            <v/>
          </cell>
        </row>
        <row r="57401">
          <cell r="O57401" t="str">
            <v/>
          </cell>
        </row>
        <row r="57402">
          <cell r="O57402" t="str">
            <v/>
          </cell>
        </row>
        <row r="57403">
          <cell r="O57403" t="str">
            <v/>
          </cell>
        </row>
        <row r="57404">
          <cell r="O57404" t="str">
            <v/>
          </cell>
        </row>
        <row r="57405">
          <cell r="O57405" t="str">
            <v/>
          </cell>
        </row>
        <row r="57406">
          <cell r="O57406" t="str">
            <v/>
          </cell>
        </row>
        <row r="57407">
          <cell r="O57407" t="str">
            <v/>
          </cell>
        </row>
        <row r="57408">
          <cell r="O57408" t="str">
            <v/>
          </cell>
        </row>
        <row r="57409">
          <cell r="O57409" t="str">
            <v/>
          </cell>
        </row>
        <row r="57410">
          <cell r="O57410" t="str">
            <v/>
          </cell>
        </row>
        <row r="57411">
          <cell r="O57411" t="str">
            <v/>
          </cell>
        </row>
        <row r="57412">
          <cell r="O57412" t="str">
            <v/>
          </cell>
        </row>
        <row r="57413">
          <cell r="O57413" t="str">
            <v/>
          </cell>
        </row>
        <row r="57414">
          <cell r="O57414" t="str">
            <v/>
          </cell>
        </row>
        <row r="57415">
          <cell r="O57415" t="str">
            <v/>
          </cell>
        </row>
        <row r="57416">
          <cell r="O57416" t="str">
            <v/>
          </cell>
        </row>
        <row r="57417">
          <cell r="O57417" t="str">
            <v/>
          </cell>
        </row>
        <row r="57418">
          <cell r="O57418" t="str">
            <v/>
          </cell>
        </row>
        <row r="57419">
          <cell r="O57419" t="str">
            <v/>
          </cell>
        </row>
        <row r="57420">
          <cell r="O57420" t="str">
            <v/>
          </cell>
        </row>
        <row r="57421">
          <cell r="O57421" t="str">
            <v/>
          </cell>
        </row>
        <row r="57422">
          <cell r="O57422" t="str">
            <v/>
          </cell>
        </row>
        <row r="57423">
          <cell r="O57423" t="str">
            <v/>
          </cell>
        </row>
        <row r="57424">
          <cell r="O57424" t="str">
            <v/>
          </cell>
        </row>
        <row r="57425">
          <cell r="O57425" t="str">
            <v/>
          </cell>
        </row>
        <row r="57426">
          <cell r="O57426" t="str">
            <v/>
          </cell>
        </row>
        <row r="57427">
          <cell r="O57427" t="str">
            <v/>
          </cell>
        </row>
        <row r="57428">
          <cell r="O57428" t="str">
            <v/>
          </cell>
        </row>
        <row r="57429">
          <cell r="O57429" t="str">
            <v/>
          </cell>
        </row>
        <row r="57430">
          <cell r="O57430" t="str">
            <v/>
          </cell>
        </row>
        <row r="57431">
          <cell r="O57431" t="str">
            <v/>
          </cell>
        </row>
        <row r="57432">
          <cell r="O57432" t="str">
            <v/>
          </cell>
        </row>
        <row r="57433">
          <cell r="O57433" t="str">
            <v/>
          </cell>
        </row>
        <row r="57434">
          <cell r="O57434" t="str">
            <v/>
          </cell>
        </row>
        <row r="57435">
          <cell r="O57435" t="str">
            <v/>
          </cell>
        </row>
        <row r="57436">
          <cell r="O57436" t="str">
            <v/>
          </cell>
        </row>
        <row r="57437">
          <cell r="O57437" t="str">
            <v/>
          </cell>
        </row>
        <row r="57438">
          <cell r="O57438" t="str">
            <v/>
          </cell>
        </row>
        <row r="57439">
          <cell r="O57439" t="str">
            <v/>
          </cell>
        </row>
        <row r="57440">
          <cell r="O57440" t="str">
            <v/>
          </cell>
        </row>
        <row r="57441">
          <cell r="O57441" t="str">
            <v/>
          </cell>
        </row>
        <row r="57442">
          <cell r="O57442" t="str">
            <v/>
          </cell>
        </row>
        <row r="57443">
          <cell r="O57443" t="str">
            <v/>
          </cell>
        </row>
        <row r="57444">
          <cell r="O57444" t="str">
            <v/>
          </cell>
        </row>
        <row r="57445">
          <cell r="O57445" t="str">
            <v/>
          </cell>
        </row>
        <row r="57446">
          <cell r="O57446" t="str">
            <v/>
          </cell>
        </row>
        <row r="57447">
          <cell r="O57447" t="str">
            <v/>
          </cell>
        </row>
        <row r="57448">
          <cell r="O57448" t="str">
            <v/>
          </cell>
        </row>
        <row r="57449">
          <cell r="O57449" t="str">
            <v/>
          </cell>
        </row>
        <row r="57450">
          <cell r="O57450" t="str">
            <v/>
          </cell>
        </row>
        <row r="57451">
          <cell r="O57451" t="str">
            <v/>
          </cell>
        </row>
        <row r="57452">
          <cell r="O57452" t="str">
            <v/>
          </cell>
        </row>
        <row r="57453">
          <cell r="O57453" t="str">
            <v/>
          </cell>
        </row>
        <row r="57454">
          <cell r="O57454" t="str">
            <v/>
          </cell>
        </row>
        <row r="57455">
          <cell r="O57455" t="str">
            <v/>
          </cell>
        </row>
        <row r="57456">
          <cell r="O57456" t="str">
            <v/>
          </cell>
        </row>
        <row r="57457">
          <cell r="O57457" t="str">
            <v/>
          </cell>
        </row>
        <row r="57458">
          <cell r="O57458" t="str">
            <v/>
          </cell>
        </row>
        <row r="57459">
          <cell r="O57459" t="str">
            <v/>
          </cell>
        </row>
        <row r="57460">
          <cell r="O57460" t="str">
            <v/>
          </cell>
        </row>
        <row r="57461">
          <cell r="O57461" t="str">
            <v/>
          </cell>
        </row>
        <row r="57462">
          <cell r="O57462" t="str">
            <v/>
          </cell>
        </row>
        <row r="57463">
          <cell r="O57463" t="str">
            <v/>
          </cell>
        </row>
        <row r="57464">
          <cell r="O57464" t="str">
            <v/>
          </cell>
        </row>
        <row r="57465">
          <cell r="O57465" t="str">
            <v/>
          </cell>
        </row>
        <row r="57466">
          <cell r="O57466" t="str">
            <v/>
          </cell>
        </row>
        <row r="57467">
          <cell r="O57467" t="str">
            <v/>
          </cell>
        </row>
        <row r="57468">
          <cell r="O57468" t="str">
            <v/>
          </cell>
        </row>
        <row r="57469">
          <cell r="O57469" t="str">
            <v/>
          </cell>
        </row>
        <row r="57470">
          <cell r="O57470" t="str">
            <v/>
          </cell>
        </row>
        <row r="57471">
          <cell r="O57471" t="str">
            <v/>
          </cell>
        </row>
        <row r="57472">
          <cell r="O57472" t="str">
            <v/>
          </cell>
        </row>
        <row r="57473">
          <cell r="O57473" t="str">
            <v/>
          </cell>
        </row>
        <row r="57474">
          <cell r="O57474" t="str">
            <v/>
          </cell>
        </row>
        <row r="57475">
          <cell r="O57475" t="str">
            <v/>
          </cell>
        </row>
        <row r="57476">
          <cell r="O57476" t="str">
            <v/>
          </cell>
        </row>
        <row r="57477">
          <cell r="O57477" t="str">
            <v/>
          </cell>
        </row>
        <row r="57478">
          <cell r="O57478" t="str">
            <v/>
          </cell>
        </row>
        <row r="57479">
          <cell r="O57479" t="str">
            <v/>
          </cell>
        </row>
        <row r="57480">
          <cell r="O57480" t="str">
            <v/>
          </cell>
        </row>
        <row r="57481">
          <cell r="O57481" t="str">
            <v/>
          </cell>
        </row>
        <row r="57482">
          <cell r="O57482" t="str">
            <v/>
          </cell>
        </row>
        <row r="57483">
          <cell r="O57483" t="str">
            <v/>
          </cell>
        </row>
        <row r="57484">
          <cell r="O57484" t="str">
            <v/>
          </cell>
        </row>
        <row r="57485">
          <cell r="O57485" t="str">
            <v/>
          </cell>
        </row>
        <row r="57486">
          <cell r="O57486" t="str">
            <v/>
          </cell>
        </row>
        <row r="57487">
          <cell r="O57487" t="str">
            <v/>
          </cell>
        </row>
        <row r="57488">
          <cell r="O57488" t="str">
            <v/>
          </cell>
        </row>
        <row r="57489">
          <cell r="O57489" t="str">
            <v/>
          </cell>
        </row>
        <row r="57490">
          <cell r="O57490" t="str">
            <v/>
          </cell>
        </row>
        <row r="57491">
          <cell r="O57491" t="str">
            <v/>
          </cell>
        </row>
        <row r="57492">
          <cell r="O57492" t="str">
            <v/>
          </cell>
        </row>
        <row r="57493">
          <cell r="O57493" t="str">
            <v/>
          </cell>
        </row>
        <row r="57494">
          <cell r="O57494" t="str">
            <v/>
          </cell>
        </row>
        <row r="57495">
          <cell r="O57495" t="str">
            <v/>
          </cell>
        </row>
        <row r="57496">
          <cell r="O57496" t="str">
            <v/>
          </cell>
        </row>
        <row r="57497">
          <cell r="O57497" t="str">
            <v/>
          </cell>
        </row>
        <row r="57498">
          <cell r="O57498" t="str">
            <v/>
          </cell>
        </row>
        <row r="57499">
          <cell r="O57499" t="str">
            <v/>
          </cell>
        </row>
        <row r="57500">
          <cell r="O57500" t="str">
            <v/>
          </cell>
        </row>
        <row r="57501">
          <cell r="O57501" t="str">
            <v/>
          </cell>
        </row>
        <row r="57502">
          <cell r="O57502" t="str">
            <v/>
          </cell>
        </row>
        <row r="57503">
          <cell r="O57503" t="str">
            <v/>
          </cell>
        </row>
        <row r="57504">
          <cell r="O57504" t="str">
            <v/>
          </cell>
        </row>
        <row r="57505">
          <cell r="O57505" t="str">
            <v/>
          </cell>
        </row>
        <row r="57506">
          <cell r="O57506" t="str">
            <v/>
          </cell>
        </row>
        <row r="57507">
          <cell r="O57507" t="str">
            <v/>
          </cell>
        </row>
        <row r="57508">
          <cell r="O57508" t="str">
            <v/>
          </cell>
        </row>
        <row r="57509">
          <cell r="O57509" t="str">
            <v/>
          </cell>
        </row>
        <row r="57510">
          <cell r="O57510" t="str">
            <v/>
          </cell>
        </row>
        <row r="57511">
          <cell r="O57511" t="str">
            <v/>
          </cell>
        </row>
        <row r="57512">
          <cell r="O57512" t="str">
            <v/>
          </cell>
        </row>
        <row r="57513">
          <cell r="O57513" t="str">
            <v/>
          </cell>
        </row>
        <row r="57514">
          <cell r="O57514" t="str">
            <v/>
          </cell>
        </row>
        <row r="57515">
          <cell r="O57515" t="str">
            <v/>
          </cell>
        </row>
        <row r="57516">
          <cell r="O57516" t="str">
            <v/>
          </cell>
        </row>
        <row r="57517">
          <cell r="O57517" t="str">
            <v/>
          </cell>
        </row>
        <row r="57518">
          <cell r="O57518" t="str">
            <v/>
          </cell>
        </row>
        <row r="57519">
          <cell r="O57519" t="str">
            <v/>
          </cell>
        </row>
        <row r="57520">
          <cell r="O57520" t="str">
            <v/>
          </cell>
        </row>
        <row r="57521">
          <cell r="O57521" t="str">
            <v/>
          </cell>
        </row>
        <row r="57522">
          <cell r="O57522" t="str">
            <v/>
          </cell>
        </row>
        <row r="57523">
          <cell r="O57523" t="str">
            <v/>
          </cell>
        </row>
        <row r="57524">
          <cell r="O57524" t="str">
            <v/>
          </cell>
        </row>
        <row r="57525">
          <cell r="O57525" t="str">
            <v/>
          </cell>
        </row>
        <row r="57526">
          <cell r="O57526" t="str">
            <v/>
          </cell>
        </row>
        <row r="57527">
          <cell r="O57527" t="str">
            <v/>
          </cell>
        </row>
        <row r="57528">
          <cell r="O57528" t="str">
            <v/>
          </cell>
        </row>
        <row r="57529">
          <cell r="O57529" t="str">
            <v/>
          </cell>
        </row>
        <row r="57530">
          <cell r="O57530" t="str">
            <v/>
          </cell>
        </row>
        <row r="57531">
          <cell r="O57531" t="str">
            <v/>
          </cell>
        </row>
        <row r="57532">
          <cell r="O57532" t="str">
            <v/>
          </cell>
        </row>
        <row r="57533">
          <cell r="O57533" t="str">
            <v/>
          </cell>
        </row>
        <row r="57534">
          <cell r="O57534" t="str">
            <v/>
          </cell>
        </row>
        <row r="57535">
          <cell r="O57535" t="str">
            <v/>
          </cell>
        </row>
        <row r="57536">
          <cell r="O57536" t="str">
            <v/>
          </cell>
        </row>
        <row r="57537">
          <cell r="O57537" t="str">
            <v/>
          </cell>
        </row>
        <row r="57538">
          <cell r="O57538" t="str">
            <v/>
          </cell>
        </row>
        <row r="57539">
          <cell r="O57539" t="str">
            <v/>
          </cell>
        </row>
        <row r="57540">
          <cell r="O57540" t="str">
            <v/>
          </cell>
        </row>
        <row r="57541">
          <cell r="O57541" t="str">
            <v/>
          </cell>
        </row>
        <row r="57542">
          <cell r="O57542" t="str">
            <v/>
          </cell>
        </row>
        <row r="57543">
          <cell r="O57543" t="str">
            <v/>
          </cell>
        </row>
        <row r="57544">
          <cell r="O57544" t="str">
            <v/>
          </cell>
        </row>
        <row r="57545">
          <cell r="O57545" t="str">
            <v/>
          </cell>
        </row>
        <row r="57546">
          <cell r="O57546" t="str">
            <v/>
          </cell>
        </row>
        <row r="57547">
          <cell r="O57547" t="str">
            <v/>
          </cell>
        </row>
        <row r="57548">
          <cell r="O57548" t="str">
            <v/>
          </cell>
        </row>
        <row r="57549">
          <cell r="O57549" t="str">
            <v/>
          </cell>
        </row>
        <row r="57550">
          <cell r="O57550" t="str">
            <v/>
          </cell>
        </row>
        <row r="57551">
          <cell r="O57551" t="str">
            <v/>
          </cell>
        </row>
        <row r="57552">
          <cell r="O57552" t="str">
            <v/>
          </cell>
        </row>
        <row r="57553">
          <cell r="O57553" t="str">
            <v/>
          </cell>
        </row>
        <row r="57554">
          <cell r="O57554" t="str">
            <v/>
          </cell>
        </row>
        <row r="57555">
          <cell r="O57555" t="str">
            <v/>
          </cell>
        </row>
        <row r="57556">
          <cell r="O57556" t="str">
            <v/>
          </cell>
        </row>
        <row r="57557">
          <cell r="O57557" t="str">
            <v/>
          </cell>
        </row>
        <row r="57558">
          <cell r="O57558" t="str">
            <v/>
          </cell>
        </row>
        <row r="57559">
          <cell r="O57559" t="str">
            <v/>
          </cell>
        </row>
        <row r="57560">
          <cell r="O57560" t="str">
            <v/>
          </cell>
        </row>
        <row r="57561">
          <cell r="O57561" t="str">
            <v/>
          </cell>
        </row>
        <row r="57562">
          <cell r="O57562" t="str">
            <v/>
          </cell>
        </row>
        <row r="57563">
          <cell r="O57563" t="str">
            <v/>
          </cell>
        </row>
        <row r="57564">
          <cell r="O57564" t="str">
            <v/>
          </cell>
        </row>
        <row r="57565">
          <cell r="O57565" t="str">
            <v/>
          </cell>
        </row>
        <row r="57566">
          <cell r="O57566" t="str">
            <v/>
          </cell>
        </row>
        <row r="57567">
          <cell r="O57567" t="str">
            <v/>
          </cell>
        </row>
        <row r="57568">
          <cell r="O57568" t="str">
            <v/>
          </cell>
        </row>
        <row r="57569">
          <cell r="O57569" t="str">
            <v/>
          </cell>
        </row>
        <row r="57570">
          <cell r="O57570" t="str">
            <v/>
          </cell>
        </row>
        <row r="57571">
          <cell r="O57571" t="str">
            <v/>
          </cell>
        </row>
        <row r="57572">
          <cell r="O57572" t="str">
            <v/>
          </cell>
        </row>
        <row r="57573">
          <cell r="O57573" t="str">
            <v/>
          </cell>
        </row>
        <row r="57574">
          <cell r="O57574" t="str">
            <v/>
          </cell>
        </row>
        <row r="57575">
          <cell r="O57575" t="str">
            <v/>
          </cell>
        </row>
        <row r="57576">
          <cell r="O57576" t="str">
            <v/>
          </cell>
        </row>
        <row r="57577">
          <cell r="O57577" t="str">
            <v/>
          </cell>
        </row>
        <row r="57578">
          <cell r="O57578" t="str">
            <v/>
          </cell>
        </row>
        <row r="57579">
          <cell r="O57579" t="str">
            <v/>
          </cell>
        </row>
        <row r="57580">
          <cell r="O57580" t="str">
            <v/>
          </cell>
        </row>
        <row r="57581">
          <cell r="O57581" t="str">
            <v/>
          </cell>
        </row>
        <row r="57582">
          <cell r="O57582" t="str">
            <v/>
          </cell>
        </row>
        <row r="57583">
          <cell r="O57583" t="str">
            <v/>
          </cell>
        </row>
        <row r="57584">
          <cell r="O57584" t="str">
            <v/>
          </cell>
        </row>
        <row r="57585">
          <cell r="O57585" t="str">
            <v/>
          </cell>
        </row>
        <row r="57586">
          <cell r="O57586" t="str">
            <v/>
          </cell>
        </row>
        <row r="57587">
          <cell r="O57587" t="str">
            <v/>
          </cell>
        </row>
        <row r="57588">
          <cell r="O57588" t="str">
            <v/>
          </cell>
        </row>
        <row r="57589">
          <cell r="O57589" t="str">
            <v/>
          </cell>
        </row>
        <row r="57590">
          <cell r="O57590" t="str">
            <v/>
          </cell>
        </row>
        <row r="57591">
          <cell r="O57591" t="str">
            <v/>
          </cell>
        </row>
        <row r="57592">
          <cell r="O57592" t="str">
            <v/>
          </cell>
        </row>
        <row r="57593">
          <cell r="O57593" t="str">
            <v/>
          </cell>
        </row>
        <row r="57594">
          <cell r="O57594" t="str">
            <v/>
          </cell>
        </row>
        <row r="57595">
          <cell r="O57595" t="str">
            <v/>
          </cell>
        </row>
        <row r="57596">
          <cell r="O57596" t="str">
            <v/>
          </cell>
        </row>
        <row r="57597">
          <cell r="O57597" t="str">
            <v/>
          </cell>
        </row>
        <row r="57598">
          <cell r="O57598" t="str">
            <v/>
          </cell>
        </row>
        <row r="57599">
          <cell r="O57599" t="str">
            <v/>
          </cell>
        </row>
        <row r="57600">
          <cell r="O57600" t="str">
            <v/>
          </cell>
        </row>
        <row r="57601">
          <cell r="O57601" t="str">
            <v/>
          </cell>
        </row>
        <row r="57602">
          <cell r="O57602" t="str">
            <v/>
          </cell>
        </row>
        <row r="57603">
          <cell r="O57603" t="str">
            <v/>
          </cell>
        </row>
        <row r="57604">
          <cell r="O57604" t="str">
            <v/>
          </cell>
        </row>
        <row r="57605">
          <cell r="O57605" t="str">
            <v/>
          </cell>
        </row>
        <row r="57606">
          <cell r="O57606" t="str">
            <v/>
          </cell>
        </row>
        <row r="57607">
          <cell r="O57607" t="str">
            <v/>
          </cell>
        </row>
        <row r="57608">
          <cell r="O57608" t="str">
            <v/>
          </cell>
        </row>
        <row r="57609">
          <cell r="O57609" t="str">
            <v/>
          </cell>
        </row>
        <row r="57610">
          <cell r="O57610" t="str">
            <v/>
          </cell>
        </row>
        <row r="57611">
          <cell r="O57611" t="str">
            <v/>
          </cell>
        </row>
        <row r="57612">
          <cell r="O57612" t="str">
            <v/>
          </cell>
        </row>
        <row r="57613">
          <cell r="O57613" t="str">
            <v/>
          </cell>
        </row>
        <row r="57614">
          <cell r="O57614" t="str">
            <v/>
          </cell>
        </row>
        <row r="57615">
          <cell r="O57615" t="str">
            <v/>
          </cell>
        </row>
        <row r="57616">
          <cell r="O57616" t="str">
            <v/>
          </cell>
        </row>
        <row r="57617">
          <cell r="O57617" t="str">
            <v/>
          </cell>
        </row>
        <row r="57618">
          <cell r="O57618" t="str">
            <v/>
          </cell>
        </row>
        <row r="57619">
          <cell r="O57619" t="str">
            <v/>
          </cell>
        </row>
        <row r="57620">
          <cell r="O57620" t="str">
            <v/>
          </cell>
        </row>
        <row r="57621">
          <cell r="O57621" t="str">
            <v/>
          </cell>
        </row>
        <row r="57622">
          <cell r="O57622" t="str">
            <v/>
          </cell>
        </row>
        <row r="57623">
          <cell r="O57623" t="str">
            <v/>
          </cell>
        </row>
        <row r="57624">
          <cell r="O57624" t="str">
            <v/>
          </cell>
        </row>
        <row r="57625">
          <cell r="O57625" t="str">
            <v/>
          </cell>
        </row>
        <row r="57626">
          <cell r="O57626" t="str">
            <v/>
          </cell>
        </row>
        <row r="57627">
          <cell r="O57627" t="str">
            <v/>
          </cell>
        </row>
        <row r="57628">
          <cell r="O57628" t="str">
            <v/>
          </cell>
        </row>
        <row r="57629">
          <cell r="O57629" t="str">
            <v/>
          </cell>
        </row>
        <row r="57630">
          <cell r="O57630" t="str">
            <v/>
          </cell>
        </row>
        <row r="57631">
          <cell r="O57631" t="str">
            <v/>
          </cell>
        </row>
        <row r="57632">
          <cell r="O57632" t="str">
            <v/>
          </cell>
        </row>
        <row r="57633">
          <cell r="O57633" t="str">
            <v/>
          </cell>
        </row>
        <row r="57634">
          <cell r="O57634" t="str">
            <v/>
          </cell>
        </row>
        <row r="57635">
          <cell r="O57635" t="str">
            <v/>
          </cell>
        </row>
        <row r="57636">
          <cell r="O57636" t="str">
            <v/>
          </cell>
        </row>
        <row r="57637">
          <cell r="O57637" t="str">
            <v/>
          </cell>
        </row>
        <row r="57638">
          <cell r="O57638" t="str">
            <v/>
          </cell>
        </row>
        <row r="57639">
          <cell r="O57639" t="str">
            <v/>
          </cell>
        </row>
        <row r="57640">
          <cell r="O57640" t="str">
            <v/>
          </cell>
        </row>
        <row r="57641">
          <cell r="O57641" t="str">
            <v/>
          </cell>
        </row>
        <row r="57642">
          <cell r="O57642" t="str">
            <v/>
          </cell>
        </row>
        <row r="57643">
          <cell r="O57643" t="str">
            <v/>
          </cell>
        </row>
        <row r="57644">
          <cell r="O57644" t="str">
            <v/>
          </cell>
        </row>
        <row r="57645">
          <cell r="O57645" t="str">
            <v/>
          </cell>
        </row>
        <row r="57646">
          <cell r="O57646" t="str">
            <v/>
          </cell>
        </row>
        <row r="57647">
          <cell r="O57647" t="str">
            <v/>
          </cell>
        </row>
        <row r="57648">
          <cell r="O57648" t="str">
            <v/>
          </cell>
        </row>
        <row r="57649">
          <cell r="O57649" t="str">
            <v/>
          </cell>
        </row>
        <row r="57650">
          <cell r="O57650" t="str">
            <v/>
          </cell>
        </row>
        <row r="57651">
          <cell r="O57651" t="str">
            <v/>
          </cell>
        </row>
        <row r="57652">
          <cell r="O57652" t="str">
            <v/>
          </cell>
        </row>
        <row r="57653">
          <cell r="O57653" t="str">
            <v/>
          </cell>
        </row>
        <row r="57654">
          <cell r="O57654" t="str">
            <v/>
          </cell>
        </row>
        <row r="57655">
          <cell r="O57655" t="str">
            <v/>
          </cell>
        </row>
        <row r="57656">
          <cell r="O57656" t="str">
            <v/>
          </cell>
        </row>
        <row r="57657">
          <cell r="O57657" t="str">
            <v/>
          </cell>
        </row>
        <row r="57658">
          <cell r="O57658" t="str">
            <v/>
          </cell>
        </row>
        <row r="57659">
          <cell r="O57659" t="str">
            <v/>
          </cell>
        </row>
        <row r="57660">
          <cell r="O57660" t="str">
            <v/>
          </cell>
        </row>
        <row r="57661">
          <cell r="O57661" t="str">
            <v/>
          </cell>
        </row>
        <row r="57662">
          <cell r="O57662" t="str">
            <v/>
          </cell>
        </row>
        <row r="57663">
          <cell r="O57663" t="str">
            <v/>
          </cell>
        </row>
        <row r="57664">
          <cell r="O57664" t="str">
            <v/>
          </cell>
        </row>
        <row r="57665">
          <cell r="O57665" t="str">
            <v/>
          </cell>
        </row>
        <row r="57666">
          <cell r="O57666" t="str">
            <v/>
          </cell>
        </row>
        <row r="57667">
          <cell r="O57667" t="str">
            <v/>
          </cell>
        </row>
        <row r="57668">
          <cell r="O57668" t="str">
            <v/>
          </cell>
        </row>
        <row r="57669">
          <cell r="O57669" t="str">
            <v/>
          </cell>
        </row>
        <row r="57670">
          <cell r="O57670" t="str">
            <v/>
          </cell>
        </row>
        <row r="57671">
          <cell r="O57671" t="str">
            <v/>
          </cell>
        </row>
        <row r="57672">
          <cell r="O57672" t="str">
            <v/>
          </cell>
        </row>
        <row r="57673">
          <cell r="O57673" t="str">
            <v/>
          </cell>
        </row>
        <row r="57674">
          <cell r="O57674" t="str">
            <v/>
          </cell>
        </row>
        <row r="57675">
          <cell r="O57675" t="str">
            <v/>
          </cell>
        </row>
        <row r="57676">
          <cell r="O57676" t="str">
            <v/>
          </cell>
        </row>
        <row r="57677">
          <cell r="O57677" t="str">
            <v/>
          </cell>
        </row>
        <row r="57678">
          <cell r="O57678" t="str">
            <v/>
          </cell>
        </row>
        <row r="57679">
          <cell r="O57679" t="str">
            <v/>
          </cell>
        </row>
        <row r="57680">
          <cell r="O57680" t="str">
            <v/>
          </cell>
        </row>
        <row r="57681">
          <cell r="O57681" t="str">
            <v/>
          </cell>
        </row>
        <row r="57682">
          <cell r="O57682" t="str">
            <v/>
          </cell>
        </row>
        <row r="57683">
          <cell r="O57683" t="str">
            <v/>
          </cell>
        </row>
        <row r="57684">
          <cell r="O57684" t="str">
            <v/>
          </cell>
        </row>
        <row r="57685">
          <cell r="O57685" t="str">
            <v/>
          </cell>
        </row>
        <row r="57686">
          <cell r="O57686" t="str">
            <v/>
          </cell>
        </row>
        <row r="57687">
          <cell r="O57687" t="str">
            <v/>
          </cell>
        </row>
        <row r="57688">
          <cell r="O57688" t="str">
            <v/>
          </cell>
        </row>
        <row r="57689">
          <cell r="O57689" t="str">
            <v/>
          </cell>
        </row>
        <row r="57690">
          <cell r="O57690" t="str">
            <v/>
          </cell>
        </row>
        <row r="57691">
          <cell r="O57691" t="str">
            <v/>
          </cell>
        </row>
        <row r="57692">
          <cell r="O57692" t="str">
            <v/>
          </cell>
        </row>
        <row r="57693">
          <cell r="O57693" t="str">
            <v/>
          </cell>
        </row>
        <row r="57694">
          <cell r="O57694" t="str">
            <v/>
          </cell>
        </row>
        <row r="57695">
          <cell r="O57695" t="str">
            <v/>
          </cell>
        </row>
        <row r="57696">
          <cell r="O57696" t="str">
            <v/>
          </cell>
        </row>
        <row r="57697">
          <cell r="O57697" t="str">
            <v/>
          </cell>
        </row>
        <row r="57698">
          <cell r="O57698" t="str">
            <v/>
          </cell>
        </row>
        <row r="57699">
          <cell r="O57699" t="str">
            <v/>
          </cell>
        </row>
        <row r="57700">
          <cell r="O57700" t="str">
            <v/>
          </cell>
        </row>
        <row r="57701">
          <cell r="O57701" t="str">
            <v/>
          </cell>
        </row>
        <row r="57702">
          <cell r="O57702" t="str">
            <v/>
          </cell>
        </row>
        <row r="57703">
          <cell r="O57703" t="str">
            <v/>
          </cell>
        </row>
        <row r="57704">
          <cell r="O57704" t="str">
            <v/>
          </cell>
        </row>
        <row r="57705">
          <cell r="O57705" t="str">
            <v/>
          </cell>
        </row>
        <row r="57706">
          <cell r="O57706" t="str">
            <v/>
          </cell>
        </row>
        <row r="57707">
          <cell r="O57707" t="str">
            <v/>
          </cell>
        </row>
        <row r="57708">
          <cell r="O57708" t="str">
            <v/>
          </cell>
        </row>
        <row r="57709">
          <cell r="O57709" t="str">
            <v/>
          </cell>
        </row>
        <row r="57710">
          <cell r="O57710" t="str">
            <v/>
          </cell>
        </row>
        <row r="57711">
          <cell r="O57711" t="str">
            <v/>
          </cell>
        </row>
        <row r="57712">
          <cell r="O57712" t="str">
            <v/>
          </cell>
        </row>
        <row r="57713">
          <cell r="O57713" t="str">
            <v/>
          </cell>
        </row>
        <row r="57714">
          <cell r="O57714" t="str">
            <v/>
          </cell>
        </row>
        <row r="57715">
          <cell r="O57715" t="str">
            <v/>
          </cell>
        </row>
        <row r="57716">
          <cell r="O57716" t="str">
            <v/>
          </cell>
        </row>
        <row r="57717">
          <cell r="O57717" t="str">
            <v/>
          </cell>
        </row>
        <row r="57718">
          <cell r="O57718" t="str">
            <v/>
          </cell>
        </row>
        <row r="57719">
          <cell r="O57719" t="str">
            <v/>
          </cell>
        </row>
        <row r="57720">
          <cell r="O57720" t="str">
            <v/>
          </cell>
        </row>
        <row r="57721">
          <cell r="O57721" t="str">
            <v/>
          </cell>
        </row>
        <row r="57722">
          <cell r="O57722" t="str">
            <v/>
          </cell>
        </row>
        <row r="57723">
          <cell r="O57723" t="str">
            <v/>
          </cell>
        </row>
        <row r="57724">
          <cell r="O57724" t="str">
            <v/>
          </cell>
        </row>
        <row r="57725">
          <cell r="O57725" t="str">
            <v/>
          </cell>
        </row>
        <row r="57726">
          <cell r="O57726" t="str">
            <v/>
          </cell>
        </row>
        <row r="57727">
          <cell r="O57727" t="str">
            <v/>
          </cell>
        </row>
        <row r="57728">
          <cell r="O57728" t="str">
            <v/>
          </cell>
        </row>
        <row r="57729">
          <cell r="O57729" t="str">
            <v/>
          </cell>
        </row>
        <row r="57730">
          <cell r="O57730" t="str">
            <v/>
          </cell>
        </row>
        <row r="57731">
          <cell r="O57731" t="str">
            <v/>
          </cell>
        </row>
        <row r="57732">
          <cell r="O57732" t="str">
            <v/>
          </cell>
        </row>
        <row r="57733">
          <cell r="O57733" t="str">
            <v/>
          </cell>
        </row>
        <row r="57734">
          <cell r="O57734" t="str">
            <v/>
          </cell>
        </row>
        <row r="57735">
          <cell r="O57735" t="str">
            <v/>
          </cell>
        </row>
        <row r="57736">
          <cell r="O57736" t="str">
            <v/>
          </cell>
        </row>
        <row r="57737">
          <cell r="O57737" t="str">
            <v/>
          </cell>
        </row>
        <row r="57738">
          <cell r="O57738" t="str">
            <v/>
          </cell>
        </row>
        <row r="57739">
          <cell r="O57739" t="str">
            <v/>
          </cell>
        </row>
        <row r="57740">
          <cell r="O57740" t="str">
            <v/>
          </cell>
        </row>
        <row r="57741">
          <cell r="O57741" t="str">
            <v/>
          </cell>
        </row>
        <row r="57742">
          <cell r="O57742" t="str">
            <v/>
          </cell>
        </row>
        <row r="57743">
          <cell r="O57743" t="str">
            <v/>
          </cell>
        </row>
        <row r="57744">
          <cell r="O57744" t="str">
            <v/>
          </cell>
        </row>
        <row r="57745">
          <cell r="O57745" t="str">
            <v/>
          </cell>
        </row>
        <row r="57746">
          <cell r="O57746" t="str">
            <v/>
          </cell>
        </row>
        <row r="57747">
          <cell r="O57747" t="str">
            <v/>
          </cell>
        </row>
        <row r="57748">
          <cell r="O57748" t="str">
            <v/>
          </cell>
        </row>
        <row r="57749">
          <cell r="O57749" t="str">
            <v/>
          </cell>
        </row>
        <row r="57750">
          <cell r="O57750" t="str">
            <v/>
          </cell>
        </row>
        <row r="57751">
          <cell r="O57751" t="str">
            <v/>
          </cell>
        </row>
        <row r="57752">
          <cell r="O57752" t="str">
            <v/>
          </cell>
        </row>
        <row r="57753">
          <cell r="O57753" t="str">
            <v/>
          </cell>
        </row>
        <row r="57754">
          <cell r="O57754" t="str">
            <v/>
          </cell>
        </row>
        <row r="57755">
          <cell r="O57755" t="str">
            <v/>
          </cell>
        </row>
        <row r="57756">
          <cell r="O57756" t="str">
            <v/>
          </cell>
        </row>
        <row r="57757">
          <cell r="O57757" t="str">
            <v/>
          </cell>
        </row>
        <row r="57758">
          <cell r="O57758" t="str">
            <v/>
          </cell>
        </row>
        <row r="57759">
          <cell r="O57759" t="str">
            <v/>
          </cell>
        </row>
        <row r="57760">
          <cell r="O57760" t="str">
            <v/>
          </cell>
        </row>
        <row r="57761">
          <cell r="O57761" t="str">
            <v/>
          </cell>
        </row>
        <row r="57762">
          <cell r="O57762" t="str">
            <v/>
          </cell>
        </row>
        <row r="57763">
          <cell r="O57763" t="str">
            <v/>
          </cell>
        </row>
        <row r="57764">
          <cell r="O57764" t="str">
            <v/>
          </cell>
        </row>
        <row r="57765">
          <cell r="O57765" t="str">
            <v/>
          </cell>
        </row>
        <row r="57766">
          <cell r="O57766" t="str">
            <v/>
          </cell>
        </row>
        <row r="57767">
          <cell r="O57767" t="str">
            <v/>
          </cell>
        </row>
        <row r="57768">
          <cell r="O57768" t="str">
            <v/>
          </cell>
        </row>
        <row r="57769">
          <cell r="O57769" t="str">
            <v/>
          </cell>
        </row>
        <row r="57770">
          <cell r="O57770" t="str">
            <v/>
          </cell>
        </row>
        <row r="57771">
          <cell r="O57771" t="str">
            <v/>
          </cell>
        </row>
        <row r="57772">
          <cell r="O57772" t="str">
            <v/>
          </cell>
        </row>
        <row r="57773">
          <cell r="O57773" t="str">
            <v/>
          </cell>
        </row>
        <row r="57774">
          <cell r="O57774" t="str">
            <v/>
          </cell>
        </row>
        <row r="57775">
          <cell r="O57775" t="str">
            <v/>
          </cell>
        </row>
        <row r="57776">
          <cell r="O57776" t="str">
            <v/>
          </cell>
        </row>
        <row r="57777">
          <cell r="O57777" t="str">
            <v/>
          </cell>
        </row>
        <row r="57778">
          <cell r="O57778" t="str">
            <v/>
          </cell>
        </row>
        <row r="57779">
          <cell r="O57779" t="str">
            <v/>
          </cell>
        </row>
        <row r="57780">
          <cell r="O57780" t="str">
            <v/>
          </cell>
        </row>
        <row r="57781">
          <cell r="O57781" t="str">
            <v/>
          </cell>
        </row>
        <row r="57782">
          <cell r="O57782" t="str">
            <v/>
          </cell>
        </row>
        <row r="57783">
          <cell r="O57783" t="str">
            <v/>
          </cell>
        </row>
        <row r="57784">
          <cell r="O57784" t="str">
            <v/>
          </cell>
        </row>
        <row r="57785">
          <cell r="O57785" t="str">
            <v/>
          </cell>
        </row>
        <row r="57786">
          <cell r="O57786" t="str">
            <v/>
          </cell>
        </row>
        <row r="57787">
          <cell r="O57787" t="str">
            <v/>
          </cell>
        </row>
        <row r="57788">
          <cell r="O57788" t="str">
            <v/>
          </cell>
        </row>
        <row r="57789">
          <cell r="O57789" t="str">
            <v/>
          </cell>
        </row>
        <row r="57790">
          <cell r="O57790" t="str">
            <v/>
          </cell>
        </row>
        <row r="57791">
          <cell r="O57791" t="str">
            <v/>
          </cell>
        </row>
        <row r="57792">
          <cell r="O57792" t="str">
            <v/>
          </cell>
        </row>
        <row r="57793">
          <cell r="O57793" t="str">
            <v/>
          </cell>
        </row>
        <row r="57794">
          <cell r="O57794" t="str">
            <v/>
          </cell>
        </row>
        <row r="57795">
          <cell r="O57795" t="str">
            <v/>
          </cell>
        </row>
        <row r="57796">
          <cell r="O57796" t="str">
            <v/>
          </cell>
        </row>
        <row r="57797">
          <cell r="O57797" t="str">
            <v/>
          </cell>
        </row>
        <row r="57798">
          <cell r="O57798" t="str">
            <v/>
          </cell>
        </row>
        <row r="57799">
          <cell r="O57799" t="str">
            <v/>
          </cell>
        </row>
        <row r="57800">
          <cell r="O57800" t="str">
            <v/>
          </cell>
        </row>
        <row r="57801">
          <cell r="O57801" t="str">
            <v/>
          </cell>
        </row>
        <row r="57802">
          <cell r="O57802" t="str">
            <v/>
          </cell>
        </row>
        <row r="57803">
          <cell r="O57803" t="str">
            <v/>
          </cell>
        </row>
        <row r="57804">
          <cell r="O57804" t="str">
            <v/>
          </cell>
        </row>
        <row r="57805">
          <cell r="O57805" t="str">
            <v/>
          </cell>
        </row>
        <row r="57806">
          <cell r="O57806" t="str">
            <v/>
          </cell>
        </row>
        <row r="57807">
          <cell r="O57807" t="str">
            <v/>
          </cell>
        </row>
        <row r="57808">
          <cell r="O57808" t="str">
            <v/>
          </cell>
        </row>
        <row r="57809">
          <cell r="O57809" t="str">
            <v/>
          </cell>
        </row>
        <row r="57810">
          <cell r="O57810" t="str">
            <v/>
          </cell>
        </row>
        <row r="57811">
          <cell r="O57811" t="str">
            <v/>
          </cell>
        </row>
        <row r="57812">
          <cell r="O57812" t="str">
            <v/>
          </cell>
        </row>
        <row r="57813">
          <cell r="O57813" t="str">
            <v/>
          </cell>
        </row>
        <row r="57814">
          <cell r="O57814" t="str">
            <v/>
          </cell>
        </row>
        <row r="57815">
          <cell r="O57815" t="str">
            <v/>
          </cell>
        </row>
        <row r="57816">
          <cell r="O57816" t="str">
            <v/>
          </cell>
        </row>
        <row r="57817">
          <cell r="O57817" t="str">
            <v/>
          </cell>
        </row>
        <row r="57818">
          <cell r="O57818" t="str">
            <v/>
          </cell>
        </row>
        <row r="57819">
          <cell r="O57819" t="str">
            <v/>
          </cell>
        </row>
        <row r="57820">
          <cell r="O57820" t="str">
            <v/>
          </cell>
        </row>
        <row r="57821">
          <cell r="O57821" t="str">
            <v/>
          </cell>
        </row>
        <row r="57822">
          <cell r="O57822" t="str">
            <v/>
          </cell>
        </row>
        <row r="57823">
          <cell r="O57823" t="str">
            <v/>
          </cell>
        </row>
        <row r="57824">
          <cell r="O57824" t="str">
            <v/>
          </cell>
        </row>
        <row r="57825">
          <cell r="O57825" t="str">
            <v/>
          </cell>
        </row>
        <row r="57826">
          <cell r="O57826" t="str">
            <v/>
          </cell>
        </row>
        <row r="57827">
          <cell r="O57827" t="str">
            <v/>
          </cell>
        </row>
        <row r="57828">
          <cell r="O57828" t="str">
            <v/>
          </cell>
        </row>
        <row r="57829">
          <cell r="O57829" t="str">
            <v/>
          </cell>
        </row>
        <row r="57830">
          <cell r="O57830" t="str">
            <v/>
          </cell>
        </row>
        <row r="57831">
          <cell r="O57831" t="str">
            <v/>
          </cell>
        </row>
        <row r="57832">
          <cell r="O57832" t="str">
            <v/>
          </cell>
        </row>
        <row r="57833">
          <cell r="O57833" t="str">
            <v/>
          </cell>
        </row>
        <row r="57834">
          <cell r="O57834" t="str">
            <v/>
          </cell>
        </row>
        <row r="57835">
          <cell r="O57835" t="str">
            <v/>
          </cell>
        </row>
        <row r="57836">
          <cell r="O57836" t="str">
            <v/>
          </cell>
        </row>
        <row r="57837">
          <cell r="O57837" t="str">
            <v/>
          </cell>
        </row>
        <row r="57838">
          <cell r="O57838" t="str">
            <v/>
          </cell>
        </row>
        <row r="57839">
          <cell r="O57839" t="str">
            <v/>
          </cell>
        </row>
        <row r="57840">
          <cell r="O57840" t="str">
            <v/>
          </cell>
        </row>
        <row r="57841">
          <cell r="O57841" t="str">
            <v/>
          </cell>
        </row>
        <row r="57842">
          <cell r="O57842" t="str">
            <v/>
          </cell>
        </row>
        <row r="57843">
          <cell r="O57843" t="str">
            <v/>
          </cell>
        </row>
        <row r="57844">
          <cell r="O57844" t="str">
            <v/>
          </cell>
        </row>
        <row r="57845">
          <cell r="O57845" t="str">
            <v/>
          </cell>
        </row>
        <row r="57846">
          <cell r="O57846" t="str">
            <v/>
          </cell>
        </row>
        <row r="57847">
          <cell r="O57847" t="str">
            <v/>
          </cell>
        </row>
        <row r="57848">
          <cell r="O57848" t="str">
            <v/>
          </cell>
        </row>
        <row r="57849">
          <cell r="O57849" t="str">
            <v/>
          </cell>
        </row>
        <row r="57850">
          <cell r="O57850" t="str">
            <v/>
          </cell>
        </row>
        <row r="57851">
          <cell r="O57851" t="str">
            <v/>
          </cell>
        </row>
        <row r="57852">
          <cell r="O57852" t="str">
            <v/>
          </cell>
        </row>
        <row r="57853">
          <cell r="O57853" t="str">
            <v/>
          </cell>
        </row>
        <row r="57854">
          <cell r="O57854" t="str">
            <v/>
          </cell>
        </row>
        <row r="57855">
          <cell r="O57855" t="str">
            <v/>
          </cell>
        </row>
        <row r="57856">
          <cell r="O57856" t="str">
            <v/>
          </cell>
        </row>
        <row r="57857">
          <cell r="O57857" t="str">
            <v/>
          </cell>
        </row>
        <row r="57858">
          <cell r="O57858" t="str">
            <v/>
          </cell>
        </row>
        <row r="57859">
          <cell r="O57859" t="str">
            <v/>
          </cell>
        </row>
        <row r="57860">
          <cell r="O57860" t="str">
            <v/>
          </cell>
        </row>
        <row r="57861">
          <cell r="O57861" t="str">
            <v/>
          </cell>
        </row>
        <row r="57862">
          <cell r="O57862" t="str">
            <v/>
          </cell>
        </row>
        <row r="57863">
          <cell r="O57863" t="str">
            <v/>
          </cell>
        </row>
        <row r="57864">
          <cell r="O57864" t="str">
            <v/>
          </cell>
        </row>
        <row r="57865">
          <cell r="O57865" t="str">
            <v/>
          </cell>
        </row>
        <row r="57866">
          <cell r="O57866" t="str">
            <v/>
          </cell>
        </row>
        <row r="57867">
          <cell r="O57867" t="str">
            <v/>
          </cell>
        </row>
        <row r="57868">
          <cell r="O57868" t="str">
            <v/>
          </cell>
        </row>
        <row r="57869">
          <cell r="O57869" t="str">
            <v/>
          </cell>
        </row>
        <row r="57870">
          <cell r="O57870" t="str">
            <v/>
          </cell>
        </row>
        <row r="57871">
          <cell r="O57871" t="str">
            <v/>
          </cell>
        </row>
        <row r="57872">
          <cell r="O57872" t="str">
            <v/>
          </cell>
        </row>
        <row r="57873">
          <cell r="O57873" t="str">
            <v/>
          </cell>
        </row>
        <row r="57874">
          <cell r="O57874" t="str">
            <v/>
          </cell>
        </row>
        <row r="57875">
          <cell r="O57875" t="str">
            <v/>
          </cell>
        </row>
        <row r="57876">
          <cell r="O57876" t="str">
            <v/>
          </cell>
        </row>
        <row r="57877">
          <cell r="O57877" t="str">
            <v/>
          </cell>
        </row>
        <row r="57878">
          <cell r="O57878" t="str">
            <v/>
          </cell>
        </row>
        <row r="57879">
          <cell r="O57879" t="str">
            <v/>
          </cell>
        </row>
        <row r="57880">
          <cell r="O57880" t="str">
            <v/>
          </cell>
        </row>
        <row r="57881">
          <cell r="O57881" t="str">
            <v/>
          </cell>
        </row>
        <row r="57882">
          <cell r="O57882" t="str">
            <v/>
          </cell>
        </row>
        <row r="57883">
          <cell r="O57883" t="str">
            <v/>
          </cell>
        </row>
        <row r="57884">
          <cell r="O57884" t="str">
            <v/>
          </cell>
        </row>
        <row r="57885">
          <cell r="O57885" t="str">
            <v/>
          </cell>
        </row>
        <row r="57886">
          <cell r="O57886" t="str">
            <v/>
          </cell>
        </row>
        <row r="57887">
          <cell r="O57887" t="str">
            <v/>
          </cell>
        </row>
        <row r="57888">
          <cell r="O57888" t="str">
            <v/>
          </cell>
        </row>
        <row r="57889">
          <cell r="O57889" t="str">
            <v/>
          </cell>
        </row>
        <row r="57890">
          <cell r="O57890" t="str">
            <v/>
          </cell>
        </row>
        <row r="57891">
          <cell r="O57891" t="str">
            <v/>
          </cell>
        </row>
        <row r="57892">
          <cell r="O57892" t="str">
            <v/>
          </cell>
        </row>
        <row r="57893">
          <cell r="O57893" t="str">
            <v/>
          </cell>
        </row>
        <row r="57894">
          <cell r="O57894" t="str">
            <v/>
          </cell>
        </row>
        <row r="57895">
          <cell r="O57895" t="str">
            <v/>
          </cell>
        </row>
        <row r="57896">
          <cell r="O57896" t="str">
            <v/>
          </cell>
        </row>
        <row r="57897">
          <cell r="O57897" t="str">
            <v/>
          </cell>
        </row>
        <row r="57898">
          <cell r="O57898" t="str">
            <v/>
          </cell>
        </row>
        <row r="57899">
          <cell r="O57899" t="str">
            <v/>
          </cell>
        </row>
        <row r="57900">
          <cell r="O57900" t="str">
            <v/>
          </cell>
        </row>
        <row r="57901">
          <cell r="O57901" t="str">
            <v/>
          </cell>
        </row>
        <row r="57902">
          <cell r="O57902" t="str">
            <v/>
          </cell>
        </row>
        <row r="57903">
          <cell r="O57903" t="str">
            <v/>
          </cell>
        </row>
        <row r="57904">
          <cell r="O57904" t="str">
            <v/>
          </cell>
        </row>
        <row r="57905">
          <cell r="O57905" t="str">
            <v/>
          </cell>
        </row>
        <row r="57906">
          <cell r="O57906" t="str">
            <v/>
          </cell>
        </row>
        <row r="57907">
          <cell r="O57907" t="str">
            <v/>
          </cell>
        </row>
        <row r="57908">
          <cell r="O57908" t="str">
            <v/>
          </cell>
        </row>
        <row r="57909">
          <cell r="O57909" t="str">
            <v/>
          </cell>
        </row>
        <row r="57910">
          <cell r="O57910" t="str">
            <v/>
          </cell>
        </row>
        <row r="57911">
          <cell r="O57911" t="str">
            <v/>
          </cell>
        </row>
        <row r="57912">
          <cell r="O57912" t="str">
            <v/>
          </cell>
        </row>
        <row r="57913">
          <cell r="O57913" t="str">
            <v/>
          </cell>
        </row>
        <row r="57914">
          <cell r="O57914" t="str">
            <v/>
          </cell>
        </row>
        <row r="57915">
          <cell r="O57915" t="str">
            <v/>
          </cell>
        </row>
        <row r="57916">
          <cell r="O57916" t="str">
            <v/>
          </cell>
        </row>
        <row r="57917">
          <cell r="O57917" t="str">
            <v/>
          </cell>
        </row>
        <row r="57918">
          <cell r="O57918" t="str">
            <v/>
          </cell>
        </row>
        <row r="57919">
          <cell r="O57919" t="str">
            <v/>
          </cell>
        </row>
        <row r="57920">
          <cell r="O57920" t="str">
            <v/>
          </cell>
        </row>
        <row r="57921">
          <cell r="O57921" t="str">
            <v/>
          </cell>
        </row>
        <row r="57922">
          <cell r="O57922" t="str">
            <v/>
          </cell>
        </row>
        <row r="57923">
          <cell r="O57923" t="str">
            <v/>
          </cell>
        </row>
        <row r="57924">
          <cell r="O57924" t="str">
            <v/>
          </cell>
        </row>
        <row r="57925">
          <cell r="O57925" t="str">
            <v/>
          </cell>
        </row>
        <row r="57926">
          <cell r="O57926" t="str">
            <v/>
          </cell>
        </row>
        <row r="57927">
          <cell r="O57927" t="str">
            <v/>
          </cell>
        </row>
        <row r="57928">
          <cell r="O57928" t="str">
            <v/>
          </cell>
        </row>
        <row r="57929">
          <cell r="O57929" t="str">
            <v/>
          </cell>
        </row>
        <row r="57930">
          <cell r="O57930" t="str">
            <v/>
          </cell>
        </row>
        <row r="57931">
          <cell r="O57931" t="str">
            <v/>
          </cell>
        </row>
        <row r="57932">
          <cell r="O57932" t="str">
            <v/>
          </cell>
        </row>
        <row r="57933">
          <cell r="O57933" t="str">
            <v/>
          </cell>
        </row>
        <row r="57934">
          <cell r="O57934" t="str">
            <v/>
          </cell>
        </row>
        <row r="57935">
          <cell r="O57935" t="str">
            <v/>
          </cell>
        </row>
        <row r="57936">
          <cell r="O57936" t="str">
            <v/>
          </cell>
        </row>
        <row r="57937">
          <cell r="O57937" t="str">
            <v/>
          </cell>
        </row>
        <row r="57938">
          <cell r="O57938" t="str">
            <v/>
          </cell>
        </row>
        <row r="57939">
          <cell r="O57939" t="str">
            <v/>
          </cell>
        </row>
        <row r="57940">
          <cell r="O57940" t="str">
            <v/>
          </cell>
        </row>
        <row r="57941">
          <cell r="O57941" t="str">
            <v/>
          </cell>
        </row>
        <row r="57942">
          <cell r="O57942" t="str">
            <v/>
          </cell>
        </row>
        <row r="57943">
          <cell r="O57943" t="str">
            <v/>
          </cell>
        </row>
        <row r="57944">
          <cell r="O57944" t="str">
            <v/>
          </cell>
        </row>
        <row r="57945">
          <cell r="O57945" t="str">
            <v/>
          </cell>
        </row>
        <row r="57946">
          <cell r="O57946" t="str">
            <v/>
          </cell>
        </row>
        <row r="57947">
          <cell r="O57947" t="str">
            <v/>
          </cell>
        </row>
        <row r="57948">
          <cell r="O57948" t="str">
            <v/>
          </cell>
        </row>
        <row r="57949">
          <cell r="O57949" t="str">
            <v/>
          </cell>
        </row>
        <row r="57950">
          <cell r="O57950" t="str">
            <v/>
          </cell>
        </row>
        <row r="57951">
          <cell r="O57951" t="str">
            <v/>
          </cell>
        </row>
        <row r="57952">
          <cell r="O57952" t="str">
            <v/>
          </cell>
        </row>
        <row r="57953">
          <cell r="O57953" t="str">
            <v/>
          </cell>
        </row>
        <row r="57954">
          <cell r="O57954" t="str">
            <v/>
          </cell>
        </row>
        <row r="57955">
          <cell r="O57955" t="str">
            <v/>
          </cell>
        </row>
        <row r="57956">
          <cell r="O57956" t="str">
            <v/>
          </cell>
        </row>
        <row r="57957">
          <cell r="O57957" t="str">
            <v/>
          </cell>
        </row>
        <row r="57958">
          <cell r="O57958" t="str">
            <v/>
          </cell>
        </row>
        <row r="57959">
          <cell r="O57959" t="str">
            <v/>
          </cell>
        </row>
        <row r="57960">
          <cell r="O57960" t="str">
            <v/>
          </cell>
        </row>
        <row r="57961">
          <cell r="O57961" t="str">
            <v/>
          </cell>
        </row>
        <row r="57962">
          <cell r="O57962" t="str">
            <v/>
          </cell>
        </row>
        <row r="57963">
          <cell r="O57963" t="str">
            <v/>
          </cell>
        </row>
        <row r="57964">
          <cell r="O57964" t="str">
            <v/>
          </cell>
        </row>
        <row r="57965">
          <cell r="O57965" t="str">
            <v/>
          </cell>
        </row>
        <row r="57966">
          <cell r="O57966" t="str">
            <v/>
          </cell>
        </row>
        <row r="57967">
          <cell r="O57967" t="str">
            <v/>
          </cell>
        </row>
        <row r="57968">
          <cell r="O57968" t="str">
            <v/>
          </cell>
        </row>
        <row r="57969">
          <cell r="O57969" t="str">
            <v/>
          </cell>
        </row>
        <row r="57970">
          <cell r="O57970" t="str">
            <v/>
          </cell>
        </row>
        <row r="57971">
          <cell r="O57971" t="str">
            <v/>
          </cell>
        </row>
        <row r="57972">
          <cell r="O57972" t="str">
            <v/>
          </cell>
        </row>
        <row r="57973">
          <cell r="O57973" t="str">
            <v/>
          </cell>
        </row>
        <row r="57974">
          <cell r="O57974" t="str">
            <v/>
          </cell>
        </row>
        <row r="57975">
          <cell r="O57975" t="str">
            <v/>
          </cell>
        </row>
        <row r="57976">
          <cell r="O57976" t="str">
            <v/>
          </cell>
        </row>
        <row r="57977">
          <cell r="O57977" t="str">
            <v/>
          </cell>
        </row>
        <row r="57978">
          <cell r="O57978" t="str">
            <v/>
          </cell>
        </row>
        <row r="57979">
          <cell r="O57979" t="str">
            <v/>
          </cell>
        </row>
        <row r="57980">
          <cell r="O57980" t="str">
            <v/>
          </cell>
        </row>
        <row r="57981">
          <cell r="O57981" t="str">
            <v/>
          </cell>
        </row>
        <row r="57982">
          <cell r="O57982" t="str">
            <v/>
          </cell>
        </row>
        <row r="57983">
          <cell r="O57983" t="str">
            <v/>
          </cell>
        </row>
        <row r="57984">
          <cell r="O57984" t="str">
            <v/>
          </cell>
        </row>
        <row r="57985">
          <cell r="O57985" t="str">
            <v/>
          </cell>
        </row>
        <row r="57986">
          <cell r="O57986" t="str">
            <v/>
          </cell>
        </row>
        <row r="57987">
          <cell r="O57987" t="str">
            <v/>
          </cell>
        </row>
        <row r="57988">
          <cell r="O57988" t="str">
            <v/>
          </cell>
        </row>
        <row r="57989">
          <cell r="O57989" t="str">
            <v/>
          </cell>
        </row>
        <row r="57990">
          <cell r="O57990" t="str">
            <v/>
          </cell>
        </row>
        <row r="57991">
          <cell r="O57991" t="str">
            <v/>
          </cell>
        </row>
        <row r="57992">
          <cell r="O57992" t="str">
            <v/>
          </cell>
        </row>
        <row r="57993">
          <cell r="O57993" t="str">
            <v/>
          </cell>
        </row>
        <row r="57994">
          <cell r="O57994" t="str">
            <v/>
          </cell>
        </row>
        <row r="57995">
          <cell r="O57995" t="str">
            <v/>
          </cell>
        </row>
        <row r="57996">
          <cell r="O57996" t="str">
            <v/>
          </cell>
        </row>
        <row r="57997">
          <cell r="O57997" t="str">
            <v/>
          </cell>
        </row>
        <row r="57998">
          <cell r="O57998" t="str">
            <v/>
          </cell>
        </row>
        <row r="57999">
          <cell r="O57999" t="str">
            <v/>
          </cell>
        </row>
        <row r="58000">
          <cell r="O58000" t="str">
            <v/>
          </cell>
        </row>
        <row r="58001">
          <cell r="O58001" t="str">
            <v/>
          </cell>
        </row>
        <row r="58002">
          <cell r="O58002" t="str">
            <v/>
          </cell>
        </row>
        <row r="58003">
          <cell r="O58003" t="str">
            <v/>
          </cell>
        </row>
        <row r="58004">
          <cell r="O58004" t="str">
            <v/>
          </cell>
        </row>
        <row r="58005">
          <cell r="O58005" t="str">
            <v/>
          </cell>
        </row>
        <row r="58006">
          <cell r="O58006" t="str">
            <v/>
          </cell>
        </row>
        <row r="58007">
          <cell r="O58007" t="str">
            <v/>
          </cell>
        </row>
        <row r="58008">
          <cell r="O58008" t="str">
            <v/>
          </cell>
        </row>
        <row r="58009">
          <cell r="O58009" t="str">
            <v/>
          </cell>
        </row>
        <row r="58010">
          <cell r="O58010" t="str">
            <v/>
          </cell>
        </row>
        <row r="58011">
          <cell r="O58011" t="str">
            <v/>
          </cell>
        </row>
        <row r="58012">
          <cell r="O58012" t="str">
            <v/>
          </cell>
        </row>
        <row r="58013">
          <cell r="O58013" t="str">
            <v/>
          </cell>
        </row>
        <row r="58014">
          <cell r="O58014" t="str">
            <v/>
          </cell>
        </row>
        <row r="58015">
          <cell r="O58015" t="str">
            <v/>
          </cell>
        </row>
        <row r="58016">
          <cell r="O58016" t="str">
            <v/>
          </cell>
        </row>
        <row r="58017">
          <cell r="O58017" t="str">
            <v/>
          </cell>
        </row>
        <row r="58018">
          <cell r="O58018" t="str">
            <v/>
          </cell>
        </row>
        <row r="58019">
          <cell r="O58019" t="str">
            <v/>
          </cell>
        </row>
        <row r="58020">
          <cell r="O58020" t="str">
            <v/>
          </cell>
        </row>
        <row r="58021">
          <cell r="O58021" t="str">
            <v/>
          </cell>
        </row>
        <row r="58022">
          <cell r="O58022" t="str">
            <v/>
          </cell>
        </row>
        <row r="58023">
          <cell r="O58023" t="str">
            <v/>
          </cell>
        </row>
        <row r="58024">
          <cell r="O58024" t="str">
            <v/>
          </cell>
        </row>
        <row r="58025">
          <cell r="O58025" t="str">
            <v/>
          </cell>
        </row>
        <row r="58026">
          <cell r="O58026" t="str">
            <v/>
          </cell>
        </row>
        <row r="58027">
          <cell r="O58027" t="str">
            <v/>
          </cell>
        </row>
        <row r="58028">
          <cell r="O58028" t="str">
            <v/>
          </cell>
        </row>
        <row r="58029">
          <cell r="O58029" t="str">
            <v/>
          </cell>
        </row>
        <row r="58030">
          <cell r="O58030" t="str">
            <v/>
          </cell>
        </row>
        <row r="58031">
          <cell r="O58031" t="str">
            <v/>
          </cell>
        </row>
        <row r="58032">
          <cell r="O58032" t="str">
            <v/>
          </cell>
        </row>
        <row r="58033">
          <cell r="O58033" t="str">
            <v/>
          </cell>
        </row>
        <row r="58034">
          <cell r="O58034" t="str">
            <v/>
          </cell>
        </row>
        <row r="58035">
          <cell r="O58035" t="str">
            <v/>
          </cell>
        </row>
        <row r="58036">
          <cell r="O58036" t="str">
            <v/>
          </cell>
        </row>
        <row r="58037">
          <cell r="O58037" t="str">
            <v/>
          </cell>
        </row>
        <row r="58038">
          <cell r="O58038" t="str">
            <v/>
          </cell>
        </row>
        <row r="58039">
          <cell r="O58039" t="str">
            <v/>
          </cell>
        </row>
        <row r="58040">
          <cell r="O58040" t="str">
            <v/>
          </cell>
        </row>
        <row r="58041">
          <cell r="O58041" t="str">
            <v/>
          </cell>
        </row>
        <row r="58042">
          <cell r="O58042" t="str">
            <v/>
          </cell>
        </row>
        <row r="58043">
          <cell r="O58043" t="str">
            <v/>
          </cell>
        </row>
        <row r="58044">
          <cell r="O58044" t="str">
            <v/>
          </cell>
        </row>
        <row r="58045">
          <cell r="O58045" t="str">
            <v/>
          </cell>
        </row>
        <row r="58046">
          <cell r="O58046" t="str">
            <v/>
          </cell>
        </row>
        <row r="58047">
          <cell r="O58047" t="str">
            <v/>
          </cell>
        </row>
        <row r="58048">
          <cell r="O58048" t="str">
            <v/>
          </cell>
        </row>
        <row r="58049">
          <cell r="O58049" t="str">
            <v/>
          </cell>
        </row>
        <row r="58050">
          <cell r="O58050" t="str">
            <v/>
          </cell>
        </row>
        <row r="58051">
          <cell r="O58051" t="str">
            <v/>
          </cell>
        </row>
        <row r="58052">
          <cell r="O58052" t="str">
            <v/>
          </cell>
        </row>
        <row r="58053">
          <cell r="O58053" t="str">
            <v/>
          </cell>
        </row>
        <row r="58054">
          <cell r="O58054" t="str">
            <v/>
          </cell>
        </row>
        <row r="58055">
          <cell r="O58055" t="str">
            <v/>
          </cell>
        </row>
        <row r="58056">
          <cell r="O58056" t="str">
            <v/>
          </cell>
        </row>
        <row r="58057">
          <cell r="O58057" t="str">
            <v/>
          </cell>
        </row>
        <row r="58058">
          <cell r="O58058" t="str">
            <v/>
          </cell>
        </row>
        <row r="58059">
          <cell r="O58059" t="str">
            <v/>
          </cell>
        </row>
        <row r="58060">
          <cell r="O58060" t="str">
            <v/>
          </cell>
        </row>
        <row r="58061">
          <cell r="O58061" t="str">
            <v/>
          </cell>
        </row>
        <row r="58062">
          <cell r="O58062" t="str">
            <v/>
          </cell>
        </row>
        <row r="58063">
          <cell r="O58063" t="str">
            <v/>
          </cell>
        </row>
        <row r="58064">
          <cell r="O58064" t="str">
            <v/>
          </cell>
        </row>
        <row r="58065">
          <cell r="O58065" t="str">
            <v/>
          </cell>
        </row>
        <row r="58066">
          <cell r="O58066" t="str">
            <v/>
          </cell>
        </row>
        <row r="58067">
          <cell r="O58067" t="str">
            <v/>
          </cell>
        </row>
        <row r="58068">
          <cell r="O58068" t="str">
            <v/>
          </cell>
        </row>
        <row r="58069">
          <cell r="O58069" t="str">
            <v/>
          </cell>
        </row>
        <row r="58070">
          <cell r="O58070" t="str">
            <v/>
          </cell>
        </row>
        <row r="58071">
          <cell r="O58071" t="str">
            <v/>
          </cell>
        </row>
        <row r="58072">
          <cell r="O58072" t="str">
            <v/>
          </cell>
        </row>
        <row r="58073">
          <cell r="O58073" t="str">
            <v/>
          </cell>
        </row>
        <row r="58074">
          <cell r="O58074" t="str">
            <v/>
          </cell>
        </row>
        <row r="58075">
          <cell r="O58075" t="str">
            <v/>
          </cell>
        </row>
        <row r="58076">
          <cell r="O58076" t="str">
            <v/>
          </cell>
        </row>
        <row r="58077">
          <cell r="O58077" t="str">
            <v/>
          </cell>
        </row>
        <row r="58078">
          <cell r="O58078" t="str">
            <v/>
          </cell>
        </row>
        <row r="58079">
          <cell r="O58079" t="str">
            <v/>
          </cell>
        </row>
        <row r="58080">
          <cell r="O58080" t="str">
            <v/>
          </cell>
        </row>
        <row r="58081">
          <cell r="O58081" t="str">
            <v/>
          </cell>
        </row>
        <row r="58082">
          <cell r="O58082" t="str">
            <v/>
          </cell>
        </row>
        <row r="58083">
          <cell r="O58083" t="str">
            <v/>
          </cell>
        </row>
        <row r="58084">
          <cell r="O58084" t="str">
            <v/>
          </cell>
        </row>
        <row r="58085">
          <cell r="O58085" t="str">
            <v/>
          </cell>
        </row>
        <row r="58086">
          <cell r="O58086" t="str">
            <v/>
          </cell>
        </row>
        <row r="58087">
          <cell r="O58087" t="str">
            <v/>
          </cell>
        </row>
        <row r="58088">
          <cell r="O58088" t="str">
            <v/>
          </cell>
        </row>
        <row r="58089">
          <cell r="O58089" t="str">
            <v/>
          </cell>
        </row>
        <row r="58090">
          <cell r="O58090" t="str">
            <v/>
          </cell>
        </row>
        <row r="58091">
          <cell r="O58091" t="str">
            <v/>
          </cell>
        </row>
        <row r="58092">
          <cell r="O58092" t="str">
            <v/>
          </cell>
        </row>
        <row r="58093">
          <cell r="O58093" t="str">
            <v/>
          </cell>
        </row>
        <row r="58094">
          <cell r="O58094" t="str">
            <v/>
          </cell>
        </row>
        <row r="58095">
          <cell r="O58095" t="str">
            <v/>
          </cell>
        </row>
        <row r="58096">
          <cell r="O58096" t="str">
            <v/>
          </cell>
        </row>
        <row r="58097">
          <cell r="O58097" t="str">
            <v/>
          </cell>
        </row>
        <row r="58098">
          <cell r="O58098" t="str">
            <v/>
          </cell>
        </row>
        <row r="58099">
          <cell r="O58099" t="str">
            <v/>
          </cell>
        </row>
        <row r="58100">
          <cell r="O58100" t="str">
            <v/>
          </cell>
        </row>
        <row r="58101">
          <cell r="O58101" t="str">
            <v/>
          </cell>
        </row>
        <row r="58102">
          <cell r="O58102" t="str">
            <v/>
          </cell>
        </row>
        <row r="58103">
          <cell r="O58103" t="str">
            <v/>
          </cell>
        </row>
        <row r="58104">
          <cell r="O58104" t="str">
            <v/>
          </cell>
        </row>
        <row r="58105">
          <cell r="O58105" t="str">
            <v/>
          </cell>
        </row>
        <row r="58106">
          <cell r="O58106" t="str">
            <v/>
          </cell>
        </row>
        <row r="58107">
          <cell r="O58107" t="str">
            <v/>
          </cell>
        </row>
        <row r="58108">
          <cell r="O58108" t="str">
            <v/>
          </cell>
        </row>
        <row r="58109">
          <cell r="O58109" t="str">
            <v/>
          </cell>
        </row>
        <row r="58110">
          <cell r="O58110" t="str">
            <v/>
          </cell>
        </row>
        <row r="58111">
          <cell r="O58111" t="str">
            <v/>
          </cell>
        </row>
        <row r="58112">
          <cell r="O58112" t="str">
            <v/>
          </cell>
        </row>
        <row r="58113">
          <cell r="O58113" t="str">
            <v/>
          </cell>
        </row>
        <row r="58114">
          <cell r="O58114" t="str">
            <v/>
          </cell>
        </row>
        <row r="58115">
          <cell r="O58115" t="str">
            <v/>
          </cell>
        </row>
        <row r="58116">
          <cell r="O58116" t="str">
            <v/>
          </cell>
        </row>
        <row r="58117">
          <cell r="O58117" t="str">
            <v/>
          </cell>
        </row>
        <row r="58118">
          <cell r="O58118" t="str">
            <v/>
          </cell>
        </row>
        <row r="58119">
          <cell r="O58119" t="str">
            <v/>
          </cell>
        </row>
        <row r="58120">
          <cell r="O58120" t="str">
            <v/>
          </cell>
        </row>
        <row r="58121">
          <cell r="O58121" t="str">
            <v/>
          </cell>
        </row>
        <row r="58122">
          <cell r="O58122" t="str">
            <v/>
          </cell>
        </row>
        <row r="58123">
          <cell r="O58123" t="str">
            <v/>
          </cell>
        </row>
        <row r="58124">
          <cell r="O58124" t="str">
            <v/>
          </cell>
        </row>
        <row r="58125">
          <cell r="O58125" t="str">
            <v/>
          </cell>
        </row>
        <row r="58126">
          <cell r="O58126" t="str">
            <v/>
          </cell>
        </row>
        <row r="58127">
          <cell r="O58127" t="str">
            <v/>
          </cell>
        </row>
        <row r="58128">
          <cell r="O58128" t="str">
            <v/>
          </cell>
        </row>
        <row r="58129">
          <cell r="O58129" t="str">
            <v/>
          </cell>
        </row>
        <row r="58130">
          <cell r="O58130" t="str">
            <v/>
          </cell>
        </row>
        <row r="58131">
          <cell r="O58131" t="str">
            <v/>
          </cell>
        </row>
        <row r="58132">
          <cell r="O58132" t="str">
            <v/>
          </cell>
        </row>
        <row r="58133">
          <cell r="O58133" t="str">
            <v/>
          </cell>
        </row>
        <row r="58134">
          <cell r="O58134" t="str">
            <v/>
          </cell>
        </row>
        <row r="58135">
          <cell r="O58135" t="str">
            <v/>
          </cell>
        </row>
        <row r="58136">
          <cell r="O58136" t="str">
            <v/>
          </cell>
        </row>
        <row r="58137">
          <cell r="O58137" t="str">
            <v/>
          </cell>
        </row>
        <row r="58138">
          <cell r="O58138" t="str">
            <v/>
          </cell>
        </row>
        <row r="58139">
          <cell r="O58139" t="str">
            <v/>
          </cell>
        </row>
        <row r="58140">
          <cell r="O58140" t="str">
            <v/>
          </cell>
        </row>
        <row r="58141">
          <cell r="O58141" t="str">
            <v/>
          </cell>
        </row>
        <row r="58142">
          <cell r="O58142" t="str">
            <v/>
          </cell>
        </row>
        <row r="58143">
          <cell r="O58143" t="str">
            <v/>
          </cell>
        </row>
        <row r="58144">
          <cell r="O58144" t="str">
            <v/>
          </cell>
        </row>
        <row r="58145">
          <cell r="O58145" t="str">
            <v/>
          </cell>
        </row>
        <row r="58146">
          <cell r="O58146" t="str">
            <v/>
          </cell>
        </row>
        <row r="58147">
          <cell r="O58147" t="str">
            <v/>
          </cell>
        </row>
        <row r="58148">
          <cell r="O58148" t="str">
            <v/>
          </cell>
        </row>
        <row r="58149">
          <cell r="O58149" t="str">
            <v/>
          </cell>
        </row>
        <row r="58150">
          <cell r="O58150" t="str">
            <v/>
          </cell>
        </row>
        <row r="58151">
          <cell r="O58151" t="str">
            <v/>
          </cell>
        </row>
        <row r="58152">
          <cell r="O58152" t="str">
            <v/>
          </cell>
        </row>
        <row r="58153">
          <cell r="O58153" t="str">
            <v/>
          </cell>
        </row>
        <row r="58154">
          <cell r="O58154" t="str">
            <v/>
          </cell>
        </row>
        <row r="58155">
          <cell r="O58155" t="str">
            <v/>
          </cell>
        </row>
        <row r="58156">
          <cell r="O58156" t="str">
            <v/>
          </cell>
        </row>
        <row r="58157">
          <cell r="O58157" t="str">
            <v/>
          </cell>
        </row>
        <row r="58158">
          <cell r="O58158" t="str">
            <v/>
          </cell>
        </row>
        <row r="58159">
          <cell r="O58159" t="str">
            <v/>
          </cell>
        </row>
        <row r="58160">
          <cell r="O58160" t="str">
            <v/>
          </cell>
        </row>
        <row r="58161">
          <cell r="O58161" t="str">
            <v/>
          </cell>
        </row>
        <row r="58162">
          <cell r="O58162" t="str">
            <v/>
          </cell>
        </row>
        <row r="58163">
          <cell r="O58163" t="str">
            <v/>
          </cell>
        </row>
        <row r="58164">
          <cell r="O58164" t="str">
            <v/>
          </cell>
        </row>
        <row r="58165">
          <cell r="O58165" t="str">
            <v/>
          </cell>
        </row>
        <row r="58166">
          <cell r="O58166" t="str">
            <v/>
          </cell>
        </row>
        <row r="58167">
          <cell r="O58167" t="str">
            <v/>
          </cell>
        </row>
        <row r="58168">
          <cell r="O58168" t="str">
            <v/>
          </cell>
        </row>
        <row r="58169">
          <cell r="O58169" t="str">
            <v/>
          </cell>
        </row>
        <row r="58170">
          <cell r="O58170" t="str">
            <v/>
          </cell>
        </row>
        <row r="58171">
          <cell r="O58171" t="str">
            <v/>
          </cell>
        </row>
        <row r="58172">
          <cell r="O58172" t="str">
            <v/>
          </cell>
        </row>
        <row r="58173">
          <cell r="O58173" t="str">
            <v/>
          </cell>
        </row>
        <row r="58174">
          <cell r="O58174" t="str">
            <v/>
          </cell>
        </row>
        <row r="58175">
          <cell r="O58175" t="str">
            <v/>
          </cell>
        </row>
        <row r="58176">
          <cell r="O58176" t="str">
            <v/>
          </cell>
        </row>
        <row r="58177">
          <cell r="O58177" t="str">
            <v/>
          </cell>
        </row>
        <row r="58178">
          <cell r="O58178" t="str">
            <v/>
          </cell>
        </row>
        <row r="58179">
          <cell r="O58179" t="str">
            <v/>
          </cell>
        </row>
        <row r="58180">
          <cell r="O58180" t="str">
            <v/>
          </cell>
        </row>
        <row r="58181">
          <cell r="O58181" t="str">
            <v/>
          </cell>
        </row>
        <row r="58182">
          <cell r="O58182" t="str">
            <v/>
          </cell>
        </row>
        <row r="58183">
          <cell r="O58183" t="str">
            <v/>
          </cell>
        </row>
        <row r="58184">
          <cell r="O58184" t="str">
            <v/>
          </cell>
        </row>
        <row r="58185">
          <cell r="O58185" t="str">
            <v/>
          </cell>
        </row>
        <row r="58186">
          <cell r="O58186" t="str">
            <v/>
          </cell>
        </row>
        <row r="58187">
          <cell r="O58187" t="str">
            <v/>
          </cell>
        </row>
        <row r="58188">
          <cell r="O58188" t="str">
            <v/>
          </cell>
        </row>
        <row r="58189">
          <cell r="O58189" t="str">
            <v/>
          </cell>
        </row>
        <row r="58190">
          <cell r="O58190" t="str">
            <v/>
          </cell>
        </row>
        <row r="58191">
          <cell r="O58191" t="str">
            <v/>
          </cell>
        </row>
        <row r="58192">
          <cell r="O58192" t="str">
            <v/>
          </cell>
        </row>
        <row r="58193">
          <cell r="O58193" t="str">
            <v/>
          </cell>
        </row>
        <row r="58194">
          <cell r="O58194" t="str">
            <v/>
          </cell>
        </row>
        <row r="58195">
          <cell r="O58195" t="str">
            <v/>
          </cell>
        </row>
        <row r="58196">
          <cell r="O58196" t="str">
            <v/>
          </cell>
        </row>
        <row r="58197">
          <cell r="O58197" t="str">
            <v/>
          </cell>
        </row>
        <row r="58198">
          <cell r="O58198" t="str">
            <v/>
          </cell>
        </row>
        <row r="58199">
          <cell r="O58199" t="str">
            <v/>
          </cell>
        </row>
        <row r="58200">
          <cell r="O58200" t="str">
            <v/>
          </cell>
        </row>
        <row r="58201">
          <cell r="O58201" t="str">
            <v/>
          </cell>
        </row>
        <row r="58202">
          <cell r="O58202" t="str">
            <v/>
          </cell>
        </row>
        <row r="58203">
          <cell r="O58203" t="str">
            <v/>
          </cell>
        </row>
        <row r="58204">
          <cell r="O58204" t="str">
            <v/>
          </cell>
        </row>
        <row r="58205">
          <cell r="O58205" t="str">
            <v/>
          </cell>
        </row>
        <row r="58206">
          <cell r="O58206" t="str">
            <v/>
          </cell>
        </row>
        <row r="58207">
          <cell r="O58207" t="str">
            <v/>
          </cell>
        </row>
        <row r="58208">
          <cell r="O58208" t="str">
            <v/>
          </cell>
        </row>
        <row r="58209">
          <cell r="O58209" t="str">
            <v/>
          </cell>
        </row>
        <row r="58210">
          <cell r="O58210" t="str">
            <v/>
          </cell>
        </row>
        <row r="58211">
          <cell r="O58211" t="str">
            <v/>
          </cell>
        </row>
        <row r="58212">
          <cell r="O58212" t="str">
            <v/>
          </cell>
        </row>
        <row r="58213">
          <cell r="O58213" t="str">
            <v/>
          </cell>
        </row>
        <row r="58214">
          <cell r="O58214" t="str">
            <v/>
          </cell>
        </row>
        <row r="58215">
          <cell r="O58215" t="str">
            <v/>
          </cell>
        </row>
        <row r="58216">
          <cell r="O58216" t="str">
            <v/>
          </cell>
        </row>
        <row r="58217">
          <cell r="O58217" t="str">
            <v/>
          </cell>
        </row>
        <row r="58218">
          <cell r="O58218" t="str">
            <v/>
          </cell>
        </row>
        <row r="58219">
          <cell r="O58219" t="str">
            <v/>
          </cell>
        </row>
        <row r="58220">
          <cell r="O58220" t="str">
            <v/>
          </cell>
        </row>
        <row r="58221">
          <cell r="O58221" t="str">
            <v/>
          </cell>
        </row>
        <row r="58222">
          <cell r="O58222" t="str">
            <v/>
          </cell>
        </row>
        <row r="58223">
          <cell r="O58223" t="str">
            <v/>
          </cell>
        </row>
        <row r="58224">
          <cell r="O58224" t="str">
            <v/>
          </cell>
        </row>
        <row r="58225">
          <cell r="O58225" t="str">
            <v/>
          </cell>
        </row>
        <row r="58226">
          <cell r="O58226" t="str">
            <v/>
          </cell>
        </row>
        <row r="58227">
          <cell r="O58227" t="str">
            <v/>
          </cell>
        </row>
        <row r="58228">
          <cell r="O58228" t="str">
            <v/>
          </cell>
        </row>
        <row r="58229">
          <cell r="O58229" t="str">
            <v/>
          </cell>
        </row>
        <row r="58230">
          <cell r="O58230" t="str">
            <v/>
          </cell>
        </row>
        <row r="58231">
          <cell r="O58231" t="str">
            <v/>
          </cell>
        </row>
        <row r="58232">
          <cell r="O58232" t="str">
            <v/>
          </cell>
        </row>
        <row r="58233">
          <cell r="O58233" t="str">
            <v/>
          </cell>
        </row>
        <row r="58234">
          <cell r="O58234" t="str">
            <v/>
          </cell>
        </row>
        <row r="58235">
          <cell r="O58235" t="str">
            <v/>
          </cell>
        </row>
        <row r="58236">
          <cell r="O58236" t="str">
            <v/>
          </cell>
        </row>
        <row r="58237">
          <cell r="O58237" t="str">
            <v/>
          </cell>
        </row>
        <row r="58238">
          <cell r="O58238" t="str">
            <v/>
          </cell>
        </row>
        <row r="58239">
          <cell r="O58239" t="str">
            <v/>
          </cell>
        </row>
        <row r="58240">
          <cell r="O58240" t="str">
            <v/>
          </cell>
        </row>
        <row r="58241">
          <cell r="O58241" t="str">
            <v/>
          </cell>
        </row>
        <row r="58242">
          <cell r="O58242" t="str">
            <v/>
          </cell>
        </row>
        <row r="58243">
          <cell r="O58243" t="str">
            <v/>
          </cell>
        </row>
        <row r="58244">
          <cell r="O58244" t="str">
            <v/>
          </cell>
        </row>
        <row r="58245">
          <cell r="O58245" t="str">
            <v/>
          </cell>
        </row>
        <row r="58246">
          <cell r="O58246" t="str">
            <v/>
          </cell>
        </row>
        <row r="58247">
          <cell r="O58247" t="str">
            <v/>
          </cell>
        </row>
        <row r="58248">
          <cell r="O58248" t="str">
            <v/>
          </cell>
        </row>
        <row r="58249">
          <cell r="O58249" t="str">
            <v/>
          </cell>
        </row>
        <row r="58250">
          <cell r="O58250" t="str">
            <v/>
          </cell>
        </row>
        <row r="58251">
          <cell r="O58251" t="str">
            <v/>
          </cell>
        </row>
        <row r="58252">
          <cell r="O58252" t="str">
            <v/>
          </cell>
        </row>
        <row r="58253">
          <cell r="O58253" t="str">
            <v/>
          </cell>
        </row>
        <row r="58254">
          <cell r="O58254" t="str">
            <v/>
          </cell>
        </row>
        <row r="58255">
          <cell r="O58255" t="str">
            <v/>
          </cell>
        </row>
        <row r="58256">
          <cell r="O58256" t="str">
            <v/>
          </cell>
        </row>
        <row r="58257">
          <cell r="O58257" t="str">
            <v/>
          </cell>
        </row>
        <row r="58258">
          <cell r="O58258" t="str">
            <v/>
          </cell>
        </row>
        <row r="58259">
          <cell r="O58259" t="str">
            <v/>
          </cell>
        </row>
        <row r="58260">
          <cell r="O58260" t="str">
            <v/>
          </cell>
        </row>
        <row r="58261">
          <cell r="O58261" t="str">
            <v/>
          </cell>
        </row>
        <row r="58262">
          <cell r="O58262" t="str">
            <v/>
          </cell>
        </row>
        <row r="58263">
          <cell r="O58263" t="str">
            <v/>
          </cell>
        </row>
        <row r="58264">
          <cell r="O58264" t="str">
            <v/>
          </cell>
        </row>
        <row r="58265">
          <cell r="O58265" t="str">
            <v/>
          </cell>
        </row>
        <row r="58266">
          <cell r="O58266" t="str">
            <v/>
          </cell>
        </row>
        <row r="58267">
          <cell r="O58267" t="str">
            <v/>
          </cell>
        </row>
        <row r="58268">
          <cell r="O58268" t="str">
            <v/>
          </cell>
        </row>
        <row r="58269">
          <cell r="O58269" t="str">
            <v/>
          </cell>
        </row>
        <row r="58270">
          <cell r="O58270" t="str">
            <v/>
          </cell>
        </row>
        <row r="58271">
          <cell r="O58271" t="str">
            <v/>
          </cell>
        </row>
        <row r="58272">
          <cell r="O58272" t="str">
            <v/>
          </cell>
        </row>
        <row r="58273">
          <cell r="O58273" t="str">
            <v/>
          </cell>
        </row>
        <row r="58274">
          <cell r="O58274" t="str">
            <v/>
          </cell>
        </row>
        <row r="58275">
          <cell r="O58275" t="str">
            <v/>
          </cell>
        </row>
        <row r="58276">
          <cell r="O58276" t="str">
            <v/>
          </cell>
        </row>
        <row r="58277">
          <cell r="O58277" t="str">
            <v/>
          </cell>
        </row>
        <row r="58278">
          <cell r="O58278" t="str">
            <v/>
          </cell>
        </row>
        <row r="58279">
          <cell r="O58279" t="str">
            <v/>
          </cell>
        </row>
        <row r="58280">
          <cell r="O58280" t="str">
            <v/>
          </cell>
        </row>
        <row r="58281">
          <cell r="O58281" t="str">
            <v/>
          </cell>
        </row>
        <row r="58282">
          <cell r="O58282" t="str">
            <v/>
          </cell>
        </row>
        <row r="58283">
          <cell r="O58283" t="str">
            <v/>
          </cell>
        </row>
        <row r="58284">
          <cell r="O58284" t="str">
            <v/>
          </cell>
        </row>
        <row r="58285">
          <cell r="O58285" t="str">
            <v/>
          </cell>
        </row>
        <row r="58286">
          <cell r="O58286" t="str">
            <v/>
          </cell>
        </row>
        <row r="58287">
          <cell r="O58287" t="str">
            <v/>
          </cell>
        </row>
        <row r="58288">
          <cell r="O58288" t="str">
            <v/>
          </cell>
        </row>
        <row r="58289">
          <cell r="O58289" t="str">
            <v/>
          </cell>
        </row>
        <row r="58290">
          <cell r="O58290" t="str">
            <v/>
          </cell>
        </row>
        <row r="58291">
          <cell r="O58291" t="str">
            <v/>
          </cell>
        </row>
        <row r="58292">
          <cell r="O58292" t="str">
            <v/>
          </cell>
        </row>
        <row r="58293">
          <cell r="O58293" t="str">
            <v/>
          </cell>
        </row>
        <row r="58294">
          <cell r="O58294" t="str">
            <v/>
          </cell>
        </row>
        <row r="58295">
          <cell r="O58295" t="str">
            <v/>
          </cell>
        </row>
        <row r="58296">
          <cell r="O58296" t="str">
            <v/>
          </cell>
        </row>
        <row r="58297">
          <cell r="O58297" t="str">
            <v/>
          </cell>
        </row>
        <row r="58298">
          <cell r="O58298" t="str">
            <v/>
          </cell>
        </row>
        <row r="58299">
          <cell r="O58299" t="str">
            <v/>
          </cell>
        </row>
        <row r="58300">
          <cell r="O58300" t="str">
            <v/>
          </cell>
        </row>
        <row r="58301">
          <cell r="O58301" t="str">
            <v/>
          </cell>
        </row>
        <row r="58302">
          <cell r="O58302" t="str">
            <v/>
          </cell>
        </row>
        <row r="58303">
          <cell r="O58303" t="str">
            <v/>
          </cell>
        </row>
        <row r="58304">
          <cell r="O58304" t="str">
            <v/>
          </cell>
        </row>
        <row r="58305">
          <cell r="O58305" t="str">
            <v/>
          </cell>
        </row>
        <row r="58306">
          <cell r="O58306" t="str">
            <v/>
          </cell>
        </row>
        <row r="58307">
          <cell r="O58307" t="str">
            <v/>
          </cell>
        </row>
        <row r="58308">
          <cell r="O58308" t="str">
            <v/>
          </cell>
        </row>
        <row r="58309">
          <cell r="O58309" t="str">
            <v/>
          </cell>
        </row>
        <row r="58310">
          <cell r="O58310" t="str">
            <v/>
          </cell>
        </row>
        <row r="58311">
          <cell r="O58311" t="str">
            <v/>
          </cell>
        </row>
        <row r="58312">
          <cell r="O58312" t="str">
            <v/>
          </cell>
        </row>
        <row r="58313">
          <cell r="O58313" t="str">
            <v/>
          </cell>
        </row>
        <row r="58314">
          <cell r="O58314" t="str">
            <v/>
          </cell>
        </row>
        <row r="58315">
          <cell r="O58315" t="str">
            <v/>
          </cell>
        </row>
        <row r="58316">
          <cell r="O58316" t="str">
            <v/>
          </cell>
        </row>
        <row r="58317">
          <cell r="O58317" t="str">
            <v/>
          </cell>
        </row>
        <row r="58318">
          <cell r="O58318" t="str">
            <v/>
          </cell>
        </row>
        <row r="58319">
          <cell r="O58319" t="str">
            <v/>
          </cell>
        </row>
        <row r="58320">
          <cell r="O58320" t="str">
            <v/>
          </cell>
        </row>
        <row r="58321">
          <cell r="O58321" t="str">
            <v/>
          </cell>
        </row>
        <row r="58322">
          <cell r="O58322" t="str">
            <v/>
          </cell>
        </row>
        <row r="58323">
          <cell r="O58323" t="str">
            <v/>
          </cell>
        </row>
        <row r="58324">
          <cell r="O58324" t="str">
            <v/>
          </cell>
        </row>
        <row r="58325">
          <cell r="O58325" t="str">
            <v/>
          </cell>
        </row>
        <row r="58326">
          <cell r="O58326" t="str">
            <v/>
          </cell>
        </row>
        <row r="58327">
          <cell r="O58327" t="str">
            <v/>
          </cell>
        </row>
        <row r="58328">
          <cell r="O58328" t="str">
            <v/>
          </cell>
        </row>
        <row r="58329">
          <cell r="O58329" t="str">
            <v/>
          </cell>
        </row>
        <row r="58330">
          <cell r="O58330" t="str">
            <v/>
          </cell>
        </row>
        <row r="58331">
          <cell r="O58331" t="str">
            <v/>
          </cell>
        </row>
        <row r="58332">
          <cell r="O58332" t="str">
            <v/>
          </cell>
        </row>
        <row r="58333">
          <cell r="O58333" t="str">
            <v/>
          </cell>
        </row>
        <row r="58334">
          <cell r="O58334" t="str">
            <v/>
          </cell>
        </row>
        <row r="58335">
          <cell r="O58335" t="str">
            <v/>
          </cell>
        </row>
        <row r="58336">
          <cell r="O58336" t="str">
            <v/>
          </cell>
        </row>
        <row r="58337">
          <cell r="O58337" t="str">
            <v/>
          </cell>
        </row>
        <row r="58338">
          <cell r="O58338" t="str">
            <v/>
          </cell>
        </row>
        <row r="58339">
          <cell r="O58339" t="str">
            <v/>
          </cell>
        </row>
        <row r="58340">
          <cell r="O58340" t="str">
            <v/>
          </cell>
        </row>
        <row r="58341">
          <cell r="O58341" t="str">
            <v/>
          </cell>
        </row>
        <row r="58342">
          <cell r="O58342" t="str">
            <v/>
          </cell>
        </row>
        <row r="58343">
          <cell r="O58343" t="str">
            <v/>
          </cell>
        </row>
        <row r="58344">
          <cell r="O58344" t="str">
            <v/>
          </cell>
        </row>
        <row r="58345">
          <cell r="O58345" t="str">
            <v/>
          </cell>
        </row>
        <row r="58346">
          <cell r="O58346" t="str">
            <v/>
          </cell>
        </row>
        <row r="58347">
          <cell r="O58347" t="str">
            <v/>
          </cell>
        </row>
        <row r="58348">
          <cell r="O58348" t="str">
            <v/>
          </cell>
        </row>
        <row r="58349">
          <cell r="O58349" t="str">
            <v/>
          </cell>
        </row>
        <row r="58350">
          <cell r="O58350" t="str">
            <v/>
          </cell>
        </row>
        <row r="58351">
          <cell r="O58351" t="str">
            <v/>
          </cell>
        </row>
        <row r="58352">
          <cell r="O58352" t="str">
            <v/>
          </cell>
        </row>
        <row r="58353">
          <cell r="O58353" t="str">
            <v/>
          </cell>
        </row>
        <row r="58354">
          <cell r="O58354" t="str">
            <v/>
          </cell>
        </row>
        <row r="58355">
          <cell r="O58355" t="str">
            <v/>
          </cell>
        </row>
        <row r="58356">
          <cell r="O58356" t="str">
            <v/>
          </cell>
        </row>
        <row r="58357">
          <cell r="O58357" t="str">
            <v/>
          </cell>
        </row>
        <row r="58358">
          <cell r="O58358" t="str">
            <v/>
          </cell>
        </row>
        <row r="58359">
          <cell r="O58359" t="str">
            <v/>
          </cell>
        </row>
        <row r="58360">
          <cell r="O58360" t="str">
            <v/>
          </cell>
        </row>
        <row r="58361">
          <cell r="O58361" t="str">
            <v/>
          </cell>
        </row>
        <row r="58362">
          <cell r="O58362" t="str">
            <v/>
          </cell>
        </row>
        <row r="58363">
          <cell r="O58363" t="str">
            <v/>
          </cell>
        </row>
        <row r="58364">
          <cell r="O58364" t="str">
            <v/>
          </cell>
        </row>
        <row r="58365">
          <cell r="O58365" t="str">
            <v/>
          </cell>
        </row>
        <row r="58366">
          <cell r="O58366" t="str">
            <v/>
          </cell>
        </row>
        <row r="58367">
          <cell r="O58367" t="str">
            <v/>
          </cell>
        </row>
        <row r="58368">
          <cell r="O58368" t="str">
            <v/>
          </cell>
        </row>
        <row r="58369">
          <cell r="O58369" t="str">
            <v/>
          </cell>
        </row>
        <row r="58370">
          <cell r="O58370" t="str">
            <v/>
          </cell>
        </row>
        <row r="58371">
          <cell r="O58371" t="str">
            <v/>
          </cell>
        </row>
        <row r="58372">
          <cell r="O58372" t="str">
            <v/>
          </cell>
        </row>
        <row r="58373">
          <cell r="O58373" t="str">
            <v/>
          </cell>
        </row>
        <row r="58374">
          <cell r="O58374" t="str">
            <v/>
          </cell>
        </row>
        <row r="58375">
          <cell r="O58375" t="str">
            <v/>
          </cell>
        </row>
        <row r="58376">
          <cell r="O58376" t="str">
            <v/>
          </cell>
        </row>
        <row r="58377">
          <cell r="O58377" t="str">
            <v/>
          </cell>
        </row>
        <row r="58378">
          <cell r="O58378" t="str">
            <v/>
          </cell>
        </row>
        <row r="58379">
          <cell r="O58379" t="str">
            <v/>
          </cell>
        </row>
        <row r="58380">
          <cell r="O58380" t="str">
            <v/>
          </cell>
        </row>
        <row r="58381">
          <cell r="O58381" t="str">
            <v/>
          </cell>
        </row>
        <row r="58382">
          <cell r="O58382" t="str">
            <v/>
          </cell>
        </row>
        <row r="58383">
          <cell r="O58383" t="str">
            <v/>
          </cell>
        </row>
        <row r="58384">
          <cell r="O58384" t="str">
            <v/>
          </cell>
        </row>
        <row r="58385">
          <cell r="O58385" t="str">
            <v/>
          </cell>
        </row>
        <row r="58386">
          <cell r="O58386" t="str">
            <v/>
          </cell>
        </row>
        <row r="58387">
          <cell r="O58387" t="str">
            <v/>
          </cell>
        </row>
        <row r="58388">
          <cell r="O58388" t="str">
            <v/>
          </cell>
        </row>
        <row r="58389">
          <cell r="O58389" t="str">
            <v/>
          </cell>
        </row>
        <row r="58390">
          <cell r="O58390" t="str">
            <v/>
          </cell>
        </row>
        <row r="58391">
          <cell r="O58391" t="str">
            <v/>
          </cell>
        </row>
        <row r="58392">
          <cell r="O58392" t="str">
            <v/>
          </cell>
        </row>
        <row r="58393">
          <cell r="O58393" t="str">
            <v/>
          </cell>
        </row>
        <row r="58394">
          <cell r="O58394" t="str">
            <v/>
          </cell>
        </row>
        <row r="58395">
          <cell r="O58395" t="str">
            <v/>
          </cell>
        </row>
        <row r="58396">
          <cell r="O58396" t="str">
            <v/>
          </cell>
        </row>
        <row r="58397">
          <cell r="O58397" t="str">
            <v/>
          </cell>
        </row>
        <row r="58398">
          <cell r="O58398" t="str">
            <v/>
          </cell>
        </row>
        <row r="58399">
          <cell r="O58399" t="str">
            <v/>
          </cell>
        </row>
        <row r="58400">
          <cell r="O58400" t="str">
            <v/>
          </cell>
        </row>
        <row r="58401">
          <cell r="O58401" t="str">
            <v/>
          </cell>
        </row>
        <row r="58402">
          <cell r="O58402" t="str">
            <v/>
          </cell>
        </row>
        <row r="58403">
          <cell r="O58403" t="str">
            <v/>
          </cell>
        </row>
        <row r="58404">
          <cell r="O58404" t="str">
            <v/>
          </cell>
        </row>
        <row r="58405">
          <cell r="O58405" t="str">
            <v/>
          </cell>
        </row>
        <row r="58406">
          <cell r="O58406" t="str">
            <v/>
          </cell>
        </row>
        <row r="58407">
          <cell r="O58407" t="str">
            <v/>
          </cell>
        </row>
        <row r="58408">
          <cell r="O58408" t="str">
            <v/>
          </cell>
        </row>
        <row r="58409">
          <cell r="O58409" t="str">
            <v/>
          </cell>
        </row>
        <row r="58410">
          <cell r="O58410" t="str">
            <v/>
          </cell>
        </row>
        <row r="58411">
          <cell r="O58411" t="str">
            <v/>
          </cell>
        </row>
        <row r="58412">
          <cell r="O58412" t="str">
            <v/>
          </cell>
        </row>
        <row r="58413">
          <cell r="O58413" t="str">
            <v/>
          </cell>
        </row>
        <row r="58414">
          <cell r="O58414" t="str">
            <v/>
          </cell>
        </row>
        <row r="58415">
          <cell r="O58415" t="str">
            <v/>
          </cell>
        </row>
        <row r="58416">
          <cell r="O58416" t="str">
            <v/>
          </cell>
        </row>
        <row r="58417">
          <cell r="O58417" t="str">
            <v/>
          </cell>
        </row>
        <row r="58418">
          <cell r="O58418" t="str">
            <v/>
          </cell>
        </row>
        <row r="58419">
          <cell r="O58419" t="str">
            <v/>
          </cell>
        </row>
        <row r="58420">
          <cell r="O58420" t="str">
            <v/>
          </cell>
        </row>
        <row r="58421">
          <cell r="O58421" t="str">
            <v/>
          </cell>
        </row>
        <row r="58422">
          <cell r="O58422" t="str">
            <v/>
          </cell>
        </row>
        <row r="58423">
          <cell r="O58423" t="str">
            <v/>
          </cell>
        </row>
        <row r="58424">
          <cell r="O58424" t="str">
            <v/>
          </cell>
        </row>
        <row r="58425">
          <cell r="O58425" t="str">
            <v/>
          </cell>
        </row>
        <row r="58426">
          <cell r="O58426" t="str">
            <v/>
          </cell>
        </row>
        <row r="58427">
          <cell r="O58427" t="str">
            <v/>
          </cell>
        </row>
        <row r="58428">
          <cell r="O58428" t="str">
            <v/>
          </cell>
        </row>
        <row r="58429">
          <cell r="O58429" t="str">
            <v/>
          </cell>
        </row>
        <row r="58430">
          <cell r="O58430" t="str">
            <v/>
          </cell>
        </row>
        <row r="58431">
          <cell r="O58431" t="str">
            <v/>
          </cell>
        </row>
        <row r="58432">
          <cell r="O58432" t="str">
            <v/>
          </cell>
        </row>
        <row r="58433">
          <cell r="O58433" t="str">
            <v/>
          </cell>
        </row>
        <row r="58434">
          <cell r="O58434" t="str">
            <v/>
          </cell>
        </row>
        <row r="58435">
          <cell r="O58435" t="str">
            <v/>
          </cell>
        </row>
        <row r="58436">
          <cell r="O58436" t="str">
            <v/>
          </cell>
        </row>
        <row r="58437">
          <cell r="O58437" t="str">
            <v/>
          </cell>
        </row>
        <row r="58438">
          <cell r="O58438" t="str">
            <v/>
          </cell>
        </row>
        <row r="58439">
          <cell r="O58439" t="str">
            <v/>
          </cell>
        </row>
        <row r="58440">
          <cell r="O58440" t="str">
            <v/>
          </cell>
        </row>
        <row r="58441">
          <cell r="O58441" t="str">
            <v/>
          </cell>
        </row>
        <row r="58442">
          <cell r="O58442" t="str">
            <v/>
          </cell>
        </row>
        <row r="58443">
          <cell r="O58443" t="str">
            <v/>
          </cell>
        </row>
        <row r="58444">
          <cell r="O58444" t="str">
            <v/>
          </cell>
        </row>
        <row r="58445">
          <cell r="O58445" t="str">
            <v/>
          </cell>
        </row>
        <row r="58446">
          <cell r="O58446" t="str">
            <v/>
          </cell>
        </row>
        <row r="58447">
          <cell r="O58447" t="str">
            <v/>
          </cell>
        </row>
        <row r="58448">
          <cell r="O58448" t="str">
            <v/>
          </cell>
        </row>
        <row r="58449">
          <cell r="O58449" t="str">
            <v/>
          </cell>
        </row>
        <row r="58450">
          <cell r="O58450" t="str">
            <v/>
          </cell>
        </row>
        <row r="58451">
          <cell r="O58451" t="str">
            <v/>
          </cell>
        </row>
        <row r="58452">
          <cell r="O58452" t="str">
            <v/>
          </cell>
        </row>
        <row r="58453">
          <cell r="O58453" t="str">
            <v/>
          </cell>
        </row>
        <row r="58454">
          <cell r="O58454" t="str">
            <v/>
          </cell>
        </row>
        <row r="58455">
          <cell r="O58455" t="str">
            <v/>
          </cell>
        </row>
        <row r="58456">
          <cell r="O58456" t="str">
            <v/>
          </cell>
        </row>
        <row r="58457">
          <cell r="O58457" t="str">
            <v/>
          </cell>
        </row>
        <row r="58458">
          <cell r="O58458" t="str">
            <v/>
          </cell>
        </row>
        <row r="58459">
          <cell r="O58459" t="str">
            <v/>
          </cell>
        </row>
        <row r="58460">
          <cell r="O58460" t="str">
            <v/>
          </cell>
        </row>
        <row r="58461">
          <cell r="O58461" t="str">
            <v/>
          </cell>
        </row>
        <row r="58462">
          <cell r="O58462" t="str">
            <v/>
          </cell>
        </row>
        <row r="58463">
          <cell r="O58463" t="str">
            <v/>
          </cell>
        </row>
        <row r="58464">
          <cell r="O58464" t="str">
            <v/>
          </cell>
        </row>
        <row r="58465">
          <cell r="O58465" t="str">
            <v/>
          </cell>
        </row>
        <row r="58466">
          <cell r="O58466" t="str">
            <v/>
          </cell>
        </row>
        <row r="58467">
          <cell r="O58467" t="str">
            <v/>
          </cell>
        </row>
        <row r="58468">
          <cell r="O58468" t="str">
            <v/>
          </cell>
        </row>
        <row r="58469">
          <cell r="O58469" t="str">
            <v/>
          </cell>
        </row>
        <row r="58470">
          <cell r="O58470" t="str">
            <v/>
          </cell>
        </row>
        <row r="58471">
          <cell r="O58471" t="str">
            <v/>
          </cell>
        </row>
        <row r="58472">
          <cell r="O58472" t="str">
            <v/>
          </cell>
        </row>
        <row r="58473">
          <cell r="O58473" t="str">
            <v/>
          </cell>
        </row>
        <row r="58474">
          <cell r="O58474" t="str">
            <v/>
          </cell>
        </row>
        <row r="58475">
          <cell r="O58475" t="str">
            <v/>
          </cell>
        </row>
        <row r="58476">
          <cell r="O58476" t="str">
            <v/>
          </cell>
        </row>
        <row r="58477">
          <cell r="O58477" t="str">
            <v/>
          </cell>
        </row>
        <row r="58478">
          <cell r="O58478" t="str">
            <v/>
          </cell>
        </row>
        <row r="58479">
          <cell r="O58479" t="str">
            <v/>
          </cell>
        </row>
        <row r="58480">
          <cell r="O58480" t="str">
            <v/>
          </cell>
        </row>
        <row r="58481">
          <cell r="O58481" t="str">
            <v/>
          </cell>
        </row>
        <row r="58482">
          <cell r="O58482" t="str">
            <v/>
          </cell>
        </row>
        <row r="58483">
          <cell r="O58483" t="str">
            <v/>
          </cell>
        </row>
        <row r="58484">
          <cell r="O58484" t="str">
            <v/>
          </cell>
        </row>
        <row r="58485">
          <cell r="O58485" t="str">
            <v/>
          </cell>
        </row>
        <row r="58486">
          <cell r="O58486" t="str">
            <v/>
          </cell>
        </row>
        <row r="58487">
          <cell r="O58487" t="str">
            <v/>
          </cell>
        </row>
        <row r="58488">
          <cell r="O58488" t="str">
            <v/>
          </cell>
        </row>
        <row r="58489">
          <cell r="O58489" t="str">
            <v/>
          </cell>
        </row>
        <row r="58490">
          <cell r="O58490" t="str">
            <v/>
          </cell>
        </row>
        <row r="58491">
          <cell r="O58491" t="str">
            <v/>
          </cell>
        </row>
        <row r="58492">
          <cell r="O58492" t="str">
            <v/>
          </cell>
        </row>
        <row r="58493">
          <cell r="O58493" t="str">
            <v/>
          </cell>
        </row>
        <row r="58494">
          <cell r="O58494" t="str">
            <v/>
          </cell>
        </row>
        <row r="58495">
          <cell r="O58495" t="str">
            <v/>
          </cell>
        </row>
        <row r="58496">
          <cell r="O58496" t="str">
            <v/>
          </cell>
        </row>
        <row r="58497">
          <cell r="O58497" t="str">
            <v/>
          </cell>
        </row>
        <row r="58498">
          <cell r="O58498" t="str">
            <v/>
          </cell>
        </row>
        <row r="58499">
          <cell r="O58499" t="str">
            <v/>
          </cell>
        </row>
        <row r="58500">
          <cell r="O58500" t="str">
            <v/>
          </cell>
        </row>
        <row r="58501">
          <cell r="O58501" t="str">
            <v/>
          </cell>
        </row>
        <row r="58502">
          <cell r="O58502" t="str">
            <v/>
          </cell>
        </row>
        <row r="58503">
          <cell r="O58503" t="str">
            <v/>
          </cell>
        </row>
        <row r="58504">
          <cell r="O58504" t="str">
            <v/>
          </cell>
        </row>
        <row r="58505">
          <cell r="O58505" t="str">
            <v/>
          </cell>
        </row>
        <row r="58506">
          <cell r="O58506" t="str">
            <v/>
          </cell>
        </row>
        <row r="58507">
          <cell r="O58507" t="str">
            <v/>
          </cell>
        </row>
        <row r="58508">
          <cell r="O58508" t="str">
            <v/>
          </cell>
        </row>
        <row r="58509">
          <cell r="O58509" t="str">
            <v/>
          </cell>
        </row>
        <row r="58510">
          <cell r="O58510" t="str">
            <v/>
          </cell>
        </row>
        <row r="58511">
          <cell r="O58511" t="str">
            <v/>
          </cell>
        </row>
        <row r="58512">
          <cell r="O58512" t="str">
            <v/>
          </cell>
        </row>
        <row r="58513">
          <cell r="O58513" t="str">
            <v/>
          </cell>
        </row>
        <row r="58514">
          <cell r="O58514" t="str">
            <v/>
          </cell>
        </row>
        <row r="58515">
          <cell r="O58515" t="str">
            <v/>
          </cell>
        </row>
        <row r="58516">
          <cell r="O58516" t="str">
            <v/>
          </cell>
        </row>
        <row r="58517">
          <cell r="O58517" t="str">
            <v/>
          </cell>
        </row>
        <row r="58518">
          <cell r="O58518" t="str">
            <v/>
          </cell>
        </row>
        <row r="58519">
          <cell r="O58519" t="str">
            <v/>
          </cell>
        </row>
        <row r="58520">
          <cell r="O58520" t="str">
            <v/>
          </cell>
        </row>
        <row r="58521">
          <cell r="O58521" t="str">
            <v/>
          </cell>
        </row>
        <row r="58522">
          <cell r="O58522" t="str">
            <v/>
          </cell>
        </row>
        <row r="58523">
          <cell r="O58523" t="str">
            <v/>
          </cell>
        </row>
        <row r="58524">
          <cell r="O58524" t="str">
            <v/>
          </cell>
        </row>
        <row r="58525">
          <cell r="O58525" t="str">
            <v/>
          </cell>
        </row>
        <row r="58526">
          <cell r="O58526" t="str">
            <v/>
          </cell>
        </row>
        <row r="58527">
          <cell r="O58527" t="str">
            <v/>
          </cell>
        </row>
        <row r="58528">
          <cell r="O58528" t="str">
            <v/>
          </cell>
        </row>
        <row r="58529">
          <cell r="O58529" t="str">
            <v/>
          </cell>
        </row>
        <row r="58530">
          <cell r="O58530" t="str">
            <v/>
          </cell>
        </row>
        <row r="58531">
          <cell r="O58531" t="str">
            <v/>
          </cell>
        </row>
        <row r="58532">
          <cell r="O58532" t="str">
            <v/>
          </cell>
        </row>
        <row r="58533">
          <cell r="O58533" t="str">
            <v/>
          </cell>
        </row>
        <row r="58534">
          <cell r="O58534" t="str">
            <v/>
          </cell>
        </row>
        <row r="58535">
          <cell r="O58535" t="str">
            <v/>
          </cell>
        </row>
        <row r="58536">
          <cell r="O58536" t="str">
            <v/>
          </cell>
        </row>
        <row r="58537">
          <cell r="O58537" t="str">
            <v/>
          </cell>
        </row>
        <row r="58538">
          <cell r="O58538" t="str">
            <v/>
          </cell>
        </row>
        <row r="58539">
          <cell r="O58539" t="str">
            <v/>
          </cell>
        </row>
        <row r="58540">
          <cell r="O58540" t="str">
            <v/>
          </cell>
        </row>
        <row r="58541">
          <cell r="O58541" t="str">
            <v/>
          </cell>
        </row>
        <row r="58542">
          <cell r="O58542" t="str">
            <v/>
          </cell>
        </row>
        <row r="58543">
          <cell r="O58543" t="str">
            <v/>
          </cell>
        </row>
        <row r="58544">
          <cell r="O58544" t="str">
            <v/>
          </cell>
        </row>
        <row r="58545">
          <cell r="O58545" t="str">
            <v/>
          </cell>
        </row>
        <row r="58546">
          <cell r="O58546" t="str">
            <v/>
          </cell>
        </row>
        <row r="58547">
          <cell r="O58547" t="str">
            <v/>
          </cell>
        </row>
        <row r="58548">
          <cell r="O58548" t="str">
            <v/>
          </cell>
        </row>
        <row r="58549">
          <cell r="O58549" t="str">
            <v/>
          </cell>
        </row>
        <row r="58550">
          <cell r="O58550" t="str">
            <v/>
          </cell>
        </row>
        <row r="58551">
          <cell r="O58551" t="str">
            <v/>
          </cell>
        </row>
        <row r="58552">
          <cell r="O58552" t="str">
            <v/>
          </cell>
        </row>
        <row r="58553">
          <cell r="O58553" t="str">
            <v/>
          </cell>
        </row>
        <row r="58554">
          <cell r="O58554" t="str">
            <v/>
          </cell>
        </row>
        <row r="58555">
          <cell r="O58555" t="str">
            <v/>
          </cell>
        </row>
        <row r="58556">
          <cell r="O58556" t="str">
            <v/>
          </cell>
        </row>
        <row r="58557">
          <cell r="O58557" t="str">
            <v/>
          </cell>
        </row>
        <row r="58558">
          <cell r="O58558" t="str">
            <v/>
          </cell>
        </row>
        <row r="58559">
          <cell r="O58559" t="str">
            <v/>
          </cell>
        </row>
        <row r="58560">
          <cell r="O58560" t="str">
            <v/>
          </cell>
        </row>
        <row r="58561">
          <cell r="O58561" t="str">
            <v/>
          </cell>
        </row>
        <row r="58562">
          <cell r="O58562" t="str">
            <v/>
          </cell>
        </row>
        <row r="58563">
          <cell r="O58563" t="str">
            <v/>
          </cell>
        </row>
        <row r="58564">
          <cell r="O58564" t="str">
            <v/>
          </cell>
        </row>
        <row r="58565">
          <cell r="O58565" t="str">
            <v/>
          </cell>
        </row>
        <row r="58566">
          <cell r="O58566" t="str">
            <v/>
          </cell>
        </row>
        <row r="58567">
          <cell r="O58567" t="str">
            <v/>
          </cell>
        </row>
        <row r="58568">
          <cell r="O58568" t="str">
            <v/>
          </cell>
        </row>
        <row r="58569">
          <cell r="O58569" t="str">
            <v/>
          </cell>
        </row>
        <row r="58570">
          <cell r="O58570" t="str">
            <v/>
          </cell>
        </row>
        <row r="58571">
          <cell r="O58571" t="str">
            <v/>
          </cell>
        </row>
        <row r="58572">
          <cell r="O58572" t="str">
            <v/>
          </cell>
        </row>
        <row r="58573">
          <cell r="O58573" t="str">
            <v/>
          </cell>
        </row>
        <row r="58574">
          <cell r="O58574" t="str">
            <v/>
          </cell>
        </row>
        <row r="58575">
          <cell r="O58575" t="str">
            <v/>
          </cell>
        </row>
        <row r="58576">
          <cell r="O58576" t="str">
            <v/>
          </cell>
        </row>
        <row r="58577">
          <cell r="O58577" t="str">
            <v/>
          </cell>
        </row>
        <row r="58578">
          <cell r="O58578" t="str">
            <v/>
          </cell>
        </row>
        <row r="58579">
          <cell r="O58579" t="str">
            <v/>
          </cell>
        </row>
        <row r="58580">
          <cell r="O58580" t="str">
            <v/>
          </cell>
        </row>
        <row r="58581">
          <cell r="O58581" t="str">
            <v/>
          </cell>
        </row>
        <row r="58582">
          <cell r="O58582" t="str">
            <v/>
          </cell>
        </row>
        <row r="58583">
          <cell r="O58583" t="str">
            <v/>
          </cell>
        </row>
        <row r="58584">
          <cell r="O58584" t="str">
            <v/>
          </cell>
        </row>
        <row r="58585">
          <cell r="O58585" t="str">
            <v/>
          </cell>
        </row>
        <row r="58586">
          <cell r="O58586" t="str">
            <v/>
          </cell>
        </row>
        <row r="58587">
          <cell r="O58587" t="str">
            <v/>
          </cell>
        </row>
        <row r="58588">
          <cell r="O58588" t="str">
            <v/>
          </cell>
        </row>
        <row r="58589">
          <cell r="O58589" t="str">
            <v/>
          </cell>
        </row>
        <row r="58590">
          <cell r="O58590" t="str">
            <v/>
          </cell>
        </row>
        <row r="58591">
          <cell r="O58591" t="str">
            <v/>
          </cell>
        </row>
        <row r="58592">
          <cell r="O58592" t="str">
            <v/>
          </cell>
        </row>
        <row r="58593">
          <cell r="O58593" t="str">
            <v/>
          </cell>
        </row>
        <row r="58594">
          <cell r="O58594" t="str">
            <v/>
          </cell>
        </row>
        <row r="58595">
          <cell r="O58595" t="str">
            <v/>
          </cell>
        </row>
        <row r="58596">
          <cell r="O58596" t="str">
            <v/>
          </cell>
        </row>
        <row r="58597">
          <cell r="O58597" t="str">
            <v/>
          </cell>
        </row>
        <row r="58598">
          <cell r="O58598" t="str">
            <v/>
          </cell>
        </row>
        <row r="58599">
          <cell r="O58599" t="str">
            <v/>
          </cell>
        </row>
        <row r="58600">
          <cell r="O58600" t="str">
            <v/>
          </cell>
        </row>
        <row r="58601">
          <cell r="O58601" t="str">
            <v/>
          </cell>
        </row>
        <row r="58602">
          <cell r="O58602" t="str">
            <v/>
          </cell>
        </row>
        <row r="58603">
          <cell r="O58603" t="str">
            <v/>
          </cell>
        </row>
        <row r="58604">
          <cell r="O58604" t="str">
            <v/>
          </cell>
        </row>
        <row r="58605">
          <cell r="O58605" t="str">
            <v/>
          </cell>
        </row>
        <row r="58606">
          <cell r="O58606" t="str">
            <v/>
          </cell>
        </row>
        <row r="58607">
          <cell r="O58607" t="str">
            <v/>
          </cell>
        </row>
        <row r="58608">
          <cell r="O58608" t="str">
            <v/>
          </cell>
        </row>
        <row r="58609">
          <cell r="O58609" t="str">
            <v/>
          </cell>
        </row>
        <row r="58610">
          <cell r="O58610" t="str">
            <v/>
          </cell>
        </row>
        <row r="58611">
          <cell r="O58611" t="str">
            <v/>
          </cell>
        </row>
        <row r="58612">
          <cell r="O58612" t="str">
            <v/>
          </cell>
        </row>
        <row r="58613">
          <cell r="O58613" t="str">
            <v/>
          </cell>
        </row>
        <row r="58614">
          <cell r="O58614" t="str">
            <v/>
          </cell>
        </row>
        <row r="58615">
          <cell r="O58615" t="str">
            <v/>
          </cell>
        </row>
        <row r="58616">
          <cell r="O58616" t="str">
            <v/>
          </cell>
        </row>
        <row r="58617">
          <cell r="O58617" t="str">
            <v/>
          </cell>
        </row>
        <row r="58618">
          <cell r="O58618" t="str">
            <v/>
          </cell>
        </row>
        <row r="58619">
          <cell r="O58619" t="str">
            <v/>
          </cell>
        </row>
        <row r="58620">
          <cell r="O58620" t="str">
            <v/>
          </cell>
        </row>
        <row r="58621">
          <cell r="O58621" t="str">
            <v/>
          </cell>
        </row>
        <row r="58622">
          <cell r="O58622" t="str">
            <v/>
          </cell>
        </row>
        <row r="58623">
          <cell r="O58623" t="str">
            <v/>
          </cell>
        </row>
        <row r="58624">
          <cell r="O58624" t="str">
            <v/>
          </cell>
        </row>
        <row r="58625">
          <cell r="O58625" t="str">
            <v/>
          </cell>
        </row>
        <row r="58626">
          <cell r="O58626" t="str">
            <v/>
          </cell>
        </row>
        <row r="58627">
          <cell r="O58627" t="str">
            <v/>
          </cell>
        </row>
        <row r="58628">
          <cell r="O58628" t="str">
            <v/>
          </cell>
        </row>
        <row r="58629">
          <cell r="O58629" t="str">
            <v/>
          </cell>
        </row>
        <row r="58630">
          <cell r="O58630" t="str">
            <v/>
          </cell>
        </row>
        <row r="58631">
          <cell r="O58631" t="str">
            <v/>
          </cell>
        </row>
        <row r="58632">
          <cell r="O58632" t="str">
            <v/>
          </cell>
        </row>
        <row r="58633">
          <cell r="O58633" t="str">
            <v/>
          </cell>
        </row>
        <row r="58634">
          <cell r="O58634" t="str">
            <v/>
          </cell>
        </row>
        <row r="58635">
          <cell r="O58635" t="str">
            <v/>
          </cell>
        </row>
        <row r="58636">
          <cell r="O58636" t="str">
            <v/>
          </cell>
        </row>
        <row r="58637">
          <cell r="O58637" t="str">
            <v/>
          </cell>
        </row>
        <row r="58638">
          <cell r="O58638" t="str">
            <v/>
          </cell>
        </row>
        <row r="58639">
          <cell r="O58639" t="str">
            <v/>
          </cell>
        </row>
        <row r="58640">
          <cell r="O58640" t="str">
            <v/>
          </cell>
        </row>
        <row r="58641">
          <cell r="O58641" t="str">
            <v/>
          </cell>
        </row>
        <row r="58642">
          <cell r="O58642" t="str">
            <v/>
          </cell>
        </row>
        <row r="58643">
          <cell r="O58643" t="str">
            <v/>
          </cell>
        </row>
        <row r="58644">
          <cell r="O58644" t="str">
            <v/>
          </cell>
        </row>
        <row r="58645">
          <cell r="O58645" t="str">
            <v/>
          </cell>
        </row>
        <row r="58646">
          <cell r="O58646" t="str">
            <v/>
          </cell>
        </row>
        <row r="58647">
          <cell r="O58647" t="str">
            <v/>
          </cell>
        </row>
        <row r="58648">
          <cell r="O58648" t="str">
            <v/>
          </cell>
        </row>
        <row r="58649">
          <cell r="O58649" t="str">
            <v/>
          </cell>
        </row>
        <row r="58650">
          <cell r="O58650" t="str">
            <v/>
          </cell>
        </row>
        <row r="58651">
          <cell r="O58651" t="str">
            <v/>
          </cell>
        </row>
        <row r="58652">
          <cell r="O58652" t="str">
            <v/>
          </cell>
        </row>
        <row r="58653">
          <cell r="O58653" t="str">
            <v/>
          </cell>
        </row>
        <row r="58654">
          <cell r="O58654" t="str">
            <v/>
          </cell>
        </row>
        <row r="58655">
          <cell r="O58655" t="str">
            <v/>
          </cell>
        </row>
        <row r="58656">
          <cell r="O58656" t="str">
            <v/>
          </cell>
        </row>
        <row r="58657">
          <cell r="O58657" t="str">
            <v/>
          </cell>
        </row>
        <row r="58658">
          <cell r="O58658" t="str">
            <v/>
          </cell>
        </row>
        <row r="58659">
          <cell r="O58659" t="str">
            <v/>
          </cell>
        </row>
        <row r="58660">
          <cell r="O58660" t="str">
            <v/>
          </cell>
        </row>
        <row r="58661">
          <cell r="O58661" t="str">
            <v/>
          </cell>
        </row>
        <row r="58662">
          <cell r="O58662" t="str">
            <v/>
          </cell>
        </row>
        <row r="58663">
          <cell r="O58663" t="str">
            <v/>
          </cell>
        </row>
        <row r="58664">
          <cell r="O58664" t="str">
            <v/>
          </cell>
        </row>
        <row r="58665">
          <cell r="O58665" t="str">
            <v/>
          </cell>
        </row>
        <row r="58666">
          <cell r="O58666" t="str">
            <v/>
          </cell>
        </row>
        <row r="58667">
          <cell r="O58667" t="str">
            <v/>
          </cell>
        </row>
        <row r="58668">
          <cell r="O58668" t="str">
            <v/>
          </cell>
        </row>
        <row r="58669">
          <cell r="O58669" t="str">
            <v/>
          </cell>
        </row>
        <row r="58670">
          <cell r="O58670" t="str">
            <v/>
          </cell>
        </row>
        <row r="58671">
          <cell r="O58671" t="str">
            <v/>
          </cell>
        </row>
        <row r="58672">
          <cell r="O58672" t="str">
            <v/>
          </cell>
        </row>
        <row r="58673">
          <cell r="O58673" t="str">
            <v/>
          </cell>
        </row>
        <row r="58674">
          <cell r="O58674" t="str">
            <v/>
          </cell>
        </row>
        <row r="58675">
          <cell r="O58675" t="str">
            <v/>
          </cell>
        </row>
        <row r="58676">
          <cell r="O58676" t="str">
            <v/>
          </cell>
        </row>
        <row r="58677">
          <cell r="O58677" t="str">
            <v/>
          </cell>
        </row>
        <row r="58678">
          <cell r="O58678" t="str">
            <v/>
          </cell>
        </row>
        <row r="58679">
          <cell r="O58679" t="str">
            <v/>
          </cell>
        </row>
        <row r="58680">
          <cell r="O58680" t="str">
            <v/>
          </cell>
        </row>
        <row r="58681">
          <cell r="O58681" t="str">
            <v/>
          </cell>
        </row>
        <row r="58682">
          <cell r="O58682" t="str">
            <v/>
          </cell>
        </row>
        <row r="58683">
          <cell r="O58683" t="str">
            <v/>
          </cell>
        </row>
        <row r="58684">
          <cell r="O58684" t="str">
            <v/>
          </cell>
        </row>
        <row r="58685">
          <cell r="O58685" t="str">
            <v/>
          </cell>
        </row>
        <row r="58686">
          <cell r="O58686" t="str">
            <v/>
          </cell>
        </row>
        <row r="58687">
          <cell r="O58687" t="str">
            <v/>
          </cell>
        </row>
        <row r="58688">
          <cell r="O58688" t="str">
            <v/>
          </cell>
        </row>
        <row r="58689">
          <cell r="O58689" t="str">
            <v/>
          </cell>
        </row>
        <row r="58690">
          <cell r="O58690" t="str">
            <v/>
          </cell>
        </row>
        <row r="58691">
          <cell r="O58691" t="str">
            <v/>
          </cell>
        </row>
        <row r="58692">
          <cell r="O58692" t="str">
            <v/>
          </cell>
        </row>
        <row r="58693">
          <cell r="O58693" t="str">
            <v/>
          </cell>
        </row>
        <row r="58694">
          <cell r="O58694" t="str">
            <v/>
          </cell>
        </row>
        <row r="58695">
          <cell r="O58695" t="str">
            <v/>
          </cell>
        </row>
        <row r="58696">
          <cell r="O58696" t="str">
            <v/>
          </cell>
        </row>
        <row r="58697">
          <cell r="O58697" t="str">
            <v/>
          </cell>
        </row>
        <row r="58698">
          <cell r="O58698" t="str">
            <v/>
          </cell>
        </row>
        <row r="58699">
          <cell r="O58699" t="str">
            <v/>
          </cell>
        </row>
        <row r="58700">
          <cell r="O58700" t="str">
            <v/>
          </cell>
        </row>
        <row r="58701">
          <cell r="O58701" t="str">
            <v/>
          </cell>
        </row>
        <row r="58702">
          <cell r="O58702" t="str">
            <v/>
          </cell>
        </row>
        <row r="58703">
          <cell r="O58703" t="str">
            <v/>
          </cell>
        </row>
        <row r="58704">
          <cell r="O58704" t="str">
            <v/>
          </cell>
        </row>
        <row r="58705">
          <cell r="O58705" t="str">
            <v/>
          </cell>
        </row>
        <row r="58706">
          <cell r="O58706" t="str">
            <v/>
          </cell>
        </row>
        <row r="58707">
          <cell r="O58707" t="str">
            <v/>
          </cell>
        </row>
        <row r="58708">
          <cell r="O58708" t="str">
            <v/>
          </cell>
        </row>
        <row r="58709">
          <cell r="O58709" t="str">
            <v/>
          </cell>
        </row>
        <row r="58710">
          <cell r="O58710" t="str">
            <v/>
          </cell>
        </row>
        <row r="58711">
          <cell r="O58711" t="str">
            <v/>
          </cell>
        </row>
        <row r="58712">
          <cell r="O58712" t="str">
            <v/>
          </cell>
        </row>
        <row r="58713">
          <cell r="O58713" t="str">
            <v/>
          </cell>
        </row>
        <row r="58714">
          <cell r="O58714" t="str">
            <v/>
          </cell>
        </row>
        <row r="58715">
          <cell r="O58715" t="str">
            <v/>
          </cell>
        </row>
        <row r="58716">
          <cell r="O58716" t="str">
            <v/>
          </cell>
        </row>
        <row r="58717">
          <cell r="O58717" t="str">
            <v/>
          </cell>
        </row>
        <row r="58718">
          <cell r="O58718" t="str">
            <v/>
          </cell>
        </row>
        <row r="58719">
          <cell r="O58719" t="str">
            <v/>
          </cell>
        </row>
        <row r="58720">
          <cell r="O58720" t="str">
            <v/>
          </cell>
        </row>
        <row r="58721">
          <cell r="O58721" t="str">
            <v/>
          </cell>
        </row>
        <row r="58722">
          <cell r="O58722" t="str">
            <v/>
          </cell>
        </row>
        <row r="58723">
          <cell r="O58723" t="str">
            <v/>
          </cell>
        </row>
        <row r="58724">
          <cell r="O58724" t="str">
            <v/>
          </cell>
        </row>
        <row r="58725">
          <cell r="O58725" t="str">
            <v/>
          </cell>
        </row>
        <row r="58726">
          <cell r="O58726" t="str">
            <v/>
          </cell>
        </row>
        <row r="58727">
          <cell r="O58727" t="str">
            <v/>
          </cell>
        </row>
        <row r="58728">
          <cell r="O58728" t="str">
            <v/>
          </cell>
        </row>
        <row r="58729">
          <cell r="O58729" t="str">
            <v/>
          </cell>
        </row>
        <row r="58730">
          <cell r="O58730" t="str">
            <v/>
          </cell>
        </row>
        <row r="58731">
          <cell r="O58731" t="str">
            <v/>
          </cell>
        </row>
        <row r="58732">
          <cell r="O58732" t="str">
            <v/>
          </cell>
        </row>
        <row r="58733">
          <cell r="O58733" t="str">
            <v/>
          </cell>
        </row>
        <row r="58734">
          <cell r="O58734" t="str">
            <v/>
          </cell>
        </row>
        <row r="58735">
          <cell r="O58735" t="str">
            <v/>
          </cell>
        </row>
        <row r="58736">
          <cell r="O58736" t="str">
            <v/>
          </cell>
        </row>
        <row r="58737">
          <cell r="O58737" t="str">
            <v/>
          </cell>
        </row>
        <row r="58738">
          <cell r="O58738" t="str">
            <v/>
          </cell>
        </row>
        <row r="58739">
          <cell r="O58739" t="str">
            <v/>
          </cell>
        </row>
        <row r="58740">
          <cell r="O58740" t="str">
            <v/>
          </cell>
        </row>
        <row r="58741">
          <cell r="O58741" t="str">
            <v/>
          </cell>
        </row>
        <row r="58742">
          <cell r="O58742" t="str">
            <v/>
          </cell>
        </row>
        <row r="58743">
          <cell r="O58743" t="str">
            <v/>
          </cell>
        </row>
        <row r="58744">
          <cell r="O58744" t="str">
            <v/>
          </cell>
        </row>
        <row r="58745">
          <cell r="O58745" t="str">
            <v/>
          </cell>
        </row>
        <row r="58746">
          <cell r="O58746" t="str">
            <v/>
          </cell>
        </row>
        <row r="58747">
          <cell r="O58747" t="str">
            <v/>
          </cell>
        </row>
        <row r="58748">
          <cell r="O58748" t="str">
            <v/>
          </cell>
        </row>
        <row r="58749">
          <cell r="O58749" t="str">
            <v/>
          </cell>
        </row>
        <row r="58750">
          <cell r="O58750" t="str">
            <v/>
          </cell>
        </row>
        <row r="58751">
          <cell r="O58751" t="str">
            <v/>
          </cell>
        </row>
        <row r="58752">
          <cell r="O58752" t="str">
            <v/>
          </cell>
        </row>
        <row r="58753">
          <cell r="O58753" t="str">
            <v/>
          </cell>
        </row>
        <row r="58754">
          <cell r="O58754" t="str">
            <v/>
          </cell>
        </row>
        <row r="58755">
          <cell r="O58755" t="str">
            <v/>
          </cell>
        </row>
        <row r="58756">
          <cell r="O58756" t="str">
            <v/>
          </cell>
        </row>
        <row r="58757">
          <cell r="O58757" t="str">
            <v/>
          </cell>
        </row>
        <row r="58758">
          <cell r="O58758" t="str">
            <v/>
          </cell>
        </row>
        <row r="58759">
          <cell r="O58759" t="str">
            <v/>
          </cell>
        </row>
        <row r="58760">
          <cell r="O58760" t="str">
            <v/>
          </cell>
        </row>
        <row r="58761">
          <cell r="O58761" t="str">
            <v/>
          </cell>
        </row>
        <row r="58762">
          <cell r="O58762" t="str">
            <v/>
          </cell>
        </row>
        <row r="58763">
          <cell r="O58763" t="str">
            <v/>
          </cell>
        </row>
        <row r="58764">
          <cell r="O58764" t="str">
            <v/>
          </cell>
        </row>
        <row r="58765">
          <cell r="O58765" t="str">
            <v/>
          </cell>
        </row>
        <row r="58766">
          <cell r="O58766" t="str">
            <v/>
          </cell>
        </row>
        <row r="58767">
          <cell r="O58767" t="str">
            <v/>
          </cell>
        </row>
        <row r="58768">
          <cell r="O58768" t="str">
            <v/>
          </cell>
        </row>
        <row r="58769">
          <cell r="O58769" t="str">
            <v/>
          </cell>
        </row>
        <row r="58770">
          <cell r="O58770" t="str">
            <v/>
          </cell>
        </row>
        <row r="58771">
          <cell r="O58771" t="str">
            <v/>
          </cell>
        </row>
        <row r="58772">
          <cell r="O58772" t="str">
            <v/>
          </cell>
        </row>
        <row r="58773">
          <cell r="O58773" t="str">
            <v/>
          </cell>
        </row>
        <row r="58774">
          <cell r="O58774" t="str">
            <v/>
          </cell>
        </row>
        <row r="58775">
          <cell r="O58775" t="str">
            <v/>
          </cell>
        </row>
        <row r="58776">
          <cell r="O58776" t="str">
            <v/>
          </cell>
        </row>
        <row r="58777">
          <cell r="O58777" t="str">
            <v/>
          </cell>
        </row>
        <row r="58778">
          <cell r="O58778" t="str">
            <v/>
          </cell>
        </row>
        <row r="58779">
          <cell r="O58779" t="str">
            <v/>
          </cell>
        </row>
        <row r="58780">
          <cell r="O58780" t="str">
            <v/>
          </cell>
        </row>
        <row r="58781">
          <cell r="O58781" t="str">
            <v/>
          </cell>
        </row>
        <row r="58782">
          <cell r="O58782" t="str">
            <v/>
          </cell>
        </row>
        <row r="58783">
          <cell r="O58783" t="str">
            <v/>
          </cell>
        </row>
        <row r="58784">
          <cell r="O58784" t="str">
            <v/>
          </cell>
        </row>
        <row r="58785">
          <cell r="O58785" t="str">
            <v/>
          </cell>
        </row>
        <row r="58786">
          <cell r="O58786" t="str">
            <v/>
          </cell>
        </row>
        <row r="58787">
          <cell r="O58787" t="str">
            <v/>
          </cell>
        </row>
        <row r="58788">
          <cell r="O58788" t="str">
            <v/>
          </cell>
        </row>
        <row r="58789">
          <cell r="O58789" t="str">
            <v/>
          </cell>
        </row>
        <row r="58790">
          <cell r="O58790" t="str">
            <v/>
          </cell>
        </row>
        <row r="58791">
          <cell r="O58791" t="str">
            <v/>
          </cell>
        </row>
        <row r="58792">
          <cell r="O58792" t="str">
            <v/>
          </cell>
        </row>
        <row r="58793">
          <cell r="O58793" t="str">
            <v/>
          </cell>
        </row>
        <row r="58794">
          <cell r="O58794" t="str">
            <v/>
          </cell>
        </row>
        <row r="58795">
          <cell r="O58795" t="str">
            <v/>
          </cell>
        </row>
        <row r="58796">
          <cell r="O58796" t="str">
            <v/>
          </cell>
        </row>
        <row r="58797">
          <cell r="O58797" t="str">
            <v/>
          </cell>
        </row>
        <row r="58798">
          <cell r="O58798" t="str">
            <v/>
          </cell>
        </row>
        <row r="58799">
          <cell r="O58799" t="str">
            <v/>
          </cell>
        </row>
        <row r="58800">
          <cell r="O58800" t="str">
            <v/>
          </cell>
        </row>
        <row r="58801">
          <cell r="O58801" t="str">
            <v/>
          </cell>
        </row>
        <row r="58802">
          <cell r="O58802" t="str">
            <v/>
          </cell>
        </row>
        <row r="58803">
          <cell r="O58803" t="str">
            <v/>
          </cell>
        </row>
        <row r="58804">
          <cell r="O58804" t="str">
            <v/>
          </cell>
        </row>
        <row r="58805">
          <cell r="O58805" t="str">
            <v/>
          </cell>
        </row>
        <row r="58806">
          <cell r="O58806" t="str">
            <v/>
          </cell>
        </row>
        <row r="58807">
          <cell r="O58807" t="str">
            <v/>
          </cell>
        </row>
        <row r="58808">
          <cell r="O58808" t="str">
            <v/>
          </cell>
        </row>
        <row r="58809">
          <cell r="O58809" t="str">
            <v/>
          </cell>
        </row>
        <row r="58810">
          <cell r="O58810" t="str">
            <v/>
          </cell>
        </row>
        <row r="58811">
          <cell r="O58811" t="str">
            <v/>
          </cell>
        </row>
        <row r="58812">
          <cell r="O58812" t="str">
            <v/>
          </cell>
        </row>
        <row r="58813">
          <cell r="O58813" t="str">
            <v/>
          </cell>
        </row>
        <row r="58814">
          <cell r="O58814" t="str">
            <v/>
          </cell>
        </row>
        <row r="58815">
          <cell r="O58815" t="str">
            <v/>
          </cell>
        </row>
        <row r="58816">
          <cell r="O58816" t="str">
            <v/>
          </cell>
        </row>
        <row r="58817">
          <cell r="O58817" t="str">
            <v/>
          </cell>
        </row>
        <row r="58818">
          <cell r="O58818" t="str">
            <v/>
          </cell>
        </row>
        <row r="58819">
          <cell r="O58819" t="str">
            <v/>
          </cell>
        </row>
        <row r="58820">
          <cell r="O58820" t="str">
            <v/>
          </cell>
        </row>
        <row r="58821">
          <cell r="O58821" t="str">
            <v/>
          </cell>
        </row>
        <row r="58822">
          <cell r="O58822" t="str">
            <v/>
          </cell>
        </row>
        <row r="58823">
          <cell r="O58823" t="str">
            <v/>
          </cell>
        </row>
        <row r="58824">
          <cell r="O58824" t="str">
            <v/>
          </cell>
        </row>
        <row r="58825">
          <cell r="O58825" t="str">
            <v/>
          </cell>
        </row>
        <row r="58826">
          <cell r="O58826" t="str">
            <v/>
          </cell>
        </row>
        <row r="58827">
          <cell r="O58827" t="str">
            <v/>
          </cell>
        </row>
        <row r="58828">
          <cell r="O58828" t="str">
            <v/>
          </cell>
        </row>
        <row r="58829">
          <cell r="O58829" t="str">
            <v/>
          </cell>
        </row>
        <row r="58830">
          <cell r="O58830" t="str">
            <v/>
          </cell>
        </row>
        <row r="58831">
          <cell r="O58831" t="str">
            <v/>
          </cell>
        </row>
        <row r="58832">
          <cell r="O58832" t="str">
            <v/>
          </cell>
        </row>
        <row r="58833">
          <cell r="O58833" t="str">
            <v/>
          </cell>
        </row>
        <row r="58834">
          <cell r="O58834" t="str">
            <v/>
          </cell>
        </row>
        <row r="58835">
          <cell r="O58835" t="str">
            <v/>
          </cell>
        </row>
        <row r="58836">
          <cell r="O58836" t="str">
            <v/>
          </cell>
        </row>
        <row r="58837">
          <cell r="O58837" t="str">
            <v/>
          </cell>
        </row>
        <row r="58838">
          <cell r="O58838" t="str">
            <v/>
          </cell>
        </row>
        <row r="58839">
          <cell r="O58839" t="str">
            <v/>
          </cell>
        </row>
        <row r="58840">
          <cell r="O58840" t="str">
            <v/>
          </cell>
        </row>
        <row r="58841">
          <cell r="O58841" t="str">
            <v/>
          </cell>
        </row>
        <row r="58842">
          <cell r="O58842" t="str">
            <v/>
          </cell>
        </row>
        <row r="58843">
          <cell r="O58843" t="str">
            <v/>
          </cell>
        </row>
        <row r="58844">
          <cell r="O58844" t="str">
            <v/>
          </cell>
        </row>
        <row r="58845">
          <cell r="O58845" t="str">
            <v/>
          </cell>
        </row>
        <row r="58846">
          <cell r="O58846" t="str">
            <v/>
          </cell>
        </row>
        <row r="58847">
          <cell r="O58847" t="str">
            <v/>
          </cell>
        </row>
        <row r="58848">
          <cell r="O58848" t="str">
            <v/>
          </cell>
        </row>
        <row r="58849">
          <cell r="O58849" t="str">
            <v/>
          </cell>
        </row>
        <row r="58850">
          <cell r="O58850" t="str">
            <v/>
          </cell>
        </row>
        <row r="58851">
          <cell r="O58851" t="str">
            <v/>
          </cell>
        </row>
        <row r="58852">
          <cell r="O58852" t="str">
            <v/>
          </cell>
        </row>
        <row r="58853">
          <cell r="O58853" t="str">
            <v/>
          </cell>
        </row>
        <row r="58854">
          <cell r="O58854" t="str">
            <v/>
          </cell>
        </row>
        <row r="58855">
          <cell r="O58855" t="str">
            <v/>
          </cell>
        </row>
        <row r="58856">
          <cell r="O58856" t="str">
            <v/>
          </cell>
        </row>
        <row r="58857">
          <cell r="O58857" t="str">
            <v/>
          </cell>
        </row>
        <row r="58858">
          <cell r="O58858" t="str">
            <v/>
          </cell>
        </row>
        <row r="58859">
          <cell r="O58859" t="str">
            <v/>
          </cell>
        </row>
        <row r="58860">
          <cell r="O58860" t="str">
            <v/>
          </cell>
        </row>
        <row r="58861">
          <cell r="O58861" t="str">
            <v/>
          </cell>
        </row>
        <row r="58862">
          <cell r="O58862" t="str">
            <v/>
          </cell>
        </row>
        <row r="58863">
          <cell r="O58863" t="str">
            <v/>
          </cell>
        </row>
        <row r="58864">
          <cell r="O58864" t="str">
            <v/>
          </cell>
        </row>
        <row r="58865">
          <cell r="O58865" t="str">
            <v/>
          </cell>
        </row>
        <row r="58866">
          <cell r="O58866" t="str">
            <v/>
          </cell>
        </row>
        <row r="58867">
          <cell r="O58867" t="str">
            <v/>
          </cell>
        </row>
        <row r="58868">
          <cell r="O58868" t="str">
            <v/>
          </cell>
        </row>
        <row r="58869">
          <cell r="O58869" t="str">
            <v/>
          </cell>
        </row>
        <row r="58870">
          <cell r="O58870" t="str">
            <v/>
          </cell>
        </row>
        <row r="58871">
          <cell r="O58871" t="str">
            <v/>
          </cell>
        </row>
        <row r="58872">
          <cell r="O58872" t="str">
            <v/>
          </cell>
        </row>
        <row r="58873">
          <cell r="O58873" t="str">
            <v/>
          </cell>
        </row>
        <row r="58874">
          <cell r="O58874" t="str">
            <v/>
          </cell>
        </row>
        <row r="58875">
          <cell r="O58875" t="str">
            <v/>
          </cell>
        </row>
        <row r="58876">
          <cell r="O58876" t="str">
            <v/>
          </cell>
        </row>
        <row r="58877">
          <cell r="O58877" t="str">
            <v/>
          </cell>
        </row>
        <row r="58878">
          <cell r="O58878" t="str">
            <v/>
          </cell>
        </row>
        <row r="58879">
          <cell r="O58879" t="str">
            <v/>
          </cell>
        </row>
        <row r="58880">
          <cell r="O58880" t="str">
            <v/>
          </cell>
        </row>
        <row r="58881">
          <cell r="O58881" t="str">
            <v/>
          </cell>
        </row>
        <row r="58882">
          <cell r="O58882" t="str">
            <v/>
          </cell>
        </row>
        <row r="58883">
          <cell r="O58883" t="str">
            <v/>
          </cell>
        </row>
        <row r="58884">
          <cell r="O58884" t="str">
            <v/>
          </cell>
        </row>
        <row r="58885">
          <cell r="O58885" t="str">
            <v/>
          </cell>
        </row>
        <row r="58886">
          <cell r="O58886" t="str">
            <v/>
          </cell>
        </row>
        <row r="58887">
          <cell r="O58887" t="str">
            <v/>
          </cell>
        </row>
        <row r="58888">
          <cell r="O58888" t="str">
            <v/>
          </cell>
        </row>
        <row r="58889">
          <cell r="O58889" t="str">
            <v/>
          </cell>
        </row>
        <row r="58890">
          <cell r="O58890" t="str">
            <v/>
          </cell>
        </row>
        <row r="58891">
          <cell r="O58891" t="str">
            <v/>
          </cell>
        </row>
        <row r="58892">
          <cell r="O58892" t="str">
            <v/>
          </cell>
        </row>
        <row r="58893">
          <cell r="O58893" t="str">
            <v/>
          </cell>
        </row>
        <row r="58894">
          <cell r="O58894" t="str">
            <v/>
          </cell>
        </row>
        <row r="58895">
          <cell r="O58895" t="str">
            <v/>
          </cell>
        </row>
        <row r="58896">
          <cell r="O58896" t="str">
            <v/>
          </cell>
        </row>
        <row r="58897">
          <cell r="O58897" t="str">
            <v/>
          </cell>
        </row>
        <row r="58898">
          <cell r="O58898" t="str">
            <v/>
          </cell>
        </row>
        <row r="58899">
          <cell r="O58899" t="str">
            <v/>
          </cell>
        </row>
        <row r="58900">
          <cell r="O58900" t="str">
            <v/>
          </cell>
        </row>
        <row r="58901">
          <cell r="O58901" t="str">
            <v/>
          </cell>
        </row>
        <row r="58902">
          <cell r="O58902" t="str">
            <v/>
          </cell>
        </row>
        <row r="58903">
          <cell r="O58903" t="str">
            <v/>
          </cell>
        </row>
        <row r="58904">
          <cell r="O58904" t="str">
            <v/>
          </cell>
        </row>
        <row r="58905">
          <cell r="O58905" t="str">
            <v/>
          </cell>
        </row>
        <row r="58906">
          <cell r="O58906" t="str">
            <v/>
          </cell>
        </row>
        <row r="58907">
          <cell r="O58907" t="str">
            <v/>
          </cell>
        </row>
        <row r="58908">
          <cell r="O58908" t="str">
            <v/>
          </cell>
        </row>
        <row r="58909">
          <cell r="O58909" t="str">
            <v/>
          </cell>
        </row>
        <row r="58910">
          <cell r="O58910" t="str">
            <v/>
          </cell>
        </row>
        <row r="58911">
          <cell r="O58911" t="str">
            <v/>
          </cell>
        </row>
        <row r="58912">
          <cell r="O58912" t="str">
            <v/>
          </cell>
        </row>
        <row r="58913">
          <cell r="O58913" t="str">
            <v/>
          </cell>
        </row>
        <row r="58914">
          <cell r="O58914" t="str">
            <v/>
          </cell>
        </row>
        <row r="58915">
          <cell r="O58915" t="str">
            <v/>
          </cell>
        </row>
        <row r="58916">
          <cell r="O58916" t="str">
            <v/>
          </cell>
        </row>
        <row r="58917">
          <cell r="O58917" t="str">
            <v/>
          </cell>
        </row>
        <row r="58918">
          <cell r="O58918" t="str">
            <v/>
          </cell>
        </row>
        <row r="58919">
          <cell r="O58919" t="str">
            <v/>
          </cell>
        </row>
        <row r="58920">
          <cell r="O58920" t="str">
            <v/>
          </cell>
        </row>
        <row r="58921">
          <cell r="O58921" t="str">
            <v/>
          </cell>
        </row>
        <row r="58922">
          <cell r="O58922" t="str">
            <v/>
          </cell>
        </row>
        <row r="58923">
          <cell r="O58923" t="str">
            <v/>
          </cell>
        </row>
        <row r="58924">
          <cell r="O58924" t="str">
            <v/>
          </cell>
        </row>
        <row r="58925">
          <cell r="O58925" t="str">
            <v/>
          </cell>
        </row>
        <row r="58926">
          <cell r="O58926" t="str">
            <v/>
          </cell>
        </row>
        <row r="58927">
          <cell r="O58927" t="str">
            <v/>
          </cell>
        </row>
        <row r="58928">
          <cell r="O58928" t="str">
            <v/>
          </cell>
        </row>
        <row r="58929">
          <cell r="O58929" t="str">
            <v/>
          </cell>
        </row>
        <row r="58930">
          <cell r="O58930" t="str">
            <v/>
          </cell>
        </row>
        <row r="58931">
          <cell r="O58931" t="str">
            <v/>
          </cell>
        </row>
        <row r="58932">
          <cell r="O58932" t="str">
            <v/>
          </cell>
        </row>
        <row r="58933">
          <cell r="O58933" t="str">
            <v/>
          </cell>
        </row>
        <row r="58934">
          <cell r="O58934" t="str">
            <v/>
          </cell>
        </row>
        <row r="58935">
          <cell r="O58935" t="str">
            <v/>
          </cell>
        </row>
        <row r="58936">
          <cell r="O58936" t="str">
            <v/>
          </cell>
        </row>
        <row r="58937">
          <cell r="O58937" t="str">
            <v/>
          </cell>
        </row>
        <row r="58938">
          <cell r="O58938" t="str">
            <v/>
          </cell>
        </row>
        <row r="58939">
          <cell r="O58939" t="str">
            <v/>
          </cell>
        </row>
        <row r="58940">
          <cell r="O58940" t="str">
            <v/>
          </cell>
        </row>
        <row r="58941">
          <cell r="O58941" t="str">
            <v/>
          </cell>
        </row>
        <row r="58942">
          <cell r="O58942" t="str">
            <v/>
          </cell>
        </row>
        <row r="58943">
          <cell r="O58943" t="str">
            <v/>
          </cell>
        </row>
        <row r="58944">
          <cell r="O58944" t="str">
            <v/>
          </cell>
        </row>
        <row r="58945">
          <cell r="O58945" t="str">
            <v/>
          </cell>
        </row>
        <row r="58946">
          <cell r="O58946" t="str">
            <v/>
          </cell>
        </row>
        <row r="58947">
          <cell r="O58947" t="str">
            <v/>
          </cell>
        </row>
        <row r="58948">
          <cell r="O58948" t="str">
            <v/>
          </cell>
        </row>
        <row r="58949">
          <cell r="O58949" t="str">
            <v/>
          </cell>
        </row>
        <row r="58950">
          <cell r="O58950" t="str">
            <v/>
          </cell>
        </row>
        <row r="58951">
          <cell r="O58951" t="str">
            <v/>
          </cell>
        </row>
        <row r="58952">
          <cell r="O58952" t="str">
            <v/>
          </cell>
        </row>
        <row r="58953">
          <cell r="O58953" t="str">
            <v/>
          </cell>
        </row>
        <row r="58954">
          <cell r="O58954" t="str">
            <v/>
          </cell>
        </row>
        <row r="58955">
          <cell r="O58955" t="str">
            <v/>
          </cell>
        </row>
        <row r="58956">
          <cell r="O58956" t="str">
            <v/>
          </cell>
        </row>
        <row r="58957">
          <cell r="O58957" t="str">
            <v/>
          </cell>
        </row>
        <row r="58958">
          <cell r="O58958" t="str">
            <v/>
          </cell>
        </row>
        <row r="58959">
          <cell r="O58959" t="str">
            <v/>
          </cell>
        </row>
        <row r="58960">
          <cell r="O58960" t="str">
            <v/>
          </cell>
        </row>
        <row r="58961">
          <cell r="O58961" t="str">
            <v/>
          </cell>
        </row>
        <row r="58962">
          <cell r="O58962" t="str">
            <v/>
          </cell>
        </row>
        <row r="58963">
          <cell r="O58963" t="str">
            <v/>
          </cell>
        </row>
        <row r="58964">
          <cell r="O58964" t="str">
            <v/>
          </cell>
        </row>
        <row r="58965">
          <cell r="O58965" t="str">
            <v/>
          </cell>
        </row>
        <row r="58966">
          <cell r="O58966" t="str">
            <v/>
          </cell>
        </row>
        <row r="58967">
          <cell r="O58967" t="str">
            <v/>
          </cell>
        </row>
        <row r="58968">
          <cell r="O58968" t="str">
            <v/>
          </cell>
        </row>
        <row r="58969">
          <cell r="O58969" t="str">
            <v/>
          </cell>
        </row>
        <row r="58970">
          <cell r="O58970" t="str">
            <v/>
          </cell>
        </row>
        <row r="58971">
          <cell r="O58971" t="str">
            <v/>
          </cell>
        </row>
        <row r="58972">
          <cell r="O58972" t="str">
            <v/>
          </cell>
        </row>
        <row r="58973">
          <cell r="O58973" t="str">
            <v/>
          </cell>
        </row>
        <row r="58974">
          <cell r="O58974" t="str">
            <v/>
          </cell>
        </row>
        <row r="58975">
          <cell r="O58975" t="str">
            <v/>
          </cell>
        </row>
        <row r="58976">
          <cell r="O58976" t="str">
            <v/>
          </cell>
        </row>
        <row r="58977">
          <cell r="O58977" t="str">
            <v/>
          </cell>
        </row>
        <row r="58978">
          <cell r="O58978" t="str">
            <v/>
          </cell>
        </row>
        <row r="58979">
          <cell r="O58979" t="str">
            <v/>
          </cell>
        </row>
        <row r="58980">
          <cell r="O58980" t="str">
            <v/>
          </cell>
        </row>
        <row r="58981">
          <cell r="O58981" t="str">
            <v/>
          </cell>
        </row>
        <row r="58982">
          <cell r="O58982" t="str">
            <v/>
          </cell>
        </row>
        <row r="58983">
          <cell r="O58983" t="str">
            <v/>
          </cell>
        </row>
        <row r="58984">
          <cell r="O58984" t="str">
            <v/>
          </cell>
        </row>
        <row r="58985">
          <cell r="O58985" t="str">
            <v/>
          </cell>
        </row>
        <row r="58986">
          <cell r="O58986" t="str">
            <v/>
          </cell>
        </row>
        <row r="58987">
          <cell r="O58987" t="str">
            <v/>
          </cell>
        </row>
        <row r="58988">
          <cell r="O58988" t="str">
            <v/>
          </cell>
        </row>
        <row r="58989">
          <cell r="O58989" t="str">
            <v/>
          </cell>
        </row>
        <row r="58990">
          <cell r="O58990" t="str">
            <v/>
          </cell>
        </row>
        <row r="58991">
          <cell r="O58991" t="str">
            <v/>
          </cell>
        </row>
        <row r="58992">
          <cell r="O58992" t="str">
            <v/>
          </cell>
        </row>
        <row r="58993">
          <cell r="O58993" t="str">
            <v/>
          </cell>
        </row>
        <row r="58994">
          <cell r="O58994" t="str">
            <v/>
          </cell>
        </row>
        <row r="58995">
          <cell r="O58995" t="str">
            <v/>
          </cell>
        </row>
        <row r="58996">
          <cell r="O58996" t="str">
            <v/>
          </cell>
        </row>
        <row r="58997">
          <cell r="O58997" t="str">
            <v/>
          </cell>
        </row>
        <row r="58998">
          <cell r="O58998" t="str">
            <v/>
          </cell>
        </row>
        <row r="58999">
          <cell r="O58999" t="str">
            <v/>
          </cell>
        </row>
        <row r="59000">
          <cell r="O59000" t="str">
            <v/>
          </cell>
        </row>
        <row r="59001">
          <cell r="O59001" t="str">
            <v/>
          </cell>
        </row>
        <row r="59002">
          <cell r="O59002" t="str">
            <v/>
          </cell>
        </row>
        <row r="59003">
          <cell r="O59003" t="str">
            <v/>
          </cell>
        </row>
        <row r="59004">
          <cell r="O59004" t="str">
            <v/>
          </cell>
        </row>
        <row r="59005">
          <cell r="O59005" t="str">
            <v/>
          </cell>
        </row>
        <row r="59006">
          <cell r="O59006" t="str">
            <v/>
          </cell>
        </row>
        <row r="59007">
          <cell r="O59007" t="str">
            <v/>
          </cell>
        </row>
        <row r="59008">
          <cell r="O59008" t="str">
            <v/>
          </cell>
        </row>
        <row r="59009">
          <cell r="O59009" t="str">
            <v/>
          </cell>
        </row>
        <row r="59010">
          <cell r="O59010" t="str">
            <v/>
          </cell>
        </row>
        <row r="59011">
          <cell r="O59011" t="str">
            <v/>
          </cell>
        </row>
        <row r="59012">
          <cell r="O59012" t="str">
            <v/>
          </cell>
        </row>
        <row r="59013">
          <cell r="O59013" t="str">
            <v/>
          </cell>
        </row>
        <row r="59014">
          <cell r="O59014" t="str">
            <v/>
          </cell>
        </row>
        <row r="59015">
          <cell r="O59015" t="str">
            <v/>
          </cell>
        </row>
        <row r="59016">
          <cell r="O59016" t="str">
            <v/>
          </cell>
        </row>
        <row r="59017">
          <cell r="O59017" t="str">
            <v/>
          </cell>
        </row>
        <row r="59018">
          <cell r="O59018" t="str">
            <v/>
          </cell>
        </row>
        <row r="59019">
          <cell r="O59019" t="str">
            <v/>
          </cell>
        </row>
        <row r="59020">
          <cell r="O59020" t="str">
            <v/>
          </cell>
        </row>
        <row r="59021">
          <cell r="O59021" t="str">
            <v/>
          </cell>
        </row>
        <row r="59022">
          <cell r="O59022" t="str">
            <v/>
          </cell>
        </row>
        <row r="59023">
          <cell r="O59023" t="str">
            <v/>
          </cell>
        </row>
        <row r="59024">
          <cell r="O59024" t="str">
            <v/>
          </cell>
        </row>
        <row r="59025">
          <cell r="O59025" t="str">
            <v/>
          </cell>
        </row>
        <row r="59026">
          <cell r="O59026" t="str">
            <v/>
          </cell>
        </row>
        <row r="59027">
          <cell r="O59027" t="str">
            <v/>
          </cell>
        </row>
        <row r="59028">
          <cell r="O59028" t="str">
            <v/>
          </cell>
        </row>
        <row r="59029">
          <cell r="O59029" t="str">
            <v/>
          </cell>
        </row>
        <row r="59030">
          <cell r="O59030" t="str">
            <v/>
          </cell>
        </row>
        <row r="59031">
          <cell r="O59031" t="str">
            <v/>
          </cell>
        </row>
        <row r="59032">
          <cell r="O59032" t="str">
            <v/>
          </cell>
        </row>
        <row r="59033">
          <cell r="O59033" t="str">
            <v/>
          </cell>
        </row>
        <row r="59034">
          <cell r="O59034" t="str">
            <v/>
          </cell>
        </row>
        <row r="59035">
          <cell r="O59035" t="str">
            <v/>
          </cell>
        </row>
        <row r="59036">
          <cell r="O59036" t="str">
            <v/>
          </cell>
        </row>
        <row r="59037">
          <cell r="O59037" t="str">
            <v/>
          </cell>
        </row>
        <row r="59038">
          <cell r="O59038" t="str">
            <v/>
          </cell>
        </row>
        <row r="59039">
          <cell r="O59039" t="str">
            <v/>
          </cell>
        </row>
        <row r="59040">
          <cell r="O59040" t="str">
            <v/>
          </cell>
        </row>
        <row r="59041">
          <cell r="O59041" t="str">
            <v/>
          </cell>
        </row>
        <row r="59042">
          <cell r="O59042" t="str">
            <v/>
          </cell>
        </row>
        <row r="59043">
          <cell r="O59043" t="str">
            <v/>
          </cell>
        </row>
        <row r="59044">
          <cell r="O59044" t="str">
            <v/>
          </cell>
        </row>
        <row r="59045">
          <cell r="O59045" t="str">
            <v/>
          </cell>
        </row>
        <row r="59046">
          <cell r="O59046" t="str">
            <v/>
          </cell>
        </row>
        <row r="59047">
          <cell r="O59047" t="str">
            <v/>
          </cell>
        </row>
        <row r="59048">
          <cell r="O59048" t="str">
            <v/>
          </cell>
        </row>
        <row r="59049">
          <cell r="O59049" t="str">
            <v/>
          </cell>
        </row>
        <row r="59050">
          <cell r="O59050" t="str">
            <v/>
          </cell>
        </row>
        <row r="59051">
          <cell r="O59051" t="str">
            <v/>
          </cell>
        </row>
        <row r="59052">
          <cell r="O59052" t="str">
            <v/>
          </cell>
        </row>
        <row r="59053">
          <cell r="O59053" t="str">
            <v/>
          </cell>
        </row>
        <row r="59054">
          <cell r="O59054" t="str">
            <v/>
          </cell>
        </row>
        <row r="59055">
          <cell r="O59055" t="str">
            <v/>
          </cell>
        </row>
        <row r="59056">
          <cell r="O59056" t="str">
            <v/>
          </cell>
        </row>
        <row r="59057">
          <cell r="O59057" t="str">
            <v/>
          </cell>
        </row>
        <row r="59058">
          <cell r="O59058" t="str">
            <v/>
          </cell>
        </row>
        <row r="59059">
          <cell r="O59059" t="str">
            <v/>
          </cell>
        </row>
        <row r="59060">
          <cell r="O59060" t="str">
            <v/>
          </cell>
        </row>
        <row r="59061">
          <cell r="O59061" t="str">
            <v/>
          </cell>
        </row>
        <row r="59062">
          <cell r="O59062" t="str">
            <v/>
          </cell>
        </row>
        <row r="59063">
          <cell r="O59063" t="str">
            <v/>
          </cell>
        </row>
        <row r="59064">
          <cell r="O59064" t="str">
            <v/>
          </cell>
        </row>
        <row r="59065">
          <cell r="O59065" t="str">
            <v/>
          </cell>
        </row>
        <row r="59066">
          <cell r="O59066" t="str">
            <v/>
          </cell>
        </row>
        <row r="59067">
          <cell r="O59067" t="str">
            <v/>
          </cell>
        </row>
        <row r="59068">
          <cell r="O59068" t="str">
            <v/>
          </cell>
        </row>
        <row r="59069">
          <cell r="O59069" t="str">
            <v/>
          </cell>
        </row>
        <row r="59070">
          <cell r="O59070" t="str">
            <v/>
          </cell>
        </row>
        <row r="59071">
          <cell r="O59071" t="str">
            <v/>
          </cell>
        </row>
        <row r="59072">
          <cell r="O59072" t="str">
            <v/>
          </cell>
        </row>
        <row r="59073">
          <cell r="O59073" t="str">
            <v/>
          </cell>
        </row>
        <row r="59074">
          <cell r="O59074" t="str">
            <v/>
          </cell>
        </row>
        <row r="59075">
          <cell r="O59075" t="str">
            <v/>
          </cell>
        </row>
        <row r="59076">
          <cell r="O59076" t="str">
            <v/>
          </cell>
        </row>
        <row r="59077">
          <cell r="O59077" t="str">
            <v/>
          </cell>
        </row>
        <row r="59078">
          <cell r="O59078" t="str">
            <v/>
          </cell>
        </row>
        <row r="59079">
          <cell r="O59079" t="str">
            <v/>
          </cell>
        </row>
        <row r="59080">
          <cell r="O59080" t="str">
            <v/>
          </cell>
        </row>
        <row r="59081">
          <cell r="O59081" t="str">
            <v/>
          </cell>
        </row>
        <row r="59082">
          <cell r="O59082" t="str">
            <v/>
          </cell>
        </row>
        <row r="59083">
          <cell r="O59083" t="str">
            <v/>
          </cell>
        </row>
        <row r="59084">
          <cell r="O59084" t="str">
            <v/>
          </cell>
        </row>
        <row r="59085">
          <cell r="O59085" t="str">
            <v/>
          </cell>
        </row>
        <row r="59086">
          <cell r="O59086" t="str">
            <v/>
          </cell>
        </row>
        <row r="59087">
          <cell r="O59087" t="str">
            <v/>
          </cell>
        </row>
        <row r="59088">
          <cell r="O59088" t="str">
            <v/>
          </cell>
        </row>
        <row r="59089">
          <cell r="O59089" t="str">
            <v/>
          </cell>
        </row>
        <row r="59090">
          <cell r="O59090" t="str">
            <v/>
          </cell>
        </row>
        <row r="59091">
          <cell r="O59091" t="str">
            <v/>
          </cell>
        </row>
        <row r="59092">
          <cell r="O59092" t="str">
            <v/>
          </cell>
        </row>
        <row r="59093">
          <cell r="O59093" t="str">
            <v/>
          </cell>
        </row>
        <row r="59094">
          <cell r="O59094" t="str">
            <v/>
          </cell>
        </row>
        <row r="59095">
          <cell r="O59095" t="str">
            <v/>
          </cell>
        </row>
        <row r="59096">
          <cell r="O59096" t="str">
            <v/>
          </cell>
        </row>
        <row r="59097">
          <cell r="O59097" t="str">
            <v/>
          </cell>
        </row>
        <row r="59098">
          <cell r="O59098" t="str">
            <v/>
          </cell>
        </row>
        <row r="59099">
          <cell r="O59099" t="str">
            <v/>
          </cell>
        </row>
        <row r="59100">
          <cell r="O59100" t="str">
            <v/>
          </cell>
        </row>
        <row r="59101">
          <cell r="O59101" t="str">
            <v/>
          </cell>
        </row>
        <row r="59102">
          <cell r="O59102" t="str">
            <v/>
          </cell>
        </row>
        <row r="59103">
          <cell r="O59103" t="str">
            <v/>
          </cell>
        </row>
        <row r="59104">
          <cell r="O59104" t="str">
            <v/>
          </cell>
        </row>
        <row r="59105">
          <cell r="O59105" t="str">
            <v/>
          </cell>
        </row>
        <row r="59106">
          <cell r="O59106" t="str">
            <v/>
          </cell>
        </row>
        <row r="59107">
          <cell r="O59107" t="str">
            <v/>
          </cell>
        </row>
        <row r="59108">
          <cell r="O59108" t="str">
            <v/>
          </cell>
        </row>
        <row r="59109">
          <cell r="O59109" t="str">
            <v/>
          </cell>
        </row>
        <row r="59110">
          <cell r="O59110" t="str">
            <v/>
          </cell>
        </row>
        <row r="59111">
          <cell r="O59111" t="str">
            <v/>
          </cell>
        </row>
        <row r="59112">
          <cell r="O59112" t="str">
            <v/>
          </cell>
        </row>
        <row r="59113">
          <cell r="O59113" t="str">
            <v/>
          </cell>
        </row>
        <row r="59114">
          <cell r="O59114" t="str">
            <v/>
          </cell>
        </row>
        <row r="59115">
          <cell r="O59115" t="str">
            <v/>
          </cell>
        </row>
        <row r="59116">
          <cell r="O59116" t="str">
            <v/>
          </cell>
        </row>
        <row r="59117">
          <cell r="O59117" t="str">
            <v/>
          </cell>
        </row>
        <row r="59118">
          <cell r="O59118" t="str">
            <v/>
          </cell>
        </row>
        <row r="59119">
          <cell r="O59119" t="str">
            <v/>
          </cell>
        </row>
        <row r="59120">
          <cell r="O59120" t="str">
            <v/>
          </cell>
        </row>
        <row r="59121">
          <cell r="O59121" t="str">
            <v/>
          </cell>
        </row>
        <row r="59122">
          <cell r="O59122" t="str">
            <v/>
          </cell>
        </row>
        <row r="59123">
          <cell r="O59123" t="str">
            <v/>
          </cell>
        </row>
        <row r="59124">
          <cell r="O59124" t="str">
            <v/>
          </cell>
        </row>
        <row r="59125">
          <cell r="O59125" t="str">
            <v/>
          </cell>
        </row>
        <row r="59126">
          <cell r="O59126" t="str">
            <v/>
          </cell>
        </row>
        <row r="59127">
          <cell r="O59127" t="str">
            <v/>
          </cell>
        </row>
        <row r="59128">
          <cell r="O59128" t="str">
            <v/>
          </cell>
        </row>
        <row r="59129">
          <cell r="O59129" t="str">
            <v/>
          </cell>
        </row>
        <row r="59130">
          <cell r="O59130" t="str">
            <v/>
          </cell>
        </row>
        <row r="59131">
          <cell r="O59131" t="str">
            <v/>
          </cell>
        </row>
        <row r="59132">
          <cell r="O59132" t="str">
            <v/>
          </cell>
        </row>
        <row r="59133">
          <cell r="O59133" t="str">
            <v/>
          </cell>
        </row>
        <row r="59134">
          <cell r="O59134" t="str">
            <v/>
          </cell>
        </row>
        <row r="59135">
          <cell r="O59135" t="str">
            <v/>
          </cell>
        </row>
        <row r="59136">
          <cell r="O59136" t="str">
            <v/>
          </cell>
        </row>
        <row r="59137">
          <cell r="O59137" t="str">
            <v/>
          </cell>
        </row>
        <row r="59138">
          <cell r="O59138" t="str">
            <v/>
          </cell>
        </row>
        <row r="59139">
          <cell r="O59139" t="str">
            <v/>
          </cell>
        </row>
        <row r="59140">
          <cell r="O59140" t="str">
            <v/>
          </cell>
        </row>
        <row r="59141">
          <cell r="O59141" t="str">
            <v/>
          </cell>
        </row>
        <row r="59142">
          <cell r="O59142" t="str">
            <v/>
          </cell>
        </row>
        <row r="59143">
          <cell r="O59143" t="str">
            <v/>
          </cell>
        </row>
        <row r="59144">
          <cell r="O59144" t="str">
            <v/>
          </cell>
        </row>
        <row r="59145">
          <cell r="O59145" t="str">
            <v/>
          </cell>
        </row>
        <row r="59146">
          <cell r="O59146" t="str">
            <v/>
          </cell>
        </row>
        <row r="59147">
          <cell r="O59147" t="str">
            <v/>
          </cell>
        </row>
        <row r="59148">
          <cell r="O59148" t="str">
            <v/>
          </cell>
        </row>
        <row r="59149">
          <cell r="O59149" t="str">
            <v/>
          </cell>
        </row>
        <row r="59150">
          <cell r="O59150" t="str">
            <v/>
          </cell>
        </row>
        <row r="59151">
          <cell r="O59151" t="str">
            <v/>
          </cell>
        </row>
        <row r="59152">
          <cell r="O59152" t="str">
            <v/>
          </cell>
        </row>
        <row r="59153">
          <cell r="O59153" t="str">
            <v/>
          </cell>
        </row>
        <row r="59154">
          <cell r="O59154" t="str">
            <v/>
          </cell>
        </row>
        <row r="59155">
          <cell r="O59155" t="str">
            <v/>
          </cell>
        </row>
        <row r="59156">
          <cell r="O59156" t="str">
            <v/>
          </cell>
        </row>
        <row r="59157">
          <cell r="O59157" t="str">
            <v/>
          </cell>
        </row>
        <row r="59158">
          <cell r="O59158" t="str">
            <v/>
          </cell>
        </row>
        <row r="59159">
          <cell r="O59159" t="str">
            <v/>
          </cell>
        </row>
        <row r="59160">
          <cell r="O59160" t="str">
            <v/>
          </cell>
        </row>
        <row r="59161">
          <cell r="O59161" t="str">
            <v/>
          </cell>
        </row>
        <row r="59162">
          <cell r="O59162" t="str">
            <v/>
          </cell>
        </row>
        <row r="59163">
          <cell r="O59163" t="str">
            <v/>
          </cell>
        </row>
        <row r="59164">
          <cell r="O59164" t="str">
            <v/>
          </cell>
        </row>
        <row r="59165">
          <cell r="O59165" t="str">
            <v/>
          </cell>
        </row>
        <row r="59166">
          <cell r="O59166" t="str">
            <v/>
          </cell>
        </row>
        <row r="59167">
          <cell r="O59167" t="str">
            <v/>
          </cell>
        </row>
        <row r="59168">
          <cell r="O59168" t="str">
            <v/>
          </cell>
        </row>
        <row r="59169">
          <cell r="O59169" t="str">
            <v/>
          </cell>
        </row>
        <row r="59170">
          <cell r="O59170" t="str">
            <v/>
          </cell>
        </row>
        <row r="59171">
          <cell r="O59171" t="str">
            <v/>
          </cell>
        </row>
        <row r="59172">
          <cell r="O59172" t="str">
            <v/>
          </cell>
        </row>
        <row r="59173">
          <cell r="O59173" t="str">
            <v/>
          </cell>
        </row>
        <row r="59174">
          <cell r="O59174" t="str">
            <v/>
          </cell>
        </row>
        <row r="59175">
          <cell r="O59175" t="str">
            <v/>
          </cell>
        </row>
        <row r="59176">
          <cell r="O59176" t="str">
            <v/>
          </cell>
        </row>
        <row r="59177">
          <cell r="O59177" t="str">
            <v/>
          </cell>
        </row>
        <row r="59178">
          <cell r="O59178" t="str">
            <v/>
          </cell>
        </row>
        <row r="59179">
          <cell r="O59179" t="str">
            <v/>
          </cell>
        </row>
        <row r="59180">
          <cell r="O59180" t="str">
            <v/>
          </cell>
        </row>
        <row r="59181">
          <cell r="O59181" t="str">
            <v/>
          </cell>
        </row>
        <row r="59182">
          <cell r="O59182" t="str">
            <v/>
          </cell>
        </row>
        <row r="59183">
          <cell r="O59183" t="str">
            <v/>
          </cell>
        </row>
        <row r="59184">
          <cell r="O59184" t="str">
            <v/>
          </cell>
        </row>
        <row r="59185">
          <cell r="O59185" t="str">
            <v/>
          </cell>
        </row>
        <row r="59186">
          <cell r="O59186" t="str">
            <v/>
          </cell>
        </row>
        <row r="59187">
          <cell r="O59187" t="str">
            <v/>
          </cell>
        </row>
        <row r="59188">
          <cell r="O59188" t="str">
            <v/>
          </cell>
        </row>
        <row r="59189">
          <cell r="O59189" t="str">
            <v/>
          </cell>
        </row>
        <row r="59190">
          <cell r="O59190" t="str">
            <v/>
          </cell>
        </row>
        <row r="59191">
          <cell r="O59191" t="str">
            <v/>
          </cell>
        </row>
        <row r="59192">
          <cell r="O59192" t="str">
            <v/>
          </cell>
        </row>
        <row r="59193">
          <cell r="O59193" t="str">
            <v/>
          </cell>
        </row>
        <row r="59194">
          <cell r="O59194" t="str">
            <v/>
          </cell>
        </row>
        <row r="59195">
          <cell r="O59195" t="str">
            <v/>
          </cell>
        </row>
        <row r="59196">
          <cell r="O59196" t="str">
            <v/>
          </cell>
        </row>
        <row r="59197">
          <cell r="O59197" t="str">
            <v/>
          </cell>
        </row>
        <row r="59198">
          <cell r="O59198" t="str">
            <v/>
          </cell>
        </row>
        <row r="59199">
          <cell r="O59199" t="str">
            <v/>
          </cell>
        </row>
        <row r="59200">
          <cell r="O59200" t="str">
            <v/>
          </cell>
        </row>
        <row r="59201">
          <cell r="O59201" t="str">
            <v/>
          </cell>
        </row>
        <row r="59202">
          <cell r="O59202" t="str">
            <v/>
          </cell>
        </row>
        <row r="59203">
          <cell r="O59203" t="str">
            <v/>
          </cell>
        </row>
        <row r="59204">
          <cell r="O59204" t="str">
            <v/>
          </cell>
        </row>
        <row r="59205">
          <cell r="O59205" t="str">
            <v/>
          </cell>
        </row>
        <row r="59206">
          <cell r="O59206" t="str">
            <v/>
          </cell>
        </row>
        <row r="59207">
          <cell r="O59207" t="str">
            <v/>
          </cell>
        </row>
        <row r="59208">
          <cell r="O59208" t="str">
            <v/>
          </cell>
        </row>
        <row r="59209">
          <cell r="O59209" t="str">
            <v/>
          </cell>
        </row>
        <row r="59210">
          <cell r="O59210" t="str">
            <v/>
          </cell>
        </row>
        <row r="59211">
          <cell r="O59211" t="str">
            <v/>
          </cell>
        </row>
        <row r="59212">
          <cell r="O59212" t="str">
            <v/>
          </cell>
        </row>
        <row r="59213">
          <cell r="O59213" t="str">
            <v/>
          </cell>
        </row>
        <row r="59214">
          <cell r="O59214" t="str">
            <v/>
          </cell>
        </row>
        <row r="59215">
          <cell r="O59215" t="str">
            <v/>
          </cell>
        </row>
        <row r="59216">
          <cell r="O59216" t="str">
            <v/>
          </cell>
        </row>
        <row r="59217">
          <cell r="O59217" t="str">
            <v/>
          </cell>
        </row>
        <row r="59218">
          <cell r="O59218" t="str">
            <v/>
          </cell>
        </row>
        <row r="59219">
          <cell r="O59219" t="str">
            <v/>
          </cell>
        </row>
        <row r="59220">
          <cell r="O59220" t="str">
            <v/>
          </cell>
        </row>
        <row r="59221">
          <cell r="O59221" t="str">
            <v/>
          </cell>
        </row>
        <row r="59222">
          <cell r="O59222" t="str">
            <v/>
          </cell>
        </row>
        <row r="59223">
          <cell r="O59223" t="str">
            <v/>
          </cell>
        </row>
        <row r="59224">
          <cell r="O59224" t="str">
            <v/>
          </cell>
        </row>
        <row r="59225">
          <cell r="O59225" t="str">
            <v/>
          </cell>
        </row>
        <row r="59226">
          <cell r="O59226" t="str">
            <v/>
          </cell>
        </row>
        <row r="59227">
          <cell r="O59227" t="str">
            <v/>
          </cell>
        </row>
        <row r="59228">
          <cell r="O59228" t="str">
            <v/>
          </cell>
        </row>
        <row r="59229">
          <cell r="O59229" t="str">
            <v/>
          </cell>
        </row>
        <row r="59230">
          <cell r="O59230" t="str">
            <v/>
          </cell>
        </row>
        <row r="59231">
          <cell r="O59231" t="str">
            <v/>
          </cell>
        </row>
        <row r="59232">
          <cell r="O59232" t="str">
            <v/>
          </cell>
        </row>
        <row r="59233">
          <cell r="O59233" t="str">
            <v/>
          </cell>
        </row>
        <row r="59234">
          <cell r="O59234" t="str">
            <v/>
          </cell>
        </row>
        <row r="59235">
          <cell r="O59235" t="str">
            <v/>
          </cell>
        </row>
        <row r="59236">
          <cell r="O59236" t="str">
            <v/>
          </cell>
        </row>
        <row r="59237">
          <cell r="O59237" t="str">
            <v/>
          </cell>
        </row>
        <row r="59238">
          <cell r="O59238" t="str">
            <v/>
          </cell>
        </row>
        <row r="59239">
          <cell r="O59239" t="str">
            <v/>
          </cell>
        </row>
        <row r="59240">
          <cell r="O59240" t="str">
            <v/>
          </cell>
        </row>
        <row r="59241">
          <cell r="O59241" t="str">
            <v/>
          </cell>
        </row>
        <row r="59242">
          <cell r="O59242" t="str">
            <v/>
          </cell>
        </row>
        <row r="59243">
          <cell r="O59243" t="str">
            <v/>
          </cell>
        </row>
        <row r="59244">
          <cell r="O59244" t="str">
            <v/>
          </cell>
        </row>
        <row r="59245">
          <cell r="O59245" t="str">
            <v/>
          </cell>
        </row>
        <row r="59246">
          <cell r="O59246" t="str">
            <v/>
          </cell>
        </row>
        <row r="59247">
          <cell r="O59247" t="str">
            <v/>
          </cell>
        </row>
        <row r="59248">
          <cell r="O59248" t="str">
            <v/>
          </cell>
        </row>
        <row r="59249">
          <cell r="O59249" t="str">
            <v/>
          </cell>
        </row>
        <row r="59250">
          <cell r="O59250" t="str">
            <v/>
          </cell>
        </row>
        <row r="59251">
          <cell r="O59251" t="str">
            <v/>
          </cell>
        </row>
        <row r="59252">
          <cell r="O59252" t="str">
            <v/>
          </cell>
        </row>
        <row r="59253">
          <cell r="O59253" t="str">
            <v/>
          </cell>
        </row>
        <row r="59254">
          <cell r="O59254" t="str">
            <v/>
          </cell>
        </row>
        <row r="59255">
          <cell r="O59255" t="str">
            <v/>
          </cell>
        </row>
        <row r="59256">
          <cell r="O59256" t="str">
            <v/>
          </cell>
        </row>
        <row r="59257">
          <cell r="O59257" t="str">
            <v/>
          </cell>
        </row>
        <row r="59258">
          <cell r="O59258" t="str">
            <v/>
          </cell>
        </row>
        <row r="59259">
          <cell r="O59259" t="str">
            <v/>
          </cell>
        </row>
        <row r="59260">
          <cell r="O59260" t="str">
            <v/>
          </cell>
        </row>
        <row r="59261">
          <cell r="O59261" t="str">
            <v/>
          </cell>
        </row>
        <row r="59262">
          <cell r="O59262" t="str">
            <v/>
          </cell>
        </row>
        <row r="59263">
          <cell r="O59263" t="str">
            <v/>
          </cell>
        </row>
        <row r="59264">
          <cell r="O59264" t="str">
            <v/>
          </cell>
        </row>
        <row r="59265">
          <cell r="O59265" t="str">
            <v/>
          </cell>
        </row>
        <row r="59266">
          <cell r="O59266" t="str">
            <v/>
          </cell>
        </row>
        <row r="59267">
          <cell r="O59267" t="str">
            <v/>
          </cell>
        </row>
        <row r="59268">
          <cell r="O59268" t="str">
            <v/>
          </cell>
        </row>
        <row r="59269">
          <cell r="O59269" t="str">
            <v/>
          </cell>
        </row>
        <row r="59270">
          <cell r="O59270" t="str">
            <v/>
          </cell>
        </row>
        <row r="59271">
          <cell r="O59271" t="str">
            <v/>
          </cell>
        </row>
        <row r="59272">
          <cell r="O59272" t="str">
            <v/>
          </cell>
        </row>
        <row r="59273">
          <cell r="O59273" t="str">
            <v/>
          </cell>
        </row>
        <row r="59274">
          <cell r="O59274" t="str">
            <v/>
          </cell>
        </row>
        <row r="59275">
          <cell r="O59275" t="str">
            <v/>
          </cell>
        </row>
        <row r="59276">
          <cell r="O59276" t="str">
            <v/>
          </cell>
        </row>
        <row r="59277">
          <cell r="O59277" t="str">
            <v/>
          </cell>
        </row>
        <row r="59278">
          <cell r="O59278" t="str">
            <v/>
          </cell>
        </row>
        <row r="59279">
          <cell r="O59279" t="str">
            <v/>
          </cell>
        </row>
        <row r="59280">
          <cell r="O59280" t="str">
            <v/>
          </cell>
        </row>
        <row r="59281">
          <cell r="O59281" t="str">
            <v/>
          </cell>
        </row>
        <row r="59282">
          <cell r="O59282" t="str">
            <v/>
          </cell>
        </row>
        <row r="59283">
          <cell r="O59283" t="str">
            <v/>
          </cell>
        </row>
        <row r="59284">
          <cell r="O59284" t="str">
            <v/>
          </cell>
        </row>
        <row r="59285">
          <cell r="O59285" t="str">
            <v/>
          </cell>
        </row>
        <row r="59286">
          <cell r="O59286" t="str">
            <v/>
          </cell>
        </row>
        <row r="59287">
          <cell r="O59287" t="str">
            <v/>
          </cell>
        </row>
        <row r="59288">
          <cell r="O59288" t="str">
            <v/>
          </cell>
        </row>
        <row r="59289">
          <cell r="O59289" t="str">
            <v/>
          </cell>
        </row>
        <row r="59290">
          <cell r="O59290" t="str">
            <v/>
          </cell>
        </row>
        <row r="59291">
          <cell r="O59291" t="str">
            <v/>
          </cell>
        </row>
        <row r="59292">
          <cell r="O59292" t="str">
            <v/>
          </cell>
        </row>
        <row r="59293">
          <cell r="O59293" t="str">
            <v/>
          </cell>
        </row>
        <row r="59294">
          <cell r="O59294" t="str">
            <v/>
          </cell>
        </row>
        <row r="59295">
          <cell r="O59295" t="str">
            <v/>
          </cell>
        </row>
        <row r="59296">
          <cell r="O59296" t="str">
            <v/>
          </cell>
        </row>
        <row r="59297">
          <cell r="O59297" t="str">
            <v/>
          </cell>
        </row>
        <row r="59298">
          <cell r="O59298" t="str">
            <v/>
          </cell>
        </row>
        <row r="59299">
          <cell r="O59299" t="str">
            <v/>
          </cell>
        </row>
        <row r="59300">
          <cell r="O59300" t="str">
            <v/>
          </cell>
        </row>
        <row r="59301">
          <cell r="O59301" t="str">
            <v/>
          </cell>
        </row>
        <row r="59302">
          <cell r="O59302" t="str">
            <v/>
          </cell>
        </row>
        <row r="59303">
          <cell r="O59303" t="str">
            <v/>
          </cell>
        </row>
        <row r="59304">
          <cell r="O59304" t="str">
            <v/>
          </cell>
        </row>
        <row r="59305">
          <cell r="O59305" t="str">
            <v/>
          </cell>
        </row>
        <row r="59306">
          <cell r="O59306" t="str">
            <v/>
          </cell>
        </row>
        <row r="59307">
          <cell r="O59307" t="str">
            <v/>
          </cell>
        </row>
        <row r="59308">
          <cell r="O59308" t="str">
            <v/>
          </cell>
        </row>
        <row r="59309">
          <cell r="O59309" t="str">
            <v/>
          </cell>
        </row>
        <row r="59310">
          <cell r="O59310" t="str">
            <v/>
          </cell>
        </row>
        <row r="59311">
          <cell r="O59311" t="str">
            <v/>
          </cell>
        </row>
        <row r="59312">
          <cell r="O59312" t="str">
            <v/>
          </cell>
        </row>
        <row r="59313">
          <cell r="O59313" t="str">
            <v/>
          </cell>
        </row>
        <row r="59314">
          <cell r="O59314" t="str">
            <v/>
          </cell>
        </row>
        <row r="59315">
          <cell r="O59315" t="str">
            <v/>
          </cell>
        </row>
        <row r="59316">
          <cell r="O59316" t="str">
            <v/>
          </cell>
        </row>
        <row r="59317">
          <cell r="O59317" t="str">
            <v/>
          </cell>
        </row>
        <row r="59318">
          <cell r="O59318" t="str">
            <v/>
          </cell>
        </row>
        <row r="59319">
          <cell r="O59319" t="str">
            <v/>
          </cell>
        </row>
        <row r="59320">
          <cell r="O59320" t="str">
            <v/>
          </cell>
        </row>
        <row r="59321">
          <cell r="O59321" t="str">
            <v/>
          </cell>
        </row>
        <row r="59322">
          <cell r="O59322" t="str">
            <v/>
          </cell>
        </row>
        <row r="59323">
          <cell r="O59323" t="str">
            <v/>
          </cell>
        </row>
        <row r="59324">
          <cell r="O59324" t="str">
            <v/>
          </cell>
        </row>
        <row r="59325">
          <cell r="O59325" t="str">
            <v/>
          </cell>
        </row>
        <row r="59326">
          <cell r="O59326" t="str">
            <v/>
          </cell>
        </row>
        <row r="59327">
          <cell r="O59327" t="str">
            <v/>
          </cell>
        </row>
        <row r="59328">
          <cell r="O59328" t="str">
            <v/>
          </cell>
        </row>
        <row r="59329">
          <cell r="O59329" t="str">
            <v/>
          </cell>
        </row>
        <row r="59330">
          <cell r="O59330" t="str">
            <v/>
          </cell>
        </row>
        <row r="59331">
          <cell r="O59331" t="str">
            <v/>
          </cell>
        </row>
        <row r="59332">
          <cell r="O59332" t="str">
            <v/>
          </cell>
        </row>
        <row r="59333">
          <cell r="O59333" t="str">
            <v/>
          </cell>
        </row>
        <row r="59334">
          <cell r="O59334" t="str">
            <v/>
          </cell>
        </row>
        <row r="59335">
          <cell r="O59335" t="str">
            <v/>
          </cell>
        </row>
        <row r="59336">
          <cell r="O59336" t="str">
            <v/>
          </cell>
        </row>
        <row r="59337">
          <cell r="O59337" t="str">
            <v/>
          </cell>
        </row>
        <row r="59338">
          <cell r="O59338" t="str">
            <v/>
          </cell>
        </row>
        <row r="59339">
          <cell r="O59339" t="str">
            <v/>
          </cell>
        </row>
        <row r="59340">
          <cell r="O59340" t="str">
            <v/>
          </cell>
        </row>
        <row r="59341">
          <cell r="O59341" t="str">
            <v/>
          </cell>
        </row>
        <row r="59342">
          <cell r="O59342" t="str">
            <v/>
          </cell>
        </row>
        <row r="59343">
          <cell r="O59343" t="str">
            <v/>
          </cell>
        </row>
        <row r="59344">
          <cell r="O59344" t="str">
            <v/>
          </cell>
        </row>
        <row r="59345">
          <cell r="O59345" t="str">
            <v/>
          </cell>
        </row>
        <row r="59346">
          <cell r="O59346" t="str">
            <v/>
          </cell>
        </row>
        <row r="59347">
          <cell r="O59347" t="str">
            <v/>
          </cell>
        </row>
        <row r="59348">
          <cell r="O59348" t="str">
            <v/>
          </cell>
        </row>
        <row r="59349">
          <cell r="O59349" t="str">
            <v/>
          </cell>
        </row>
        <row r="59350">
          <cell r="O59350" t="str">
            <v/>
          </cell>
        </row>
        <row r="59351">
          <cell r="O59351" t="str">
            <v/>
          </cell>
        </row>
        <row r="59352">
          <cell r="O59352" t="str">
            <v/>
          </cell>
        </row>
        <row r="59353">
          <cell r="O59353" t="str">
            <v/>
          </cell>
        </row>
        <row r="59354">
          <cell r="O59354" t="str">
            <v/>
          </cell>
        </row>
        <row r="59355">
          <cell r="O59355" t="str">
            <v/>
          </cell>
        </row>
        <row r="59356">
          <cell r="O59356" t="str">
            <v/>
          </cell>
        </row>
        <row r="59357">
          <cell r="O59357" t="str">
            <v/>
          </cell>
        </row>
        <row r="59358">
          <cell r="O59358" t="str">
            <v/>
          </cell>
        </row>
        <row r="59359">
          <cell r="O59359" t="str">
            <v/>
          </cell>
        </row>
        <row r="59360">
          <cell r="O59360" t="str">
            <v/>
          </cell>
        </row>
        <row r="59361">
          <cell r="O59361" t="str">
            <v/>
          </cell>
        </row>
        <row r="59362">
          <cell r="O59362" t="str">
            <v/>
          </cell>
        </row>
        <row r="59363">
          <cell r="O59363" t="str">
            <v/>
          </cell>
        </row>
        <row r="59364">
          <cell r="O59364" t="str">
            <v/>
          </cell>
        </row>
        <row r="59365">
          <cell r="O59365" t="str">
            <v/>
          </cell>
        </row>
        <row r="59366">
          <cell r="O59366" t="str">
            <v/>
          </cell>
        </row>
        <row r="59367">
          <cell r="O59367" t="str">
            <v/>
          </cell>
        </row>
        <row r="59368">
          <cell r="O59368" t="str">
            <v/>
          </cell>
        </row>
        <row r="59369">
          <cell r="O59369" t="str">
            <v/>
          </cell>
        </row>
        <row r="59370">
          <cell r="O59370" t="str">
            <v/>
          </cell>
        </row>
        <row r="59371">
          <cell r="O59371" t="str">
            <v/>
          </cell>
        </row>
        <row r="59372">
          <cell r="O59372" t="str">
            <v/>
          </cell>
        </row>
        <row r="59373">
          <cell r="O59373" t="str">
            <v/>
          </cell>
        </row>
        <row r="59374">
          <cell r="O59374" t="str">
            <v/>
          </cell>
        </row>
        <row r="59375">
          <cell r="O59375" t="str">
            <v/>
          </cell>
        </row>
        <row r="59376">
          <cell r="O59376" t="str">
            <v/>
          </cell>
        </row>
        <row r="59377">
          <cell r="O59377" t="str">
            <v/>
          </cell>
        </row>
        <row r="59378">
          <cell r="O59378" t="str">
            <v/>
          </cell>
        </row>
        <row r="59379">
          <cell r="O59379" t="str">
            <v/>
          </cell>
        </row>
        <row r="59380">
          <cell r="O59380" t="str">
            <v/>
          </cell>
        </row>
        <row r="59381">
          <cell r="O59381" t="str">
            <v/>
          </cell>
        </row>
        <row r="59382">
          <cell r="O59382" t="str">
            <v/>
          </cell>
        </row>
        <row r="59383">
          <cell r="O59383" t="str">
            <v/>
          </cell>
        </row>
        <row r="59384">
          <cell r="O59384" t="str">
            <v/>
          </cell>
        </row>
        <row r="59385">
          <cell r="O59385" t="str">
            <v/>
          </cell>
        </row>
        <row r="59386">
          <cell r="O59386" t="str">
            <v/>
          </cell>
        </row>
        <row r="59387">
          <cell r="O59387" t="str">
            <v/>
          </cell>
        </row>
        <row r="59388">
          <cell r="O59388" t="str">
            <v/>
          </cell>
        </row>
        <row r="59389">
          <cell r="O59389" t="str">
            <v/>
          </cell>
        </row>
        <row r="59390">
          <cell r="O59390" t="str">
            <v/>
          </cell>
        </row>
        <row r="59391">
          <cell r="O59391" t="str">
            <v/>
          </cell>
        </row>
        <row r="59392">
          <cell r="O59392" t="str">
            <v/>
          </cell>
        </row>
        <row r="59393">
          <cell r="O59393" t="str">
            <v/>
          </cell>
        </row>
        <row r="59394">
          <cell r="O59394" t="str">
            <v/>
          </cell>
        </row>
        <row r="59395">
          <cell r="O59395" t="str">
            <v/>
          </cell>
        </row>
        <row r="59396">
          <cell r="O59396" t="str">
            <v/>
          </cell>
        </row>
        <row r="59397">
          <cell r="O59397" t="str">
            <v/>
          </cell>
        </row>
        <row r="59398">
          <cell r="O59398" t="str">
            <v/>
          </cell>
        </row>
        <row r="59399">
          <cell r="O59399" t="str">
            <v/>
          </cell>
        </row>
        <row r="59400">
          <cell r="O59400" t="str">
            <v/>
          </cell>
        </row>
        <row r="59401">
          <cell r="O59401" t="str">
            <v/>
          </cell>
        </row>
        <row r="59402">
          <cell r="O59402" t="str">
            <v/>
          </cell>
        </row>
        <row r="59403">
          <cell r="O59403" t="str">
            <v/>
          </cell>
        </row>
        <row r="59404">
          <cell r="O59404" t="str">
            <v/>
          </cell>
        </row>
        <row r="59405">
          <cell r="O59405" t="str">
            <v/>
          </cell>
        </row>
        <row r="59406">
          <cell r="O59406" t="str">
            <v/>
          </cell>
        </row>
        <row r="59407">
          <cell r="O59407" t="str">
            <v/>
          </cell>
        </row>
        <row r="59408">
          <cell r="O59408" t="str">
            <v/>
          </cell>
        </row>
        <row r="59409">
          <cell r="O59409" t="str">
            <v/>
          </cell>
        </row>
        <row r="59410">
          <cell r="O59410" t="str">
            <v/>
          </cell>
        </row>
        <row r="59411">
          <cell r="O59411" t="str">
            <v/>
          </cell>
        </row>
        <row r="59412">
          <cell r="O59412" t="str">
            <v/>
          </cell>
        </row>
        <row r="59413">
          <cell r="O59413" t="str">
            <v/>
          </cell>
        </row>
        <row r="59414">
          <cell r="O59414" t="str">
            <v/>
          </cell>
        </row>
        <row r="59415">
          <cell r="O59415" t="str">
            <v/>
          </cell>
        </row>
        <row r="59416">
          <cell r="O59416" t="str">
            <v/>
          </cell>
        </row>
        <row r="59417">
          <cell r="O59417" t="str">
            <v/>
          </cell>
        </row>
        <row r="59418">
          <cell r="O59418" t="str">
            <v/>
          </cell>
        </row>
        <row r="59419">
          <cell r="O59419" t="str">
            <v/>
          </cell>
        </row>
        <row r="59420">
          <cell r="O59420" t="str">
            <v/>
          </cell>
        </row>
        <row r="59421">
          <cell r="O59421" t="str">
            <v/>
          </cell>
        </row>
        <row r="59422">
          <cell r="O59422" t="str">
            <v/>
          </cell>
        </row>
        <row r="59423">
          <cell r="O59423" t="str">
            <v/>
          </cell>
        </row>
        <row r="59424">
          <cell r="O59424" t="str">
            <v/>
          </cell>
        </row>
        <row r="59425">
          <cell r="O59425" t="str">
            <v/>
          </cell>
        </row>
        <row r="59426">
          <cell r="O59426" t="str">
            <v/>
          </cell>
        </row>
        <row r="59427">
          <cell r="O59427" t="str">
            <v/>
          </cell>
        </row>
        <row r="59428">
          <cell r="O59428" t="str">
            <v/>
          </cell>
        </row>
        <row r="59429">
          <cell r="O59429" t="str">
            <v/>
          </cell>
        </row>
        <row r="59430">
          <cell r="O59430" t="str">
            <v/>
          </cell>
        </row>
        <row r="59431">
          <cell r="O59431" t="str">
            <v/>
          </cell>
        </row>
        <row r="59432">
          <cell r="O59432" t="str">
            <v/>
          </cell>
        </row>
        <row r="59433">
          <cell r="O59433" t="str">
            <v/>
          </cell>
        </row>
        <row r="59434">
          <cell r="O59434" t="str">
            <v/>
          </cell>
        </row>
        <row r="59435">
          <cell r="O59435" t="str">
            <v/>
          </cell>
        </row>
        <row r="59436">
          <cell r="O59436" t="str">
            <v/>
          </cell>
        </row>
        <row r="59437">
          <cell r="O59437" t="str">
            <v/>
          </cell>
        </row>
        <row r="59438">
          <cell r="O59438" t="str">
            <v/>
          </cell>
        </row>
        <row r="59439">
          <cell r="O59439" t="str">
            <v/>
          </cell>
        </row>
        <row r="59440">
          <cell r="O59440" t="str">
            <v/>
          </cell>
        </row>
        <row r="59441">
          <cell r="O59441" t="str">
            <v/>
          </cell>
        </row>
        <row r="59442">
          <cell r="O59442" t="str">
            <v/>
          </cell>
        </row>
        <row r="59443">
          <cell r="O59443" t="str">
            <v/>
          </cell>
        </row>
        <row r="59444">
          <cell r="O59444" t="str">
            <v/>
          </cell>
        </row>
        <row r="59445">
          <cell r="O59445" t="str">
            <v/>
          </cell>
        </row>
        <row r="59446">
          <cell r="O59446" t="str">
            <v/>
          </cell>
        </row>
        <row r="59447">
          <cell r="O59447" t="str">
            <v/>
          </cell>
        </row>
        <row r="59448">
          <cell r="O59448" t="str">
            <v/>
          </cell>
        </row>
        <row r="59449">
          <cell r="O59449" t="str">
            <v/>
          </cell>
        </row>
        <row r="59450">
          <cell r="O59450" t="str">
            <v/>
          </cell>
        </row>
        <row r="59451">
          <cell r="O59451" t="str">
            <v/>
          </cell>
        </row>
        <row r="59452">
          <cell r="O59452" t="str">
            <v/>
          </cell>
        </row>
        <row r="59453">
          <cell r="O59453" t="str">
            <v/>
          </cell>
        </row>
        <row r="59454">
          <cell r="O59454" t="str">
            <v/>
          </cell>
        </row>
        <row r="59455">
          <cell r="O59455" t="str">
            <v/>
          </cell>
        </row>
        <row r="59456">
          <cell r="O59456" t="str">
            <v/>
          </cell>
        </row>
        <row r="59457">
          <cell r="O59457" t="str">
            <v/>
          </cell>
        </row>
        <row r="59458">
          <cell r="O59458" t="str">
            <v/>
          </cell>
        </row>
        <row r="59459">
          <cell r="O59459" t="str">
            <v/>
          </cell>
        </row>
        <row r="59460">
          <cell r="O59460" t="str">
            <v/>
          </cell>
        </row>
        <row r="59461">
          <cell r="O59461" t="str">
            <v/>
          </cell>
        </row>
        <row r="59462">
          <cell r="O59462" t="str">
            <v/>
          </cell>
        </row>
        <row r="59463">
          <cell r="O59463" t="str">
            <v/>
          </cell>
        </row>
        <row r="59464">
          <cell r="O59464" t="str">
            <v/>
          </cell>
        </row>
        <row r="59465">
          <cell r="O59465" t="str">
            <v/>
          </cell>
        </row>
        <row r="59466">
          <cell r="O59466" t="str">
            <v/>
          </cell>
        </row>
        <row r="59467">
          <cell r="O59467" t="str">
            <v/>
          </cell>
        </row>
        <row r="59468">
          <cell r="O59468" t="str">
            <v/>
          </cell>
        </row>
        <row r="59469">
          <cell r="O59469" t="str">
            <v/>
          </cell>
        </row>
        <row r="59470">
          <cell r="O59470" t="str">
            <v/>
          </cell>
        </row>
        <row r="59471">
          <cell r="O59471" t="str">
            <v/>
          </cell>
        </row>
        <row r="59472">
          <cell r="O59472" t="str">
            <v/>
          </cell>
        </row>
        <row r="59473">
          <cell r="O59473" t="str">
            <v/>
          </cell>
        </row>
        <row r="59474">
          <cell r="O59474" t="str">
            <v/>
          </cell>
        </row>
        <row r="59475">
          <cell r="O59475" t="str">
            <v/>
          </cell>
        </row>
        <row r="59476">
          <cell r="O59476" t="str">
            <v/>
          </cell>
        </row>
        <row r="59477">
          <cell r="O59477" t="str">
            <v/>
          </cell>
        </row>
        <row r="59478">
          <cell r="O59478" t="str">
            <v/>
          </cell>
        </row>
        <row r="59479">
          <cell r="O59479" t="str">
            <v/>
          </cell>
        </row>
        <row r="59480">
          <cell r="O59480" t="str">
            <v/>
          </cell>
        </row>
        <row r="59481">
          <cell r="O59481" t="str">
            <v/>
          </cell>
        </row>
        <row r="59482">
          <cell r="O59482" t="str">
            <v/>
          </cell>
        </row>
        <row r="59483">
          <cell r="O59483" t="str">
            <v/>
          </cell>
        </row>
        <row r="59484">
          <cell r="O59484" t="str">
            <v/>
          </cell>
        </row>
        <row r="59485">
          <cell r="O59485" t="str">
            <v/>
          </cell>
        </row>
        <row r="59486">
          <cell r="O59486" t="str">
            <v/>
          </cell>
        </row>
        <row r="59487">
          <cell r="O59487" t="str">
            <v/>
          </cell>
        </row>
        <row r="59488">
          <cell r="O59488" t="str">
            <v/>
          </cell>
        </row>
        <row r="59489">
          <cell r="O59489" t="str">
            <v/>
          </cell>
        </row>
        <row r="59490">
          <cell r="O59490" t="str">
            <v/>
          </cell>
        </row>
        <row r="59491">
          <cell r="O59491" t="str">
            <v/>
          </cell>
        </row>
        <row r="59492">
          <cell r="O59492" t="str">
            <v/>
          </cell>
        </row>
        <row r="59493">
          <cell r="O59493" t="str">
            <v/>
          </cell>
        </row>
        <row r="59494">
          <cell r="O59494" t="str">
            <v/>
          </cell>
        </row>
        <row r="59495">
          <cell r="O59495" t="str">
            <v/>
          </cell>
        </row>
        <row r="59496">
          <cell r="O59496" t="str">
            <v/>
          </cell>
        </row>
        <row r="59497">
          <cell r="O59497" t="str">
            <v/>
          </cell>
        </row>
        <row r="59498">
          <cell r="O59498" t="str">
            <v/>
          </cell>
        </row>
        <row r="59499">
          <cell r="O59499" t="str">
            <v/>
          </cell>
        </row>
        <row r="59500">
          <cell r="O59500" t="str">
            <v/>
          </cell>
        </row>
        <row r="59501">
          <cell r="O59501" t="str">
            <v/>
          </cell>
        </row>
        <row r="59502">
          <cell r="O59502" t="str">
            <v/>
          </cell>
        </row>
        <row r="59503">
          <cell r="O59503" t="str">
            <v/>
          </cell>
        </row>
        <row r="59504">
          <cell r="O59504" t="str">
            <v/>
          </cell>
        </row>
        <row r="59505">
          <cell r="O59505" t="str">
            <v/>
          </cell>
        </row>
        <row r="59506">
          <cell r="O59506" t="str">
            <v/>
          </cell>
        </row>
        <row r="59507">
          <cell r="O59507" t="str">
            <v/>
          </cell>
        </row>
        <row r="59508">
          <cell r="O59508" t="str">
            <v/>
          </cell>
        </row>
        <row r="59509">
          <cell r="O59509" t="str">
            <v/>
          </cell>
        </row>
        <row r="59510">
          <cell r="O59510" t="str">
            <v/>
          </cell>
        </row>
        <row r="59511">
          <cell r="O59511" t="str">
            <v/>
          </cell>
        </row>
        <row r="59512">
          <cell r="O59512" t="str">
            <v/>
          </cell>
        </row>
        <row r="59513">
          <cell r="O59513" t="str">
            <v/>
          </cell>
        </row>
        <row r="59514">
          <cell r="O59514" t="str">
            <v/>
          </cell>
        </row>
        <row r="59515">
          <cell r="O59515" t="str">
            <v/>
          </cell>
        </row>
        <row r="59516">
          <cell r="O59516" t="str">
            <v/>
          </cell>
        </row>
        <row r="59517">
          <cell r="O59517" t="str">
            <v/>
          </cell>
        </row>
        <row r="59518">
          <cell r="O59518" t="str">
            <v/>
          </cell>
        </row>
        <row r="59519">
          <cell r="O59519" t="str">
            <v/>
          </cell>
        </row>
        <row r="59520">
          <cell r="O59520" t="str">
            <v/>
          </cell>
        </row>
        <row r="59521">
          <cell r="O59521" t="str">
            <v/>
          </cell>
        </row>
        <row r="59522">
          <cell r="O59522" t="str">
            <v/>
          </cell>
        </row>
        <row r="59523">
          <cell r="O59523" t="str">
            <v/>
          </cell>
        </row>
        <row r="59524">
          <cell r="O59524" t="str">
            <v/>
          </cell>
        </row>
        <row r="59525">
          <cell r="O59525" t="str">
            <v/>
          </cell>
        </row>
        <row r="59526">
          <cell r="O59526" t="str">
            <v/>
          </cell>
        </row>
        <row r="59527">
          <cell r="O59527" t="str">
            <v/>
          </cell>
        </row>
        <row r="59528">
          <cell r="O59528" t="str">
            <v/>
          </cell>
        </row>
        <row r="59529">
          <cell r="O59529" t="str">
            <v/>
          </cell>
        </row>
        <row r="59530">
          <cell r="O59530" t="str">
            <v/>
          </cell>
        </row>
        <row r="59531">
          <cell r="O59531" t="str">
            <v/>
          </cell>
        </row>
        <row r="59532">
          <cell r="O59532" t="str">
            <v/>
          </cell>
        </row>
        <row r="59533">
          <cell r="O59533" t="str">
            <v/>
          </cell>
        </row>
        <row r="59534">
          <cell r="O59534" t="str">
            <v/>
          </cell>
        </row>
        <row r="59535">
          <cell r="O59535" t="str">
            <v/>
          </cell>
        </row>
        <row r="59536">
          <cell r="O59536" t="str">
            <v/>
          </cell>
        </row>
        <row r="59537">
          <cell r="O59537" t="str">
            <v/>
          </cell>
        </row>
        <row r="59538">
          <cell r="O59538" t="str">
            <v/>
          </cell>
        </row>
        <row r="59539">
          <cell r="O59539" t="str">
            <v/>
          </cell>
        </row>
        <row r="59540">
          <cell r="O59540" t="str">
            <v/>
          </cell>
        </row>
        <row r="59541">
          <cell r="O59541" t="str">
            <v/>
          </cell>
        </row>
        <row r="59542">
          <cell r="O59542" t="str">
            <v/>
          </cell>
        </row>
        <row r="59543">
          <cell r="O59543" t="str">
            <v/>
          </cell>
        </row>
        <row r="59544">
          <cell r="O59544" t="str">
            <v/>
          </cell>
        </row>
        <row r="59545">
          <cell r="O59545" t="str">
            <v/>
          </cell>
        </row>
        <row r="59546">
          <cell r="O59546" t="str">
            <v/>
          </cell>
        </row>
        <row r="59547">
          <cell r="O59547" t="str">
            <v/>
          </cell>
        </row>
        <row r="59548">
          <cell r="O59548" t="str">
            <v/>
          </cell>
        </row>
        <row r="59549">
          <cell r="O59549" t="str">
            <v/>
          </cell>
        </row>
        <row r="59550">
          <cell r="O59550" t="str">
            <v/>
          </cell>
        </row>
        <row r="59551">
          <cell r="O59551" t="str">
            <v/>
          </cell>
        </row>
        <row r="59552">
          <cell r="O59552" t="str">
            <v/>
          </cell>
        </row>
        <row r="59553">
          <cell r="O59553" t="str">
            <v/>
          </cell>
        </row>
        <row r="59554">
          <cell r="O59554" t="str">
            <v/>
          </cell>
        </row>
        <row r="59555">
          <cell r="O59555" t="str">
            <v/>
          </cell>
        </row>
        <row r="59556">
          <cell r="O59556" t="str">
            <v/>
          </cell>
        </row>
        <row r="59557">
          <cell r="O59557" t="str">
            <v/>
          </cell>
        </row>
        <row r="59558">
          <cell r="O59558" t="str">
            <v/>
          </cell>
        </row>
        <row r="59559">
          <cell r="O59559" t="str">
            <v/>
          </cell>
        </row>
        <row r="59560">
          <cell r="O59560" t="str">
            <v/>
          </cell>
        </row>
        <row r="59561">
          <cell r="O59561" t="str">
            <v/>
          </cell>
        </row>
        <row r="59562">
          <cell r="O59562" t="str">
            <v/>
          </cell>
        </row>
        <row r="59563">
          <cell r="O59563" t="str">
            <v/>
          </cell>
        </row>
        <row r="59564">
          <cell r="O59564" t="str">
            <v/>
          </cell>
        </row>
        <row r="59565">
          <cell r="O59565" t="str">
            <v/>
          </cell>
        </row>
        <row r="59566">
          <cell r="O59566" t="str">
            <v/>
          </cell>
        </row>
        <row r="59567">
          <cell r="O59567" t="str">
            <v/>
          </cell>
        </row>
        <row r="59568">
          <cell r="O59568" t="str">
            <v/>
          </cell>
        </row>
        <row r="59569">
          <cell r="O59569" t="str">
            <v/>
          </cell>
        </row>
        <row r="59570">
          <cell r="O59570" t="str">
            <v/>
          </cell>
        </row>
        <row r="59571">
          <cell r="O59571" t="str">
            <v/>
          </cell>
        </row>
        <row r="59572">
          <cell r="O59572" t="str">
            <v/>
          </cell>
        </row>
        <row r="59573">
          <cell r="O59573" t="str">
            <v/>
          </cell>
        </row>
        <row r="59574">
          <cell r="O59574" t="str">
            <v/>
          </cell>
        </row>
        <row r="59575">
          <cell r="O59575" t="str">
            <v/>
          </cell>
        </row>
        <row r="59576">
          <cell r="O59576" t="str">
            <v/>
          </cell>
        </row>
        <row r="59577">
          <cell r="O59577" t="str">
            <v/>
          </cell>
        </row>
        <row r="59578">
          <cell r="O59578" t="str">
            <v/>
          </cell>
        </row>
        <row r="59579">
          <cell r="O59579" t="str">
            <v/>
          </cell>
        </row>
        <row r="59580">
          <cell r="O59580" t="str">
            <v/>
          </cell>
        </row>
        <row r="59581">
          <cell r="O59581" t="str">
            <v/>
          </cell>
        </row>
        <row r="59582">
          <cell r="O59582" t="str">
            <v/>
          </cell>
        </row>
        <row r="59583">
          <cell r="O59583" t="str">
            <v/>
          </cell>
        </row>
        <row r="59584">
          <cell r="O59584" t="str">
            <v/>
          </cell>
        </row>
        <row r="59585">
          <cell r="O59585" t="str">
            <v/>
          </cell>
        </row>
        <row r="59586">
          <cell r="O59586" t="str">
            <v/>
          </cell>
        </row>
        <row r="59587">
          <cell r="O59587" t="str">
            <v/>
          </cell>
        </row>
        <row r="59588">
          <cell r="O59588" t="str">
            <v/>
          </cell>
        </row>
        <row r="59589">
          <cell r="O59589" t="str">
            <v/>
          </cell>
        </row>
        <row r="59590">
          <cell r="O59590" t="str">
            <v/>
          </cell>
        </row>
        <row r="59591">
          <cell r="O59591" t="str">
            <v/>
          </cell>
        </row>
        <row r="59592">
          <cell r="O59592" t="str">
            <v/>
          </cell>
        </row>
        <row r="59593">
          <cell r="O59593" t="str">
            <v/>
          </cell>
        </row>
        <row r="59594">
          <cell r="O59594" t="str">
            <v/>
          </cell>
        </row>
        <row r="59595">
          <cell r="O59595" t="str">
            <v/>
          </cell>
        </row>
        <row r="59596">
          <cell r="O59596" t="str">
            <v/>
          </cell>
        </row>
        <row r="59597">
          <cell r="O59597" t="str">
            <v/>
          </cell>
        </row>
        <row r="59598">
          <cell r="O59598" t="str">
            <v/>
          </cell>
        </row>
        <row r="59599">
          <cell r="O59599" t="str">
            <v/>
          </cell>
        </row>
        <row r="59600">
          <cell r="O59600" t="str">
            <v/>
          </cell>
        </row>
        <row r="59601">
          <cell r="O59601" t="str">
            <v/>
          </cell>
        </row>
        <row r="59602">
          <cell r="O59602" t="str">
            <v/>
          </cell>
        </row>
        <row r="59603">
          <cell r="O59603" t="str">
            <v/>
          </cell>
        </row>
        <row r="59604">
          <cell r="O59604" t="str">
            <v/>
          </cell>
        </row>
        <row r="59605">
          <cell r="O59605" t="str">
            <v/>
          </cell>
        </row>
        <row r="59606">
          <cell r="O59606" t="str">
            <v/>
          </cell>
        </row>
        <row r="59607">
          <cell r="O59607" t="str">
            <v/>
          </cell>
        </row>
        <row r="59608">
          <cell r="O59608" t="str">
            <v/>
          </cell>
        </row>
        <row r="59609">
          <cell r="O59609" t="str">
            <v/>
          </cell>
        </row>
        <row r="59610">
          <cell r="O59610" t="str">
            <v/>
          </cell>
        </row>
        <row r="59611">
          <cell r="O59611" t="str">
            <v/>
          </cell>
        </row>
        <row r="59612">
          <cell r="O59612" t="str">
            <v/>
          </cell>
        </row>
        <row r="59613">
          <cell r="O59613" t="str">
            <v/>
          </cell>
        </row>
        <row r="59614">
          <cell r="O59614" t="str">
            <v/>
          </cell>
        </row>
        <row r="59615">
          <cell r="O59615" t="str">
            <v/>
          </cell>
        </row>
        <row r="59616">
          <cell r="O59616" t="str">
            <v/>
          </cell>
        </row>
        <row r="59617">
          <cell r="O59617" t="str">
            <v/>
          </cell>
        </row>
        <row r="59618">
          <cell r="O59618" t="str">
            <v/>
          </cell>
        </row>
        <row r="59619">
          <cell r="O59619" t="str">
            <v/>
          </cell>
        </row>
        <row r="59620">
          <cell r="O59620" t="str">
            <v/>
          </cell>
        </row>
        <row r="59621">
          <cell r="O59621" t="str">
            <v/>
          </cell>
        </row>
        <row r="59622">
          <cell r="O59622" t="str">
            <v/>
          </cell>
        </row>
        <row r="59623">
          <cell r="O59623" t="str">
            <v/>
          </cell>
        </row>
        <row r="59624">
          <cell r="O59624" t="str">
            <v/>
          </cell>
        </row>
        <row r="59625">
          <cell r="O59625" t="str">
            <v/>
          </cell>
        </row>
        <row r="59626">
          <cell r="O59626" t="str">
            <v/>
          </cell>
        </row>
        <row r="59627">
          <cell r="O59627" t="str">
            <v/>
          </cell>
        </row>
        <row r="59628">
          <cell r="O59628" t="str">
            <v/>
          </cell>
        </row>
        <row r="59629">
          <cell r="O59629" t="str">
            <v/>
          </cell>
        </row>
        <row r="59630">
          <cell r="O59630" t="str">
            <v/>
          </cell>
        </row>
        <row r="59631">
          <cell r="O59631" t="str">
            <v/>
          </cell>
        </row>
        <row r="59632">
          <cell r="O59632" t="str">
            <v/>
          </cell>
        </row>
        <row r="59633">
          <cell r="O59633" t="str">
            <v/>
          </cell>
        </row>
        <row r="59634">
          <cell r="O59634" t="str">
            <v/>
          </cell>
        </row>
        <row r="59635">
          <cell r="O59635" t="str">
            <v/>
          </cell>
        </row>
        <row r="59636">
          <cell r="O59636" t="str">
            <v/>
          </cell>
        </row>
        <row r="59637">
          <cell r="O59637" t="str">
            <v/>
          </cell>
        </row>
        <row r="59638">
          <cell r="O59638" t="str">
            <v/>
          </cell>
        </row>
        <row r="59639">
          <cell r="O59639" t="str">
            <v/>
          </cell>
        </row>
        <row r="59640">
          <cell r="O59640" t="str">
            <v/>
          </cell>
        </row>
        <row r="59641">
          <cell r="O59641" t="str">
            <v/>
          </cell>
        </row>
        <row r="59642">
          <cell r="O59642" t="str">
            <v/>
          </cell>
        </row>
        <row r="59643">
          <cell r="O59643" t="str">
            <v/>
          </cell>
        </row>
        <row r="59644">
          <cell r="O59644" t="str">
            <v/>
          </cell>
        </row>
        <row r="59645">
          <cell r="O59645" t="str">
            <v/>
          </cell>
        </row>
        <row r="59646">
          <cell r="O59646" t="str">
            <v/>
          </cell>
        </row>
        <row r="59647">
          <cell r="O59647" t="str">
            <v/>
          </cell>
        </row>
        <row r="59648">
          <cell r="O59648" t="str">
            <v/>
          </cell>
        </row>
        <row r="59649">
          <cell r="O59649" t="str">
            <v/>
          </cell>
        </row>
        <row r="59650">
          <cell r="O59650" t="str">
            <v/>
          </cell>
        </row>
        <row r="59651">
          <cell r="O59651" t="str">
            <v/>
          </cell>
        </row>
        <row r="59652">
          <cell r="O59652" t="str">
            <v/>
          </cell>
        </row>
        <row r="59653">
          <cell r="O59653" t="str">
            <v/>
          </cell>
        </row>
        <row r="59654">
          <cell r="O59654" t="str">
            <v/>
          </cell>
        </row>
        <row r="59655">
          <cell r="O59655" t="str">
            <v/>
          </cell>
        </row>
        <row r="59656">
          <cell r="O59656" t="str">
            <v/>
          </cell>
        </row>
        <row r="59657">
          <cell r="O59657" t="str">
            <v/>
          </cell>
        </row>
        <row r="59658">
          <cell r="O59658" t="str">
            <v/>
          </cell>
        </row>
        <row r="59659">
          <cell r="O59659" t="str">
            <v/>
          </cell>
        </row>
        <row r="59660">
          <cell r="O59660" t="str">
            <v/>
          </cell>
        </row>
        <row r="59661">
          <cell r="O59661" t="str">
            <v/>
          </cell>
        </row>
        <row r="59662">
          <cell r="O59662" t="str">
            <v/>
          </cell>
        </row>
        <row r="59663">
          <cell r="O59663" t="str">
            <v/>
          </cell>
        </row>
        <row r="59664">
          <cell r="O59664" t="str">
            <v/>
          </cell>
        </row>
        <row r="59665">
          <cell r="O59665" t="str">
            <v/>
          </cell>
        </row>
        <row r="59666">
          <cell r="O59666" t="str">
            <v/>
          </cell>
        </row>
        <row r="59667">
          <cell r="O59667" t="str">
            <v/>
          </cell>
        </row>
        <row r="59668">
          <cell r="O59668" t="str">
            <v/>
          </cell>
        </row>
        <row r="59669">
          <cell r="O59669" t="str">
            <v/>
          </cell>
        </row>
        <row r="59670">
          <cell r="O59670" t="str">
            <v/>
          </cell>
        </row>
        <row r="59671">
          <cell r="O59671" t="str">
            <v/>
          </cell>
        </row>
        <row r="59672">
          <cell r="O59672" t="str">
            <v/>
          </cell>
        </row>
        <row r="59673">
          <cell r="O59673" t="str">
            <v/>
          </cell>
        </row>
        <row r="59674">
          <cell r="O59674" t="str">
            <v/>
          </cell>
        </row>
        <row r="59675">
          <cell r="O59675" t="str">
            <v/>
          </cell>
        </row>
        <row r="59676">
          <cell r="O59676" t="str">
            <v/>
          </cell>
        </row>
        <row r="59677">
          <cell r="O59677" t="str">
            <v/>
          </cell>
        </row>
        <row r="59678">
          <cell r="O59678" t="str">
            <v/>
          </cell>
        </row>
        <row r="59679">
          <cell r="O59679" t="str">
            <v/>
          </cell>
        </row>
        <row r="59680">
          <cell r="O59680" t="str">
            <v/>
          </cell>
        </row>
        <row r="59681">
          <cell r="O59681" t="str">
            <v/>
          </cell>
        </row>
        <row r="59682">
          <cell r="O59682" t="str">
            <v/>
          </cell>
        </row>
        <row r="59683">
          <cell r="O59683" t="str">
            <v/>
          </cell>
        </row>
        <row r="59684">
          <cell r="O59684" t="str">
            <v/>
          </cell>
        </row>
        <row r="59685">
          <cell r="O59685" t="str">
            <v/>
          </cell>
        </row>
        <row r="59686">
          <cell r="O59686" t="str">
            <v/>
          </cell>
        </row>
        <row r="59687">
          <cell r="O59687" t="str">
            <v/>
          </cell>
        </row>
        <row r="59688">
          <cell r="O59688" t="str">
            <v/>
          </cell>
        </row>
        <row r="59689">
          <cell r="O59689" t="str">
            <v/>
          </cell>
        </row>
        <row r="59690">
          <cell r="O59690" t="str">
            <v/>
          </cell>
        </row>
        <row r="59691">
          <cell r="O59691" t="str">
            <v/>
          </cell>
        </row>
        <row r="59692">
          <cell r="O59692" t="str">
            <v/>
          </cell>
        </row>
        <row r="59693">
          <cell r="O59693" t="str">
            <v/>
          </cell>
        </row>
        <row r="59694">
          <cell r="O59694" t="str">
            <v/>
          </cell>
        </row>
        <row r="59695">
          <cell r="O59695" t="str">
            <v/>
          </cell>
        </row>
        <row r="59696">
          <cell r="O59696" t="str">
            <v/>
          </cell>
        </row>
        <row r="59697">
          <cell r="O59697" t="str">
            <v/>
          </cell>
        </row>
        <row r="59698">
          <cell r="O59698" t="str">
            <v/>
          </cell>
        </row>
        <row r="59699">
          <cell r="O59699" t="str">
            <v/>
          </cell>
        </row>
        <row r="59700">
          <cell r="O59700" t="str">
            <v/>
          </cell>
        </row>
        <row r="59701">
          <cell r="O59701" t="str">
            <v/>
          </cell>
        </row>
        <row r="59702">
          <cell r="O59702" t="str">
            <v/>
          </cell>
        </row>
        <row r="59703">
          <cell r="O59703" t="str">
            <v/>
          </cell>
        </row>
        <row r="59704">
          <cell r="O59704" t="str">
            <v/>
          </cell>
        </row>
        <row r="59705">
          <cell r="O59705" t="str">
            <v/>
          </cell>
        </row>
        <row r="59706">
          <cell r="O59706" t="str">
            <v/>
          </cell>
        </row>
        <row r="59707">
          <cell r="O59707" t="str">
            <v/>
          </cell>
        </row>
        <row r="59708">
          <cell r="O59708" t="str">
            <v/>
          </cell>
        </row>
        <row r="59709">
          <cell r="O59709" t="str">
            <v/>
          </cell>
        </row>
        <row r="59710">
          <cell r="O59710" t="str">
            <v/>
          </cell>
        </row>
        <row r="59711">
          <cell r="O59711" t="str">
            <v/>
          </cell>
        </row>
        <row r="59712">
          <cell r="O59712" t="str">
            <v/>
          </cell>
        </row>
        <row r="59713">
          <cell r="O59713" t="str">
            <v/>
          </cell>
        </row>
        <row r="59714">
          <cell r="O59714" t="str">
            <v/>
          </cell>
        </row>
        <row r="59715">
          <cell r="O59715" t="str">
            <v/>
          </cell>
        </row>
        <row r="59716">
          <cell r="O59716" t="str">
            <v/>
          </cell>
        </row>
        <row r="59717">
          <cell r="O59717" t="str">
            <v/>
          </cell>
        </row>
        <row r="59718">
          <cell r="O59718" t="str">
            <v/>
          </cell>
        </row>
        <row r="59719">
          <cell r="O59719" t="str">
            <v/>
          </cell>
        </row>
        <row r="59720">
          <cell r="O59720" t="str">
            <v/>
          </cell>
        </row>
        <row r="59721">
          <cell r="O59721" t="str">
            <v/>
          </cell>
        </row>
        <row r="59722">
          <cell r="O59722" t="str">
            <v/>
          </cell>
        </row>
        <row r="59723">
          <cell r="O59723" t="str">
            <v/>
          </cell>
        </row>
        <row r="59724">
          <cell r="O59724" t="str">
            <v/>
          </cell>
        </row>
        <row r="59725">
          <cell r="O59725" t="str">
            <v/>
          </cell>
        </row>
        <row r="59726">
          <cell r="O59726" t="str">
            <v/>
          </cell>
        </row>
        <row r="59727">
          <cell r="O59727" t="str">
            <v/>
          </cell>
        </row>
        <row r="59728">
          <cell r="O59728" t="str">
            <v/>
          </cell>
        </row>
        <row r="59729">
          <cell r="O59729" t="str">
            <v/>
          </cell>
        </row>
        <row r="59730">
          <cell r="O59730" t="str">
            <v/>
          </cell>
        </row>
        <row r="59731">
          <cell r="O59731" t="str">
            <v/>
          </cell>
        </row>
        <row r="59732">
          <cell r="O59732" t="str">
            <v/>
          </cell>
        </row>
        <row r="59733">
          <cell r="O59733" t="str">
            <v/>
          </cell>
        </row>
        <row r="59734">
          <cell r="O59734" t="str">
            <v/>
          </cell>
        </row>
        <row r="59735">
          <cell r="O59735" t="str">
            <v/>
          </cell>
        </row>
        <row r="59736">
          <cell r="O59736" t="str">
            <v/>
          </cell>
        </row>
        <row r="59737">
          <cell r="O59737" t="str">
            <v/>
          </cell>
        </row>
        <row r="59738">
          <cell r="O59738" t="str">
            <v/>
          </cell>
        </row>
        <row r="59739">
          <cell r="O59739" t="str">
            <v/>
          </cell>
        </row>
        <row r="59740">
          <cell r="O59740" t="str">
            <v/>
          </cell>
        </row>
        <row r="59741">
          <cell r="O59741" t="str">
            <v/>
          </cell>
        </row>
        <row r="59742">
          <cell r="O59742" t="str">
            <v/>
          </cell>
        </row>
        <row r="59743">
          <cell r="O59743" t="str">
            <v/>
          </cell>
        </row>
        <row r="59744">
          <cell r="O59744" t="str">
            <v/>
          </cell>
        </row>
        <row r="59745">
          <cell r="O59745" t="str">
            <v/>
          </cell>
        </row>
        <row r="59746">
          <cell r="O59746" t="str">
            <v/>
          </cell>
        </row>
        <row r="59747">
          <cell r="O59747" t="str">
            <v/>
          </cell>
        </row>
        <row r="59748">
          <cell r="O59748" t="str">
            <v/>
          </cell>
        </row>
        <row r="59749">
          <cell r="O59749" t="str">
            <v/>
          </cell>
        </row>
        <row r="59750">
          <cell r="O59750" t="str">
            <v/>
          </cell>
        </row>
        <row r="59751">
          <cell r="O59751" t="str">
            <v/>
          </cell>
        </row>
        <row r="59752">
          <cell r="O59752" t="str">
            <v/>
          </cell>
        </row>
        <row r="59753">
          <cell r="O59753" t="str">
            <v/>
          </cell>
        </row>
        <row r="59754">
          <cell r="O59754" t="str">
            <v/>
          </cell>
        </row>
        <row r="59755">
          <cell r="O59755" t="str">
            <v/>
          </cell>
        </row>
        <row r="59756">
          <cell r="O59756" t="str">
            <v/>
          </cell>
        </row>
        <row r="59757">
          <cell r="O59757" t="str">
            <v/>
          </cell>
        </row>
        <row r="59758">
          <cell r="O59758" t="str">
            <v/>
          </cell>
        </row>
        <row r="59759">
          <cell r="O59759" t="str">
            <v/>
          </cell>
        </row>
        <row r="59760">
          <cell r="O59760" t="str">
            <v/>
          </cell>
        </row>
        <row r="59761">
          <cell r="O59761" t="str">
            <v/>
          </cell>
        </row>
        <row r="59762">
          <cell r="O59762" t="str">
            <v/>
          </cell>
        </row>
        <row r="59763">
          <cell r="O59763" t="str">
            <v/>
          </cell>
        </row>
        <row r="59764">
          <cell r="O59764" t="str">
            <v/>
          </cell>
        </row>
        <row r="59765">
          <cell r="O59765" t="str">
            <v/>
          </cell>
        </row>
        <row r="59766">
          <cell r="O59766" t="str">
            <v/>
          </cell>
        </row>
        <row r="59767">
          <cell r="O59767" t="str">
            <v/>
          </cell>
        </row>
        <row r="59768">
          <cell r="O59768" t="str">
            <v/>
          </cell>
        </row>
        <row r="59769">
          <cell r="O59769" t="str">
            <v/>
          </cell>
        </row>
        <row r="59770">
          <cell r="O59770" t="str">
            <v/>
          </cell>
        </row>
        <row r="59771">
          <cell r="O59771" t="str">
            <v/>
          </cell>
        </row>
        <row r="59772">
          <cell r="O59772" t="str">
            <v/>
          </cell>
        </row>
        <row r="59773">
          <cell r="O59773" t="str">
            <v/>
          </cell>
        </row>
        <row r="59774">
          <cell r="O59774" t="str">
            <v/>
          </cell>
        </row>
        <row r="59775">
          <cell r="O59775" t="str">
            <v/>
          </cell>
        </row>
        <row r="59776">
          <cell r="O59776" t="str">
            <v/>
          </cell>
        </row>
        <row r="59777">
          <cell r="O59777" t="str">
            <v/>
          </cell>
        </row>
        <row r="59778">
          <cell r="O59778" t="str">
            <v/>
          </cell>
        </row>
        <row r="59779">
          <cell r="O59779" t="str">
            <v/>
          </cell>
        </row>
        <row r="59780">
          <cell r="O59780" t="str">
            <v/>
          </cell>
        </row>
        <row r="59781">
          <cell r="O59781" t="str">
            <v/>
          </cell>
        </row>
        <row r="59782">
          <cell r="O59782" t="str">
            <v/>
          </cell>
        </row>
        <row r="59783">
          <cell r="O59783" t="str">
            <v/>
          </cell>
        </row>
        <row r="59784">
          <cell r="O59784" t="str">
            <v/>
          </cell>
        </row>
        <row r="59785">
          <cell r="O59785" t="str">
            <v/>
          </cell>
        </row>
        <row r="59786">
          <cell r="O59786" t="str">
            <v/>
          </cell>
        </row>
        <row r="59787">
          <cell r="O59787" t="str">
            <v/>
          </cell>
        </row>
        <row r="59788">
          <cell r="O59788" t="str">
            <v/>
          </cell>
        </row>
        <row r="59789">
          <cell r="O59789" t="str">
            <v/>
          </cell>
        </row>
        <row r="59790">
          <cell r="O59790" t="str">
            <v/>
          </cell>
        </row>
        <row r="59791">
          <cell r="O59791" t="str">
            <v/>
          </cell>
        </row>
        <row r="59792">
          <cell r="O59792" t="str">
            <v/>
          </cell>
        </row>
        <row r="59793">
          <cell r="O59793" t="str">
            <v/>
          </cell>
        </row>
        <row r="59794">
          <cell r="O59794" t="str">
            <v/>
          </cell>
        </row>
        <row r="59795">
          <cell r="O59795" t="str">
            <v/>
          </cell>
        </row>
        <row r="59796">
          <cell r="O59796" t="str">
            <v/>
          </cell>
        </row>
        <row r="59797">
          <cell r="O59797" t="str">
            <v/>
          </cell>
        </row>
        <row r="59798">
          <cell r="O59798" t="str">
            <v/>
          </cell>
        </row>
        <row r="59799">
          <cell r="O59799" t="str">
            <v/>
          </cell>
        </row>
        <row r="59800">
          <cell r="O59800" t="str">
            <v/>
          </cell>
        </row>
        <row r="59801">
          <cell r="O59801" t="str">
            <v/>
          </cell>
        </row>
        <row r="59802">
          <cell r="O59802" t="str">
            <v/>
          </cell>
        </row>
        <row r="59803">
          <cell r="O59803" t="str">
            <v/>
          </cell>
        </row>
        <row r="59804">
          <cell r="O59804" t="str">
            <v/>
          </cell>
        </row>
        <row r="59805">
          <cell r="O59805" t="str">
            <v/>
          </cell>
        </row>
        <row r="59806">
          <cell r="O59806" t="str">
            <v/>
          </cell>
        </row>
        <row r="59807">
          <cell r="O59807" t="str">
            <v/>
          </cell>
        </row>
        <row r="59808">
          <cell r="O59808" t="str">
            <v/>
          </cell>
        </row>
        <row r="59809">
          <cell r="O59809" t="str">
            <v/>
          </cell>
        </row>
        <row r="59810">
          <cell r="O59810" t="str">
            <v/>
          </cell>
        </row>
        <row r="59811">
          <cell r="O59811" t="str">
            <v/>
          </cell>
        </row>
        <row r="59812">
          <cell r="O59812" t="str">
            <v/>
          </cell>
        </row>
        <row r="59813">
          <cell r="O59813" t="str">
            <v/>
          </cell>
        </row>
        <row r="59814">
          <cell r="O59814" t="str">
            <v/>
          </cell>
        </row>
        <row r="59815">
          <cell r="O59815" t="str">
            <v/>
          </cell>
        </row>
        <row r="59816">
          <cell r="O59816" t="str">
            <v/>
          </cell>
        </row>
        <row r="59817">
          <cell r="O59817" t="str">
            <v/>
          </cell>
        </row>
        <row r="59818">
          <cell r="O59818" t="str">
            <v/>
          </cell>
        </row>
        <row r="59819">
          <cell r="O59819" t="str">
            <v/>
          </cell>
        </row>
        <row r="59820">
          <cell r="O59820" t="str">
            <v/>
          </cell>
        </row>
        <row r="59821">
          <cell r="O59821" t="str">
            <v/>
          </cell>
        </row>
        <row r="59822">
          <cell r="O59822" t="str">
            <v/>
          </cell>
        </row>
        <row r="59823">
          <cell r="O59823" t="str">
            <v/>
          </cell>
        </row>
        <row r="59824">
          <cell r="O59824" t="str">
            <v/>
          </cell>
        </row>
        <row r="59825">
          <cell r="O59825" t="str">
            <v/>
          </cell>
        </row>
        <row r="59826">
          <cell r="O59826" t="str">
            <v/>
          </cell>
        </row>
        <row r="59827">
          <cell r="O59827" t="str">
            <v/>
          </cell>
        </row>
        <row r="59828">
          <cell r="O59828" t="str">
            <v/>
          </cell>
        </row>
        <row r="59829">
          <cell r="O59829" t="str">
            <v/>
          </cell>
        </row>
        <row r="59830">
          <cell r="O59830" t="str">
            <v/>
          </cell>
        </row>
        <row r="59831">
          <cell r="O59831" t="str">
            <v/>
          </cell>
        </row>
        <row r="59832">
          <cell r="O59832" t="str">
            <v/>
          </cell>
        </row>
        <row r="59833">
          <cell r="O59833" t="str">
            <v/>
          </cell>
        </row>
        <row r="59834">
          <cell r="O59834" t="str">
            <v/>
          </cell>
        </row>
        <row r="59835">
          <cell r="O59835" t="str">
            <v/>
          </cell>
        </row>
        <row r="59836">
          <cell r="O59836" t="str">
            <v/>
          </cell>
        </row>
        <row r="59837">
          <cell r="O59837" t="str">
            <v/>
          </cell>
        </row>
        <row r="59838">
          <cell r="O59838" t="str">
            <v/>
          </cell>
        </row>
        <row r="59839">
          <cell r="O59839" t="str">
            <v/>
          </cell>
        </row>
        <row r="59840">
          <cell r="O59840" t="str">
            <v/>
          </cell>
        </row>
        <row r="59841">
          <cell r="O59841" t="str">
            <v/>
          </cell>
        </row>
        <row r="59842">
          <cell r="O59842" t="str">
            <v/>
          </cell>
        </row>
        <row r="59843">
          <cell r="O59843" t="str">
            <v/>
          </cell>
        </row>
        <row r="59844">
          <cell r="O59844" t="str">
            <v/>
          </cell>
        </row>
        <row r="59845">
          <cell r="O59845" t="str">
            <v/>
          </cell>
        </row>
        <row r="59846">
          <cell r="O59846" t="str">
            <v/>
          </cell>
        </row>
        <row r="59847">
          <cell r="O59847" t="str">
            <v/>
          </cell>
        </row>
        <row r="59848">
          <cell r="O59848" t="str">
            <v/>
          </cell>
        </row>
        <row r="59849">
          <cell r="O59849" t="str">
            <v/>
          </cell>
        </row>
        <row r="59850">
          <cell r="O59850" t="str">
            <v/>
          </cell>
        </row>
        <row r="59851">
          <cell r="O59851" t="str">
            <v/>
          </cell>
        </row>
        <row r="59852">
          <cell r="O59852" t="str">
            <v/>
          </cell>
        </row>
        <row r="59853">
          <cell r="O59853" t="str">
            <v/>
          </cell>
        </row>
        <row r="59854">
          <cell r="O59854" t="str">
            <v/>
          </cell>
        </row>
        <row r="59855">
          <cell r="O59855" t="str">
            <v/>
          </cell>
        </row>
        <row r="59856">
          <cell r="O59856" t="str">
            <v/>
          </cell>
        </row>
        <row r="59857">
          <cell r="O59857" t="str">
            <v/>
          </cell>
        </row>
        <row r="59858">
          <cell r="O59858" t="str">
            <v/>
          </cell>
        </row>
        <row r="59859">
          <cell r="O59859" t="str">
            <v/>
          </cell>
        </row>
        <row r="59860">
          <cell r="O59860" t="str">
            <v/>
          </cell>
        </row>
        <row r="59861">
          <cell r="O59861" t="str">
            <v/>
          </cell>
        </row>
        <row r="59862">
          <cell r="O59862" t="str">
            <v/>
          </cell>
        </row>
        <row r="59863">
          <cell r="O59863" t="str">
            <v/>
          </cell>
        </row>
        <row r="59864">
          <cell r="O59864" t="str">
            <v/>
          </cell>
        </row>
        <row r="59865">
          <cell r="O59865" t="str">
            <v/>
          </cell>
        </row>
        <row r="59866">
          <cell r="O59866" t="str">
            <v/>
          </cell>
        </row>
        <row r="59867">
          <cell r="O59867" t="str">
            <v/>
          </cell>
        </row>
        <row r="59868">
          <cell r="O59868" t="str">
            <v/>
          </cell>
        </row>
        <row r="59869">
          <cell r="O59869" t="str">
            <v/>
          </cell>
        </row>
        <row r="59870">
          <cell r="O59870" t="str">
            <v/>
          </cell>
        </row>
        <row r="59871">
          <cell r="O59871" t="str">
            <v/>
          </cell>
        </row>
        <row r="59872">
          <cell r="O59872" t="str">
            <v/>
          </cell>
        </row>
        <row r="59873">
          <cell r="O59873" t="str">
            <v/>
          </cell>
        </row>
        <row r="59874">
          <cell r="O59874" t="str">
            <v/>
          </cell>
        </row>
        <row r="59875">
          <cell r="O59875" t="str">
            <v/>
          </cell>
        </row>
        <row r="59876">
          <cell r="O59876" t="str">
            <v/>
          </cell>
        </row>
        <row r="59877">
          <cell r="O59877" t="str">
            <v/>
          </cell>
        </row>
        <row r="59878">
          <cell r="O59878" t="str">
            <v/>
          </cell>
        </row>
        <row r="59879">
          <cell r="O59879" t="str">
            <v/>
          </cell>
        </row>
        <row r="59880">
          <cell r="O59880" t="str">
            <v/>
          </cell>
        </row>
        <row r="59881">
          <cell r="O59881" t="str">
            <v/>
          </cell>
        </row>
        <row r="59882">
          <cell r="O59882" t="str">
            <v/>
          </cell>
        </row>
        <row r="59883">
          <cell r="O59883" t="str">
            <v/>
          </cell>
        </row>
        <row r="59884">
          <cell r="O59884" t="str">
            <v/>
          </cell>
        </row>
        <row r="59885">
          <cell r="O59885" t="str">
            <v/>
          </cell>
        </row>
        <row r="59886">
          <cell r="O59886" t="str">
            <v/>
          </cell>
        </row>
        <row r="59887">
          <cell r="O59887" t="str">
            <v/>
          </cell>
        </row>
        <row r="59888">
          <cell r="O59888" t="str">
            <v/>
          </cell>
        </row>
        <row r="59889">
          <cell r="O59889" t="str">
            <v/>
          </cell>
        </row>
        <row r="59890">
          <cell r="O59890" t="str">
            <v/>
          </cell>
        </row>
        <row r="59891">
          <cell r="O59891" t="str">
            <v/>
          </cell>
        </row>
        <row r="59892">
          <cell r="O59892" t="str">
            <v/>
          </cell>
        </row>
        <row r="59893">
          <cell r="O59893" t="str">
            <v/>
          </cell>
        </row>
        <row r="59894">
          <cell r="O59894" t="str">
            <v/>
          </cell>
        </row>
        <row r="59895">
          <cell r="O59895" t="str">
            <v/>
          </cell>
        </row>
        <row r="59896">
          <cell r="O59896" t="str">
            <v/>
          </cell>
        </row>
        <row r="59897">
          <cell r="O59897" t="str">
            <v/>
          </cell>
        </row>
        <row r="59898">
          <cell r="O59898" t="str">
            <v/>
          </cell>
        </row>
        <row r="59899">
          <cell r="O59899" t="str">
            <v/>
          </cell>
        </row>
        <row r="59900">
          <cell r="O59900" t="str">
            <v/>
          </cell>
        </row>
        <row r="59901">
          <cell r="O59901" t="str">
            <v/>
          </cell>
        </row>
        <row r="59902">
          <cell r="O59902" t="str">
            <v/>
          </cell>
        </row>
        <row r="59903">
          <cell r="O59903" t="str">
            <v/>
          </cell>
        </row>
        <row r="59904">
          <cell r="O59904" t="str">
            <v/>
          </cell>
        </row>
        <row r="59905">
          <cell r="O59905" t="str">
            <v/>
          </cell>
        </row>
        <row r="59906">
          <cell r="O59906" t="str">
            <v/>
          </cell>
        </row>
        <row r="59907">
          <cell r="O59907" t="str">
            <v/>
          </cell>
        </row>
        <row r="59908">
          <cell r="O59908" t="str">
            <v/>
          </cell>
        </row>
        <row r="59909">
          <cell r="O59909" t="str">
            <v/>
          </cell>
        </row>
        <row r="59910">
          <cell r="O59910" t="str">
            <v/>
          </cell>
        </row>
        <row r="59911">
          <cell r="O59911" t="str">
            <v/>
          </cell>
        </row>
        <row r="59912">
          <cell r="O59912" t="str">
            <v/>
          </cell>
        </row>
        <row r="59913">
          <cell r="O59913" t="str">
            <v/>
          </cell>
        </row>
        <row r="59914">
          <cell r="O59914" t="str">
            <v/>
          </cell>
        </row>
        <row r="59915">
          <cell r="O59915" t="str">
            <v/>
          </cell>
        </row>
        <row r="59916">
          <cell r="O59916" t="str">
            <v/>
          </cell>
        </row>
        <row r="59917">
          <cell r="O59917" t="str">
            <v/>
          </cell>
        </row>
        <row r="59918">
          <cell r="O59918" t="str">
            <v/>
          </cell>
        </row>
        <row r="59919">
          <cell r="O59919" t="str">
            <v/>
          </cell>
        </row>
        <row r="59920">
          <cell r="O59920" t="str">
            <v/>
          </cell>
        </row>
        <row r="59921">
          <cell r="O59921" t="str">
            <v/>
          </cell>
        </row>
        <row r="59922">
          <cell r="O59922" t="str">
            <v/>
          </cell>
        </row>
        <row r="59923">
          <cell r="O59923" t="str">
            <v/>
          </cell>
        </row>
        <row r="59924">
          <cell r="O59924" t="str">
            <v/>
          </cell>
        </row>
        <row r="59925">
          <cell r="O59925" t="str">
            <v/>
          </cell>
        </row>
        <row r="59926">
          <cell r="O59926" t="str">
            <v/>
          </cell>
        </row>
        <row r="59927">
          <cell r="O59927" t="str">
            <v/>
          </cell>
        </row>
        <row r="59928">
          <cell r="O59928" t="str">
            <v/>
          </cell>
        </row>
        <row r="59929">
          <cell r="O59929" t="str">
            <v/>
          </cell>
        </row>
        <row r="59930">
          <cell r="O59930" t="str">
            <v/>
          </cell>
        </row>
        <row r="59931">
          <cell r="O59931" t="str">
            <v/>
          </cell>
        </row>
        <row r="59932">
          <cell r="O59932" t="str">
            <v/>
          </cell>
        </row>
        <row r="59933">
          <cell r="O59933" t="str">
            <v/>
          </cell>
        </row>
        <row r="59934">
          <cell r="O59934" t="str">
            <v/>
          </cell>
        </row>
        <row r="59935">
          <cell r="O59935" t="str">
            <v/>
          </cell>
        </row>
        <row r="59936">
          <cell r="O59936" t="str">
            <v/>
          </cell>
        </row>
        <row r="59937">
          <cell r="O59937" t="str">
            <v/>
          </cell>
        </row>
        <row r="59938">
          <cell r="O59938" t="str">
            <v/>
          </cell>
        </row>
        <row r="59939">
          <cell r="O59939" t="str">
            <v/>
          </cell>
        </row>
        <row r="59940">
          <cell r="O59940" t="str">
            <v/>
          </cell>
        </row>
        <row r="59941">
          <cell r="O59941" t="str">
            <v/>
          </cell>
        </row>
        <row r="59942">
          <cell r="O59942" t="str">
            <v/>
          </cell>
        </row>
        <row r="59943">
          <cell r="O59943" t="str">
            <v/>
          </cell>
        </row>
        <row r="59944">
          <cell r="O59944" t="str">
            <v/>
          </cell>
        </row>
        <row r="59945">
          <cell r="O59945" t="str">
            <v/>
          </cell>
        </row>
        <row r="59946">
          <cell r="O59946" t="str">
            <v/>
          </cell>
        </row>
        <row r="59947">
          <cell r="O59947" t="str">
            <v/>
          </cell>
        </row>
        <row r="59948">
          <cell r="O59948" t="str">
            <v/>
          </cell>
        </row>
        <row r="59949">
          <cell r="O59949" t="str">
            <v/>
          </cell>
        </row>
        <row r="59950">
          <cell r="O59950" t="str">
            <v/>
          </cell>
        </row>
        <row r="59951">
          <cell r="O59951" t="str">
            <v/>
          </cell>
        </row>
        <row r="59952">
          <cell r="O59952" t="str">
            <v/>
          </cell>
        </row>
        <row r="59953">
          <cell r="O59953" t="str">
            <v/>
          </cell>
        </row>
        <row r="59954">
          <cell r="O59954" t="str">
            <v/>
          </cell>
        </row>
        <row r="59955">
          <cell r="O59955" t="str">
            <v/>
          </cell>
        </row>
        <row r="59956">
          <cell r="O59956" t="str">
            <v/>
          </cell>
        </row>
        <row r="59957">
          <cell r="O59957" t="str">
            <v/>
          </cell>
        </row>
        <row r="59958">
          <cell r="O59958" t="str">
            <v/>
          </cell>
        </row>
        <row r="59959">
          <cell r="O59959" t="str">
            <v/>
          </cell>
        </row>
        <row r="59960">
          <cell r="O59960" t="str">
            <v/>
          </cell>
        </row>
        <row r="59961">
          <cell r="O59961" t="str">
            <v/>
          </cell>
        </row>
        <row r="59962">
          <cell r="O59962" t="str">
            <v/>
          </cell>
        </row>
        <row r="59963">
          <cell r="O59963" t="str">
            <v/>
          </cell>
        </row>
        <row r="59964">
          <cell r="O59964" t="str">
            <v/>
          </cell>
        </row>
        <row r="59965">
          <cell r="O59965" t="str">
            <v/>
          </cell>
        </row>
        <row r="59966">
          <cell r="O59966" t="str">
            <v/>
          </cell>
        </row>
        <row r="59967">
          <cell r="O59967" t="str">
            <v/>
          </cell>
        </row>
        <row r="59968">
          <cell r="O59968" t="str">
            <v/>
          </cell>
        </row>
        <row r="59969">
          <cell r="O59969" t="str">
            <v/>
          </cell>
        </row>
        <row r="59970">
          <cell r="O59970" t="str">
            <v/>
          </cell>
        </row>
        <row r="59971">
          <cell r="O59971" t="str">
            <v/>
          </cell>
        </row>
        <row r="59972">
          <cell r="O59972" t="str">
            <v/>
          </cell>
        </row>
        <row r="59973">
          <cell r="O59973" t="str">
            <v/>
          </cell>
        </row>
        <row r="59974">
          <cell r="O59974" t="str">
            <v/>
          </cell>
        </row>
        <row r="59975">
          <cell r="O59975" t="str">
            <v/>
          </cell>
        </row>
        <row r="59976">
          <cell r="O59976" t="str">
            <v/>
          </cell>
        </row>
        <row r="59977">
          <cell r="O59977" t="str">
            <v/>
          </cell>
        </row>
        <row r="59978">
          <cell r="O59978" t="str">
            <v/>
          </cell>
        </row>
        <row r="59979">
          <cell r="O59979" t="str">
            <v/>
          </cell>
        </row>
        <row r="59980">
          <cell r="O59980" t="str">
            <v/>
          </cell>
        </row>
        <row r="59981">
          <cell r="O59981" t="str">
            <v/>
          </cell>
        </row>
        <row r="59982">
          <cell r="O59982" t="str">
            <v/>
          </cell>
        </row>
        <row r="59983">
          <cell r="O59983" t="str">
            <v/>
          </cell>
        </row>
        <row r="59984">
          <cell r="O59984" t="str">
            <v/>
          </cell>
        </row>
        <row r="59985">
          <cell r="O59985" t="str">
            <v/>
          </cell>
        </row>
        <row r="59986">
          <cell r="O59986" t="str">
            <v/>
          </cell>
        </row>
        <row r="59987">
          <cell r="O59987" t="str">
            <v/>
          </cell>
        </row>
        <row r="59988">
          <cell r="O59988" t="str">
            <v/>
          </cell>
        </row>
        <row r="59989">
          <cell r="O59989" t="str">
            <v/>
          </cell>
        </row>
        <row r="59990">
          <cell r="O59990" t="str">
            <v/>
          </cell>
        </row>
        <row r="59991">
          <cell r="O59991" t="str">
            <v/>
          </cell>
        </row>
        <row r="59992">
          <cell r="O59992" t="str">
            <v/>
          </cell>
        </row>
        <row r="59993">
          <cell r="O59993" t="str">
            <v/>
          </cell>
        </row>
        <row r="59994">
          <cell r="O59994" t="str">
            <v/>
          </cell>
        </row>
        <row r="59995">
          <cell r="O59995" t="str">
            <v/>
          </cell>
        </row>
        <row r="59996">
          <cell r="O59996" t="str">
            <v/>
          </cell>
        </row>
        <row r="59997">
          <cell r="O59997" t="str">
            <v/>
          </cell>
        </row>
        <row r="59998">
          <cell r="O59998" t="str">
            <v/>
          </cell>
        </row>
        <row r="59999">
          <cell r="O59999" t="str">
            <v/>
          </cell>
        </row>
        <row r="60000">
          <cell r="O60000" t="str">
            <v/>
          </cell>
        </row>
        <row r="60001">
          <cell r="O60001" t="str">
            <v/>
          </cell>
        </row>
        <row r="60002">
          <cell r="O60002" t="str">
            <v/>
          </cell>
        </row>
        <row r="60003">
          <cell r="O60003" t="str">
            <v/>
          </cell>
        </row>
        <row r="60004">
          <cell r="O60004" t="str">
            <v/>
          </cell>
        </row>
        <row r="60005">
          <cell r="O60005" t="str">
            <v/>
          </cell>
        </row>
        <row r="60006">
          <cell r="O60006" t="str">
            <v/>
          </cell>
        </row>
        <row r="60007">
          <cell r="O60007" t="str">
            <v/>
          </cell>
        </row>
        <row r="60008">
          <cell r="O60008" t="str">
            <v/>
          </cell>
        </row>
        <row r="60009">
          <cell r="O60009" t="str">
            <v/>
          </cell>
        </row>
        <row r="60010">
          <cell r="O60010" t="str">
            <v/>
          </cell>
        </row>
        <row r="60011">
          <cell r="O60011" t="str">
            <v/>
          </cell>
        </row>
        <row r="60012">
          <cell r="O60012" t="str">
            <v/>
          </cell>
        </row>
        <row r="60013">
          <cell r="O60013" t="str">
            <v/>
          </cell>
        </row>
        <row r="60014">
          <cell r="O60014" t="str">
            <v/>
          </cell>
        </row>
        <row r="60015">
          <cell r="O60015" t="str">
            <v/>
          </cell>
        </row>
        <row r="60016">
          <cell r="O60016" t="str">
            <v/>
          </cell>
        </row>
        <row r="60017">
          <cell r="O60017" t="str">
            <v/>
          </cell>
        </row>
        <row r="60018">
          <cell r="O60018" t="str">
            <v/>
          </cell>
        </row>
        <row r="60019">
          <cell r="O60019" t="str">
            <v/>
          </cell>
        </row>
        <row r="60020">
          <cell r="O60020" t="str">
            <v/>
          </cell>
        </row>
        <row r="60021">
          <cell r="O60021" t="str">
            <v/>
          </cell>
        </row>
        <row r="60022">
          <cell r="O60022" t="str">
            <v/>
          </cell>
        </row>
        <row r="60023">
          <cell r="O60023" t="str">
            <v/>
          </cell>
        </row>
        <row r="60024">
          <cell r="O60024" t="str">
            <v/>
          </cell>
        </row>
        <row r="60025">
          <cell r="O60025" t="str">
            <v/>
          </cell>
        </row>
        <row r="60026">
          <cell r="O60026" t="str">
            <v/>
          </cell>
        </row>
        <row r="60027">
          <cell r="O60027" t="str">
            <v/>
          </cell>
        </row>
        <row r="60028">
          <cell r="O60028" t="str">
            <v/>
          </cell>
        </row>
        <row r="60029">
          <cell r="O60029" t="str">
            <v/>
          </cell>
        </row>
        <row r="60030">
          <cell r="O60030" t="str">
            <v/>
          </cell>
        </row>
        <row r="60031">
          <cell r="O60031" t="str">
            <v/>
          </cell>
        </row>
        <row r="60032">
          <cell r="O60032" t="str">
            <v/>
          </cell>
        </row>
        <row r="60033">
          <cell r="O60033" t="str">
            <v/>
          </cell>
        </row>
        <row r="60034">
          <cell r="O60034" t="str">
            <v/>
          </cell>
        </row>
        <row r="60035">
          <cell r="O60035" t="str">
            <v/>
          </cell>
        </row>
        <row r="60036">
          <cell r="O60036" t="str">
            <v/>
          </cell>
        </row>
        <row r="60037">
          <cell r="O60037" t="str">
            <v/>
          </cell>
        </row>
        <row r="60038">
          <cell r="O60038" t="str">
            <v/>
          </cell>
        </row>
        <row r="60039">
          <cell r="O60039" t="str">
            <v/>
          </cell>
        </row>
        <row r="60040">
          <cell r="O60040" t="str">
            <v/>
          </cell>
        </row>
        <row r="60041">
          <cell r="O60041" t="str">
            <v/>
          </cell>
        </row>
        <row r="60042">
          <cell r="O60042" t="str">
            <v/>
          </cell>
        </row>
        <row r="60043">
          <cell r="O60043" t="str">
            <v/>
          </cell>
        </row>
        <row r="60044">
          <cell r="O60044" t="str">
            <v/>
          </cell>
        </row>
        <row r="60045">
          <cell r="O60045" t="str">
            <v/>
          </cell>
        </row>
        <row r="60046">
          <cell r="O60046" t="str">
            <v/>
          </cell>
        </row>
        <row r="60047">
          <cell r="O60047" t="str">
            <v/>
          </cell>
        </row>
        <row r="60048">
          <cell r="O60048" t="str">
            <v/>
          </cell>
        </row>
        <row r="60049">
          <cell r="O60049" t="str">
            <v/>
          </cell>
        </row>
        <row r="60050">
          <cell r="O60050" t="str">
            <v/>
          </cell>
        </row>
        <row r="60051">
          <cell r="O60051" t="str">
            <v/>
          </cell>
        </row>
        <row r="60052">
          <cell r="O60052" t="str">
            <v/>
          </cell>
        </row>
        <row r="60053">
          <cell r="O60053" t="str">
            <v/>
          </cell>
        </row>
        <row r="60054">
          <cell r="O60054" t="str">
            <v/>
          </cell>
        </row>
        <row r="60055">
          <cell r="O60055" t="str">
            <v/>
          </cell>
        </row>
        <row r="60056">
          <cell r="O60056" t="str">
            <v/>
          </cell>
        </row>
        <row r="60057">
          <cell r="O60057" t="str">
            <v/>
          </cell>
        </row>
        <row r="60058">
          <cell r="O60058" t="str">
            <v/>
          </cell>
        </row>
        <row r="60059">
          <cell r="O60059" t="str">
            <v/>
          </cell>
        </row>
        <row r="60060">
          <cell r="O60060" t="str">
            <v/>
          </cell>
        </row>
        <row r="60061">
          <cell r="O60061" t="str">
            <v/>
          </cell>
        </row>
        <row r="60062">
          <cell r="O60062" t="str">
            <v/>
          </cell>
        </row>
        <row r="60063">
          <cell r="O60063" t="str">
            <v/>
          </cell>
        </row>
        <row r="60064">
          <cell r="O60064" t="str">
            <v/>
          </cell>
        </row>
        <row r="60065">
          <cell r="O60065" t="str">
            <v/>
          </cell>
        </row>
        <row r="60066">
          <cell r="O60066" t="str">
            <v/>
          </cell>
        </row>
        <row r="60067">
          <cell r="O60067" t="str">
            <v/>
          </cell>
        </row>
        <row r="60068">
          <cell r="O60068" t="str">
            <v/>
          </cell>
        </row>
        <row r="60069">
          <cell r="O60069" t="str">
            <v/>
          </cell>
        </row>
        <row r="60070">
          <cell r="O60070" t="str">
            <v/>
          </cell>
        </row>
        <row r="60071">
          <cell r="O60071" t="str">
            <v/>
          </cell>
        </row>
        <row r="60072">
          <cell r="O60072" t="str">
            <v/>
          </cell>
        </row>
        <row r="60073">
          <cell r="O60073" t="str">
            <v/>
          </cell>
        </row>
        <row r="60074">
          <cell r="O60074" t="str">
            <v/>
          </cell>
        </row>
        <row r="60075">
          <cell r="O60075" t="str">
            <v/>
          </cell>
        </row>
        <row r="60076">
          <cell r="O60076" t="str">
            <v/>
          </cell>
        </row>
        <row r="60077">
          <cell r="O60077" t="str">
            <v/>
          </cell>
        </row>
        <row r="60078">
          <cell r="O60078" t="str">
            <v/>
          </cell>
        </row>
        <row r="60079">
          <cell r="O60079" t="str">
            <v/>
          </cell>
        </row>
        <row r="60080">
          <cell r="O60080" t="str">
            <v/>
          </cell>
        </row>
        <row r="60081">
          <cell r="O60081" t="str">
            <v/>
          </cell>
        </row>
        <row r="60082">
          <cell r="O60082" t="str">
            <v/>
          </cell>
        </row>
        <row r="60083">
          <cell r="O60083" t="str">
            <v/>
          </cell>
        </row>
        <row r="60084">
          <cell r="O60084" t="str">
            <v/>
          </cell>
        </row>
        <row r="60085">
          <cell r="O60085" t="str">
            <v/>
          </cell>
        </row>
        <row r="60086">
          <cell r="O60086" t="str">
            <v/>
          </cell>
        </row>
        <row r="60087">
          <cell r="O60087" t="str">
            <v/>
          </cell>
        </row>
        <row r="60088">
          <cell r="O60088" t="str">
            <v/>
          </cell>
        </row>
        <row r="60089">
          <cell r="O60089" t="str">
            <v/>
          </cell>
        </row>
        <row r="60090">
          <cell r="O60090" t="str">
            <v/>
          </cell>
        </row>
        <row r="60091">
          <cell r="O60091" t="str">
            <v/>
          </cell>
        </row>
        <row r="60092">
          <cell r="O60092" t="str">
            <v/>
          </cell>
        </row>
        <row r="60093">
          <cell r="O60093" t="str">
            <v/>
          </cell>
        </row>
        <row r="60094">
          <cell r="O60094" t="str">
            <v/>
          </cell>
        </row>
        <row r="60095">
          <cell r="O60095" t="str">
            <v/>
          </cell>
        </row>
        <row r="60096">
          <cell r="O60096" t="str">
            <v/>
          </cell>
        </row>
        <row r="60097">
          <cell r="O60097" t="str">
            <v/>
          </cell>
        </row>
        <row r="60098">
          <cell r="O60098" t="str">
            <v/>
          </cell>
        </row>
        <row r="60099">
          <cell r="O60099" t="str">
            <v/>
          </cell>
        </row>
        <row r="60100">
          <cell r="O60100" t="str">
            <v/>
          </cell>
        </row>
        <row r="60101">
          <cell r="O60101" t="str">
            <v/>
          </cell>
        </row>
        <row r="60102">
          <cell r="O60102" t="str">
            <v/>
          </cell>
        </row>
        <row r="60103">
          <cell r="O60103" t="str">
            <v/>
          </cell>
        </row>
        <row r="60104">
          <cell r="O60104" t="str">
            <v/>
          </cell>
        </row>
        <row r="60105">
          <cell r="O60105" t="str">
            <v/>
          </cell>
        </row>
        <row r="60106">
          <cell r="O60106" t="str">
            <v/>
          </cell>
        </row>
        <row r="60107">
          <cell r="O60107" t="str">
            <v/>
          </cell>
        </row>
        <row r="60108">
          <cell r="O60108" t="str">
            <v/>
          </cell>
        </row>
        <row r="60109">
          <cell r="O60109" t="str">
            <v/>
          </cell>
        </row>
        <row r="60110">
          <cell r="O60110" t="str">
            <v/>
          </cell>
        </row>
        <row r="60111">
          <cell r="O60111" t="str">
            <v/>
          </cell>
        </row>
        <row r="60112">
          <cell r="O60112" t="str">
            <v/>
          </cell>
        </row>
        <row r="60113">
          <cell r="O60113" t="str">
            <v/>
          </cell>
        </row>
        <row r="60114">
          <cell r="O60114" t="str">
            <v/>
          </cell>
        </row>
        <row r="60115">
          <cell r="O60115" t="str">
            <v/>
          </cell>
        </row>
        <row r="60116">
          <cell r="O60116" t="str">
            <v/>
          </cell>
        </row>
        <row r="60117">
          <cell r="O60117" t="str">
            <v/>
          </cell>
        </row>
        <row r="60118">
          <cell r="O60118" t="str">
            <v/>
          </cell>
        </row>
        <row r="60119">
          <cell r="O60119" t="str">
            <v/>
          </cell>
        </row>
        <row r="60120">
          <cell r="O60120" t="str">
            <v/>
          </cell>
        </row>
        <row r="60121">
          <cell r="O60121" t="str">
            <v/>
          </cell>
        </row>
        <row r="60122">
          <cell r="O60122" t="str">
            <v/>
          </cell>
        </row>
        <row r="60123">
          <cell r="O60123" t="str">
            <v/>
          </cell>
        </row>
        <row r="60124">
          <cell r="O60124" t="str">
            <v/>
          </cell>
        </row>
        <row r="60125">
          <cell r="O60125" t="str">
            <v/>
          </cell>
        </row>
        <row r="60126">
          <cell r="O60126" t="str">
            <v/>
          </cell>
        </row>
        <row r="60127">
          <cell r="O60127" t="str">
            <v/>
          </cell>
        </row>
        <row r="60128">
          <cell r="O60128" t="str">
            <v/>
          </cell>
        </row>
        <row r="60129">
          <cell r="O60129" t="str">
            <v/>
          </cell>
        </row>
        <row r="60130">
          <cell r="O60130" t="str">
            <v/>
          </cell>
        </row>
        <row r="60131">
          <cell r="O60131" t="str">
            <v/>
          </cell>
        </row>
        <row r="60132">
          <cell r="O60132" t="str">
            <v/>
          </cell>
        </row>
        <row r="60133">
          <cell r="O60133" t="str">
            <v/>
          </cell>
        </row>
        <row r="60134">
          <cell r="O60134" t="str">
            <v/>
          </cell>
        </row>
        <row r="60135">
          <cell r="O60135" t="str">
            <v/>
          </cell>
        </row>
        <row r="60136">
          <cell r="O60136" t="str">
            <v/>
          </cell>
        </row>
        <row r="60137">
          <cell r="O60137" t="str">
            <v/>
          </cell>
        </row>
        <row r="60138">
          <cell r="O60138" t="str">
            <v/>
          </cell>
        </row>
        <row r="60139">
          <cell r="O60139" t="str">
            <v/>
          </cell>
        </row>
        <row r="60140">
          <cell r="O60140" t="str">
            <v/>
          </cell>
        </row>
        <row r="60141">
          <cell r="O60141" t="str">
            <v/>
          </cell>
        </row>
        <row r="60142">
          <cell r="O60142" t="str">
            <v/>
          </cell>
        </row>
        <row r="60143">
          <cell r="O60143" t="str">
            <v/>
          </cell>
        </row>
        <row r="60144">
          <cell r="O60144" t="str">
            <v/>
          </cell>
        </row>
        <row r="60145">
          <cell r="O60145" t="str">
            <v/>
          </cell>
        </row>
        <row r="60146">
          <cell r="O60146" t="str">
            <v/>
          </cell>
        </row>
        <row r="60147">
          <cell r="O60147" t="str">
            <v/>
          </cell>
        </row>
        <row r="60148">
          <cell r="O60148" t="str">
            <v/>
          </cell>
        </row>
        <row r="60149">
          <cell r="O60149" t="str">
            <v/>
          </cell>
        </row>
        <row r="60150">
          <cell r="O60150" t="str">
            <v/>
          </cell>
        </row>
        <row r="60151">
          <cell r="O60151" t="str">
            <v/>
          </cell>
        </row>
        <row r="60152">
          <cell r="O60152" t="str">
            <v/>
          </cell>
        </row>
        <row r="60153">
          <cell r="O60153" t="str">
            <v/>
          </cell>
        </row>
        <row r="60154">
          <cell r="O60154" t="str">
            <v/>
          </cell>
        </row>
        <row r="60155">
          <cell r="O60155" t="str">
            <v/>
          </cell>
        </row>
        <row r="60156">
          <cell r="O60156" t="str">
            <v/>
          </cell>
        </row>
        <row r="60157">
          <cell r="O60157" t="str">
            <v/>
          </cell>
        </row>
        <row r="60158">
          <cell r="O60158" t="str">
            <v/>
          </cell>
        </row>
        <row r="60159">
          <cell r="O60159" t="str">
            <v/>
          </cell>
        </row>
        <row r="60160">
          <cell r="O60160" t="str">
            <v/>
          </cell>
        </row>
        <row r="60161">
          <cell r="O60161" t="str">
            <v/>
          </cell>
        </row>
        <row r="60162">
          <cell r="O60162" t="str">
            <v/>
          </cell>
        </row>
        <row r="60163">
          <cell r="O60163" t="str">
            <v/>
          </cell>
        </row>
        <row r="60164">
          <cell r="O60164" t="str">
            <v/>
          </cell>
        </row>
        <row r="60165">
          <cell r="O60165" t="str">
            <v/>
          </cell>
        </row>
        <row r="60166">
          <cell r="O60166" t="str">
            <v/>
          </cell>
        </row>
        <row r="60167">
          <cell r="O60167" t="str">
            <v/>
          </cell>
        </row>
        <row r="60168">
          <cell r="O60168" t="str">
            <v/>
          </cell>
        </row>
        <row r="60169">
          <cell r="O60169" t="str">
            <v/>
          </cell>
        </row>
        <row r="60170">
          <cell r="O60170" t="str">
            <v/>
          </cell>
        </row>
        <row r="60171">
          <cell r="O60171" t="str">
            <v/>
          </cell>
        </row>
        <row r="60172">
          <cell r="O60172" t="str">
            <v/>
          </cell>
        </row>
        <row r="60173">
          <cell r="O60173" t="str">
            <v/>
          </cell>
        </row>
        <row r="60174">
          <cell r="O60174" t="str">
            <v/>
          </cell>
        </row>
        <row r="60175">
          <cell r="O60175" t="str">
            <v/>
          </cell>
        </row>
        <row r="60176">
          <cell r="O60176" t="str">
            <v/>
          </cell>
        </row>
        <row r="60177">
          <cell r="O60177" t="str">
            <v/>
          </cell>
        </row>
        <row r="60178">
          <cell r="O60178" t="str">
            <v/>
          </cell>
        </row>
        <row r="60179">
          <cell r="O60179" t="str">
            <v/>
          </cell>
        </row>
        <row r="60180">
          <cell r="O60180" t="str">
            <v/>
          </cell>
        </row>
        <row r="60181">
          <cell r="O60181" t="str">
            <v/>
          </cell>
        </row>
        <row r="60182">
          <cell r="O60182" t="str">
            <v/>
          </cell>
        </row>
        <row r="60183">
          <cell r="O60183" t="str">
            <v/>
          </cell>
        </row>
        <row r="60184">
          <cell r="O60184" t="str">
            <v/>
          </cell>
        </row>
        <row r="60185">
          <cell r="O60185" t="str">
            <v/>
          </cell>
        </row>
        <row r="60186">
          <cell r="O60186" t="str">
            <v/>
          </cell>
        </row>
        <row r="60187">
          <cell r="O60187" t="str">
            <v/>
          </cell>
        </row>
        <row r="60188">
          <cell r="O60188" t="str">
            <v/>
          </cell>
        </row>
        <row r="60189">
          <cell r="O60189" t="str">
            <v/>
          </cell>
        </row>
        <row r="60190">
          <cell r="O60190" t="str">
            <v/>
          </cell>
        </row>
        <row r="60191">
          <cell r="O60191" t="str">
            <v/>
          </cell>
        </row>
        <row r="60192">
          <cell r="O60192" t="str">
            <v/>
          </cell>
        </row>
        <row r="60193">
          <cell r="O60193" t="str">
            <v/>
          </cell>
        </row>
        <row r="60194">
          <cell r="O60194" t="str">
            <v/>
          </cell>
        </row>
        <row r="60195">
          <cell r="O60195" t="str">
            <v/>
          </cell>
        </row>
        <row r="60196">
          <cell r="O60196" t="str">
            <v/>
          </cell>
        </row>
        <row r="60197">
          <cell r="O60197" t="str">
            <v/>
          </cell>
        </row>
        <row r="60198">
          <cell r="O60198" t="str">
            <v/>
          </cell>
        </row>
        <row r="60199">
          <cell r="O60199" t="str">
            <v/>
          </cell>
        </row>
        <row r="60200">
          <cell r="O60200" t="str">
            <v/>
          </cell>
        </row>
        <row r="60201">
          <cell r="O60201" t="str">
            <v/>
          </cell>
        </row>
        <row r="60202">
          <cell r="O60202" t="str">
            <v/>
          </cell>
        </row>
        <row r="60203">
          <cell r="O60203" t="str">
            <v/>
          </cell>
        </row>
        <row r="60204">
          <cell r="O60204" t="str">
            <v/>
          </cell>
        </row>
        <row r="60205">
          <cell r="O60205" t="str">
            <v/>
          </cell>
        </row>
        <row r="60206">
          <cell r="O60206" t="str">
            <v/>
          </cell>
        </row>
        <row r="60207">
          <cell r="O60207" t="str">
            <v/>
          </cell>
        </row>
        <row r="60208">
          <cell r="O60208" t="str">
            <v/>
          </cell>
        </row>
        <row r="60209">
          <cell r="O60209" t="str">
            <v/>
          </cell>
        </row>
        <row r="60210">
          <cell r="O60210" t="str">
            <v/>
          </cell>
        </row>
        <row r="60211">
          <cell r="O60211" t="str">
            <v/>
          </cell>
        </row>
        <row r="60212">
          <cell r="O60212" t="str">
            <v/>
          </cell>
        </row>
        <row r="60213">
          <cell r="O60213" t="str">
            <v/>
          </cell>
        </row>
        <row r="60214">
          <cell r="O60214" t="str">
            <v/>
          </cell>
        </row>
        <row r="60215">
          <cell r="O60215" t="str">
            <v/>
          </cell>
        </row>
        <row r="60216">
          <cell r="O60216" t="str">
            <v/>
          </cell>
        </row>
        <row r="60217">
          <cell r="O60217" t="str">
            <v/>
          </cell>
        </row>
        <row r="60218">
          <cell r="O60218" t="str">
            <v/>
          </cell>
        </row>
        <row r="60219">
          <cell r="O60219" t="str">
            <v/>
          </cell>
        </row>
        <row r="60220">
          <cell r="O60220" t="str">
            <v/>
          </cell>
        </row>
        <row r="60221">
          <cell r="O60221" t="str">
            <v/>
          </cell>
        </row>
        <row r="60222">
          <cell r="O60222" t="str">
            <v/>
          </cell>
        </row>
        <row r="60223">
          <cell r="O60223" t="str">
            <v/>
          </cell>
        </row>
        <row r="60224">
          <cell r="O60224" t="str">
            <v/>
          </cell>
        </row>
        <row r="60225">
          <cell r="O60225" t="str">
            <v/>
          </cell>
        </row>
        <row r="60226">
          <cell r="O60226" t="str">
            <v/>
          </cell>
        </row>
        <row r="60227">
          <cell r="O60227" t="str">
            <v/>
          </cell>
        </row>
        <row r="60228">
          <cell r="O60228" t="str">
            <v/>
          </cell>
        </row>
        <row r="60229">
          <cell r="O60229" t="str">
            <v/>
          </cell>
        </row>
        <row r="60230">
          <cell r="O60230" t="str">
            <v/>
          </cell>
        </row>
        <row r="60231">
          <cell r="O60231" t="str">
            <v/>
          </cell>
        </row>
        <row r="60232">
          <cell r="O60232" t="str">
            <v/>
          </cell>
        </row>
        <row r="60233">
          <cell r="O60233" t="str">
            <v/>
          </cell>
        </row>
        <row r="60234">
          <cell r="O60234" t="str">
            <v/>
          </cell>
        </row>
        <row r="60235">
          <cell r="O60235" t="str">
            <v/>
          </cell>
        </row>
        <row r="60236">
          <cell r="O60236" t="str">
            <v/>
          </cell>
        </row>
        <row r="60237">
          <cell r="O60237" t="str">
            <v/>
          </cell>
        </row>
        <row r="60238">
          <cell r="O60238" t="str">
            <v/>
          </cell>
        </row>
        <row r="60239">
          <cell r="O60239" t="str">
            <v/>
          </cell>
        </row>
        <row r="60240">
          <cell r="O60240" t="str">
            <v/>
          </cell>
        </row>
        <row r="60241">
          <cell r="O60241" t="str">
            <v/>
          </cell>
        </row>
        <row r="60242">
          <cell r="O60242" t="str">
            <v/>
          </cell>
        </row>
        <row r="60243">
          <cell r="O60243" t="str">
            <v/>
          </cell>
        </row>
        <row r="60244">
          <cell r="O60244" t="str">
            <v/>
          </cell>
        </row>
        <row r="60245">
          <cell r="O60245" t="str">
            <v/>
          </cell>
        </row>
        <row r="60246">
          <cell r="O60246" t="str">
            <v/>
          </cell>
        </row>
        <row r="60247">
          <cell r="O60247" t="str">
            <v/>
          </cell>
        </row>
        <row r="60248">
          <cell r="O60248" t="str">
            <v/>
          </cell>
        </row>
        <row r="60249">
          <cell r="O60249" t="str">
            <v/>
          </cell>
        </row>
        <row r="60250">
          <cell r="O60250" t="str">
            <v/>
          </cell>
        </row>
        <row r="60251">
          <cell r="O60251" t="str">
            <v/>
          </cell>
        </row>
        <row r="60252">
          <cell r="O60252" t="str">
            <v/>
          </cell>
        </row>
        <row r="60253">
          <cell r="O60253" t="str">
            <v/>
          </cell>
        </row>
        <row r="60254">
          <cell r="O60254" t="str">
            <v/>
          </cell>
        </row>
        <row r="60255">
          <cell r="O60255" t="str">
            <v/>
          </cell>
        </row>
        <row r="60256">
          <cell r="O60256" t="str">
            <v/>
          </cell>
        </row>
        <row r="60257">
          <cell r="O60257" t="str">
            <v/>
          </cell>
        </row>
        <row r="60258">
          <cell r="O60258" t="str">
            <v/>
          </cell>
        </row>
        <row r="60259">
          <cell r="O60259" t="str">
            <v/>
          </cell>
        </row>
        <row r="60260">
          <cell r="O60260" t="str">
            <v/>
          </cell>
        </row>
        <row r="60261">
          <cell r="O60261" t="str">
            <v/>
          </cell>
        </row>
        <row r="60262">
          <cell r="O60262" t="str">
            <v/>
          </cell>
        </row>
        <row r="60263">
          <cell r="O60263" t="str">
            <v/>
          </cell>
        </row>
        <row r="60264">
          <cell r="O60264" t="str">
            <v/>
          </cell>
        </row>
        <row r="60265">
          <cell r="O60265" t="str">
            <v/>
          </cell>
        </row>
        <row r="60266">
          <cell r="O60266" t="str">
            <v/>
          </cell>
        </row>
        <row r="60267">
          <cell r="O60267" t="str">
            <v/>
          </cell>
        </row>
        <row r="60268">
          <cell r="O60268" t="str">
            <v/>
          </cell>
        </row>
        <row r="60269">
          <cell r="O60269" t="str">
            <v/>
          </cell>
        </row>
        <row r="60270">
          <cell r="O60270" t="str">
            <v/>
          </cell>
        </row>
        <row r="60271">
          <cell r="O60271" t="str">
            <v/>
          </cell>
        </row>
        <row r="60272">
          <cell r="O60272" t="str">
            <v/>
          </cell>
        </row>
        <row r="60273">
          <cell r="O60273" t="str">
            <v/>
          </cell>
        </row>
        <row r="60274">
          <cell r="O60274" t="str">
            <v/>
          </cell>
        </row>
        <row r="60275">
          <cell r="O60275" t="str">
            <v/>
          </cell>
        </row>
        <row r="60276">
          <cell r="O60276" t="str">
            <v/>
          </cell>
        </row>
        <row r="60277">
          <cell r="O60277" t="str">
            <v/>
          </cell>
        </row>
        <row r="60278">
          <cell r="O60278" t="str">
            <v/>
          </cell>
        </row>
        <row r="60279">
          <cell r="O60279" t="str">
            <v/>
          </cell>
        </row>
        <row r="60280">
          <cell r="O60280" t="str">
            <v/>
          </cell>
        </row>
        <row r="60281">
          <cell r="O60281" t="str">
            <v/>
          </cell>
        </row>
        <row r="60282">
          <cell r="O60282" t="str">
            <v/>
          </cell>
        </row>
        <row r="60283">
          <cell r="O60283" t="str">
            <v/>
          </cell>
        </row>
        <row r="60284">
          <cell r="O60284" t="str">
            <v/>
          </cell>
        </row>
        <row r="60285">
          <cell r="O60285" t="str">
            <v/>
          </cell>
        </row>
        <row r="60286">
          <cell r="O60286" t="str">
            <v/>
          </cell>
        </row>
        <row r="60287">
          <cell r="O60287" t="str">
            <v/>
          </cell>
        </row>
        <row r="60288">
          <cell r="O60288" t="str">
            <v/>
          </cell>
        </row>
        <row r="60289">
          <cell r="O60289" t="str">
            <v/>
          </cell>
        </row>
        <row r="60290">
          <cell r="O60290" t="str">
            <v/>
          </cell>
        </row>
        <row r="60291">
          <cell r="O60291" t="str">
            <v/>
          </cell>
        </row>
        <row r="60292">
          <cell r="O60292" t="str">
            <v/>
          </cell>
        </row>
        <row r="60293">
          <cell r="O60293" t="str">
            <v/>
          </cell>
        </row>
        <row r="60294">
          <cell r="O60294" t="str">
            <v/>
          </cell>
        </row>
        <row r="60295">
          <cell r="O60295" t="str">
            <v/>
          </cell>
        </row>
        <row r="60296">
          <cell r="O60296" t="str">
            <v/>
          </cell>
        </row>
        <row r="60297">
          <cell r="O60297" t="str">
            <v/>
          </cell>
        </row>
        <row r="60298">
          <cell r="O60298" t="str">
            <v/>
          </cell>
        </row>
        <row r="60299">
          <cell r="O60299" t="str">
            <v/>
          </cell>
        </row>
        <row r="60300">
          <cell r="O60300" t="str">
            <v/>
          </cell>
        </row>
        <row r="60301">
          <cell r="O60301" t="str">
            <v/>
          </cell>
        </row>
        <row r="60302">
          <cell r="O60302" t="str">
            <v/>
          </cell>
        </row>
        <row r="60303">
          <cell r="O60303" t="str">
            <v/>
          </cell>
        </row>
        <row r="60304">
          <cell r="O60304" t="str">
            <v/>
          </cell>
        </row>
        <row r="60305">
          <cell r="O60305" t="str">
            <v/>
          </cell>
        </row>
        <row r="60306">
          <cell r="O60306" t="str">
            <v/>
          </cell>
        </row>
        <row r="60307">
          <cell r="O60307" t="str">
            <v/>
          </cell>
        </row>
        <row r="60308">
          <cell r="O60308" t="str">
            <v/>
          </cell>
        </row>
        <row r="60309">
          <cell r="O60309" t="str">
            <v/>
          </cell>
        </row>
        <row r="60310">
          <cell r="O60310" t="str">
            <v/>
          </cell>
        </row>
        <row r="60311">
          <cell r="O60311" t="str">
            <v/>
          </cell>
        </row>
        <row r="60312">
          <cell r="O60312" t="str">
            <v/>
          </cell>
        </row>
        <row r="60313">
          <cell r="O60313" t="str">
            <v/>
          </cell>
        </row>
        <row r="60314">
          <cell r="O60314" t="str">
            <v/>
          </cell>
        </row>
        <row r="60315">
          <cell r="O60315" t="str">
            <v/>
          </cell>
        </row>
        <row r="60316">
          <cell r="O60316" t="str">
            <v/>
          </cell>
        </row>
        <row r="60317">
          <cell r="O60317" t="str">
            <v/>
          </cell>
        </row>
        <row r="60318">
          <cell r="O60318" t="str">
            <v/>
          </cell>
        </row>
        <row r="60319">
          <cell r="O60319" t="str">
            <v/>
          </cell>
        </row>
        <row r="60320">
          <cell r="O60320" t="str">
            <v/>
          </cell>
        </row>
        <row r="60321">
          <cell r="O60321" t="str">
            <v/>
          </cell>
        </row>
        <row r="60322">
          <cell r="O60322" t="str">
            <v/>
          </cell>
        </row>
        <row r="60323">
          <cell r="O60323" t="str">
            <v/>
          </cell>
        </row>
        <row r="60324">
          <cell r="O60324" t="str">
            <v/>
          </cell>
        </row>
        <row r="60325">
          <cell r="O60325" t="str">
            <v/>
          </cell>
        </row>
        <row r="60326">
          <cell r="O60326" t="str">
            <v/>
          </cell>
        </row>
        <row r="60327">
          <cell r="O60327" t="str">
            <v/>
          </cell>
        </row>
        <row r="60328">
          <cell r="O60328" t="str">
            <v/>
          </cell>
        </row>
        <row r="60329">
          <cell r="O60329" t="str">
            <v/>
          </cell>
        </row>
        <row r="60330">
          <cell r="O60330" t="str">
            <v/>
          </cell>
        </row>
        <row r="60331">
          <cell r="O60331" t="str">
            <v/>
          </cell>
        </row>
        <row r="60332">
          <cell r="O60332" t="str">
            <v/>
          </cell>
        </row>
        <row r="60333">
          <cell r="O60333" t="str">
            <v/>
          </cell>
        </row>
        <row r="60334">
          <cell r="O60334" t="str">
            <v/>
          </cell>
        </row>
        <row r="60335">
          <cell r="O60335" t="str">
            <v/>
          </cell>
        </row>
        <row r="60336">
          <cell r="O60336" t="str">
            <v/>
          </cell>
        </row>
        <row r="60337">
          <cell r="O60337" t="str">
            <v/>
          </cell>
        </row>
        <row r="60338">
          <cell r="O60338" t="str">
            <v/>
          </cell>
        </row>
        <row r="60339">
          <cell r="O60339" t="str">
            <v/>
          </cell>
        </row>
        <row r="60340">
          <cell r="O60340" t="str">
            <v/>
          </cell>
        </row>
        <row r="60341">
          <cell r="O60341" t="str">
            <v/>
          </cell>
        </row>
        <row r="60342">
          <cell r="O60342" t="str">
            <v/>
          </cell>
        </row>
        <row r="60343">
          <cell r="O60343" t="str">
            <v/>
          </cell>
        </row>
        <row r="60344">
          <cell r="O60344" t="str">
            <v/>
          </cell>
        </row>
        <row r="60345">
          <cell r="O60345" t="str">
            <v/>
          </cell>
        </row>
        <row r="60346">
          <cell r="O60346" t="str">
            <v/>
          </cell>
        </row>
        <row r="60347">
          <cell r="O60347" t="str">
            <v/>
          </cell>
        </row>
        <row r="60348">
          <cell r="O60348" t="str">
            <v/>
          </cell>
        </row>
        <row r="60349">
          <cell r="O60349" t="str">
            <v/>
          </cell>
        </row>
        <row r="60350">
          <cell r="O60350" t="str">
            <v/>
          </cell>
        </row>
        <row r="60351">
          <cell r="O60351" t="str">
            <v/>
          </cell>
        </row>
        <row r="60352">
          <cell r="O60352" t="str">
            <v/>
          </cell>
        </row>
        <row r="60353">
          <cell r="O60353" t="str">
            <v/>
          </cell>
        </row>
        <row r="60354">
          <cell r="O60354" t="str">
            <v/>
          </cell>
        </row>
        <row r="60355">
          <cell r="O60355" t="str">
            <v/>
          </cell>
        </row>
        <row r="60356">
          <cell r="O60356" t="str">
            <v/>
          </cell>
        </row>
        <row r="60357">
          <cell r="O60357" t="str">
            <v/>
          </cell>
        </row>
        <row r="60358">
          <cell r="O60358" t="str">
            <v/>
          </cell>
        </row>
        <row r="60359">
          <cell r="O60359" t="str">
            <v/>
          </cell>
        </row>
        <row r="60360">
          <cell r="O60360" t="str">
            <v/>
          </cell>
        </row>
        <row r="60361">
          <cell r="O60361" t="str">
            <v/>
          </cell>
        </row>
        <row r="60362">
          <cell r="O60362" t="str">
            <v/>
          </cell>
        </row>
        <row r="60363">
          <cell r="O60363" t="str">
            <v/>
          </cell>
        </row>
        <row r="60364">
          <cell r="O60364" t="str">
            <v/>
          </cell>
        </row>
        <row r="60365">
          <cell r="O60365" t="str">
            <v/>
          </cell>
        </row>
        <row r="60366">
          <cell r="O60366" t="str">
            <v/>
          </cell>
        </row>
        <row r="60367">
          <cell r="O60367" t="str">
            <v/>
          </cell>
        </row>
        <row r="60368">
          <cell r="O60368" t="str">
            <v/>
          </cell>
        </row>
        <row r="60369">
          <cell r="O60369" t="str">
            <v/>
          </cell>
        </row>
        <row r="60370">
          <cell r="O60370" t="str">
            <v/>
          </cell>
        </row>
        <row r="60371">
          <cell r="O60371" t="str">
            <v/>
          </cell>
        </row>
        <row r="60372">
          <cell r="O60372" t="str">
            <v/>
          </cell>
        </row>
        <row r="60373">
          <cell r="O60373" t="str">
            <v/>
          </cell>
        </row>
        <row r="60374">
          <cell r="O60374" t="str">
            <v/>
          </cell>
        </row>
        <row r="60375">
          <cell r="O60375" t="str">
            <v/>
          </cell>
        </row>
        <row r="60376">
          <cell r="O60376" t="str">
            <v/>
          </cell>
        </row>
        <row r="60377">
          <cell r="O60377" t="str">
            <v/>
          </cell>
        </row>
        <row r="60378">
          <cell r="O60378" t="str">
            <v/>
          </cell>
        </row>
        <row r="60379">
          <cell r="O60379" t="str">
            <v/>
          </cell>
        </row>
        <row r="60380">
          <cell r="O60380" t="str">
            <v/>
          </cell>
        </row>
        <row r="60381">
          <cell r="O60381" t="str">
            <v/>
          </cell>
        </row>
        <row r="60382">
          <cell r="O60382" t="str">
            <v/>
          </cell>
        </row>
        <row r="60383">
          <cell r="O60383" t="str">
            <v/>
          </cell>
        </row>
        <row r="60384">
          <cell r="O60384" t="str">
            <v/>
          </cell>
        </row>
        <row r="60385">
          <cell r="O60385" t="str">
            <v/>
          </cell>
        </row>
        <row r="60386">
          <cell r="O60386" t="str">
            <v/>
          </cell>
        </row>
        <row r="60387">
          <cell r="O60387" t="str">
            <v/>
          </cell>
        </row>
        <row r="60388">
          <cell r="O60388" t="str">
            <v/>
          </cell>
        </row>
        <row r="60389">
          <cell r="O60389" t="str">
            <v/>
          </cell>
        </row>
        <row r="60390">
          <cell r="O60390" t="str">
            <v/>
          </cell>
        </row>
        <row r="60391">
          <cell r="O60391" t="str">
            <v/>
          </cell>
        </row>
        <row r="60392">
          <cell r="O60392" t="str">
            <v/>
          </cell>
        </row>
        <row r="60393">
          <cell r="O60393" t="str">
            <v/>
          </cell>
        </row>
        <row r="60394">
          <cell r="O60394" t="str">
            <v/>
          </cell>
        </row>
        <row r="60395">
          <cell r="O60395" t="str">
            <v/>
          </cell>
        </row>
        <row r="60396">
          <cell r="O60396" t="str">
            <v/>
          </cell>
        </row>
        <row r="60397">
          <cell r="O60397" t="str">
            <v/>
          </cell>
        </row>
        <row r="60398">
          <cell r="O60398" t="str">
            <v/>
          </cell>
        </row>
        <row r="60399">
          <cell r="O60399" t="str">
            <v/>
          </cell>
        </row>
        <row r="60400">
          <cell r="O60400" t="str">
            <v/>
          </cell>
        </row>
        <row r="60401">
          <cell r="O60401" t="str">
            <v/>
          </cell>
        </row>
        <row r="60402">
          <cell r="O60402" t="str">
            <v/>
          </cell>
        </row>
        <row r="60403">
          <cell r="O60403" t="str">
            <v/>
          </cell>
        </row>
        <row r="60404">
          <cell r="O60404" t="str">
            <v/>
          </cell>
        </row>
        <row r="60405">
          <cell r="O60405" t="str">
            <v/>
          </cell>
        </row>
        <row r="60406">
          <cell r="O60406" t="str">
            <v/>
          </cell>
        </row>
        <row r="60407">
          <cell r="O60407" t="str">
            <v/>
          </cell>
        </row>
        <row r="60408">
          <cell r="O60408" t="str">
            <v/>
          </cell>
        </row>
        <row r="60409">
          <cell r="O60409" t="str">
            <v/>
          </cell>
        </row>
        <row r="60410">
          <cell r="O60410" t="str">
            <v/>
          </cell>
        </row>
        <row r="60411">
          <cell r="O60411" t="str">
            <v/>
          </cell>
        </row>
        <row r="60412">
          <cell r="O60412" t="str">
            <v/>
          </cell>
        </row>
        <row r="60413">
          <cell r="O60413" t="str">
            <v/>
          </cell>
        </row>
        <row r="60414">
          <cell r="O60414" t="str">
            <v/>
          </cell>
        </row>
        <row r="60415">
          <cell r="O60415" t="str">
            <v/>
          </cell>
        </row>
        <row r="60416">
          <cell r="O60416" t="str">
            <v/>
          </cell>
        </row>
        <row r="60417">
          <cell r="O60417" t="str">
            <v/>
          </cell>
        </row>
        <row r="60418">
          <cell r="O60418" t="str">
            <v/>
          </cell>
        </row>
        <row r="60419">
          <cell r="O60419" t="str">
            <v/>
          </cell>
        </row>
        <row r="60420">
          <cell r="O60420" t="str">
            <v/>
          </cell>
        </row>
        <row r="60421">
          <cell r="O60421" t="str">
            <v/>
          </cell>
        </row>
        <row r="60422">
          <cell r="O60422" t="str">
            <v/>
          </cell>
        </row>
        <row r="60423">
          <cell r="O60423" t="str">
            <v/>
          </cell>
        </row>
        <row r="60424">
          <cell r="O60424" t="str">
            <v/>
          </cell>
        </row>
        <row r="60425">
          <cell r="O60425" t="str">
            <v/>
          </cell>
        </row>
        <row r="60426">
          <cell r="O60426" t="str">
            <v/>
          </cell>
        </row>
        <row r="60427">
          <cell r="O60427" t="str">
            <v/>
          </cell>
        </row>
        <row r="60428">
          <cell r="O60428" t="str">
            <v/>
          </cell>
        </row>
        <row r="60429">
          <cell r="O60429" t="str">
            <v/>
          </cell>
        </row>
        <row r="60430">
          <cell r="O60430" t="str">
            <v/>
          </cell>
        </row>
        <row r="60431">
          <cell r="O60431" t="str">
            <v/>
          </cell>
        </row>
        <row r="60432">
          <cell r="O60432" t="str">
            <v/>
          </cell>
        </row>
        <row r="60433">
          <cell r="O60433" t="str">
            <v/>
          </cell>
        </row>
        <row r="60434">
          <cell r="O60434" t="str">
            <v/>
          </cell>
        </row>
        <row r="60435">
          <cell r="O60435" t="str">
            <v/>
          </cell>
        </row>
        <row r="60436">
          <cell r="O60436" t="str">
            <v/>
          </cell>
        </row>
        <row r="60437">
          <cell r="O60437" t="str">
            <v/>
          </cell>
        </row>
        <row r="60438">
          <cell r="O60438" t="str">
            <v/>
          </cell>
        </row>
        <row r="60439">
          <cell r="O60439" t="str">
            <v/>
          </cell>
        </row>
        <row r="60440">
          <cell r="O60440" t="str">
            <v/>
          </cell>
        </row>
        <row r="60441">
          <cell r="O60441" t="str">
            <v/>
          </cell>
        </row>
        <row r="60442">
          <cell r="O60442" t="str">
            <v/>
          </cell>
        </row>
        <row r="60443">
          <cell r="O60443" t="str">
            <v/>
          </cell>
        </row>
        <row r="60444">
          <cell r="O60444" t="str">
            <v/>
          </cell>
        </row>
        <row r="60445">
          <cell r="O60445" t="str">
            <v/>
          </cell>
        </row>
        <row r="60446">
          <cell r="O60446" t="str">
            <v/>
          </cell>
        </row>
        <row r="60447">
          <cell r="O60447" t="str">
            <v/>
          </cell>
        </row>
        <row r="60448">
          <cell r="O60448" t="str">
            <v/>
          </cell>
        </row>
        <row r="60449">
          <cell r="O60449" t="str">
            <v/>
          </cell>
        </row>
        <row r="60450">
          <cell r="O60450" t="str">
            <v/>
          </cell>
        </row>
        <row r="60451">
          <cell r="O60451" t="str">
            <v/>
          </cell>
        </row>
        <row r="60452">
          <cell r="O60452" t="str">
            <v/>
          </cell>
        </row>
        <row r="60453">
          <cell r="O60453" t="str">
            <v/>
          </cell>
        </row>
        <row r="60454">
          <cell r="O60454" t="str">
            <v/>
          </cell>
        </row>
        <row r="60455">
          <cell r="O60455" t="str">
            <v/>
          </cell>
        </row>
        <row r="60456">
          <cell r="O60456" t="str">
            <v/>
          </cell>
        </row>
        <row r="60457">
          <cell r="O60457" t="str">
            <v/>
          </cell>
        </row>
        <row r="60458">
          <cell r="O60458" t="str">
            <v/>
          </cell>
        </row>
        <row r="60459">
          <cell r="O60459" t="str">
            <v/>
          </cell>
        </row>
        <row r="60460">
          <cell r="O60460" t="str">
            <v/>
          </cell>
        </row>
        <row r="60461">
          <cell r="O60461" t="str">
            <v/>
          </cell>
        </row>
        <row r="60462">
          <cell r="O60462" t="str">
            <v/>
          </cell>
        </row>
        <row r="60463">
          <cell r="O60463" t="str">
            <v/>
          </cell>
        </row>
        <row r="60464">
          <cell r="O60464" t="str">
            <v/>
          </cell>
        </row>
        <row r="60465">
          <cell r="O60465" t="str">
            <v/>
          </cell>
        </row>
        <row r="60466">
          <cell r="O60466" t="str">
            <v/>
          </cell>
        </row>
        <row r="60467">
          <cell r="O60467" t="str">
            <v/>
          </cell>
        </row>
        <row r="60468">
          <cell r="O60468" t="str">
            <v/>
          </cell>
        </row>
        <row r="60469">
          <cell r="O60469" t="str">
            <v/>
          </cell>
        </row>
        <row r="60470">
          <cell r="O60470" t="str">
            <v/>
          </cell>
        </row>
        <row r="60471">
          <cell r="O60471" t="str">
            <v/>
          </cell>
        </row>
        <row r="60472">
          <cell r="O60472" t="str">
            <v/>
          </cell>
        </row>
        <row r="60473">
          <cell r="O60473" t="str">
            <v/>
          </cell>
        </row>
        <row r="60474">
          <cell r="O60474" t="str">
            <v/>
          </cell>
        </row>
        <row r="60475">
          <cell r="O60475" t="str">
            <v/>
          </cell>
        </row>
        <row r="60476">
          <cell r="O60476" t="str">
            <v/>
          </cell>
        </row>
        <row r="60477">
          <cell r="O60477" t="str">
            <v/>
          </cell>
        </row>
        <row r="60478">
          <cell r="O60478" t="str">
            <v/>
          </cell>
        </row>
        <row r="60479">
          <cell r="O60479" t="str">
            <v/>
          </cell>
        </row>
        <row r="60480">
          <cell r="O60480" t="str">
            <v/>
          </cell>
        </row>
        <row r="60481">
          <cell r="O60481" t="str">
            <v/>
          </cell>
        </row>
        <row r="60482">
          <cell r="O60482" t="str">
            <v/>
          </cell>
        </row>
        <row r="60483">
          <cell r="O60483" t="str">
            <v/>
          </cell>
        </row>
        <row r="60484">
          <cell r="O60484" t="str">
            <v/>
          </cell>
        </row>
        <row r="60485">
          <cell r="O60485" t="str">
            <v/>
          </cell>
        </row>
        <row r="60486">
          <cell r="O60486" t="str">
            <v/>
          </cell>
        </row>
        <row r="60487">
          <cell r="O60487" t="str">
            <v/>
          </cell>
        </row>
        <row r="60488">
          <cell r="O60488" t="str">
            <v/>
          </cell>
        </row>
        <row r="60489">
          <cell r="O60489" t="str">
            <v/>
          </cell>
        </row>
        <row r="60490">
          <cell r="O60490" t="str">
            <v/>
          </cell>
        </row>
        <row r="60491">
          <cell r="O60491" t="str">
            <v/>
          </cell>
        </row>
        <row r="60492">
          <cell r="O60492" t="str">
            <v/>
          </cell>
        </row>
        <row r="60493">
          <cell r="O60493" t="str">
            <v/>
          </cell>
        </row>
        <row r="60494">
          <cell r="O60494" t="str">
            <v/>
          </cell>
        </row>
        <row r="60495">
          <cell r="O60495" t="str">
            <v/>
          </cell>
        </row>
        <row r="60496">
          <cell r="O60496" t="str">
            <v/>
          </cell>
        </row>
        <row r="60497">
          <cell r="O60497" t="str">
            <v/>
          </cell>
        </row>
        <row r="60498">
          <cell r="O60498" t="str">
            <v/>
          </cell>
        </row>
        <row r="60499">
          <cell r="O60499" t="str">
            <v/>
          </cell>
        </row>
        <row r="60500">
          <cell r="O60500" t="str">
            <v/>
          </cell>
        </row>
        <row r="60501">
          <cell r="O60501" t="str">
            <v/>
          </cell>
        </row>
        <row r="60502">
          <cell r="O60502" t="str">
            <v/>
          </cell>
        </row>
        <row r="60503">
          <cell r="O60503" t="str">
            <v/>
          </cell>
        </row>
        <row r="60504">
          <cell r="O60504" t="str">
            <v/>
          </cell>
        </row>
        <row r="60505">
          <cell r="O60505" t="str">
            <v/>
          </cell>
        </row>
        <row r="60506">
          <cell r="O60506" t="str">
            <v/>
          </cell>
        </row>
        <row r="60507">
          <cell r="O60507" t="str">
            <v/>
          </cell>
        </row>
        <row r="60508">
          <cell r="O60508" t="str">
            <v/>
          </cell>
        </row>
        <row r="60509">
          <cell r="O60509" t="str">
            <v/>
          </cell>
        </row>
        <row r="60510">
          <cell r="O60510" t="str">
            <v/>
          </cell>
        </row>
        <row r="60511">
          <cell r="O60511" t="str">
            <v/>
          </cell>
        </row>
        <row r="60512">
          <cell r="O60512" t="str">
            <v/>
          </cell>
        </row>
        <row r="60513">
          <cell r="O60513" t="str">
            <v/>
          </cell>
        </row>
        <row r="60514">
          <cell r="O60514" t="str">
            <v/>
          </cell>
        </row>
        <row r="60515">
          <cell r="O60515" t="str">
            <v/>
          </cell>
        </row>
        <row r="60516">
          <cell r="O60516" t="str">
            <v/>
          </cell>
        </row>
        <row r="60517">
          <cell r="O60517" t="str">
            <v/>
          </cell>
        </row>
        <row r="60518">
          <cell r="O60518" t="str">
            <v/>
          </cell>
        </row>
        <row r="60519">
          <cell r="O60519" t="str">
            <v/>
          </cell>
        </row>
        <row r="60520">
          <cell r="O60520" t="str">
            <v/>
          </cell>
        </row>
        <row r="60521">
          <cell r="O60521" t="str">
            <v/>
          </cell>
        </row>
        <row r="60522">
          <cell r="O60522" t="str">
            <v/>
          </cell>
        </row>
        <row r="60523">
          <cell r="O60523" t="str">
            <v/>
          </cell>
        </row>
        <row r="60524">
          <cell r="O60524" t="str">
            <v/>
          </cell>
        </row>
        <row r="60525">
          <cell r="O60525" t="str">
            <v/>
          </cell>
        </row>
        <row r="60526">
          <cell r="O60526" t="str">
            <v/>
          </cell>
        </row>
        <row r="60527">
          <cell r="O60527" t="str">
            <v/>
          </cell>
        </row>
        <row r="60528">
          <cell r="O60528" t="str">
            <v/>
          </cell>
        </row>
        <row r="60529">
          <cell r="O60529" t="str">
            <v/>
          </cell>
        </row>
        <row r="60530">
          <cell r="O60530" t="str">
            <v/>
          </cell>
        </row>
        <row r="60531">
          <cell r="O60531" t="str">
            <v/>
          </cell>
        </row>
        <row r="60532">
          <cell r="O60532" t="str">
            <v/>
          </cell>
        </row>
        <row r="60533">
          <cell r="O60533" t="str">
            <v/>
          </cell>
        </row>
        <row r="60534">
          <cell r="O60534" t="str">
            <v/>
          </cell>
        </row>
        <row r="60535">
          <cell r="O60535" t="str">
            <v/>
          </cell>
        </row>
        <row r="60536">
          <cell r="O60536" t="str">
            <v/>
          </cell>
        </row>
        <row r="60537">
          <cell r="O60537" t="str">
            <v/>
          </cell>
        </row>
        <row r="60538">
          <cell r="O60538" t="str">
            <v/>
          </cell>
        </row>
        <row r="60539">
          <cell r="O60539" t="str">
            <v/>
          </cell>
        </row>
        <row r="60540">
          <cell r="O60540" t="str">
            <v/>
          </cell>
        </row>
        <row r="60541">
          <cell r="O60541" t="str">
            <v/>
          </cell>
        </row>
        <row r="60542">
          <cell r="O60542" t="str">
            <v/>
          </cell>
        </row>
        <row r="60543">
          <cell r="O60543" t="str">
            <v/>
          </cell>
        </row>
        <row r="60544">
          <cell r="O60544" t="str">
            <v/>
          </cell>
        </row>
        <row r="60545">
          <cell r="O60545" t="str">
            <v/>
          </cell>
        </row>
        <row r="60546">
          <cell r="O60546" t="str">
            <v/>
          </cell>
        </row>
        <row r="60547">
          <cell r="O60547" t="str">
            <v/>
          </cell>
        </row>
        <row r="60548">
          <cell r="O60548" t="str">
            <v/>
          </cell>
        </row>
        <row r="60549">
          <cell r="O60549" t="str">
            <v/>
          </cell>
        </row>
        <row r="60550">
          <cell r="O60550" t="str">
            <v/>
          </cell>
        </row>
        <row r="60551">
          <cell r="O60551" t="str">
            <v/>
          </cell>
        </row>
        <row r="60552">
          <cell r="O60552" t="str">
            <v/>
          </cell>
        </row>
        <row r="60553">
          <cell r="O60553" t="str">
            <v/>
          </cell>
        </row>
        <row r="60554">
          <cell r="O60554" t="str">
            <v/>
          </cell>
        </row>
        <row r="60555">
          <cell r="O60555" t="str">
            <v/>
          </cell>
        </row>
        <row r="60556">
          <cell r="O60556" t="str">
            <v/>
          </cell>
        </row>
        <row r="60557">
          <cell r="O60557" t="str">
            <v/>
          </cell>
        </row>
        <row r="60558">
          <cell r="O60558" t="str">
            <v/>
          </cell>
        </row>
        <row r="60559">
          <cell r="O60559" t="str">
            <v/>
          </cell>
        </row>
        <row r="60560">
          <cell r="O60560" t="str">
            <v/>
          </cell>
        </row>
        <row r="60561">
          <cell r="O60561" t="str">
            <v/>
          </cell>
        </row>
        <row r="60562">
          <cell r="O60562" t="str">
            <v/>
          </cell>
        </row>
        <row r="60563">
          <cell r="O60563" t="str">
            <v/>
          </cell>
        </row>
        <row r="60564">
          <cell r="O60564" t="str">
            <v/>
          </cell>
        </row>
        <row r="60565">
          <cell r="O60565" t="str">
            <v/>
          </cell>
        </row>
        <row r="60566">
          <cell r="O60566" t="str">
            <v/>
          </cell>
        </row>
        <row r="60567">
          <cell r="O60567" t="str">
            <v/>
          </cell>
        </row>
        <row r="60568">
          <cell r="O60568" t="str">
            <v/>
          </cell>
        </row>
        <row r="60569">
          <cell r="O60569" t="str">
            <v/>
          </cell>
        </row>
        <row r="60570">
          <cell r="O60570" t="str">
            <v/>
          </cell>
        </row>
        <row r="60571">
          <cell r="O60571" t="str">
            <v/>
          </cell>
        </row>
        <row r="60572">
          <cell r="O60572" t="str">
            <v/>
          </cell>
        </row>
        <row r="60573">
          <cell r="O60573" t="str">
            <v/>
          </cell>
        </row>
        <row r="60574">
          <cell r="O60574" t="str">
            <v/>
          </cell>
        </row>
        <row r="60575">
          <cell r="O60575" t="str">
            <v/>
          </cell>
        </row>
        <row r="60576">
          <cell r="O60576" t="str">
            <v/>
          </cell>
        </row>
        <row r="60577">
          <cell r="O60577" t="str">
            <v/>
          </cell>
        </row>
        <row r="60578">
          <cell r="O60578" t="str">
            <v/>
          </cell>
        </row>
        <row r="60579">
          <cell r="O60579" t="str">
            <v/>
          </cell>
        </row>
        <row r="60580">
          <cell r="O60580" t="str">
            <v/>
          </cell>
        </row>
        <row r="60581">
          <cell r="O60581" t="str">
            <v/>
          </cell>
        </row>
        <row r="60582">
          <cell r="O60582" t="str">
            <v/>
          </cell>
        </row>
        <row r="60583">
          <cell r="O60583" t="str">
            <v/>
          </cell>
        </row>
        <row r="60584">
          <cell r="O60584" t="str">
            <v/>
          </cell>
        </row>
        <row r="60585">
          <cell r="O60585" t="str">
            <v/>
          </cell>
        </row>
        <row r="60586">
          <cell r="O60586" t="str">
            <v/>
          </cell>
        </row>
        <row r="60587">
          <cell r="O60587" t="str">
            <v/>
          </cell>
        </row>
        <row r="60588">
          <cell r="O60588" t="str">
            <v/>
          </cell>
        </row>
        <row r="60589">
          <cell r="O60589" t="str">
            <v/>
          </cell>
        </row>
        <row r="60590">
          <cell r="O60590" t="str">
            <v/>
          </cell>
        </row>
        <row r="60591">
          <cell r="O60591" t="str">
            <v/>
          </cell>
        </row>
        <row r="60592">
          <cell r="O60592" t="str">
            <v/>
          </cell>
        </row>
        <row r="60593">
          <cell r="O60593" t="str">
            <v/>
          </cell>
        </row>
        <row r="60594">
          <cell r="O60594" t="str">
            <v/>
          </cell>
        </row>
        <row r="60595">
          <cell r="O60595" t="str">
            <v/>
          </cell>
        </row>
        <row r="60596">
          <cell r="O60596" t="str">
            <v/>
          </cell>
        </row>
        <row r="60597">
          <cell r="O60597" t="str">
            <v/>
          </cell>
        </row>
        <row r="60598">
          <cell r="O60598" t="str">
            <v/>
          </cell>
        </row>
        <row r="60599">
          <cell r="O60599" t="str">
            <v/>
          </cell>
        </row>
        <row r="60600">
          <cell r="O60600" t="str">
            <v/>
          </cell>
        </row>
        <row r="60601">
          <cell r="O60601" t="str">
            <v/>
          </cell>
        </row>
        <row r="60602">
          <cell r="O60602" t="str">
            <v/>
          </cell>
        </row>
        <row r="60603">
          <cell r="O60603" t="str">
            <v/>
          </cell>
        </row>
        <row r="60604">
          <cell r="O60604" t="str">
            <v/>
          </cell>
        </row>
        <row r="60605">
          <cell r="O60605" t="str">
            <v/>
          </cell>
        </row>
        <row r="60606">
          <cell r="O60606" t="str">
            <v/>
          </cell>
        </row>
        <row r="60607">
          <cell r="O60607" t="str">
            <v/>
          </cell>
        </row>
        <row r="60608">
          <cell r="O60608" t="str">
            <v/>
          </cell>
        </row>
        <row r="60609">
          <cell r="O60609" t="str">
            <v/>
          </cell>
        </row>
        <row r="60610">
          <cell r="O60610" t="str">
            <v/>
          </cell>
        </row>
        <row r="60611">
          <cell r="O60611" t="str">
            <v/>
          </cell>
        </row>
        <row r="60612">
          <cell r="O60612" t="str">
            <v/>
          </cell>
        </row>
        <row r="60613">
          <cell r="O60613" t="str">
            <v/>
          </cell>
        </row>
        <row r="60614">
          <cell r="O60614" t="str">
            <v/>
          </cell>
        </row>
        <row r="60615">
          <cell r="O60615" t="str">
            <v/>
          </cell>
        </row>
        <row r="60616">
          <cell r="O60616" t="str">
            <v/>
          </cell>
        </row>
        <row r="60617">
          <cell r="O60617" t="str">
            <v/>
          </cell>
        </row>
        <row r="60618">
          <cell r="O60618" t="str">
            <v/>
          </cell>
        </row>
        <row r="60619">
          <cell r="O60619" t="str">
            <v/>
          </cell>
        </row>
        <row r="60620">
          <cell r="O60620" t="str">
            <v/>
          </cell>
        </row>
        <row r="60621">
          <cell r="O60621" t="str">
            <v/>
          </cell>
        </row>
        <row r="60622">
          <cell r="O60622" t="str">
            <v/>
          </cell>
        </row>
        <row r="60623">
          <cell r="O60623" t="str">
            <v/>
          </cell>
        </row>
        <row r="60624">
          <cell r="O60624" t="str">
            <v/>
          </cell>
        </row>
        <row r="60625">
          <cell r="O60625" t="str">
            <v/>
          </cell>
        </row>
        <row r="60626">
          <cell r="O60626" t="str">
            <v/>
          </cell>
        </row>
        <row r="60627">
          <cell r="O60627" t="str">
            <v/>
          </cell>
        </row>
        <row r="60628">
          <cell r="O60628" t="str">
            <v/>
          </cell>
        </row>
        <row r="60629">
          <cell r="O60629" t="str">
            <v/>
          </cell>
        </row>
        <row r="60630">
          <cell r="O60630" t="str">
            <v/>
          </cell>
        </row>
        <row r="60631">
          <cell r="O60631" t="str">
            <v/>
          </cell>
        </row>
        <row r="60632">
          <cell r="O60632" t="str">
            <v/>
          </cell>
        </row>
        <row r="60633">
          <cell r="O60633" t="str">
            <v/>
          </cell>
        </row>
        <row r="60634">
          <cell r="O60634" t="str">
            <v/>
          </cell>
        </row>
        <row r="60635">
          <cell r="O60635" t="str">
            <v/>
          </cell>
        </row>
        <row r="60636">
          <cell r="O60636" t="str">
            <v/>
          </cell>
        </row>
        <row r="60637">
          <cell r="O60637" t="str">
            <v/>
          </cell>
        </row>
        <row r="60638">
          <cell r="O60638" t="str">
            <v/>
          </cell>
        </row>
        <row r="60639">
          <cell r="O60639" t="str">
            <v/>
          </cell>
        </row>
        <row r="60640">
          <cell r="O60640" t="str">
            <v/>
          </cell>
        </row>
        <row r="60641">
          <cell r="O60641" t="str">
            <v/>
          </cell>
        </row>
        <row r="60642">
          <cell r="O60642" t="str">
            <v/>
          </cell>
        </row>
        <row r="60643">
          <cell r="O60643" t="str">
            <v/>
          </cell>
        </row>
        <row r="60644">
          <cell r="O60644" t="str">
            <v/>
          </cell>
        </row>
        <row r="60645">
          <cell r="O60645" t="str">
            <v/>
          </cell>
        </row>
        <row r="60646">
          <cell r="O60646" t="str">
            <v/>
          </cell>
        </row>
        <row r="60647">
          <cell r="O60647" t="str">
            <v/>
          </cell>
        </row>
        <row r="60648">
          <cell r="O60648" t="str">
            <v/>
          </cell>
        </row>
        <row r="60649">
          <cell r="O60649" t="str">
            <v/>
          </cell>
        </row>
        <row r="60650">
          <cell r="O60650" t="str">
            <v/>
          </cell>
        </row>
        <row r="60651">
          <cell r="O60651" t="str">
            <v/>
          </cell>
        </row>
        <row r="60652">
          <cell r="O60652" t="str">
            <v/>
          </cell>
        </row>
        <row r="60653">
          <cell r="O60653" t="str">
            <v/>
          </cell>
        </row>
        <row r="60654">
          <cell r="O60654" t="str">
            <v/>
          </cell>
        </row>
        <row r="60655">
          <cell r="O60655" t="str">
            <v/>
          </cell>
        </row>
        <row r="60656">
          <cell r="O60656" t="str">
            <v/>
          </cell>
        </row>
        <row r="60657">
          <cell r="O60657" t="str">
            <v/>
          </cell>
        </row>
        <row r="60658">
          <cell r="O60658" t="str">
            <v/>
          </cell>
        </row>
        <row r="60659">
          <cell r="O60659" t="str">
            <v/>
          </cell>
        </row>
        <row r="60660">
          <cell r="O60660" t="str">
            <v/>
          </cell>
        </row>
        <row r="60661">
          <cell r="O60661" t="str">
            <v/>
          </cell>
        </row>
        <row r="60662">
          <cell r="O60662" t="str">
            <v/>
          </cell>
        </row>
        <row r="60663">
          <cell r="O60663" t="str">
            <v/>
          </cell>
        </row>
        <row r="60664">
          <cell r="O60664" t="str">
            <v/>
          </cell>
        </row>
        <row r="60665">
          <cell r="O60665" t="str">
            <v/>
          </cell>
        </row>
        <row r="60666">
          <cell r="O60666" t="str">
            <v/>
          </cell>
        </row>
        <row r="60667">
          <cell r="O60667" t="str">
            <v/>
          </cell>
        </row>
        <row r="60668">
          <cell r="O60668" t="str">
            <v/>
          </cell>
        </row>
        <row r="60669">
          <cell r="O60669" t="str">
            <v/>
          </cell>
        </row>
        <row r="60670">
          <cell r="O60670" t="str">
            <v/>
          </cell>
        </row>
        <row r="60671">
          <cell r="O60671" t="str">
            <v/>
          </cell>
        </row>
        <row r="60672">
          <cell r="O60672" t="str">
            <v/>
          </cell>
        </row>
        <row r="60673">
          <cell r="O60673" t="str">
            <v/>
          </cell>
        </row>
        <row r="60674">
          <cell r="O60674" t="str">
            <v/>
          </cell>
        </row>
        <row r="60675">
          <cell r="O60675" t="str">
            <v/>
          </cell>
        </row>
        <row r="60676">
          <cell r="O60676" t="str">
            <v/>
          </cell>
        </row>
        <row r="60677">
          <cell r="O60677" t="str">
            <v/>
          </cell>
        </row>
        <row r="60678">
          <cell r="O60678" t="str">
            <v/>
          </cell>
        </row>
        <row r="60679">
          <cell r="O60679" t="str">
            <v/>
          </cell>
        </row>
        <row r="60680">
          <cell r="O60680" t="str">
            <v/>
          </cell>
        </row>
        <row r="60681">
          <cell r="O60681" t="str">
            <v/>
          </cell>
        </row>
        <row r="60682">
          <cell r="O60682" t="str">
            <v/>
          </cell>
        </row>
        <row r="60683">
          <cell r="O60683" t="str">
            <v/>
          </cell>
        </row>
        <row r="60684">
          <cell r="O60684" t="str">
            <v/>
          </cell>
        </row>
        <row r="60685">
          <cell r="O60685" t="str">
            <v/>
          </cell>
        </row>
        <row r="60686">
          <cell r="O60686" t="str">
            <v/>
          </cell>
        </row>
        <row r="60687">
          <cell r="O60687" t="str">
            <v/>
          </cell>
        </row>
        <row r="60688">
          <cell r="O60688" t="str">
            <v/>
          </cell>
        </row>
        <row r="60689">
          <cell r="O60689" t="str">
            <v/>
          </cell>
        </row>
        <row r="60690">
          <cell r="O60690" t="str">
            <v/>
          </cell>
        </row>
        <row r="60691">
          <cell r="O60691" t="str">
            <v/>
          </cell>
        </row>
        <row r="60692">
          <cell r="O60692" t="str">
            <v/>
          </cell>
        </row>
        <row r="60693">
          <cell r="O60693" t="str">
            <v/>
          </cell>
        </row>
        <row r="60694">
          <cell r="O60694" t="str">
            <v/>
          </cell>
        </row>
        <row r="60695">
          <cell r="O60695" t="str">
            <v/>
          </cell>
        </row>
        <row r="60696">
          <cell r="O60696" t="str">
            <v/>
          </cell>
        </row>
        <row r="60697">
          <cell r="O60697" t="str">
            <v/>
          </cell>
        </row>
        <row r="60698">
          <cell r="O60698" t="str">
            <v/>
          </cell>
        </row>
        <row r="60699">
          <cell r="O60699" t="str">
            <v/>
          </cell>
        </row>
        <row r="60700">
          <cell r="O60700" t="str">
            <v/>
          </cell>
        </row>
        <row r="60701">
          <cell r="O60701" t="str">
            <v/>
          </cell>
        </row>
        <row r="60702">
          <cell r="O60702" t="str">
            <v/>
          </cell>
        </row>
        <row r="60703">
          <cell r="O60703" t="str">
            <v/>
          </cell>
        </row>
        <row r="60704">
          <cell r="O60704" t="str">
            <v/>
          </cell>
        </row>
        <row r="60705">
          <cell r="O60705" t="str">
            <v/>
          </cell>
        </row>
        <row r="60706">
          <cell r="O60706" t="str">
            <v/>
          </cell>
        </row>
        <row r="60707">
          <cell r="O60707" t="str">
            <v/>
          </cell>
        </row>
        <row r="60708">
          <cell r="O60708" t="str">
            <v/>
          </cell>
        </row>
        <row r="60709">
          <cell r="O60709" t="str">
            <v/>
          </cell>
        </row>
        <row r="60710">
          <cell r="O60710" t="str">
            <v/>
          </cell>
        </row>
        <row r="60711">
          <cell r="O60711" t="str">
            <v/>
          </cell>
        </row>
        <row r="60712">
          <cell r="O60712" t="str">
            <v/>
          </cell>
        </row>
        <row r="60713">
          <cell r="O60713" t="str">
            <v/>
          </cell>
        </row>
        <row r="60714">
          <cell r="O60714" t="str">
            <v/>
          </cell>
        </row>
        <row r="60715">
          <cell r="O60715" t="str">
            <v/>
          </cell>
        </row>
        <row r="60716">
          <cell r="O60716" t="str">
            <v/>
          </cell>
        </row>
        <row r="60717">
          <cell r="O60717" t="str">
            <v/>
          </cell>
        </row>
        <row r="60718">
          <cell r="O60718" t="str">
            <v/>
          </cell>
        </row>
        <row r="60719">
          <cell r="O60719" t="str">
            <v/>
          </cell>
        </row>
        <row r="60720">
          <cell r="O60720" t="str">
            <v/>
          </cell>
        </row>
        <row r="60721">
          <cell r="O60721" t="str">
            <v/>
          </cell>
        </row>
        <row r="60722">
          <cell r="O60722" t="str">
            <v/>
          </cell>
        </row>
        <row r="60723">
          <cell r="O60723" t="str">
            <v/>
          </cell>
        </row>
        <row r="60724">
          <cell r="O60724" t="str">
            <v/>
          </cell>
        </row>
        <row r="60725">
          <cell r="O60725" t="str">
            <v/>
          </cell>
        </row>
        <row r="60726">
          <cell r="O60726" t="str">
            <v/>
          </cell>
        </row>
        <row r="60727">
          <cell r="O60727" t="str">
            <v/>
          </cell>
        </row>
        <row r="60728">
          <cell r="O60728" t="str">
            <v/>
          </cell>
        </row>
        <row r="60729">
          <cell r="O60729" t="str">
            <v/>
          </cell>
        </row>
        <row r="60730">
          <cell r="O60730" t="str">
            <v/>
          </cell>
        </row>
        <row r="60731">
          <cell r="O60731" t="str">
            <v/>
          </cell>
        </row>
        <row r="60732">
          <cell r="O60732" t="str">
            <v/>
          </cell>
        </row>
        <row r="60733">
          <cell r="O60733" t="str">
            <v/>
          </cell>
        </row>
        <row r="60734">
          <cell r="O60734" t="str">
            <v/>
          </cell>
        </row>
        <row r="60735">
          <cell r="O60735" t="str">
            <v/>
          </cell>
        </row>
        <row r="60736">
          <cell r="O60736" t="str">
            <v/>
          </cell>
        </row>
        <row r="60737">
          <cell r="O60737" t="str">
            <v/>
          </cell>
        </row>
        <row r="60738">
          <cell r="O60738" t="str">
            <v/>
          </cell>
        </row>
        <row r="60739">
          <cell r="O60739" t="str">
            <v/>
          </cell>
        </row>
        <row r="60740">
          <cell r="O60740" t="str">
            <v/>
          </cell>
        </row>
        <row r="60741">
          <cell r="O60741" t="str">
            <v/>
          </cell>
        </row>
        <row r="60742">
          <cell r="O60742" t="str">
            <v/>
          </cell>
        </row>
        <row r="60743">
          <cell r="O60743" t="str">
            <v/>
          </cell>
        </row>
        <row r="60744">
          <cell r="O60744" t="str">
            <v/>
          </cell>
        </row>
        <row r="60745">
          <cell r="O60745" t="str">
            <v/>
          </cell>
        </row>
        <row r="60746">
          <cell r="O60746" t="str">
            <v/>
          </cell>
        </row>
        <row r="60747">
          <cell r="O60747" t="str">
            <v/>
          </cell>
        </row>
        <row r="60748">
          <cell r="O60748" t="str">
            <v/>
          </cell>
        </row>
        <row r="60749">
          <cell r="O60749" t="str">
            <v/>
          </cell>
        </row>
        <row r="60750">
          <cell r="O60750" t="str">
            <v/>
          </cell>
        </row>
        <row r="60751">
          <cell r="O60751" t="str">
            <v/>
          </cell>
        </row>
        <row r="60752">
          <cell r="O60752" t="str">
            <v/>
          </cell>
        </row>
        <row r="60753">
          <cell r="O60753" t="str">
            <v/>
          </cell>
        </row>
        <row r="60754">
          <cell r="O60754" t="str">
            <v/>
          </cell>
        </row>
        <row r="60755">
          <cell r="O60755" t="str">
            <v/>
          </cell>
        </row>
        <row r="60756">
          <cell r="O60756" t="str">
            <v/>
          </cell>
        </row>
        <row r="60757">
          <cell r="O60757" t="str">
            <v/>
          </cell>
        </row>
        <row r="60758">
          <cell r="O60758" t="str">
            <v/>
          </cell>
        </row>
        <row r="60759">
          <cell r="O60759" t="str">
            <v/>
          </cell>
        </row>
        <row r="60760">
          <cell r="O60760" t="str">
            <v/>
          </cell>
        </row>
        <row r="60761">
          <cell r="O60761" t="str">
            <v/>
          </cell>
        </row>
        <row r="60762">
          <cell r="O60762" t="str">
            <v/>
          </cell>
        </row>
        <row r="60763">
          <cell r="O60763" t="str">
            <v/>
          </cell>
        </row>
        <row r="60764">
          <cell r="O60764" t="str">
            <v/>
          </cell>
        </row>
        <row r="60765">
          <cell r="O60765" t="str">
            <v/>
          </cell>
        </row>
        <row r="60766">
          <cell r="O60766" t="str">
            <v/>
          </cell>
        </row>
        <row r="60767">
          <cell r="O60767" t="str">
            <v/>
          </cell>
        </row>
        <row r="60768">
          <cell r="O60768" t="str">
            <v/>
          </cell>
        </row>
        <row r="60769">
          <cell r="O60769" t="str">
            <v/>
          </cell>
        </row>
        <row r="60770">
          <cell r="O60770" t="str">
            <v/>
          </cell>
        </row>
        <row r="60771">
          <cell r="O60771" t="str">
            <v/>
          </cell>
        </row>
        <row r="60772">
          <cell r="O60772" t="str">
            <v/>
          </cell>
        </row>
        <row r="60773">
          <cell r="O60773" t="str">
            <v/>
          </cell>
        </row>
        <row r="60774">
          <cell r="O60774" t="str">
            <v/>
          </cell>
        </row>
        <row r="60775">
          <cell r="O60775" t="str">
            <v/>
          </cell>
        </row>
        <row r="60776">
          <cell r="O60776" t="str">
            <v/>
          </cell>
        </row>
        <row r="60777">
          <cell r="O60777" t="str">
            <v/>
          </cell>
        </row>
        <row r="60778">
          <cell r="O60778" t="str">
            <v/>
          </cell>
        </row>
        <row r="60779">
          <cell r="O60779" t="str">
            <v/>
          </cell>
        </row>
        <row r="60780">
          <cell r="O60780" t="str">
            <v/>
          </cell>
        </row>
        <row r="60781">
          <cell r="O60781" t="str">
            <v/>
          </cell>
        </row>
        <row r="60782">
          <cell r="O60782" t="str">
            <v/>
          </cell>
        </row>
        <row r="60783">
          <cell r="O60783" t="str">
            <v/>
          </cell>
        </row>
        <row r="60784">
          <cell r="O60784" t="str">
            <v/>
          </cell>
        </row>
        <row r="60785">
          <cell r="O60785" t="str">
            <v/>
          </cell>
        </row>
        <row r="60786">
          <cell r="O60786" t="str">
            <v/>
          </cell>
        </row>
        <row r="60787">
          <cell r="O60787" t="str">
            <v/>
          </cell>
        </row>
        <row r="60788">
          <cell r="O60788" t="str">
            <v/>
          </cell>
        </row>
        <row r="60789">
          <cell r="O60789" t="str">
            <v/>
          </cell>
        </row>
        <row r="60790">
          <cell r="O60790" t="str">
            <v/>
          </cell>
        </row>
        <row r="60791">
          <cell r="O60791" t="str">
            <v/>
          </cell>
        </row>
        <row r="60792">
          <cell r="O60792" t="str">
            <v/>
          </cell>
        </row>
        <row r="60793">
          <cell r="O60793" t="str">
            <v/>
          </cell>
        </row>
        <row r="60794">
          <cell r="O60794" t="str">
            <v/>
          </cell>
        </row>
        <row r="60795">
          <cell r="O60795" t="str">
            <v/>
          </cell>
        </row>
        <row r="60796">
          <cell r="O60796" t="str">
            <v/>
          </cell>
        </row>
        <row r="60797">
          <cell r="O60797" t="str">
            <v/>
          </cell>
        </row>
        <row r="60798">
          <cell r="O60798" t="str">
            <v/>
          </cell>
        </row>
        <row r="60799">
          <cell r="O60799" t="str">
            <v/>
          </cell>
        </row>
        <row r="60800">
          <cell r="O60800" t="str">
            <v/>
          </cell>
        </row>
        <row r="60801">
          <cell r="O60801" t="str">
            <v/>
          </cell>
        </row>
        <row r="60802">
          <cell r="O60802" t="str">
            <v/>
          </cell>
        </row>
        <row r="60803">
          <cell r="O60803" t="str">
            <v/>
          </cell>
        </row>
        <row r="60804">
          <cell r="O60804" t="str">
            <v/>
          </cell>
        </row>
        <row r="60805">
          <cell r="O60805" t="str">
            <v/>
          </cell>
        </row>
        <row r="60806">
          <cell r="O60806" t="str">
            <v/>
          </cell>
        </row>
        <row r="60807">
          <cell r="O60807" t="str">
            <v/>
          </cell>
        </row>
        <row r="60808">
          <cell r="O60808" t="str">
            <v/>
          </cell>
        </row>
        <row r="60809">
          <cell r="O60809" t="str">
            <v/>
          </cell>
        </row>
        <row r="60810">
          <cell r="O60810" t="str">
            <v/>
          </cell>
        </row>
        <row r="60811">
          <cell r="O60811" t="str">
            <v/>
          </cell>
        </row>
        <row r="60812">
          <cell r="O60812" t="str">
            <v/>
          </cell>
        </row>
        <row r="60813">
          <cell r="O60813" t="str">
            <v/>
          </cell>
        </row>
        <row r="60814">
          <cell r="O60814" t="str">
            <v/>
          </cell>
        </row>
        <row r="60815">
          <cell r="O60815" t="str">
            <v/>
          </cell>
        </row>
        <row r="60816">
          <cell r="O60816" t="str">
            <v/>
          </cell>
        </row>
        <row r="60817">
          <cell r="O60817" t="str">
            <v/>
          </cell>
        </row>
        <row r="60818">
          <cell r="O60818" t="str">
            <v/>
          </cell>
        </row>
        <row r="60819">
          <cell r="O60819" t="str">
            <v/>
          </cell>
        </row>
        <row r="60820">
          <cell r="O60820" t="str">
            <v/>
          </cell>
        </row>
        <row r="60821">
          <cell r="O60821" t="str">
            <v/>
          </cell>
        </row>
        <row r="60822">
          <cell r="O60822" t="str">
            <v/>
          </cell>
        </row>
        <row r="60823">
          <cell r="O60823" t="str">
            <v/>
          </cell>
        </row>
        <row r="60824">
          <cell r="O60824" t="str">
            <v/>
          </cell>
        </row>
        <row r="60825">
          <cell r="O60825" t="str">
            <v/>
          </cell>
        </row>
        <row r="60826">
          <cell r="O60826" t="str">
            <v/>
          </cell>
        </row>
        <row r="60827">
          <cell r="O60827" t="str">
            <v/>
          </cell>
        </row>
        <row r="60828">
          <cell r="O60828" t="str">
            <v/>
          </cell>
        </row>
        <row r="60829">
          <cell r="O60829" t="str">
            <v/>
          </cell>
        </row>
        <row r="60830">
          <cell r="O60830" t="str">
            <v/>
          </cell>
        </row>
        <row r="60831">
          <cell r="O60831" t="str">
            <v/>
          </cell>
        </row>
        <row r="60832">
          <cell r="O60832" t="str">
            <v/>
          </cell>
        </row>
        <row r="60833">
          <cell r="O60833" t="str">
            <v/>
          </cell>
        </row>
        <row r="60834">
          <cell r="O60834" t="str">
            <v/>
          </cell>
        </row>
        <row r="60835">
          <cell r="O60835" t="str">
            <v/>
          </cell>
        </row>
        <row r="60836">
          <cell r="O60836" t="str">
            <v/>
          </cell>
        </row>
        <row r="60837">
          <cell r="O60837" t="str">
            <v/>
          </cell>
        </row>
        <row r="60838">
          <cell r="O60838" t="str">
            <v/>
          </cell>
        </row>
        <row r="60839">
          <cell r="O60839" t="str">
            <v/>
          </cell>
        </row>
        <row r="60840">
          <cell r="O60840" t="str">
            <v/>
          </cell>
        </row>
        <row r="60841">
          <cell r="O60841" t="str">
            <v/>
          </cell>
        </row>
        <row r="60842">
          <cell r="O60842" t="str">
            <v/>
          </cell>
        </row>
        <row r="60843">
          <cell r="O60843" t="str">
            <v/>
          </cell>
        </row>
        <row r="60844">
          <cell r="O60844" t="str">
            <v/>
          </cell>
        </row>
        <row r="60845">
          <cell r="O60845" t="str">
            <v/>
          </cell>
        </row>
        <row r="60846">
          <cell r="O60846" t="str">
            <v/>
          </cell>
        </row>
        <row r="60847">
          <cell r="O60847" t="str">
            <v/>
          </cell>
        </row>
        <row r="60848">
          <cell r="O60848" t="str">
            <v/>
          </cell>
        </row>
        <row r="60849">
          <cell r="O60849" t="str">
            <v/>
          </cell>
        </row>
        <row r="60850">
          <cell r="O60850" t="str">
            <v/>
          </cell>
        </row>
        <row r="60851">
          <cell r="O60851" t="str">
            <v/>
          </cell>
        </row>
        <row r="60852">
          <cell r="O60852" t="str">
            <v/>
          </cell>
        </row>
        <row r="60853">
          <cell r="O60853" t="str">
            <v/>
          </cell>
        </row>
        <row r="60854">
          <cell r="O60854" t="str">
            <v/>
          </cell>
        </row>
        <row r="60855">
          <cell r="O60855" t="str">
            <v/>
          </cell>
        </row>
        <row r="60856">
          <cell r="O60856" t="str">
            <v/>
          </cell>
        </row>
        <row r="60857">
          <cell r="O60857" t="str">
            <v/>
          </cell>
        </row>
        <row r="60858">
          <cell r="O60858" t="str">
            <v/>
          </cell>
        </row>
        <row r="60859">
          <cell r="O60859" t="str">
            <v/>
          </cell>
        </row>
        <row r="60860">
          <cell r="O60860" t="str">
            <v/>
          </cell>
        </row>
        <row r="60861">
          <cell r="O60861" t="str">
            <v/>
          </cell>
        </row>
        <row r="60862">
          <cell r="O60862" t="str">
            <v/>
          </cell>
        </row>
        <row r="60863">
          <cell r="O60863" t="str">
            <v/>
          </cell>
        </row>
        <row r="60864">
          <cell r="O60864" t="str">
            <v/>
          </cell>
        </row>
        <row r="60865">
          <cell r="O60865" t="str">
            <v/>
          </cell>
        </row>
        <row r="60866">
          <cell r="O60866" t="str">
            <v/>
          </cell>
        </row>
        <row r="60867">
          <cell r="O60867" t="str">
            <v/>
          </cell>
        </row>
        <row r="60868">
          <cell r="O60868" t="str">
            <v/>
          </cell>
        </row>
        <row r="60869">
          <cell r="O60869" t="str">
            <v/>
          </cell>
        </row>
        <row r="60870">
          <cell r="O60870" t="str">
            <v/>
          </cell>
        </row>
        <row r="60871">
          <cell r="O60871" t="str">
            <v/>
          </cell>
        </row>
        <row r="60872">
          <cell r="O60872" t="str">
            <v/>
          </cell>
        </row>
        <row r="60873">
          <cell r="O60873" t="str">
            <v/>
          </cell>
        </row>
        <row r="60874">
          <cell r="O60874" t="str">
            <v/>
          </cell>
        </row>
        <row r="60875">
          <cell r="O60875" t="str">
            <v/>
          </cell>
        </row>
        <row r="60876">
          <cell r="O60876" t="str">
            <v/>
          </cell>
        </row>
        <row r="60877">
          <cell r="O60877" t="str">
            <v/>
          </cell>
        </row>
        <row r="60878">
          <cell r="O60878" t="str">
            <v/>
          </cell>
        </row>
        <row r="60879">
          <cell r="O60879" t="str">
            <v/>
          </cell>
        </row>
        <row r="60880">
          <cell r="O60880" t="str">
            <v/>
          </cell>
        </row>
        <row r="60881">
          <cell r="O60881" t="str">
            <v/>
          </cell>
        </row>
        <row r="60882">
          <cell r="O60882" t="str">
            <v/>
          </cell>
        </row>
        <row r="60883">
          <cell r="O60883" t="str">
            <v/>
          </cell>
        </row>
        <row r="60884">
          <cell r="O60884" t="str">
            <v/>
          </cell>
        </row>
        <row r="60885">
          <cell r="O60885" t="str">
            <v/>
          </cell>
        </row>
        <row r="60886">
          <cell r="O60886" t="str">
            <v/>
          </cell>
        </row>
        <row r="60887">
          <cell r="O60887" t="str">
            <v/>
          </cell>
        </row>
        <row r="60888">
          <cell r="O60888" t="str">
            <v/>
          </cell>
        </row>
        <row r="60889">
          <cell r="O60889" t="str">
            <v/>
          </cell>
        </row>
        <row r="60890">
          <cell r="O60890" t="str">
            <v/>
          </cell>
        </row>
        <row r="60891">
          <cell r="O60891" t="str">
            <v/>
          </cell>
        </row>
        <row r="60892">
          <cell r="O60892" t="str">
            <v/>
          </cell>
        </row>
        <row r="60893">
          <cell r="O60893" t="str">
            <v/>
          </cell>
        </row>
        <row r="60894">
          <cell r="O60894" t="str">
            <v/>
          </cell>
        </row>
        <row r="60895">
          <cell r="O60895" t="str">
            <v/>
          </cell>
        </row>
        <row r="60896">
          <cell r="O60896" t="str">
            <v/>
          </cell>
        </row>
        <row r="60897">
          <cell r="O60897" t="str">
            <v/>
          </cell>
        </row>
        <row r="60898">
          <cell r="O60898" t="str">
            <v/>
          </cell>
        </row>
        <row r="60899">
          <cell r="O60899" t="str">
            <v/>
          </cell>
        </row>
        <row r="60900">
          <cell r="O60900" t="str">
            <v/>
          </cell>
        </row>
        <row r="60901">
          <cell r="O60901" t="str">
            <v/>
          </cell>
        </row>
        <row r="60902">
          <cell r="O60902" t="str">
            <v/>
          </cell>
        </row>
        <row r="60903">
          <cell r="O60903" t="str">
            <v/>
          </cell>
        </row>
        <row r="60904">
          <cell r="O60904" t="str">
            <v/>
          </cell>
        </row>
        <row r="60905">
          <cell r="O60905" t="str">
            <v/>
          </cell>
        </row>
        <row r="60906">
          <cell r="O60906" t="str">
            <v/>
          </cell>
        </row>
        <row r="60907">
          <cell r="O60907" t="str">
            <v/>
          </cell>
        </row>
        <row r="60908">
          <cell r="O60908" t="str">
            <v/>
          </cell>
        </row>
        <row r="60909">
          <cell r="O60909" t="str">
            <v/>
          </cell>
        </row>
        <row r="60910">
          <cell r="O60910" t="str">
            <v/>
          </cell>
        </row>
        <row r="60911">
          <cell r="O60911" t="str">
            <v/>
          </cell>
        </row>
        <row r="60912">
          <cell r="O60912" t="str">
            <v/>
          </cell>
        </row>
        <row r="60913">
          <cell r="O60913" t="str">
            <v/>
          </cell>
        </row>
        <row r="60914">
          <cell r="O60914" t="str">
            <v/>
          </cell>
        </row>
        <row r="60915">
          <cell r="O60915" t="str">
            <v/>
          </cell>
        </row>
        <row r="60916">
          <cell r="O60916" t="str">
            <v/>
          </cell>
        </row>
        <row r="60917">
          <cell r="O60917" t="str">
            <v/>
          </cell>
        </row>
        <row r="60918">
          <cell r="O60918" t="str">
            <v/>
          </cell>
        </row>
        <row r="60919">
          <cell r="O60919" t="str">
            <v/>
          </cell>
        </row>
        <row r="60920">
          <cell r="O60920" t="str">
            <v/>
          </cell>
        </row>
        <row r="60921">
          <cell r="O60921" t="str">
            <v/>
          </cell>
        </row>
        <row r="60922">
          <cell r="O60922" t="str">
            <v/>
          </cell>
        </row>
        <row r="60923">
          <cell r="O60923" t="str">
            <v/>
          </cell>
        </row>
        <row r="60924">
          <cell r="O60924" t="str">
            <v/>
          </cell>
        </row>
        <row r="60925">
          <cell r="O60925" t="str">
            <v/>
          </cell>
        </row>
        <row r="60926">
          <cell r="O60926" t="str">
            <v/>
          </cell>
        </row>
        <row r="60927">
          <cell r="O60927" t="str">
            <v/>
          </cell>
        </row>
        <row r="60928">
          <cell r="O60928" t="str">
            <v/>
          </cell>
        </row>
        <row r="60929">
          <cell r="O60929" t="str">
            <v/>
          </cell>
        </row>
        <row r="60930">
          <cell r="O60930" t="str">
            <v/>
          </cell>
        </row>
        <row r="60931">
          <cell r="O60931" t="str">
            <v/>
          </cell>
        </row>
        <row r="60932">
          <cell r="O60932" t="str">
            <v/>
          </cell>
        </row>
        <row r="60933">
          <cell r="O60933" t="str">
            <v/>
          </cell>
        </row>
        <row r="60934">
          <cell r="O60934" t="str">
            <v/>
          </cell>
        </row>
        <row r="60935">
          <cell r="O60935" t="str">
            <v/>
          </cell>
        </row>
        <row r="60936">
          <cell r="O60936" t="str">
            <v/>
          </cell>
        </row>
        <row r="60937">
          <cell r="O60937" t="str">
            <v/>
          </cell>
        </row>
        <row r="60938">
          <cell r="O60938" t="str">
            <v/>
          </cell>
        </row>
        <row r="60939">
          <cell r="O60939" t="str">
            <v/>
          </cell>
        </row>
        <row r="60940">
          <cell r="O60940" t="str">
            <v/>
          </cell>
        </row>
        <row r="60941">
          <cell r="O60941" t="str">
            <v/>
          </cell>
        </row>
        <row r="60942">
          <cell r="O60942" t="str">
            <v/>
          </cell>
        </row>
        <row r="60943">
          <cell r="O60943" t="str">
            <v/>
          </cell>
        </row>
        <row r="60944">
          <cell r="O60944" t="str">
            <v/>
          </cell>
        </row>
        <row r="60945">
          <cell r="O60945" t="str">
            <v/>
          </cell>
        </row>
        <row r="60946">
          <cell r="O60946" t="str">
            <v/>
          </cell>
        </row>
        <row r="60947">
          <cell r="O60947" t="str">
            <v/>
          </cell>
        </row>
        <row r="60948">
          <cell r="O60948" t="str">
            <v/>
          </cell>
        </row>
        <row r="60949">
          <cell r="O60949" t="str">
            <v/>
          </cell>
        </row>
        <row r="60950">
          <cell r="O60950" t="str">
            <v/>
          </cell>
        </row>
        <row r="60951">
          <cell r="O60951" t="str">
            <v/>
          </cell>
        </row>
        <row r="60952">
          <cell r="O60952" t="str">
            <v/>
          </cell>
        </row>
        <row r="60953">
          <cell r="O60953" t="str">
            <v/>
          </cell>
        </row>
        <row r="60954">
          <cell r="O60954" t="str">
            <v/>
          </cell>
        </row>
        <row r="60955">
          <cell r="O60955" t="str">
            <v/>
          </cell>
        </row>
        <row r="60956">
          <cell r="O60956" t="str">
            <v/>
          </cell>
        </row>
        <row r="60957">
          <cell r="O60957" t="str">
            <v/>
          </cell>
        </row>
        <row r="60958">
          <cell r="O60958" t="str">
            <v/>
          </cell>
        </row>
        <row r="60959">
          <cell r="O60959" t="str">
            <v/>
          </cell>
        </row>
        <row r="60960">
          <cell r="O60960" t="str">
            <v/>
          </cell>
        </row>
        <row r="60961">
          <cell r="O60961" t="str">
            <v/>
          </cell>
        </row>
        <row r="60962">
          <cell r="O60962" t="str">
            <v/>
          </cell>
        </row>
        <row r="60963">
          <cell r="O60963" t="str">
            <v/>
          </cell>
        </row>
        <row r="60964">
          <cell r="O60964" t="str">
            <v/>
          </cell>
        </row>
        <row r="60965">
          <cell r="O60965" t="str">
            <v/>
          </cell>
        </row>
        <row r="60966">
          <cell r="O60966" t="str">
            <v/>
          </cell>
        </row>
        <row r="60967">
          <cell r="O60967" t="str">
            <v/>
          </cell>
        </row>
        <row r="60968">
          <cell r="O60968" t="str">
            <v/>
          </cell>
        </row>
        <row r="60969">
          <cell r="O60969" t="str">
            <v/>
          </cell>
        </row>
        <row r="60970">
          <cell r="O60970" t="str">
            <v/>
          </cell>
        </row>
        <row r="60971">
          <cell r="O60971" t="str">
            <v/>
          </cell>
        </row>
        <row r="60972">
          <cell r="O60972" t="str">
            <v/>
          </cell>
        </row>
        <row r="60973">
          <cell r="O60973" t="str">
            <v/>
          </cell>
        </row>
        <row r="60974">
          <cell r="O60974" t="str">
            <v/>
          </cell>
        </row>
        <row r="60975">
          <cell r="O60975" t="str">
            <v/>
          </cell>
        </row>
        <row r="60976">
          <cell r="O60976" t="str">
            <v/>
          </cell>
        </row>
        <row r="60977">
          <cell r="O60977" t="str">
            <v/>
          </cell>
        </row>
        <row r="60978">
          <cell r="O60978" t="str">
            <v/>
          </cell>
        </row>
        <row r="60979">
          <cell r="O60979" t="str">
            <v/>
          </cell>
        </row>
        <row r="60980">
          <cell r="O60980" t="str">
            <v/>
          </cell>
        </row>
        <row r="60981">
          <cell r="O60981" t="str">
            <v/>
          </cell>
        </row>
        <row r="60982">
          <cell r="O60982" t="str">
            <v/>
          </cell>
        </row>
        <row r="60983">
          <cell r="O60983" t="str">
            <v/>
          </cell>
        </row>
        <row r="60984">
          <cell r="O60984" t="str">
            <v/>
          </cell>
        </row>
        <row r="60985">
          <cell r="O60985" t="str">
            <v/>
          </cell>
        </row>
        <row r="60986">
          <cell r="O60986" t="str">
            <v/>
          </cell>
        </row>
        <row r="60987">
          <cell r="O60987" t="str">
            <v/>
          </cell>
        </row>
        <row r="60988">
          <cell r="O60988" t="str">
            <v/>
          </cell>
        </row>
        <row r="60989">
          <cell r="O60989" t="str">
            <v/>
          </cell>
        </row>
        <row r="60990">
          <cell r="O60990" t="str">
            <v/>
          </cell>
        </row>
        <row r="60991">
          <cell r="O60991" t="str">
            <v/>
          </cell>
        </row>
        <row r="60992">
          <cell r="O60992" t="str">
            <v/>
          </cell>
        </row>
        <row r="60993">
          <cell r="O60993" t="str">
            <v/>
          </cell>
        </row>
        <row r="60994">
          <cell r="O60994" t="str">
            <v/>
          </cell>
        </row>
        <row r="60995">
          <cell r="O60995" t="str">
            <v/>
          </cell>
        </row>
        <row r="60996">
          <cell r="O60996" t="str">
            <v/>
          </cell>
        </row>
        <row r="60997">
          <cell r="O60997" t="str">
            <v/>
          </cell>
        </row>
        <row r="60998">
          <cell r="O60998" t="str">
            <v/>
          </cell>
        </row>
        <row r="60999">
          <cell r="O60999" t="str">
            <v/>
          </cell>
        </row>
        <row r="61000">
          <cell r="O61000" t="str">
            <v/>
          </cell>
        </row>
        <row r="61001">
          <cell r="O61001" t="str">
            <v/>
          </cell>
        </row>
        <row r="61002">
          <cell r="O61002" t="str">
            <v/>
          </cell>
        </row>
        <row r="61003">
          <cell r="O61003" t="str">
            <v/>
          </cell>
        </row>
        <row r="61004">
          <cell r="O61004" t="str">
            <v/>
          </cell>
        </row>
        <row r="61005">
          <cell r="O61005" t="str">
            <v/>
          </cell>
        </row>
        <row r="61006">
          <cell r="O61006" t="str">
            <v/>
          </cell>
        </row>
        <row r="61007">
          <cell r="O61007" t="str">
            <v/>
          </cell>
        </row>
        <row r="61008">
          <cell r="O61008" t="str">
            <v/>
          </cell>
        </row>
        <row r="61009">
          <cell r="O61009" t="str">
            <v/>
          </cell>
        </row>
        <row r="61010">
          <cell r="O61010" t="str">
            <v/>
          </cell>
        </row>
        <row r="61011">
          <cell r="O61011" t="str">
            <v/>
          </cell>
        </row>
        <row r="61012">
          <cell r="O61012" t="str">
            <v/>
          </cell>
        </row>
        <row r="61013">
          <cell r="O61013" t="str">
            <v/>
          </cell>
        </row>
        <row r="61014">
          <cell r="O61014" t="str">
            <v/>
          </cell>
        </row>
        <row r="61015">
          <cell r="O61015" t="str">
            <v/>
          </cell>
        </row>
        <row r="61016">
          <cell r="O61016" t="str">
            <v/>
          </cell>
        </row>
        <row r="61017">
          <cell r="O61017" t="str">
            <v/>
          </cell>
        </row>
        <row r="61018">
          <cell r="O61018" t="str">
            <v/>
          </cell>
        </row>
        <row r="61019">
          <cell r="O61019" t="str">
            <v/>
          </cell>
        </row>
        <row r="61020">
          <cell r="O61020" t="str">
            <v/>
          </cell>
        </row>
        <row r="61021">
          <cell r="O61021" t="str">
            <v/>
          </cell>
        </row>
        <row r="61022">
          <cell r="O61022" t="str">
            <v/>
          </cell>
        </row>
        <row r="61023">
          <cell r="O61023" t="str">
            <v/>
          </cell>
        </row>
        <row r="61024">
          <cell r="O61024" t="str">
            <v/>
          </cell>
        </row>
        <row r="61025">
          <cell r="O61025" t="str">
            <v/>
          </cell>
        </row>
        <row r="61026">
          <cell r="O61026" t="str">
            <v/>
          </cell>
        </row>
        <row r="61027">
          <cell r="O61027" t="str">
            <v/>
          </cell>
        </row>
        <row r="61028">
          <cell r="O61028" t="str">
            <v/>
          </cell>
        </row>
        <row r="61029">
          <cell r="O61029" t="str">
            <v/>
          </cell>
        </row>
        <row r="61030">
          <cell r="O61030" t="str">
            <v/>
          </cell>
        </row>
        <row r="61031">
          <cell r="O61031" t="str">
            <v/>
          </cell>
        </row>
        <row r="61032">
          <cell r="O61032" t="str">
            <v/>
          </cell>
        </row>
        <row r="61033">
          <cell r="O61033" t="str">
            <v/>
          </cell>
        </row>
        <row r="61034">
          <cell r="O61034" t="str">
            <v/>
          </cell>
        </row>
        <row r="61035">
          <cell r="O61035" t="str">
            <v/>
          </cell>
        </row>
        <row r="61036">
          <cell r="O61036" t="str">
            <v/>
          </cell>
        </row>
        <row r="61037">
          <cell r="O61037" t="str">
            <v/>
          </cell>
        </row>
        <row r="61038">
          <cell r="O61038" t="str">
            <v/>
          </cell>
        </row>
        <row r="61039">
          <cell r="O61039" t="str">
            <v/>
          </cell>
        </row>
        <row r="61040">
          <cell r="O61040" t="str">
            <v/>
          </cell>
        </row>
        <row r="61041">
          <cell r="O61041" t="str">
            <v/>
          </cell>
        </row>
        <row r="61042">
          <cell r="O61042" t="str">
            <v/>
          </cell>
        </row>
        <row r="61043">
          <cell r="O61043" t="str">
            <v/>
          </cell>
        </row>
        <row r="61044">
          <cell r="O61044" t="str">
            <v/>
          </cell>
        </row>
        <row r="61045">
          <cell r="O61045" t="str">
            <v/>
          </cell>
        </row>
        <row r="61046">
          <cell r="O61046" t="str">
            <v/>
          </cell>
        </row>
        <row r="61047">
          <cell r="O61047" t="str">
            <v/>
          </cell>
        </row>
        <row r="61048">
          <cell r="O61048" t="str">
            <v/>
          </cell>
        </row>
        <row r="61049">
          <cell r="O61049" t="str">
            <v/>
          </cell>
        </row>
        <row r="61050">
          <cell r="O61050" t="str">
            <v/>
          </cell>
        </row>
        <row r="61051">
          <cell r="O61051" t="str">
            <v/>
          </cell>
        </row>
        <row r="61052">
          <cell r="O61052" t="str">
            <v/>
          </cell>
        </row>
        <row r="61053">
          <cell r="O61053" t="str">
            <v/>
          </cell>
        </row>
        <row r="61054">
          <cell r="O61054" t="str">
            <v/>
          </cell>
        </row>
        <row r="61055">
          <cell r="O61055" t="str">
            <v/>
          </cell>
        </row>
        <row r="61056">
          <cell r="O61056" t="str">
            <v/>
          </cell>
        </row>
        <row r="61057">
          <cell r="O61057" t="str">
            <v/>
          </cell>
        </row>
        <row r="61058">
          <cell r="O61058" t="str">
            <v/>
          </cell>
        </row>
        <row r="61059">
          <cell r="O61059" t="str">
            <v/>
          </cell>
        </row>
        <row r="61060">
          <cell r="O61060" t="str">
            <v/>
          </cell>
        </row>
        <row r="61061">
          <cell r="O61061" t="str">
            <v/>
          </cell>
        </row>
        <row r="61062">
          <cell r="O61062" t="str">
            <v/>
          </cell>
        </row>
        <row r="61063">
          <cell r="O61063" t="str">
            <v/>
          </cell>
        </row>
        <row r="61064">
          <cell r="O61064" t="str">
            <v/>
          </cell>
        </row>
        <row r="61065">
          <cell r="O61065" t="str">
            <v/>
          </cell>
        </row>
        <row r="61066">
          <cell r="O61066" t="str">
            <v/>
          </cell>
        </row>
        <row r="61067">
          <cell r="O61067" t="str">
            <v/>
          </cell>
        </row>
        <row r="61068">
          <cell r="O61068" t="str">
            <v/>
          </cell>
        </row>
        <row r="61069">
          <cell r="O61069" t="str">
            <v/>
          </cell>
        </row>
        <row r="61070">
          <cell r="O61070" t="str">
            <v/>
          </cell>
        </row>
        <row r="61071">
          <cell r="O61071" t="str">
            <v/>
          </cell>
        </row>
        <row r="61072">
          <cell r="O61072" t="str">
            <v/>
          </cell>
        </row>
        <row r="61073">
          <cell r="O61073" t="str">
            <v/>
          </cell>
        </row>
        <row r="61074">
          <cell r="O61074" t="str">
            <v/>
          </cell>
        </row>
        <row r="61075">
          <cell r="O61075" t="str">
            <v/>
          </cell>
        </row>
        <row r="61076">
          <cell r="O61076" t="str">
            <v/>
          </cell>
        </row>
        <row r="61077">
          <cell r="O61077" t="str">
            <v/>
          </cell>
        </row>
        <row r="61078">
          <cell r="O61078" t="str">
            <v/>
          </cell>
        </row>
        <row r="61079">
          <cell r="O61079" t="str">
            <v/>
          </cell>
        </row>
        <row r="61080">
          <cell r="O61080" t="str">
            <v/>
          </cell>
        </row>
        <row r="61081">
          <cell r="O61081" t="str">
            <v/>
          </cell>
        </row>
        <row r="61082">
          <cell r="O61082" t="str">
            <v/>
          </cell>
        </row>
        <row r="61083">
          <cell r="O61083" t="str">
            <v/>
          </cell>
        </row>
        <row r="61084">
          <cell r="O61084" t="str">
            <v/>
          </cell>
        </row>
        <row r="61085">
          <cell r="O61085" t="str">
            <v/>
          </cell>
        </row>
        <row r="61086">
          <cell r="O61086" t="str">
            <v/>
          </cell>
        </row>
        <row r="61087">
          <cell r="O61087" t="str">
            <v/>
          </cell>
        </row>
        <row r="61088">
          <cell r="O61088" t="str">
            <v/>
          </cell>
        </row>
        <row r="61089">
          <cell r="O61089" t="str">
            <v/>
          </cell>
        </row>
        <row r="61090">
          <cell r="O61090" t="str">
            <v/>
          </cell>
        </row>
        <row r="61091">
          <cell r="O61091" t="str">
            <v/>
          </cell>
        </row>
        <row r="61092">
          <cell r="O61092" t="str">
            <v/>
          </cell>
        </row>
        <row r="61093">
          <cell r="O61093" t="str">
            <v/>
          </cell>
        </row>
        <row r="61094">
          <cell r="O61094" t="str">
            <v/>
          </cell>
        </row>
        <row r="61095">
          <cell r="O61095" t="str">
            <v/>
          </cell>
        </row>
        <row r="61096">
          <cell r="O61096" t="str">
            <v/>
          </cell>
        </row>
        <row r="61097">
          <cell r="O61097" t="str">
            <v/>
          </cell>
        </row>
        <row r="61098">
          <cell r="O61098" t="str">
            <v/>
          </cell>
        </row>
        <row r="61099">
          <cell r="O61099" t="str">
            <v/>
          </cell>
        </row>
        <row r="61100">
          <cell r="O61100" t="str">
            <v/>
          </cell>
        </row>
        <row r="61101">
          <cell r="O61101" t="str">
            <v/>
          </cell>
        </row>
        <row r="61102">
          <cell r="O61102" t="str">
            <v/>
          </cell>
        </row>
        <row r="61103">
          <cell r="O61103" t="str">
            <v/>
          </cell>
        </row>
        <row r="61104">
          <cell r="O61104" t="str">
            <v/>
          </cell>
        </row>
        <row r="61105">
          <cell r="O61105" t="str">
            <v/>
          </cell>
        </row>
        <row r="61106">
          <cell r="O61106" t="str">
            <v/>
          </cell>
        </row>
        <row r="61107">
          <cell r="O61107" t="str">
            <v/>
          </cell>
        </row>
        <row r="61108">
          <cell r="O61108" t="str">
            <v/>
          </cell>
        </row>
        <row r="61109">
          <cell r="O61109" t="str">
            <v/>
          </cell>
        </row>
        <row r="61110">
          <cell r="O61110" t="str">
            <v/>
          </cell>
        </row>
        <row r="61111">
          <cell r="O61111" t="str">
            <v/>
          </cell>
        </row>
        <row r="61112">
          <cell r="O61112" t="str">
            <v/>
          </cell>
        </row>
        <row r="61113">
          <cell r="O61113" t="str">
            <v/>
          </cell>
        </row>
        <row r="61114">
          <cell r="O61114" t="str">
            <v/>
          </cell>
        </row>
        <row r="61115">
          <cell r="O61115" t="str">
            <v/>
          </cell>
        </row>
        <row r="61116">
          <cell r="O61116" t="str">
            <v/>
          </cell>
        </row>
        <row r="61117">
          <cell r="O61117" t="str">
            <v/>
          </cell>
        </row>
        <row r="61118">
          <cell r="O61118" t="str">
            <v/>
          </cell>
        </row>
        <row r="61119">
          <cell r="O61119" t="str">
            <v/>
          </cell>
        </row>
        <row r="61120">
          <cell r="O61120" t="str">
            <v/>
          </cell>
        </row>
        <row r="61121">
          <cell r="O61121" t="str">
            <v/>
          </cell>
        </row>
        <row r="61122">
          <cell r="O61122" t="str">
            <v/>
          </cell>
        </row>
        <row r="61123">
          <cell r="O61123" t="str">
            <v/>
          </cell>
        </row>
        <row r="61124">
          <cell r="O61124" t="str">
            <v/>
          </cell>
        </row>
        <row r="61125">
          <cell r="O61125" t="str">
            <v/>
          </cell>
        </row>
        <row r="61126">
          <cell r="O61126" t="str">
            <v/>
          </cell>
        </row>
        <row r="61127">
          <cell r="O61127" t="str">
            <v/>
          </cell>
        </row>
        <row r="61128">
          <cell r="O61128" t="str">
            <v/>
          </cell>
        </row>
        <row r="61129">
          <cell r="O61129" t="str">
            <v/>
          </cell>
        </row>
        <row r="61130">
          <cell r="O61130" t="str">
            <v/>
          </cell>
        </row>
        <row r="61131">
          <cell r="O61131" t="str">
            <v/>
          </cell>
        </row>
        <row r="61132">
          <cell r="O61132" t="str">
            <v/>
          </cell>
        </row>
        <row r="61133">
          <cell r="O61133" t="str">
            <v/>
          </cell>
        </row>
        <row r="61134">
          <cell r="O61134" t="str">
            <v/>
          </cell>
        </row>
        <row r="61135">
          <cell r="O61135" t="str">
            <v/>
          </cell>
        </row>
        <row r="61136">
          <cell r="O61136" t="str">
            <v/>
          </cell>
        </row>
        <row r="61137">
          <cell r="O61137" t="str">
            <v/>
          </cell>
        </row>
        <row r="61138">
          <cell r="O61138" t="str">
            <v/>
          </cell>
        </row>
        <row r="61139">
          <cell r="O61139" t="str">
            <v/>
          </cell>
        </row>
        <row r="61140">
          <cell r="O61140" t="str">
            <v/>
          </cell>
        </row>
        <row r="61141">
          <cell r="O61141" t="str">
            <v/>
          </cell>
        </row>
        <row r="61142">
          <cell r="O61142" t="str">
            <v/>
          </cell>
        </row>
        <row r="61143">
          <cell r="O61143" t="str">
            <v/>
          </cell>
        </row>
        <row r="61144">
          <cell r="O61144" t="str">
            <v/>
          </cell>
        </row>
        <row r="61145">
          <cell r="O61145" t="str">
            <v/>
          </cell>
        </row>
        <row r="61146">
          <cell r="O61146" t="str">
            <v/>
          </cell>
        </row>
        <row r="61147">
          <cell r="O61147" t="str">
            <v/>
          </cell>
        </row>
        <row r="61148">
          <cell r="O61148" t="str">
            <v/>
          </cell>
        </row>
        <row r="61149">
          <cell r="O61149" t="str">
            <v/>
          </cell>
        </row>
        <row r="61150">
          <cell r="O61150" t="str">
            <v/>
          </cell>
        </row>
        <row r="61151">
          <cell r="O61151" t="str">
            <v/>
          </cell>
        </row>
        <row r="61152">
          <cell r="O61152" t="str">
            <v/>
          </cell>
        </row>
        <row r="61153">
          <cell r="O61153" t="str">
            <v/>
          </cell>
        </row>
        <row r="61154">
          <cell r="O61154" t="str">
            <v/>
          </cell>
        </row>
        <row r="61155">
          <cell r="O61155" t="str">
            <v/>
          </cell>
        </row>
        <row r="61156">
          <cell r="O61156" t="str">
            <v/>
          </cell>
        </row>
        <row r="61157">
          <cell r="O61157" t="str">
            <v/>
          </cell>
        </row>
        <row r="61158">
          <cell r="O61158" t="str">
            <v/>
          </cell>
        </row>
        <row r="61159">
          <cell r="O61159" t="str">
            <v/>
          </cell>
        </row>
        <row r="61160">
          <cell r="O61160" t="str">
            <v/>
          </cell>
        </row>
        <row r="61161">
          <cell r="O61161" t="str">
            <v/>
          </cell>
        </row>
        <row r="61162">
          <cell r="O61162" t="str">
            <v/>
          </cell>
        </row>
        <row r="61163">
          <cell r="O61163" t="str">
            <v/>
          </cell>
        </row>
        <row r="61164">
          <cell r="O61164" t="str">
            <v/>
          </cell>
        </row>
        <row r="61165">
          <cell r="O61165" t="str">
            <v/>
          </cell>
        </row>
        <row r="61166">
          <cell r="O61166" t="str">
            <v/>
          </cell>
        </row>
        <row r="61167">
          <cell r="O61167" t="str">
            <v/>
          </cell>
        </row>
        <row r="61168">
          <cell r="O61168" t="str">
            <v/>
          </cell>
        </row>
        <row r="61169">
          <cell r="O61169" t="str">
            <v/>
          </cell>
        </row>
        <row r="61170">
          <cell r="O61170" t="str">
            <v/>
          </cell>
        </row>
        <row r="61171">
          <cell r="O61171" t="str">
            <v/>
          </cell>
        </row>
        <row r="61172">
          <cell r="O61172" t="str">
            <v/>
          </cell>
        </row>
        <row r="61173">
          <cell r="O61173" t="str">
            <v/>
          </cell>
        </row>
        <row r="61174">
          <cell r="O61174" t="str">
            <v/>
          </cell>
        </row>
        <row r="61175">
          <cell r="O61175" t="str">
            <v/>
          </cell>
        </row>
        <row r="61176">
          <cell r="O61176" t="str">
            <v/>
          </cell>
        </row>
        <row r="61177">
          <cell r="O61177" t="str">
            <v/>
          </cell>
        </row>
        <row r="61178">
          <cell r="O61178" t="str">
            <v/>
          </cell>
        </row>
        <row r="61179">
          <cell r="O61179" t="str">
            <v/>
          </cell>
        </row>
        <row r="61180">
          <cell r="O61180" t="str">
            <v/>
          </cell>
        </row>
        <row r="61181">
          <cell r="O61181" t="str">
            <v/>
          </cell>
        </row>
        <row r="61182">
          <cell r="O61182" t="str">
            <v/>
          </cell>
        </row>
        <row r="61183">
          <cell r="O61183" t="str">
            <v/>
          </cell>
        </row>
        <row r="61184">
          <cell r="O61184" t="str">
            <v/>
          </cell>
        </row>
        <row r="61185">
          <cell r="O61185" t="str">
            <v/>
          </cell>
        </row>
        <row r="61186">
          <cell r="O61186" t="str">
            <v/>
          </cell>
        </row>
        <row r="61187">
          <cell r="O61187" t="str">
            <v/>
          </cell>
        </row>
        <row r="61188">
          <cell r="O61188" t="str">
            <v/>
          </cell>
        </row>
        <row r="61189">
          <cell r="O61189" t="str">
            <v/>
          </cell>
        </row>
        <row r="61190">
          <cell r="O61190" t="str">
            <v/>
          </cell>
        </row>
        <row r="61191">
          <cell r="O61191" t="str">
            <v/>
          </cell>
        </row>
        <row r="61192">
          <cell r="O61192" t="str">
            <v/>
          </cell>
        </row>
        <row r="61193">
          <cell r="O61193" t="str">
            <v/>
          </cell>
        </row>
        <row r="61194">
          <cell r="O61194" t="str">
            <v/>
          </cell>
        </row>
        <row r="61195">
          <cell r="O61195" t="str">
            <v/>
          </cell>
        </row>
        <row r="61196">
          <cell r="O61196" t="str">
            <v/>
          </cell>
        </row>
        <row r="61197">
          <cell r="O61197" t="str">
            <v/>
          </cell>
        </row>
        <row r="61198">
          <cell r="O61198" t="str">
            <v/>
          </cell>
        </row>
        <row r="61199">
          <cell r="O61199" t="str">
            <v/>
          </cell>
        </row>
        <row r="61200">
          <cell r="O61200" t="str">
            <v/>
          </cell>
        </row>
        <row r="61201">
          <cell r="O61201" t="str">
            <v/>
          </cell>
        </row>
        <row r="61202">
          <cell r="O61202" t="str">
            <v/>
          </cell>
        </row>
        <row r="61203">
          <cell r="O61203" t="str">
            <v/>
          </cell>
        </row>
        <row r="61204">
          <cell r="O61204" t="str">
            <v/>
          </cell>
        </row>
        <row r="61205">
          <cell r="O61205" t="str">
            <v/>
          </cell>
        </row>
        <row r="61206">
          <cell r="O61206" t="str">
            <v/>
          </cell>
        </row>
        <row r="61207">
          <cell r="O61207" t="str">
            <v/>
          </cell>
        </row>
        <row r="61208">
          <cell r="O61208" t="str">
            <v/>
          </cell>
        </row>
        <row r="61209">
          <cell r="O61209" t="str">
            <v/>
          </cell>
        </row>
        <row r="61210">
          <cell r="O61210" t="str">
            <v/>
          </cell>
        </row>
        <row r="61211">
          <cell r="O61211" t="str">
            <v/>
          </cell>
        </row>
        <row r="61212">
          <cell r="O61212" t="str">
            <v/>
          </cell>
        </row>
        <row r="61213">
          <cell r="O61213" t="str">
            <v/>
          </cell>
        </row>
        <row r="61214">
          <cell r="O61214" t="str">
            <v/>
          </cell>
        </row>
        <row r="61215">
          <cell r="O61215" t="str">
            <v/>
          </cell>
        </row>
        <row r="61216">
          <cell r="O61216" t="str">
            <v/>
          </cell>
        </row>
        <row r="61217">
          <cell r="O61217" t="str">
            <v/>
          </cell>
        </row>
        <row r="61218">
          <cell r="O61218" t="str">
            <v/>
          </cell>
        </row>
        <row r="61219">
          <cell r="O61219" t="str">
            <v/>
          </cell>
        </row>
        <row r="61220">
          <cell r="O61220" t="str">
            <v/>
          </cell>
        </row>
        <row r="61221">
          <cell r="O61221" t="str">
            <v/>
          </cell>
        </row>
        <row r="61222">
          <cell r="O61222" t="str">
            <v/>
          </cell>
        </row>
        <row r="61223">
          <cell r="O61223" t="str">
            <v/>
          </cell>
        </row>
        <row r="61224">
          <cell r="O61224" t="str">
            <v/>
          </cell>
        </row>
        <row r="61225">
          <cell r="O61225" t="str">
            <v/>
          </cell>
        </row>
        <row r="61226">
          <cell r="O61226" t="str">
            <v/>
          </cell>
        </row>
        <row r="61227">
          <cell r="O61227" t="str">
            <v/>
          </cell>
        </row>
        <row r="61228">
          <cell r="O61228" t="str">
            <v/>
          </cell>
        </row>
        <row r="61229">
          <cell r="O61229" t="str">
            <v/>
          </cell>
        </row>
        <row r="61230">
          <cell r="O61230" t="str">
            <v/>
          </cell>
        </row>
        <row r="61231">
          <cell r="O61231" t="str">
            <v/>
          </cell>
        </row>
        <row r="61232">
          <cell r="O61232" t="str">
            <v/>
          </cell>
        </row>
        <row r="61233">
          <cell r="O61233" t="str">
            <v/>
          </cell>
        </row>
        <row r="61234">
          <cell r="O61234" t="str">
            <v/>
          </cell>
        </row>
        <row r="61235">
          <cell r="O61235" t="str">
            <v/>
          </cell>
        </row>
        <row r="61236">
          <cell r="O61236" t="str">
            <v/>
          </cell>
        </row>
        <row r="61237">
          <cell r="O61237" t="str">
            <v/>
          </cell>
        </row>
        <row r="61238">
          <cell r="O61238" t="str">
            <v/>
          </cell>
        </row>
        <row r="61239">
          <cell r="O61239" t="str">
            <v/>
          </cell>
        </row>
        <row r="61240">
          <cell r="O61240" t="str">
            <v/>
          </cell>
        </row>
        <row r="61241">
          <cell r="O61241" t="str">
            <v/>
          </cell>
        </row>
        <row r="61242">
          <cell r="O61242" t="str">
            <v/>
          </cell>
        </row>
        <row r="61243">
          <cell r="O61243" t="str">
            <v/>
          </cell>
        </row>
        <row r="61244">
          <cell r="O61244" t="str">
            <v/>
          </cell>
        </row>
        <row r="61245">
          <cell r="O61245" t="str">
            <v/>
          </cell>
        </row>
        <row r="61246">
          <cell r="O61246" t="str">
            <v/>
          </cell>
        </row>
        <row r="61247">
          <cell r="O61247" t="str">
            <v/>
          </cell>
        </row>
        <row r="61248">
          <cell r="O61248" t="str">
            <v/>
          </cell>
        </row>
        <row r="61249">
          <cell r="O61249" t="str">
            <v/>
          </cell>
        </row>
        <row r="61250">
          <cell r="O61250" t="str">
            <v/>
          </cell>
        </row>
        <row r="61251">
          <cell r="O61251" t="str">
            <v/>
          </cell>
        </row>
        <row r="61252">
          <cell r="O61252" t="str">
            <v/>
          </cell>
        </row>
        <row r="61253">
          <cell r="O61253" t="str">
            <v/>
          </cell>
        </row>
        <row r="61254">
          <cell r="O61254" t="str">
            <v/>
          </cell>
        </row>
        <row r="61255">
          <cell r="O61255" t="str">
            <v/>
          </cell>
        </row>
        <row r="61256">
          <cell r="O61256" t="str">
            <v/>
          </cell>
        </row>
        <row r="61257">
          <cell r="O61257" t="str">
            <v/>
          </cell>
        </row>
        <row r="61258">
          <cell r="O61258" t="str">
            <v/>
          </cell>
        </row>
        <row r="61259">
          <cell r="O61259" t="str">
            <v/>
          </cell>
        </row>
        <row r="61260">
          <cell r="O61260" t="str">
            <v/>
          </cell>
        </row>
        <row r="61261">
          <cell r="O61261" t="str">
            <v/>
          </cell>
        </row>
        <row r="61262">
          <cell r="O61262" t="str">
            <v/>
          </cell>
        </row>
        <row r="61263">
          <cell r="O61263" t="str">
            <v/>
          </cell>
        </row>
        <row r="61264">
          <cell r="O61264" t="str">
            <v/>
          </cell>
        </row>
        <row r="61265">
          <cell r="O61265" t="str">
            <v/>
          </cell>
        </row>
        <row r="61266">
          <cell r="O61266" t="str">
            <v/>
          </cell>
        </row>
        <row r="61267">
          <cell r="O61267" t="str">
            <v/>
          </cell>
        </row>
        <row r="61268">
          <cell r="O61268" t="str">
            <v/>
          </cell>
        </row>
        <row r="61269">
          <cell r="O61269" t="str">
            <v/>
          </cell>
        </row>
        <row r="61270">
          <cell r="O61270" t="str">
            <v/>
          </cell>
        </row>
        <row r="61271">
          <cell r="O61271" t="str">
            <v/>
          </cell>
        </row>
        <row r="61272">
          <cell r="O61272" t="str">
            <v/>
          </cell>
        </row>
        <row r="61273">
          <cell r="O61273" t="str">
            <v/>
          </cell>
        </row>
        <row r="61274">
          <cell r="O61274" t="str">
            <v/>
          </cell>
        </row>
        <row r="61275">
          <cell r="O61275" t="str">
            <v/>
          </cell>
        </row>
        <row r="61276">
          <cell r="O61276" t="str">
            <v/>
          </cell>
        </row>
        <row r="61277">
          <cell r="O61277" t="str">
            <v/>
          </cell>
        </row>
        <row r="61278">
          <cell r="O61278" t="str">
            <v/>
          </cell>
        </row>
        <row r="61279">
          <cell r="O61279" t="str">
            <v/>
          </cell>
        </row>
        <row r="61280">
          <cell r="O61280" t="str">
            <v/>
          </cell>
        </row>
        <row r="61281">
          <cell r="O61281" t="str">
            <v/>
          </cell>
        </row>
        <row r="61282">
          <cell r="O61282" t="str">
            <v/>
          </cell>
        </row>
        <row r="61283">
          <cell r="O61283" t="str">
            <v/>
          </cell>
        </row>
        <row r="61284">
          <cell r="O61284" t="str">
            <v/>
          </cell>
        </row>
        <row r="61285">
          <cell r="O61285" t="str">
            <v/>
          </cell>
        </row>
        <row r="61286">
          <cell r="O61286" t="str">
            <v/>
          </cell>
        </row>
        <row r="61287">
          <cell r="O61287" t="str">
            <v/>
          </cell>
        </row>
        <row r="61288">
          <cell r="O61288" t="str">
            <v/>
          </cell>
        </row>
        <row r="61289">
          <cell r="O61289" t="str">
            <v/>
          </cell>
        </row>
        <row r="61290">
          <cell r="O61290" t="str">
            <v/>
          </cell>
        </row>
        <row r="61291">
          <cell r="O61291" t="str">
            <v/>
          </cell>
        </row>
        <row r="61292">
          <cell r="O61292" t="str">
            <v/>
          </cell>
        </row>
        <row r="61293">
          <cell r="O61293" t="str">
            <v/>
          </cell>
        </row>
        <row r="61294">
          <cell r="O61294" t="str">
            <v/>
          </cell>
        </row>
        <row r="61295">
          <cell r="O61295" t="str">
            <v/>
          </cell>
        </row>
        <row r="61296">
          <cell r="O61296" t="str">
            <v/>
          </cell>
        </row>
        <row r="61297">
          <cell r="O61297" t="str">
            <v/>
          </cell>
        </row>
        <row r="61298">
          <cell r="O61298" t="str">
            <v/>
          </cell>
        </row>
        <row r="61299">
          <cell r="O61299" t="str">
            <v/>
          </cell>
        </row>
        <row r="61300">
          <cell r="O61300" t="str">
            <v/>
          </cell>
        </row>
        <row r="61301">
          <cell r="O61301" t="str">
            <v/>
          </cell>
        </row>
        <row r="61302">
          <cell r="O61302" t="str">
            <v/>
          </cell>
        </row>
        <row r="61303">
          <cell r="O61303" t="str">
            <v/>
          </cell>
        </row>
        <row r="61304">
          <cell r="O61304" t="str">
            <v/>
          </cell>
        </row>
        <row r="61305">
          <cell r="O61305" t="str">
            <v/>
          </cell>
        </row>
        <row r="61306">
          <cell r="O61306" t="str">
            <v/>
          </cell>
        </row>
        <row r="61307">
          <cell r="O61307" t="str">
            <v/>
          </cell>
        </row>
        <row r="61308">
          <cell r="O61308" t="str">
            <v/>
          </cell>
        </row>
        <row r="61309">
          <cell r="O61309" t="str">
            <v/>
          </cell>
        </row>
        <row r="61310">
          <cell r="O61310" t="str">
            <v/>
          </cell>
        </row>
        <row r="61311">
          <cell r="O61311" t="str">
            <v/>
          </cell>
        </row>
        <row r="61312">
          <cell r="O61312" t="str">
            <v/>
          </cell>
        </row>
        <row r="61313">
          <cell r="O61313" t="str">
            <v/>
          </cell>
        </row>
        <row r="61314">
          <cell r="O61314" t="str">
            <v/>
          </cell>
        </row>
        <row r="61315">
          <cell r="O61315" t="str">
            <v/>
          </cell>
        </row>
        <row r="61316">
          <cell r="O61316" t="str">
            <v/>
          </cell>
        </row>
        <row r="61317">
          <cell r="O61317" t="str">
            <v/>
          </cell>
        </row>
        <row r="61318">
          <cell r="O61318" t="str">
            <v/>
          </cell>
        </row>
        <row r="61319">
          <cell r="O61319" t="str">
            <v/>
          </cell>
        </row>
        <row r="61320">
          <cell r="O61320" t="str">
            <v/>
          </cell>
        </row>
        <row r="61321">
          <cell r="O61321" t="str">
            <v/>
          </cell>
        </row>
        <row r="61322">
          <cell r="O61322" t="str">
            <v/>
          </cell>
        </row>
        <row r="61323">
          <cell r="O61323" t="str">
            <v/>
          </cell>
        </row>
        <row r="61324">
          <cell r="O61324" t="str">
            <v/>
          </cell>
        </row>
        <row r="61325">
          <cell r="O61325" t="str">
            <v/>
          </cell>
        </row>
        <row r="61326">
          <cell r="O61326" t="str">
            <v/>
          </cell>
        </row>
        <row r="61327">
          <cell r="O61327" t="str">
            <v/>
          </cell>
        </row>
        <row r="61328">
          <cell r="O61328" t="str">
            <v/>
          </cell>
        </row>
        <row r="61329">
          <cell r="O61329" t="str">
            <v/>
          </cell>
        </row>
        <row r="61330">
          <cell r="O61330" t="str">
            <v/>
          </cell>
        </row>
        <row r="61331">
          <cell r="O61331" t="str">
            <v/>
          </cell>
        </row>
        <row r="61332">
          <cell r="O61332" t="str">
            <v/>
          </cell>
        </row>
        <row r="61333">
          <cell r="O61333" t="str">
            <v/>
          </cell>
        </row>
        <row r="61334">
          <cell r="O61334" t="str">
            <v/>
          </cell>
        </row>
        <row r="61335">
          <cell r="O61335" t="str">
            <v/>
          </cell>
        </row>
        <row r="61336">
          <cell r="O61336" t="str">
            <v/>
          </cell>
        </row>
        <row r="61337">
          <cell r="O61337" t="str">
            <v/>
          </cell>
        </row>
        <row r="61338">
          <cell r="O61338" t="str">
            <v/>
          </cell>
        </row>
        <row r="61339">
          <cell r="O61339" t="str">
            <v/>
          </cell>
        </row>
        <row r="61340">
          <cell r="O61340" t="str">
            <v/>
          </cell>
        </row>
        <row r="61341">
          <cell r="O61341" t="str">
            <v/>
          </cell>
        </row>
        <row r="61342">
          <cell r="O61342" t="str">
            <v/>
          </cell>
        </row>
        <row r="61343">
          <cell r="O61343" t="str">
            <v/>
          </cell>
        </row>
        <row r="61344">
          <cell r="O61344" t="str">
            <v/>
          </cell>
        </row>
        <row r="61345">
          <cell r="O61345" t="str">
            <v/>
          </cell>
        </row>
        <row r="61346">
          <cell r="O61346" t="str">
            <v/>
          </cell>
        </row>
        <row r="61347">
          <cell r="O61347" t="str">
            <v/>
          </cell>
        </row>
        <row r="61348">
          <cell r="O61348" t="str">
            <v/>
          </cell>
        </row>
        <row r="61349">
          <cell r="O61349" t="str">
            <v/>
          </cell>
        </row>
        <row r="61350">
          <cell r="O61350" t="str">
            <v/>
          </cell>
        </row>
        <row r="61351">
          <cell r="O61351" t="str">
            <v/>
          </cell>
        </row>
        <row r="61352">
          <cell r="O61352" t="str">
            <v/>
          </cell>
        </row>
        <row r="61353">
          <cell r="O61353" t="str">
            <v/>
          </cell>
        </row>
        <row r="61354">
          <cell r="O61354" t="str">
            <v/>
          </cell>
        </row>
        <row r="61355">
          <cell r="O61355" t="str">
            <v/>
          </cell>
        </row>
        <row r="61356">
          <cell r="O61356" t="str">
            <v/>
          </cell>
        </row>
        <row r="61357">
          <cell r="O61357" t="str">
            <v/>
          </cell>
        </row>
        <row r="61358">
          <cell r="O61358" t="str">
            <v/>
          </cell>
        </row>
        <row r="61359">
          <cell r="O61359" t="str">
            <v/>
          </cell>
        </row>
        <row r="61360">
          <cell r="O61360" t="str">
            <v/>
          </cell>
        </row>
        <row r="61361">
          <cell r="O61361" t="str">
            <v/>
          </cell>
        </row>
        <row r="61362">
          <cell r="O61362" t="str">
            <v/>
          </cell>
        </row>
        <row r="61363">
          <cell r="O61363" t="str">
            <v/>
          </cell>
        </row>
        <row r="61364">
          <cell r="O61364" t="str">
            <v/>
          </cell>
        </row>
        <row r="61365">
          <cell r="O61365" t="str">
            <v/>
          </cell>
        </row>
        <row r="61366">
          <cell r="O61366" t="str">
            <v/>
          </cell>
        </row>
        <row r="61367">
          <cell r="O61367" t="str">
            <v/>
          </cell>
        </row>
        <row r="61368">
          <cell r="O61368" t="str">
            <v/>
          </cell>
        </row>
        <row r="61369">
          <cell r="O61369" t="str">
            <v/>
          </cell>
        </row>
        <row r="61370">
          <cell r="O61370" t="str">
            <v/>
          </cell>
        </row>
        <row r="61371">
          <cell r="O61371" t="str">
            <v/>
          </cell>
        </row>
        <row r="61372">
          <cell r="O61372" t="str">
            <v/>
          </cell>
        </row>
        <row r="61373">
          <cell r="O61373" t="str">
            <v/>
          </cell>
        </row>
        <row r="61374">
          <cell r="O61374" t="str">
            <v/>
          </cell>
        </row>
        <row r="61375">
          <cell r="O61375" t="str">
            <v/>
          </cell>
        </row>
        <row r="61376">
          <cell r="O61376" t="str">
            <v/>
          </cell>
        </row>
        <row r="61377">
          <cell r="O61377" t="str">
            <v/>
          </cell>
        </row>
        <row r="61378">
          <cell r="O61378" t="str">
            <v/>
          </cell>
        </row>
        <row r="61379">
          <cell r="O61379" t="str">
            <v/>
          </cell>
        </row>
        <row r="61380">
          <cell r="O61380" t="str">
            <v/>
          </cell>
        </row>
        <row r="61381">
          <cell r="O61381" t="str">
            <v/>
          </cell>
        </row>
        <row r="61382">
          <cell r="O61382" t="str">
            <v/>
          </cell>
        </row>
        <row r="61383">
          <cell r="O61383" t="str">
            <v/>
          </cell>
        </row>
        <row r="61384">
          <cell r="O61384" t="str">
            <v/>
          </cell>
        </row>
        <row r="61385">
          <cell r="O61385" t="str">
            <v/>
          </cell>
        </row>
        <row r="61386">
          <cell r="O61386" t="str">
            <v/>
          </cell>
        </row>
        <row r="61387">
          <cell r="O61387" t="str">
            <v/>
          </cell>
        </row>
        <row r="61388">
          <cell r="O61388" t="str">
            <v/>
          </cell>
        </row>
        <row r="61389">
          <cell r="O61389" t="str">
            <v/>
          </cell>
        </row>
        <row r="61390">
          <cell r="O61390" t="str">
            <v/>
          </cell>
        </row>
        <row r="61391">
          <cell r="O61391" t="str">
            <v/>
          </cell>
        </row>
        <row r="61392">
          <cell r="O61392" t="str">
            <v/>
          </cell>
        </row>
        <row r="61393">
          <cell r="O61393" t="str">
            <v/>
          </cell>
        </row>
        <row r="61394">
          <cell r="O61394" t="str">
            <v/>
          </cell>
        </row>
        <row r="61395">
          <cell r="O61395" t="str">
            <v/>
          </cell>
        </row>
        <row r="61396">
          <cell r="O61396" t="str">
            <v/>
          </cell>
        </row>
        <row r="61397">
          <cell r="O61397" t="str">
            <v/>
          </cell>
        </row>
        <row r="61398">
          <cell r="O61398" t="str">
            <v/>
          </cell>
        </row>
        <row r="61399">
          <cell r="O61399" t="str">
            <v/>
          </cell>
        </row>
        <row r="61400">
          <cell r="O61400" t="str">
            <v/>
          </cell>
        </row>
        <row r="61401">
          <cell r="O61401" t="str">
            <v/>
          </cell>
        </row>
        <row r="61402">
          <cell r="O61402" t="str">
            <v/>
          </cell>
        </row>
        <row r="61403">
          <cell r="O61403" t="str">
            <v/>
          </cell>
        </row>
        <row r="61404">
          <cell r="O61404" t="str">
            <v/>
          </cell>
        </row>
        <row r="61405">
          <cell r="O61405" t="str">
            <v/>
          </cell>
        </row>
        <row r="61406">
          <cell r="O61406" t="str">
            <v/>
          </cell>
        </row>
        <row r="61407">
          <cell r="O61407" t="str">
            <v/>
          </cell>
        </row>
        <row r="61408">
          <cell r="O61408" t="str">
            <v/>
          </cell>
        </row>
        <row r="61409">
          <cell r="O61409" t="str">
            <v/>
          </cell>
        </row>
        <row r="61410">
          <cell r="O61410" t="str">
            <v/>
          </cell>
        </row>
        <row r="61411">
          <cell r="O61411" t="str">
            <v/>
          </cell>
        </row>
        <row r="61412">
          <cell r="O61412" t="str">
            <v/>
          </cell>
        </row>
        <row r="61413">
          <cell r="O61413" t="str">
            <v/>
          </cell>
        </row>
        <row r="61414">
          <cell r="O61414" t="str">
            <v/>
          </cell>
        </row>
        <row r="61415">
          <cell r="O61415" t="str">
            <v/>
          </cell>
        </row>
        <row r="61416">
          <cell r="O61416" t="str">
            <v/>
          </cell>
        </row>
        <row r="61417">
          <cell r="O61417" t="str">
            <v/>
          </cell>
        </row>
        <row r="61418">
          <cell r="O61418" t="str">
            <v/>
          </cell>
        </row>
        <row r="61419">
          <cell r="O61419" t="str">
            <v/>
          </cell>
        </row>
        <row r="61420">
          <cell r="O61420" t="str">
            <v/>
          </cell>
        </row>
        <row r="61421">
          <cell r="O61421" t="str">
            <v/>
          </cell>
        </row>
        <row r="61422">
          <cell r="O61422" t="str">
            <v/>
          </cell>
        </row>
        <row r="61423">
          <cell r="O61423" t="str">
            <v/>
          </cell>
        </row>
        <row r="61424">
          <cell r="O61424" t="str">
            <v/>
          </cell>
        </row>
        <row r="61425">
          <cell r="O61425" t="str">
            <v/>
          </cell>
        </row>
        <row r="61426">
          <cell r="O61426" t="str">
            <v/>
          </cell>
        </row>
        <row r="61427">
          <cell r="O61427" t="str">
            <v/>
          </cell>
        </row>
        <row r="61428">
          <cell r="O61428" t="str">
            <v/>
          </cell>
        </row>
        <row r="61429">
          <cell r="O61429" t="str">
            <v/>
          </cell>
        </row>
        <row r="61430">
          <cell r="O61430" t="str">
            <v/>
          </cell>
        </row>
        <row r="61431">
          <cell r="O61431" t="str">
            <v/>
          </cell>
        </row>
        <row r="61432">
          <cell r="O61432" t="str">
            <v/>
          </cell>
        </row>
        <row r="61433">
          <cell r="O61433" t="str">
            <v/>
          </cell>
        </row>
        <row r="61434">
          <cell r="O61434" t="str">
            <v/>
          </cell>
        </row>
        <row r="61435">
          <cell r="O61435" t="str">
            <v/>
          </cell>
        </row>
        <row r="61436">
          <cell r="O61436" t="str">
            <v/>
          </cell>
        </row>
        <row r="61437">
          <cell r="O61437" t="str">
            <v/>
          </cell>
        </row>
        <row r="61438">
          <cell r="O61438" t="str">
            <v/>
          </cell>
        </row>
        <row r="61439">
          <cell r="O61439" t="str">
            <v/>
          </cell>
        </row>
        <row r="61440">
          <cell r="O61440" t="str">
            <v/>
          </cell>
        </row>
        <row r="61441">
          <cell r="O61441" t="str">
            <v/>
          </cell>
        </row>
        <row r="61442">
          <cell r="O61442" t="str">
            <v/>
          </cell>
        </row>
        <row r="61443">
          <cell r="O61443" t="str">
            <v/>
          </cell>
        </row>
        <row r="61444">
          <cell r="O61444" t="str">
            <v/>
          </cell>
        </row>
        <row r="61445">
          <cell r="O61445" t="str">
            <v/>
          </cell>
        </row>
        <row r="61446">
          <cell r="O61446" t="str">
            <v/>
          </cell>
        </row>
        <row r="61447">
          <cell r="O61447" t="str">
            <v/>
          </cell>
        </row>
        <row r="61448">
          <cell r="O61448" t="str">
            <v/>
          </cell>
        </row>
        <row r="61449">
          <cell r="O61449" t="str">
            <v/>
          </cell>
        </row>
        <row r="61450">
          <cell r="O61450" t="str">
            <v/>
          </cell>
        </row>
        <row r="61451">
          <cell r="O61451" t="str">
            <v/>
          </cell>
        </row>
        <row r="61452">
          <cell r="O61452" t="str">
            <v/>
          </cell>
        </row>
        <row r="61453">
          <cell r="O61453" t="str">
            <v/>
          </cell>
        </row>
        <row r="61454">
          <cell r="O61454" t="str">
            <v/>
          </cell>
        </row>
        <row r="61455">
          <cell r="O61455" t="str">
            <v/>
          </cell>
        </row>
        <row r="61456">
          <cell r="O61456" t="str">
            <v/>
          </cell>
        </row>
        <row r="61457">
          <cell r="O61457" t="str">
            <v/>
          </cell>
        </row>
        <row r="61458">
          <cell r="O61458" t="str">
            <v/>
          </cell>
        </row>
        <row r="61459">
          <cell r="O61459" t="str">
            <v/>
          </cell>
        </row>
        <row r="61460">
          <cell r="O61460" t="str">
            <v/>
          </cell>
        </row>
        <row r="61461">
          <cell r="O61461" t="str">
            <v/>
          </cell>
        </row>
        <row r="61462">
          <cell r="O61462" t="str">
            <v/>
          </cell>
        </row>
        <row r="61463">
          <cell r="O61463" t="str">
            <v/>
          </cell>
        </row>
        <row r="61464">
          <cell r="O61464" t="str">
            <v/>
          </cell>
        </row>
        <row r="61465">
          <cell r="O61465" t="str">
            <v/>
          </cell>
        </row>
        <row r="61466">
          <cell r="O61466" t="str">
            <v/>
          </cell>
        </row>
        <row r="61467">
          <cell r="O61467" t="str">
            <v/>
          </cell>
        </row>
        <row r="61468">
          <cell r="O61468" t="str">
            <v/>
          </cell>
        </row>
        <row r="61469">
          <cell r="O61469" t="str">
            <v/>
          </cell>
        </row>
        <row r="61470">
          <cell r="O61470" t="str">
            <v/>
          </cell>
        </row>
        <row r="61471">
          <cell r="O61471" t="str">
            <v/>
          </cell>
        </row>
        <row r="61472">
          <cell r="O61472" t="str">
            <v/>
          </cell>
        </row>
        <row r="61473">
          <cell r="O61473" t="str">
            <v/>
          </cell>
        </row>
        <row r="61474">
          <cell r="O61474" t="str">
            <v/>
          </cell>
        </row>
        <row r="61475">
          <cell r="O61475" t="str">
            <v/>
          </cell>
        </row>
        <row r="61476">
          <cell r="O61476" t="str">
            <v/>
          </cell>
        </row>
        <row r="61477">
          <cell r="O61477" t="str">
            <v/>
          </cell>
        </row>
        <row r="61478">
          <cell r="O61478" t="str">
            <v/>
          </cell>
        </row>
        <row r="61479">
          <cell r="O61479" t="str">
            <v/>
          </cell>
        </row>
        <row r="61480">
          <cell r="O61480" t="str">
            <v/>
          </cell>
        </row>
        <row r="61481">
          <cell r="O61481" t="str">
            <v/>
          </cell>
        </row>
        <row r="61482">
          <cell r="O61482" t="str">
            <v/>
          </cell>
        </row>
        <row r="61483">
          <cell r="O61483" t="str">
            <v/>
          </cell>
        </row>
        <row r="61484">
          <cell r="O61484" t="str">
            <v/>
          </cell>
        </row>
        <row r="61485">
          <cell r="O61485" t="str">
            <v/>
          </cell>
        </row>
        <row r="61486">
          <cell r="O61486" t="str">
            <v/>
          </cell>
        </row>
        <row r="61487">
          <cell r="O61487" t="str">
            <v/>
          </cell>
        </row>
        <row r="61488">
          <cell r="O61488" t="str">
            <v/>
          </cell>
        </row>
        <row r="61489">
          <cell r="O61489" t="str">
            <v/>
          </cell>
        </row>
        <row r="61490">
          <cell r="O61490" t="str">
            <v/>
          </cell>
        </row>
        <row r="61491">
          <cell r="O61491" t="str">
            <v/>
          </cell>
        </row>
        <row r="61492">
          <cell r="O61492" t="str">
            <v/>
          </cell>
        </row>
        <row r="61493">
          <cell r="O61493" t="str">
            <v/>
          </cell>
        </row>
        <row r="61494">
          <cell r="O61494" t="str">
            <v/>
          </cell>
        </row>
        <row r="61495">
          <cell r="O61495" t="str">
            <v/>
          </cell>
        </row>
        <row r="61496">
          <cell r="O61496" t="str">
            <v/>
          </cell>
        </row>
        <row r="61497">
          <cell r="O61497" t="str">
            <v/>
          </cell>
        </row>
        <row r="61498">
          <cell r="O61498" t="str">
            <v/>
          </cell>
        </row>
        <row r="61499">
          <cell r="O61499" t="str">
            <v/>
          </cell>
        </row>
        <row r="61500">
          <cell r="O61500" t="str">
            <v/>
          </cell>
        </row>
        <row r="61501">
          <cell r="O61501" t="str">
            <v/>
          </cell>
        </row>
        <row r="61502">
          <cell r="O61502" t="str">
            <v/>
          </cell>
        </row>
        <row r="61503">
          <cell r="O61503" t="str">
            <v/>
          </cell>
        </row>
        <row r="61504">
          <cell r="O61504" t="str">
            <v/>
          </cell>
        </row>
        <row r="61505">
          <cell r="O61505" t="str">
            <v/>
          </cell>
        </row>
        <row r="61506">
          <cell r="O61506" t="str">
            <v/>
          </cell>
        </row>
        <row r="61507">
          <cell r="O61507" t="str">
            <v/>
          </cell>
        </row>
        <row r="61508">
          <cell r="O61508" t="str">
            <v/>
          </cell>
        </row>
        <row r="61509">
          <cell r="O61509" t="str">
            <v/>
          </cell>
        </row>
        <row r="61510">
          <cell r="O61510" t="str">
            <v/>
          </cell>
        </row>
        <row r="61511">
          <cell r="O61511" t="str">
            <v/>
          </cell>
        </row>
        <row r="61512">
          <cell r="O61512" t="str">
            <v/>
          </cell>
        </row>
        <row r="61513">
          <cell r="O61513" t="str">
            <v/>
          </cell>
        </row>
        <row r="61514">
          <cell r="O61514" t="str">
            <v/>
          </cell>
        </row>
        <row r="61515">
          <cell r="O61515" t="str">
            <v/>
          </cell>
        </row>
        <row r="61516">
          <cell r="O61516" t="str">
            <v/>
          </cell>
        </row>
        <row r="61517">
          <cell r="O61517" t="str">
            <v/>
          </cell>
        </row>
        <row r="61518">
          <cell r="O61518" t="str">
            <v/>
          </cell>
        </row>
        <row r="61519">
          <cell r="O61519" t="str">
            <v/>
          </cell>
        </row>
        <row r="61520">
          <cell r="O61520" t="str">
            <v/>
          </cell>
        </row>
        <row r="61521">
          <cell r="O61521" t="str">
            <v/>
          </cell>
        </row>
        <row r="61522">
          <cell r="O61522" t="str">
            <v/>
          </cell>
        </row>
        <row r="61523">
          <cell r="O61523" t="str">
            <v/>
          </cell>
        </row>
        <row r="61524">
          <cell r="O61524" t="str">
            <v/>
          </cell>
        </row>
        <row r="61525">
          <cell r="O61525" t="str">
            <v/>
          </cell>
        </row>
        <row r="61526">
          <cell r="O61526" t="str">
            <v/>
          </cell>
        </row>
        <row r="61527">
          <cell r="O61527" t="str">
            <v/>
          </cell>
        </row>
        <row r="61528">
          <cell r="O61528" t="str">
            <v/>
          </cell>
        </row>
        <row r="61529">
          <cell r="O61529" t="str">
            <v/>
          </cell>
        </row>
        <row r="61530">
          <cell r="O61530" t="str">
            <v/>
          </cell>
        </row>
        <row r="61531">
          <cell r="O61531" t="str">
            <v/>
          </cell>
        </row>
        <row r="61532">
          <cell r="O61532" t="str">
            <v/>
          </cell>
        </row>
        <row r="61533">
          <cell r="O61533" t="str">
            <v/>
          </cell>
        </row>
        <row r="61534">
          <cell r="O61534" t="str">
            <v/>
          </cell>
        </row>
        <row r="61535">
          <cell r="O61535" t="str">
            <v/>
          </cell>
        </row>
        <row r="61536">
          <cell r="O61536" t="str">
            <v/>
          </cell>
        </row>
        <row r="61537">
          <cell r="O61537" t="str">
            <v/>
          </cell>
        </row>
        <row r="61538">
          <cell r="O61538" t="str">
            <v/>
          </cell>
        </row>
        <row r="61539">
          <cell r="O61539" t="str">
            <v/>
          </cell>
        </row>
        <row r="61540">
          <cell r="O61540" t="str">
            <v/>
          </cell>
        </row>
        <row r="61541">
          <cell r="O61541" t="str">
            <v/>
          </cell>
        </row>
        <row r="61542">
          <cell r="O61542" t="str">
            <v/>
          </cell>
        </row>
        <row r="61543">
          <cell r="O61543" t="str">
            <v/>
          </cell>
        </row>
        <row r="61544">
          <cell r="O61544" t="str">
            <v/>
          </cell>
        </row>
        <row r="61545">
          <cell r="O61545" t="str">
            <v/>
          </cell>
        </row>
        <row r="61546">
          <cell r="O61546" t="str">
            <v/>
          </cell>
        </row>
        <row r="61547">
          <cell r="O61547" t="str">
            <v/>
          </cell>
        </row>
        <row r="61548">
          <cell r="O61548" t="str">
            <v/>
          </cell>
        </row>
        <row r="61549">
          <cell r="O61549" t="str">
            <v/>
          </cell>
        </row>
        <row r="61550">
          <cell r="O61550" t="str">
            <v/>
          </cell>
        </row>
        <row r="61551">
          <cell r="O61551" t="str">
            <v/>
          </cell>
        </row>
        <row r="61552">
          <cell r="O61552" t="str">
            <v/>
          </cell>
        </row>
        <row r="61553">
          <cell r="O61553" t="str">
            <v/>
          </cell>
        </row>
        <row r="61554">
          <cell r="O61554" t="str">
            <v/>
          </cell>
        </row>
        <row r="61555">
          <cell r="O61555" t="str">
            <v/>
          </cell>
        </row>
        <row r="61556">
          <cell r="O61556" t="str">
            <v/>
          </cell>
        </row>
        <row r="61557">
          <cell r="O61557" t="str">
            <v/>
          </cell>
        </row>
        <row r="61558">
          <cell r="O61558" t="str">
            <v/>
          </cell>
        </row>
        <row r="61559">
          <cell r="O61559" t="str">
            <v/>
          </cell>
        </row>
        <row r="61560">
          <cell r="O61560" t="str">
            <v/>
          </cell>
        </row>
        <row r="61561">
          <cell r="O61561" t="str">
            <v/>
          </cell>
        </row>
        <row r="61562">
          <cell r="O61562" t="str">
            <v/>
          </cell>
        </row>
        <row r="61563">
          <cell r="O61563" t="str">
            <v/>
          </cell>
        </row>
        <row r="61564">
          <cell r="O61564" t="str">
            <v/>
          </cell>
        </row>
        <row r="61565">
          <cell r="O61565" t="str">
            <v/>
          </cell>
        </row>
        <row r="61566">
          <cell r="O61566" t="str">
            <v/>
          </cell>
        </row>
        <row r="61567">
          <cell r="O61567" t="str">
            <v/>
          </cell>
        </row>
        <row r="61568">
          <cell r="O61568" t="str">
            <v/>
          </cell>
        </row>
        <row r="61569">
          <cell r="O61569" t="str">
            <v/>
          </cell>
        </row>
        <row r="61570">
          <cell r="O61570" t="str">
            <v/>
          </cell>
        </row>
        <row r="61571">
          <cell r="O61571" t="str">
            <v/>
          </cell>
        </row>
        <row r="61572">
          <cell r="O61572" t="str">
            <v/>
          </cell>
        </row>
        <row r="61573">
          <cell r="O61573" t="str">
            <v/>
          </cell>
        </row>
        <row r="61574">
          <cell r="O61574" t="str">
            <v/>
          </cell>
        </row>
        <row r="61575">
          <cell r="O61575" t="str">
            <v/>
          </cell>
        </row>
        <row r="61576">
          <cell r="O61576" t="str">
            <v/>
          </cell>
        </row>
        <row r="61577">
          <cell r="O61577" t="str">
            <v/>
          </cell>
        </row>
        <row r="61578">
          <cell r="O61578" t="str">
            <v/>
          </cell>
        </row>
        <row r="61579">
          <cell r="O61579" t="str">
            <v/>
          </cell>
        </row>
        <row r="61580">
          <cell r="O61580" t="str">
            <v/>
          </cell>
        </row>
        <row r="61581">
          <cell r="O61581" t="str">
            <v/>
          </cell>
        </row>
        <row r="61582">
          <cell r="O61582" t="str">
            <v/>
          </cell>
        </row>
        <row r="61583">
          <cell r="O61583" t="str">
            <v/>
          </cell>
        </row>
        <row r="61584">
          <cell r="O61584" t="str">
            <v/>
          </cell>
        </row>
        <row r="61585">
          <cell r="O61585" t="str">
            <v/>
          </cell>
        </row>
        <row r="61586">
          <cell r="O61586" t="str">
            <v/>
          </cell>
        </row>
        <row r="61587">
          <cell r="O61587" t="str">
            <v/>
          </cell>
        </row>
        <row r="61588">
          <cell r="O61588" t="str">
            <v/>
          </cell>
        </row>
        <row r="61589">
          <cell r="O61589" t="str">
            <v/>
          </cell>
        </row>
        <row r="61590">
          <cell r="O61590" t="str">
            <v/>
          </cell>
        </row>
        <row r="61591">
          <cell r="O61591" t="str">
            <v/>
          </cell>
        </row>
        <row r="61592">
          <cell r="O61592" t="str">
            <v/>
          </cell>
        </row>
        <row r="61593">
          <cell r="O61593" t="str">
            <v/>
          </cell>
        </row>
        <row r="61594">
          <cell r="O61594" t="str">
            <v/>
          </cell>
        </row>
        <row r="61595">
          <cell r="O61595" t="str">
            <v/>
          </cell>
        </row>
        <row r="61596">
          <cell r="O61596" t="str">
            <v/>
          </cell>
        </row>
        <row r="61597">
          <cell r="O61597" t="str">
            <v/>
          </cell>
        </row>
        <row r="61598">
          <cell r="O61598" t="str">
            <v/>
          </cell>
        </row>
        <row r="61599">
          <cell r="O61599" t="str">
            <v/>
          </cell>
        </row>
        <row r="61600">
          <cell r="O61600" t="str">
            <v/>
          </cell>
        </row>
        <row r="61601">
          <cell r="O61601" t="str">
            <v/>
          </cell>
        </row>
        <row r="61602">
          <cell r="O61602" t="str">
            <v/>
          </cell>
        </row>
        <row r="61603">
          <cell r="O61603" t="str">
            <v/>
          </cell>
        </row>
        <row r="61604">
          <cell r="O61604" t="str">
            <v/>
          </cell>
        </row>
        <row r="61605">
          <cell r="O61605" t="str">
            <v/>
          </cell>
        </row>
        <row r="61606">
          <cell r="O61606" t="str">
            <v/>
          </cell>
        </row>
        <row r="61607">
          <cell r="O61607" t="str">
            <v/>
          </cell>
        </row>
        <row r="61608">
          <cell r="O61608" t="str">
            <v/>
          </cell>
        </row>
        <row r="61609">
          <cell r="O61609" t="str">
            <v/>
          </cell>
        </row>
        <row r="61610">
          <cell r="O61610" t="str">
            <v/>
          </cell>
        </row>
        <row r="61611">
          <cell r="O61611" t="str">
            <v/>
          </cell>
        </row>
        <row r="61612">
          <cell r="O61612" t="str">
            <v/>
          </cell>
        </row>
        <row r="61613">
          <cell r="O61613" t="str">
            <v/>
          </cell>
        </row>
        <row r="61614">
          <cell r="O61614" t="str">
            <v/>
          </cell>
        </row>
        <row r="61615">
          <cell r="O61615" t="str">
            <v/>
          </cell>
        </row>
        <row r="61616">
          <cell r="O61616" t="str">
            <v/>
          </cell>
        </row>
        <row r="61617">
          <cell r="O61617" t="str">
            <v/>
          </cell>
        </row>
        <row r="61618">
          <cell r="O61618" t="str">
            <v/>
          </cell>
        </row>
        <row r="61619">
          <cell r="O61619" t="str">
            <v/>
          </cell>
        </row>
        <row r="61620">
          <cell r="O61620" t="str">
            <v/>
          </cell>
        </row>
        <row r="61621">
          <cell r="O61621" t="str">
            <v/>
          </cell>
        </row>
        <row r="61622">
          <cell r="O61622" t="str">
            <v/>
          </cell>
        </row>
        <row r="61623">
          <cell r="O61623" t="str">
            <v/>
          </cell>
        </row>
        <row r="61624">
          <cell r="O61624" t="str">
            <v/>
          </cell>
        </row>
        <row r="61625">
          <cell r="O61625" t="str">
            <v/>
          </cell>
        </row>
        <row r="61626">
          <cell r="O61626" t="str">
            <v/>
          </cell>
        </row>
        <row r="61627">
          <cell r="O61627" t="str">
            <v/>
          </cell>
        </row>
        <row r="61628">
          <cell r="O61628" t="str">
            <v/>
          </cell>
        </row>
        <row r="61629">
          <cell r="O61629" t="str">
            <v/>
          </cell>
        </row>
        <row r="61630">
          <cell r="O61630" t="str">
            <v/>
          </cell>
        </row>
        <row r="61631">
          <cell r="O61631" t="str">
            <v/>
          </cell>
        </row>
        <row r="61632">
          <cell r="O61632" t="str">
            <v/>
          </cell>
        </row>
        <row r="61633">
          <cell r="O61633" t="str">
            <v/>
          </cell>
        </row>
        <row r="61634">
          <cell r="O61634" t="str">
            <v/>
          </cell>
        </row>
        <row r="61635">
          <cell r="O61635" t="str">
            <v/>
          </cell>
        </row>
        <row r="61636">
          <cell r="O61636" t="str">
            <v/>
          </cell>
        </row>
        <row r="61637">
          <cell r="O61637" t="str">
            <v/>
          </cell>
        </row>
        <row r="61638">
          <cell r="O61638" t="str">
            <v/>
          </cell>
        </row>
        <row r="61639">
          <cell r="O61639" t="str">
            <v/>
          </cell>
        </row>
        <row r="61640">
          <cell r="O61640" t="str">
            <v/>
          </cell>
        </row>
        <row r="61641">
          <cell r="O61641" t="str">
            <v/>
          </cell>
        </row>
        <row r="61642">
          <cell r="O61642" t="str">
            <v/>
          </cell>
        </row>
        <row r="61643">
          <cell r="O61643" t="str">
            <v/>
          </cell>
        </row>
        <row r="61644">
          <cell r="O61644" t="str">
            <v/>
          </cell>
        </row>
        <row r="61645">
          <cell r="O61645" t="str">
            <v/>
          </cell>
        </row>
        <row r="61646">
          <cell r="O61646" t="str">
            <v/>
          </cell>
        </row>
        <row r="61647">
          <cell r="O61647" t="str">
            <v/>
          </cell>
        </row>
        <row r="61648">
          <cell r="O61648" t="str">
            <v/>
          </cell>
        </row>
        <row r="61649">
          <cell r="O61649" t="str">
            <v/>
          </cell>
        </row>
        <row r="61650">
          <cell r="O61650" t="str">
            <v/>
          </cell>
        </row>
        <row r="61651">
          <cell r="O61651" t="str">
            <v/>
          </cell>
        </row>
        <row r="61652">
          <cell r="O61652" t="str">
            <v/>
          </cell>
        </row>
        <row r="61653">
          <cell r="O61653" t="str">
            <v/>
          </cell>
        </row>
        <row r="61654">
          <cell r="O61654" t="str">
            <v/>
          </cell>
        </row>
        <row r="61655">
          <cell r="O61655" t="str">
            <v/>
          </cell>
        </row>
        <row r="61656">
          <cell r="O61656" t="str">
            <v/>
          </cell>
        </row>
        <row r="61657">
          <cell r="O61657" t="str">
            <v/>
          </cell>
        </row>
        <row r="61658">
          <cell r="O61658" t="str">
            <v/>
          </cell>
        </row>
        <row r="61659">
          <cell r="O61659" t="str">
            <v/>
          </cell>
        </row>
        <row r="61660">
          <cell r="O61660" t="str">
            <v/>
          </cell>
        </row>
        <row r="61661">
          <cell r="O61661" t="str">
            <v/>
          </cell>
        </row>
        <row r="61662">
          <cell r="O61662" t="str">
            <v/>
          </cell>
        </row>
        <row r="61663">
          <cell r="O61663" t="str">
            <v/>
          </cell>
        </row>
        <row r="61664">
          <cell r="O61664" t="str">
            <v/>
          </cell>
        </row>
        <row r="61665">
          <cell r="O61665" t="str">
            <v/>
          </cell>
        </row>
        <row r="61666">
          <cell r="O61666" t="str">
            <v/>
          </cell>
        </row>
        <row r="61667">
          <cell r="O61667" t="str">
            <v/>
          </cell>
        </row>
        <row r="61668">
          <cell r="O61668" t="str">
            <v/>
          </cell>
        </row>
        <row r="61669">
          <cell r="O61669" t="str">
            <v/>
          </cell>
        </row>
        <row r="61670">
          <cell r="O61670" t="str">
            <v/>
          </cell>
        </row>
        <row r="61671">
          <cell r="O61671" t="str">
            <v/>
          </cell>
        </row>
        <row r="61672">
          <cell r="O61672" t="str">
            <v/>
          </cell>
        </row>
        <row r="61673">
          <cell r="O61673" t="str">
            <v/>
          </cell>
        </row>
        <row r="61674">
          <cell r="O61674" t="str">
            <v/>
          </cell>
        </row>
        <row r="61675">
          <cell r="O61675" t="str">
            <v/>
          </cell>
        </row>
        <row r="61676">
          <cell r="O61676" t="str">
            <v/>
          </cell>
        </row>
        <row r="61677">
          <cell r="O61677" t="str">
            <v/>
          </cell>
        </row>
        <row r="61678">
          <cell r="O61678" t="str">
            <v/>
          </cell>
        </row>
        <row r="61679">
          <cell r="O61679" t="str">
            <v/>
          </cell>
        </row>
        <row r="61680">
          <cell r="O61680" t="str">
            <v/>
          </cell>
        </row>
        <row r="61681">
          <cell r="O61681" t="str">
            <v/>
          </cell>
        </row>
        <row r="61682">
          <cell r="O61682" t="str">
            <v/>
          </cell>
        </row>
        <row r="61683">
          <cell r="O61683" t="str">
            <v/>
          </cell>
        </row>
        <row r="61684">
          <cell r="O61684" t="str">
            <v/>
          </cell>
        </row>
        <row r="61685">
          <cell r="O61685" t="str">
            <v/>
          </cell>
        </row>
        <row r="61686">
          <cell r="O61686" t="str">
            <v/>
          </cell>
        </row>
        <row r="61687">
          <cell r="O61687" t="str">
            <v/>
          </cell>
        </row>
        <row r="61688">
          <cell r="O61688" t="str">
            <v/>
          </cell>
        </row>
        <row r="61689">
          <cell r="O61689" t="str">
            <v/>
          </cell>
        </row>
        <row r="61690">
          <cell r="O61690" t="str">
            <v/>
          </cell>
        </row>
        <row r="61691">
          <cell r="O61691" t="str">
            <v/>
          </cell>
        </row>
        <row r="61692">
          <cell r="O61692" t="str">
            <v/>
          </cell>
        </row>
        <row r="61693">
          <cell r="O61693" t="str">
            <v/>
          </cell>
        </row>
        <row r="61694">
          <cell r="O61694" t="str">
            <v/>
          </cell>
        </row>
        <row r="61695">
          <cell r="O61695" t="str">
            <v/>
          </cell>
        </row>
        <row r="61696">
          <cell r="O61696" t="str">
            <v/>
          </cell>
        </row>
        <row r="61697">
          <cell r="O61697" t="str">
            <v/>
          </cell>
        </row>
        <row r="61698">
          <cell r="O61698" t="str">
            <v/>
          </cell>
        </row>
        <row r="61699">
          <cell r="O61699" t="str">
            <v/>
          </cell>
        </row>
        <row r="61700">
          <cell r="O61700" t="str">
            <v/>
          </cell>
        </row>
        <row r="61701">
          <cell r="O61701" t="str">
            <v/>
          </cell>
        </row>
        <row r="61702">
          <cell r="O61702" t="str">
            <v/>
          </cell>
        </row>
        <row r="61703">
          <cell r="O61703" t="str">
            <v/>
          </cell>
        </row>
        <row r="61704">
          <cell r="O61704" t="str">
            <v/>
          </cell>
        </row>
        <row r="61705">
          <cell r="O61705" t="str">
            <v/>
          </cell>
        </row>
        <row r="61706">
          <cell r="O61706" t="str">
            <v/>
          </cell>
        </row>
        <row r="61707">
          <cell r="O61707" t="str">
            <v/>
          </cell>
        </row>
        <row r="61708">
          <cell r="O61708" t="str">
            <v/>
          </cell>
        </row>
        <row r="61709">
          <cell r="O61709" t="str">
            <v/>
          </cell>
        </row>
        <row r="61710">
          <cell r="O61710" t="str">
            <v/>
          </cell>
        </row>
        <row r="61711">
          <cell r="O61711" t="str">
            <v/>
          </cell>
        </row>
        <row r="61712">
          <cell r="O61712" t="str">
            <v/>
          </cell>
        </row>
        <row r="61713">
          <cell r="O61713" t="str">
            <v/>
          </cell>
        </row>
        <row r="61714">
          <cell r="O61714" t="str">
            <v/>
          </cell>
        </row>
        <row r="61715">
          <cell r="O61715" t="str">
            <v/>
          </cell>
        </row>
        <row r="61716">
          <cell r="O61716" t="str">
            <v/>
          </cell>
        </row>
        <row r="61717">
          <cell r="O61717" t="str">
            <v/>
          </cell>
        </row>
        <row r="61718">
          <cell r="O61718" t="str">
            <v/>
          </cell>
        </row>
        <row r="61719">
          <cell r="O61719" t="str">
            <v/>
          </cell>
        </row>
        <row r="61720">
          <cell r="O61720" t="str">
            <v/>
          </cell>
        </row>
        <row r="61721">
          <cell r="O61721" t="str">
            <v/>
          </cell>
        </row>
        <row r="61722">
          <cell r="O61722" t="str">
            <v/>
          </cell>
        </row>
        <row r="61723">
          <cell r="O61723" t="str">
            <v/>
          </cell>
        </row>
        <row r="61724">
          <cell r="O61724" t="str">
            <v/>
          </cell>
        </row>
        <row r="61725">
          <cell r="O61725" t="str">
            <v/>
          </cell>
        </row>
        <row r="61726">
          <cell r="O61726" t="str">
            <v/>
          </cell>
        </row>
        <row r="61727">
          <cell r="O61727" t="str">
            <v/>
          </cell>
        </row>
        <row r="61728">
          <cell r="O61728" t="str">
            <v/>
          </cell>
        </row>
        <row r="61729">
          <cell r="O61729" t="str">
            <v/>
          </cell>
        </row>
        <row r="61730">
          <cell r="O61730" t="str">
            <v/>
          </cell>
        </row>
        <row r="61731">
          <cell r="O61731" t="str">
            <v/>
          </cell>
        </row>
        <row r="61732">
          <cell r="O61732" t="str">
            <v/>
          </cell>
        </row>
        <row r="61733">
          <cell r="O61733" t="str">
            <v/>
          </cell>
        </row>
        <row r="61734">
          <cell r="O61734" t="str">
            <v/>
          </cell>
        </row>
        <row r="61735">
          <cell r="O61735" t="str">
            <v/>
          </cell>
        </row>
        <row r="61736">
          <cell r="O61736" t="str">
            <v/>
          </cell>
        </row>
        <row r="61737">
          <cell r="O61737" t="str">
            <v/>
          </cell>
        </row>
        <row r="61738">
          <cell r="O61738" t="str">
            <v/>
          </cell>
        </row>
        <row r="61739">
          <cell r="O61739" t="str">
            <v/>
          </cell>
        </row>
        <row r="61740">
          <cell r="O61740" t="str">
            <v/>
          </cell>
        </row>
        <row r="61741">
          <cell r="O61741" t="str">
            <v/>
          </cell>
        </row>
        <row r="61742">
          <cell r="O61742" t="str">
            <v/>
          </cell>
        </row>
        <row r="61743">
          <cell r="O61743" t="str">
            <v/>
          </cell>
        </row>
        <row r="61744">
          <cell r="O61744" t="str">
            <v/>
          </cell>
        </row>
        <row r="61745">
          <cell r="O61745" t="str">
            <v/>
          </cell>
        </row>
        <row r="61746">
          <cell r="O61746" t="str">
            <v/>
          </cell>
        </row>
        <row r="61747">
          <cell r="O61747" t="str">
            <v/>
          </cell>
        </row>
        <row r="61748">
          <cell r="O61748" t="str">
            <v/>
          </cell>
        </row>
        <row r="61749">
          <cell r="O61749" t="str">
            <v/>
          </cell>
        </row>
        <row r="61750">
          <cell r="O61750" t="str">
            <v/>
          </cell>
        </row>
        <row r="61751">
          <cell r="O61751" t="str">
            <v/>
          </cell>
        </row>
        <row r="61752">
          <cell r="O61752" t="str">
            <v/>
          </cell>
        </row>
        <row r="61753">
          <cell r="O61753" t="str">
            <v/>
          </cell>
        </row>
        <row r="61754">
          <cell r="O61754" t="str">
            <v/>
          </cell>
        </row>
        <row r="61755">
          <cell r="O61755" t="str">
            <v/>
          </cell>
        </row>
        <row r="61756">
          <cell r="O61756" t="str">
            <v/>
          </cell>
        </row>
        <row r="61757">
          <cell r="O61757" t="str">
            <v/>
          </cell>
        </row>
        <row r="61758">
          <cell r="O61758" t="str">
            <v/>
          </cell>
        </row>
        <row r="61759">
          <cell r="O61759" t="str">
            <v/>
          </cell>
        </row>
        <row r="61760">
          <cell r="O61760" t="str">
            <v/>
          </cell>
        </row>
        <row r="61761">
          <cell r="O61761" t="str">
            <v/>
          </cell>
        </row>
        <row r="61762">
          <cell r="O61762" t="str">
            <v/>
          </cell>
        </row>
        <row r="61763">
          <cell r="O61763" t="str">
            <v/>
          </cell>
        </row>
        <row r="61764">
          <cell r="O61764" t="str">
            <v/>
          </cell>
        </row>
        <row r="61765">
          <cell r="O61765" t="str">
            <v/>
          </cell>
        </row>
        <row r="61766">
          <cell r="O61766" t="str">
            <v/>
          </cell>
        </row>
        <row r="61767">
          <cell r="O61767" t="str">
            <v/>
          </cell>
        </row>
        <row r="61768">
          <cell r="O61768" t="str">
            <v/>
          </cell>
        </row>
        <row r="61769">
          <cell r="O61769" t="str">
            <v/>
          </cell>
        </row>
        <row r="61770">
          <cell r="O61770" t="str">
            <v/>
          </cell>
        </row>
        <row r="61771">
          <cell r="O61771" t="str">
            <v/>
          </cell>
        </row>
        <row r="61772">
          <cell r="O61772" t="str">
            <v/>
          </cell>
        </row>
        <row r="61773">
          <cell r="O61773" t="str">
            <v/>
          </cell>
        </row>
        <row r="61774">
          <cell r="O61774" t="str">
            <v/>
          </cell>
        </row>
        <row r="61775">
          <cell r="O61775" t="str">
            <v/>
          </cell>
        </row>
        <row r="61776">
          <cell r="O61776" t="str">
            <v/>
          </cell>
        </row>
        <row r="61777">
          <cell r="O61777" t="str">
            <v/>
          </cell>
        </row>
        <row r="61778">
          <cell r="O61778" t="str">
            <v/>
          </cell>
        </row>
        <row r="61779">
          <cell r="O61779" t="str">
            <v/>
          </cell>
        </row>
        <row r="61780">
          <cell r="O61780" t="str">
            <v/>
          </cell>
        </row>
        <row r="61781">
          <cell r="O61781" t="str">
            <v/>
          </cell>
        </row>
        <row r="61782">
          <cell r="O61782" t="str">
            <v/>
          </cell>
        </row>
        <row r="61783">
          <cell r="O61783" t="str">
            <v/>
          </cell>
        </row>
        <row r="61784">
          <cell r="O61784" t="str">
            <v/>
          </cell>
        </row>
        <row r="61785">
          <cell r="O61785" t="str">
            <v/>
          </cell>
        </row>
        <row r="61786">
          <cell r="O61786" t="str">
            <v/>
          </cell>
        </row>
        <row r="61787">
          <cell r="O61787" t="str">
            <v/>
          </cell>
        </row>
        <row r="61788">
          <cell r="O61788" t="str">
            <v/>
          </cell>
        </row>
        <row r="61789">
          <cell r="O61789" t="str">
            <v/>
          </cell>
        </row>
        <row r="61790">
          <cell r="O61790" t="str">
            <v/>
          </cell>
        </row>
        <row r="61791">
          <cell r="O61791" t="str">
            <v/>
          </cell>
        </row>
        <row r="61792">
          <cell r="O61792" t="str">
            <v/>
          </cell>
        </row>
        <row r="61793">
          <cell r="O61793" t="str">
            <v/>
          </cell>
        </row>
        <row r="61794">
          <cell r="O61794" t="str">
            <v/>
          </cell>
        </row>
        <row r="61795">
          <cell r="O61795" t="str">
            <v/>
          </cell>
        </row>
        <row r="61796">
          <cell r="O61796" t="str">
            <v/>
          </cell>
        </row>
        <row r="61797">
          <cell r="O61797" t="str">
            <v/>
          </cell>
        </row>
        <row r="61798">
          <cell r="O61798" t="str">
            <v/>
          </cell>
        </row>
        <row r="61799">
          <cell r="O61799" t="str">
            <v/>
          </cell>
        </row>
        <row r="61800">
          <cell r="O61800" t="str">
            <v/>
          </cell>
        </row>
        <row r="61801">
          <cell r="O61801" t="str">
            <v/>
          </cell>
        </row>
        <row r="61802">
          <cell r="O61802" t="str">
            <v/>
          </cell>
        </row>
        <row r="61803">
          <cell r="O61803" t="str">
            <v/>
          </cell>
        </row>
        <row r="61804">
          <cell r="O61804" t="str">
            <v/>
          </cell>
        </row>
        <row r="61805">
          <cell r="O61805" t="str">
            <v/>
          </cell>
        </row>
        <row r="61806">
          <cell r="O61806" t="str">
            <v/>
          </cell>
        </row>
        <row r="61807">
          <cell r="O61807" t="str">
            <v/>
          </cell>
        </row>
        <row r="61808">
          <cell r="O61808" t="str">
            <v/>
          </cell>
        </row>
        <row r="61809">
          <cell r="O61809" t="str">
            <v/>
          </cell>
        </row>
        <row r="61810">
          <cell r="O61810" t="str">
            <v/>
          </cell>
        </row>
        <row r="61811">
          <cell r="O61811" t="str">
            <v/>
          </cell>
        </row>
        <row r="61812">
          <cell r="O61812" t="str">
            <v/>
          </cell>
        </row>
        <row r="61813">
          <cell r="O61813" t="str">
            <v/>
          </cell>
        </row>
        <row r="61814">
          <cell r="O61814" t="str">
            <v/>
          </cell>
        </row>
        <row r="61815">
          <cell r="O61815" t="str">
            <v/>
          </cell>
        </row>
        <row r="61816">
          <cell r="O61816" t="str">
            <v/>
          </cell>
        </row>
        <row r="61817">
          <cell r="O61817" t="str">
            <v/>
          </cell>
        </row>
        <row r="61818">
          <cell r="O61818" t="str">
            <v/>
          </cell>
        </row>
        <row r="61819">
          <cell r="O61819" t="str">
            <v/>
          </cell>
        </row>
        <row r="61820">
          <cell r="O61820" t="str">
            <v/>
          </cell>
        </row>
        <row r="61821">
          <cell r="O61821" t="str">
            <v/>
          </cell>
        </row>
        <row r="61822">
          <cell r="O61822" t="str">
            <v/>
          </cell>
        </row>
        <row r="61823">
          <cell r="O61823" t="str">
            <v/>
          </cell>
        </row>
        <row r="61824">
          <cell r="O61824" t="str">
            <v/>
          </cell>
        </row>
        <row r="61825">
          <cell r="O61825" t="str">
            <v/>
          </cell>
        </row>
        <row r="61826">
          <cell r="O61826" t="str">
            <v/>
          </cell>
        </row>
        <row r="61827">
          <cell r="O61827" t="str">
            <v/>
          </cell>
        </row>
        <row r="61828">
          <cell r="O61828" t="str">
            <v/>
          </cell>
        </row>
        <row r="61829">
          <cell r="O61829" t="str">
            <v/>
          </cell>
        </row>
        <row r="61830">
          <cell r="O61830" t="str">
            <v/>
          </cell>
        </row>
        <row r="61831">
          <cell r="O61831" t="str">
            <v/>
          </cell>
        </row>
        <row r="61832">
          <cell r="O61832" t="str">
            <v/>
          </cell>
        </row>
        <row r="61833">
          <cell r="O61833" t="str">
            <v/>
          </cell>
        </row>
        <row r="61834">
          <cell r="O61834" t="str">
            <v/>
          </cell>
        </row>
        <row r="61835">
          <cell r="O61835" t="str">
            <v/>
          </cell>
        </row>
        <row r="61836">
          <cell r="O61836" t="str">
            <v/>
          </cell>
        </row>
        <row r="61837">
          <cell r="O61837" t="str">
            <v/>
          </cell>
        </row>
        <row r="61838">
          <cell r="O61838" t="str">
            <v/>
          </cell>
        </row>
        <row r="61839">
          <cell r="O61839" t="str">
            <v/>
          </cell>
        </row>
        <row r="61840">
          <cell r="O61840" t="str">
            <v/>
          </cell>
        </row>
        <row r="61841">
          <cell r="O61841" t="str">
            <v/>
          </cell>
        </row>
        <row r="61842">
          <cell r="O61842" t="str">
            <v/>
          </cell>
        </row>
        <row r="61843">
          <cell r="O61843" t="str">
            <v/>
          </cell>
        </row>
        <row r="61844">
          <cell r="O61844" t="str">
            <v/>
          </cell>
        </row>
        <row r="61845">
          <cell r="O61845" t="str">
            <v/>
          </cell>
        </row>
        <row r="61846">
          <cell r="O61846" t="str">
            <v/>
          </cell>
        </row>
        <row r="61847">
          <cell r="O61847" t="str">
            <v/>
          </cell>
        </row>
        <row r="61848">
          <cell r="O61848" t="str">
            <v/>
          </cell>
        </row>
        <row r="61849">
          <cell r="O61849" t="str">
            <v/>
          </cell>
        </row>
        <row r="61850">
          <cell r="O61850" t="str">
            <v/>
          </cell>
        </row>
        <row r="61851">
          <cell r="O61851" t="str">
            <v/>
          </cell>
        </row>
        <row r="61852">
          <cell r="O61852" t="str">
            <v/>
          </cell>
        </row>
        <row r="61853">
          <cell r="O61853" t="str">
            <v/>
          </cell>
        </row>
        <row r="61854">
          <cell r="O61854" t="str">
            <v/>
          </cell>
        </row>
        <row r="61855">
          <cell r="O61855" t="str">
            <v/>
          </cell>
        </row>
        <row r="61856">
          <cell r="O61856" t="str">
            <v/>
          </cell>
        </row>
        <row r="61857">
          <cell r="O61857" t="str">
            <v/>
          </cell>
        </row>
        <row r="61858">
          <cell r="O61858" t="str">
            <v/>
          </cell>
        </row>
        <row r="61859">
          <cell r="O61859" t="str">
            <v/>
          </cell>
        </row>
        <row r="61860">
          <cell r="O61860" t="str">
            <v/>
          </cell>
        </row>
        <row r="61861">
          <cell r="O61861" t="str">
            <v/>
          </cell>
        </row>
        <row r="61862">
          <cell r="O61862" t="str">
            <v/>
          </cell>
        </row>
        <row r="61863">
          <cell r="O61863" t="str">
            <v/>
          </cell>
        </row>
        <row r="61864">
          <cell r="O61864" t="str">
            <v/>
          </cell>
        </row>
        <row r="61865">
          <cell r="O61865" t="str">
            <v/>
          </cell>
        </row>
        <row r="61866">
          <cell r="O61866" t="str">
            <v/>
          </cell>
        </row>
        <row r="61867">
          <cell r="O61867" t="str">
            <v/>
          </cell>
        </row>
        <row r="61868">
          <cell r="O61868" t="str">
            <v/>
          </cell>
        </row>
        <row r="61869">
          <cell r="O61869" t="str">
            <v/>
          </cell>
        </row>
        <row r="61870">
          <cell r="O61870" t="str">
            <v/>
          </cell>
        </row>
        <row r="61871">
          <cell r="O61871" t="str">
            <v/>
          </cell>
        </row>
        <row r="61872">
          <cell r="O61872" t="str">
            <v/>
          </cell>
        </row>
        <row r="61873">
          <cell r="O61873" t="str">
            <v/>
          </cell>
        </row>
        <row r="61874">
          <cell r="O61874" t="str">
            <v/>
          </cell>
        </row>
        <row r="61875">
          <cell r="O61875" t="str">
            <v/>
          </cell>
        </row>
        <row r="61876">
          <cell r="O61876" t="str">
            <v/>
          </cell>
        </row>
        <row r="61877">
          <cell r="O61877" t="str">
            <v/>
          </cell>
        </row>
        <row r="61878">
          <cell r="O61878" t="str">
            <v/>
          </cell>
        </row>
        <row r="61879">
          <cell r="O61879" t="str">
            <v/>
          </cell>
        </row>
        <row r="61880">
          <cell r="O61880" t="str">
            <v/>
          </cell>
        </row>
        <row r="61881">
          <cell r="O61881" t="str">
            <v/>
          </cell>
        </row>
        <row r="61882">
          <cell r="O61882" t="str">
            <v/>
          </cell>
        </row>
        <row r="61883">
          <cell r="O61883" t="str">
            <v/>
          </cell>
        </row>
        <row r="61884">
          <cell r="O61884" t="str">
            <v/>
          </cell>
        </row>
        <row r="61885">
          <cell r="O61885" t="str">
            <v/>
          </cell>
        </row>
        <row r="61886">
          <cell r="O61886" t="str">
            <v/>
          </cell>
        </row>
        <row r="61887">
          <cell r="O61887" t="str">
            <v/>
          </cell>
        </row>
        <row r="61888">
          <cell r="O61888" t="str">
            <v/>
          </cell>
        </row>
        <row r="61889">
          <cell r="O61889" t="str">
            <v/>
          </cell>
        </row>
        <row r="61890">
          <cell r="O61890" t="str">
            <v/>
          </cell>
        </row>
        <row r="61891">
          <cell r="O61891" t="str">
            <v/>
          </cell>
        </row>
        <row r="61892">
          <cell r="O61892" t="str">
            <v/>
          </cell>
        </row>
        <row r="61893">
          <cell r="O61893" t="str">
            <v/>
          </cell>
        </row>
        <row r="61894">
          <cell r="O61894" t="str">
            <v/>
          </cell>
        </row>
        <row r="61895">
          <cell r="O61895" t="str">
            <v/>
          </cell>
        </row>
        <row r="61896">
          <cell r="O61896" t="str">
            <v/>
          </cell>
        </row>
        <row r="61897">
          <cell r="O61897" t="str">
            <v/>
          </cell>
        </row>
        <row r="61898">
          <cell r="O61898" t="str">
            <v/>
          </cell>
        </row>
        <row r="61899">
          <cell r="O61899" t="str">
            <v/>
          </cell>
        </row>
        <row r="61900">
          <cell r="O61900" t="str">
            <v/>
          </cell>
        </row>
        <row r="61901">
          <cell r="O61901" t="str">
            <v/>
          </cell>
        </row>
        <row r="61902">
          <cell r="O61902" t="str">
            <v/>
          </cell>
        </row>
        <row r="61903">
          <cell r="O61903" t="str">
            <v/>
          </cell>
        </row>
        <row r="61904">
          <cell r="O61904" t="str">
            <v/>
          </cell>
        </row>
        <row r="61905">
          <cell r="O61905" t="str">
            <v/>
          </cell>
        </row>
        <row r="61906">
          <cell r="O61906" t="str">
            <v/>
          </cell>
        </row>
        <row r="61907">
          <cell r="O61907" t="str">
            <v/>
          </cell>
        </row>
        <row r="61908">
          <cell r="O61908" t="str">
            <v/>
          </cell>
        </row>
        <row r="61909">
          <cell r="O61909" t="str">
            <v/>
          </cell>
        </row>
        <row r="61910">
          <cell r="O61910" t="str">
            <v/>
          </cell>
        </row>
        <row r="61911">
          <cell r="O61911" t="str">
            <v/>
          </cell>
        </row>
        <row r="61912">
          <cell r="O61912" t="str">
            <v/>
          </cell>
        </row>
        <row r="61913">
          <cell r="O61913" t="str">
            <v/>
          </cell>
        </row>
        <row r="61914">
          <cell r="O61914" t="str">
            <v/>
          </cell>
        </row>
        <row r="61915">
          <cell r="O61915" t="str">
            <v/>
          </cell>
        </row>
        <row r="61916">
          <cell r="O61916" t="str">
            <v/>
          </cell>
        </row>
        <row r="61917">
          <cell r="O61917" t="str">
            <v/>
          </cell>
        </row>
        <row r="61918">
          <cell r="O61918" t="str">
            <v/>
          </cell>
        </row>
        <row r="61919">
          <cell r="O61919" t="str">
            <v/>
          </cell>
        </row>
        <row r="61920">
          <cell r="O61920" t="str">
            <v/>
          </cell>
        </row>
        <row r="61921">
          <cell r="O61921" t="str">
            <v/>
          </cell>
        </row>
        <row r="61922">
          <cell r="O61922" t="str">
            <v/>
          </cell>
        </row>
        <row r="61923">
          <cell r="O61923" t="str">
            <v/>
          </cell>
        </row>
        <row r="61924">
          <cell r="O61924" t="str">
            <v/>
          </cell>
        </row>
        <row r="61925">
          <cell r="O61925" t="str">
            <v/>
          </cell>
        </row>
        <row r="61926">
          <cell r="O61926" t="str">
            <v/>
          </cell>
        </row>
        <row r="61927">
          <cell r="O61927" t="str">
            <v/>
          </cell>
        </row>
        <row r="61928">
          <cell r="O61928" t="str">
            <v/>
          </cell>
        </row>
        <row r="61929">
          <cell r="O61929" t="str">
            <v/>
          </cell>
        </row>
        <row r="61930">
          <cell r="O61930" t="str">
            <v/>
          </cell>
        </row>
        <row r="61931">
          <cell r="O61931" t="str">
            <v/>
          </cell>
        </row>
        <row r="61932">
          <cell r="O61932" t="str">
            <v/>
          </cell>
        </row>
        <row r="61933">
          <cell r="O61933" t="str">
            <v/>
          </cell>
        </row>
        <row r="61934">
          <cell r="O61934" t="str">
            <v/>
          </cell>
        </row>
        <row r="61935">
          <cell r="O61935" t="str">
            <v/>
          </cell>
        </row>
        <row r="61936">
          <cell r="O61936" t="str">
            <v/>
          </cell>
        </row>
        <row r="61937">
          <cell r="O61937" t="str">
            <v/>
          </cell>
        </row>
        <row r="61938">
          <cell r="O61938" t="str">
            <v/>
          </cell>
        </row>
        <row r="61939">
          <cell r="O61939" t="str">
            <v/>
          </cell>
        </row>
        <row r="61940">
          <cell r="O61940" t="str">
            <v/>
          </cell>
        </row>
        <row r="61941">
          <cell r="O61941" t="str">
            <v/>
          </cell>
        </row>
        <row r="61942">
          <cell r="O61942" t="str">
            <v/>
          </cell>
        </row>
        <row r="61943">
          <cell r="O61943" t="str">
            <v/>
          </cell>
        </row>
        <row r="61944">
          <cell r="O61944" t="str">
            <v/>
          </cell>
        </row>
        <row r="61945">
          <cell r="O61945" t="str">
            <v/>
          </cell>
        </row>
        <row r="61946">
          <cell r="O61946" t="str">
            <v/>
          </cell>
        </row>
        <row r="61947">
          <cell r="O61947" t="str">
            <v/>
          </cell>
        </row>
        <row r="61948">
          <cell r="O61948" t="str">
            <v/>
          </cell>
        </row>
        <row r="61949">
          <cell r="O61949" t="str">
            <v/>
          </cell>
        </row>
        <row r="61950">
          <cell r="O61950" t="str">
            <v/>
          </cell>
        </row>
        <row r="61951">
          <cell r="O61951" t="str">
            <v/>
          </cell>
        </row>
        <row r="61952">
          <cell r="O61952" t="str">
            <v/>
          </cell>
        </row>
        <row r="61953">
          <cell r="O61953" t="str">
            <v/>
          </cell>
        </row>
        <row r="61954">
          <cell r="O61954" t="str">
            <v/>
          </cell>
        </row>
        <row r="61955">
          <cell r="O61955" t="str">
            <v/>
          </cell>
        </row>
        <row r="61956">
          <cell r="O61956" t="str">
            <v/>
          </cell>
        </row>
        <row r="61957">
          <cell r="O61957" t="str">
            <v/>
          </cell>
        </row>
        <row r="61958">
          <cell r="O61958" t="str">
            <v/>
          </cell>
        </row>
        <row r="61959">
          <cell r="O61959" t="str">
            <v/>
          </cell>
        </row>
        <row r="61960">
          <cell r="O61960" t="str">
            <v/>
          </cell>
        </row>
        <row r="61961">
          <cell r="O61961" t="str">
            <v/>
          </cell>
        </row>
        <row r="61962">
          <cell r="O61962" t="str">
            <v/>
          </cell>
        </row>
        <row r="61963">
          <cell r="O61963" t="str">
            <v/>
          </cell>
        </row>
        <row r="61964">
          <cell r="O61964" t="str">
            <v/>
          </cell>
        </row>
        <row r="61965">
          <cell r="O61965" t="str">
            <v/>
          </cell>
        </row>
        <row r="61966">
          <cell r="O61966" t="str">
            <v/>
          </cell>
        </row>
        <row r="61967">
          <cell r="O61967" t="str">
            <v/>
          </cell>
        </row>
        <row r="61968">
          <cell r="O61968" t="str">
            <v/>
          </cell>
        </row>
        <row r="61969">
          <cell r="O61969" t="str">
            <v/>
          </cell>
        </row>
        <row r="61970">
          <cell r="O61970" t="str">
            <v/>
          </cell>
        </row>
        <row r="61971">
          <cell r="O61971" t="str">
            <v/>
          </cell>
        </row>
        <row r="61972">
          <cell r="O61972" t="str">
            <v/>
          </cell>
        </row>
        <row r="61973">
          <cell r="O61973" t="str">
            <v/>
          </cell>
        </row>
        <row r="61974">
          <cell r="O61974" t="str">
            <v/>
          </cell>
        </row>
        <row r="61975">
          <cell r="O61975" t="str">
            <v/>
          </cell>
        </row>
        <row r="61976">
          <cell r="O61976" t="str">
            <v/>
          </cell>
        </row>
        <row r="61977">
          <cell r="O61977" t="str">
            <v/>
          </cell>
        </row>
        <row r="61978">
          <cell r="O61978" t="str">
            <v/>
          </cell>
        </row>
        <row r="61979">
          <cell r="O61979" t="str">
            <v/>
          </cell>
        </row>
        <row r="61980">
          <cell r="O61980" t="str">
            <v/>
          </cell>
        </row>
        <row r="61981">
          <cell r="O61981" t="str">
            <v/>
          </cell>
        </row>
        <row r="61982">
          <cell r="O61982" t="str">
            <v/>
          </cell>
        </row>
        <row r="61983">
          <cell r="O61983" t="str">
            <v/>
          </cell>
        </row>
        <row r="61984">
          <cell r="O61984" t="str">
            <v/>
          </cell>
        </row>
        <row r="61985">
          <cell r="O61985" t="str">
            <v/>
          </cell>
        </row>
        <row r="61986">
          <cell r="O61986" t="str">
            <v/>
          </cell>
        </row>
        <row r="61987">
          <cell r="O61987" t="str">
            <v/>
          </cell>
        </row>
        <row r="61988">
          <cell r="O61988" t="str">
            <v/>
          </cell>
        </row>
        <row r="61989">
          <cell r="O61989" t="str">
            <v/>
          </cell>
        </row>
        <row r="61990">
          <cell r="O61990" t="str">
            <v/>
          </cell>
        </row>
        <row r="61991">
          <cell r="O61991" t="str">
            <v/>
          </cell>
        </row>
        <row r="61992">
          <cell r="O61992" t="str">
            <v/>
          </cell>
        </row>
        <row r="61993">
          <cell r="O61993" t="str">
            <v/>
          </cell>
        </row>
        <row r="61994">
          <cell r="O61994" t="str">
            <v/>
          </cell>
        </row>
        <row r="61995">
          <cell r="O61995" t="str">
            <v/>
          </cell>
        </row>
        <row r="61996">
          <cell r="O61996" t="str">
            <v/>
          </cell>
        </row>
        <row r="61997">
          <cell r="O61997" t="str">
            <v/>
          </cell>
        </row>
        <row r="61998">
          <cell r="O61998" t="str">
            <v/>
          </cell>
        </row>
        <row r="61999">
          <cell r="O61999" t="str">
            <v/>
          </cell>
        </row>
        <row r="62000">
          <cell r="O62000" t="str">
            <v/>
          </cell>
        </row>
        <row r="62001">
          <cell r="O62001" t="str">
            <v/>
          </cell>
        </row>
        <row r="62002">
          <cell r="O62002" t="str">
            <v/>
          </cell>
        </row>
        <row r="62003">
          <cell r="O62003" t="str">
            <v/>
          </cell>
        </row>
        <row r="62004">
          <cell r="O62004" t="str">
            <v/>
          </cell>
        </row>
        <row r="62005">
          <cell r="O62005" t="str">
            <v/>
          </cell>
        </row>
        <row r="62006">
          <cell r="O62006" t="str">
            <v/>
          </cell>
        </row>
        <row r="62007">
          <cell r="O62007" t="str">
            <v/>
          </cell>
        </row>
        <row r="62008">
          <cell r="O62008" t="str">
            <v/>
          </cell>
        </row>
        <row r="62009">
          <cell r="O62009" t="str">
            <v/>
          </cell>
        </row>
        <row r="62010">
          <cell r="O62010" t="str">
            <v/>
          </cell>
        </row>
        <row r="62011">
          <cell r="O62011" t="str">
            <v/>
          </cell>
        </row>
        <row r="62012">
          <cell r="O62012" t="str">
            <v/>
          </cell>
        </row>
        <row r="62013">
          <cell r="O62013" t="str">
            <v/>
          </cell>
        </row>
        <row r="62014">
          <cell r="O62014" t="str">
            <v/>
          </cell>
        </row>
        <row r="62015">
          <cell r="O62015" t="str">
            <v/>
          </cell>
        </row>
        <row r="62016">
          <cell r="O62016" t="str">
            <v/>
          </cell>
        </row>
        <row r="62017">
          <cell r="O62017" t="str">
            <v/>
          </cell>
        </row>
        <row r="62018">
          <cell r="O62018" t="str">
            <v/>
          </cell>
        </row>
        <row r="62019">
          <cell r="O62019" t="str">
            <v/>
          </cell>
        </row>
        <row r="62020">
          <cell r="O62020" t="str">
            <v/>
          </cell>
        </row>
        <row r="62021">
          <cell r="O62021" t="str">
            <v/>
          </cell>
        </row>
        <row r="62022">
          <cell r="O62022" t="str">
            <v/>
          </cell>
        </row>
        <row r="62023">
          <cell r="O62023" t="str">
            <v/>
          </cell>
        </row>
        <row r="62024">
          <cell r="O62024" t="str">
            <v/>
          </cell>
        </row>
        <row r="62025">
          <cell r="O62025" t="str">
            <v/>
          </cell>
        </row>
        <row r="62026">
          <cell r="O62026" t="str">
            <v/>
          </cell>
        </row>
        <row r="62027">
          <cell r="O62027" t="str">
            <v/>
          </cell>
        </row>
        <row r="62028">
          <cell r="O62028" t="str">
            <v/>
          </cell>
        </row>
        <row r="62029">
          <cell r="O62029" t="str">
            <v/>
          </cell>
        </row>
        <row r="62030">
          <cell r="O62030" t="str">
            <v/>
          </cell>
        </row>
        <row r="62031">
          <cell r="O62031" t="str">
            <v/>
          </cell>
        </row>
        <row r="62032">
          <cell r="O62032" t="str">
            <v/>
          </cell>
        </row>
        <row r="62033">
          <cell r="O62033" t="str">
            <v/>
          </cell>
        </row>
        <row r="62034">
          <cell r="O62034" t="str">
            <v/>
          </cell>
        </row>
        <row r="62035">
          <cell r="O62035" t="str">
            <v/>
          </cell>
        </row>
        <row r="62036">
          <cell r="O62036" t="str">
            <v/>
          </cell>
        </row>
        <row r="62037">
          <cell r="O62037" t="str">
            <v/>
          </cell>
        </row>
        <row r="62038">
          <cell r="O62038" t="str">
            <v/>
          </cell>
        </row>
        <row r="62039">
          <cell r="O62039" t="str">
            <v/>
          </cell>
        </row>
        <row r="62040">
          <cell r="O62040" t="str">
            <v/>
          </cell>
        </row>
        <row r="62041">
          <cell r="O62041" t="str">
            <v/>
          </cell>
        </row>
        <row r="62042">
          <cell r="O62042" t="str">
            <v/>
          </cell>
        </row>
        <row r="62043">
          <cell r="O62043" t="str">
            <v/>
          </cell>
        </row>
        <row r="62044">
          <cell r="O62044" t="str">
            <v/>
          </cell>
        </row>
        <row r="62045">
          <cell r="O62045" t="str">
            <v/>
          </cell>
        </row>
        <row r="62046">
          <cell r="O62046" t="str">
            <v/>
          </cell>
        </row>
        <row r="62047">
          <cell r="O62047" t="str">
            <v/>
          </cell>
        </row>
        <row r="62048">
          <cell r="O62048" t="str">
            <v/>
          </cell>
        </row>
        <row r="62049">
          <cell r="O62049" t="str">
            <v/>
          </cell>
        </row>
        <row r="62050">
          <cell r="O62050" t="str">
            <v/>
          </cell>
        </row>
        <row r="62051">
          <cell r="O62051" t="str">
            <v/>
          </cell>
        </row>
        <row r="62052">
          <cell r="O62052" t="str">
            <v/>
          </cell>
        </row>
        <row r="62053">
          <cell r="O62053" t="str">
            <v/>
          </cell>
        </row>
        <row r="62054">
          <cell r="O62054" t="str">
            <v/>
          </cell>
        </row>
        <row r="62055">
          <cell r="O62055" t="str">
            <v/>
          </cell>
        </row>
        <row r="62056">
          <cell r="O62056" t="str">
            <v/>
          </cell>
        </row>
        <row r="62057">
          <cell r="O62057" t="str">
            <v/>
          </cell>
        </row>
        <row r="62058">
          <cell r="O62058" t="str">
            <v/>
          </cell>
        </row>
        <row r="62059">
          <cell r="O62059" t="str">
            <v/>
          </cell>
        </row>
        <row r="62060">
          <cell r="O62060" t="str">
            <v/>
          </cell>
        </row>
        <row r="62061">
          <cell r="O62061" t="str">
            <v/>
          </cell>
        </row>
        <row r="62062">
          <cell r="O62062" t="str">
            <v/>
          </cell>
        </row>
        <row r="62063">
          <cell r="O62063" t="str">
            <v/>
          </cell>
        </row>
        <row r="62064">
          <cell r="O62064" t="str">
            <v/>
          </cell>
        </row>
        <row r="62065">
          <cell r="O62065" t="str">
            <v/>
          </cell>
        </row>
        <row r="62066">
          <cell r="O62066" t="str">
            <v/>
          </cell>
        </row>
        <row r="62067">
          <cell r="O62067" t="str">
            <v/>
          </cell>
        </row>
        <row r="62068">
          <cell r="O62068" t="str">
            <v/>
          </cell>
        </row>
        <row r="62069">
          <cell r="O62069" t="str">
            <v/>
          </cell>
        </row>
        <row r="62070">
          <cell r="O62070" t="str">
            <v/>
          </cell>
        </row>
        <row r="62071">
          <cell r="O62071" t="str">
            <v/>
          </cell>
        </row>
        <row r="62072">
          <cell r="O62072" t="str">
            <v/>
          </cell>
        </row>
        <row r="62073">
          <cell r="O62073" t="str">
            <v/>
          </cell>
        </row>
        <row r="62074">
          <cell r="O62074" t="str">
            <v/>
          </cell>
        </row>
        <row r="62075">
          <cell r="O62075" t="str">
            <v/>
          </cell>
        </row>
        <row r="62076">
          <cell r="O62076" t="str">
            <v/>
          </cell>
        </row>
        <row r="62077">
          <cell r="O62077" t="str">
            <v/>
          </cell>
        </row>
        <row r="62078">
          <cell r="O62078" t="str">
            <v/>
          </cell>
        </row>
        <row r="62079">
          <cell r="O62079" t="str">
            <v/>
          </cell>
        </row>
        <row r="62080">
          <cell r="O62080" t="str">
            <v/>
          </cell>
        </row>
        <row r="62081">
          <cell r="O62081" t="str">
            <v/>
          </cell>
        </row>
        <row r="62082">
          <cell r="O62082" t="str">
            <v/>
          </cell>
        </row>
        <row r="62083">
          <cell r="O62083" t="str">
            <v/>
          </cell>
        </row>
        <row r="62084">
          <cell r="O62084" t="str">
            <v/>
          </cell>
        </row>
        <row r="62085">
          <cell r="O62085" t="str">
            <v/>
          </cell>
        </row>
        <row r="62086">
          <cell r="O62086" t="str">
            <v/>
          </cell>
        </row>
        <row r="62087">
          <cell r="O62087" t="str">
            <v/>
          </cell>
        </row>
        <row r="62088">
          <cell r="O62088" t="str">
            <v/>
          </cell>
        </row>
        <row r="62089">
          <cell r="O62089" t="str">
            <v/>
          </cell>
        </row>
        <row r="62090">
          <cell r="O62090" t="str">
            <v/>
          </cell>
        </row>
        <row r="62091">
          <cell r="O62091" t="str">
            <v/>
          </cell>
        </row>
        <row r="62092">
          <cell r="O62092" t="str">
            <v/>
          </cell>
        </row>
        <row r="62093">
          <cell r="O62093" t="str">
            <v/>
          </cell>
        </row>
        <row r="62094">
          <cell r="O62094" t="str">
            <v/>
          </cell>
        </row>
        <row r="62095">
          <cell r="O62095" t="str">
            <v/>
          </cell>
        </row>
        <row r="62096">
          <cell r="O62096" t="str">
            <v/>
          </cell>
        </row>
        <row r="62097">
          <cell r="O62097" t="str">
            <v/>
          </cell>
        </row>
        <row r="62098">
          <cell r="O62098" t="str">
            <v/>
          </cell>
        </row>
        <row r="62099">
          <cell r="O62099" t="str">
            <v/>
          </cell>
        </row>
        <row r="62100">
          <cell r="O62100" t="str">
            <v/>
          </cell>
        </row>
        <row r="62101">
          <cell r="O62101" t="str">
            <v/>
          </cell>
        </row>
        <row r="62102">
          <cell r="O62102" t="str">
            <v/>
          </cell>
        </row>
        <row r="62103">
          <cell r="O62103" t="str">
            <v/>
          </cell>
        </row>
        <row r="62104">
          <cell r="O62104" t="str">
            <v/>
          </cell>
        </row>
        <row r="62105">
          <cell r="O62105" t="str">
            <v/>
          </cell>
        </row>
        <row r="62106">
          <cell r="O62106" t="str">
            <v/>
          </cell>
        </row>
        <row r="62107">
          <cell r="O62107" t="str">
            <v/>
          </cell>
        </row>
        <row r="62108">
          <cell r="O62108" t="str">
            <v/>
          </cell>
        </row>
        <row r="62109">
          <cell r="O62109" t="str">
            <v/>
          </cell>
        </row>
        <row r="62110">
          <cell r="O62110" t="str">
            <v/>
          </cell>
        </row>
        <row r="62111">
          <cell r="O62111" t="str">
            <v/>
          </cell>
        </row>
        <row r="62112">
          <cell r="O62112" t="str">
            <v/>
          </cell>
        </row>
        <row r="62113">
          <cell r="O62113" t="str">
            <v/>
          </cell>
        </row>
        <row r="62114">
          <cell r="O62114" t="str">
            <v/>
          </cell>
        </row>
        <row r="62115">
          <cell r="O62115" t="str">
            <v/>
          </cell>
        </row>
        <row r="62116">
          <cell r="O62116" t="str">
            <v/>
          </cell>
        </row>
        <row r="62117">
          <cell r="O62117" t="str">
            <v/>
          </cell>
        </row>
        <row r="62118">
          <cell r="O62118" t="str">
            <v/>
          </cell>
        </row>
        <row r="62119">
          <cell r="O62119" t="str">
            <v/>
          </cell>
        </row>
        <row r="62120">
          <cell r="O62120" t="str">
            <v/>
          </cell>
        </row>
        <row r="62121">
          <cell r="O62121" t="str">
            <v/>
          </cell>
        </row>
        <row r="62122">
          <cell r="O62122" t="str">
            <v/>
          </cell>
        </row>
        <row r="62123">
          <cell r="O62123" t="str">
            <v/>
          </cell>
        </row>
        <row r="62124">
          <cell r="O62124" t="str">
            <v/>
          </cell>
        </row>
        <row r="62125">
          <cell r="O62125" t="str">
            <v/>
          </cell>
        </row>
        <row r="62126">
          <cell r="O62126" t="str">
            <v/>
          </cell>
        </row>
        <row r="62127">
          <cell r="O62127" t="str">
            <v/>
          </cell>
        </row>
        <row r="62128">
          <cell r="O62128" t="str">
            <v/>
          </cell>
        </row>
        <row r="62129">
          <cell r="O62129" t="str">
            <v/>
          </cell>
        </row>
        <row r="62130">
          <cell r="O62130" t="str">
            <v/>
          </cell>
        </row>
        <row r="62131">
          <cell r="O62131" t="str">
            <v/>
          </cell>
        </row>
        <row r="62132">
          <cell r="O62132" t="str">
            <v/>
          </cell>
        </row>
        <row r="62133">
          <cell r="O62133" t="str">
            <v/>
          </cell>
        </row>
        <row r="62134">
          <cell r="O62134" t="str">
            <v/>
          </cell>
        </row>
        <row r="62135">
          <cell r="O62135" t="str">
            <v/>
          </cell>
        </row>
        <row r="62136">
          <cell r="O62136" t="str">
            <v/>
          </cell>
        </row>
        <row r="62137">
          <cell r="O62137" t="str">
            <v/>
          </cell>
        </row>
        <row r="62138">
          <cell r="O62138" t="str">
            <v/>
          </cell>
        </row>
        <row r="62139">
          <cell r="O62139" t="str">
            <v/>
          </cell>
        </row>
        <row r="62140">
          <cell r="O62140" t="str">
            <v/>
          </cell>
        </row>
        <row r="62141">
          <cell r="O62141" t="str">
            <v/>
          </cell>
        </row>
        <row r="62142">
          <cell r="O62142" t="str">
            <v/>
          </cell>
        </row>
        <row r="62143">
          <cell r="O62143" t="str">
            <v/>
          </cell>
        </row>
        <row r="62144">
          <cell r="O62144" t="str">
            <v/>
          </cell>
        </row>
        <row r="62145">
          <cell r="O62145" t="str">
            <v/>
          </cell>
        </row>
        <row r="62146">
          <cell r="O62146" t="str">
            <v/>
          </cell>
        </row>
        <row r="62147">
          <cell r="O62147" t="str">
            <v/>
          </cell>
        </row>
        <row r="62148">
          <cell r="O62148" t="str">
            <v/>
          </cell>
        </row>
        <row r="62149">
          <cell r="O62149" t="str">
            <v/>
          </cell>
        </row>
        <row r="62150">
          <cell r="O62150" t="str">
            <v/>
          </cell>
        </row>
        <row r="62151">
          <cell r="O62151" t="str">
            <v/>
          </cell>
        </row>
        <row r="62152">
          <cell r="O62152" t="str">
            <v/>
          </cell>
        </row>
        <row r="62153">
          <cell r="O62153" t="str">
            <v/>
          </cell>
        </row>
        <row r="62154">
          <cell r="O62154" t="str">
            <v/>
          </cell>
        </row>
        <row r="62155">
          <cell r="O62155" t="str">
            <v/>
          </cell>
        </row>
        <row r="62156">
          <cell r="O62156" t="str">
            <v/>
          </cell>
        </row>
        <row r="62157">
          <cell r="O62157" t="str">
            <v/>
          </cell>
        </row>
        <row r="62158">
          <cell r="O62158" t="str">
            <v/>
          </cell>
        </row>
        <row r="62159">
          <cell r="O62159" t="str">
            <v/>
          </cell>
        </row>
        <row r="62160">
          <cell r="O62160" t="str">
            <v/>
          </cell>
        </row>
        <row r="62161">
          <cell r="O62161" t="str">
            <v/>
          </cell>
        </row>
        <row r="62162">
          <cell r="O62162" t="str">
            <v/>
          </cell>
        </row>
        <row r="62163">
          <cell r="O62163" t="str">
            <v/>
          </cell>
        </row>
        <row r="62164">
          <cell r="O62164" t="str">
            <v/>
          </cell>
        </row>
        <row r="62165">
          <cell r="O62165" t="str">
            <v/>
          </cell>
        </row>
        <row r="62166">
          <cell r="O62166" t="str">
            <v/>
          </cell>
        </row>
        <row r="62167">
          <cell r="O62167" t="str">
            <v/>
          </cell>
        </row>
        <row r="62168">
          <cell r="O62168" t="str">
            <v/>
          </cell>
        </row>
        <row r="62169">
          <cell r="O62169" t="str">
            <v/>
          </cell>
        </row>
        <row r="62170">
          <cell r="O62170" t="str">
            <v/>
          </cell>
        </row>
        <row r="62171">
          <cell r="O62171" t="str">
            <v/>
          </cell>
        </row>
        <row r="62172">
          <cell r="O62172" t="str">
            <v/>
          </cell>
        </row>
        <row r="62173">
          <cell r="O62173" t="str">
            <v/>
          </cell>
        </row>
        <row r="62174">
          <cell r="O62174" t="str">
            <v/>
          </cell>
        </row>
        <row r="62175">
          <cell r="O62175" t="str">
            <v/>
          </cell>
        </row>
        <row r="62176">
          <cell r="O62176" t="str">
            <v/>
          </cell>
        </row>
        <row r="62177">
          <cell r="O62177" t="str">
            <v/>
          </cell>
        </row>
        <row r="62178">
          <cell r="O62178" t="str">
            <v/>
          </cell>
        </row>
        <row r="62179">
          <cell r="O62179" t="str">
            <v/>
          </cell>
        </row>
        <row r="62180">
          <cell r="O62180" t="str">
            <v/>
          </cell>
        </row>
        <row r="62181">
          <cell r="O62181" t="str">
            <v/>
          </cell>
        </row>
        <row r="62182">
          <cell r="O62182" t="str">
            <v/>
          </cell>
        </row>
        <row r="62183">
          <cell r="O62183" t="str">
            <v/>
          </cell>
        </row>
        <row r="62184">
          <cell r="O62184" t="str">
            <v/>
          </cell>
        </row>
        <row r="62185">
          <cell r="O62185" t="str">
            <v/>
          </cell>
        </row>
        <row r="62186">
          <cell r="O62186" t="str">
            <v/>
          </cell>
        </row>
        <row r="62187">
          <cell r="O62187" t="str">
            <v/>
          </cell>
        </row>
        <row r="62188">
          <cell r="O62188" t="str">
            <v/>
          </cell>
        </row>
        <row r="62189">
          <cell r="O62189" t="str">
            <v/>
          </cell>
        </row>
        <row r="62190">
          <cell r="O62190" t="str">
            <v/>
          </cell>
        </row>
        <row r="62191">
          <cell r="O62191" t="str">
            <v/>
          </cell>
        </row>
        <row r="62192">
          <cell r="O62192" t="str">
            <v/>
          </cell>
        </row>
        <row r="62193">
          <cell r="O62193" t="str">
            <v/>
          </cell>
        </row>
        <row r="62194">
          <cell r="O62194" t="str">
            <v/>
          </cell>
        </row>
        <row r="62195">
          <cell r="O62195" t="str">
            <v/>
          </cell>
        </row>
        <row r="62196">
          <cell r="O62196" t="str">
            <v/>
          </cell>
        </row>
        <row r="62197">
          <cell r="O62197" t="str">
            <v/>
          </cell>
        </row>
        <row r="62198">
          <cell r="O62198" t="str">
            <v/>
          </cell>
        </row>
        <row r="62199">
          <cell r="O62199" t="str">
            <v/>
          </cell>
        </row>
        <row r="62200">
          <cell r="O62200" t="str">
            <v/>
          </cell>
        </row>
        <row r="62201">
          <cell r="O62201" t="str">
            <v/>
          </cell>
        </row>
        <row r="62202">
          <cell r="O62202" t="str">
            <v/>
          </cell>
        </row>
        <row r="62203">
          <cell r="O62203" t="str">
            <v/>
          </cell>
        </row>
        <row r="62204">
          <cell r="O62204" t="str">
            <v/>
          </cell>
        </row>
        <row r="62205">
          <cell r="O62205" t="str">
            <v/>
          </cell>
        </row>
        <row r="62206">
          <cell r="O62206" t="str">
            <v/>
          </cell>
        </row>
        <row r="62207">
          <cell r="O62207" t="str">
            <v/>
          </cell>
        </row>
        <row r="62208">
          <cell r="O62208" t="str">
            <v/>
          </cell>
        </row>
        <row r="62209">
          <cell r="O62209" t="str">
            <v/>
          </cell>
        </row>
        <row r="62210">
          <cell r="O62210" t="str">
            <v/>
          </cell>
        </row>
        <row r="62211">
          <cell r="O62211" t="str">
            <v/>
          </cell>
        </row>
        <row r="62212">
          <cell r="O62212" t="str">
            <v/>
          </cell>
        </row>
        <row r="62213">
          <cell r="O62213" t="str">
            <v/>
          </cell>
        </row>
        <row r="62214">
          <cell r="O62214" t="str">
            <v/>
          </cell>
        </row>
        <row r="62215">
          <cell r="O62215" t="str">
            <v/>
          </cell>
        </row>
        <row r="62216">
          <cell r="O62216" t="str">
            <v/>
          </cell>
        </row>
        <row r="62217">
          <cell r="O62217" t="str">
            <v/>
          </cell>
        </row>
        <row r="62218">
          <cell r="O62218" t="str">
            <v/>
          </cell>
        </row>
        <row r="62219">
          <cell r="O62219" t="str">
            <v/>
          </cell>
        </row>
        <row r="62220">
          <cell r="O62220" t="str">
            <v/>
          </cell>
        </row>
        <row r="62221">
          <cell r="O62221" t="str">
            <v/>
          </cell>
        </row>
        <row r="62222">
          <cell r="O62222" t="str">
            <v/>
          </cell>
        </row>
        <row r="62223">
          <cell r="O62223" t="str">
            <v/>
          </cell>
        </row>
        <row r="62224">
          <cell r="O62224" t="str">
            <v/>
          </cell>
        </row>
        <row r="62225">
          <cell r="O62225" t="str">
            <v/>
          </cell>
        </row>
        <row r="62226">
          <cell r="O62226" t="str">
            <v/>
          </cell>
        </row>
        <row r="62227">
          <cell r="O62227" t="str">
            <v/>
          </cell>
        </row>
        <row r="62228">
          <cell r="O62228" t="str">
            <v/>
          </cell>
        </row>
        <row r="62229">
          <cell r="O62229" t="str">
            <v/>
          </cell>
        </row>
        <row r="62230">
          <cell r="O62230" t="str">
            <v/>
          </cell>
        </row>
        <row r="62231">
          <cell r="O62231" t="str">
            <v/>
          </cell>
        </row>
        <row r="62232">
          <cell r="O62232" t="str">
            <v/>
          </cell>
        </row>
        <row r="62233">
          <cell r="O62233" t="str">
            <v/>
          </cell>
        </row>
        <row r="62234">
          <cell r="O62234" t="str">
            <v/>
          </cell>
        </row>
        <row r="62235">
          <cell r="O62235" t="str">
            <v/>
          </cell>
        </row>
        <row r="62236">
          <cell r="O62236" t="str">
            <v/>
          </cell>
        </row>
        <row r="62237">
          <cell r="O62237" t="str">
            <v/>
          </cell>
        </row>
        <row r="62238">
          <cell r="O62238" t="str">
            <v/>
          </cell>
        </row>
        <row r="62239">
          <cell r="O62239" t="str">
            <v/>
          </cell>
        </row>
        <row r="62240">
          <cell r="O62240" t="str">
            <v/>
          </cell>
        </row>
        <row r="62241">
          <cell r="O62241" t="str">
            <v/>
          </cell>
        </row>
        <row r="62242">
          <cell r="O62242" t="str">
            <v/>
          </cell>
        </row>
        <row r="62243">
          <cell r="O62243" t="str">
            <v/>
          </cell>
        </row>
        <row r="62244">
          <cell r="O62244" t="str">
            <v/>
          </cell>
        </row>
        <row r="62245">
          <cell r="O62245" t="str">
            <v/>
          </cell>
        </row>
        <row r="62246">
          <cell r="O62246" t="str">
            <v/>
          </cell>
        </row>
        <row r="62247">
          <cell r="O62247" t="str">
            <v/>
          </cell>
        </row>
        <row r="62248">
          <cell r="O62248" t="str">
            <v/>
          </cell>
        </row>
        <row r="62249">
          <cell r="O62249" t="str">
            <v/>
          </cell>
        </row>
        <row r="62250">
          <cell r="O62250" t="str">
            <v/>
          </cell>
        </row>
        <row r="62251">
          <cell r="O62251" t="str">
            <v/>
          </cell>
        </row>
        <row r="62252">
          <cell r="O62252" t="str">
            <v/>
          </cell>
        </row>
        <row r="62253">
          <cell r="O62253" t="str">
            <v/>
          </cell>
        </row>
        <row r="62254">
          <cell r="O62254" t="str">
            <v/>
          </cell>
        </row>
        <row r="62255">
          <cell r="O62255" t="str">
            <v/>
          </cell>
        </row>
        <row r="62256">
          <cell r="O62256" t="str">
            <v/>
          </cell>
        </row>
        <row r="62257">
          <cell r="O62257" t="str">
            <v/>
          </cell>
        </row>
        <row r="62258">
          <cell r="O62258" t="str">
            <v/>
          </cell>
        </row>
        <row r="62259">
          <cell r="O62259" t="str">
            <v/>
          </cell>
        </row>
        <row r="62260">
          <cell r="O62260" t="str">
            <v/>
          </cell>
        </row>
        <row r="62261">
          <cell r="O62261" t="str">
            <v/>
          </cell>
        </row>
        <row r="62262">
          <cell r="O62262" t="str">
            <v/>
          </cell>
        </row>
        <row r="62263">
          <cell r="O62263" t="str">
            <v/>
          </cell>
        </row>
        <row r="62264">
          <cell r="O62264" t="str">
            <v/>
          </cell>
        </row>
        <row r="62265">
          <cell r="O62265" t="str">
            <v/>
          </cell>
        </row>
        <row r="62266">
          <cell r="O62266" t="str">
            <v/>
          </cell>
        </row>
        <row r="62267">
          <cell r="O62267" t="str">
            <v/>
          </cell>
        </row>
        <row r="62268">
          <cell r="O62268" t="str">
            <v/>
          </cell>
        </row>
        <row r="62269">
          <cell r="O62269" t="str">
            <v/>
          </cell>
        </row>
        <row r="62270">
          <cell r="O62270" t="str">
            <v/>
          </cell>
        </row>
        <row r="62271">
          <cell r="O62271" t="str">
            <v/>
          </cell>
        </row>
        <row r="62272">
          <cell r="O62272" t="str">
            <v/>
          </cell>
        </row>
        <row r="62273">
          <cell r="O62273" t="str">
            <v/>
          </cell>
        </row>
        <row r="62274">
          <cell r="O62274" t="str">
            <v/>
          </cell>
        </row>
        <row r="62275">
          <cell r="O62275" t="str">
            <v/>
          </cell>
        </row>
        <row r="62276">
          <cell r="O62276" t="str">
            <v/>
          </cell>
        </row>
        <row r="62277">
          <cell r="O62277" t="str">
            <v/>
          </cell>
        </row>
        <row r="62278">
          <cell r="O62278" t="str">
            <v/>
          </cell>
        </row>
        <row r="62279">
          <cell r="O62279" t="str">
            <v/>
          </cell>
        </row>
        <row r="62280">
          <cell r="O62280" t="str">
            <v/>
          </cell>
        </row>
        <row r="62281">
          <cell r="O62281" t="str">
            <v/>
          </cell>
        </row>
        <row r="62282">
          <cell r="O62282" t="str">
            <v/>
          </cell>
        </row>
        <row r="62283">
          <cell r="O62283" t="str">
            <v/>
          </cell>
        </row>
        <row r="62284">
          <cell r="O62284" t="str">
            <v/>
          </cell>
        </row>
        <row r="62285">
          <cell r="O62285" t="str">
            <v/>
          </cell>
        </row>
        <row r="62286">
          <cell r="O62286" t="str">
            <v/>
          </cell>
        </row>
        <row r="62287">
          <cell r="O62287" t="str">
            <v/>
          </cell>
        </row>
        <row r="62288">
          <cell r="O62288" t="str">
            <v/>
          </cell>
        </row>
        <row r="62289">
          <cell r="O62289" t="str">
            <v/>
          </cell>
        </row>
        <row r="62290">
          <cell r="O62290" t="str">
            <v/>
          </cell>
        </row>
        <row r="62291">
          <cell r="O62291" t="str">
            <v/>
          </cell>
        </row>
        <row r="62292">
          <cell r="O62292" t="str">
            <v/>
          </cell>
        </row>
        <row r="62293">
          <cell r="O62293" t="str">
            <v/>
          </cell>
        </row>
        <row r="62294">
          <cell r="O62294" t="str">
            <v/>
          </cell>
        </row>
        <row r="62295">
          <cell r="O62295" t="str">
            <v/>
          </cell>
        </row>
        <row r="62296">
          <cell r="O62296" t="str">
            <v/>
          </cell>
        </row>
        <row r="62297">
          <cell r="O62297" t="str">
            <v/>
          </cell>
        </row>
        <row r="62298">
          <cell r="O62298" t="str">
            <v/>
          </cell>
        </row>
        <row r="62299">
          <cell r="O62299" t="str">
            <v/>
          </cell>
        </row>
        <row r="62300">
          <cell r="O62300" t="str">
            <v/>
          </cell>
        </row>
        <row r="62301">
          <cell r="O62301" t="str">
            <v/>
          </cell>
        </row>
        <row r="62302">
          <cell r="O62302" t="str">
            <v/>
          </cell>
        </row>
        <row r="62303">
          <cell r="O62303" t="str">
            <v/>
          </cell>
        </row>
        <row r="62304">
          <cell r="O62304" t="str">
            <v/>
          </cell>
        </row>
        <row r="62305">
          <cell r="O62305" t="str">
            <v/>
          </cell>
        </row>
        <row r="62306">
          <cell r="O62306" t="str">
            <v/>
          </cell>
        </row>
        <row r="62307">
          <cell r="O62307" t="str">
            <v/>
          </cell>
        </row>
        <row r="62308">
          <cell r="O62308" t="str">
            <v/>
          </cell>
        </row>
        <row r="62309">
          <cell r="O62309" t="str">
            <v/>
          </cell>
        </row>
        <row r="62310">
          <cell r="O62310" t="str">
            <v/>
          </cell>
        </row>
        <row r="62311">
          <cell r="O62311" t="str">
            <v/>
          </cell>
        </row>
        <row r="62312">
          <cell r="O62312" t="str">
            <v/>
          </cell>
        </row>
        <row r="62313">
          <cell r="O62313" t="str">
            <v/>
          </cell>
        </row>
        <row r="62314">
          <cell r="O62314" t="str">
            <v/>
          </cell>
        </row>
        <row r="62315">
          <cell r="O62315" t="str">
            <v/>
          </cell>
        </row>
        <row r="62316">
          <cell r="O62316" t="str">
            <v/>
          </cell>
        </row>
        <row r="62317">
          <cell r="O62317" t="str">
            <v/>
          </cell>
        </row>
        <row r="62318">
          <cell r="O62318" t="str">
            <v/>
          </cell>
        </row>
        <row r="62319">
          <cell r="O62319" t="str">
            <v/>
          </cell>
        </row>
        <row r="62320">
          <cell r="O62320" t="str">
            <v/>
          </cell>
        </row>
        <row r="62321">
          <cell r="O62321" t="str">
            <v/>
          </cell>
        </row>
        <row r="62322">
          <cell r="O62322" t="str">
            <v/>
          </cell>
        </row>
        <row r="62323">
          <cell r="O62323" t="str">
            <v/>
          </cell>
        </row>
        <row r="62324">
          <cell r="O62324" t="str">
            <v/>
          </cell>
        </row>
        <row r="62325">
          <cell r="O62325" t="str">
            <v/>
          </cell>
        </row>
        <row r="62326">
          <cell r="O62326" t="str">
            <v/>
          </cell>
        </row>
        <row r="62327">
          <cell r="O62327" t="str">
            <v/>
          </cell>
        </row>
        <row r="62328">
          <cell r="O62328" t="str">
            <v/>
          </cell>
        </row>
        <row r="62329">
          <cell r="O62329" t="str">
            <v/>
          </cell>
        </row>
        <row r="62330">
          <cell r="O62330" t="str">
            <v/>
          </cell>
        </row>
        <row r="62331">
          <cell r="O62331" t="str">
            <v/>
          </cell>
        </row>
        <row r="62332">
          <cell r="O62332" t="str">
            <v/>
          </cell>
        </row>
        <row r="62333">
          <cell r="O62333" t="str">
            <v/>
          </cell>
        </row>
        <row r="62334">
          <cell r="O62334" t="str">
            <v/>
          </cell>
        </row>
        <row r="62335">
          <cell r="O62335" t="str">
            <v/>
          </cell>
        </row>
        <row r="62336">
          <cell r="O62336" t="str">
            <v/>
          </cell>
        </row>
        <row r="62337">
          <cell r="O62337" t="str">
            <v/>
          </cell>
        </row>
        <row r="62338">
          <cell r="O62338" t="str">
            <v/>
          </cell>
        </row>
        <row r="62339">
          <cell r="O62339" t="str">
            <v/>
          </cell>
        </row>
        <row r="62340">
          <cell r="O62340" t="str">
            <v/>
          </cell>
        </row>
        <row r="62341">
          <cell r="O62341" t="str">
            <v/>
          </cell>
        </row>
        <row r="62342">
          <cell r="O62342" t="str">
            <v/>
          </cell>
        </row>
        <row r="62343">
          <cell r="O62343" t="str">
            <v/>
          </cell>
        </row>
        <row r="62344">
          <cell r="O62344" t="str">
            <v/>
          </cell>
        </row>
        <row r="62345">
          <cell r="O62345" t="str">
            <v/>
          </cell>
        </row>
        <row r="62346">
          <cell r="O62346" t="str">
            <v/>
          </cell>
        </row>
        <row r="62347">
          <cell r="O62347" t="str">
            <v/>
          </cell>
        </row>
        <row r="62348">
          <cell r="O62348" t="str">
            <v/>
          </cell>
        </row>
        <row r="62349">
          <cell r="O62349" t="str">
            <v/>
          </cell>
        </row>
        <row r="62350">
          <cell r="O62350" t="str">
            <v/>
          </cell>
        </row>
        <row r="62351">
          <cell r="O62351" t="str">
            <v/>
          </cell>
        </row>
        <row r="62352">
          <cell r="O62352" t="str">
            <v/>
          </cell>
        </row>
        <row r="62353">
          <cell r="O62353" t="str">
            <v/>
          </cell>
        </row>
        <row r="62354">
          <cell r="O62354" t="str">
            <v/>
          </cell>
        </row>
        <row r="62355">
          <cell r="O62355" t="str">
            <v/>
          </cell>
        </row>
        <row r="62356">
          <cell r="O62356" t="str">
            <v/>
          </cell>
        </row>
        <row r="62357">
          <cell r="O62357" t="str">
            <v/>
          </cell>
        </row>
        <row r="62358">
          <cell r="O62358" t="str">
            <v/>
          </cell>
        </row>
        <row r="62359">
          <cell r="O62359" t="str">
            <v/>
          </cell>
        </row>
        <row r="62360">
          <cell r="O62360" t="str">
            <v/>
          </cell>
        </row>
        <row r="62361">
          <cell r="O62361" t="str">
            <v/>
          </cell>
        </row>
        <row r="62362">
          <cell r="O62362" t="str">
            <v/>
          </cell>
        </row>
        <row r="62363">
          <cell r="O62363" t="str">
            <v/>
          </cell>
        </row>
        <row r="62364">
          <cell r="O62364" t="str">
            <v/>
          </cell>
        </row>
        <row r="62365">
          <cell r="O62365" t="str">
            <v/>
          </cell>
        </row>
        <row r="62366">
          <cell r="O62366" t="str">
            <v/>
          </cell>
        </row>
        <row r="62367">
          <cell r="O62367" t="str">
            <v/>
          </cell>
        </row>
        <row r="62368">
          <cell r="O62368" t="str">
            <v/>
          </cell>
        </row>
        <row r="62369">
          <cell r="O62369" t="str">
            <v/>
          </cell>
        </row>
        <row r="62370">
          <cell r="O62370" t="str">
            <v/>
          </cell>
        </row>
        <row r="62371">
          <cell r="O62371" t="str">
            <v/>
          </cell>
        </row>
        <row r="62372">
          <cell r="O62372" t="str">
            <v/>
          </cell>
        </row>
        <row r="62373">
          <cell r="O62373" t="str">
            <v/>
          </cell>
        </row>
        <row r="62374">
          <cell r="O62374" t="str">
            <v/>
          </cell>
        </row>
        <row r="62375">
          <cell r="O62375" t="str">
            <v/>
          </cell>
        </row>
        <row r="62376">
          <cell r="O62376" t="str">
            <v/>
          </cell>
        </row>
        <row r="62377">
          <cell r="O62377" t="str">
            <v/>
          </cell>
        </row>
        <row r="62378">
          <cell r="O62378" t="str">
            <v/>
          </cell>
        </row>
        <row r="62379">
          <cell r="O62379" t="str">
            <v/>
          </cell>
        </row>
        <row r="62380">
          <cell r="O62380" t="str">
            <v/>
          </cell>
        </row>
        <row r="62381">
          <cell r="O62381" t="str">
            <v/>
          </cell>
        </row>
        <row r="62382">
          <cell r="O62382" t="str">
            <v/>
          </cell>
        </row>
        <row r="62383">
          <cell r="O62383" t="str">
            <v/>
          </cell>
        </row>
        <row r="62384">
          <cell r="O62384" t="str">
            <v/>
          </cell>
        </row>
        <row r="62385">
          <cell r="O62385" t="str">
            <v/>
          </cell>
        </row>
        <row r="62386">
          <cell r="O62386" t="str">
            <v/>
          </cell>
        </row>
        <row r="62387">
          <cell r="O62387" t="str">
            <v/>
          </cell>
        </row>
        <row r="62388">
          <cell r="O62388" t="str">
            <v/>
          </cell>
        </row>
        <row r="62389">
          <cell r="O62389" t="str">
            <v/>
          </cell>
        </row>
        <row r="62390">
          <cell r="O62390" t="str">
            <v/>
          </cell>
        </row>
        <row r="62391">
          <cell r="O62391" t="str">
            <v/>
          </cell>
        </row>
        <row r="62392">
          <cell r="O62392" t="str">
            <v/>
          </cell>
        </row>
        <row r="62393">
          <cell r="O62393" t="str">
            <v/>
          </cell>
        </row>
        <row r="62394">
          <cell r="O62394" t="str">
            <v/>
          </cell>
        </row>
        <row r="62395">
          <cell r="O62395" t="str">
            <v/>
          </cell>
        </row>
        <row r="62396">
          <cell r="O62396" t="str">
            <v/>
          </cell>
        </row>
        <row r="62397">
          <cell r="O62397" t="str">
            <v/>
          </cell>
        </row>
        <row r="62398">
          <cell r="O62398" t="str">
            <v/>
          </cell>
        </row>
        <row r="62399">
          <cell r="O62399" t="str">
            <v/>
          </cell>
        </row>
        <row r="62400">
          <cell r="O62400" t="str">
            <v/>
          </cell>
        </row>
        <row r="62401">
          <cell r="O62401" t="str">
            <v/>
          </cell>
        </row>
        <row r="62402">
          <cell r="O62402" t="str">
            <v/>
          </cell>
        </row>
        <row r="62403">
          <cell r="O62403" t="str">
            <v/>
          </cell>
        </row>
        <row r="62404">
          <cell r="O62404" t="str">
            <v/>
          </cell>
        </row>
        <row r="62405">
          <cell r="O62405" t="str">
            <v/>
          </cell>
        </row>
        <row r="62406">
          <cell r="O62406" t="str">
            <v/>
          </cell>
        </row>
        <row r="62407">
          <cell r="O62407" t="str">
            <v/>
          </cell>
        </row>
        <row r="62408">
          <cell r="O62408" t="str">
            <v/>
          </cell>
        </row>
        <row r="62409">
          <cell r="O62409" t="str">
            <v/>
          </cell>
        </row>
        <row r="62410">
          <cell r="O62410" t="str">
            <v/>
          </cell>
        </row>
        <row r="62411">
          <cell r="O62411" t="str">
            <v/>
          </cell>
        </row>
        <row r="62412">
          <cell r="O62412" t="str">
            <v/>
          </cell>
        </row>
        <row r="62413">
          <cell r="O62413" t="str">
            <v/>
          </cell>
        </row>
        <row r="62414">
          <cell r="O62414" t="str">
            <v/>
          </cell>
        </row>
        <row r="62415">
          <cell r="O62415" t="str">
            <v/>
          </cell>
        </row>
        <row r="62416">
          <cell r="O62416" t="str">
            <v/>
          </cell>
        </row>
        <row r="62417">
          <cell r="O62417" t="str">
            <v/>
          </cell>
        </row>
        <row r="62418">
          <cell r="O62418" t="str">
            <v/>
          </cell>
        </row>
        <row r="62419">
          <cell r="O62419" t="str">
            <v/>
          </cell>
        </row>
        <row r="62420">
          <cell r="O62420" t="str">
            <v/>
          </cell>
        </row>
        <row r="62421">
          <cell r="O62421" t="str">
            <v/>
          </cell>
        </row>
        <row r="62422">
          <cell r="O62422" t="str">
            <v/>
          </cell>
        </row>
        <row r="62423">
          <cell r="O62423" t="str">
            <v/>
          </cell>
        </row>
        <row r="62424">
          <cell r="O62424" t="str">
            <v/>
          </cell>
        </row>
        <row r="62425">
          <cell r="O62425" t="str">
            <v/>
          </cell>
        </row>
        <row r="62426">
          <cell r="O62426" t="str">
            <v/>
          </cell>
        </row>
        <row r="62427">
          <cell r="O62427" t="str">
            <v/>
          </cell>
        </row>
        <row r="62428">
          <cell r="O62428" t="str">
            <v/>
          </cell>
        </row>
        <row r="62429">
          <cell r="O62429" t="str">
            <v/>
          </cell>
        </row>
        <row r="62430">
          <cell r="O62430" t="str">
            <v/>
          </cell>
        </row>
        <row r="62431">
          <cell r="O62431" t="str">
            <v/>
          </cell>
        </row>
        <row r="62432">
          <cell r="O62432" t="str">
            <v/>
          </cell>
        </row>
        <row r="62433">
          <cell r="O62433" t="str">
            <v/>
          </cell>
        </row>
        <row r="62434">
          <cell r="O62434" t="str">
            <v/>
          </cell>
        </row>
        <row r="62435">
          <cell r="O62435" t="str">
            <v/>
          </cell>
        </row>
        <row r="62436">
          <cell r="O62436" t="str">
            <v/>
          </cell>
        </row>
        <row r="62437">
          <cell r="O62437" t="str">
            <v/>
          </cell>
        </row>
        <row r="62438">
          <cell r="O62438" t="str">
            <v/>
          </cell>
        </row>
        <row r="62439">
          <cell r="O62439" t="str">
            <v/>
          </cell>
        </row>
        <row r="62440">
          <cell r="O62440" t="str">
            <v/>
          </cell>
        </row>
        <row r="62441">
          <cell r="O62441" t="str">
            <v/>
          </cell>
        </row>
        <row r="62442">
          <cell r="O62442" t="str">
            <v/>
          </cell>
        </row>
        <row r="62443">
          <cell r="O62443" t="str">
            <v/>
          </cell>
        </row>
        <row r="62444">
          <cell r="O62444" t="str">
            <v/>
          </cell>
        </row>
        <row r="62445">
          <cell r="O62445" t="str">
            <v/>
          </cell>
        </row>
        <row r="62446">
          <cell r="O62446" t="str">
            <v/>
          </cell>
        </row>
        <row r="62447">
          <cell r="O62447" t="str">
            <v/>
          </cell>
        </row>
        <row r="62448">
          <cell r="O62448" t="str">
            <v/>
          </cell>
        </row>
        <row r="62449">
          <cell r="O62449" t="str">
            <v/>
          </cell>
        </row>
        <row r="62450">
          <cell r="O62450" t="str">
            <v/>
          </cell>
        </row>
        <row r="62451">
          <cell r="O62451" t="str">
            <v/>
          </cell>
        </row>
        <row r="62452">
          <cell r="O62452" t="str">
            <v/>
          </cell>
        </row>
        <row r="62453">
          <cell r="O62453" t="str">
            <v/>
          </cell>
        </row>
        <row r="62454">
          <cell r="O62454" t="str">
            <v/>
          </cell>
        </row>
        <row r="62455">
          <cell r="O62455" t="str">
            <v/>
          </cell>
        </row>
        <row r="62456">
          <cell r="O62456" t="str">
            <v/>
          </cell>
        </row>
        <row r="62457">
          <cell r="O62457" t="str">
            <v/>
          </cell>
        </row>
        <row r="62458">
          <cell r="O62458" t="str">
            <v/>
          </cell>
        </row>
        <row r="62459">
          <cell r="O62459" t="str">
            <v/>
          </cell>
        </row>
        <row r="62460">
          <cell r="O62460" t="str">
            <v/>
          </cell>
        </row>
        <row r="62461">
          <cell r="O62461" t="str">
            <v/>
          </cell>
        </row>
        <row r="62462">
          <cell r="O62462" t="str">
            <v/>
          </cell>
        </row>
        <row r="62463">
          <cell r="O62463" t="str">
            <v/>
          </cell>
        </row>
        <row r="62464">
          <cell r="O62464" t="str">
            <v/>
          </cell>
        </row>
        <row r="62465">
          <cell r="O62465" t="str">
            <v/>
          </cell>
        </row>
        <row r="62466">
          <cell r="O62466" t="str">
            <v/>
          </cell>
        </row>
        <row r="62467">
          <cell r="O62467" t="str">
            <v/>
          </cell>
        </row>
        <row r="62468">
          <cell r="O62468" t="str">
            <v/>
          </cell>
        </row>
        <row r="62469">
          <cell r="O62469" t="str">
            <v/>
          </cell>
        </row>
        <row r="62470">
          <cell r="O62470" t="str">
            <v/>
          </cell>
        </row>
        <row r="62471">
          <cell r="O62471" t="str">
            <v/>
          </cell>
        </row>
        <row r="62472">
          <cell r="O62472" t="str">
            <v/>
          </cell>
        </row>
        <row r="62473">
          <cell r="O62473" t="str">
            <v/>
          </cell>
        </row>
        <row r="62474">
          <cell r="O62474" t="str">
            <v/>
          </cell>
        </row>
        <row r="62475">
          <cell r="O62475" t="str">
            <v/>
          </cell>
        </row>
        <row r="62476">
          <cell r="O62476" t="str">
            <v/>
          </cell>
        </row>
        <row r="62477">
          <cell r="O62477" t="str">
            <v/>
          </cell>
        </row>
        <row r="62478">
          <cell r="O62478" t="str">
            <v/>
          </cell>
        </row>
        <row r="62479">
          <cell r="O62479" t="str">
            <v/>
          </cell>
        </row>
        <row r="62480">
          <cell r="O62480" t="str">
            <v/>
          </cell>
        </row>
        <row r="62481">
          <cell r="O62481" t="str">
            <v/>
          </cell>
        </row>
        <row r="62482">
          <cell r="O62482" t="str">
            <v/>
          </cell>
        </row>
        <row r="62483">
          <cell r="O62483" t="str">
            <v/>
          </cell>
        </row>
        <row r="62484">
          <cell r="O62484" t="str">
            <v/>
          </cell>
        </row>
        <row r="62485">
          <cell r="O62485" t="str">
            <v/>
          </cell>
        </row>
        <row r="62486">
          <cell r="O62486" t="str">
            <v/>
          </cell>
        </row>
        <row r="62487">
          <cell r="O62487" t="str">
            <v/>
          </cell>
        </row>
        <row r="62488">
          <cell r="O62488" t="str">
            <v/>
          </cell>
        </row>
        <row r="62489">
          <cell r="O62489" t="str">
            <v/>
          </cell>
        </row>
        <row r="62490">
          <cell r="O62490" t="str">
            <v/>
          </cell>
        </row>
        <row r="62491">
          <cell r="O62491" t="str">
            <v/>
          </cell>
        </row>
        <row r="62492">
          <cell r="O62492" t="str">
            <v/>
          </cell>
        </row>
        <row r="62493">
          <cell r="O62493" t="str">
            <v/>
          </cell>
        </row>
        <row r="62494">
          <cell r="O62494" t="str">
            <v/>
          </cell>
        </row>
        <row r="62495">
          <cell r="O62495" t="str">
            <v/>
          </cell>
        </row>
        <row r="62496">
          <cell r="O62496" t="str">
            <v/>
          </cell>
        </row>
        <row r="62497">
          <cell r="O62497" t="str">
            <v/>
          </cell>
        </row>
        <row r="62498">
          <cell r="O62498" t="str">
            <v/>
          </cell>
        </row>
        <row r="62499">
          <cell r="O62499" t="str">
            <v/>
          </cell>
        </row>
        <row r="62500">
          <cell r="O62500" t="str">
            <v/>
          </cell>
        </row>
        <row r="62501">
          <cell r="O62501" t="str">
            <v/>
          </cell>
        </row>
        <row r="62502">
          <cell r="O62502" t="str">
            <v/>
          </cell>
        </row>
        <row r="62503">
          <cell r="O62503" t="str">
            <v/>
          </cell>
        </row>
        <row r="62504">
          <cell r="O62504" t="str">
            <v/>
          </cell>
        </row>
        <row r="62505">
          <cell r="O62505" t="str">
            <v/>
          </cell>
        </row>
        <row r="62506">
          <cell r="O62506" t="str">
            <v/>
          </cell>
        </row>
        <row r="62507">
          <cell r="O62507" t="str">
            <v/>
          </cell>
        </row>
        <row r="62508">
          <cell r="O62508" t="str">
            <v/>
          </cell>
        </row>
        <row r="62509">
          <cell r="O62509" t="str">
            <v/>
          </cell>
        </row>
        <row r="62510">
          <cell r="O62510" t="str">
            <v/>
          </cell>
        </row>
        <row r="62511">
          <cell r="O62511" t="str">
            <v/>
          </cell>
        </row>
        <row r="62512">
          <cell r="O62512" t="str">
            <v/>
          </cell>
        </row>
        <row r="62513">
          <cell r="O62513" t="str">
            <v/>
          </cell>
        </row>
        <row r="62514">
          <cell r="O62514" t="str">
            <v/>
          </cell>
        </row>
        <row r="62515">
          <cell r="O62515" t="str">
            <v/>
          </cell>
        </row>
        <row r="62516">
          <cell r="O62516" t="str">
            <v/>
          </cell>
        </row>
        <row r="62517">
          <cell r="O62517" t="str">
            <v/>
          </cell>
        </row>
        <row r="62518">
          <cell r="O62518" t="str">
            <v/>
          </cell>
        </row>
        <row r="62519">
          <cell r="O62519" t="str">
            <v/>
          </cell>
        </row>
        <row r="62520">
          <cell r="O62520" t="str">
            <v/>
          </cell>
        </row>
        <row r="62521">
          <cell r="O62521" t="str">
            <v/>
          </cell>
        </row>
        <row r="62522">
          <cell r="O62522" t="str">
            <v/>
          </cell>
        </row>
        <row r="62523">
          <cell r="O62523" t="str">
            <v/>
          </cell>
        </row>
        <row r="62524">
          <cell r="O62524" t="str">
            <v/>
          </cell>
        </row>
        <row r="62525">
          <cell r="O62525" t="str">
            <v/>
          </cell>
        </row>
        <row r="62526">
          <cell r="O62526" t="str">
            <v/>
          </cell>
        </row>
        <row r="62527">
          <cell r="O62527" t="str">
            <v/>
          </cell>
        </row>
        <row r="62528">
          <cell r="O62528" t="str">
            <v/>
          </cell>
        </row>
        <row r="62529">
          <cell r="O62529" t="str">
            <v/>
          </cell>
        </row>
        <row r="62530">
          <cell r="O62530" t="str">
            <v/>
          </cell>
        </row>
        <row r="62531">
          <cell r="O62531" t="str">
            <v/>
          </cell>
        </row>
        <row r="62532">
          <cell r="O62532" t="str">
            <v/>
          </cell>
        </row>
        <row r="62533">
          <cell r="O62533" t="str">
            <v/>
          </cell>
        </row>
        <row r="62534">
          <cell r="O62534" t="str">
            <v/>
          </cell>
        </row>
        <row r="62535">
          <cell r="O62535" t="str">
            <v/>
          </cell>
        </row>
        <row r="62536">
          <cell r="O62536" t="str">
            <v/>
          </cell>
        </row>
        <row r="62537">
          <cell r="O62537" t="str">
            <v/>
          </cell>
        </row>
        <row r="62538">
          <cell r="O62538" t="str">
            <v/>
          </cell>
        </row>
        <row r="62539">
          <cell r="O62539" t="str">
            <v/>
          </cell>
        </row>
        <row r="62540">
          <cell r="O62540" t="str">
            <v/>
          </cell>
        </row>
        <row r="62541">
          <cell r="O62541" t="str">
            <v/>
          </cell>
        </row>
        <row r="62542">
          <cell r="O62542" t="str">
            <v/>
          </cell>
        </row>
        <row r="62543">
          <cell r="O62543" t="str">
            <v/>
          </cell>
        </row>
        <row r="62544">
          <cell r="O62544" t="str">
            <v/>
          </cell>
        </row>
        <row r="62545">
          <cell r="O62545" t="str">
            <v/>
          </cell>
        </row>
        <row r="62546">
          <cell r="O62546" t="str">
            <v/>
          </cell>
        </row>
        <row r="62547">
          <cell r="O62547" t="str">
            <v/>
          </cell>
        </row>
        <row r="62548">
          <cell r="O62548" t="str">
            <v/>
          </cell>
        </row>
        <row r="62549">
          <cell r="O62549" t="str">
            <v/>
          </cell>
        </row>
        <row r="62550">
          <cell r="O62550" t="str">
            <v/>
          </cell>
        </row>
        <row r="62551">
          <cell r="O62551" t="str">
            <v/>
          </cell>
        </row>
        <row r="62552">
          <cell r="O62552" t="str">
            <v/>
          </cell>
        </row>
        <row r="62553">
          <cell r="O62553" t="str">
            <v/>
          </cell>
        </row>
        <row r="62554">
          <cell r="O62554" t="str">
            <v/>
          </cell>
        </row>
        <row r="62555">
          <cell r="O62555" t="str">
            <v/>
          </cell>
        </row>
        <row r="62556">
          <cell r="O62556" t="str">
            <v/>
          </cell>
        </row>
        <row r="62557">
          <cell r="O62557" t="str">
            <v/>
          </cell>
        </row>
        <row r="62558">
          <cell r="O62558" t="str">
            <v/>
          </cell>
        </row>
        <row r="62559">
          <cell r="O62559" t="str">
            <v/>
          </cell>
        </row>
        <row r="62560">
          <cell r="O62560" t="str">
            <v/>
          </cell>
        </row>
        <row r="62561">
          <cell r="O62561" t="str">
            <v/>
          </cell>
        </row>
        <row r="62562">
          <cell r="O62562" t="str">
            <v/>
          </cell>
        </row>
        <row r="62563">
          <cell r="O62563" t="str">
            <v/>
          </cell>
        </row>
        <row r="62564">
          <cell r="O62564" t="str">
            <v/>
          </cell>
        </row>
        <row r="62565">
          <cell r="O62565" t="str">
            <v/>
          </cell>
        </row>
        <row r="62566">
          <cell r="O62566" t="str">
            <v/>
          </cell>
        </row>
        <row r="62567">
          <cell r="O62567" t="str">
            <v/>
          </cell>
        </row>
        <row r="62568">
          <cell r="O62568" t="str">
            <v/>
          </cell>
        </row>
        <row r="62569">
          <cell r="O62569" t="str">
            <v/>
          </cell>
        </row>
        <row r="62570">
          <cell r="O62570" t="str">
            <v/>
          </cell>
        </row>
        <row r="62571">
          <cell r="O62571" t="str">
            <v/>
          </cell>
        </row>
        <row r="62572">
          <cell r="O62572" t="str">
            <v/>
          </cell>
        </row>
        <row r="62573">
          <cell r="O62573" t="str">
            <v/>
          </cell>
        </row>
        <row r="62574">
          <cell r="O62574" t="str">
            <v/>
          </cell>
        </row>
        <row r="62575">
          <cell r="O62575" t="str">
            <v/>
          </cell>
        </row>
        <row r="62576">
          <cell r="O62576" t="str">
            <v/>
          </cell>
        </row>
        <row r="62577">
          <cell r="O62577" t="str">
            <v/>
          </cell>
        </row>
        <row r="62578">
          <cell r="O62578" t="str">
            <v/>
          </cell>
        </row>
        <row r="62579">
          <cell r="O62579" t="str">
            <v/>
          </cell>
        </row>
        <row r="62580">
          <cell r="O62580" t="str">
            <v/>
          </cell>
        </row>
        <row r="62581">
          <cell r="O62581" t="str">
            <v/>
          </cell>
        </row>
        <row r="62582">
          <cell r="O62582" t="str">
            <v/>
          </cell>
        </row>
        <row r="62583">
          <cell r="O62583" t="str">
            <v/>
          </cell>
        </row>
        <row r="62584">
          <cell r="O62584" t="str">
            <v/>
          </cell>
        </row>
        <row r="62585">
          <cell r="O62585" t="str">
            <v/>
          </cell>
        </row>
        <row r="62586">
          <cell r="O62586" t="str">
            <v/>
          </cell>
        </row>
        <row r="62587">
          <cell r="O62587" t="str">
            <v/>
          </cell>
        </row>
        <row r="62588">
          <cell r="O62588" t="str">
            <v/>
          </cell>
        </row>
        <row r="62589">
          <cell r="O62589" t="str">
            <v/>
          </cell>
        </row>
        <row r="62590">
          <cell r="O62590" t="str">
            <v/>
          </cell>
        </row>
        <row r="62591">
          <cell r="O62591" t="str">
            <v/>
          </cell>
        </row>
        <row r="62592">
          <cell r="O62592" t="str">
            <v/>
          </cell>
        </row>
        <row r="62593">
          <cell r="O62593" t="str">
            <v/>
          </cell>
        </row>
        <row r="62594">
          <cell r="O62594" t="str">
            <v/>
          </cell>
        </row>
        <row r="62595">
          <cell r="O62595" t="str">
            <v/>
          </cell>
        </row>
        <row r="62596">
          <cell r="O62596" t="str">
            <v/>
          </cell>
        </row>
        <row r="62597">
          <cell r="O62597" t="str">
            <v/>
          </cell>
        </row>
        <row r="62598">
          <cell r="O62598" t="str">
            <v/>
          </cell>
        </row>
        <row r="62599">
          <cell r="O62599" t="str">
            <v/>
          </cell>
        </row>
        <row r="62600">
          <cell r="O62600" t="str">
            <v/>
          </cell>
        </row>
        <row r="62601">
          <cell r="O62601" t="str">
            <v/>
          </cell>
        </row>
        <row r="62602">
          <cell r="O62602" t="str">
            <v/>
          </cell>
        </row>
        <row r="62603">
          <cell r="O62603" t="str">
            <v/>
          </cell>
        </row>
        <row r="62604">
          <cell r="O62604" t="str">
            <v/>
          </cell>
        </row>
        <row r="62605">
          <cell r="O62605" t="str">
            <v/>
          </cell>
        </row>
        <row r="62606">
          <cell r="O62606" t="str">
            <v/>
          </cell>
        </row>
        <row r="62607">
          <cell r="O62607" t="str">
            <v/>
          </cell>
        </row>
        <row r="62608">
          <cell r="O62608" t="str">
            <v/>
          </cell>
        </row>
        <row r="62609">
          <cell r="O62609" t="str">
            <v/>
          </cell>
        </row>
        <row r="62610">
          <cell r="O62610" t="str">
            <v/>
          </cell>
        </row>
        <row r="62611">
          <cell r="O62611" t="str">
            <v/>
          </cell>
        </row>
        <row r="62612">
          <cell r="O62612" t="str">
            <v/>
          </cell>
        </row>
        <row r="62613">
          <cell r="O62613" t="str">
            <v/>
          </cell>
        </row>
        <row r="62614">
          <cell r="O62614" t="str">
            <v/>
          </cell>
        </row>
        <row r="62615">
          <cell r="O62615" t="str">
            <v/>
          </cell>
        </row>
        <row r="62616">
          <cell r="O62616" t="str">
            <v/>
          </cell>
        </row>
        <row r="62617">
          <cell r="O62617" t="str">
            <v/>
          </cell>
        </row>
        <row r="62618">
          <cell r="O62618" t="str">
            <v/>
          </cell>
        </row>
        <row r="62619">
          <cell r="O62619" t="str">
            <v/>
          </cell>
        </row>
        <row r="62620">
          <cell r="O62620" t="str">
            <v/>
          </cell>
        </row>
        <row r="62621">
          <cell r="O62621" t="str">
            <v/>
          </cell>
        </row>
        <row r="62622">
          <cell r="O62622" t="str">
            <v/>
          </cell>
        </row>
        <row r="62623">
          <cell r="O62623" t="str">
            <v/>
          </cell>
        </row>
        <row r="62624">
          <cell r="O62624" t="str">
            <v/>
          </cell>
        </row>
        <row r="62625">
          <cell r="O62625" t="str">
            <v/>
          </cell>
        </row>
        <row r="62626">
          <cell r="O62626" t="str">
            <v/>
          </cell>
        </row>
        <row r="62627">
          <cell r="O62627" t="str">
            <v/>
          </cell>
        </row>
        <row r="62628">
          <cell r="O62628" t="str">
            <v/>
          </cell>
        </row>
        <row r="62629">
          <cell r="O62629" t="str">
            <v/>
          </cell>
        </row>
        <row r="62630">
          <cell r="O62630" t="str">
            <v/>
          </cell>
        </row>
        <row r="62631">
          <cell r="O62631" t="str">
            <v/>
          </cell>
        </row>
        <row r="62632">
          <cell r="O62632" t="str">
            <v/>
          </cell>
        </row>
        <row r="62633">
          <cell r="O62633" t="str">
            <v/>
          </cell>
        </row>
        <row r="62634">
          <cell r="O62634" t="str">
            <v/>
          </cell>
        </row>
        <row r="62635">
          <cell r="O62635" t="str">
            <v/>
          </cell>
        </row>
        <row r="62636">
          <cell r="O62636" t="str">
            <v/>
          </cell>
        </row>
        <row r="62637">
          <cell r="O62637" t="str">
            <v/>
          </cell>
        </row>
        <row r="62638">
          <cell r="O62638" t="str">
            <v/>
          </cell>
        </row>
        <row r="62639">
          <cell r="O62639" t="str">
            <v/>
          </cell>
        </row>
        <row r="62640">
          <cell r="O62640" t="str">
            <v/>
          </cell>
        </row>
        <row r="62641">
          <cell r="O62641" t="str">
            <v/>
          </cell>
        </row>
        <row r="62642">
          <cell r="O62642" t="str">
            <v/>
          </cell>
        </row>
        <row r="62643">
          <cell r="O62643" t="str">
            <v/>
          </cell>
        </row>
        <row r="62644">
          <cell r="O62644" t="str">
            <v/>
          </cell>
        </row>
        <row r="62645">
          <cell r="O62645" t="str">
            <v/>
          </cell>
        </row>
        <row r="62646">
          <cell r="O62646" t="str">
            <v/>
          </cell>
        </row>
        <row r="62647">
          <cell r="O62647" t="str">
            <v/>
          </cell>
        </row>
        <row r="62648">
          <cell r="O62648" t="str">
            <v/>
          </cell>
        </row>
        <row r="62649">
          <cell r="O62649" t="str">
            <v/>
          </cell>
        </row>
        <row r="62650">
          <cell r="O62650" t="str">
            <v/>
          </cell>
        </row>
        <row r="62651">
          <cell r="O62651" t="str">
            <v/>
          </cell>
        </row>
        <row r="62652">
          <cell r="O62652" t="str">
            <v/>
          </cell>
        </row>
        <row r="62653">
          <cell r="O62653" t="str">
            <v/>
          </cell>
        </row>
        <row r="62654">
          <cell r="O62654" t="str">
            <v/>
          </cell>
        </row>
        <row r="62655">
          <cell r="O62655" t="str">
            <v/>
          </cell>
        </row>
        <row r="62656">
          <cell r="O62656" t="str">
            <v/>
          </cell>
        </row>
        <row r="62657">
          <cell r="O62657" t="str">
            <v/>
          </cell>
        </row>
        <row r="62658">
          <cell r="O62658" t="str">
            <v/>
          </cell>
        </row>
        <row r="62659">
          <cell r="O62659" t="str">
            <v/>
          </cell>
        </row>
        <row r="62660">
          <cell r="O62660" t="str">
            <v/>
          </cell>
        </row>
        <row r="62661">
          <cell r="O62661" t="str">
            <v/>
          </cell>
        </row>
        <row r="62662">
          <cell r="O62662" t="str">
            <v/>
          </cell>
        </row>
        <row r="62663">
          <cell r="O62663" t="str">
            <v/>
          </cell>
        </row>
        <row r="62664">
          <cell r="O62664" t="str">
            <v/>
          </cell>
        </row>
        <row r="62665">
          <cell r="O62665" t="str">
            <v/>
          </cell>
        </row>
        <row r="62666">
          <cell r="O62666" t="str">
            <v/>
          </cell>
        </row>
        <row r="62667">
          <cell r="O62667" t="str">
            <v/>
          </cell>
        </row>
        <row r="62668">
          <cell r="O62668" t="str">
            <v/>
          </cell>
        </row>
        <row r="62669">
          <cell r="O62669" t="str">
            <v/>
          </cell>
        </row>
        <row r="62670">
          <cell r="O62670" t="str">
            <v/>
          </cell>
        </row>
        <row r="62671">
          <cell r="O62671" t="str">
            <v/>
          </cell>
        </row>
        <row r="62672">
          <cell r="O62672" t="str">
            <v/>
          </cell>
        </row>
        <row r="62673">
          <cell r="O62673" t="str">
            <v/>
          </cell>
        </row>
        <row r="62674">
          <cell r="O62674" t="str">
            <v/>
          </cell>
        </row>
        <row r="62675">
          <cell r="O62675" t="str">
            <v/>
          </cell>
        </row>
        <row r="62676">
          <cell r="O62676" t="str">
            <v/>
          </cell>
        </row>
        <row r="62677">
          <cell r="O62677" t="str">
            <v/>
          </cell>
        </row>
        <row r="62678">
          <cell r="O62678" t="str">
            <v/>
          </cell>
        </row>
        <row r="62679">
          <cell r="O62679" t="str">
            <v/>
          </cell>
        </row>
        <row r="62680">
          <cell r="O62680" t="str">
            <v/>
          </cell>
        </row>
        <row r="62681">
          <cell r="O62681" t="str">
            <v/>
          </cell>
        </row>
        <row r="62682">
          <cell r="O62682" t="str">
            <v/>
          </cell>
        </row>
        <row r="62683">
          <cell r="O62683" t="str">
            <v/>
          </cell>
        </row>
        <row r="62684">
          <cell r="O62684" t="str">
            <v/>
          </cell>
        </row>
        <row r="62685">
          <cell r="O62685" t="str">
            <v/>
          </cell>
        </row>
        <row r="62686">
          <cell r="O62686" t="str">
            <v/>
          </cell>
        </row>
        <row r="62687">
          <cell r="O62687" t="str">
            <v/>
          </cell>
        </row>
        <row r="62688">
          <cell r="O62688" t="str">
            <v/>
          </cell>
        </row>
        <row r="62689">
          <cell r="O62689" t="str">
            <v/>
          </cell>
        </row>
        <row r="62690">
          <cell r="O62690" t="str">
            <v/>
          </cell>
        </row>
        <row r="62691">
          <cell r="O62691" t="str">
            <v/>
          </cell>
        </row>
        <row r="62692">
          <cell r="O62692" t="str">
            <v/>
          </cell>
        </row>
        <row r="62693">
          <cell r="O62693" t="str">
            <v/>
          </cell>
        </row>
        <row r="62694">
          <cell r="O62694" t="str">
            <v/>
          </cell>
        </row>
        <row r="62695">
          <cell r="O62695" t="str">
            <v/>
          </cell>
        </row>
        <row r="62696">
          <cell r="O62696" t="str">
            <v/>
          </cell>
        </row>
        <row r="62697">
          <cell r="O62697" t="str">
            <v/>
          </cell>
        </row>
        <row r="62698">
          <cell r="O62698" t="str">
            <v/>
          </cell>
        </row>
        <row r="62699">
          <cell r="O62699" t="str">
            <v/>
          </cell>
        </row>
        <row r="62700">
          <cell r="O62700" t="str">
            <v/>
          </cell>
        </row>
        <row r="62701">
          <cell r="O62701" t="str">
            <v/>
          </cell>
        </row>
        <row r="62702">
          <cell r="O62702" t="str">
            <v/>
          </cell>
        </row>
        <row r="62703">
          <cell r="O62703" t="str">
            <v/>
          </cell>
        </row>
        <row r="62704">
          <cell r="O62704" t="str">
            <v/>
          </cell>
        </row>
        <row r="62705">
          <cell r="O62705" t="str">
            <v/>
          </cell>
        </row>
        <row r="62706">
          <cell r="O62706" t="str">
            <v/>
          </cell>
        </row>
        <row r="62707">
          <cell r="O62707" t="str">
            <v/>
          </cell>
        </row>
        <row r="62708">
          <cell r="O62708" t="str">
            <v/>
          </cell>
        </row>
        <row r="62709">
          <cell r="O62709" t="str">
            <v/>
          </cell>
        </row>
        <row r="62710">
          <cell r="O62710" t="str">
            <v/>
          </cell>
        </row>
        <row r="62711">
          <cell r="O62711" t="str">
            <v/>
          </cell>
        </row>
        <row r="62712">
          <cell r="O62712" t="str">
            <v/>
          </cell>
        </row>
        <row r="62713">
          <cell r="O62713" t="str">
            <v/>
          </cell>
        </row>
        <row r="62714">
          <cell r="O62714" t="str">
            <v/>
          </cell>
        </row>
        <row r="62715">
          <cell r="O62715" t="str">
            <v/>
          </cell>
        </row>
        <row r="62716">
          <cell r="O62716" t="str">
            <v/>
          </cell>
        </row>
        <row r="62717">
          <cell r="O62717" t="str">
            <v/>
          </cell>
        </row>
        <row r="62718">
          <cell r="O62718" t="str">
            <v/>
          </cell>
        </row>
        <row r="62719">
          <cell r="O62719" t="str">
            <v/>
          </cell>
        </row>
        <row r="62720">
          <cell r="O62720" t="str">
            <v/>
          </cell>
        </row>
        <row r="62721">
          <cell r="O62721" t="str">
            <v/>
          </cell>
        </row>
        <row r="62722">
          <cell r="O62722" t="str">
            <v/>
          </cell>
        </row>
        <row r="62723">
          <cell r="O62723" t="str">
            <v/>
          </cell>
        </row>
        <row r="62724">
          <cell r="O62724" t="str">
            <v/>
          </cell>
        </row>
        <row r="62725">
          <cell r="O62725" t="str">
            <v/>
          </cell>
        </row>
        <row r="62726">
          <cell r="O62726" t="str">
            <v/>
          </cell>
        </row>
        <row r="62727">
          <cell r="O62727" t="str">
            <v/>
          </cell>
        </row>
        <row r="62728">
          <cell r="O62728" t="str">
            <v/>
          </cell>
        </row>
        <row r="62729">
          <cell r="O62729" t="str">
            <v/>
          </cell>
        </row>
        <row r="62730">
          <cell r="O62730" t="str">
            <v/>
          </cell>
        </row>
        <row r="62731">
          <cell r="O62731" t="str">
            <v/>
          </cell>
        </row>
        <row r="62732">
          <cell r="O62732" t="str">
            <v/>
          </cell>
        </row>
        <row r="62733">
          <cell r="O62733" t="str">
            <v/>
          </cell>
        </row>
        <row r="62734">
          <cell r="O62734" t="str">
            <v/>
          </cell>
        </row>
        <row r="62735">
          <cell r="O62735" t="str">
            <v/>
          </cell>
        </row>
        <row r="62736">
          <cell r="O62736" t="str">
            <v/>
          </cell>
        </row>
        <row r="62737">
          <cell r="O62737" t="str">
            <v/>
          </cell>
        </row>
        <row r="62738">
          <cell r="O62738" t="str">
            <v/>
          </cell>
        </row>
        <row r="62739">
          <cell r="O62739" t="str">
            <v/>
          </cell>
        </row>
        <row r="62740">
          <cell r="O62740" t="str">
            <v/>
          </cell>
        </row>
        <row r="62741">
          <cell r="O62741" t="str">
            <v/>
          </cell>
        </row>
        <row r="62742">
          <cell r="O62742" t="str">
            <v/>
          </cell>
        </row>
        <row r="62743">
          <cell r="O62743" t="str">
            <v/>
          </cell>
        </row>
        <row r="62744">
          <cell r="O62744" t="str">
            <v/>
          </cell>
        </row>
        <row r="62745">
          <cell r="O62745" t="str">
            <v/>
          </cell>
        </row>
        <row r="62746">
          <cell r="O62746" t="str">
            <v/>
          </cell>
        </row>
        <row r="62747">
          <cell r="O62747" t="str">
            <v/>
          </cell>
        </row>
        <row r="62748">
          <cell r="O62748" t="str">
            <v/>
          </cell>
        </row>
        <row r="62749">
          <cell r="O62749" t="str">
            <v/>
          </cell>
        </row>
        <row r="62750">
          <cell r="O62750" t="str">
            <v/>
          </cell>
        </row>
        <row r="62751">
          <cell r="O62751" t="str">
            <v/>
          </cell>
        </row>
        <row r="62752">
          <cell r="O62752" t="str">
            <v/>
          </cell>
        </row>
        <row r="62753">
          <cell r="O62753" t="str">
            <v/>
          </cell>
        </row>
        <row r="62754">
          <cell r="O62754" t="str">
            <v/>
          </cell>
        </row>
        <row r="62755">
          <cell r="O62755" t="str">
            <v/>
          </cell>
        </row>
        <row r="62756">
          <cell r="O62756" t="str">
            <v/>
          </cell>
        </row>
        <row r="62757">
          <cell r="O62757" t="str">
            <v/>
          </cell>
        </row>
        <row r="62758">
          <cell r="O62758" t="str">
            <v/>
          </cell>
        </row>
        <row r="62759">
          <cell r="O62759" t="str">
            <v/>
          </cell>
        </row>
        <row r="62760">
          <cell r="O62760" t="str">
            <v/>
          </cell>
        </row>
        <row r="62761">
          <cell r="O62761" t="str">
            <v/>
          </cell>
        </row>
        <row r="62762">
          <cell r="O62762" t="str">
            <v/>
          </cell>
        </row>
        <row r="62763">
          <cell r="O62763" t="str">
            <v/>
          </cell>
        </row>
        <row r="62764">
          <cell r="O62764" t="str">
            <v/>
          </cell>
        </row>
        <row r="62765">
          <cell r="O62765" t="str">
            <v/>
          </cell>
        </row>
        <row r="62766">
          <cell r="O62766" t="str">
            <v/>
          </cell>
        </row>
        <row r="62767">
          <cell r="O62767" t="str">
            <v/>
          </cell>
        </row>
        <row r="62768">
          <cell r="O62768" t="str">
            <v/>
          </cell>
        </row>
        <row r="62769">
          <cell r="O62769" t="str">
            <v/>
          </cell>
        </row>
        <row r="62770">
          <cell r="O62770" t="str">
            <v/>
          </cell>
        </row>
        <row r="62771">
          <cell r="O62771" t="str">
            <v/>
          </cell>
        </row>
        <row r="62772">
          <cell r="O62772" t="str">
            <v/>
          </cell>
        </row>
        <row r="62773">
          <cell r="O62773" t="str">
            <v/>
          </cell>
        </row>
        <row r="62774">
          <cell r="O62774" t="str">
            <v/>
          </cell>
        </row>
        <row r="62775">
          <cell r="O62775" t="str">
            <v/>
          </cell>
        </row>
        <row r="62776">
          <cell r="O62776" t="str">
            <v/>
          </cell>
        </row>
        <row r="62777">
          <cell r="O62777" t="str">
            <v/>
          </cell>
        </row>
        <row r="62778">
          <cell r="O62778" t="str">
            <v/>
          </cell>
        </row>
        <row r="62779">
          <cell r="O62779" t="str">
            <v/>
          </cell>
        </row>
        <row r="62780">
          <cell r="O62780" t="str">
            <v/>
          </cell>
        </row>
        <row r="62781">
          <cell r="O62781" t="str">
            <v/>
          </cell>
        </row>
        <row r="62782">
          <cell r="O62782" t="str">
            <v/>
          </cell>
        </row>
        <row r="62783">
          <cell r="O62783" t="str">
            <v/>
          </cell>
        </row>
        <row r="62784">
          <cell r="O62784" t="str">
            <v/>
          </cell>
        </row>
        <row r="62785">
          <cell r="O62785" t="str">
            <v/>
          </cell>
        </row>
        <row r="62786">
          <cell r="O62786" t="str">
            <v/>
          </cell>
        </row>
        <row r="62787">
          <cell r="O62787" t="str">
            <v/>
          </cell>
        </row>
        <row r="62788">
          <cell r="O62788" t="str">
            <v/>
          </cell>
        </row>
        <row r="62789">
          <cell r="O62789" t="str">
            <v/>
          </cell>
        </row>
        <row r="62790">
          <cell r="O62790" t="str">
            <v/>
          </cell>
        </row>
        <row r="62791">
          <cell r="O62791" t="str">
            <v/>
          </cell>
        </row>
        <row r="62792">
          <cell r="O62792" t="str">
            <v/>
          </cell>
        </row>
        <row r="62793">
          <cell r="O62793" t="str">
            <v/>
          </cell>
        </row>
        <row r="62794">
          <cell r="O62794" t="str">
            <v/>
          </cell>
        </row>
        <row r="62795">
          <cell r="O62795" t="str">
            <v/>
          </cell>
        </row>
        <row r="62796">
          <cell r="O62796" t="str">
            <v/>
          </cell>
        </row>
        <row r="62797">
          <cell r="O62797" t="str">
            <v/>
          </cell>
        </row>
        <row r="62798">
          <cell r="O62798" t="str">
            <v/>
          </cell>
        </row>
        <row r="62799">
          <cell r="O62799" t="str">
            <v/>
          </cell>
        </row>
        <row r="62800">
          <cell r="O62800" t="str">
            <v/>
          </cell>
        </row>
        <row r="62801">
          <cell r="O62801" t="str">
            <v/>
          </cell>
        </row>
        <row r="62802">
          <cell r="O62802" t="str">
            <v/>
          </cell>
        </row>
        <row r="62803">
          <cell r="O62803" t="str">
            <v/>
          </cell>
        </row>
        <row r="62804">
          <cell r="O62804" t="str">
            <v/>
          </cell>
        </row>
        <row r="62805">
          <cell r="O62805" t="str">
            <v/>
          </cell>
        </row>
        <row r="62806">
          <cell r="O62806" t="str">
            <v/>
          </cell>
        </row>
        <row r="62807">
          <cell r="O62807" t="str">
            <v/>
          </cell>
        </row>
        <row r="62808">
          <cell r="O62808" t="str">
            <v/>
          </cell>
        </row>
        <row r="62809">
          <cell r="O62809" t="str">
            <v/>
          </cell>
        </row>
        <row r="62810">
          <cell r="O62810" t="str">
            <v/>
          </cell>
        </row>
        <row r="62811">
          <cell r="O62811" t="str">
            <v/>
          </cell>
        </row>
        <row r="62812">
          <cell r="O62812" t="str">
            <v/>
          </cell>
        </row>
        <row r="62813">
          <cell r="O62813" t="str">
            <v/>
          </cell>
        </row>
        <row r="62814">
          <cell r="O62814" t="str">
            <v/>
          </cell>
        </row>
        <row r="62815">
          <cell r="O62815" t="str">
            <v/>
          </cell>
        </row>
        <row r="62816">
          <cell r="O62816" t="str">
            <v/>
          </cell>
        </row>
        <row r="62817">
          <cell r="O62817" t="str">
            <v/>
          </cell>
        </row>
        <row r="62818">
          <cell r="O62818" t="str">
            <v/>
          </cell>
        </row>
        <row r="62819">
          <cell r="O62819" t="str">
            <v/>
          </cell>
        </row>
        <row r="62820">
          <cell r="O62820" t="str">
            <v/>
          </cell>
        </row>
        <row r="62821">
          <cell r="O62821" t="str">
            <v/>
          </cell>
        </row>
        <row r="62822">
          <cell r="O62822" t="str">
            <v/>
          </cell>
        </row>
        <row r="62823">
          <cell r="O62823" t="str">
            <v/>
          </cell>
        </row>
        <row r="62824">
          <cell r="O62824" t="str">
            <v/>
          </cell>
        </row>
        <row r="62825">
          <cell r="O62825" t="str">
            <v/>
          </cell>
        </row>
        <row r="62826">
          <cell r="O62826" t="str">
            <v/>
          </cell>
        </row>
        <row r="62827">
          <cell r="O62827" t="str">
            <v/>
          </cell>
        </row>
        <row r="62828">
          <cell r="O62828" t="str">
            <v/>
          </cell>
        </row>
        <row r="62829">
          <cell r="O62829" t="str">
            <v/>
          </cell>
        </row>
        <row r="62830">
          <cell r="O62830" t="str">
            <v/>
          </cell>
        </row>
        <row r="62831">
          <cell r="O62831" t="str">
            <v/>
          </cell>
        </row>
        <row r="62832">
          <cell r="O62832" t="str">
            <v/>
          </cell>
        </row>
        <row r="62833">
          <cell r="O62833" t="str">
            <v/>
          </cell>
        </row>
        <row r="62834">
          <cell r="O62834" t="str">
            <v/>
          </cell>
        </row>
        <row r="62835">
          <cell r="O62835" t="str">
            <v/>
          </cell>
        </row>
        <row r="62836">
          <cell r="O62836" t="str">
            <v/>
          </cell>
        </row>
        <row r="62837">
          <cell r="O62837" t="str">
            <v/>
          </cell>
        </row>
        <row r="62838">
          <cell r="O62838" t="str">
            <v/>
          </cell>
        </row>
        <row r="62839">
          <cell r="O62839" t="str">
            <v/>
          </cell>
        </row>
        <row r="62840">
          <cell r="O62840" t="str">
            <v/>
          </cell>
        </row>
        <row r="62841">
          <cell r="O62841" t="str">
            <v/>
          </cell>
        </row>
        <row r="62842">
          <cell r="O62842" t="str">
            <v/>
          </cell>
        </row>
        <row r="62843">
          <cell r="O62843" t="str">
            <v/>
          </cell>
        </row>
        <row r="62844">
          <cell r="O62844" t="str">
            <v/>
          </cell>
        </row>
        <row r="62845">
          <cell r="O62845" t="str">
            <v/>
          </cell>
        </row>
        <row r="62846">
          <cell r="O62846" t="str">
            <v/>
          </cell>
        </row>
        <row r="62847">
          <cell r="O62847" t="str">
            <v/>
          </cell>
        </row>
        <row r="62848">
          <cell r="O62848" t="str">
            <v/>
          </cell>
        </row>
        <row r="62849">
          <cell r="O62849" t="str">
            <v/>
          </cell>
        </row>
        <row r="62850">
          <cell r="O62850" t="str">
            <v/>
          </cell>
        </row>
        <row r="62851">
          <cell r="O62851" t="str">
            <v/>
          </cell>
        </row>
        <row r="62852">
          <cell r="O62852" t="str">
            <v/>
          </cell>
        </row>
        <row r="62853">
          <cell r="O62853" t="str">
            <v/>
          </cell>
        </row>
        <row r="62854">
          <cell r="O62854" t="str">
            <v/>
          </cell>
        </row>
        <row r="62855">
          <cell r="O62855" t="str">
            <v/>
          </cell>
        </row>
        <row r="62856">
          <cell r="O62856" t="str">
            <v/>
          </cell>
        </row>
        <row r="62857">
          <cell r="O62857" t="str">
            <v/>
          </cell>
        </row>
        <row r="62858">
          <cell r="O62858" t="str">
            <v/>
          </cell>
        </row>
        <row r="62859">
          <cell r="O62859" t="str">
            <v/>
          </cell>
        </row>
        <row r="62860">
          <cell r="O62860" t="str">
            <v/>
          </cell>
        </row>
        <row r="62861">
          <cell r="O62861" t="str">
            <v/>
          </cell>
        </row>
        <row r="62862">
          <cell r="O62862" t="str">
            <v/>
          </cell>
        </row>
        <row r="62863">
          <cell r="O62863" t="str">
            <v/>
          </cell>
        </row>
        <row r="62864">
          <cell r="O62864" t="str">
            <v/>
          </cell>
        </row>
        <row r="62865">
          <cell r="O62865" t="str">
            <v/>
          </cell>
        </row>
        <row r="62866">
          <cell r="O62866" t="str">
            <v/>
          </cell>
        </row>
        <row r="62867">
          <cell r="O62867" t="str">
            <v/>
          </cell>
        </row>
        <row r="62868">
          <cell r="O62868" t="str">
            <v/>
          </cell>
        </row>
        <row r="62869">
          <cell r="O62869" t="str">
            <v/>
          </cell>
        </row>
        <row r="62870">
          <cell r="O62870" t="str">
            <v/>
          </cell>
        </row>
        <row r="62871">
          <cell r="O62871" t="str">
            <v/>
          </cell>
        </row>
        <row r="62872">
          <cell r="O62872" t="str">
            <v/>
          </cell>
        </row>
        <row r="62873">
          <cell r="O62873" t="str">
            <v/>
          </cell>
        </row>
        <row r="62874">
          <cell r="O62874" t="str">
            <v/>
          </cell>
        </row>
        <row r="62875">
          <cell r="O62875" t="str">
            <v/>
          </cell>
        </row>
        <row r="62876">
          <cell r="O62876" t="str">
            <v/>
          </cell>
        </row>
        <row r="62877">
          <cell r="O62877" t="str">
            <v/>
          </cell>
        </row>
        <row r="62878">
          <cell r="O62878" t="str">
            <v/>
          </cell>
        </row>
        <row r="62879">
          <cell r="O62879" t="str">
            <v/>
          </cell>
        </row>
        <row r="62880">
          <cell r="O62880" t="str">
            <v/>
          </cell>
        </row>
        <row r="62881">
          <cell r="O62881" t="str">
            <v/>
          </cell>
        </row>
        <row r="62882">
          <cell r="O62882" t="str">
            <v/>
          </cell>
        </row>
        <row r="62883">
          <cell r="O62883" t="str">
            <v/>
          </cell>
        </row>
        <row r="62884">
          <cell r="O62884" t="str">
            <v/>
          </cell>
        </row>
        <row r="62885">
          <cell r="O62885" t="str">
            <v/>
          </cell>
        </row>
        <row r="62886">
          <cell r="O62886" t="str">
            <v/>
          </cell>
        </row>
        <row r="62887">
          <cell r="O62887" t="str">
            <v/>
          </cell>
        </row>
        <row r="62888">
          <cell r="O62888" t="str">
            <v/>
          </cell>
        </row>
        <row r="62889">
          <cell r="O62889" t="str">
            <v/>
          </cell>
        </row>
        <row r="62890">
          <cell r="O62890" t="str">
            <v/>
          </cell>
        </row>
        <row r="62891">
          <cell r="O62891" t="str">
            <v/>
          </cell>
        </row>
        <row r="62892">
          <cell r="O62892" t="str">
            <v/>
          </cell>
        </row>
        <row r="62893">
          <cell r="O62893" t="str">
            <v/>
          </cell>
        </row>
        <row r="62894">
          <cell r="O62894" t="str">
            <v/>
          </cell>
        </row>
        <row r="62895">
          <cell r="O62895" t="str">
            <v/>
          </cell>
        </row>
        <row r="62896">
          <cell r="O62896" t="str">
            <v/>
          </cell>
        </row>
        <row r="62897">
          <cell r="O62897" t="str">
            <v/>
          </cell>
        </row>
        <row r="62898">
          <cell r="O62898" t="str">
            <v/>
          </cell>
        </row>
        <row r="62899">
          <cell r="O62899" t="str">
            <v/>
          </cell>
        </row>
        <row r="62900">
          <cell r="O62900" t="str">
            <v/>
          </cell>
        </row>
        <row r="62901">
          <cell r="O62901" t="str">
            <v/>
          </cell>
        </row>
        <row r="62902">
          <cell r="O62902" t="str">
            <v/>
          </cell>
        </row>
        <row r="62903">
          <cell r="O62903" t="str">
            <v/>
          </cell>
        </row>
        <row r="62904">
          <cell r="O62904" t="str">
            <v/>
          </cell>
        </row>
        <row r="62905">
          <cell r="O62905" t="str">
            <v/>
          </cell>
        </row>
        <row r="62906">
          <cell r="O62906" t="str">
            <v/>
          </cell>
        </row>
        <row r="62907">
          <cell r="O62907" t="str">
            <v/>
          </cell>
        </row>
        <row r="62908">
          <cell r="O62908" t="str">
            <v/>
          </cell>
        </row>
        <row r="62909">
          <cell r="O62909" t="str">
            <v/>
          </cell>
        </row>
        <row r="62910">
          <cell r="O62910" t="str">
            <v/>
          </cell>
        </row>
        <row r="62911">
          <cell r="O62911" t="str">
            <v/>
          </cell>
        </row>
        <row r="62912">
          <cell r="O62912" t="str">
            <v/>
          </cell>
        </row>
        <row r="62913">
          <cell r="O62913" t="str">
            <v/>
          </cell>
        </row>
        <row r="62914">
          <cell r="O62914" t="str">
            <v/>
          </cell>
        </row>
        <row r="62915">
          <cell r="O62915" t="str">
            <v/>
          </cell>
        </row>
        <row r="62916">
          <cell r="O62916" t="str">
            <v/>
          </cell>
        </row>
        <row r="62917">
          <cell r="O62917" t="str">
            <v/>
          </cell>
        </row>
        <row r="62918">
          <cell r="O62918" t="str">
            <v/>
          </cell>
        </row>
        <row r="62919">
          <cell r="O62919" t="str">
            <v/>
          </cell>
        </row>
        <row r="62920">
          <cell r="O62920" t="str">
            <v/>
          </cell>
        </row>
        <row r="62921">
          <cell r="O62921" t="str">
            <v/>
          </cell>
        </row>
        <row r="62922">
          <cell r="O62922" t="str">
            <v/>
          </cell>
        </row>
        <row r="62923">
          <cell r="O62923" t="str">
            <v/>
          </cell>
        </row>
        <row r="62924">
          <cell r="O62924" t="str">
            <v/>
          </cell>
        </row>
        <row r="62925">
          <cell r="O62925" t="str">
            <v/>
          </cell>
        </row>
        <row r="62926">
          <cell r="O62926" t="str">
            <v/>
          </cell>
        </row>
        <row r="62927">
          <cell r="O62927" t="str">
            <v/>
          </cell>
        </row>
        <row r="62928">
          <cell r="O62928" t="str">
            <v/>
          </cell>
        </row>
        <row r="62929">
          <cell r="O62929" t="str">
            <v/>
          </cell>
        </row>
        <row r="62930">
          <cell r="O62930" t="str">
            <v/>
          </cell>
        </row>
        <row r="62931">
          <cell r="O62931" t="str">
            <v/>
          </cell>
        </row>
        <row r="62932">
          <cell r="O62932" t="str">
            <v/>
          </cell>
        </row>
        <row r="62933">
          <cell r="O62933" t="str">
            <v/>
          </cell>
        </row>
        <row r="62934">
          <cell r="O62934" t="str">
            <v/>
          </cell>
        </row>
        <row r="62935">
          <cell r="O62935" t="str">
            <v/>
          </cell>
        </row>
        <row r="62936">
          <cell r="O62936" t="str">
            <v/>
          </cell>
        </row>
        <row r="62937">
          <cell r="O62937" t="str">
            <v/>
          </cell>
        </row>
        <row r="62938">
          <cell r="O62938" t="str">
            <v/>
          </cell>
        </row>
        <row r="62939">
          <cell r="O62939" t="str">
            <v/>
          </cell>
        </row>
        <row r="62940">
          <cell r="O62940" t="str">
            <v/>
          </cell>
        </row>
        <row r="62941">
          <cell r="O62941" t="str">
            <v/>
          </cell>
        </row>
        <row r="62942">
          <cell r="O62942" t="str">
            <v/>
          </cell>
        </row>
        <row r="62943">
          <cell r="O62943" t="str">
            <v/>
          </cell>
        </row>
        <row r="62944">
          <cell r="O62944" t="str">
            <v/>
          </cell>
        </row>
        <row r="62945">
          <cell r="O62945" t="str">
            <v/>
          </cell>
        </row>
        <row r="62946">
          <cell r="O62946" t="str">
            <v/>
          </cell>
        </row>
        <row r="62947">
          <cell r="O62947" t="str">
            <v/>
          </cell>
        </row>
        <row r="62948">
          <cell r="O62948" t="str">
            <v/>
          </cell>
        </row>
        <row r="62949">
          <cell r="O62949" t="str">
            <v/>
          </cell>
        </row>
        <row r="62950">
          <cell r="O62950" t="str">
            <v/>
          </cell>
        </row>
        <row r="62951">
          <cell r="O62951" t="str">
            <v/>
          </cell>
        </row>
        <row r="62952">
          <cell r="O62952" t="str">
            <v/>
          </cell>
        </row>
        <row r="62953">
          <cell r="O62953" t="str">
            <v/>
          </cell>
        </row>
        <row r="62954">
          <cell r="O62954" t="str">
            <v/>
          </cell>
        </row>
        <row r="62955">
          <cell r="O62955" t="str">
            <v/>
          </cell>
        </row>
        <row r="62956">
          <cell r="O62956" t="str">
            <v/>
          </cell>
        </row>
        <row r="62957">
          <cell r="O62957" t="str">
            <v/>
          </cell>
        </row>
        <row r="62958">
          <cell r="O62958" t="str">
            <v/>
          </cell>
        </row>
        <row r="62959">
          <cell r="O62959" t="str">
            <v/>
          </cell>
        </row>
        <row r="62960">
          <cell r="O62960" t="str">
            <v/>
          </cell>
        </row>
        <row r="62961">
          <cell r="O62961" t="str">
            <v/>
          </cell>
        </row>
        <row r="62962">
          <cell r="O62962" t="str">
            <v/>
          </cell>
        </row>
        <row r="62963">
          <cell r="O62963" t="str">
            <v/>
          </cell>
        </row>
        <row r="62964">
          <cell r="O62964" t="str">
            <v/>
          </cell>
        </row>
        <row r="62965">
          <cell r="O62965" t="str">
            <v/>
          </cell>
        </row>
        <row r="62966">
          <cell r="O62966" t="str">
            <v/>
          </cell>
        </row>
        <row r="62967">
          <cell r="O62967" t="str">
            <v/>
          </cell>
        </row>
        <row r="62968">
          <cell r="O62968" t="str">
            <v/>
          </cell>
        </row>
        <row r="62969">
          <cell r="O62969" t="str">
            <v/>
          </cell>
        </row>
        <row r="62970">
          <cell r="O62970" t="str">
            <v/>
          </cell>
        </row>
        <row r="62971">
          <cell r="O62971" t="str">
            <v/>
          </cell>
        </row>
        <row r="62972">
          <cell r="O62972" t="str">
            <v/>
          </cell>
        </row>
        <row r="62973">
          <cell r="O62973" t="str">
            <v/>
          </cell>
        </row>
        <row r="62974">
          <cell r="O62974" t="str">
            <v/>
          </cell>
        </row>
        <row r="62975">
          <cell r="O62975" t="str">
            <v/>
          </cell>
        </row>
        <row r="62976">
          <cell r="O62976" t="str">
            <v/>
          </cell>
        </row>
        <row r="62977">
          <cell r="O62977" t="str">
            <v/>
          </cell>
        </row>
        <row r="62978">
          <cell r="O62978" t="str">
            <v/>
          </cell>
        </row>
        <row r="62979">
          <cell r="O62979" t="str">
            <v/>
          </cell>
        </row>
        <row r="62980">
          <cell r="O62980" t="str">
            <v/>
          </cell>
        </row>
        <row r="62981">
          <cell r="O62981" t="str">
            <v/>
          </cell>
        </row>
        <row r="62982">
          <cell r="O62982" t="str">
            <v/>
          </cell>
        </row>
        <row r="62983">
          <cell r="O62983" t="str">
            <v/>
          </cell>
        </row>
        <row r="62984">
          <cell r="O62984" t="str">
            <v/>
          </cell>
        </row>
        <row r="62985">
          <cell r="O62985" t="str">
            <v/>
          </cell>
        </row>
        <row r="62986">
          <cell r="O62986" t="str">
            <v/>
          </cell>
        </row>
        <row r="62987">
          <cell r="O62987" t="str">
            <v/>
          </cell>
        </row>
        <row r="62988">
          <cell r="O62988" t="str">
            <v/>
          </cell>
        </row>
        <row r="62989">
          <cell r="O62989" t="str">
            <v/>
          </cell>
        </row>
        <row r="62990">
          <cell r="O62990" t="str">
            <v/>
          </cell>
        </row>
        <row r="62991">
          <cell r="O62991" t="str">
            <v/>
          </cell>
        </row>
        <row r="62992">
          <cell r="O62992" t="str">
            <v/>
          </cell>
        </row>
        <row r="62993">
          <cell r="O62993" t="str">
            <v/>
          </cell>
        </row>
        <row r="62994">
          <cell r="O62994" t="str">
            <v/>
          </cell>
        </row>
        <row r="62995">
          <cell r="O62995" t="str">
            <v/>
          </cell>
        </row>
        <row r="62996">
          <cell r="O62996" t="str">
            <v/>
          </cell>
        </row>
        <row r="62997">
          <cell r="O62997" t="str">
            <v/>
          </cell>
        </row>
        <row r="62998">
          <cell r="O62998" t="str">
            <v/>
          </cell>
        </row>
        <row r="62999">
          <cell r="O62999" t="str">
            <v/>
          </cell>
        </row>
        <row r="63000">
          <cell r="O63000" t="str">
            <v/>
          </cell>
        </row>
        <row r="63001">
          <cell r="O63001" t="str">
            <v/>
          </cell>
        </row>
        <row r="63002">
          <cell r="O63002" t="str">
            <v/>
          </cell>
        </row>
        <row r="63003">
          <cell r="O63003" t="str">
            <v/>
          </cell>
        </row>
        <row r="63004">
          <cell r="O63004" t="str">
            <v/>
          </cell>
        </row>
        <row r="63005">
          <cell r="O63005" t="str">
            <v/>
          </cell>
        </row>
        <row r="63006">
          <cell r="O63006" t="str">
            <v/>
          </cell>
        </row>
        <row r="63007">
          <cell r="O63007" t="str">
            <v/>
          </cell>
        </row>
        <row r="63008">
          <cell r="O63008" t="str">
            <v/>
          </cell>
        </row>
        <row r="63009">
          <cell r="O63009" t="str">
            <v/>
          </cell>
        </row>
        <row r="63010">
          <cell r="O63010" t="str">
            <v/>
          </cell>
        </row>
        <row r="63011">
          <cell r="O63011" t="str">
            <v/>
          </cell>
        </row>
        <row r="63012">
          <cell r="O63012" t="str">
            <v/>
          </cell>
        </row>
        <row r="63013">
          <cell r="O63013" t="str">
            <v/>
          </cell>
        </row>
        <row r="63014">
          <cell r="O63014" t="str">
            <v/>
          </cell>
        </row>
        <row r="63015">
          <cell r="O63015" t="str">
            <v/>
          </cell>
        </row>
        <row r="63016">
          <cell r="O63016" t="str">
            <v/>
          </cell>
        </row>
        <row r="63017">
          <cell r="O63017" t="str">
            <v/>
          </cell>
        </row>
        <row r="63018">
          <cell r="O63018" t="str">
            <v/>
          </cell>
        </row>
        <row r="63019">
          <cell r="O63019" t="str">
            <v/>
          </cell>
        </row>
        <row r="63020">
          <cell r="O63020" t="str">
            <v/>
          </cell>
        </row>
        <row r="63021">
          <cell r="O63021" t="str">
            <v/>
          </cell>
        </row>
        <row r="63022">
          <cell r="O63022" t="str">
            <v/>
          </cell>
        </row>
        <row r="63023">
          <cell r="O63023" t="str">
            <v/>
          </cell>
        </row>
        <row r="63024">
          <cell r="O63024" t="str">
            <v/>
          </cell>
        </row>
        <row r="63025">
          <cell r="O63025" t="str">
            <v/>
          </cell>
        </row>
        <row r="63026">
          <cell r="O63026" t="str">
            <v/>
          </cell>
        </row>
        <row r="63027">
          <cell r="O63027" t="str">
            <v/>
          </cell>
        </row>
        <row r="63028">
          <cell r="O63028" t="str">
            <v/>
          </cell>
        </row>
        <row r="63029">
          <cell r="O63029" t="str">
            <v/>
          </cell>
        </row>
        <row r="63030">
          <cell r="O63030" t="str">
            <v/>
          </cell>
        </row>
        <row r="63031">
          <cell r="O63031" t="str">
            <v/>
          </cell>
        </row>
        <row r="63032">
          <cell r="O63032" t="str">
            <v/>
          </cell>
        </row>
        <row r="63033">
          <cell r="O63033" t="str">
            <v/>
          </cell>
        </row>
        <row r="63034">
          <cell r="O63034" t="str">
            <v/>
          </cell>
        </row>
        <row r="63035">
          <cell r="O63035" t="str">
            <v/>
          </cell>
        </row>
        <row r="63036">
          <cell r="O63036" t="str">
            <v/>
          </cell>
        </row>
        <row r="63037">
          <cell r="O63037" t="str">
            <v/>
          </cell>
        </row>
        <row r="63038">
          <cell r="O63038" t="str">
            <v/>
          </cell>
        </row>
        <row r="63039">
          <cell r="O63039" t="str">
            <v/>
          </cell>
        </row>
        <row r="63040">
          <cell r="O63040" t="str">
            <v/>
          </cell>
        </row>
        <row r="63041">
          <cell r="O63041" t="str">
            <v/>
          </cell>
        </row>
        <row r="63042">
          <cell r="O63042" t="str">
            <v/>
          </cell>
        </row>
        <row r="63043">
          <cell r="O63043" t="str">
            <v/>
          </cell>
        </row>
        <row r="63044">
          <cell r="O63044" t="str">
            <v/>
          </cell>
        </row>
        <row r="63045">
          <cell r="O63045" t="str">
            <v/>
          </cell>
        </row>
        <row r="63046">
          <cell r="O63046" t="str">
            <v/>
          </cell>
        </row>
        <row r="63047">
          <cell r="O63047" t="str">
            <v/>
          </cell>
        </row>
        <row r="63048">
          <cell r="O63048" t="str">
            <v/>
          </cell>
        </row>
        <row r="63049">
          <cell r="O63049" t="str">
            <v/>
          </cell>
        </row>
        <row r="63050">
          <cell r="O63050" t="str">
            <v/>
          </cell>
        </row>
        <row r="63051">
          <cell r="O63051" t="str">
            <v/>
          </cell>
        </row>
        <row r="63052">
          <cell r="O63052" t="str">
            <v/>
          </cell>
        </row>
        <row r="63053">
          <cell r="O63053" t="str">
            <v/>
          </cell>
        </row>
        <row r="63054">
          <cell r="O63054" t="str">
            <v/>
          </cell>
        </row>
        <row r="63055">
          <cell r="O63055" t="str">
            <v/>
          </cell>
        </row>
        <row r="63056">
          <cell r="O63056" t="str">
            <v/>
          </cell>
        </row>
        <row r="63057">
          <cell r="O63057" t="str">
            <v/>
          </cell>
        </row>
        <row r="63058">
          <cell r="O63058" t="str">
            <v/>
          </cell>
        </row>
        <row r="63059">
          <cell r="O63059" t="str">
            <v/>
          </cell>
        </row>
        <row r="63060">
          <cell r="O63060" t="str">
            <v/>
          </cell>
        </row>
        <row r="63061">
          <cell r="O63061" t="str">
            <v/>
          </cell>
        </row>
        <row r="63062">
          <cell r="O63062" t="str">
            <v/>
          </cell>
        </row>
        <row r="63063">
          <cell r="O63063" t="str">
            <v/>
          </cell>
        </row>
        <row r="63064">
          <cell r="O63064" t="str">
            <v/>
          </cell>
        </row>
        <row r="63065">
          <cell r="O63065" t="str">
            <v/>
          </cell>
        </row>
        <row r="63066">
          <cell r="O63066" t="str">
            <v/>
          </cell>
        </row>
        <row r="63067">
          <cell r="O63067" t="str">
            <v/>
          </cell>
        </row>
        <row r="63068">
          <cell r="O63068" t="str">
            <v/>
          </cell>
        </row>
        <row r="63069">
          <cell r="O63069" t="str">
            <v/>
          </cell>
        </row>
        <row r="63070">
          <cell r="O63070" t="str">
            <v/>
          </cell>
        </row>
        <row r="63071">
          <cell r="O63071" t="str">
            <v/>
          </cell>
        </row>
        <row r="63072">
          <cell r="O63072" t="str">
            <v/>
          </cell>
        </row>
        <row r="63073">
          <cell r="O63073" t="str">
            <v/>
          </cell>
        </row>
        <row r="63074">
          <cell r="O63074" t="str">
            <v/>
          </cell>
        </row>
        <row r="63075">
          <cell r="O63075" t="str">
            <v/>
          </cell>
        </row>
        <row r="63076">
          <cell r="O63076" t="str">
            <v/>
          </cell>
        </row>
        <row r="63077">
          <cell r="O63077" t="str">
            <v/>
          </cell>
        </row>
        <row r="63078">
          <cell r="O63078" t="str">
            <v/>
          </cell>
        </row>
        <row r="63079">
          <cell r="O63079" t="str">
            <v/>
          </cell>
        </row>
        <row r="63080">
          <cell r="O63080" t="str">
            <v/>
          </cell>
        </row>
        <row r="63081">
          <cell r="O63081" t="str">
            <v/>
          </cell>
        </row>
        <row r="63082">
          <cell r="O63082" t="str">
            <v/>
          </cell>
        </row>
        <row r="63083">
          <cell r="O63083" t="str">
            <v/>
          </cell>
        </row>
        <row r="63084">
          <cell r="O63084" t="str">
            <v/>
          </cell>
        </row>
        <row r="63085">
          <cell r="O63085" t="str">
            <v/>
          </cell>
        </row>
        <row r="63086">
          <cell r="O63086" t="str">
            <v/>
          </cell>
        </row>
        <row r="63087">
          <cell r="O63087" t="str">
            <v/>
          </cell>
        </row>
        <row r="63088">
          <cell r="O63088" t="str">
            <v/>
          </cell>
        </row>
        <row r="63089">
          <cell r="O63089" t="str">
            <v/>
          </cell>
        </row>
        <row r="63090">
          <cell r="O63090" t="str">
            <v/>
          </cell>
        </row>
        <row r="63091">
          <cell r="O63091" t="str">
            <v/>
          </cell>
        </row>
        <row r="63092">
          <cell r="O63092" t="str">
            <v/>
          </cell>
        </row>
        <row r="63093">
          <cell r="O63093" t="str">
            <v/>
          </cell>
        </row>
        <row r="63094">
          <cell r="O63094" t="str">
            <v/>
          </cell>
        </row>
        <row r="63095">
          <cell r="O63095" t="str">
            <v/>
          </cell>
        </row>
        <row r="63096">
          <cell r="O63096" t="str">
            <v/>
          </cell>
        </row>
        <row r="63097">
          <cell r="O63097" t="str">
            <v/>
          </cell>
        </row>
        <row r="63098">
          <cell r="O63098" t="str">
            <v/>
          </cell>
        </row>
        <row r="63099">
          <cell r="O63099" t="str">
            <v/>
          </cell>
        </row>
        <row r="63100">
          <cell r="O63100" t="str">
            <v/>
          </cell>
        </row>
        <row r="63101">
          <cell r="O63101" t="str">
            <v/>
          </cell>
        </row>
        <row r="63102">
          <cell r="O63102" t="str">
            <v/>
          </cell>
        </row>
        <row r="63103">
          <cell r="O63103" t="str">
            <v/>
          </cell>
        </row>
        <row r="63104">
          <cell r="O63104" t="str">
            <v/>
          </cell>
        </row>
        <row r="63105">
          <cell r="O63105" t="str">
            <v/>
          </cell>
        </row>
        <row r="63106">
          <cell r="O63106" t="str">
            <v/>
          </cell>
        </row>
        <row r="63107">
          <cell r="O63107" t="str">
            <v/>
          </cell>
        </row>
        <row r="63108">
          <cell r="O63108" t="str">
            <v/>
          </cell>
        </row>
        <row r="63109">
          <cell r="O63109" t="str">
            <v/>
          </cell>
        </row>
        <row r="63110">
          <cell r="O63110" t="str">
            <v/>
          </cell>
        </row>
        <row r="63111">
          <cell r="O63111" t="str">
            <v/>
          </cell>
        </row>
        <row r="63112">
          <cell r="O63112" t="str">
            <v/>
          </cell>
        </row>
        <row r="63113">
          <cell r="O63113" t="str">
            <v/>
          </cell>
        </row>
        <row r="63114">
          <cell r="O63114" t="str">
            <v/>
          </cell>
        </row>
        <row r="63115">
          <cell r="O63115" t="str">
            <v/>
          </cell>
        </row>
        <row r="63116">
          <cell r="O63116" t="str">
            <v/>
          </cell>
        </row>
        <row r="63117">
          <cell r="O63117" t="str">
            <v/>
          </cell>
        </row>
        <row r="63118">
          <cell r="O63118" t="str">
            <v/>
          </cell>
        </row>
        <row r="63119">
          <cell r="O63119" t="str">
            <v/>
          </cell>
        </row>
        <row r="63120">
          <cell r="O63120" t="str">
            <v/>
          </cell>
        </row>
        <row r="63121">
          <cell r="O63121" t="str">
            <v/>
          </cell>
        </row>
        <row r="63122">
          <cell r="O63122" t="str">
            <v/>
          </cell>
        </row>
        <row r="63123">
          <cell r="O63123" t="str">
            <v/>
          </cell>
        </row>
        <row r="63124">
          <cell r="O63124" t="str">
            <v/>
          </cell>
        </row>
        <row r="63125">
          <cell r="O63125" t="str">
            <v/>
          </cell>
        </row>
        <row r="63126">
          <cell r="O63126" t="str">
            <v/>
          </cell>
        </row>
        <row r="63127">
          <cell r="O63127" t="str">
            <v/>
          </cell>
        </row>
        <row r="63128">
          <cell r="O63128" t="str">
            <v/>
          </cell>
        </row>
        <row r="63129">
          <cell r="O63129" t="str">
            <v/>
          </cell>
        </row>
        <row r="63130">
          <cell r="O63130" t="str">
            <v/>
          </cell>
        </row>
        <row r="63131">
          <cell r="O63131" t="str">
            <v/>
          </cell>
        </row>
        <row r="63132">
          <cell r="O63132" t="str">
            <v/>
          </cell>
        </row>
        <row r="63133">
          <cell r="O63133" t="str">
            <v/>
          </cell>
        </row>
        <row r="63134">
          <cell r="O63134" t="str">
            <v/>
          </cell>
        </row>
        <row r="63135">
          <cell r="O63135" t="str">
            <v/>
          </cell>
        </row>
        <row r="63136">
          <cell r="O63136" t="str">
            <v/>
          </cell>
        </row>
        <row r="63137">
          <cell r="O63137" t="str">
            <v/>
          </cell>
        </row>
        <row r="63138">
          <cell r="O63138" t="str">
            <v/>
          </cell>
        </row>
        <row r="63139">
          <cell r="O63139" t="str">
            <v/>
          </cell>
        </row>
        <row r="63140">
          <cell r="O63140" t="str">
            <v/>
          </cell>
        </row>
        <row r="63141">
          <cell r="O63141" t="str">
            <v/>
          </cell>
        </row>
        <row r="63142">
          <cell r="O63142" t="str">
            <v/>
          </cell>
        </row>
        <row r="63143">
          <cell r="O63143" t="str">
            <v/>
          </cell>
        </row>
        <row r="63144">
          <cell r="O63144" t="str">
            <v/>
          </cell>
        </row>
        <row r="63145">
          <cell r="O63145" t="str">
            <v/>
          </cell>
        </row>
        <row r="63146">
          <cell r="O63146" t="str">
            <v/>
          </cell>
        </row>
        <row r="63147">
          <cell r="O63147" t="str">
            <v/>
          </cell>
        </row>
        <row r="63148">
          <cell r="O63148" t="str">
            <v/>
          </cell>
        </row>
        <row r="63149">
          <cell r="O63149" t="str">
            <v/>
          </cell>
        </row>
        <row r="63150">
          <cell r="O63150" t="str">
            <v/>
          </cell>
        </row>
        <row r="63151">
          <cell r="O63151" t="str">
            <v/>
          </cell>
        </row>
        <row r="63152">
          <cell r="O63152" t="str">
            <v/>
          </cell>
        </row>
        <row r="63153">
          <cell r="O63153" t="str">
            <v/>
          </cell>
        </row>
        <row r="63154">
          <cell r="O63154" t="str">
            <v/>
          </cell>
        </row>
        <row r="63155">
          <cell r="O63155" t="str">
            <v/>
          </cell>
        </row>
        <row r="63156">
          <cell r="O63156" t="str">
            <v/>
          </cell>
        </row>
        <row r="63157">
          <cell r="O63157" t="str">
            <v/>
          </cell>
        </row>
        <row r="63158">
          <cell r="O63158" t="str">
            <v/>
          </cell>
        </row>
        <row r="63159">
          <cell r="O63159" t="str">
            <v/>
          </cell>
        </row>
        <row r="63160">
          <cell r="O63160" t="str">
            <v/>
          </cell>
        </row>
        <row r="63161">
          <cell r="O63161" t="str">
            <v/>
          </cell>
        </row>
        <row r="63162">
          <cell r="O63162" t="str">
            <v/>
          </cell>
        </row>
        <row r="63163">
          <cell r="O63163" t="str">
            <v/>
          </cell>
        </row>
        <row r="63164">
          <cell r="O63164" t="str">
            <v/>
          </cell>
        </row>
        <row r="63165">
          <cell r="O63165" t="str">
            <v/>
          </cell>
        </row>
        <row r="63166">
          <cell r="O63166" t="str">
            <v/>
          </cell>
        </row>
        <row r="63167">
          <cell r="O63167" t="str">
            <v/>
          </cell>
        </row>
        <row r="63168">
          <cell r="O63168" t="str">
            <v/>
          </cell>
        </row>
        <row r="63169">
          <cell r="O63169" t="str">
            <v/>
          </cell>
        </row>
        <row r="63170">
          <cell r="O63170" t="str">
            <v/>
          </cell>
        </row>
        <row r="63171">
          <cell r="O63171" t="str">
            <v/>
          </cell>
        </row>
        <row r="63172">
          <cell r="O63172" t="str">
            <v/>
          </cell>
        </row>
        <row r="63173">
          <cell r="O63173" t="str">
            <v/>
          </cell>
        </row>
        <row r="63174">
          <cell r="O63174" t="str">
            <v/>
          </cell>
        </row>
        <row r="63175">
          <cell r="O63175" t="str">
            <v/>
          </cell>
        </row>
        <row r="63176">
          <cell r="O63176" t="str">
            <v/>
          </cell>
        </row>
        <row r="63177">
          <cell r="O63177" t="str">
            <v/>
          </cell>
        </row>
        <row r="63178">
          <cell r="O63178" t="str">
            <v/>
          </cell>
        </row>
        <row r="63179">
          <cell r="O63179" t="str">
            <v/>
          </cell>
        </row>
        <row r="63180">
          <cell r="O63180" t="str">
            <v/>
          </cell>
        </row>
        <row r="63181">
          <cell r="O63181" t="str">
            <v/>
          </cell>
        </row>
        <row r="63182">
          <cell r="O63182" t="str">
            <v/>
          </cell>
        </row>
        <row r="63183">
          <cell r="O63183" t="str">
            <v/>
          </cell>
        </row>
        <row r="63184">
          <cell r="O63184" t="str">
            <v/>
          </cell>
        </row>
        <row r="63185">
          <cell r="O63185" t="str">
            <v/>
          </cell>
        </row>
        <row r="63186">
          <cell r="O63186" t="str">
            <v/>
          </cell>
        </row>
        <row r="63187">
          <cell r="O63187" t="str">
            <v/>
          </cell>
        </row>
        <row r="63188">
          <cell r="O63188" t="str">
            <v/>
          </cell>
        </row>
        <row r="63189">
          <cell r="O63189" t="str">
            <v/>
          </cell>
        </row>
        <row r="63190">
          <cell r="O63190" t="str">
            <v/>
          </cell>
        </row>
        <row r="63191">
          <cell r="O63191" t="str">
            <v/>
          </cell>
        </row>
        <row r="63192">
          <cell r="O63192" t="str">
            <v/>
          </cell>
        </row>
        <row r="63193">
          <cell r="O63193" t="str">
            <v/>
          </cell>
        </row>
        <row r="63194">
          <cell r="O63194" t="str">
            <v/>
          </cell>
        </row>
        <row r="63195">
          <cell r="O63195" t="str">
            <v/>
          </cell>
        </row>
        <row r="63196">
          <cell r="O63196" t="str">
            <v/>
          </cell>
        </row>
        <row r="63197">
          <cell r="O63197" t="str">
            <v/>
          </cell>
        </row>
        <row r="63198">
          <cell r="O63198" t="str">
            <v/>
          </cell>
        </row>
        <row r="63199">
          <cell r="O63199" t="str">
            <v/>
          </cell>
        </row>
        <row r="63200">
          <cell r="O63200" t="str">
            <v/>
          </cell>
        </row>
        <row r="63201">
          <cell r="O63201" t="str">
            <v/>
          </cell>
        </row>
        <row r="63202">
          <cell r="O63202" t="str">
            <v/>
          </cell>
        </row>
        <row r="63203">
          <cell r="O63203" t="str">
            <v/>
          </cell>
        </row>
        <row r="63204">
          <cell r="O63204" t="str">
            <v/>
          </cell>
        </row>
        <row r="63205">
          <cell r="O63205" t="str">
            <v/>
          </cell>
        </row>
        <row r="63206">
          <cell r="O63206" t="str">
            <v/>
          </cell>
        </row>
        <row r="63207">
          <cell r="O63207" t="str">
            <v/>
          </cell>
        </row>
        <row r="63208">
          <cell r="O63208" t="str">
            <v/>
          </cell>
        </row>
        <row r="63209">
          <cell r="O63209" t="str">
            <v/>
          </cell>
        </row>
        <row r="63210">
          <cell r="O63210" t="str">
            <v/>
          </cell>
        </row>
        <row r="63211">
          <cell r="O63211" t="str">
            <v/>
          </cell>
        </row>
        <row r="63212">
          <cell r="O63212" t="str">
            <v/>
          </cell>
        </row>
        <row r="63213">
          <cell r="O63213" t="str">
            <v/>
          </cell>
        </row>
        <row r="63214">
          <cell r="O63214" t="str">
            <v/>
          </cell>
        </row>
        <row r="63215">
          <cell r="O63215" t="str">
            <v/>
          </cell>
        </row>
        <row r="63216">
          <cell r="O63216" t="str">
            <v/>
          </cell>
        </row>
        <row r="63217">
          <cell r="O63217" t="str">
            <v/>
          </cell>
        </row>
        <row r="63218">
          <cell r="O63218" t="str">
            <v/>
          </cell>
        </row>
        <row r="63219">
          <cell r="O63219" t="str">
            <v/>
          </cell>
        </row>
        <row r="63220">
          <cell r="O63220" t="str">
            <v/>
          </cell>
        </row>
        <row r="63221">
          <cell r="O63221" t="str">
            <v/>
          </cell>
        </row>
        <row r="63222">
          <cell r="O63222" t="str">
            <v/>
          </cell>
        </row>
        <row r="63223">
          <cell r="O63223" t="str">
            <v/>
          </cell>
        </row>
        <row r="63224">
          <cell r="O63224" t="str">
            <v/>
          </cell>
        </row>
        <row r="63225">
          <cell r="O63225" t="str">
            <v/>
          </cell>
        </row>
        <row r="63226">
          <cell r="O63226" t="str">
            <v/>
          </cell>
        </row>
        <row r="63227">
          <cell r="O63227" t="str">
            <v/>
          </cell>
        </row>
        <row r="63228">
          <cell r="O63228" t="str">
            <v/>
          </cell>
        </row>
        <row r="63229">
          <cell r="O63229" t="str">
            <v/>
          </cell>
        </row>
        <row r="63230">
          <cell r="O63230" t="str">
            <v/>
          </cell>
        </row>
        <row r="63231">
          <cell r="O63231" t="str">
            <v/>
          </cell>
        </row>
        <row r="63232">
          <cell r="O63232" t="str">
            <v/>
          </cell>
        </row>
        <row r="63233">
          <cell r="O63233" t="str">
            <v/>
          </cell>
        </row>
        <row r="63234">
          <cell r="O63234" t="str">
            <v/>
          </cell>
        </row>
        <row r="63235">
          <cell r="O63235" t="str">
            <v/>
          </cell>
        </row>
        <row r="63236">
          <cell r="O63236" t="str">
            <v/>
          </cell>
        </row>
        <row r="63237">
          <cell r="O63237" t="str">
            <v/>
          </cell>
        </row>
        <row r="63238">
          <cell r="O63238" t="str">
            <v/>
          </cell>
        </row>
        <row r="63239">
          <cell r="O63239" t="str">
            <v/>
          </cell>
        </row>
        <row r="63240">
          <cell r="O63240" t="str">
            <v/>
          </cell>
        </row>
        <row r="63241">
          <cell r="O63241" t="str">
            <v/>
          </cell>
        </row>
        <row r="63242">
          <cell r="O63242" t="str">
            <v/>
          </cell>
        </row>
        <row r="63243">
          <cell r="O63243" t="str">
            <v/>
          </cell>
        </row>
        <row r="63244">
          <cell r="O63244" t="str">
            <v/>
          </cell>
        </row>
        <row r="63245">
          <cell r="O63245" t="str">
            <v/>
          </cell>
        </row>
        <row r="63246">
          <cell r="O63246" t="str">
            <v/>
          </cell>
        </row>
        <row r="63247">
          <cell r="O63247" t="str">
            <v/>
          </cell>
        </row>
        <row r="63248">
          <cell r="O63248" t="str">
            <v/>
          </cell>
        </row>
        <row r="63249">
          <cell r="O63249" t="str">
            <v/>
          </cell>
        </row>
        <row r="63250">
          <cell r="O63250" t="str">
            <v/>
          </cell>
        </row>
        <row r="63251">
          <cell r="O63251" t="str">
            <v/>
          </cell>
        </row>
        <row r="63252">
          <cell r="O63252" t="str">
            <v/>
          </cell>
        </row>
        <row r="63253">
          <cell r="O63253" t="str">
            <v/>
          </cell>
        </row>
        <row r="63254">
          <cell r="O63254" t="str">
            <v/>
          </cell>
        </row>
        <row r="63255">
          <cell r="O63255" t="str">
            <v/>
          </cell>
        </row>
        <row r="63256">
          <cell r="O63256" t="str">
            <v/>
          </cell>
        </row>
        <row r="63257">
          <cell r="O63257" t="str">
            <v/>
          </cell>
        </row>
        <row r="63258">
          <cell r="O63258" t="str">
            <v/>
          </cell>
        </row>
        <row r="63259">
          <cell r="O63259" t="str">
            <v/>
          </cell>
        </row>
        <row r="63260">
          <cell r="O63260" t="str">
            <v/>
          </cell>
        </row>
        <row r="63261">
          <cell r="O63261" t="str">
            <v/>
          </cell>
        </row>
        <row r="63262">
          <cell r="O63262" t="str">
            <v/>
          </cell>
        </row>
        <row r="63263">
          <cell r="O63263" t="str">
            <v/>
          </cell>
        </row>
        <row r="63264">
          <cell r="O63264" t="str">
            <v/>
          </cell>
        </row>
        <row r="63265">
          <cell r="O63265" t="str">
            <v/>
          </cell>
        </row>
        <row r="63266">
          <cell r="O63266" t="str">
            <v/>
          </cell>
        </row>
        <row r="63267">
          <cell r="O63267" t="str">
            <v/>
          </cell>
        </row>
        <row r="63268">
          <cell r="O63268" t="str">
            <v/>
          </cell>
        </row>
        <row r="63269">
          <cell r="O63269" t="str">
            <v/>
          </cell>
        </row>
        <row r="63270">
          <cell r="O63270" t="str">
            <v/>
          </cell>
        </row>
        <row r="63271">
          <cell r="O63271" t="str">
            <v/>
          </cell>
        </row>
        <row r="63272">
          <cell r="O63272" t="str">
            <v/>
          </cell>
        </row>
        <row r="63273">
          <cell r="O63273" t="str">
            <v/>
          </cell>
        </row>
        <row r="63274">
          <cell r="O63274" t="str">
            <v/>
          </cell>
        </row>
        <row r="63275">
          <cell r="O63275" t="str">
            <v/>
          </cell>
        </row>
        <row r="63276">
          <cell r="O63276" t="str">
            <v/>
          </cell>
        </row>
        <row r="63277">
          <cell r="O63277" t="str">
            <v/>
          </cell>
        </row>
        <row r="63278">
          <cell r="O63278" t="str">
            <v/>
          </cell>
        </row>
        <row r="63279">
          <cell r="O63279" t="str">
            <v/>
          </cell>
        </row>
        <row r="63280">
          <cell r="O63280" t="str">
            <v/>
          </cell>
        </row>
        <row r="63281">
          <cell r="O63281" t="str">
            <v/>
          </cell>
        </row>
        <row r="63282">
          <cell r="O63282" t="str">
            <v/>
          </cell>
        </row>
        <row r="63283">
          <cell r="O63283" t="str">
            <v/>
          </cell>
        </row>
        <row r="63284">
          <cell r="O63284" t="str">
            <v/>
          </cell>
        </row>
        <row r="63285">
          <cell r="O63285" t="str">
            <v/>
          </cell>
        </row>
        <row r="63286">
          <cell r="O63286" t="str">
            <v/>
          </cell>
        </row>
        <row r="63287">
          <cell r="O63287" t="str">
            <v/>
          </cell>
        </row>
        <row r="63288">
          <cell r="O63288" t="str">
            <v/>
          </cell>
        </row>
        <row r="63289">
          <cell r="O63289" t="str">
            <v/>
          </cell>
        </row>
        <row r="63290">
          <cell r="O63290" t="str">
            <v/>
          </cell>
        </row>
        <row r="63291">
          <cell r="O63291" t="str">
            <v/>
          </cell>
        </row>
        <row r="63292">
          <cell r="O63292" t="str">
            <v/>
          </cell>
        </row>
        <row r="63293">
          <cell r="O63293" t="str">
            <v/>
          </cell>
        </row>
        <row r="63294">
          <cell r="O63294" t="str">
            <v/>
          </cell>
        </row>
        <row r="63295">
          <cell r="O63295" t="str">
            <v/>
          </cell>
        </row>
        <row r="63296">
          <cell r="O63296" t="str">
            <v/>
          </cell>
        </row>
        <row r="63297">
          <cell r="O63297" t="str">
            <v/>
          </cell>
        </row>
        <row r="63298">
          <cell r="O63298" t="str">
            <v/>
          </cell>
        </row>
        <row r="63299">
          <cell r="O63299" t="str">
            <v/>
          </cell>
        </row>
        <row r="63300">
          <cell r="O63300" t="str">
            <v/>
          </cell>
        </row>
        <row r="63301">
          <cell r="O63301" t="str">
            <v/>
          </cell>
        </row>
        <row r="63302">
          <cell r="O63302" t="str">
            <v/>
          </cell>
        </row>
        <row r="63303">
          <cell r="O63303" t="str">
            <v/>
          </cell>
        </row>
        <row r="63304">
          <cell r="O63304" t="str">
            <v/>
          </cell>
        </row>
        <row r="63305">
          <cell r="O63305" t="str">
            <v/>
          </cell>
        </row>
        <row r="63306">
          <cell r="O63306" t="str">
            <v/>
          </cell>
        </row>
        <row r="63307">
          <cell r="O63307" t="str">
            <v/>
          </cell>
        </row>
        <row r="63308">
          <cell r="O63308" t="str">
            <v/>
          </cell>
        </row>
        <row r="63309">
          <cell r="O63309" t="str">
            <v/>
          </cell>
        </row>
        <row r="63310">
          <cell r="O63310" t="str">
            <v/>
          </cell>
        </row>
        <row r="63311">
          <cell r="O63311" t="str">
            <v/>
          </cell>
        </row>
        <row r="63312">
          <cell r="O63312" t="str">
            <v/>
          </cell>
        </row>
        <row r="63313">
          <cell r="O63313" t="str">
            <v/>
          </cell>
        </row>
        <row r="63314">
          <cell r="O63314" t="str">
            <v/>
          </cell>
        </row>
        <row r="63315">
          <cell r="O63315" t="str">
            <v/>
          </cell>
        </row>
        <row r="63316">
          <cell r="O63316" t="str">
            <v/>
          </cell>
        </row>
        <row r="63317">
          <cell r="O63317" t="str">
            <v/>
          </cell>
        </row>
        <row r="63318">
          <cell r="O63318" t="str">
            <v/>
          </cell>
        </row>
        <row r="63319">
          <cell r="O63319" t="str">
            <v/>
          </cell>
        </row>
        <row r="63320">
          <cell r="O63320" t="str">
            <v/>
          </cell>
        </row>
        <row r="63321">
          <cell r="O63321" t="str">
            <v/>
          </cell>
        </row>
        <row r="63322">
          <cell r="O63322" t="str">
            <v/>
          </cell>
        </row>
        <row r="63323">
          <cell r="O63323" t="str">
            <v/>
          </cell>
        </row>
        <row r="63324">
          <cell r="O63324" t="str">
            <v/>
          </cell>
        </row>
        <row r="63325">
          <cell r="O63325" t="str">
            <v/>
          </cell>
        </row>
        <row r="63326">
          <cell r="O63326" t="str">
            <v/>
          </cell>
        </row>
        <row r="63327">
          <cell r="O63327" t="str">
            <v/>
          </cell>
        </row>
        <row r="63328">
          <cell r="O63328" t="str">
            <v/>
          </cell>
        </row>
        <row r="63329">
          <cell r="O63329" t="str">
            <v/>
          </cell>
        </row>
        <row r="63330">
          <cell r="O63330" t="str">
            <v/>
          </cell>
        </row>
        <row r="63331">
          <cell r="O63331" t="str">
            <v/>
          </cell>
        </row>
        <row r="63332">
          <cell r="O63332" t="str">
            <v/>
          </cell>
        </row>
        <row r="63333">
          <cell r="O63333" t="str">
            <v/>
          </cell>
        </row>
        <row r="63334">
          <cell r="O63334" t="str">
            <v/>
          </cell>
        </row>
        <row r="63335">
          <cell r="O63335" t="str">
            <v/>
          </cell>
        </row>
        <row r="63336">
          <cell r="O63336" t="str">
            <v/>
          </cell>
        </row>
        <row r="63337">
          <cell r="O63337" t="str">
            <v/>
          </cell>
        </row>
        <row r="63338">
          <cell r="O63338" t="str">
            <v/>
          </cell>
        </row>
        <row r="63339">
          <cell r="O63339" t="str">
            <v/>
          </cell>
        </row>
        <row r="63340">
          <cell r="O63340" t="str">
            <v/>
          </cell>
        </row>
        <row r="63341">
          <cell r="O63341" t="str">
            <v/>
          </cell>
        </row>
        <row r="63342">
          <cell r="O63342" t="str">
            <v/>
          </cell>
        </row>
        <row r="63343">
          <cell r="O63343" t="str">
            <v/>
          </cell>
        </row>
        <row r="63344">
          <cell r="O63344" t="str">
            <v/>
          </cell>
        </row>
        <row r="63345">
          <cell r="O63345" t="str">
            <v/>
          </cell>
        </row>
        <row r="63346">
          <cell r="O63346" t="str">
            <v/>
          </cell>
        </row>
        <row r="63347">
          <cell r="O63347" t="str">
            <v/>
          </cell>
        </row>
        <row r="63348">
          <cell r="O63348" t="str">
            <v/>
          </cell>
        </row>
        <row r="63349">
          <cell r="O63349" t="str">
            <v/>
          </cell>
        </row>
        <row r="63350">
          <cell r="O63350" t="str">
            <v/>
          </cell>
        </row>
        <row r="63351">
          <cell r="O63351" t="str">
            <v/>
          </cell>
        </row>
        <row r="63352">
          <cell r="O63352" t="str">
            <v/>
          </cell>
        </row>
        <row r="63353">
          <cell r="O63353" t="str">
            <v/>
          </cell>
        </row>
        <row r="63354">
          <cell r="O63354" t="str">
            <v/>
          </cell>
        </row>
        <row r="63355">
          <cell r="O63355" t="str">
            <v/>
          </cell>
        </row>
        <row r="63356">
          <cell r="O63356" t="str">
            <v/>
          </cell>
        </row>
        <row r="63357">
          <cell r="O63357" t="str">
            <v/>
          </cell>
        </row>
        <row r="63358">
          <cell r="O63358" t="str">
            <v/>
          </cell>
        </row>
        <row r="63359">
          <cell r="O63359" t="str">
            <v/>
          </cell>
        </row>
        <row r="63360">
          <cell r="O63360" t="str">
            <v/>
          </cell>
        </row>
        <row r="63361">
          <cell r="O63361" t="str">
            <v/>
          </cell>
        </row>
        <row r="63362">
          <cell r="O63362" t="str">
            <v/>
          </cell>
        </row>
        <row r="63363">
          <cell r="O63363" t="str">
            <v/>
          </cell>
        </row>
        <row r="63364">
          <cell r="O63364" t="str">
            <v/>
          </cell>
        </row>
        <row r="63365">
          <cell r="O63365" t="str">
            <v/>
          </cell>
        </row>
        <row r="63366">
          <cell r="O63366" t="str">
            <v/>
          </cell>
        </row>
        <row r="63367">
          <cell r="O63367" t="str">
            <v/>
          </cell>
        </row>
        <row r="63368">
          <cell r="O63368" t="str">
            <v/>
          </cell>
        </row>
        <row r="63369">
          <cell r="O63369" t="str">
            <v/>
          </cell>
        </row>
        <row r="63370">
          <cell r="O63370" t="str">
            <v/>
          </cell>
        </row>
        <row r="63371">
          <cell r="O63371" t="str">
            <v/>
          </cell>
        </row>
        <row r="63372">
          <cell r="O63372" t="str">
            <v/>
          </cell>
        </row>
        <row r="63373">
          <cell r="O63373" t="str">
            <v/>
          </cell>
        </row>
        <row r="63374">
          <cell r="O63374" t="str">
            <v/>
          </cell>
        </row>
        <row r="63375">
          <cell r="O63375" t="str">
            <v/>
          </cell>
        </row>
        <row r="63376">
          <cell r="O63376" t="str">
            <v/>
          </cell>
        </row>
        <row r="63377">
          <cell r="O63377" t="str">
            <v/>
          </cell>
        </row>
        <row r="63378">
          <cell r="O63378" t="str">
            <v/>
          </cell>
        </row>
        <row r="63379">
          <cell r="O63379" t="str">
            <v/>
          </cell>
        </row>
        <row r="63380">
          <cell r="O63380" t="str">
            <v/>
          </cell>
        </row>
        <row r="63381">
          <cell r="O63381" t="str">
            <v/>
          </cell>
        </row>
        <row r="63382">
          <cell r="O63382" t="str">
            <v/>
          </cell>
        </row>
        <row r="63383">
          <cell r="O63383" t="str">
            <v/>
          </cell>
        </row>
        <row r="63384">
          <cell r="O63384" t="str">
            <v/>
          </cell>
        </row>
        <row r="63385">
          <cell r="O63385" t="str">
            <v/>
          </cell>
        </row>
        <row r="63386">
          <cell r="O63386" t="str">
            <v/>
          </cell>
        </row>
        <row r="63387">
          <cell r="O63387" t="str">
            <v/>
          </cell>
        </row>
        <row r="63388">
          <cell r="O63388" t="str">
            <v/>
          </cell>
        </row>
        <row r="63389">
          <cell r="O63389" t="str">
            <v/>
          </cell>
        </row>
        <row r="63390">
          <cell r="O63390" t="str">
            <v/>
          </cell>
        </row>
        <row r="63391">
          <cell r="O63391" t="str">
            <v/>
          </cell>
        </row>
        <row r="63392">
          <cell r="O63392" t="str">
            <v/>
          </cell>
        </row>
        <row r="63393">
          <cell r="O63393" t="str">
            <v/>
          </cell>
        </row>
        <row r="63394">
          <cell r="O63394" t="str">
            <v/>
          </cell>
        </row>
        <row r="63395">
          <cell r="O63395" t="str">
            <v/>
          </cell>
        </row>
        <row r="63396">
          <cell r="O63396" t="str">
            <v/>
          </cell>
        </row>
        <row r="63397">
          <cell r="O63397" t="str">
            <v/>
          </cell>
        </row>
        <row r="63398">
          <cell r="O63398" t="str">
            <v/>
          </cell>
        </row>
        <row r="63399">
          <cell r="O63399" t="str">
            <v/>
          </cell>
        </row>
        <row r="63400">
          <cell r="O63400" t="str">
            <v/>
          </cell>
        </row>
        <row r="63401">
          <cell r="O63401" t="str">
            <v/>
          </cell>
        </row>
        <row r="63402">
          <cell r="O63402" t="str">
            <v/>
          </cell>
        </row>
        <row r="63403">
          <cell r="O63403" t="str">
            <v/>
          </cell>
        </row>
        <row r="63404">
          <cell r="O63404" t="str">
            <v/>
          </cell>
        </row>
        <row r="63405">
          <cell r="O63405" t="str">
            <v/>
          </cell>
        </row>
        <row r="63406">
          <cell r="O63406" t="str">
            <v/>
          </cell>
        </row>
        <row r="63407">
          <cell r="O63407" t="str">
            <v/>
          </cell>
        </row>
        <row r="63408">
          <cell r="O63408" t="str">
            <v/>
          </cell>
        </row>
        <row r="63409">
          <cell r="O63409" t="str">
            <v/>
          </cell>
        </row>
        <row r="63410">
          <cell r="O63410" t="str">
            <v/>
          </cell>
        </row>
        <row r="63411">
          <cell r="O63411" t="str">
            <v/>
          </cell>
        </row>
        <row r="63412">
          <cell r="O63412" t="str">
            <v/>
          </cell>
        </row>
        <row r="63413">
          <cell r="O63413" t="str">
            <v/>
          </cell>
        </row>
        <row r="63414">
          <cell r="O63414" t="str">
            <v/>
          </cell>
        </row>
        <row r="63415">
          <cell r="O63415" t="str">
            <v/>
          </cell>
        </row>
        <row r="63416">
          <cell r="O63416" t="str">
            <v/>
          </cell>
        </row>
        <row r="63417">
          <cell r="O63417" t="str">
            <v/>
          </cell>
        </row>
        <row r="63418">
          <cell r="O63418" t="str">
            <v/>
          </cell>
        </row>
        <row r="63419">
          <cell r="O63419" t="str">
            <v/>
          </cell>
        </row>
        <row r="63420">
          <cell r="O63420" t="str">
            <v/>
          </cell>
        </row>
        <row r="63421">
          <cell r="O63421" t="str">
            <v/>
          </cell>
        </row>
        <row r="63422">
          <cell r="O63422" t="str">
            <v/>
          </cell>
        </row>
        <row r="63423">
          <cell r="O63423" t="str">
            <v/>
          </cell>
        </row>
        <row r="63424">
          <cell r="O63424" t="str">
            <v/>
          </cell>
        </row>
        <row r="63425">
          <cell r="O63425" t="str">
            <v/>
          </cell>
        </row>
        <row r="63426">
          <cell r="O63426" t="str">
            <v/>
          </cell>
        </row>
        <row r="63427">
          <cell r="O63427" t="str">
            <v/>
          </cell>
        </row>
        <row r="63428">
          <cell r="O63428" t="str">
            <v/>
          </cell>
        </row>
        <row r="63429">
          <cell r="O63429" t="str">
            <v/>
          </cell>
        </row>
        <row r="63430">
          <cell r="O63430" t="str">
            <v/>
          </cell>
        </row>
        <row r="63431">
          <cell r="O63431" t="str">
            <v/>
          </cell>
        </row>
        <row r="63432">
          <cell r="O63432" t="str">
            <v/>
          </cell>
        </row>
        <row r="63433">
          <cell r="O63433" t="str">
            <v/>
          </cell>
        </row>
        <row r="63434">
          <cell r="O63434" t="str">
            <v/>
          </cell>
        </row>
        <row r="63435">
          <cell r="O63435" t="str">
            <v/>
          </cell>
        </row>
        <row r="63436">
          <cell r="O63436" t="str">
            <v/>
          </cell>
        </row>
        <row r="63437">
          <cell r="O63437" t="str">
            <v/>
          </cell>
        </row>
        <row r="63438">
          <cell r="O63438" t="str">
            <v/>
          </cell>
        </row>
        <row r="63439">
          <cell r="O63439" t="str">
            <v/>
          </cell>
        </row>
        <row r="63440">
          <cell r="O63440" t="str">
            <v/>
          </cell>
        </row>
        <row r="63441">
          <cell r="O63441" t="str">
            <v/>
          </cell>
        </row>
        <row r="63442">
          <cell r="O63442" t="str">
            <v/>
          </cell>
        </row>
        <row r="63443">
          <cell r="O63443" t="str">
            <v/>
          </cell>
        </row>
        <row r="63444">
          <cell r="O63444" t="str">
            <v/>
          </cell>
        </row>
        <row r="63445">
          <cell r="O63445" t="str">
            <v/>
          </cell>
        </row>
        <row r="63446">
          <cell r="O63446" t="str">
            <v/>
          </cell>
        </row>
        <row r="63447">
          <cell r="O63447" t="str">
            <v/>
          </cell>
        </row>
        <row r="63448">
          <cell r="O63448" t="str">
            <v/>
          </cell>
        </row>
        <row r="63449">
          <cell r="O63449" t="str">
            <v/>
          </cell>
        </row>
        <row r="63450">
          <cell r="O63450" t="str">
            <v/>
          </cell>
        </row>
        <row r="63451">
          <cell r="O63451" t="str">
            <v/>
          </cell>
        </row>
        <row r="63452">
          <cell r="O63452" t="str">
            <v/>
          </cell>
        </row>
        <row r="63453">
          <cell r="O63453" t="str">
            <v/>
          </cell>
        </row>
        <row r="63454">
          <cell r="O63454" t="str">
            <v/>
          </cell>
        </row>
        <row r="63455">
          <cell r="O63455" t="str">
            <v/>
          </cell>
        </row>
        <row r="63456">
          <cell r="O63456" t="str">
            <v/>
          </cell>
        </row>
        <row r="63457">
          <cell r="O63457" t="str">
            <v/>
          </cell>
        </row>
        <row r="63458">
          <cell r="O63458" t="str">
            <v/>
          </cell>
        </row>
        <row r="63459">
          <cell r="O63459" t="str">
            <v/>
          </cell>
        </row>
        <row r="63460">
          <cell r="O63460" t="str">
            <v/>
          </cell>
        </row>
        <row r="63461">
          <cell r="O63461" t="str">
            <v/>
          </cell>
        </row>
        <row r="63462">
          <cell r="O63462" t="str">
            <v/>
          </cell>
        </row>
        <row r="63463">
          <cell r="O63463" t="str">
            <v/>
          </cell>
        </row>
        <row r="63464">
          <cell r="O63464" t="str">
            <v/>
          </cell>
        </row>
        <row r="63465">
          <cell r="O63465" t="str">
            <v/>
          </cell>
        </row>
        <row r="63466">
          <cell r="O63466" t="str">
            <v/>
          </cell>
        </row>
        <row r="63467">
          <cell r="O63467" t="str">
            <v/>
          </cell>
        </row>
        <row r="63468">
          <cell r="O63468" t="str">
            <v/>
          </cell>
        </row>
        <row r="63469">
          <cell r="O63469" t="str">
            <v/>
          </cell>
        </row>
        <row r="63470">
          <cell r="O63470" t="str">
            <v/>
          </cell>
        </row>
        <row r="63471">
          <cell r="O63471" t="str">
            <v/>
          </cell>
        </row>
        <row r="63472">
          <cell r="O63472" t="str">
            <v/>
          </cell>
        </row>
        <row r="63473">
          <cell r="O63473" t="str">
            <v/>
          </cell>
        </row>
        <row r="63474">
          <cell r="O63474" t="str">
            <v/>
          </cell>
        </row>
        <row r="63475">
          <cell r="O63475" t="str">
            <v/>
          </cell>
        </row>
        <row r="63476">
          <cell r="O63476" t="str">
            <v/>
          </cell>
        </row>
        <row r="63477">
          <cell r="O63477" t="str">
            <v/>
          </cell>
        </row>
        <row r="63478">
          <cell r="O63478" t="str">
            <v/>
          </cell>
        </row>
        <row r="63479">
          <cell r="O63479" t="str">
            <v/>
          </cell>
        </row>
        <row r="63480">
          <cell r="O63480" t="str">
            <v/>
          </cell>
        </row>
        <row r="63481">
          <cell r="O63481" t="str">
            <v/>
          </cell>
        </row>
        <row r="63482">
          <cell r="O63482" t="str">
            <v/>
          </cell>
        </row>
        <row r="63483">
          <cell r="O63483" t="str">
            <v/>
          </cell>
        </row>
        <row r="63484">
          <cell r="O63484" t="str">
            <v/>
          </cell>
        </row>
        <row r="63485">
          <cell r="O63485" t="str">
            <v/>
          </cell>
        </row>
        <row r="63486">
          <cell r="O63486" t="str">
            <v/>
          </cell>
        </row>
        <row r="63487">
          <cell r="O63487" t="str">
            <v/>
          </cell>
        </row>
        <row r="63488">
          <cell r="O63488" t="str">
            <v/>
          </cell>
        </row>
        <row r="63489">
          <cell r="O63489" t="str">
            <v/>
          </cell>
        </row>
        <row r="63490">
          <cell r="O63490" t="str">
            <v/>
          </cell>
        </row>
        <row r="63491">
          <cell r="O63491" t="str">
            <v/>
          </cell>
        </row>
        <row r="63492">
          <cell r="O63492" t="str">
            <v/>
          </cell>
        </row>
        <row r="63493">
          <cell r="O63493" t="str">
            <v/>
          </cell>
        </row>
        <row r="63494">
          <cell r="O63494" t="str">
            <v/>
          </cell>
        </row>
        <row r="63495">
          <cell r="O63495" t="str">
            <v/>
          </cell>
        </row>
        <row r="63496">
          <cell r="O63496" t="str">
            <v/>
          </cell>
        </row>
        <row r="63497">
          <cell r="O63497" t="str">
            <v/>
          </cell>
        </row>
        <row r="63498">
          <cell r="O63498" t="str">
            <v/>
          </cell>
        </row>
        <row r="63499">
          <cell r="O63499" t="str">
            <v/>
          </cell>
        </row>
        <row r="63500">
          <cell r="O63500" t="str">
            <v/>
          </cell>
        </row>
        <row r="63501">
          <cell r="O63501" t="str">
            <v/>
          </cell>
        </row>
        <row r="63502">
          <cell r="O63502" t="str">
            <v/>
          </cell>
        </row>
        <row r="63503">
          <cell r="O63503" t="str">
            <v/>
          </cell>
        </row>
        <row r="63504">
          <cell r="O63504" t="str">
            <v/>
          </cell>
        </row>
        <row r="63505">
          <cell r="O63505" t="str">
            <v/>
          </cell>
        </row>
        <row r="63506">
          <cell r="O63506" t="str">
            <v/>
          </cell>
        </row>
        <row r="63507">
          <cell r="O63507" t="str">
            <v/>
          </cell>
        </row>
        <row r="63508">
          <cell r="O63508" t="str">
            <v/>
          </cell>
        </row>
        <row r="63509">
          <cell r="O63509" t="str">
            <v/>
          </cell>
        </row>
        <row r="63510">
          <cell r="O63510" t="str">
            <v/>
          </cell>
        </row>
        <row r="63511">
          <cell r="O63511" t="str">
            <v/>
          </cell>
        </row>
        <row r="63512">
          <cell r="O63512" t="str">
            <v/>
          </cell>
        </row>
        <row r="63513">
          <cell r="O63513" t="str">
            <v/>
          </cell>
        </row>
        <row r="63514">
          <cell r="O63514" t="str">
            <v/>
          </cell>
        </row>
        <row r="63515">
          <cell r="O63515" t="str">
            <v/>
          </cell>
        </row>
        <row r="63516">
          <cell r="O63516" t="str">
            <v/>
          </cell>
        </row>
        <row r="63517">
          <cell r="O63517" t="str">
            <v/>
          </cell>
        </row>
        <row r="63518">
          <cell r="O63518" t="str">
            <v/>
          </cell>
        </row>
        <row r="63519">
          <cell r="O63519" t="str">
            <v/>
          </cell>
        </row>
        <row r="63520">
          <cell r="O63520" t="str">
            <v/>
          </cell>
        </row>
        <row r="63521">
          <cell r="O63521" t="str">
            <v/>
          </cell>
        </row>
        <row r="63522">
          <cell r="O63522" t="str">
            <v/>
          </cell>
        </row>
        <row r="63523">
          <cell r="O63523" t="str">
            <v/>
          </cell>
        </row>
        <row r="63524">
          <cell r="O63524" t="str">
            <v/>
          </cell>
        </row>
        <row r="63525">
          <cell r="O63525" t="str">
            <v/>
          </cell>
        </row>
        <row r="63526">
          <cell r="O63526" t="str">
            <v/>
          </cell>
        </row>
        <row r="63527">
          <cell r="O63527" t="str">
            <v/>
          </cell>
        </row>
        <row r="63528">
          <cell r="O63528" t="str">
            <v/>
          </cell>
        </row>
        <row r="63529">
          <cell r="O63529" t="str">
            <v/>
          </cell>
        </row>
        <row r="63530">
          <cell r="O63530" t="str">
            <v/>
          </cell>
        </row>
        <row r="63531">
          <cell r="O63531" t="str">
            <v/>
          </cell>
        </row>
        <row r="63532">
          <cell r="O63532" t="str">
            <v/>
          </cell>
        </row>
        <row r="63533">
          <cell r="O63533" t="str">
            <v/>
          </cell>
        </row>
        <row r="63534">
          <cell r="O63534" t="str">
            <v/>
          </cell>
        </row>
        <row r="63535">
          <cell r="O63535" t="str">
            <v/>
          </cell>
        </row>
        <row r="63536">
          <cell r="O63536" t="str">
            <v/>
          </cell>
        </row>
        <row r="63537">
          <cell r="O63537" t="str">
            <v/>
          </cell>
        </row>
        <row r="63538">
          <cell r="O63538" t="str">
            <v/>
          </cell>
        </row>
        <row r="63539">
          <cell r="O63539" t="str">
            <v/>
          </cell>
        </row>
        <row r="63540">
          <cell r="O63540" t="str">
            <v/>
          </cell>
        </row>
        <row r="63541">
          <cell r="O63541" t="str">
            <v/>
          </cell>
        </row>
        <row r="63542">
          <cell r="O63542" t="str">
            <v/>
          </cell>
        </row>
        <row r="63543">
          <cell r="O63543" t="str">
            <v/>
          </cell>
        </row>
        <row r="63544">
          <cell r="O63544" t="str">
            <v/>
          </cell>
        </row>
        <row r="63545">
          <cell r="O63545" t="str">
            <v/>
          </cell>
        </row>
        <row r="63546">
          <cell r="O63546" t="str">
            <v/>
          </cell>
        </row>
        <row r="63547">
          <cell r="O63547" t="str">
            <v/>
          </cell>
        </row>
        <row r="63548">
          <cell r="O63548" t="str">
            <v/>
          </cell>
        </row>
        <row r="63549">
          <cell r="O63549" t="str">
            <v/>
          </cell>
        </row>
        <row r="63550">
          <cell r="O63550" t="str">
            <v/>
          </cell>
        </row>
        <row r="63551">
          <cell r="O63551" t="str">
            <v/>
          </cell>
        </row>
        <row r="63552">
          <cell r="O63552" t="str">
            <v/>
          </cell>
        </row>
        <row r="63553">
          <cell r="O63553" t="str">
            <v/>
          </cell>
        </row>
        <row r="63554">
          <cell r="O63554" t="str">
            <v/>
          </cell>
        </row>
        <row r="63555">
          <cell r="O63555" t="str">
            <v/>
          </cell>
        </row>
        <row r="63556">
          <cell r="O63556" t="str">
            <v/>
          </cell>
        </row>
        <row r="63557">
          <cell r="O63557" t="str">
            <v/>
          </cell>
        </row>
        <row r="63558">
          <cell r="O63558" t="str">
            <v/>
          </cell>
        </row>
        <row r="63559">
          <cell r="O63559" t="str">
            <v/>
          </cell>
        </row>
        <row r="63560">
          <cell r="O63560" t="str">
            <v/>
          </cell>
        </row>
        <row r="63561">
          <cell r="O63561" t="str">
            <v/>
          </cell>
        </row>
        <row r="63562">
          <cell r="O63562" t="str">
            <v/>
          </cell>
        </row>
        <row r="63563">
          <cell r="O63563" t="str">
            <v/>
          </cell>
        </row>
        <row r="63564">
          <cell r="O63564" t="str">
            <v/>
          </cell>
        </row>
        <row r="63565">
          <cell r="O63565" t="str">
            <v/>
          </cell>
        </row>
        <row r="63566">
          <cell r="O63566" t="str">
            <v/>
          </cell>
        </row>
        <row r="63567">
          <cell r="O63567" t="str">
            <v/>
          </cell>
        </row>
        <row r="63568">
          <cell r="O63568" t="str">
            <v/>
          </cell>
        </row>
        <row r="63569">
          <cell r="O63569" t="str">
            <v/>
          </cell>
        </row>
        <row r="63570">
          <cell r="O63570" t="str">
            <v/>
          </cell>
        </row>
        <row r="63571">
          <cell r="O63571" t="str">
            <v/>
          </cell>
        </row>
        <row r="63572">
          <cell r="O63572" t="str">
            <v/>
          </cell>
        </row>
        <row r="63573">
          <cell r="O63573" t="str">
            <v/>
          </cell>
        </row>
        <row r="63574">
          <cell r="O63574" t="str">
            <v/>
          </cell>
        </row>
        <row r="63575">
          <cell r="O63575" t="str">
            <v/>
          </cell>
        </row>
        <row r="63576">
          <cell r="O63576" t="str">
            <v/>
          </cell>
        </row>
        <row r="63577">
          <cell r="O63577" t="str">
            <v/>
          </cell>
        </row>
        <row r="63578">
          <cell r="O63578" t="str">
            <v/>
          </cell>
        </row>
        <row r="63579">
          <cell r="O63579" t="str">
            <v/>
          </cell>
        </row>
        <row r="63580">
          <cell r="O63580" t="str">
            <v/>
          </cell>
        </row>
        <row r="63581">
          <cell r="O63581" t="str">
            <v/>
          </cell>
        </row>
        <row r="63582">
          <cell r="O63582" t="str">
            <v/>
          </cell>
        </row>
        <row r="63583">
          <cell r="O63583" t="str">
            <v/>
          </cell>
        </row>
        <row r="63584">
          <cell r="O63584" t="str">
            <v/>
          </cell>
        </row>
        <row r="63585">
          <cell r="O63585" t="str">
            <v/>
          </cell>
        </row>
        <row r="63586">
          <cell r="O63586" t="str">
            <v/>
          </cell>
        </row>
        <row r="63587">
          <cell r="O63587" t="str">
            <v/>
          </cell>
        </row>
        <row r="63588">
          <cell r="O63588" t="str">
            <v/>
          </cell>
        </row>
        <row r="63589">
          <cell r="O63589" t="str">
            <v/>
          </cell>
        </row>
        <row r="63590">
          <cell r="O63590" t="str">
            <v/>
          </cell>
        </row>
        <row r="63591">
          <cell r="O63591" t="str">
            <v/>
          </cell>
        </row>
        <row r="63592">
          <cell r="O63592" t="str">
            <v/>
          </cell>
        </row>
        <row r="63593">
          <cell r="O63593" t="str">
            <v/>
          </cell>
        </row>
        <row r="63594">
          <cell r="O63594" t="str">
            <v/>
          </cell>
        </row>
        <row r="63595">
          <cell r="O63595" t="str">
            <v/>
          </cell>
        </row>
        <row r="63596">
          <cell r="O63596" t="str">
            <v/>
          </cell>
        </row>
        <row r="63597">
          <cell r="O63597" t="str">
            <v/>
          </cell>
        </row>
        <row r="63598">
          <cell r="O63598" t="str">
            <v/>
          </cell>
        </row>
        <row r="63599">
          <cell r="O63599" t="str">
            <v/>
          </cell>
        </row>
        <row r="63600">
          <cell r="O63600" t="str">
            <v/>
          </cell>
        </row>
        <row r="63601">
          <cell r="O63601" t="str">
            <v/>
          </cell>
        </row>
        <row r="63602">
          <cell r="O63602" t="str">
            <v/>
          </cell>
        </row>
        <row r="63603">
          <cell r="O63603" t="str">
            <v/>
          </cell>
        </row>
        <row r="63604">
          <cell r="O63604" t="str">
            <v/>
          </cell>
        </row>
        <row r="63605">
          <cell r="O63605" t="str">
            <v/>
          </cell>
        </row>
        <row r="63606">
          <cell r="O63606" t="str">
            <v/>
          </cell>
        </row>
        <row r="63607">
          <cell r="O63607" t="str">
            <v/>
          </cell>
        </row>
        <row r="63608">
          <cell r="O63608" t="str">
            <v/>
          </cell>
        </row>
        <row r="63609">
          <cell r="O63609" t="str">
            <v/>
          </cell>
        </row>
        <row r="63610">
          <cell r="O63610" t="str">
            <v/>
          </cell>
        </row>
        <row r="63611">
          <cell r="O63611" t="str">
            <v/>
          </cell>
        </row>
        <row r="63612">
          <cell r="O63612" t="str">
            <v/>
          </cell>
        </row>
        <row r="63613">
          <cell r="O63613" t="str">
            <v/>
          </cell>
        </row>
        <row r="63614">
          <cell r="O63614" t="str">
            <v/>
          </cell>
        </row>
        <row r="63615">
          <cell r="O63615" t="str">
            <v/>
          </cell>
        </row>
        <row r="63616">
          <cell r="O63616" t="str">
            <v/>
          </cell>
        </row>
        <row r="63617">
          <cell r="O63617" t="str">
            <v/>
          </cell>
        </row>
        <row r="63618">
          <cell r="O63618" t="str">
            <v/>
          </cell>
        </row>
        <row r="63619">
          <cell r="O63619" t="str">
            <v/>
          </cell>
        </row>
        <row r="63620">
          <cell r="O63620" t="str">
            <v/>
          </cell>
        </row>
        <row r="63621">
          <cell r="O63621" t="str">
            <v/>
          </cell>
        </row>
        <row r="63622">
          <cell r="O63622" t="str">
            <v/>
          </cell>
        </row>
        <row r="63623">
          <cell r="O63623" t="str">
            <v/>
          </cell>
        </row>
        <row r="63624">
          <cell r="O63624" t="str">
            <v/>
          </cell>
        </row>
        <row r="63625">
          <cell r="O63625" t="str">
            <v/>
          </cell>
        </row>
        <row r="63626">
          <cell r="O63626" t="str">
            <v/>
          </cell>
        </row>
        <row r="63627">
          <cell r="O63627" t="str">
            <v/>
          </cell>
        </row>
        <row r="63628">
          <cell r="O63628" t="str">
            <v/>
          </cell>
        </row>
        <row r="63629">
          <cell r="O63629" t="str">
            <v/>
          </cell>
        </row>
        <row r="63630">
          <cell r="O63630" t="str">
            <v/>
          </cell>
        </row>
        <row r="63631">
          <cell r="O63631" t="str">
            <v/>
          </cell>
        </row>
        <row r="63632">
          <cell r="O63632" t="str">
            <v/>
          </cell>
        </row>
        <row r="63633">
          <cell r="O63633" t="str">
            <v/>
          </cell>
        </row>
        <row r="63634">
          <cell r="O63634" t="str">
            <v/>
          </cell>
        </row>
        <row r="63635">
          <cell r="O63635" t="str">
            <v/>
          </cell>
        </row>
        <row r="63636">
          <cell r="O63636" t="str">
            <v/>
          </cell>
        </row>
        <row r="63637">
          <cell r="O63637" t="str">
            <v/>
          </cell>
        </row>
        <row r="63638">
          <cell r="O63638" t="str">
            <v/>
          </cell>
        </row>
        <row r="63639">
          <cell r="O63639" t="str">
            <v/>
          </cell>
        </row>
        <row r="63640">
          <cell r="O63640" t="str">
            <v/>
          </cell>
        </row>
        <row r="63641">
          <cell r="O63641" t="str">
            <v/>
          </cell>
        </row>
        <row r="63642">
          <cell r="O63642" t="str">
            <v/>
          </cell>
        </row>
        <row r="63643">
          <cell r="O63643" t="str">
            <v/>
          </cell>
        </row>
        <row r="63644">
          <cell r="O63644" t="str">
            <v/>
          </cell>
        </row>
        <row r="63645">
          <cell r="O63645" t="str">
            <v/>
          </cell>
        </row>
        <row r="63646">
          <cell r="O63646" t="str">
            <v/>
          </cell>
        </row>
        <row r="63647">
          <cell r="O63647" t="str">
            <v/>
          </cell>
        </row>
        <row r="63648">
          <cell r="O63648" t="str">
            <v/>
          </cell>
        </row>
        <row r="63649">
          <cell r="O63649" t="str">
            <v/>
          </cell>
        </row>
        <row r="63650">
          <cell r="O63650" t="str">
            <v/>
          </cell>
        </row>
        <row r="63651">
          <cell r="O63651" t="str">
            <v/>
          </cell>
        </row>
        <row r="63652">
          <cell r="O63652" t="str">
            <v/>
          </cell>
        </row>
        <row r="63653">
          <cell r="O63653" t="str">
            <v/>
          </cell>
        </row>
        <row r="63654">
          <cell r="O63654" t="str">
            <v/>
          </cell>
        </row>
        <row r="63655">
          <cell r="O63655" t="str">
            <v/>
          </cell>
        </row>
        <row r="63656">
          <cell r="O63656" t="str">
            <v/>
          </cell>
        </row>
        <row r="63657">
          <cell r="O63657" t="str">
            <v/>
          </cell>
        </row>
        <row r="63658">
          <cell r="O63658" t="str">
            <v/>
          </cell>
        </row>
        <row r="63659">
          <cell r="O63659" t="str">
            <v/>
          </cell>
        </row>
        <row r="63660">
          <cell r="O63660" t="str">
            <v/>
          </cell>
        </row>
        <row r="63661">
          <cell r="O63661" t="str">
            <v/>
          </cell>
        </row>
        <row r="63662">
          <cell r="O63662" t="str">
            <v/>
          </cell>
        </row>
        <row r="63663">
          <cell r="O63663" t="str">
            <v/>
          </cell>
        </row>
        <row r="63664">
          <cell r="O63664" t="str">
            <v/>
          </cell>
        </row>
        <row r="63665">
          <cell r="O63665" t="str">
            <v/>
          </cell>
        </row>
        <row r="63666">
          <cell r="O63666" t="str">
            <v/>
          </cell>
        </row>
        <row r="63667">
          <cell r="O63667" t="str">
            <v/>
          </cell>
        </row>
        <row r="63668">
          <cell r="O63668" t="str">
            <v/>
          </cell>
        </row>
        <row r="63669">
          <cell r="O63669" t="str">
            <v/>
          </cell>
        </row>
        <row r="63670">
          <cell r="O63670" t="str">
            <v/>
          </cell>
        </row>
        <row r="63671">
          <cell r="O63671" t="str">
            <v/>
          </cell>
        </row>
        <row r="63672">
          <cell r="O63672" t="str">
            <v/>
          </cell>
        </row>
        <row r="63673">
          <cell r="O63673" t="str">
            <v/>
          </cell>
        </row>
        <row r="63674">
          <cell r="O63674" t="str">
            <v/>
          </cell>
        </row>
        <row r="63675">
          <cell r="O63675" t="str">
            <v/>
          </cell>
        </row>
        <row r="63676">
          <cell r="O63676" t="str">
            <v/>
          </cell>
        </row>
        <row r="63677">
          <cell r="O63677" t="str">
            <v/>
          </cell>
        </row>
        <row r="63678">
          <cell r="O63678" t="str">
            <v/>
          </cell>
        </row>
        <row r="63679">
          <cell r="O63679" t="str">
            <v/>
          </cell>
        </row>
        <row r="63680">
          <cell r="O63680" t="str">
            <v/>
          </cell>
        </row>
        <row r="63681">
          <cell r="O63681" t="str">
            <v/>
          </cell>
        </row>
        <row r="63682">
          <cell r="O63682" t="str">
            <v/>
          </cell>
        </row>
        <row r="63683">
          <cell r="O63683" t="str">
            <v/>
          </cell>
        </row>
        <row r="63684">
          <cell r="O63684" t="str">
            <v/>
          </cell>
        </row>
        <row r="63685">
          <cell r="O63685" t="str">
            <v/>
          </cell>
        </row>
        <row r="63686">
          <cell r="O63686" t="str">
            <v/>
          </cell>
        </row>
        <row r="63687">
          <cell r="O63687" t="str">
            <v/>
          </cell>
        </row>
        <row r="63688">
          <cell r="O63688" t="str">
            <v/>
          </cell>
        </row>
        <row r="63689">
          <cell r="O63689" t="str">
            <v/>
          </cell>
        </row>
        <row r="63690">
          <cell r="O63690" t="str">
            <v/>
          </cell>
        </row>
        <row r="63691">
          <cell r="O63691" t="str">
            <v/>
          </cell>
        </row>
        <row r="63692">
          <cell r="O63692" t="str">
            <v/>
          </cell>
        </row>
        <row r="63693">
          <cell r="O63693" t="str">
            <v/>
          </cell>
        </row>
        <row r="63694">
          <cell r="O63694" t="str">
            <v/>
          </cell>
        </row>
        <row r="63695">
          <cell r="O63695" t="str">
            <v/>
          </cell>
        </row>
        <row r="63696">
          <cell r="O63696" t="str">
            <v/>
          </cell>
        </row>
        <row r="63697">
          <cell r="O63697" t="str">
            <v/>
          </cell>
        </row>
        <row r="63698">
          <cell r="O63698" t="str">
            <v/>
          </cell>
        </row>
        <row r="63699">
          <cell r="O63699" t="str">
            <v/>
          </cell>
        </row>
        <row r="63700">
          <cell r="O63700" t="str">
            <v/>
          </cell>
        </row>
        <row r="63701">
          <cell r="O63701" t="str">
            <v/>
          </cell>
        </row>
        <row r="63702">
          <cell r="O63702" t="str">
            <v/>
          </cell>
        </row>
        <row r="63703">
          <cell r="O63703" t="str">
            <v/>
          </cell>
        </row>
        <row r="63704">
          <cell r="O63704" t="str">
            <v/>
          </cell>
        </row>
        <row r="63705">
          <cell r="O63705" t="str">
            <v/>
          </cell>
        </row>
        <row r="63706">
          <cell r="O63706" t="str">
            <v/>
          </cell>
        </row>
        <row r="63707">
          <cell r="O63707" t="str">
            <v/>
          </cell>
        </row>
        <row r="63708">
          <cell r="O63708" t="str">
            <v/>
          </cell>
        </row>
        <row r="63709">
          <cell r="O63709" t="str">
            <v/>
          </cell>
        </row>
        <row r="63710">
          <cell r="O63710" t="str">
            <v/>
          </cell>
        </row>
        <row r="63711">
          <cell r="O63711" t="str">
            <v/>
          </cell>
        </row>
        <row r="63712">
          <cell r="O63712" t="str">
            <v/>
          </cell>
        </row>
        <row r="63713">
          <cell r="O63713" t="str">
            <v/>
          </cell>
        </row>
        <row r="63714">
          <cell r="O63714" t="str">
            <v/>
          </cell>
        </row>
        <row r="63715">
          <cell r="O63715" t="str">
            <v/>
          </cell>
        </row>
        <row r="63716">
          <cell r="O63716" t="str">
            <v/>
          </cell>
        </row>
        <row r="63717">
          <cell r="O63717" t="str">
            <v/>
          </cell>
        </row>
        <row r="63718">
          <cell r="O63718" t="str">
            <v/>
          </cell>
        </row>
        <row r="63719">
          <cell r="O63719" t="str">
            <v/>
          </cell>
        </row>
        <row r="63720">
          <cell r="O63720" t="str">
            <v/>
          </cell>
        </row>
        <row r="63721">
          <cell r="O63721" t="str">
            <v/>
          </cell>
        </row>
        <row r="63722">
          <cell r="O63722" t="str">
            <v/>
          </cell>
        </row>
        <row r="63723">
          <cell r="O63723" t="str">
            <v/>
          </cell>
        </row>
        <row r="63724">
          <cell r="O63724" t="str">
            <v/>
          </cell>
        </row>
        <row r="63725">
          <cell r="O63725" t="str">
            <v/>
          </cell>
        </row>
        <row r="63726">
          <cell r="O63726" t="str">
            <v/>
          </cell>
        </row>
        <row r="63727">
          <cell r="O63727" t="str">
            <v/>
          </cell>
        </row>
        <row r="63728">
          <cell r="O63728" t="str">
            <v/>
          </cell>
        </row>
        <row r="63729">
          <cell r="O63729" t="str">
            <v/>
          </cell>
        </row>
        <row r="63730">
          <cell r="O63730" t="str">
            <v/>
          </cell>
        </row>
        <row r="63731">
          <cell r="O63731" t="str">
            <v/>
          </cell>
        </row>
        <row r="63732">
          <cell r="O63732" t="str">
            <v/>
          </cell>
        </row>
        <row r="63733">
          <cell r="O63733" t="str">
            <v/>
          </cell>
        </row>
        <row r="63734">
          <cell r="O63734" t="str">
            <v/>
          </cell>
        </row>
        <row r="63735">
          <cell r="O63735" t="str">
            <v/>
          </cell>
        </row>
        <row r="63736">
          <cell r="O63736" t="str">
            <v/>
          </cell>
        </row>
        <row r="63737">
          <cell r="O63737" t="str">
            <v/>
          </cell>
        </row>
        <row r="63738">
          <cell r="O63738" t="str">
            <v/>
          </cell>
        </row>
        <row r="63739">
          <cell r="O63739" t="str">
            <v/>
          </cell>
        </row>
        <row r="63740">
          <cell r="O63740" t="str">
            <v/>
          </cell>
        </row>
        <row r="63741">
          <cell r="O63741" t="str">
            <v/>
          </cell>
        </row>
        <row r="63742">
          <cell r="O63742" t="str">
            <v/>
          </cell>
        </row>
        <row r="63743">
          <cell r="O63743" t="str">
            <v/>
          </cell>
        </row>
        <row r="63744">
          <cell r="O63744" t="str">
            <v/>
          </cell>
        </row>
        <row r="63745">
          <cell r="O63745" t="str">
            <v/>
          </cell>
        </row>
        <row r="63746">
          <cell r="O63746" t="str">
            <v/>
          </cell>
        </row>
        <row r="63747">
          <cell r="O63747" t="str">
            <v/>
          </cell>
        </row>
        <row r="63748">
          <cell r="O63748" t="str">
            <v/>
          </cell>
        </row>
        <row r="63749">
          <cell r="O63749" t="str">
            <v/>
          </cell>
        </row>
        <row r="63750">
          <cell r="O63750" t="str">
            <v/>
          </cell>
        </row>
        <row r="63751">
          <cell r="O63751" t="str">
            <v/>
          </cell>
        </row>
        <row r="63752">
          <cell r="O63752" t="str">
            <v/>
          </cell>
        </row>
        <row r="63753">
          <cell r="O63753" t="str">
            <v/>
          </cell>
        </row>
        <row r="63754">
          <cell r="O63754" t="str">
            <v/>
          </cell>
        </row>
        <row r="63755">
          <cell r="O63755" t="str">
            <v/>
          </cell>
        </row>
        <row r="63756">
          <cell r="O63756" t="str">
            <v/>
          </cell>
        </row>
        <row r="63757">
          <cell r="O63757" t="str">
            <v/>
          </cell>
        </row>
        <row r="63758">
          <cell r="O63758" t="str">
            <v/>
          </cell>
        </row>
        <row r="63759">
          <cell r="O63759" t="str">
            <v/>
          </cell>
        </row>
        <row r="63760">
          <cell r="O63760" t="str">
            <v/>
          </cell>
        </row>
        <row r="63761">
          <cell r="O63761" t="str">
            <v/>
          </cell>
        </row>
        <row r="63762">
          <cell r="O63762" t="str">
            <v/>
          </cell>
        </row>
        <row r="63763">
          <cell r="O63763" t="str">
            <v/>
          </cell>
        </row>
        <row r="63764">
          <cell r="O63764" t="str">
            <v/>
          </cell>
        </row>
        <row r="63765">
          <cell r="O63765" t="str">
            <v/>
          </cell>
        </row>
        <row r="63766">
          <cell r="O63766" t="str">
            <v/>
          </cell>
        </row>
        <row r="63767">
          <cell r="O63767" t="str">
            <v/>
          </cell>
        </row>
        <row r="63768">
          <cell r="O63768" t="str">
            <v/>
          </cell>
        </row>
        <row r="63769">
          <cell r="O63769" t="str">
            <v/>
          </cell>
        </row>
        <row r="63770">
          <cell r="O63770" t="str">
            <v/>
          </cell>
        </row>
        <row r="63771">
          <cell r="O63771" t="str">
            <v/>
          </cell>
        </row>
        <row r="63772">
          <cell r="O63772" t="str">
            <v/>
          </cell>
        </row>
        <row r="63773">
          <cell r="O63773" t="str">
            <v/>
          </cell>
        </row>
        <row r="63774">
          <cell r="O63774" t="str">
            <v/>
          </cell>
        </row>
        <row r="63775">
          <cell r="O63775" t="str">
            <v/>
          </cell>
        </row>
        <row r="63776">
          <cell r="O63776" t="str">
            <v/>
          </cell>
        </row>
        <row r="63777">
          <cell r="O63777" t="str">
            <v/>
          </cell>
        </row>
        <row r="63778">
          <cell r="O63778" t="str">
            <v/>
          </cell>
        </row>
        <row r="63779">
          <cell r="O63779" t="str">
            <v/>
          </cell>
        </row>
        <row r="63780">
          <cell r="O63780" t="str">
            <v/>
          </cell>
        </row>
        <row r="63781">
          <cell r="O63781" t="str">
            <v/>
          </cell>
        </row>
        <row r="63782">
          <cell r="O63782" t="str">
            <v/>
          </cell>
        </row>
        <row r="63783">
          <cell r="O63783" t="str">
            <v/>
          </cell>
        </row>
        <row r="63784">
          <cell r="O63784" t="str">
            <v/>
          </cell>
        </row>
        <row r="63785">
          <cell r="O63785" t="str">
            <v/>
          </cell>
        </row>
        <row r="63786">
          <cell r="O63786" t="str">
            <v/>
          </cell>
        </row>
        <row r="63787">
          <cell r="O63787" t="str">
            <v/>
          </cell>
        </row>
        <row r="63788">
          <cell r="O63788" t="str">
            <v/>
          </cell>
        </row>
        <row r="63789">
          <cell r="O63789" t="str">
            <v/>
          </cell>
        </row>
        <row r="63790">
          <cell r="O63790" t="str">
            <v/>
          </cell>
        </row>
        <row r="63791">
          <cell r="O63791" t="str">
            <v/>
          </cell>
        </row>
        <row r="63792">
          <cell r="O63792" t="str">
            <v/>
          </cell>
        </row>
        <row r="63793">
          <cell r="O63793" t="str">
            <v/>
          </cell>
        </row>
        <row r="63794">
          <cell r="O63794" t="str">
            <v/>
          </cell>
        </row>
        <row r="63795">
          <cell r="O63795" t="str">
            <v/>
          </cell>
        </row>
        <row r="63796">
          <cell r="O63796" t="str">
            <v/>
          </cell>
        </row>
        <row r="63797">
          <cell r="O63797" t="str">
            <v/>
          </cell>
        </row>
        <row r="63798">
          <cell r="O63798" t="str">
            <v/>
          </cell>
        </row>
        <row r="63799">
          <cell r="O63799" t="str">
            <v/>
          </cell>
        </row>
        <row r="63800">
          <cell r="O63800" t="str">
            <v/>
          </cell>
        </row>
        <row r="63801">
          <cell r="O63801" t="str">
            <v/>
          </cell>
        </row>
        <row r="63802">
          <cell r="O63802" t="str">
            <v/>
          </cell>
        </row>
        <row r="63803">
          <cell r="O63803" t="str">
            <v/>
          </cell>
        </row>
        <row r="63804">
          <cell r="O63804" t="str">
            <v/>
          </cell>
        </row>
        <row r="63805">
          <cell r="O63805" t="str">
            <v/>
          </cell>
        </row>
        <row r="63806">
          <cell r="O63806" t="str">
            <v/>
          </cell>
        </row>
        <row r="63807">
          <cell r="O63807" t="str">
            <v/>
          </cell>
        </row>
        <row r="63808">
          <cell r="O63808" t="str">
            <v/>
          </cell>
        </row>
        <row r="63809">
          <cell r="O63809" t="str">
            <v/>
          </cell>
        </row>
        <row r="63810">
          <cell r="O63810" t="str">
            <v/>
          </cell>
        </row>
        <row r="63811">
          <cell r="O63811" t="str">
            <v/>
          </cell>
        </row>
        <row r="63812">
          <cell r="O63812" t="str">
            <v/>
          </cell>
        </row>
        <row r="63813">
          <cell r="O63813" t="str">
            <v/>
          </cell>
        </row>
        <row r="63814">
          <cell r="O63814" t="str">
            <v/>
          </cell>
        </row>
        <row r="63815">
          <cell r="O63815" t="str">
            <v/>
          </cell>
        </row>
        <row r="63816">
          <cell r="O63816" t="str">
            <v/>
          </cell>
        </row>
        <row r="63817">
          <cell r="O63817" t="str">
            <v/>
          </cell>
        </row>
        <row r="63818">
          <cell r="O63818" t="str">
            <v/>
          </cell>
        </row>
        <row r="63819">
          <cell r="O63819" t="str">
            <v/>
          </cell>
        </row>
        <row r="63820">
          <cell r="O63820" t="str">
            <v/>
          </cell>
        </row>
        <row r="63821">
          <cell r="O63821" t="str">
            <v/>
          </cell>
        </row>
        <row r="63822">
          <cell r="O63822" t="str">
            <v/>
          </cell>
        </row>
        <row r="63823">
          <cell r="O63823" t="str">
            <v/>
          </cell>
        </row>
        <row r="63824">
          <cell r="O63824" t="str">
            <v/>
          </cell>
        </row>
        <row r="63825">
          <cell r="O63825" t="str">
            <v/>
          </cell>
        </row>
        <row r="63826">
          <cell r="O63826" t="str">
            <v/>
          </cell>
        </row>
        <row r="63827">
          <cell r="O63827" t="str">
            <v/>
          </cell>
        </row>
        <row r="63828">
          <cell r="O63828" t="str">
            <v/>
          </cell>
        </row>
        <row r="63829">
          <cell r="O63829" t="str">
            <v/>
          </cell>
        </row>
        <row r="63830">
          <cell r="O63830" t="str">
            <v/>
          </cell>
        </row>
        <row r="63831">
          <cell r="O63831" t="str">
            <v/>
          </cell>
        </row>
        <row r="63832">
          <cell r="O63832" t="str">
            <v/>
          </cell>
        </row>
        <row r="63833">
          <cell r="O63833" t="str">
            <v/>
          </cell>
        </row>
        <row r="63834">
          <cell r="O63834" t="str">
            <v/>
          </cell>
        </row>
        <row r="63835">
          <cell r="O63835" t="str">
            <v/>
          </cell>
        </row>
        <row r="63836">
          <cell r="O63836" t="str">
            <v/>
          </cell>
        </row>
        <row r="63837">
          <cell r="O63837" t="str">
            <v/>
          </cell>
        </row>
        <row r="63838">
          <cell r="O63838" t="str">
            <v/>
          </cell>
        </row>
        <row r="63839">
          <cell r="O63839" t="str">
            <v/>
          </cell>
        </row>
        <row r="63840">
          <cell r="O63840" t="str">
            <v/>
          </cell>
        </row>
        <row r="63841">
          <cell r="O63841" t="str">
            <v/>
          </cell>
        </row>
        <row r="63842">
          <cell r="O63842" t="str">
            <v/>
          </cell>
        </row>
        <row r="63843">
          <cell r="O63843" t="str">
            <v/>
          </cell>
        </row>
        <row r="63844">
          <cell r="O63844" t="str">
            <v/>
          </cell>
        </row>
        <row r="63845">
          <cell r="O63845" t="str">
            <v/>
          </cell>
        </row>
        <row r="63846">
          <cell r="O63846" t="str">
            <v/>
          </cell>
        </row>
        <row r="63847">
          <cell r="O63847" t="str">
            <v/>
          </cell>
        </row>
        <row r="63848">
          <cell r="O63848" t="str">
            <v/>
          </cell>
        </row>
        <row r="63849">
          <cell r="O63849" t="str">
            <v/>
          </cell>
        </row>
        <row r="63850">
          <cell r="O63850" t="str">
            <v/>
          </cell>
        </row>
        <row r="63851">
          <cell r="O63851" t="str">
            <v/>
          </cell>
        </row>
        <row r="63852">
          <cell r="O63852" t="str">
            <v/>
          </cell>
        </row>
        <row r="63853">
          <cell r="O63853" t="str">
            <v/>
          </cell>
        </row>
        <row r="63854">
          <cell r="O63854" t="str">
            <v/>
          </cell>
        </row>
        <row r="63855">
          <cell r="O63855" t="str">
            <v/>
          </cell>
        </row>
        <row r="63856">
          <cell r="O63856" t="str">
            <v/>
          </cell>
        </row>
        <row r="63857">
          <cell r="O63857" t="str">
            <v/>
          </cell>
        </row>
        <row r="63858">
          <cell r="O63858" t="str">
            <v/>
          </cell>
        </row>
        <row r="63859">
          <cell r="O63859" t="str">
            <v/>
          </cell>
        </row>
        <row r="63860">
          <cell r="O63860" t="str">
            <v/>
          </cell>
        </row>
        <row r="63861">
          <cell r="O63861" t="str">
            <v/>
          </cell>
        </row>
        <row r="63862">
          <cell r="O63862" t="str">
            <v/>
          </cell>
        </row>
        <row r="63863">
          <cell r="O63863" t="str">
            <v/>
          </cell>
        </row>
        <row r="63864">
          <cell r="O63864" t="str">
            <v/>
          </cell>
        </row>
        <row r="63865">
          <cell r="O63865" t="str">
            <v/>
          </cell>
        </row>
        <row r="63866">
          <cell r="O63866" t="str">
            <v/>
          </cell>
        </row>
        <row r="63867">
          <cell r="O63867" t="str">
            <v/>
          </cell>
        </row>
        <row r="63868">
          <cell r="O63868" t="str">
            <v/>
          </cell>
        </row>
        <row r="63869">
          <cell r="O63869" t="str">
            <v/>
          </cell>
        </row>
        <row r="63870">
          <cell r="O63870" t="str">
            <v/>
          </cell>
        </row>
        <row r="63871">
          <cell r="O63871" t="str">
            <v/>
          </cell>
        </row>
        <row r="63872">
          <cell r="O63872" t="str">
            <v/>
          </cell>
        </row>
        <row r="63873">
          <cell r="O63873" t="str">
            <v/>
          </cell>
        </row>
        <row r="63874">
          <cell r="O63874" t="str">
            <v/>
          </cell>
        </row>
        <row r="63875">
          <cell r="O63875" t="str">
            <v/>
          </cell>
        </row>
        <row r="63876">
          <cell r="O63876" t="str">
            <v/>
          </cell>
        </row>
        <row r="63877">
          <cell r="O63877" t="str">
            <v/>
          </cell>
        </row>
        <row r="63878">
          <cell r="O63878" t="str">
            <v/>
          </cell>
        </row>
        <row r="63879">
          <cell r="O63879" t="str">
            <v/>
          </cell>
        </row>
        <row r="63880">
          <cell r="O63880" t="str">
            <v/>
          </cell>
        </row>
        <row r="63881">
          <cell r="O63881" t="str">
            <v/>
          </cell>
        </row>
        <row r="63882">
          <cell r="O63882" t="str">
            <v/>
          </cell>
        </row>
        <row r="63883">
          <cell r="O63883" t="str">
            <v/>
          </cell>
        </row>
        <row r="63884">
          <cell r="O63884" t="str">
            <v/>
          </cell>
        </row>
        <row r="63885">
          <cell r="O63885" t="str">
            <v/>
          </cell>
        </row>
        <row r="63886">
          <cell r="O63886" t="str">
            <v/>
          </cell>
        </row>
        <row r="63887">
          <cell r="O63887" t="str">
            <v/>
          </cell>
        </row>
        <row r="63888">
          <cell r="O63888" t="str">
            <v/>
          </cell>
        </row>
        <row r="63889">
          <cell r="O63889" t="str">
            <v/>
          </cell>
        </row>
        <row r="63890">
          <cell r="O63890" t="str">
            <v/>
          </cell>
        </row>
        <row r="63891">
          <cell r="O63891" t="str">
            <v/>
          </cell>
        </row>
        <row r="63892">
          <cell r="O63892" t="str">
            <v/>
          </cell>
        </row>
        <row r="63893">
          <cell r="O63893" t="str">
            <v/>
          </cell>
        </row>
        <row r="63894">
          <cell r="O63894" t="str">
            <v/>
          </cell>
        </row>
        <row r="63895">
          <cell r="O63895" t="str">
            <v/>
          </cell>
        </row>
        <row r="63896">
          <cell r="O63896" t="str">
            <v/>
          </cell>
        </row>
        <row r="63897">
          <cell r="O63897" t="str">
            <v/>
          </cell>
        </row>
        <row r="63898">
          <cell r="O63898" t="str">
            <v/>
          </cell>
        </row>
        <row r="63899">
          <cell r="O63899" t="str">
            <v/>
          </cell>
        </row>
        <row r="63900">
          <cell r="O63900" t="str">
            <v/>
          </cell>
        </row>
        <row r="63901">
          <cell r="O63901" t="str">
            <v/>
          </cell>
        </row>
        <row r="63902">
          <cell r="O63902" t="str">
            <v/>
          </cell>
        </row>
        <row r="63903">
          <cell r="O63903" t="str">
            <v/>
          </cell>
        </row>
        <row r="63904">
          <cell r="O63904" t="str">
            <v/>
          </cell>
        </row>
        <row r="63905">
          <cell r="O63905" t="str">
            <v/>
          </cell>
        </row>
        <row r="63906">
          <cell r="O63906" t="str">
            <v/>
          </cell>
        </row>
        <row r="63907">
          <cell r="O63907" t="str">
            <v/>
          </cell>
        </row>
        <row r="63908">
          <cell r="O63908" t="str">
            <v/>
          </cell>
        </row>
        <row r="63909">
          <cell r="O63909" t="str">
            <v/>
          </cell>
        </row>
        <row r="63910">
          <cell r="O63910" t="str">
            <v/>
          </cell>
        </row>
        <row r="63911">
          <cell r="O63911" t="str">
            <v/>
          </cell>
        </row>
        <row r="63912">
          <cell r="O63912" t="str">
            <v/>
          </cell>
        </row>
        <row r="63913">
          <cell r="O63913" t="str">
            <v/>
          </cell>
        </row>
        <row r="63914">
          <cell r="O63914" t="str">
            <v/>
          </cell>
        </row>
        <row r="63915">
          <cell r="O63915" t="str">
            <v/>
          </cell>
        </row>
        <row r="63916">
          <cell r="O63916" t="str">
            <v/>
          </cell>
        </row>
        <row r="63917">
          <cell r="O63917" t="str">
            <v/>
          </cell>
        </row>
        <row r="63918">
          <cell r="O63918" t="str">
            <v/>
          </cell>
        </row>
        <row r="63919">
          <cell r="O63919" t="str">
            <v/>
          </cell>
        </row>
        <row r="63920">
          <cell r="O63920" t="str">
            <v/>
          </cell>
        </row>
        <row r="63921">
          <cell r="O63921" t="str">
            <v/>
          </cell>
        </row>
        <row r="63922">
          <cell r="O63922" t="str">
            <v/>
          </cell>
        </row>
        <row r="63923">
          <cell r="O63923" t="str">
            <v/>
          </cell>
        </row>
        <row r="63924">
          <cell r="O63924" t="str">
            <v/>
          </cell>
        </row>
        <row r="63925">
          <cell r="O63925" t="str">
            <v/>
          </cell>
        </row>
        <row r="63926">
          <cell r="O63926" t="str">
            <v/>
          </cell>
        </row>
        <row r="63927">
          <cell r="O63927" t="str">
            <v/>
          </cell>
        </row>
        <row r="63928">
          <cell r="O63928" t="str">
            <v/>
          </cell>
        </row>
        <row r="63929">
          <cell r="O63929" t="str">
            <v/>
          </cell>
        </row>
        <row r="63930">
          <cell r="O63930" t="str">
            <v/>
          </cell>
        </row>
        <row r="63931">
          <cell r="O63931" t="str">
            <v/>
          </cell>
        </row>
        <row r="63932">
          <cell r="O63932" t="str">
            <v/>
          </cell>
        </row>
        <row r="63933">
          <cell r="O63933" t="str">
            <v/>
          </cell>
        </row>
        <row r="63934">
          <cell r="O63934" t="str">
            <v/>
          </cell>
        </row>
        <row r="63935">
          <cell r="O63935" t="str">
            <v/>
          </cell>
        </row>
        <row r="63936">
          <cell r="O63936" t="str">
            <v/>
          </cell>
        </row>
        <row r="63937">
          <cell r="O63937" t="str">
            <v/>
          </cell>
        </row>
        <row r="63938">
          <cell r="O63938" t="str">
            <v/>
          </cell>
        </row>
        <row r="63939">
          <cell r="O63939" t="str">
            <v/>
          </cell>
        </row>
        <row r="63940">
          <cell r="O63940" t="str">
            <v/>
          </cell>
        </row>
        <row r="63941">
          <cell r="O63941" t="str">
            <v/>
          </cell>
        </row>
        <row r="63942">
          <cell r="O63942" t="str">
            <v/>
          </cell>
        </row>
        <row r="63943">
          <cell r="O63943" t="str">
            <v/>
          </cell>
        </row>
        <row r="63944">
          <cell r="O63944" t="str">
            <v/>
          </cell>
        </row>
        <row r="63945">
          <cell r="O63945" t="str">
            <v/>
          </cell>
        </row>
        <row r="63946">
          <cell r="O63946" t="str">
            <v/>
          </cell>
        </row>
        <row r="63947">
          <cell r="O63947" t="str">
            <v/>
          </cell>
        </row>
        <row r="63948">
          <cell r="O63948" t="str">
            <v/>
          </cell>
        </row>
        <row r="63949">
          <cell r="O63949" t="str">
            <v/>
          </cell>
        </row>
        <row r="63950">
          <cell r="O63950" t="str">
            <v/>
          </cell>
        </row>
        <row r="63951">
          <cell r="O63951" t="str">
            <v/>
          </cell>
        </row>
        <row r="63952">
          <cell r="O63952" t="str">
            <v/>
          </cell>
        </row>
        <row r="63953">
          <cell r="O63953" t="str">
            <v/>
          </cell>
        </row>
        <row r="63954">
          <cell r="O63954" t="str">
            <v/>
          </cell>
        </row>
        <row r="63955">
          <cell r="O63955" t="str">
            <v/>
          </cell>
        </row>
        <row r="63956">
          <cell r="O63956" t="str">
            <v/>
          </cell>
        </row>
        <row r="63957">
          <cell r="O63957" t="str">
            <v/>
          </cell>
        </row>
        <row r="63958">
          <cell r="O63958" t="str">
            <v/>
          </cell>
        </row>
        <row r="63959">
          <cell r="O63959" t="str">
            <v/>
          </cell>
        </row>
        <row r="63960">
          <cell r="O63960" t="str">
            <v/>
          </cell>
        </row>
        <row r="63961">
          <cell r="O63961" t="str">
            <v/>
          </cell>
        </row>
        <row r="63962">
          <cell r="O63962" t="str">
            <v/>
          </cell>
        </row>
        <row r="63963">
          <cell r="O63963" t="str">
            <v/>
          </cell>
        </row>
        <row r="63964">
          <cell r="O63964" t="str">
            <v/>
          </cell>
        </row>
        <row r="63965">
          <cell r="O63965" t="str">
            <v/>
          </cell>
        </row>
        <row r="63966">
          <cell r="O63966" t="str">
            <v/>
          </cell>
        </row>
        <row r="63967">
          <cell r="O63967" t="str">
            <v/>
          </cell>
        </row>
        <row r="63968">
          <cell r="O63968" t="str">
            <v/>
          </cell>
        </row>
        <row r="63969">
          <cell r="O63969" t="str">
            <v/>
          </cell>
        </row>
        <row r="63970">
          <cell r="O63970" t="str">
            <v/>
          </cell>
        </row>
        <row r="63971">
          <cell r="O63971" t="str">
            <v/>
          </cell>
        </row>
        <row r="63972">
          <cell r="O63972" t="str">
            <v/>
          </cell>
        </row>
        <row r="63973">
          <cell r="O63973" t="str">
            <v/>
          </cell>
        </row>
        <row r="63974">
          <cell r="O63974" t="str">
            <v/>
          </cell>
        </row>
        <row r="63975">
          <cell r="O63975" t="str">
            <v/>
          </cell>
        </row>
        <row r="63976">
          <cell r="O63976" t="str">
            <v/>
          </cell>
        </row>
        <row r="63977">
          <cell r="O63977" t="str">
            <v/>
          </cell>
        </row>
        <row r="63978">
          <cell r="O63978" t="str">
            <v/>
          </cell>
        </row>
        <row r="63979">
          <cell r="O63979" t="str">
            <v/>
          </cell>
        </row>
        <row r="63980">
          <cell r="O63980" t="str">
            <v/>
          </cell>
        </row>
        <row r="63981">
          <cell r="O63981" t="str">
            <v/>
          </cell>
        </row>
        <row r="63982">
          <cell r="O63982" t="str">
            <v/>
          </cell>
        </row>
        <row r="63983">
          <cell r="O63983" t="str">
            <v/>
          </cell>
        </row>
        <row r="63984">
          <cell r="O63984" t="str">
            <v/>
          </cell>
        </row>
        <row r="63985">
          <cell r="O63985" t="str">
            <v/>
          </cell>
        </row>
        <row r="63986">
          <cell r="O63986" t="str">
            <v/>
          </cell>
        </row>
        <row r="63987">
          <cell r="O63987" t="str">
            <v/>
          </cell>
        </row>
        <row r="63988">
          <cell r="O63988" t="str">
            <v/>
          </cell>
        </row>
        <row r="63989">
          <cell r="O63989" t="str">
            <v/>
          </cell>
        </row>
        <row r="63990">
          <cell r="O63990" t="str">
            <v/>
          </cell>
        </row>
        <row r="63991">
          <cell r="O63991" t="str">
            <v/>
          </cell>
        </row>
        <row r="63992">
          <cell r="O63992" t="str">
            <v/>
          </cell>
        </row>
        <row r="63993">
          <cell r="O63993" t="str">
            <v/>
          </cell>
        </row>
        <row r="63994">
          <cell r="O63994" t="str">
            <v/>
          </cell>
        </row>
        <row r="63995">
          <cell r="O63995" t="str">
            <v/>
          </cell>
        </row>
        <row r="63996">
          <cell r="O63996" t="str">
            <v/>
          </cell>
        </row>
        <row r="63997">
          <cell r="O63997" t="str">
            <v/>
          </cell>
        </row>
        <row r="63998">
          <cell r="O63998" t="str">
            <v/>
          </cell>
        </row>
        <row r="63999">
          <cell r="O63999" t="str">
            <v/>
          </cell>
        </row>
        <row r="64000">
          <cell r="O64000" t="str">
            <v/>
          </cell>
        </row>
        <row r="64001">
          <cell r="O64001" t="str">
            <v/>
          </cell>
        </row>
        <row r="64002">
          <cell r="O64002" t="str">
            <v/>
          </cell>
        </row>
        <row r="64003">
          <cell r="O64003" t="str">
            <v/>
          </cell>
        </row>
        <row r="64004">
          <cell r="O64004" t="str">
            <v/>
          </cell>
        </row>
        <row r="64005">
          <cell r="O64005" t="str">
            <v/>
          </cell>
        </row>
        <row r="64006">
          <cell r="O64006" t="str">
            <v/>
          </cell>
        </row>
        <row r="64007">
          <cell r="O64007" t="str">
            <v/>
          </cell>
        </row>
        <row r="64008">
          <cell r="O64008" t="str">
            <v/>
          </cell>
        </row>
        <row r="64009">
          <cell r="O64009" t="str">
            <v/>
          </cell>
        </row>
        <row r="64010">
          <cell r="O64010" t="str">
            <v/>
          </cell>
        </row>
        <row r="64011">
          <cell r="O64011" t="str">
            <v/>
          </cell>
        </row>
        <row r="64012">
          <cell r="O64012" t="str">
            <v/>
          </cell>
        </row>
        <row r="64013">
          <cell r="O64013" t="str">
            <v/>
          </cell>
        </row>
        <row r="64014">
          <cell r="O64014" t="str">
            <v/>
          </cell>
        </row>
        <row r="64015">
          <cell r="O64015" t="str">
            <v/>
          </cell>
        </row>
        <row r="64016">
          <cell r="O64016" t="str">
            <v/>
          </cell>
        </row>
        <row r="64017">
          <cell r="O64017" t="str">
            <v/>
          </cell>
        </row>
        <row r="64018">
          <cell r="O64018" t="str">
            <v/>
          </cell>
        </row>
        <row r="64019">
          <cell r="O64019" t="str">
            <v/>
          </cell>
        </row>
        <row r="64020">
          <cell r="O64020" t="str">
            <v/>
          </cell>
        </row>
        <row r="64021">
          <cell r="O64021" t="str">
            <v/>
          </cell>
        </row>
        <row r="64022">
          <cell r="O64022" t="str">
            <v/>
          </cell>
        </row>
        <row r="64023">
          <cell r="O64023" t="str">
            <v/>
          </cell>
        </row>
        <row r="64024">
          <cell r="O64024" t="str">
            <v/>
          </cell>
        </row>
        <row r="64025">
          <cell r="O64025" t="str">
            <v/>
          </cell>
        </row>
        <row r="64026">
          <cell r="O64026" t="str">
            <v/>
          </cell>
        </row>
        <row r="64027">
          <cell r="O64027" t="str">
            <v/>
          </cell>
        </row>
        <row r="64028">
          <cell r="O64028" t="str">
            <v/>
          </cell>
        </row>
        <row r="64029">
          <cell r="O64029" t="str">
            <v/>
          </cell>
        </row>
        <row r="64030">
          <cell r="O64030" t="str">
            <v/>
          </cell>
        </row>
        <row r="64031">
          <cell r="O64031" t="str">
            <v/>
          </cell>
        </row>
        <row r="64032">
          <cell r="O64032" t="str">
            <v/>
          </cell>
        </row>
        <row r="64033">
          <cell r="O64033" t="str">
            <v/>
          </cell>
        </row>
        <row r="64034">
          <cell r="O64034" t="str">
            <v/>
          </cell>
        </row>
        <row r="64035">
          <cell r="O64035" t="str">
            <v/>
          </cell>
        </row>
        <row r="64036">
          <cell r="O64036" t="str">
            <v/>
          </cell>
        </row>
        <row r="64037">
          <cell r="O64037" t="str">
            <v/>
          </cell>
        </row>
        <row r="64038">
          <cell r="O64038" t="str">
            <v/>
          </cell>
        </row>
        <row r="64039">
          <cell r="O64039" t="str">
            <v/>
          </cell>
        </row>
        <row r="64040">
          <cell r="O64040" t="str">
            <v/>
          </cell>
        </row>
        <row r="64041">
          <cell r="O64041" t="str">
            <v/>
          </cell>
        </row>
        <row r="64042">
          <cell r="O64042" t="str">
            <v/>
          </cell>
        </row>
        <row r="64043">
          <cell r="O64043" t="str">
            <v/>
          </cell>
        </row>
        <row r="64044">
          <cell r="O64044" t="str">
            <v/>
          </cell>
        </row>
        <row r="64045">
          <cell r="O64045" t="str">
            <v/>
          </cell>
        </row>
        <row r="64046">
          <cell r="O64046" t="str">
            <v/>
          </cell>
        </row>
        <row r="64047">
          <cell r="O64047" t="str">
            <v/>
          </cell>
        </row>
        <row r="64048">
          <cell r="O64048" t="str">
            <v/>
          </cell>
        </row>
        <row r="64049">
          <cell r="O64049" t="str">
            <v/>
          </cell>
        </row>
        <row r="64050">
          <cell r="O64050" t="str">
            <v/>
          </cell>
        </row>
        <row r="64051">
          <cell r="O64051" t="str">
            <v/>
          </cell>
        </row>
        <row r="64052">
          <cell r="O64052" t="str">
            <v/>
          </cell>
        </row>
        <row r="64053">
          <cell r="O64053" t="str">
            <v/>
          </cell>
        </row>
        <row r="64054">
          <cell r="O64054" t="str">
            <v/>
          </cell>
        </row>
        <row r="64055">
          <cell r="O64055" t="str">
            <v/>
          </cell>
        </row>
        <row r="64056">
          <cell r="O64056" t="str">
            <v/>
          </cell>
        </row>
        <row r="64057">
          <cell r="O64057" t="str">
            <v/>
          </cell>
        </row>
        <row r="64058">
          <cell r="O64058" t="str">
            <v/>
          </cell>
        </row>
        <row r="64059">
          <cell r="O64059" t="str">
            <v/>
          </cell>
        </row>
        <row r="64060">
          <cell r="O64060" t="str">
            <v/>
          </cell>
        </row>
        <row r="64061">
          <cell r="O64061" t="str">
            <v/>
          </cell>
        </row>
        <row r="64062">
          <cell r="O64062" t="str">
            <v/>
          </cell>
        </row>
        <row r="64063">
          <cell r="O64063" t="str">
            <v/>
          </cell>
        </row>
        <row r="64064">
          <cell r="O64064" t="str">
            <v/>
          </cell>
        </row>
        <row r="64065">
          <cell r="O64065" t="str">
            <v/>
          </cell>
        </row>
        <row r="64066">
          <cell r="O64066" t="str">
            <v/>
          </cell>
        </row>
        <row r="64067">
          <cell r="O64067" t="str">
            <v/>
          </cell>
        </row>
        <row r="64068">
          <cell r="O64068" t="str">
            <v/>
          </cell>
        </row>
        <row r="64069">
          <cell r="O64069" t="str">
            <v/>
          </cell>
        </row>
        <row r="64070">
          <cell r="O64070" t="str">
            <v/>
          </cell>
        </row>
        <row r="64071">
          <cell r="O64071" t="str">
            <v/>
          </cell>
        </row>
        <row r="64072">
          <cell r="O64072" t="str">
            <v/>
          </cell>
        </row>
        <row r="64073">
          <cell r="O64073" t="str">
            <v/>
          </cell>
        </row>
        <row r="64074">
          <cell r="O64074" t="str">
            <v/>
          </cell>
        </row>
        <row r="64075">
          <cell r="O64075" t="str">
            <v/>
          </cell>
        </row>
        <row r="64076">
          <cell r="O64076" t="str">
            <v/>
          </cell>
        </row>
        <row r="64077">
          <cell r="O64077" t="str">
            <v/>
          </cell>
        </row>
        <row r="64078">
          <cell r="O64078" t="str">
            <v/>
          </cell>
        </row>
        <row r="64079">
          <cell r="O64079" t="str">
            <v/>
          </cell>
        </row>
        <row r="64080">
          <cell r="O64080" t="str">
            <v/>
          </cell>
        </row>
        <row r="64081">
          <cell r="O64081" t="str">
            <v/>
          </cell>
        </row>
        <row r="64082">
          <cell r="O64082" t="str">
            <v/>
          </cell>
        </row>
        <row r="64083">
          <cell r="O64083" t="str">
            <v/>
          </cell>
        </row>
        <row r="64084">
          <cell r="O64084" t="str">
            <v/>
          </cell>
        </row>
        <row r="64085">
          <cell r="O64085" t="str">
            <v/>
          </cell>
        </row>
        <row r="64086">
          <cell r="O64086" t="str">
            <v/>
          </cell>
        </row>
        <row r="64087">
          <cell r="O64087" t="str">
            <v/>
          </cell>
        </row>
        <row r="64088">
          <cell r="O64088" t="str">
            <v/>
          </cell>
        </row>
        <row r="64089">
          <cell r="O64089" t="str">
            <v/>
          </cell>
        </row>
        <row r="64090">
          <cell r="O64090" t="str">
            <v/>
          </cell>
        </row>
        <row r="64091">
          <cell r="O64091" t="str">
            <v/>
          </cell>
        </row>
        <row r="64092">
          <cell r="O64092" t="str">
            <v/>
          </cell>
        </row>
        <row r="64093">
          <cell r="O64093" t="str">
            <v/>
          </cell>
        </row>
        <row r="64094">
          <cell r="O64094" t="str">
            <v/>
          </cell>
        </row>
        <row r="64095">
          <cell r="O64095" t="str">
            <v/>
          </cell>
        </row>
        <row r="64096">
          <cell r="O64096" t="str">
            <v/>
          </cell>
        </row>
        <row r="64097">
          <cell r="O64097" t="str">
            <v/>
          </cell>
        </row>
        <row r="64098">
          <cell r="O64098" t="str">
            <v/>
          </cell>
        </row>
        <row r="64099">
          <cell r="O64099" t="str">
            <v/>
          </cell>
        </row>
        <row r="64100">
          <cell r="O64100" t="str">
            <v/>
          </cell>
        </row>
        <row r="64101">
          <cell r="O64101" t="str">
            <v/>
          </cell>
        </row>
        <row r="64102">
          <cell r="O64102" t="str">
            <v/>
          </cell>
        </row>
        <row r="64103">
          <cell r="O64103" t="str">
            <v/>
          </cell>
        </row>
        <row r="64104">
          <cell r="O64104" t="str">
            <v/>
          </cell>
        </row>
        <row r="64105">
          <cell r="O64105" t="str">
            <v/>
          </cell>
        </row>
        <row r="64106">
          <cell r="O64106" t="str">
            <v/>
          </cell>
        </row>
        <row r="64107">
          <cell r="O64107" t="str">
            <v/>
          </cell>
        </row>
        <row r="64108">
          <cell r="O64108" t="str">
            <v/>
          </cell>
        </row>
        <row r="64109">
          <cell r="O64109" t="str">
            <v/>
          </cell>
        </row>
        <row r="64110">
          <cell r="O64110" t="str">
            <v/>
          </cell>
        </row>
        <row r="64111">
          <cell r="O64111" t="str">
            <v/>
          </cell>
        </row>
        <row r="64112">
          <cell r="O64112" t="str">
            <v/>
          </cell>
        </row>
        <row r="64113">
          <cell r="O64113" t="str">
            <v/>
          </cell>
        </row>
        <row r="64114">
          <cell r="O64114" t="str">
            <v/>
          </cell>
        </row>
        <row r="64115">
          <cell r="O64115" t="str">
            <v/>
          </cell>
        </row>
        <row r="64116">
          <cell r="O64116" t="str">
            <v/>
          </cell>
        </row>
        <row r="64117">
          <cell r="O64117" t="str">
            <v/>
          </cell>
        </row>
        <row r="64118">
          <cell r="O64118" t="str">
            <v/>
          </cell>
        </row>
        <row r="64119">
          <cell r="O64119" t="str">
            <v/>
          </cell>
        </row>
        <row r="64120">
          <cell r="O64120" t="str">
            <v/>
          </cell>
        </row>
        <row r="64121">
          <cell r="O64121" t="str">
            <v/>
          </cell>
        </row>
        <row r="64122">
          <cell r="O64122" t="str">
            <v/>
          </cell>
        </row>
        <row r="64123">
          <cell r="O64123" t="str">
            <v/>
          </cell>
        </row>
        <row r="64124">
          <cell r="O64124" t="str">
            <v/>
          </cell>
        </row>
        <row r="64125">
          <cell r="O64125" t="str">
            <v/>
          </cell>
        </row>
        <row r="64126">
          <cell r="O64126" t="str">
            <v/>
          </cell>
        </row>
        <row r="64127">
          <cell r="O64127" t="str">
            <v/>
          </cell>
        </row>
        <row r="64128">
          <cell r="O64128" t="str">
            <v/>
          </cell>
        </row>
        <row r="64129">
          <cell r="O64129" t="str">
            <v/>
          </cell>
        </row>
        <row r="64130">
          <cell r="O64130" t="str">
            <v/>
          </cell>
        </row>
        <row r="64131">
          <cell r="O64131" t="str">
            <v/>
          </cell>
        </row>
        <row r="64132">
          <cell r="O64132" t="str">
            <v/>
          </cell>
        </row>
        <row r="64133">
          <cell r="O64133" t="str">
            <v/>
          </cell>
        </row>
        <row r="64134">
          <cell r="O64134" t="str">
            <v/>
          </cell>
        </row>
        <row r="64135">
          <cell r="O64135" t="str">
            <v/>
          </cell>
        </row>
        <row r="64136">
          <cell r="O64136" t="str">
            <v/>
          </cell>
        </row>
        <row r="64137">
          <cell r="O64137" t="str">
            <v/>
          </cell>
        </row>
        <row r="64138">
          <cell r="O64138" t="str">
            <v/>
          </cell>
        </row>
        <row r="64139">
          <cell r="O64139" t="str">
            <v/>
          </cell>
        </row>
        <row r="64140">
          <cell r="O64140" t="str">
            <v/>
          </cell>
        </row>
        <row r="64141">
          <cell r="O64141" t="str">
            <v/>
          </cell>
        </row>
        <row r="64142">
          <cell r="O64142" t="str">
            <v/>
          </cell>
        </row>
        <row r="64143">
          <cell r="O64143" t="str">
            <v/>
          </cell>
        </row>
        <row r="64144">
          <cell r="O64144" t="str">
            <v/>
          </cell>
        </row>
        <row r="64145">
          <cell r="O64145" t="str">
            <v/>
          </cell>
        </row>
        <row r="64146">
          <cell r="O64146" t="str">
            <v/>
          </cell>
        </row>
        <row r="64147">
          <cell r="O64147" t="str">
            <v/>
          </cell>
        </row>
        <row r="64148">
          <cell r="O64148" t="str">
            <v/>
          </cell>
        </row>
        <row r="64149">
          <cell r="O64149" t="str">
            <v/>
          </cell>
        </row>
        <row r="64150">
          <cell r="O64150" t="str">
            <v/>
          </cell>
        </row>
        <row r="64151">
          <cell r="O64151" t="str">
            <v/>
          </cell>
        </row>
        <row r="64152">
          <cell r="O64152" t="str">
            <v/>
          </cell>
        </row>
        <row r="64153">
          <cell r="O64153" t="str">
            <v/>
          </cell>
        </row>
        <row r="64154">
          <cell r="O64154" t="str">
            <v/>
          </cell>
        </row>
        <row r="64155">
          <cell r="O64155" t="str">
            <v/>
          </cell>
        </row>
        <row r="64156">
          <cell r="O64156" t="str">
            <v/>
          </cell>
        </row>
        <row r="64157">
          <cell r="O64157" t="str">
            <v/>
          </cell>
        </row>
        <row r="64158">
          <cell r="O64158" t="str">
            <v/>
          </cell>
        </row>
        <row r="64159">
          <cell r="O64159" t="str">
            <v/>
          </cell>
        </row>
        <row r="64160">
          <cell r="O64160" t="str">
            <v/>
          </cell>
        </row>
        <row r="64161">
          <cell r="O64161" t="str">
            <v/>
          </cell>
        </row>
        <row r="64162">
          <cell r="O64162" t="str">
            <v/>
          </cell>
        </row>
        <row r="64163">
          <cell r="O64163" t="str">
            <v/>
          </cell>
        </row>
        <row r="64164">
          <cell r="O64164" t="str">
            <v/>
          </cell>
        </row>
        <row r="64165">
          <cell r="O64165" t="str">
            <v/>
          </cell>
        </row>
        <row r="64166">
          <cell r="O64166" t="str">
            <v/>
          </cell>
        </row>
        <row r="64167">
          <cell r="O64167" t="str">
            <v/>
          </cell>
        </row>
        <row r="64168">
          <cell r="O64168" t="str">
            <v/>
          </cell>
        </row>
        <row r="64169">
          <cell r="O64169" t="str">
            <v/>
          </cell>
        </row>
        <row r="64170">
          <cell r="O64170" t="str">
            <v/>
          </cell>
        </row>
        <row r="64171">
          <cell r="O64171" t="str">
            <v/>
          </cell>
        </row>
        <row r="64172">
          <cell r="O64172" t="str">
            <v/>
          </cell>
        </row>
        <row r="64173">
          <cell r="O64173" t="str">
            <v/>
          </cell>
        </row>
        <row r="64174">
          <cell r="O64174" t="str">
            <v/>
          </cell>
        </row>
        <row r="64175">
          <cell r="O64175" t="str">
            <v/>
          </cell>
        </row>
        <row r="64176">
          <cell r="O64176" t="str">
            <v/>
          </cell>
        </row>
        <row r="64177">
          <cell r="O64177" t="str">
            <v/>
          </cell>
        </row>
        <row r="64178">
          <cell r="O64178" t="str">
            <v/>
          </cell>
        </row>
        <row r="64179">
          <cell r="O64179" t="str">
            <v/>
          </cell>
        </row>
        <row r="64180">
          <cell r="O64180" t="str">
            <v/>
          </cell>
        </row>
        <row r="64181">
          <cell r="O64181" t="str">
            <v/>
          </cell>
        </row>
        <row r="64182">
          <cell r="O64182" t="str">
            <v/>
          </cell>
        </row>
        <row r="64183">
          <cell r="O64183" t="str">
            <v/>
          </cell>
        </row>
        <row r="64184">
          <cell r="O64184" t="str">
            <v/>
          </cell>
        </row>
        <row r="64185">
          <cell r="O64185" t="str">
            <v/>
          </cell>
        </row>
        <row r="64186">
          <cell r="O64186" t="str">
            <v/>
          </cell>
        </row>
        <row r="64187">
          <cell r="O64187" t="str">
            <v/>
          </cell>
        </row>
        <row r="64188">
          <cell r="O64188" t="str">
            <v/>
          </cell>
        </row>
        <row r="64189">
          <cell r="O64189" t="str">
            <v/>
          </cell>
        </row>
        <row r="64190">
          <cell r="O64190" t="str">
            <v/>
          </cell>
        </row>
        <row r="64191">
          <cell r="O64191" t="str">
            <v/>
          </cell>
        </row>
        <row r="64192">
          <cell r="O64192" t="str">
            <v/>
          </cell>
        </row>
        <row r="64193">
          <cell r="O64193" t="str">
            <v/>
          </cell>
        </row>
        <row r="64194">
          <cell r="O64194" t="str">
            <v/>
          </cell>
        </row>
        <row r="64195">
          <cell r="O64195" t="str">
            <v/>
          </cell>
        </row>
        <row r="64196">
          <cell r="O64196" t="str">
            <v/>
          </cell>
        </row>
        <row r="64197">
          <cell r="O64197" t="str">
            <v/>
          </cell>
        </row>
        <row r="64198">
          <cell r="O64198" t="str">
            <v/>
          </cell>
        </row>
        <row r="64199">
          <cell r="O64199" t="str">
            <v/>
          </cell>
        </row>
        <row r="64200">
          <cell r="O64200" t="str">
            <v/>
          </cell>
        </row>
        <row r="64201">
          <cell r="O64201" t="str">
            <v/>
          </cell>
        </row>
        <row r="64202">
          <cell r="O64202" t="str">
            <v/>
          </cell>
        </row>
        <row r="64203">
          <cell r="O64203" t="str">
            <v/>
          </cell>
        </row>
        <row r="64204">
          <cell r="O64204" t="str">
            <v/>
          </cell>
        </row>
        <row r="64205">
          <cell r="O64205" t="str">
            <v/>
          </cell>
        </row>
        <row r="64206">
          <cell r="O64206" t="str">
            <v/>
          </cell>
        </row>
        <row r="64207">
          <cell r="O64207" t="str">
            <v/>
          </cell>
        </row>
        <row r="64208">
          <cell r="O64208" t="str">
            <v/>
          </cell>
        </row>
        <row r="64209">
          <cell r="O64209" t="str">
            <v/>
          </cell>
        </row>
        <row r="64210">
          <cell r="O64210" t="str">
            <v/>
          </cell>
        </row>
        <row r="64211">
          <cell r="O64211" t="str">
            <v/>
          </cell>
        </row>
        <row r="64212">
          <cell r="O64212" t="str">
            <v/>
          </cell>
        </row>
        <row r="64213">
          <cell r="O64213" t="str">
            <v/>
          </cell>
        </row>
        <row r="64214">
          <cell r="O64214" t="str">
            <v/>
          </cell>
        </row>
        <row r="64215">
          <cell r="O64215" t="str">
            <v/>
          </cell>
        </row>
        <row r="64216">
          <cell r="O64216" t="str">
            <v/>
          </cell>
        </row>
        <row r="64217">
          <cell r="O64217" t="str">
            <v/>
          </cell>
        </row>
        <row r="64218">
          <cell r="O64218" t="str">
            <v/>
          </cell>
        </row>
        <row r="64219">
          <cell r="O64219" t="str">
            <v/>
          </cell>
        </row>
        <row r="64220">
          <cell r="O64220" t="str">
            <v/>
          </cell>
        </row>
        <row r="64221">
          <cell r="O64221" t="str">
            <v/>
          </cell>
        </row>
        <row r="64222">
          <cell r="O64222" t="str">
            <v/>
          </cell>
        </row>
        <row r="64223">
          <cell r="O64223" t="str">
            <v/>
          </cell>
        </row>
        <row r="64224">
          <cell r="O64224" t="str">
            <v/>
          </cell>
        </row>
        <row r="64225">
          <cell r="O64225" t="str">
            <v/>
          </cell>
        </row>
        <row r="64226">
          <cell r="O64226" t="str">
            <v/>
          </cell>
        </row>
        <row r="64227">
          <cell r="O64227" t="str">
            <v/>
          </cell>
        </row>
        <row r="64228">
          <cell r="O64228" t="str">
            <v/>
          </cell>
        </row>
        <row r="64229">
          <cell r="O64229" t="str">
            <v/>
          </cell>
        </row>
        <row r="64230">
          <cell r="O64230" t="str">
            <v/>
          </cell>
        </row>
        <row r="64231">
          <cell r="O64231" t="str">
            <v/>
          </cell>
        </row>
        <row r="64232">
          <cell r="O64232" t="str">
            <v/>
          </cell>
        </row>
        <row r="64233">
          <cell r="O64233" t="str">
            <v/>
          </cell>
        </row>
        <row r="64234">
          <cell r="O64234" t="str">
            <v/>
          </cell>
        </row>
        <row r="64235">
          <cell r="O64235" t="str">
            <v/>
          </cell>
        </row>
        <row r="64236">
          <cell r="O64236" t="str">
            <v/>
          </cell>
        </row>
        <row r="64237">
          <cell r="O64237" t="str">
            <v/>
          </cell>
        </row>
        <row r="64238">
          <cell r="O64238" t="str">
            <v/>
          </cell>
        </row>
        <row r="64239">
          <cell r="O64239" t="str">
            <v/>
          </cell>
        </row>
        <row r="64240">
          <cell r="O64240" t="str">
            <v/>
          </cell>
        </row>
        <row r="64241">
          <cell r="O64241" t="str">
            <v/>
          </cell>
        </row>
        <row r="64242">
          <cell r="O64242" t="str">
            <v/>
          </cell>
        </row>
        <row r="64243">
          <cell r="O64243" t="str">
            <v/>
          </cell>
        </row>
        <row r="64244">
          <cell r="O64244" t="str">
            <v/>
          </cell>
        </row>
        <row r="64245">
          <cell r="O64245" t="str">
            <v/>
          </cell>
        </row>
        <row r="64246">
          <cell r="O64246" t="str">
            <v/>
          </cell>
        </row>
        <row r="64247">
          <cell r="O64247" t="str">
            <v/>
          </cell>
        </row>
        <row r="64248">
          <cell r="O64248" t="str">
            <v/>
          </cell>
        </row>
        <row r="64249">
          <cell r="O64249" t="str">
            <v/>
          </cell>
        </row>
        <row r="64250">
          <cell r="O64250" t="str">
            <v/>
          </cell>
        </row>
        <row r="64251">
          <cell r="O64251" t="str">
            <v/>
          </cell>
        </row>
        <row r="64252">
          <cell r="O64252" t="str">
            <v/>
          </cell>
        </row>
        <row r="64253">
          <cell r="O64253" t="str">
            <v/>
          </cell>
        </row>
        <row r="64254">
          <cell r="O64254" t="str">
            <v/>
          </cell>
        </row>
        <row r="64255">
          <cell r="O64255" t="str">
            <v/>
          </cell>
        </row>
        <row r="64256">
          <cell r="O64256" t="str">
            <v/>
          </cell>
        </row>
        <row r="64257">
          <cell r="O64257" t="str">
            <v/>
          </cell>
        </row>
        <row r="64258">
          <cell r="O64258" t="str">
            <v/>
          </cell>
        </row>
        <row r="64259">
          <cell r="O64259" t="str">
            <v/>
          </cell>
        </row>
        <row r="64260">
          <cell r="O64260" t="str">
            <v/>
          </cell>
        </row>
        <row r="64261">
          <cell r="O64261" t="str">
            <v/>
          </cell>
        </row>
        <row r="64262">
          <cell r="O64262" t="str">
            <v/>
          </cell>
        </row>
        <row r="64263">
          <cell r="O64263" t="str">
            <v/>
          </cell>
        </row>
        <row r="64264">
          <cell r="O64264" t="str">
            <v/>
          </cell>
        </row>
        <row r="64265">
          <cell r="O64265" t="str">
            <v/>
          </cell>
        </row>
        <row r="64266">
          <cell r="O64266" t="str">
            <v/>
          </cell>
        </row>
        <row r="64267">
          <cell r="O64267" t="str">
            <v/>
          </cell>
        </row>
        <row r="64268">
          <cell r="O64268" t="str">
            <v/>
          </cell>
        </row>
        <row r="64269">
          <cell r="O64269" t="str">
            <v/>
          </cell>
        </row>
        <row r="64270">
          <cell r="O64270" t="str">
            <v/>
          </cell>
        </row>
        <row r="64271">
          <cell r="O64271" t="str">
            <v/>
          </cell>
        </row>
        <row r="64272">
          <cell r="O64272" t="str">
            <v/>
          </cell>
        </row>
        <row r="64273">
          <cell r="O64273" t="str">
            <v/>
          </cell>
        </row>
        <row r="64274">
          <cell r="O64274" t="str">
            <v/>
          </cell>
        </row>
        <row r="64275">
          <cell r="O64275" t="str">
            <v/>
          </cell>
        </row>
        <row r="64276">
          <cell r="O64276" t="str">
            <v/>
          </cell>
        </row>
        <row r="64277">
          <cell r="O64277" t="str">
            <v/>
          </cell>
        </row>
        <row r="64278">
          <cell r="O64278" t="str">
            <v/>
          </cell>
        </row>
        <row r="64279">
          <cell r="O64279" t="str">
            <v/>
          </cell>
        </row>
        <row r="64280">
          <cell r="O64280" t="str">
            <v/>
          </cell>
        </row>
        <row r="64281">
          <cell r="O64281" t="str">
            <v/>
          </cell>
        </row>
        <row r="64282">
          <cell r="O64282" t="str">
            <v/>
          </cell>
        </row>
        <row r="64283">
          <cell r="O64283" t="str">
            <v/>
          </cell>
        </row>
        <row r="64284">
          <cell r="O64284" t="str">
            <v/>
          </cell>
        </row>
        <row r="64285">
          <cell r="O64285" t="str">
            <v/>
          </cell>
        </row>
        <row r="64286">
          <cell r="O64286" t="str">
            <v/>
          </cell>
        </row>
        <row r="64287">
          <cell r="O64287" t="str">
            <v/>
          </cell>
        </row>
        <row r="64288">
          <cell r="O64288" t="str">
            <v/>
          </cell>
        </row>
        <row r="64289">
          <cell r="O64289" t="str">
            <v/>
          </cell>
        </row>
        <row r="64290">
          <cell r="O64290" t="str">
            <v/>
          </cell>
        </row>
        <row r="64291">
          <cell r="O64291" t="str">
            <v/>
          </cell>
        </row>
        <row r="64292">
          <cell r="O64292" t="str">
            <v/>
          </cell>
        </row>
        <row r="64293">
          <cell r="O64293" t="str">
            <v/>
          </cell>
        </row>
        <row r="64294">
          <cell r="O64294" t="str">
            <v/>
          </cell>
        </row>
        <row r="64295">
          <cell r="O64295" t="str">
            <v/>
          </cell>
        </row>
        <row r="64296">
          <cell r="O64296" t="str">
            <v/>
          </cell>
        </row>
        <row r="64297">
          <cell r="O64297" t="str">
            <v/>
          </cell>
        </row>
        <row r="64298">
          <cell r="O64298" t="str">
            <v/>
          </cell>
        </row>
        <row r="64299">
          <cell r="O64299" t="str">
            <v/>
          </cell>
        </row>
        <row r="64300">
          <cell r="O64300" t="str">
            <v/>
          </cell>
        </row>
        <row r="64301">
          <cell r="O64301" t="str">
            <v/>
          </cell>
        </row>
        <row r="64302">
          <cell r="O64302" t="str">
            <v/>
          </cell>
        </row>
        <row r="64303">
          <cell r="O64303" t="str">
            <v/>
          </cell>
        </row>
        <row r="64304">
          <cell r="O64304" t="str">
            <v/>
          </cell>
        </row>
        <row r="64305">
          <cell r="O64305" t="str">
            <v/>
          </cell>
        </row>
        <row r="64306">
          <cell r="O64306" t="str">
            <v/>
          </cell>
        </row>
        <row r="64307">
          <cell r="O64307" t="str">
            <v/>
          </cell>
        </row>
        <row r="64308">
          <cell r="O64308" t="str">
            <v/>
          </cell>
        </row>
        <row r="64309">
          <cell r="O64309" t="str">
            <v/>
          </cell>
        </row>
        <row r="64310">
          <cell r="O64310" t="str">
            <v/>
          </cell>
        </row>
        <row r="64311">
          <cell r="O64311" t="str">
            <v/>
          </cell>
        </row>
        <row r="64312">
          <cell r="O64312" t="str">
            <v/>
          </cell>
        </row>
        <row r="64313">
          <cell r="O64313" t="str">
            <v/>
          </cell>
        </row>
        <row r="64314">
          <cell r="O64314" t="str">
            <v/>
          </cell>
        </row>
        <row r="64315">
          <cell r="O64315" t="str">
            <v/>
          </cell>
        </row>
        <row r="64316">
          <cell r="O64316" t="str">
            <v/>
          </cell>
        </row>
        <row r="64317">
          <cell r="O64317" t="str">
            <v/>
          </cell>
        </row>
        <row r="64318">
          <cell r="O64318" t="str">
            <v/>
          </cell>
        </row>
        <row r="64319">
          <cell r="O64319" t="str">
            <v/>
          </cell>
        </row>
        <row r="64320">
          <cell r="O64320" t="str">
            <v/>
          </cell>
        </row>
        <row r="64321">
          <cell r="O64321" t="str">
            <v/>
          </cell>
        </row>
        <row r="64322">
          <cell r="O64322" t="str">
            <v/>
          </cell>
        </row>
        <row r="64323">
          <cell r="O64323" t="str">
            <v/>
          </cell>
        </row>
        <row r="64324">
          <cell r="O64324" t="str">
            <v/>
          </cell>
        </row>
        <row r="64325">
          <cell r="O64325" t="str">
            <v/>
          </cell>
        </row>
        <row r="64326">
          <cell r="O64326" t="str">
            <v/>
          </cell>
        </row>
        <row r="64327">
          <cell r="O64327" t="str">
            <v/>
          </cell>
        </row>
        <row r="64328">
          <cell r="O64328" t="str">
            <v/>
          </cell>
        </row>
        <row r="64329">
          <cell r="O64329" t="str">
            <v/>
          </cell>
        </row>
        <row r="64330">
          <cell r="O64330" t="str">
            <v/>
          </cell>
        </row>
        <row r="64331">
          <cell r="O64331" t="str">
            <v/>
          </cell>
        </row>
        <row r="64332">
          <cell r="O64332" t="str">
            <v/>
          </cell>
        </row>
        <row r="64333">
          <cell r="O64333" t="str">
            <v/>
          </cell>
        </row>
        <row r="64334">
          <cell r="O64334" t="str">
            <v/>
          </cell>
        </row>
        <row r="64335">
          <cell r="O64335" t="str">
            <v/>
          </cell>
        </row>
        <row r="64336">
          <cell r="O64336" t="str">
            <v/>
          </cell>
        </row>
        <row r="64337">
          <cell r="O64337" t="str">
            <v/>
          </cell>
        </row>
        <row r="64338">
          <cell r="O64338" t="str">
            <v/>
          </cell>
        </row>
        <row r="64339">
          <cell r="O64339" t="str">
            <v/>
          </cell>
        </row>
        <row r="64340">
          <cell r="O64340" t="str">
            <v/>
          </cell>
        </row>
        <row r="64341">
          <cell r="O64341" t="str">
            <v/>
          </cell>
        </row>
        <row r="64342">
          <cell r="O64342" t="str">
            <v/>
          </cell>
        </row>
        <row r="64343">
          <cell r="O64343" t="str">
            <v/>
          </cell>
        </row>
        <row r="64344">
          <cell r="O64344" t="str">
            <v/>
          </cell>
        </row>
        <row r="64345">
          <cell r="O64345" t="str">
            <v/>
          </cell>
        </row>
        <row r="64346">
          <cell r="O64346" t="str">
            <v/>
          </cell>
        </row>
        <row r="64347">
          <cell r="O64347" t="str">
            <v/>
          </cell>
        </row>
        <row r="64348">
          <cell r="O64348" t="str">
            <v/>
          </cell>
        </row>
        <row r="64349">
          <cell r="O64349" t="str">
            <v/>
          </cell>
        </row>
        <row r="64350">
          <cell r="O64350" t="str">
            <v/>
          </cell>
        </row>
        <row r="64351">
          <cell r="O64351" t="str">
            <v/>
          </cell>
        </row>
        <row r="64352">
          <cell r="O64352" t="str">
            <v/>
          </cell>
        </row>
        <row r="64353">
          <cell r="O64353" t="str">
            <v/>
          </cell>
        </row>
        <row r="64354">
          <cell r="O64354" t="str">
            <v/>
          </cell>
        </row>
        <row r="64355">
          <cell r="O64355" t="str">
            <v/>
          </cell>
        </row>
        <row r="64356">
          <cell r="O64356" t="str">
            <v/>
          </cell>
        </row>
        <row r="64357">
          <cell r="O64357" t="str">
            <v/>
          </cell>
        </row>
        <row r="64358">
          <cell r="O64358" t="str">
            <v/>
          </cell>
        </row>
        <row r="64359">
          <cell r="O64359" t="str">
            <v/>
          </cell>
        </row>
        <row r="64360">
          <cell r="O64360" t="str">
            <v/>
          </cell>
        </row>
        <row r="64361">
          <cell r="O64361" t="str">
            <v/>
          </cell>
        </row>
        <row r="64362">
          <cell r="O64362" t="str">
            <v/>
          </cell>
        </row>
        <row r="64363">
          <cell r="O64363" t="str">
            <v/>
          </cell>
        </row>
        <row r="64364">
          <cell r="O64364" t="str">
            <v/>
          </cell>
        </row>
        <row r="64365">
          <cell r="O64365" t="str">
            <v/>
          </cell>
        </row>
        <row r="64366">
          <cell r="O64366" t="str">
            <v/>
          </cell>
        </row>
        <row r="64367">
          <cell r="O64367" t="str">
            <v/>
          </cell>
        </row>
        <row r="64368">
          <cell r="O64368" t="str">
            <v/>
          </cell>
        </row>
        <row r="64369">
          <cell r="O64369" t="str">
            <v/>
          </cell>
        </row>
        <row r="64370">
          <cell r="O64370" t="str">
            <v/>
          </cell>
        </row>
        <row r="64371">
          <cell r="O64371" t="str">
            <v/>
          </cell>
        </row>
        <row r="64372">
          <cell r="O64372" t="str">
            <v/>
          </cell>
        </row>
        <row r="64373">
          <cell r="O64373" t="str">
            <v/>
          </cell>
        </row>
        <row r="64374">
          <cell r="O64374" t="str">
            <v/>
          </cell>
        </row>
        <row r="64375">
          <cell r="O64375" t="str">
            <v/>
          </cell>
        </row>
        <row r="64376">
          <cell r="O64376" t="str">
            <v/>
          </cell>
        </row>
        <row r="64377">
          <cell r="O64377" t="str">
            <v/>
          </cell>
        </row>
        <row r="64378">
          <cell r="O64378" t="str">
            <v/>
          </cell>
        </row>
        <row r="64379">
          <cell r="O64379" t="str">
            <v/>
          </cell>
        </row>
        <row r="64380">
          <cell r="O64380" t="str">
            <v/>
          </cell>
        </row>
        <row r="64381">
          <cell r="O64381" t="str">
            <v/>
          </cell>
        </row>
        <row r="64382">
          <cell r="O64382" t="str">
            <v/>
          </cell>
        </row>
        <row r="64383">
          <cell r="O64383" t="str">
            <v/>
          </cell>
        </row>
        <row r="64384">
          <cell r="O64384" t="str">
            <v/>
          </cell>
        </row>
        <row r="64385">
          <cell r="O64385" t="str">
            <v/>
          </cell>
        </row>
        <row r="64386">
          <cell r="O64386" t="str">
            <v/>
          </cell>
        </row>
        <row r="64387">
          <cell r="O64387" t="str">
            <v/>
          </cell>
        </row>
        <row r="64388">
          <cell r="O64388" t="str">
            <v/>
          </cell>
        </row>
        <row r="64389">
          <cell r="O64389" t="str">
            <v/>
          </cell>
        </row>
        <row r="64390">
          <cell r="O64390" t="str">
            <v/>
          </cell>
        </row>
        <row r="64391">
          <cell r="O64391" t="str">
            <v/>
          </cell>
        </row>
        <row r="64392">
          <cell r="O64392" t="str">
            <v/>
          </cell>
        </row>
        <row r="64393">
          <cell r="O64393" t="str">
            <v/>
          </cell>
        </row>
        <row r="64394">
          <cell r="O64394" t="str">
            <v/>
          </cell>
        </row>
        <row r="64395">
          <cell r="O64395" t="str">
            <v/>
          </cell>
        </row>
        <row r="64396">
          <cell r="O64396" t="str">
            <v/>
          </cell>
        </row>
        <row r="64397">
          <cell r="O64397" t="str">
            <v/>
          </cell>
        </row>
        <row r="64398">
          <cell r="O64398" t="str">
            <v/>
          </cell>
        </row>
        <row r="64399">
          <cell r="O64399" t="str">
            <v/>
          </cell>
        </row>
        <row r="64400">
          <cell r="O64400" t="str">
            <v/>
          </cell>
        </row>
        <row r="64401">
          <cell r="O64401" t="str">
            <v/>
          </cell>
        </row>
        <row r="64402">
          <cell r="O64402" t="str">
            <v/>
          </cell>
        </row>
        <row r="64403">
          <cell r="O64403" t="str">
            <v/>
          </cell>
        </row>
        <row r="64404">
          <cell r="O64404" t="str">
            <v/>
          </cell>
        </row>
        <row r="64405">
          <cell r="O64405" t="str">
            <v/>
          </cell>
        </row>
        <row r="64406">
          <cell r="O64406" t="str">
            <v/>
          </cell>
        </row>
        <row r="64407">
          <cell r="O64407" t="str">
            <v/>
          </cell>
        </row>
        <row r="64408">
          <cell r="O64408" t="str">
            <v/>
          </cell>
        </row>
        <row r="64409">
          <cell r="O64409" t="str">
            <v/>
          </cell>
        </row>
        <row r="64410">
          <cell r="O64410" t="str">
            <v/>
          </cell>
        </row>
        <row r="64411">
          <cell r="O64411" t="str">
            <v/>
          </cell>
        </row>
        <row r="64412">
          <cell r="O64412" t="str">
            <v/>
          </cell>
        </row>
        <row r="64413">
          <cell r="O64413" t="str">
            <v/>
          </cell>
        </row>
        <row r="64414">
          <cell r="O64414" t="str">
            <v/>
          </cell>
        </row>
        <row r="64415">
          <cell r="O64415" t="str">
            <v/>
          </cell>
        </row>
        <row r="64416">
          <cell r="O64416" t="str">
            <v/>
          </cell>
        </row>
        <row r="64417">
          <cell r="O64417" t="str">
            <v/>
          </cell>
        </row>
        <row r="64418">
          <cell r="O64418" t="str">
            <v/>
          </cell>
        </row>
        <row r="64419">
          <cell r="O64419" t="str">
            <v/>
          </cell>
        </row>
        <row r="64420">
          <cell r="O64420" t="str">
            <v/>
          </cell>
        </row>
        <row r="64421">
          <cell r="O64421" t="str">
            <v/>
          </cell>
        </row>
        <row r="64422">
          <cell r="O64422" t="str">
            <v/>
          </cell>
        </row>
        <row r="64423">
          <cell r="O64423" t="str">
            <v/>
          </cell>
        </row>
        <row r="64424">
          <cell r="O64424" t="str">
            <v/>
          </cell>
        </row>
        <row r="64425">
          <cell r="O64425" t="str">
            <v/>
          </cell>
        </row>
        <row r="64426">
          <cell r="O64426" t="str">
            <v/>
          </cell>
        </row>
        <row r="64427">
          <cell r="O64427" t="str">
            <v/>
          </cell>
        </row>
        <row r="64428">
          <cell r="O64428" t="str">
            <v/>
          </cell>
        </row>
        <row r="64429">
          <cell r="O64429" t="str">
            <v/>
          </cell>
        </row>
        <row r="64430">
          <cell r="O64430" t="str">
            <v/>
          </cell>
        </row>
        <row r="64431">
          <cell r="O64431" t="str">
            <v/>
          </cell>
        </row>
        <row r="64432">
          <cell r="O64432" t="str">
            <v/>
          </cell>
        </row>
        <row r="64433">
          <cell r="O64433" t="str">
            <v/>
          </cell>
        </row>
        <row r="64434">
          <cell r="O64434" t="str">
            <v/>
          </cell>
        </row>
        <row r="64435">
          <cell r="O64435" t="str">
            <v/>
          </cell>
        </row>
        <row r="64436">
          <cell r="O64436" t="str">
            <v/>
          </cell>
        </row>
        <row r="64437">
          <cell r="O64437" t="str">
            <v/>
          </cell>
        </row>
        <row r="64438">
          <cell r="O64438" t="str">
            <v/>
          </cell>
        </row>
        <row r="64439">
          <cell r="O64439" t="str">
            <v/>
          </cell>
        </row>
        <row r="64440">
          <cell r="O64440" t="str">
            <v/>
          </cell>
        </row>
        <row r="64441">
          <cell r="O64441" t="str">
            <v/>
          </cell>
        </row>
        <row r="64442">
          <cell r="O64442" t="str">
            <v/>
          </cell>
        </row>
        <row r="64443">
          <cell r="O64443" t="str">
            <v/>
          </cell>
        </row>
        <row r="64444">
          <cell r="O64444" t="str">
            <v/>
          </cell>
        </row>
        <row r="64445">
          <cell r="O64445" t="str">
            <v/>
          </cell>
        </row>
        <row r="64446">
          <cell r="O64446" t="str">
            <v/>
          </cell>
        </row>
        <row r="64447">
          <cell r="O64447" t="str">
            <v/>
          </cell>
        </row>
        <row r="64448">
          <cell r="O64448" t="str">
            <v/>
          </cell>
        </row>
        <row r="64449">
          <cell r="O64449" t="str">
            <v/>
          </cell>
        </row>
        <row r="64450">
          <cell r="O64450" t="str">
            <v/>
          </cell>
        </row>
        <row r="64451">
          <cell r="O64451" t="str">
            <v/>
          </cell>
        </row>
        <row r="64452">
          <cell r="O64452" t="str">
            <v/>
          </cell>
        </row>
        <row r="64453">
          <cell r="O64453" t="str">
            <v/>
          </cell>
        </row>
        <row r="64454">
          <cell r="O64454" t="str">
            <v/>
          </cell>
        </row>
        <row r="64455">
          <cell r="O64455" t="str">
            <v/>
          </cell>
        </row>
        <row r="64456">
          <cell r="O64456" t="str">
            <v/>
          </cell>
        </row>
        <row r="64457">
          <cell r="O64457" t="str">
            <v/>
          </cell>
        </row>
        <row r="64458">
          <cell r="O64458" t="str">
            <v/>
          </cell>
        </row>
        <row r="64459">
          <cell r="O64459" t="str">
            <v/>
          </cell>
        </row>
        <row r="64460">
          <cell r="O64460" t="str">
            <v/>
          </cell>
        </row>
        <row r="64461">
          <cell r="O64461" t="str">
            <v/>
          </cell>
        </row>
        <row r="64462">
          <cell r="O64462" t="str">
            <v/>
          </cell>
        </row>
        <row r="64463">
          <cell r="O64463" t="str">
            <v/>
          </cell>
        </row>
        <row r="64464">
          <cell r="O64464" t="str">
            <v/>
          </cell>
        </row>
        <row r="64465">
          <cell r="O64465" t="str">
            <v/>
          </cell>
        </row>
        <row r="64466">
          <cell r="O64466" t="str">
            <v/>
          </cell>
        </row>
        <row r="64467">
          <cell r="O64467" t="str">
            <v/>
          </cell>
        </row>
        <row r="64468">
          <cell r="O64468" t="str">
            <v/>
          </cell>
        </row>
        <row r="64469">
          <cell r="O64469" t="str">
            <v/>
          </cell>
        </row>
        <row r="64470">
          <cell r="O64470" t="str">
            <v/>
          </cell>
        </row>
        <row r="64471">
          <cell r="O64471" t="str">
            <v/>
          </cell>
        </row>
        <row r="64472">
          <cell r="O64472" t="str">
            <v/>
          </cell>
        </row>
        <row r="64473">
          <cell r="O64473" t="str">
            <v/>
          </cell>
        </row>
        <row r="64474">
          <cell r="O64474" t="str">
            <v/>
          </cell>
        </row>
        <row r="64475">
          <cell r="O64475" t="str">
            <v/>
          </cell>
        </row>
        <row r="64476">
          <cell r="O64476" t="str">
            <v/>
          </cell>
        </row>
        <row r="64477">
          <cell r="O64477" t="str">
            <v/>
          </cell>
        </row>
        <row r="64478">
          <cell r="O64478" t="str">
            <v/>
          </cell>
        </row>
        <row r="64479">
          <cell r="O64479" t="str">
            <v/>
          </cell>
        </row>
        <row r="64480">
          <cell r="O64480" t="str">
            <v/>
          </cell>
        </row>
        <row r="64481">
          <cell r="O64481" t="str">
            <v/>
          </cell>
        </row>
        <row r="64482">
          <cell r="O64482" t="str">
            <v/>
          </cell>
        </row>
        <row r="64483">
          <cell r="O64483" t="str">
            <v/>
          </cell>
        </row>
        <row r="64484">
          <cell r="O64484" t="str">
            <v/>
          </cell>
        </row>
        <row r="64485">
          <cell r="O64485" t="str">
            <v/>
          </cell>
        </row>
        <row r="64486">
          <cell r="O64486" t="str">
            <v/>
          </cell>
        </row>
        <row r="64487">
          <cell r="O64487" t="str">
            <v/>
          </cell>
        </row>
        <row r="64488">
          <cell r="O64488" t="str">
            <v/>
          </cell>
        </row>
        <row r="64489">
          <cell r="O64489" t="str">
            <v/>
          </cell>
        </row>
        <row r="64490">
          <cell r="O64490" t="str">
            <v/>
          </cell>
        </row>
        <row r="64491">
          <cell r="O64491" t="str">
            <v/>
          </cell>
        </row>
        <row r="64492">
          <cell r="O64492" t="str">
            <v/>
          </cell>
        </row>
        <row r="64493">
          <cell r="O64493" t="str">
            <v/>
          </cell>
        </row>
        <row r="64494">
          <cell r="O64494" t="str">
            <v/>
          </cell>
        </row>
        <row r="64495">
          <cell r="O64495" t="str">
            <v/>
          </cell>
        </row>
        <row r="64496">
          <cell r="O64496" t="str">
            <v/>
          </cell>
        </row>
        <row r="64497">
          <cell r="O64497" t="str">
            <v/>
          </cell>
        </row>
        <row r="64498">
          <cell r="O64498" t="str">
            <v/>
          </cell>
        </row>
        <row r="64499">
          <cell r="O64499" t="str">
            <v/>
          </cell>
        </row>
        <row r="64500">
          <cell r="O64500" t="str">
            <v/>
          </cell>
        </row>
        <row r="64501">
          <cell r="O64501" t="str">
            <v/>
          </cell>
        </row>
        <row r="64502">
          <cell r="O64502" t="str">
            <v/>
          </cell>
        </row>
        <row r="64503">
          <cell r="O64503" t="str">
            <v/>
          </cell>
        </row>
        <row r="64504">
          <cell r="O64504" t="str">
            <v/>
          </cell>
        </row>
        <row r="64505">
          <cell r="O64505" t="str">
            <v/>
          </cell>
        </row>
        <row r="64506">
          <cell r="O64506" t="str">
            <v/>
          </cell>
        </row>
        <row r="64507">
          <cell r="O64507" t="str">
            <v/>
          </cell>
        </row>
        <row r="64508">
          <cell r="O64508" t="str">
            <v/>
          </cell>
        </row>
        <row r="64509">
          <cell r="O64509" t="str">
            <v/>
          </cell>
        </row>
        <row r="64510">
          <cell r="O64510" t="str">
            <v/>
          </cell>
        </row>
        <row r="64511">
          <cell r="O64511" t="str">
            <v/>
          </cell>
        </row>
        <row r="64512">
          <cell r="O64512" t="str">
            <v/>
          </cell>
        </row>
        <row r="64513">
          <cell r="O64513" t="str">
            <v/>
          </cell>
        </row>
        <row r="64514">
          <cell r="O64514" t="str">
            <v/>
          </cell>
        </row>
        <row r="64515">
          <cell r="O64515" t="str">
            <v/>
          </cell>
        </row>
        <row r="64516">
          <cell r="O64516" t="str">
            <v/>
          </cell>
        </row>
        <row r="64517">
          <cell r="O64517" t="str">
            <v/>
          </cell>
        </row>
        <row r="64518">
          <cell r="O64518" t="str">
            <v/>
          </cell>
        </row>
        <row r="64519">
          <cell r="O64519" t="str">
            <v/>
          </cell>
        </row>
        <row r="64520">
          <cell r="O64520" t="str">
            <v/>
          </cell>
        </row>
        <row r="64521">
          <cell r="O64521" t="str">
            <v/>
          </cell>
        </row>
        <row r="64522">
          <cell r="O64522" t="str">
            <v/>
          </cell>
        </row>
        <row r="64523">
          <cell r="O64523" t="str">
            <v/>
          </cell>
        </row>
        <row r="64524">
          <cell r="O64524" t="str">
            <v/>
          </cell>
        </row>
        <row r="64525">
          <cell r="O64525" t="str">
            <v/>
          </cell>
        </row>
        <row r="64526">
          <cell r="O64526" t="str">
            <v/>
          </cell>
        </row>
        <row r="64527">
          <cell r="O64527" t="str">
            <v/>
          </cell>
        </row>
        <row r="64528">
          <cell r="O64528" t="str">
            <v/>
          </cell>
        </row>
        <row r="64529">
          <cell r="O64529" t="str">
            <v/>
          </cell>
        </row>
        <row r="64530">
          <cell r="O64530" t="str">
            <v/>
          </cell>
        </row>
        <row r="64531">
          <cell r="O64531" t="str">
            <v/>
          </cell>
        </row>
        <row r="64532">
          <cell r="O64532" t="str">
            <v/>
          </cell>
        </row>
        <row r="64533">
          <cell r="O64533" t="str">
            <v/>
          </cell>
        </row>
        <row r="64534">
          <cell r="O64534" t="str">
            <v/>
          </cell>
        </row>
        <row r="64535">
          <cell r="O64535" t="str">
            <v/>
          </cell>
        </row>
        <row r="64536">
          <cell r="O64536" t="str">
            <v/>
          </cell>
        </row>
        <row r="64537">
          <cell r="O64537" t="str">
            <v/>
          </cell>
        </row>
        <row r="64538">
          <cell r="O64538" t="str">
            <v/>
          </cell>
        </row>
        <row r="64539">
          <cell r="O64539" t="str">
            <v/>
          </cell>
        </row>
        <row r="64540">
          <cell r="O64540" t="str">
            <v/>
          </cell>
        </row>
        <row r="64541">
          <cell r="O64541" t="str">
            <v/>
          </cell>
        </row>
        <row r="64542">
          <cell r="O64542" t="str">
            <v/>
          </cell>
        </row>
        <row r="64543">
          <cell r="O64543" t="str">
            <v/>
          </cell>
        </row>
        <row r="64544">
          <cell r="O64544" t="str">
            <v/>
          </cell>
        </row>
        <row r="64545">
          <cell r="O64545" t="str">
            <v/>
          </cell>
        </row>
        <row r="64546">
          <cell r="O64546" t="str">
            <v/>
          </cell>
        </row>
        <row r="64547">
          <cell r="O64547" t="str">
            <v/>
          </cell>
        </row>
        <row r="64548">
          <cell r="O64548" t="str">
            <v/>
          </cell>
        </row>
        <row r="64549">
          <cell r="O64549" t="str">
            <v/>
          </cell>
        </row>
        <row r="64550">
          <cell r="O64550" t="str">
            <v/>
          </cell>
        </row>
        <row r="64551">
          <cell r="O64551" t="str">
            <v/>
          </cell>
        </row>
        <row r="64552">
          <cell r="O64552" t="str">
            <v/>
          </cell>
        </row>
        <row r="64553">
          <cell r="O64553" t="str">
            <v/>
          </cell>
        </row>
        <row r="64554">
          <cell r="O64554" t="str">
            <v/>
          </cell>
        </row>
        <row r="64555">
          <cell r="O64555" t="str">
            <v/>
          </cell>
        </row>
        <row r="64556">
          <cell r="O64556" t="str">
            <v/>
          </cell>
        </row>
        <row r="64557">
          <cell r="O64557" t="str">
            <v/>
          </cell>
        </row>
        <row r="64558">
          <cell r="O64558" t="str">
            <v/>
          </cell>
        </row>
        <row r="64559">
          <cell r="O64559" t="str">
            <v/>
          </cell>
        </row>
        <row r="64560">
          <cell r="O64560" t="str">
            <v/>
          </cell>
        </row>
        <row r="64561">
          <cell r="O64561" t="str">
            <v/>
          </cell>
        </row>
        <row r="64562">
          <cell r="O64562" t="str">
            <v/>
          </cell>
        </row>
        <row r="64563">
          <cell r="O64563" t="str">
            <v/>
          </cell>
        </row>
        <row r="64564">
          <cell r="O64564" t="str">
            <v/>
          </cell>
        </row>
        <row r="64565">
          <cell r="O64565" t="str">
            <v/>
          </cell>
        </row>
        <row r="64566">
          <cell r="O64566" t="str">
            <v/>
          </cell>
        </row>
        <row r="64567">
          <cell r="O64567" t="str">
            <v/>
          </cell>
        </row>
        <row r="64568">
          <cell r="O64568" t="str">
            <v/>
          </cell>
        </row>
        <row r="64569">
          <cell r="O64569" t="str">
            <v/>
          </cell>
        </row>
        <row r="64570">
          <cell r="O64570" t="str">
            <v/>
          </cell>
        </row>
        <row r="64571">
          <cell r="O64571" t="str">
            <v/>
          </cell>
        </row>
        <row r="64572">
          <cell r="O64572" t="str">
            <v/>
          </cell>
        </row>
        <row r="64573">
          <cell r="O64573" t="str">
            <v/>
          </cell>
        </row>
        <row r="64574">
          <cell r="O64574" t="str">
            <v/>
          </cell>
        </row>
        <row r="64575">
          <cell r="O64575" t="str">
            <v/>
          </cell>
        </row>
        <row r="64576">
          <cell r="O64576" t="str">
            <v/>
          </cell>
        </row>
        <row r="64577">
          <cell r="O64577" t="str">
            <v/>
          </cell>
        </row>
        <row r="64578">
          <cell r="O64578" t="str">
            <v/>
          </cell>
        </row>
        <row r="64579">
          <cell r="O64579" t="str">
            <v/>
          </cell>
        </row>
        <row r="64580">
          <cell r="O64580" t="str">
            <v/>
          </cell>
        </row>
        <row r="64581">
          <cell r="O64581" t="str">
            <v/>
          </cell>
        </row>
        <row r="64582">
          <cell r="O64582" t="str">
            <v/>
          </cell>
        </row>
        <row r="64583">
          <cell r="O64583" t="str">
            <v/>
          </cell>
        </row>
        <row r="64584">
          <cell r="O64584" t="str">
            <v/>
          </cell>
        </row>
        <row r="64585">
          <cell r="O64585" t="str">
            <v/>
          </cell>
        </row>
        <row r="64586">
          <cell r="O64586" t="str">
            <v/>
          </cell>
        </row>
        <row r="64587">
          <cell r="O64587" t="str">
            <v/>
          </cell>
        </row>
        <row r="64588">
          <cell r="O64588" t="str">
            <v/>
          </cell>
        </row>
        <row r="64589">
          <cell r="O64589" t="str">
            <v/>
          </cell>
        </row>
        <row r="64590">
          <cell r="O64590" t="str">
            <v/>
          </cell>
        </row>
        <row r="64591">
          <cell r="O64591" t="str">
            <v/>
          </cell>
        </row>
        <row r="64592">
          <cell r="O64592" t="str">
            <v/>
          </cell>
        </row>
        <row r="64593">
          <cell r="O64593" t="str">
            <v/>
          </cell>
        </row>
        <row r="64594">
          <cell r="O64594" t="str">
            <v/>
          </cell>
        </row>
        <row r="64595">
          <cell r="O64595" t="str">
            <v/>
          </cell>
        </row>
        <row r="64596">
          <cell r="O64596" t="str">
            <v/>
          </cell>
        </row>
        <row r="64597">
          <cell r="O64597" t="str">
            <v/>
          </cell>
        </row>
        <row r="64598">
          <cell r="O64598" t="str">
            <v/>
          </cell>
        </row>
        <row r="64599">
          <cell r="O64599" t="str">
            <v/>
          </cell>
        </row>
        <row r="64600">
          <cell r="O64600" t="str">
            <v/>
          </cell>
        </row>
        <row r="64601">
          <cell r="O64601" t="str">
            <v/>
          </cell>
        </row>
        <row r="64602">
          <cell r="O64602" t="str">
            <v/>
          </cell>
        </row>
        <row r="64603">
          <cell r="O64603" t="str">
            <v/>
          </cell>
        </row>
        <row r="64604">
          <cell r="O64604" t="str">
            <v/>
          </cell>
        </row>
        <row r="64605">
          <cell r="O64605" t="str">
            <v/>
          </cell>
        </row>
        <row r="64606">
          <cell r="O64606" t="str">
            <v/>
          </cell>
        </row>
        <row r="64607">
          <cell r="O64607" t="str">
            <v/>
          </cell>
        </row>
        <row r="64608">
          <cell r="O64608" t="str">
            <v/>
          </cell>
        </row>
        <row r="64609">
          <cell r="O64609" t="str">
            <v/>
          </cell>
        </row>
        <row r="64610">
          <cell r="O64610" t="str">
            <v/>
          </cell>
        </row>
        <row r="64611">
          <cell r="O64611" t="str">
            <v/>
          </cell>
        </row>
        <row r="64612">
          <cell r="O64612" t="str">
            <v/>
          </cell>
        </row>
        <row r="64613">
          <cell r="O64613" t="str">
            <v/>
          </cell>
        </row>
        <row r="64614">
          <cell r="O64614" t="str">
            <v/>
          </cell>
        </row>
        <row r="64615">
          <cell r="O64615" t="str">
            <v/>
          </cell>
        </row>
        <row r="64616">
          <cell r="O64616" t="str">
            <v/>
          </cell>
        </row>
        <row r="64617">
          <cell r="O64617" t="str">
            <v/>
          </cell>
        </row>
        <row r="64618">
          <cell r="O64618" t="str">
            <v/>
          </cell>
        </row>
        <row r="64619">
          <cell r="O64619" t="str">
            <v/>
          </cell>
        </row>
        <row r="64620">
          <cell r="O64620" t="str">
            <v/>
          </cell>
        </row>
        <row r="64621">
          <cell r="O64621" t="str">
            <v/>
          </cell>
        </row>
        <row r="64622">
          <cell r="O64622" t="str">
            <v/>
          </cell>
        </row>
        <row r="64623">
          <cell r="O64623" t="str">
            <v/>
          </cell>
        </row>
        <row r="64624">
          <cell r="O64624" t="str">
            <v/>
          </cell>
        </row>
        <row r="64625">
          <cell r="O64625" t="str">
            <v/>
          </cell>
        </row>
        <row r="64626">
          <cell r="O64626" t="str">
            <v/>
          </cell>
        </row>
        <row r="64627">
          <cell r="O64627" t="str">
            <v/>
          </cell>
        </row>
        <row r="64628">
          <cell r="O64628" t="str">
            <v/>
          </cell>
        </row>
        <row r="64629">
          <cell r="O64629" t="str">
            <v/>
          </cell>
        </row>
        <row r="64630">
          <cell r="O64630" t="str">
            <v/>
          </cell>
        </row>
        <row r="64631">
          <cell r="O64631" t="str">
            <v/>
          </cell>
        </row>
        <row r="64632">
          <cell r="O64632" t="str">
            <v/>
          </cell>
        </row>
        <row r="64633">
          <cell r="O64633" t="str">
            <v/>
          </cell>
        </row>
        <row r="64634">
          <cell r="O64634" t="str">
            <v/>
          </cell>
        </row>
        <row r="64635">
          <cell r="O64635" t="str">
            <v/>
          </cell>
        </row>
        <row r="64636">
          <cell r="O64636" t="str">
            <v/>
          </cell>
        </row>
        <row r="64637">
          <cell r="O64637" t="str">
            <v/>
          </cell>
        </row>
        <row r="64638">
          <cell r="O64638" t="str">
            <v/>
          </cell>
        </row>
        <row r="64639">
          <cell r="O64639" t="str">
            <v/>
          </cell>
        </row>
        <row r="64640">
          <cell r="O64640" t="str">
            <v/>
          </cell>
        </row>
        <row r="64641">
          <cell r="O64641" t="str">
            <v/>
          </cell>
        </row>
        <row r="64642">
          <cell r="O64642" t="str">
            <v/>
          </cell>
        </row>
        <row r="64643">
          <cell r="O64643" t="str">
            <v/>
          </cell>
        </row>
        <row r="64644">
          <cell r="O64644" t="str">
            <v/>
          </cell>
        </row>
        <row r="64645">
          <cell r="O64645" t="str">
            <v/>
          </cell>
        </row>
        <row r="64646">
          <cell r="O64646" t="str">
            <v/>
          </cell>
        </row>
        <row r="64647">
          <cell r="O64647" t="str">
            <v/>
          </cell>
        </row>
        <row r="64648">
          <cell r="O64648" t="str">
            <v/>
          </cell>
        </row>
        <row r="64649">
          <cell r="O64649" t="str">
            <v/>
          </cell>
        </row>
        <row r="64650">
          <cell r="O64650" t="str">
            <v/>
          </cell>
        </row>
        <row r="64651">
          <cell r="O64651" t="str">
            <v/>
          </cell>
        </row>
        <row r="64652">
          <cell r="O64652" t="str">
            <v/>
          </cell>
        </row>
        <row r="64653">
          <cell r="O64653" t="str">
            <v/>
          </cell>
        </row>
        <row r="64654">
          <cell r="O64654" t="str">
            <v/>
          </cell>
        </row>
        <row r="64655">
          <cell r="O64655" t="str">
            <v/>
          </cell>
        </row>
        <row r="64656">
          <cell r="O64656" t="str">
            <v/>
          </cell>
        </row>
        <row r="64657">
          <cell r="O64657" t="str">
            <v/>
          </cell>
        </row>
        <row r="64658">
          <cell r="O64658" t="str">
            <v/>
          </cell>
        </row>
        <row r="64659">
          <cell r="O64659" t="str">
            <v/>
          </cell>
        </row>
        <row r="64660">
          <cell r="O64660" t="str">
            <v/>
          </cell>
        </row>
        <row r="64661">
          <cell r="O64661" t="str">
            <v/>
          </cell>
        </row>
        <row r="64662">
          <cell r="O64662" t="str">
            <v/>
          </cell>
        </row>
        <row r="64663">
          <cell r="O64663" t="str">
            <v/>
          </cell>
        </row>
        <row r="64664">
          <cell r="O64664" t="str">
            <v/>
          </cell>
        </row>
        <row r="64665">
          <cell r="O64665" t="str">
            <v/>
          </cell>
        </row>
        <row r="64666">
          <cell r="O64666" t="str">
            <v/>
          </cell>
        </row>
        <row r="64667">
          <cell r="O64667" t="str">
            <v/>
          </cell>
        </row>
        <row r="64668">
          <cell r="O64668" t="str">
            <v/>
          </cell>
        </row>
        <row r="64669">
          <cell r="O64669" t="str">
            <v/>
          </cell>
        </row>
        <row r="64670">
          <cell r="O64670" t="str">
            <v/>
          </cell>
        </row>
        <row r="64671">
          <cell r="O64671" t="str">
            <v/>
          </cell>
        </row>
        <row r="64672">
          <cell r="O64672" t="str">
            <v/>
          </cell>
        </row>
        <row r="64673">
          <cell r="O64673" t="str">
            <v/>
          </cell>
        </row>
        <row r="64674">
          <cell r="O64674" t="str">
            <v/>
          </cell>
        </row>
        <row r="64675">
          <cell r="O64675" t="str">
            <v/>
          </cell>
        </row>
        <row r="64676">
          <cell r="O64676" t="str">
            <v/>
          </cell>
        </row>
        <row r="64677">
          <cell r="O64677" t="str">
            <v/>
          </cell>
        </row>
        <row r="64678">
          <cell r="O64678" t="str">
            <v/>
          </cell>
        </row>
        <row r="64679">
          <cell r="O64679" t="str">
            <v/>
          </cell>
        </row>
        <row r="64680">
          <cell r="O64680" t="str">
            <v/>
          </cell>
        </row>
        <row r="64681">
          <cell r="O64681" t="str">
            <v/>
          </cell>
        </row>
        <row r="64682">
          <cell r="O64682" t="str">
            <v/>
          </cell>
        </row>
        <row r="64683">
          <cell r="O64683" t="str">
            <v/>
          </cell>
        </row>
        <row r="64684">
          <cell r="O64684" t="str">
            <v/>
          </cell>
        </row>
        <row r="64685">
          <cell r="O64685" t="str">
            <v/>
          </cell>
        </row>
        <row r="64686">
          <cell r="O64686" t="str">
            <v/>
          </cell>
        </row>
        <row r="64687">
          <cell r="O64687" t="str">
            <v/>
          </cell>
        </row>
        <row r="64688">
          <cell r="O64688" t="str">
            <v/>
          </cell>
        </row>
        <row r="64689">
          <cell r="O64689" t="str">
            <v/>
          </cell>
        </row>
        <row r="64690">
          <cell r="O64690" t="str">
            <v/>
          </cell>
        </row>
        <row r="64691">
          <cell r="O64691" t="str">
            <v/>
          </cell>
        </row>
        <row r="64692">
          <cell r="O64692" t="str">
            <v/>
          </cell>
        </row>
        <row r="64693">
          <cell r="O64693" t="str">
            <v/>
          </cell>
        </row>
        <row r="64694">
          <cell r="O64694" t="str">
            <v/>
          </cell>
        </row>
        <row r="64695">
          <cell r="O64695" t="str">
            <v/>
          </cell>
        </row>
        <row r="64696">
          <cell r="O64696" t="str">
            <v/>
          </cell>
        </row>
        <row r="64697">
          <cell r="O64697" t="str">
            <v/>
          </cell>
        </row>
        <row r="64698">
          <cell r="O64698" t="str">
            <v/>
          </cell>
        </row>
        <row r="64699">
          <cell r="O64699" t="str">
            <v/>
          </cell>
        </row>
        <row r="64700">
          <cell r="O64700" t="str">
            <v/>
          </cell>
        </row>
        <row r="64701">
          <cell r="O64701" t="str">
            <v/>
          </cell>
        </row>
        <row r="64702">
          <cell r="O64702" t="str">
            <v/>
          </cell>
        </row>
        <row r="64703">
          <cell r="O64703" t="str">
            <v/>
          </cell>
        </row>
        <row r="64704">
          <cell r="O64704" t="str">
            <v/>
          </cell>
        </row>
        <row r="64705">
          <cell r="O64705" t="str">
            <v/>
          </cell>
        </row>
        <row r="64706">
          <cell r="O64706" t="str">
            <v/>
          </cell>
        </row>
        <row r="64707">
          <cell r="O64707" t="str">
            <v/>
          </cell>
        </row>
        <row r="64708">
          <cell r="O64708" t="str">
            <v/>
          </cell>
        </row>
        <row r="64709">
          <cell r="O64709" t="str">
            <v/>
          </cell>
        </row>
        <row r="64710">
          <cell r="O64710" t="str">
            <v/>
          </cell>
        </row>
        <row r="64711">
          <cell r="O64711" t="str">
            <v/>
          </cell>
        </row>
        <row r="64712">
          <cell r="O64712" t="str">
            <v/>
          </cell>
        </row>
        <row r="64713">
          <cell r="O64713" t="str">
            <v/>
          </cell>
        </row>
        <row r="64714">
          <cell r="O64714" t="str">
            <v/>
          </cell>
        </row>
        <row r="64715">
          <cell r="O64715" t="str">
            <v/>
          </cell>
        </row>
        <row r="64716">
          <cell r="O64716" t="str">
            <v/>
          </cell>
        </row>
        <row r="64717">
          <cell r="O64717" t="str">
            <v/>
          </cell>
        </row>
        <row r="64718">
          <cell r="O64718" t="str">
            <v/>
          </cell>
        </row>
        <row r="64719">
          <cell r="O64719" t="str">
            <v/>
          </cell>
        </row>
        <row r="64720">
          <cell r="O64720" t="str">
            <v/>
          </cell>
        </row>
        <row r="64721">
          <cell r="O64721" t="str">
            <v/>
          </cell>
        </row>
        <row r="64722">
          <cell r="O64722" t="str">
            <v/>
          </cell>
        </row>
        <row r="64723">
          <cell r="O64723" t="str">
            <v/>
          </cell>
        </row>
        <row r="64724">
          <cell r="O64724" t="str">
            <v/>
          </cell>
        </row>
        <row r="64725">
          <cell r="O64725" t="str">
            <v/>
          </cell>
        </row>
        <row r="64726">
          <cell r="O64726" t="str">
            <v/>
          </cell>
        </row>
        <row r="64727">
          <cell r="O64727" t="str">
            <v/>
          </cell>
        </row>
        <row r="64728">
          <cell r="O64728" t="str">
            <v/>
          </cell>
        </row>
        <row r="64729">
          <cell r="O64729" t="str">
            <v/>
          </cell>
        </row>
        <row r="64730">
          <cell r="O64730" t="str">
            <v/>
          </cell>
        </row>
        <row r="64731">
          <cell r="O64731" t="str">
            <v/>
          </cell>
        </row>
        <row r="64732">
          <cell r="O64732" t="str">
            <v/>
          </cell>
        </row>
        <row r="64733">
          <cell r="O64733" t="str">
            <v/>
          </cell>
        </row>
        <row r="64734">
          <cell r="O64734" t="str">
            <v/>
          </cell>
        </row>
        <row r="64735">
          <cell r="O64735" t="str">
            <v/>
          </cell>
        </row>
        <row r="64736">
          <cell r="O64736" t="str">
            <v/>
          </cell>
        </row>
        <row r="64737">
          <cell r="O64737" t="str">
            <v/>
          </cell>
        </row>
        <row r="64738">
          <cell r="O64738" t="str">
            <v/>
          </cell>
        </row>
        <row r="64739">
          <cell r="O64739" t="str">
            <v/>
          </cell>
        </row>
        <row r="64740">
          <cell r="O64740" t="str">
            <v/>
          </cell>
        </row>
        <row r="64741">
          <cell r="O64741" t="str">
            <v/>
          </cell>
        </row>
        <row r="64742">
          <cell r="O64742" t="str">
            <v/>
          </cell>
        </row>
        <row r="64743">
          <cell r="O64743" t="str">
            <v/>
          </cell>
        </row>
        <row r="64744">
          <cell r="O64744" t="str">
            <v/>
          </cell>
        </row>
        <row r="64745">
          <cell r="O64745" t="str">
            <v/>
          </cell>
        </row>
        <row r="64746">
          <cell r="O64746" t="str">
            <v/>
          </cell>
        </row>
        <row r="64747">
          <cell r="O64747" t="str">
            <v/>
          </cell>
        </row>
        <row r="64748">
          <cell r="O64748" t="str">
            <v/>
          </cell>
        </row>
        <row r="64749">
          <cell r="O64749" t="str">
            <v/>
          </cell>
        </row>
        <row r="64750">
          <cell r="O64750" t="str">
            <v/>
          </cell>
        </row>
        <row r="64751">
          <cell r="O64751" t="str">
            <v/>
          </cell>
        </row>
        <row r="64752">
          <cell r="O64752" t="str">
            <v/>
          </cell>
        </row>
        <row r="64753">
          <cell r="O64753" t="str">
            <v/>
          </cell>
        </row>
        <row r="64754">
          <cell r="O64754" t="str">
            <v/>
          </cell>
        </row>
        <row r="64755">
          <cell r="O64755" t="str">
            <v/>
          </cell>
        </row>
        <row r="64756">
          <cell r="O64756" t="str">
            <v/>
          </cell>
        </row>
        <row r="64757">
          <cell r="O64757" t="str">
            <v/>
          </cell>
        </row>
        <row r="64758">
          <cell r="O64758" t="str">
            <v/>
          </cell>
        </row>
        <row r="64759">
          <cell r="O64759" t="str">
            <v/>
          </cell>
        </row>
        <row r="64760">
          <cell r="O64760" t="str">
            <v/>
          </cell>
        </row>
        <row r="64761">
          <cell r="O64761" t="str">
            <v/>
          </cell>
        </row>
        <row r="64762">
          <cell r="O64762" t="str">
            <v/>
          </cell>
        </row>
        <row r="64763">
          <cell r="O64763" t="str">
            <v/>
          </cell>
        </row>
        <row r="64764">
          <cell r="O64764" t="str">
            <v/>
          </cell>
        </row>
        <row r="64765">
          <cell r="O64765" t="str">
            <v/>
          </cell>
        </row>
        <row r="64766">
          <cell r="O64766" t="str">
            <v/>
          </cell>
        </row>
        <row r="64767">
          <cell r="O64767" t="str">
            <v/>
          </cell>
        </row>
        <row r="64768">
          <cell r="O64768" t="str">
            <v/>
          </cell>
        </row>
        <row r="64769">
          <cell r="O64769" t="str">
            <v/>
          </cell>
        </row>
        <row r="64770">
          <cell r="O64770" t="str">
            <v/>
          </cell>
        </row>
        <row r="64771">
          <cell r="O64771" t="str">
            <v/>
          </cell>
        </row>
        <row r="64772">
          <cell r="O64772" t="str">
            <v/>
          </cell>
        </row>
        <row r="64773">
          <cell r="O64773" t="str">
            <v/>
          </cell>
        </row>
        <row r="64774">
          <cell r="O64774" t="str">
            <v/>
          </cell>
        </row>
        <row r="64775">
          <cell r="O64775" t="str">
            <v/>
          </cell>
        </row>
        <row r="64776">
          <cell r="O64776" t="str">
            <v/>
          </cell>
        </row>
        <row r="64777">
          <cell r="O64777" t="str">
            <v/>
          </cell>
        </row>
        <row r="64778">
          <cell r="O64778" t="str">
            <v/>
          </cell>
        </row>
        <row r="64779">
          <cell r="O64779" t="str">
            <v/>
          </cell>
        </row>
        <row r="64780">
          <cell r="O64780" t="str">
            <v/>
          </cell>
        </row>
        <row r="64781">
          <cell r="O64781" t="str">
            <v/>
          </cell>
        </row>
        <row r="64782">
          <cell r="O64782" t="str">
            <v/>
          </cell>
        </row>
        <row r="64783">
          <cell r="O64783" t="str">
            <v/>
          </cell>
        </row>
        <row r="64784">
          <cell r="O64784" t="str">
            <v/>
          </cell>
        </row>
        <row r="64785">
          <cell r="O64785" t="str">
            <v/>
          </cell>
        </row>
        <row r="64786">
          <cell r="O64786" t="str">
            <v/>
          </cell>
        </row>
        <row r="64787">
          <cell r="O64787" t="str">
            <v/>
          </cell>
        </row>
        <row r="64788">
          <cell r="O64788" t="str">
            <v/>
          </cell>
        </row>
        <row r="64789">
          <cell r="O64789" t="str">
            <v/>
          </cell>
        </row>
        <row r="64790">
          <cell r="O64790" t="str">
            <v/>
          </cell>
        </row>
        <row r="64791">
          <cell r="O64791" t="str">
            <v/>
          </cell>
        </row>
        <row r="64792">
          <cell r="O64792" t="str">
            <v/>
          </cell>
        </row>
        <row r="64793">
          <cell r="O64793" t="str">
            <v/>
          </cell>
        </row>
        <row r="64794">
          <cell r="O64794" t="str">
            <v/>
          </cell>
        </row>
        <row r="64795">
          <cell r="O64795" t="str">
            <v/>
          </cell>
        </row>
        <row r="64796">
          <cell r="O64796" t="str">
            <v/>
          </cell>
        </row>
        <row r="64797">
          <cell r="O64797" t="str">
            <v/>
          </cell>
        </row>
        <row r="64798">
          <cell r="O64798" t="str">
            <v/>
          </cell>
        </row>
        <row r="64799">
          <cell r="O64799" t="str">
            <v/>
          </cell>
        </row>
        <row r="64800">
          <cell r="O64800" t="str">
            <v/>
          </cell>
        </row>
        <row r="64801">
          <cell r="O64801" t="str">
            <v/>
          </cell>
        </row>
        <row r="64802">
          <cell r="O64802" t="str">
            <v/>
          </cell>
        </row>
        <row r="64803">
          <cell r="O64803" t="str">
            <v/>
          </cell>
        </row>
        <row r="64804">
          <cell r="O64804" t="str">
            <v/>
          </cell>
        </row>
        <row r="64805">
          <cell r="O64805" t="str">
            <v/>
          </cell>
        </row>
        <row r="64806">
          <cell r="O64806" t="str">
            <v/>
          </cell>
        </row>
        <row r="64807">
          <cell r="O64807" t="str">
            <v/>
          </cell>
        </row>
        <row r="64808">
          <cell r="O64808" t="str">
            <v/>
          </cell>
        </row>
        <row r="64809">
          <cell r="O64809" t="str">
            <v/>
          </cell>
        </row>
        <row r="64810">
          <cell r="O64810" t="str">
            <v/>
          </cell>
        </row>
        <row r="64811">
          <cell r="O64811" t="str">
            <v/>
          </cell>
        </row>
        <row r="64812">
          <cell r="O64812" t="str">
            <v/>
          </cell>
        </row>
        <row r="64813">
          <cell r="O64813" t="str">
            <v/>
          </cell>
        </row>
        <row r="64814">
          <cell r="O64814" t="str">
            <v/>
          </cell>
        </row>
        <row r="64815">
          <cell r="O64815" t="str">
            <v/>
          </cell>
        </row>
        <row r="64816">
          <cell r="O64816" t="str">
            <v/>
          </cell>
        </row>
        <row r="64817">
          <cell r="O64817" t="str">
            <v/>
          </cell>
        </row>
        <row r="64818">
          <cell r="O64818" t="str">
            <v/>
          </cell>
        </row>
        <row r="64819">
          <cell r="O64819" t="str">
            <v/>
          </cell>
        </row>
        <row r="64820">
          <cell r="O64820" t="str">
            <v/>
          </cell>
        </row>
        <row r="64821">
          <cell r="O64821" t="str">
            <v/>
          </cell>
        </row>
        <row r="64822">
          <cell r="O64822" t="str">
            <v/>
          </cell>
        </row>
        <row r="64823">
          <cell r="O64823" t="str">
            <v/>
          </cell>
        </row>
        <row r="64824">
          <cell r="O64824" t="str">
            <v/>
          </cell>
        </row>
        <row r="64825">
          <cell r="O64825" t="str">
            <v/>
          </cell>
        </row>
        <row r="64826">
          <cell r="O64826" t="str">
            <v/>
          </cell>
        </row>
        <row r="64827">
          <cell r="O64827" t="str">
            <v/>
          </cell>
        </row>
        <row r="64828">
          <cell r="O64828" t="str">
            <v/>
          </cell>
        </row>
        <row r="64829">
          <cell r="O64829" t="str">
            <v/>
          </cell>
        </row>
        <row r="64830">
          <cell r="O64830" t="str">
            <v/>
          </cell>
        </row>
        <row r="64831">
          <cell r="O64831" t="str">
            <v/>
          </cell>
        </row>
        <row r="64832">
          <cell r="O64832" t="str">
            <v/>
          </cell>
        </row>
        <row r="64833">
          <cell r="O64833" t="str">
            <v/>
          </cell>
        </row>
        <row r="64834">
          <cell r="O64834" t="str">
            <v/>
          </cell>
        </row>
        <row r="64835">
          <cell r="O64835" t="str">
            <v/>
          </cell>
        </row>
        <row r="64836">
          <cell r="O64836" t="str">
            <v/>
          </cell>
        </row>
        <row r="64837">
          <cell r="O64837" t="str">
            <v/>
          </cell>
        </row>
        <row r="64838">
          <cell r="O64838" t="str">
            <v/>
          </cell>
        </row>
        <row r="64839">
          <cell r="O64839" t="str">
            <v/>
          </cell>
        </row>
        <row r="64840">
          <cell r="O64840" t="str">
            <v/>
          </cell>
        </row>
        <row r="64841">
          <cell r="O64841" t="str">
            <v/>
          </cell>
        </row>
        <row r="64842">
          <cell r="O64842" t="str">
            <v/>
          </cell>
        </row>
        <row r="64843">
          <cell r="O64843" t="str">
            <v/>
          </cell>
        </row>
        <row r="64844">
          <cell r="O64844" t="str">
            <v/>
          </cell>
        </row>
        <row r="64845">
          <cell r="O64845" t="str">
            <v/>
          </cell>
        </row>
        <row r="64846">
          <cell r="O64846" t="str">
            <v/>
          </cell>
        </row>
        <row r="64847">
          <cell r="O64847" t="str">
            <v/>
          </cell>
        </row>
        <row r="64848">
          <cell r="O64848" t="str">
            <v/>
          </cell>
        </row>
        <row r="64849">
          <cell r="O64849" t="str">
            <v/>
          </cell>
        </row>
        <row r="64850">
          <cell r="O64850" t="str">
            <v/>
          </cell>
        </row>
        <row r="64851">
          <cell r="O64851" t="str">
            <v/>
          </cell>
        </row>
        <row r="64852">
          <cell r="O64852" t="str">
            <v/>
          </cell>
        </row>
        <row r="64853">
          <cell r="O64853" t="str">
            <v/>
          </cell>
        </row>
        <row r="64854">
          <cell r="O64854" t="str">
            <v/>
          </cell>
        </row>
        <row r="64855">
          <cell r="O64855" t="str">
            <v/>
          </cell>
        </row>
        <row r="64856">
          <cell r="O64856" t="str">
            <v/>
          </cell>
        </row>
        <row r="64857">
          <cell r="O64857" t="str">
            <v/>
          </cell>
        </row>
        <row r="64858">
          <cell r="O64858" t="str">
            <v/>
          </cell>
        </row>
        <row r="64859">
          <cell r="O64859" t="str">
            <v/>
          </cell>
        </row>
        <row r="64860">
          <cell r="O64860" t="str">
            <v/>
          </cell>
        </row>
        <row r="64861">
          <cell r="O64861" t="str">
            <v/>
          </cell>
        </row>
        <row r="64862">
          <cell r="O64862" t="str">
            <v/>
          </cell>
        </row>
        <row r="64863">
          <cell r="O64863" t="str">
            <v/>
          </cell>
        </row>
        <row r="64864">
          <cell r="O64864" t="str">
            <v/>
          </cell>
        </row>
        <row r="64865">
          <cell r="O64865" t="str">
            <v/>
          </cell>
        </row>
        <row r="64866">
          <cell r="O64866" t="str">
            <v/>
          </cell>
        </row>
        <row r="64867">
          <cell r="O64867" t="str">
            <v/>
          </cell>
        </row>
        <row r="64868">
          <cell r="O64868" t="str">
            <v/>
          </cell>
        </row>
        <row r="64869">
          <cell r="O64869" t="str">
            <v/>
          </cell>
        </row>
        <row r="64870">
          <cell r="O64870" t="str">
            <v/>
          </cell>
        </row>
        <row r="64871">
          <cell r="O64871" t="str">
            <v/>
          </cell>
        </row>
        <row r="64872">
          <cell r="O64872" t="str">
            <v/>
          </cell>
        </row>
        <row r="64873">
          <cell r="O64873" t="str">
            <v/>
          </cell>
        </row>
        <row r="64874">
          <cell r="O64874" t="str">
            <v/>
          </cell>
        </row>
        <row r="64875">
          <cell r="O64875" t="str">
            <v/>
          </cell>
        </row>
        <row r="64876">
          <cell r="O64876" t="str">
            <v/>
          </cell>
        </row>
        <row r="64877">
          <cell r="O64877" t="str">
            <v/>
          </cell>
        </row>
        <row r="64878">
          <cell r="O64878" t="str">
            <v/>
          </cell>
        </row>
        <row r="64879">
          <cell r="O64879" t="str">
            <v/>
          </cell>
        </row>
        <row r="64880">
          <cell r="O64880" t="str">
            <v/>
          </cell>
        </row>
        <row r="64881">
          <cell r="O64881" t="str">
            <v/>
          </cell>
        </row>
        <row r="64882">
          <cell r="O64882" t="str">
            <v/>
          </cell>
        </row>
        <row r="64883">
          <cell r="O64883" t="str">
            <v/>
          </cell>
        </row>
        <row r="64884">
          <cell r="O64884" t="str">
            <v/>
          </cell>
        </row>
        <row r="64885">
          <cell r="O64885" t="str">
            <v/>
          </cell>
        </row>
        <row r="64886">
          <cell r="O64886" t="str">
            <v/>
          </cell>
        </row>
        <row r="64887">
          <cell r="O64887" t="str">
            <v/>
          </cell>
        </row>
        <row r="64888">
          <cell r="O64888" t="str">
            <v/>
          </cell>
        </row>
        <row r="64889">
          <cell r="O64889" t="str">
            <v/>
          </cell>
        </row>
        <row r="64890">
          <cell r="O64890" t="str">
            <v/>
          </cell>
        </row>
        <row r="64891">
          <cell r="O64891" t="str">
            <v/>
          </cell>
        </row>
        <row r="64892">
          <cell r="O64892" t="str">
            <v/>
          </cell>
        </row>
        <row r="64893">
          <cell r="O64893" t="str">
            <v/>
          </cell>
        </row>
        <row r="64894">
          <cell r="O64894" t="str">
            <v/>
          </cell>
        </row>
        <row r="64895">
          <cell r="O64895" t="str">
            <v/>
          </cell>
        </row>
        <row r="64896">
          <cell r="O64896" t="str">
            <v/>
          </cell>
        </row>
        <row r="64897">
          <cell r="O64897" t="str">
            <v/>
          </cell>
        </row>
        <row r="64898">
          <cell r="O64898" t="str">
            <v/>
          </cell>
        </row>
        <row r="64899">
          <cell r="O64899" t="str">
            <v/>
          </cell>
        </row>
        <row r="64900">
          <cell r="O64900" t="str">
            <v/>
          </cell>
        </row>
        <row r="64901">
          <cell r="O64901" t="str">
            <v/>
          </cell>
        </row>
        <row r="64902">
          <cell r="O64902" t="str">
            <v/>
          </cell>
        </row>
        <row r="64903">
          <cell r="O64903" t="str">
            <v/>
          </cell>
        </row>
        <row r="64904">
          <cell r="O64904" t="str">
            <v/>
          </cell>
        </row>
        <row r="64905">
          <cell r="O64905" t="str">
            <v/>
          </cell>
        </row>
        <row r="64906">
          <cell r="O64906" t="str">
            <v/>
          </cell>
        </row>
        <row r="64907">
          <cell r="O64907" t="str">
            <v/>
          </cell>
        </row>
        <row r="64908">
          <cell r="O64908" t="str">
            <v/>
          </cell>
        </row>
        <row r="64909">
          <cell r="O64909" t="str">
            <v/>
          </cell>
        </row>
        <row r="64910">
          <cell r="O64910" t="str">
            <v/>
          </cell>
        </row>
        <row r="64911">
          <cell r="O64911" t="str">
            <v/>
          </cell>
        </row>
        <row r="64912">
          <cell r="O64912" t="str">
            <v/>
          </cell>
        </row>
        <row r="64913">
          <cell r="O64913" t="str">
            <v/>
          </cell>
        </row>
        <row r="64914">
          <cell r="O64914" t="str">
            <v/>
          </cell>
        </row>
        <row r="64915">
          <cell r="O64915" t="str">
            <v/>
          </cell>
        </row>
        <row r="64916">
          <cell r="O64916" t="str">
            <v/>
          </cell>
        </row>
        <row r="64917">
          <cell r="O64917" t="str">
            <v/>
          </cell>
        </row>
        <row r="64918">
          <cell r="O64918" t="str">
            <v/>
          </cell>
        </row>
        <row r="64919">
          <cell r="O64919" t="str">
            <v/>
          </cell>
        </row>
        <row r="64920">
          <cell r="O64920" t="str">
            <v/>
          </cell>
        </row>
        <row r="64921">
          <cell r="O64921" t="str">
            <v/>
          </cell>
        </row>
        <row r="64922">
          <cell r="O64922" t="str">
            <v/>
          </cell>
        </row>
        <row r="64923">
          <cell r="O64923" t="str">
            <v/>
          </cell>
        </row>
        <row r="64924">
          <cell r="O64924" t="str">
            <v/>
          </cell>
        </row>
        <row r="64925">
          <cell r="O64925" t="str">
            <v/>
          </cell>
        </row>
        <row r="64926">
          <cell r="O64926" t="str">
            <v/>
          </cell>
        </row>
        <row r="64927">
          <cell r="O64927" t="str">
            <v/>
          </cell>
        </row>
        <row r="64928">
          <cell r="O64928" t="str">
            <v/>
          </cell>
        </row>
        <row r="64929">
          <cell r="O64929" t="str">
            <v/>
          </cell>
        </row>
        <row r="64930">
          <cell r="O64930" t="str">
            <v/>
          </cell>
        </row>
        <row r="64931">
          <cell r="O64931" t="str">
            <v/>
          </cell>
        </row>
        <row r="64932">
          <cell r="O64932" t="str">
            <v/>
          </cell>
        </row>
        <row r="64933">
          <cell r="O64933" t="str">
            <v/>
          </cell>
        </row>
        <row r="64934">
          <cell r="O64934" t="str">
            <v/>
          </cell>
        </row>
        <row r="64935">
          <cell r="O64935" t="str">
            <v/>
          </cell>
        </row>
        <row r="64936">
          <cell r="O64936" t="str">
            <v/>
          </cell>
        </row>
        <row r="64937">
          <cell r="O64937" t="str">
            <v/>
          </cell>
        </row>
        <row r="64938">
          <cell r="O64938" t="str">
            <v/>
          </cell>
        </row>
        <row r="64939">
          <cell r="O64939" t="str">
            <v/>
          </cell>
        </row>
        <row r="64940">
          <cell r="O64940" t="str">
            <v/>
          </cell>
        </row>
        <row r="64941">
          <cell r="O64941" t="str">
            <v/>
          </cell>
        </row>
        <row r="64942">
          <cell r="O64942" t="str">
            <v/>
          </cell>
        </row>
        <row r="64943">
          <cell r="O64943" t="str">
            <v/>
          </cell>
        </row>
        <row r="64944">
          <cell r="O64944" t="str">
            <v/>
          </cell>
        </row>
        <row r="64945">
          <cell r="O64945" t="str">
            <v/>
          </cell>
        </row>
        <row r="64946">
          <cell r="O64946" t="str">
            <v/>
          </cell>
        </row>
        <row r="64947">
          <cell r="O64947" t="str">
            <v/>
          </cell>
        </row>
        <row r="64948">
          <cell r="O64948" t="str">
            <v/>
          </cell>
        </row>
        <row r="64949">
          <cell r="O64949" t="str">
            <v/>
          </cell>
        </row>
        <row r="64950">
          <cell r="O64950" t="str">
            <v/>
          </cell>
        </row>
        <row r="64951">
          <cell r="O64951" t="str">
            <v/>
          </cell>
        </row>
        <row r="64952">
          <cell r="O64952" t="str">
            <v/>
          </cell>
        </row>
        <row r="64953">
          <cell r="O64953" t="str">
            <v/>
          </cell>
        </row>
        <row r="64954">
          <cell r="O64954" t="str">
            <v/>
          </cell>
        </row>
        <row r="64955">
          <cell r="O64955" t="str">
            <v/>
          </cell>
        </row>
        <row r="64956">
          <cell r="O64956" t="str">
            <v/>
          </cell>
        </row>
        <row r="64957">
          <cell r="O64957" t="str">
            <v/>
          </cell>
        </row>
        <row r="64958">
          <cell r="O64958" t="str">
            <v/>
          </cell>
        </row>
        <row r="64959">
          <cell r="O64959" t="str">
            <v/>
          </cell>
        </row>
        <row r="64960">
          <cell r="O64960" t="str">
            <v/>
          </cell>
        </row>
        <row r="64961">
          <cell r="O64961" t="str">
            <v/>
          </cell>
        </row>
        <row r="64962">
          <cell r="O64962" t="str">
            <v/>
          </cell>
        </row>
        <row r="64963">
          <cell r="O64963" t="str">
            <v/>
          </cell>
        </row>
        <row r="64964">
          <cell r="O64964" t="str">
            <v/>
          </cell>
        </row>
        <row r="64965">
          <cell r="O64965" t="str">
            <v/>
          </cell>
        </row>
        <row r="64966">
          <cell r="O64966" t="str">
            <v/>
          </cell>
        </row>
        <row r="64967">
          <cell r="O64967" t="str">
            <v/>
          </cell>
        </row>
        <row r="64968">
          <cell r="O64968" t="str">
            <v/>
          </cell>
        </row>
        <row r="64969">
          <cell r="O64969" t="str">
            <v/>
          </cell>
        </row>
        <row r="64970">
          <cell r="O64970" t="str">
            <v/>
          </cell>
        </row>
        <row r="64971">
          <cell r="O64971" t="str">
            <v/>
          </cell>
        </row>
        <row r="64972">
          <cell r="O64972" t="str">
            <v/>
          </cell>
        </row>
        <row r="64973">
          <cell r="O64973" t="str">
            <v/>
          </cell>
        </row>
        <row r="64974">
          <cell r="O64974" t="str">
            <v/>
          </cell>
        </row>
        <row r="64975">
          <cell r="O64975" t="str">
            <v/>
          </cell>
        </row>
        <row r="64976">
          <cell r="O64976" t="str">
            <v/>
          </cell>
        </row>
        <row r="64977">
          <cell r="O64977" t="str">
            <v/>
          </cell>
        </row>
        <row r="64978">
          <cell r="O64978" t="str">
            <v/>
          </cell>
        </row>
        <row r="64979">
          <cell r="O64979" t="str">
            <v/>
          </cell>
        </row>
        <row r="64980">
          <cell r="O64980" t="str">
            <v/>
          </cell>
        </row>
        <row r="64981">
          <cell r="O64981" t="str">
            <v/>
          </cell>
        </row>
        <row r="64982">
          <cell r="O64982" t="str">
            <v/>
          </cell>
        </row>
        <row r="64983">
          <cell r="O64983" t="str">
            <v/>
          </cell>
        </row>
        <row r="64984">
          <cell r="O64984" t="str">
            <v/>
          </cell>
        </row>
        <row r="64985">
          <cell r="O64985" t="str">
            <v/>
          </cell>
        </row>
        <row r="64986">
          <cell r="O64986" t="str">
            <v/>
          </cell>
        </row>
        <row r="64987">
          <cell r="O64987" t="str">
            <v/>
          </cell>
        </row>
        <row r="64988">
          <cell r="O64988" t="str">
            <v/>
          </cell>
        </row>
        <row r="64989">
          <cell r="O64989" t="str">
            <v/>
          </cell>
        </row>
        <row r="64990">
          <cell r="O64990" t="str">
            <v/>
          </cell>
        </row>
        <row r="64991">
          <cell r="O64991" t="str">
            <v/>
          </cell>
        </row>
        <row r="64992">
          <cell r="O64992" t="str">
            <v/>
          </cell>
        </row>
        <row r="64993">
          <cell r="O64993" t="str">
            <v/>
          </cell>
        </row>
        <row r="64994">
          <cell r="O64994" t="str">
            <v/>
          </cell>
        </row>
        <row r="64995">
          <cell r="O64995" t="str">
            <v/>
          </cell>
        </row>
        <row r="64996">
          <cell r="O64996" t="str">
            <v/>
          </cell>
        </row>
        <row r="64997">
          <cell r="O64997" t="str">
            <v/>
          </cell>
        </row>
        <row r="64998">
          <cell r="O64998" t="str">
            <v/>
          </cell>
        </row>
        <row r="64999">
          <cell r="O64999" t="str">
            <v/>
          </cell>
        </row>
        <row r="65000">
          <cell r="O65000" t="str">
            <v/>
          </cell>
        </row>
        <row r="65001">
          <cell r="O65001" t="str">
            <v/>
          </cell>
        </row>
        <row r="65002">
          <cell r="O65002" t="str">
            <v/>
          </cell>
        </row>
        <row r="65003">
          <cell r="O65003" t="str">
            <v/>
          </cell>
        </row>
        <row r="65004">
          <cell r="O65004" t="str">
            <v/>
          </cell>
        </row>
        <row r="65005">
          <cell r="O65005" t="str">
            <v/>
          </cell>
        </row>
        <row r="65006">
          <cell r="O65006" t="str">
            <v/>
          </cell>
        </row>
        <row r="65007">
          <cell r="O65007" t="str">
            <v/>
          </cell>
        </row>
        <row r="65008">
          <cell r="O65008" t="str">
            <v/>
          </cell>
        </row>
        <row r="65009">
          <cell r="O65009" t="str">
            <v/>
          </cell>
        </row>
        <row r="65010">
          <cell r="O65010" t="str">
            <v/>
          </cell>
        </row>
        <row r="65011">
          <cell r="O65011" t="str">
            <v/>
          </cell>
        </row>
        <row r="65012">
          <cell r="O65012" t="str">
            <v/>
          </cell>
        </row>
        <row r="65013">
          <cell r="O65013" t="str">
            <v/>
          </cell>
        </row>
        <row r="65014">
          <cell r="O65014" t="str">
            <v/>
          </cell>
        </row>
        <row r="65015">
          <cell r="O65015" t="str">
            <v/>
          </cell>
        </row>
        <row r="65016">
          <cell r="O65016" t="str">
            <v/>
          </cell>
        </row>
        <row r="65017">
          <cell r="O65017" t="str">
            <v/>
          </cell>
        </row>
        <row r="65018">
          <cell r="O65018" t="str">
            <v/>
          </cell>
        </row>
        <row r="65019">
          <cell r="O65019" t="str">
            <v/>
          </cell>
        </row>
        <row r="65020">
          <cell r="O65020" t="str">
            <v/>
          </cell>
        </row>
        <row r="65021">
          <cell r="O65021" t="str">
            <v/>
          </cell>
        </row>
        <row r="65022">
          <cell r="O65022" t="str">
            <v/>
          </cell>
        </row>
        <row r="65023">
          <cell r="O65023" t="str">
            <v/>
          </cell>
        </row>
        <row r="65024">
          <cell r="O65024" t="str">
            <v/>
          </cell>
        </row>
        <row r="65025">
          <cell r="O65025" t="str">
            <v/>
          </cell>
        </row>
        <row r="65026">
          <cell r="O65026" t="str">
            <v/>
          </cell>
        </row>
        <row r="65027">
          <cell r="O65027" t="str">
            <v/>
          </cell>
        </row>
        <row r="65028">
          <cell r="O65028" t="str">
            <v/>
          </cell>
        </row>
        <row r="65029">
          <cell r="O65029" t="str">
            <v/>
          </cell>
        </row>
        <row r="65030">
          <cell r="O65030" t="str">
            <v/>
          </cell>
        </row>
        <row r="65031">
          <cell r="O65031" t="str">
            <v/>
          </cell>
        </row>
        <row r="65032">
          <cell r="O65032" t="str">
            <v/>
          </cell>
        </row>
        <row r="65033">
          <cell r="O65033" t="str">
            <v/>
          </cell>
        </row>
        <row r="65034">
          <cell r="O65034" t="str">
            <v/>
          </cell>
        </row>
        <row r="65035">
          <cell r="O65035" t="str">
            <v/>
          </cell>
        </row>
        <row r="65036">
          <cell r="O65036" t="str">
            <v/>
          </cell>
        </row>
        <row r="65037">
          <cell r="O65037" t="str">
            <v/>
          </cell>
        </row>
        <row r="65038">
          <cell r="O65038" t="str">
            <v/>
          </cell>
        </row>
        <row r="65039">
          <cell r="O65039" t="str">
            <v/>
          </cell>
        </row>
        <row r="65040">
          <cell r="O65040" t="str">
            <v/>
          </cell>
        </row>
        <row r="65041">
          <cell r="O65041" t="str">
            <v/>
          </cell>
        </row>
        <row r="65042">
          <cell r="O65042" t="str">
            <v/>
          </cell>
        </row>
        <row r="65043">
          <cell r="O65043" t="str">
            <v/>
          </cell>
        </row>
        <row r="65044">
          <cell r="O65044" t="str">
            <v/>
          </cell>
        </row>
        <row r="65045">
          <cell r="O65045" t="str">
            <v/>
          </cell>
        </row>
        <row r="65046">
          <cell r="O65046" t="str">
            <v/>
          </cell>
        </row>
        <row r="65047">
          <cell r="O65047" t="str">
            <v/>
          </cell>
        </row>
        <row r="65048">
          <cell r="O65048" t="str">
            <v/>
          </cell>
        </row>
        <row r="65049">
          <cell r="O65049" t="str">
            <v/>
          </cell>
        </row>
        <row r="65050">
          <cell r="O65050" t="str">
            <v/>
          </cell>
        </row>
        <row r="65051">
          <cell r="O65051" t="str">
            <v/>
          </cell>
        </row>
        <row r="65052">
          <cell r="O65052" t="str">
            <v/>
          </cell>
        </row>
        <row r="65053">
          <cell r="O65053" t="str">
            <v/>
          </cell>
        </row>
        <row r="65054">
          <cell r="O65054" t="str">
            <v/>
          </cell>
        </row>
        <row r="65055">
          <cell r="O65055" t="str">
            <v/>
          </cell>
        </row>
        <row r="65056">
          <cell r="O65056" t="str">
            <v/>
          </cell>
        </row>
        <row r="65057">
          <cell r="O65057" t="str">
            <v/>
          </cell>
        </row>
        <row r="65058">
          <cell r="O65058" t="str">
            <v/>
          </cell>
        </row>
        <row r="65059">
          <cell r="O65059" t="str">
            <v/>
          </cell>
        </row>
        <row r="65060">
          <cell r="O65060" t="str">
            <v/>
          </cell>
        </row>
        <row r="65061">
          <cell r="O65061" t="str">
            <v/>
          </cell>
        </row>
        <row r="65062">
          <cell r="O65062" t="str">
            <v/>
          </cell>
        </row>
        <row r="65063">
          <cell r="O65063" t="str">
            <v/>
          </cell>
        </row>
        <row r="65064">
          <cell r="O65064" t="str">
            <v/>
          </cell>
        </row>
        <row r="65065">
          <cell r="O65065" t="str">
            <v/>
          </cell>
        </row>
        <row r="65066">
          <cell r="O65066" t="str">
            <v/>
          </cell>
        </row>
        <row r="65067">
          <cell r="O65067" t="str">
            <v/>
          </cell>
        </row>
        <row r="65068">
          <cell r="O65068" t="str">
            <v/>
          </cell>
        </row>
        <row r="65069">
          <cell r="O65069" t="str">
            <v/>
          </cell>
        </row>
        <row r="65070">
          <cell r="O65070" t="str">
            <v/>
          </cell>
        </row>
        <row r="65071">
          <cell r="O65071" t="str">
            <v/>
          </cell>
        </row>
        <row r="65072">
          <cell r="O65072" t="str">
            <v/>
          </cell>
        </row>
        <row r="65073">
          <cell r="O65073" t="str">
            <v/>
          </cell>
        </row>
        <row r="65074">
          <cell r="O65074" t="str">
            <v/>
          </cell>
        </row>
        <row r="65075">
          <cell r="O65075" t="str">
            <v/>
          </cell>
        </row>
        <row r="65076">
          <cell r="O65076" t="str">
            <v/>
          </cell>
        </row>
        <row r="65077">
          <cell r="O65077" t="str">
            <v/>
          </cell>
        </row>
        <row r="65078">
          <cell r="O65078" t="str">
            <v/>
          </cell>
        </row>
        <row r="65079">
          <cell r="O65079" t="str">
            <v/>
          </cell>
        </row>
        <row r="65080">
          <cell r="O65080" t="str">
            <v/>
          </cell>
        </row>
        <row r="65081">
          <cell r="O65081" t="str">
            <v/>
          </cell>
        </row>
        <row r="65082">
          <cell r="O65082" t="str">
            <v/>
          </cell>
        </row>
        <row r="65083">
          <cell r="O65083" t="str">
            <v/>
          </cell>
        </row>
        <row r="65084">
          <cell r="O65084" t="str">
            <v/>
          </cell>
        </row>
        <row r="65085">
          <cell r="O65085" t="str">
            <v/>
          </cell>
        </row>
        <row r="65086">
          <cell r="O65086" t="str">
            <v/>
          </cell>
        </row>
        <row r="65087">
          <cell r="O65087" t="str">
            <v/>
          </cell>
        </row>
        <row r="65088">
          <cell r="O65088" t="str">
            <v/>
          </cell>
        </row>
        <row r="65089">
          <cell r="O65089" t="str">
            <v/>
          </cell>
        </row>
        <row r="65090">
          <cell r="O65090" t="str">
            <v/>
          </cell>
        </row>
        <row r="65091">
          <cell r="O65091" t="str">
            <v/>
          </cell>
        </row>
        <row r="65092">
          <cell r="O65092" t="str">
            <v/>
          </cell>
        </row>
        <row r="65093">
          <cell r="O65093" t="str">
            <v/>
          </cell>
        </row>
        <row r="65094">
          <cell r="O65094" t="str">
            <v/>
          </cell>
        </row>
        <row r="65095">
          <cell r="O65095" t="str">
            <v/>
          </cell>
        </row>
        <row r="65096">
          <cell r="O65096" t="str">
            <v/>
          </cell>
        </row>
        <row r="65097">
          <cell r="O65097" t="str">
            <v/>
          </cell>
        </row>
        <row r="65098">
          <cell r="O65098" t="str">
            <v/>
          </cell>
        </row>
        <row r="65099">
          <cell r="O65099" t="str">
            <v/>
          </cell>
        </row>
        <row r="65100">
          <cell r="O65100" t="str">
            <v/>
          </cell>
        </row>
        <row r="65101">
          <cell r="O65101" t="str">
            <v/>
          </cell>
        </row>
        <row r="65102">
          <cell r="O65102" t="str">
            <v/>
          </cell>
        </row>
        <row r="65103">
          <cell r="O65103" t="str">
            <v/>
          </cell>
        </row>
        <row r="65104">
          <cell r="O65104" t="str">
            <v/>
          </cell>
        </row>
        <row r="65105">
          <cell r="O65105" t="str">
            <v/>
          </cell>
        </row>
        <row r="65106">
          <cell r="O65106" t="str">
            <v/>
          </cell>
        </row>
        <row r="65107">
          <cell r="O65107" t="str">
            <v/>
          </cell>
        </row>
        <row r="65108">
          <cell r="O65108" t="str">
            <v/>
          </cell>
        </row>
        <row r="65109">
          <cell r="O65109" t="str">
            <v/>
          </cell>
        </row>
        <row r="65110">
          <cell r="O65110" t="str">
            <v/>
          </cell>
        </row>
        <row r="65111">
          <cell r="O65111" t="str">
            <v/>
          </cell>
        </row>
        <row r="65112">
          <cell r="O65112" t="str">
            <v/>
          </cell>
        </row>
        <row r="65113">
          <cell r="O65113" t="str">
            <v/>
          </cell>
        </row>
        <row r="65114">
          <cell r="O65114" t="str">
            <v/>
          </cell>
        </row>
        <row r="65115">
          <cell r="O65115" t="str">
            <v/>
          </cell>
        </row>
        <row r="65116">
          <cell r="O65116" t="str">
            <v/>
          </cell>
        </row>
        <row r="65117">
          <cell r="O65117" t="str">
            <v/>
          </cell>
        </row>
        <row r="65118">
          <cell r="O65118" t="str">
            <v/>
          </cell>
        </row>
        <row r="65119">
          <cell r="O65119" t="str">
            <v/>
          </cell>
        </row>
        <row r="65120">
          <cell r="O65120" t="str">
            <v/>
          </cell>
        </row>
        <row r="65121">
          <cell r="O65121" t="str">
            <v/>
          </cell>
        </row>
        <row r="65122">
          <cell r="O65122" t="str">
            <v/>
          </cell>
        </row>
        <row r="65123">
          <cell r="O65123" t="str">
            <v/>
          </cell>
        </row>
        <row r="65124">
          <cell r="O65124" t="str">
            <v/>
          </cell>
        </row>
        <row r="65125">
          <cell r="O65125" t="str">
            <v/>
          </cell>
        </row>
        <row r="65126">
          <cell r="O65126" t="str">
            <v/>
          </cell>
        </row>
        <row r="65127">
          <cell r="O65127" t="str">
            <v/>
          </cell>
        </row>
        <row r="65128">
          <cell r="O65128" t="str">
            <v/>
          </cell>
        </row>
        <row r="65129">
          <cell r="O65129" t="str">
            <v/>
          </cell>
        </row>
        <row r="65130">
          <cell r="O65130" t="str">
            <v/>
          </cell>
        </row>
        <row r="65131">
          <cell r="O65131" t="str">
            <v/>
          </cell>
        </row>
        <row r="65132">
          <cell r="O65132" t="str">
            <v/>
          </cell>
        </row>
        <row r="65133">
          <cell r="O65133" t="str">
            <v/>
          </cell>
        </row>
        <row r="65134">
          <cell r="O65134" t="str">
            <v/>
          </cell>
        </row>
        <row r="65135">
          <cell r="O65135" t="str">
            <v/>
          </cell>
        </row>
        <row r="65136">
          <cell r="O65136" t="str">
            <v/>
          </cell>
        </row>
        <row r="65137">
          <cell r="O65137" t="str">
            <v/>
          </cell>
        </row>
        <row r="65138">
          <cell r="O65138" t="str">
            <v/>
          </cell>
        </row>
        <row r="65139">
          <cell r="O65139" t="str">
            <v/>
          </cell>
        </row>
        <row r="65140">
          <cell r="O65140" t="str">
            <v/>
          </cell>
        </row>
        <row r="65141">
          <cell r="O65141" t="str">
            <v/>
          </cell>
        </row>
        <row r="65142">
          <cell r="O65142" t="str">
            <v/>
          </cell>
        </row>
        <row r="65143">
          <cell r="O65143" t="str">
            <v/>
          </cell>
        </row>
        <row r="65144">
          <cell r="O65144" t="str">
            <v/>
          </cell>
        </row>
        <row r="65145">
          <cell r="O65145" t="str">
            <v/>
          </cell>
        </row>
        <row r="65146">
          <cell r="O65146" t="str">
            <v/>
          </cell>
        </row>
        <row r="65147">
          <cell r="O65147" t="str">
            <v/>
          </cell>
        </row>
        <row r="65148">
          <cell r="O65148" t="str">
            <v/>
          </cell>
        </row>
        <row r="65149">
          <cell r="O65149" t="str">
            <v/>
          </cell>
        </row>
        <row r="65150">
          <cell r="O65150" t="str">
            <v/>
          </cell>
        </row>
        <row r="65151">
          <cell r="O65151" t="str">
            <v/>
          </cell>
        </row>
        <row r="65152">
          <cell r="O65152" t="str">
            <v/>
          </cell>
        </row>
        <row r="65153">
          <cell r="O65153" t="str">
            <v/>
          </cell>
        </row>
        <row r="65154">
          <cell r="O65154" t="str">
            <v/>
          </cell>
        </row>
        <row r="65155">
          <cell r="O65155" t="str">
            <v/>
          </cell>
        </row>
        <row r="65156">
          <cell r="O65156" t="str">
            <v/>
          </cell>
        </row>
        <row r="65157">
          <cell r="O65157" t="str">
            <v/>
          </cell>
        </row>
        <row r="65158">
          <cell r="O65158" t="str">
            <v/>
          </cell>
        </row>
        <row r="65159">
          <cell r="O65159" t="str">
            <v/>
          </cell>
        </row>
        <row r="65160">
          <cell r="O65160" t="str">
            <v/>
          </cell>
        </row>
        <row r="65161">
          <cell r="O65161" t="str">
            <v/>
          </cell>
        </row>
        <row r="65162">
          <cell r="O65162" t="str">
            <v/>
          </cell>
        </row>
        <row r="65163">
          <cell r="O65163" t="str">
            <v/>
          </cell>
        </row>
        <row r="65164">
          <cell r="O65164" t="str">
            <v/>
          </cell>
        </row>
        <row r="65165">
          <cell r="O65165" t="str">
            <v/>
          </cell>
        </row>
        <row r="65166">
          <cell r="O65166" t="str">
            <v/>
          </cell>
        </row>
        <row r="65167">
          <cell r="O65167" t="str">
            <v/>
          </cell>
        </row>
        <row r="65168">
          <cell r="O65168" t="str">
            <v/>
          </cell>
        </row>
        <row r="65169">
          <cell r="O65169" t="str">
            <v/>
          </cell>
        </row>
        <row r="65170">
          <cell r="O65170" t="str">
            <v/>
          </cell>
        </row>
        <row r="65171">
          <cell r="O65171" t="str">
            <v/>
          </cell>
        </row>
        <row r="65172">
          <cell r="O65172" t="str">
            <v/>
          </cell>
        </row>
        <row r="65173">
          <cell r="O65173" t="str">
            <v/>
          </cell>
        </row>
        <row r="65174">
          <cell r="O65174" t="str">
            <v/>
          </cell>
        </row>
        <row r="65175">
          <cell r="O65175" t="str">
            <v/>
          </cell>
        </row>
        <row r="65176">
          <cell r="O65176" t="str">
            <v/>
          </cell>
        </row>
        <row r="65177">
          <cell r="O65177" t="str">
            <v/>
          </cell>
        </row>
        <row r="65178">
          <cell r="O65178" t="str">
            <v/>
          </cell>
        </row>
        <row r="65179">
          <cell r="O65179" t="str">
            <v/>
          </cell>
        </row>
        <row r="65180">
          <cell r="O65180" t="str">
            <v/>
          </cell>
        </row>
        <row r="65181">
          <cell r="O65181" t="str">
            <v/>
          </cell>
        </row>
        <row r="65182">
          <cell r="O65182" t="str">
            <v/>
          </cell>
        </row>
        <row r="65183">
          <cell r="O65183" t="str">
            <v/>
          </cell>
        </row>
        <row r="65184">
          <cell r="O65184" t="str">
            <v/>
          </cell>
        </row>
        <row r="65185">
          <cell r="O65185" t="str">
            <v/>
          </cell>
        </row>
        <row r="65186">
          <cell r="O65186" t="str">
            <v/>
          </cell>
        </row>
        <row r="65187">
          <cell r="O65187" t="str">
            <v/>
          </cell>
        </row>
        <row r="65188">
          <cell r="O65188" t="str">
            <v/>
          </cell>
        </row>
        <row r="65189">
          <cell r="O65189" t="str">
            <v/>
          </cell>
        </row>
        <row r="65190">
          <cell r="O65190" t="str">
            <v/>
          </cell>
        </row>
        <row r="65191">
          <cell r="O65191" t="str">
            <v/>
          </cell>
        </row>
        <row r="65192">
          <cell r="O65192" t="str">
            <v/>
          </cell>
        </row>
        <row r="65193">
          <cell r="O65193" t="str">
            <v/>
          </cell>
        </row>
        <row r="65194">
          <cell r="O65194" t="str">
            <v/>
          </cell>
        </row>
        <row r="65195">
          <cell r="O65195" t="str">
            <v/>
          </cell>
        </row>
        <row r="65196">
          <cell r="O65196" t="str">
            <v/>
          </cell>
        </row>
        <row r="65197">
          <cell r="O65197" t="str">
            <v/>
          </cell>
        </row>
        <row r="65198">
          <cell r="O65198" t="str">
            <v/>
          </cell>
        </row>
        <row r="65199">
          <cell r="O65199" t="str">
            <v/>
          </cell>
        </row>
        <row r="65200">
          <cell r="O65200" t="str">
            <v/>
          </cell>
        </row>
        <row r="65201">
          <cell r="O65201" t="str">
            <v/>
          </cell>
        </row>
        <row r="65202">
          <cell r="O65202" t="str">
            <v/>
          </cell>
        </row>
        <row r="65203">
          <cell r="O65203" t="str">
            <v/>
          </cell>
        </row>
        <row r="65204">
          <cell r="O65204" t="str">
            <v/>
          </cell>
        </row>
        <row r="65205">
          <cell r="O65205" t="str">
            <v/>
          </cell>
        </row>
        <row r="65206">
          <cell r="O65206" t="str">
            <v/>
          </cell>
        </row>
        <row r="65207">
          <cell r="O65207" t="str">
            <v/>
          </cell>
        </row>
        <row r="65208">
          <cell r="O65208" t="str">
            <v/>
          </cell>
        </row>
        <row r="65209">
          <cell r="O65209" t="str">
            <v/>
          </cell>
        </row>
        <row r="65210">
          <cell r="O65210" t="str">
            <v/>
          </cell>
        </row>
        <row r="65211">
          <cell r="O65211" t="str">
            <v/>
          </cell>
        </row>
        <row r="65212">
          <cell r="O65212" t="str">
            <v/>
          </cell>
        </row>
        <row r="65213">
          <cell r="O65213" t="str">
            <v/>
          </cell>
        </row>
        <row r="65214">
          <cell r="O65214" t="str">
            <v/>
          </cell>
        </row>
        <row r="65215">
          <cell r="O65215" t="str">
            <v/>
          </cell>
        </row>
        <row r="65216">
          <cell r="O65216" t="str">
            <v/>
          </cell>
        </row>
        <row r="65217">
          <cell r="O65217" t="str">
            <v/>
          </cell>
        </row>
        <row r="65218">
          <cell r="O65218" t="str">
            <v/>
          </cell>
        </row>
        <row r="65219">
          <cell r="O65219" t="str">
            <v/>
          </cell>
        </row>
        <row r="65220">
          <cell r="O65220" t="str">
            <v/>
          </cell>
        </row>
        <row r="65221">
          <cell r="O65221" t="str">
            <v/>
          </cell>
        </row>
        <row r="65222">
          <cell r="O65222" t="str">
            <v/>
          </cell>
        </row>
        <row r="65223">
          <cell r="O65223" t="str">
            <v/>
          </cell>
        </row>
        <row r="65224">
          <cell r="O65224" t="str">
            <v/>
          </cell>
        </row>
        <row r="65225">
          <cell r="O65225" t="str">
            <v/>
          </cell>
        </row>
        <row r="65226">
          <cell r="O65226" t="str">
            <v/>
          </cell>
        </row>
        <row r="65227">
          <cell r="O65227" t="str">
            <v/>
          </cell>
        </row>
        <row r="65228">
          <cell r="O65228" t="str">
            <v/>
          </cell>
        </row>
        <row r="65229">
          <cell r="O65229" t="str">
            <v/>
          </cell>
        </row>
        <row r="65230">
          <cell r="O65230" t="str">
            <v/>
          </cell>
        </row>
        <row r="65231">
          <cell r="O65231" t="str">
            <v/>
          </cell>
        </row>
        <row r="65232">
          <cell r="O65232" t="str">
            <v/>
          </cell>
        </row>
        <row r="65233">
          <cell r="O65233" t="str">
            <v/>
          </cell>
        </row>
        <row r="65234">
          <cell r="O65234" t="str">
            <v/>
          </cell>
        </row>
        <row r="65235">
          <cell r="O65235" t="str">
            <v/>
          </cell>
        </row>
        <row r="65236">
          <cell r="O65236" t="str">
            <v/>
          </cell>
        </row>
        <row r="65237">
          <cell r="O65237" t="str">
            <v/>
          </cell>
        </row>
        <row r="65238">
          <cell r="O65238" t="str">
            <v/>
          </cell>
        </row>
        <row r="65239">
          <cell r="O65239" t="str">
            <v/>
          </cell>
        </row>
        <row r="65240">
          <cell r="O65240" t="str">
            <v/>
          </cell>
        </row>
        <row r="65241">
          <cell r="O65241" t="str">
            <v/>
          </cell>
        </row>
        <row r="65242">
          <cell r="O65242" t="str">
            <v/>
          </cell>
        </row>
        <row r="65243">
          <cell r="O65243" t="str">
            <v/>
          </cell>
        </row>
        <row r="65244">
          <cell r="O65244" t="str">
            <v/>
          </cell>
        </row>
        <row r="65245">
          <cell r="O65245" t="str">
            <v/>
          </cell>
        </row>
        <row r="65246">
          <cell r="O65246" t="str">
            <v/>
          </cell>
        </row>
        <row r="65247">
          <cell r="O65247" t="str">
            <v/>
          </cell>
        </row>
        <row r="65248">
          <cell r="O65248" t="str">
            <v/>
          </cell>
        </row>
        <row r="65249">
          <cell r="O65249" t="str">
            <v/>
          </cell>
        </row>
        <row r="65250">
          <cell r="O65250" t="str">
            <v/>
          </cell>
        </row>
        <row r="65251">
          <cell r="O65251" t="str">
            <v/>
          </cell>
        </row>
        <row r="65252">
          <cell r="O65252" t="str">
            <v/>
          </cell>
        </row>
        <row r="65253">
          <cell r="O65253" t="str">
            <v/>
          </cell>
        </row>
        <row r="65254">
          <cell r="O65254" t="str">
            <v/>
          </cell>
        </row>
        <row r="65255">
          <cell r="O65255" t="str">
            <v/>
          </cell>
        </row>
        <row r="65256">
          <cell r="O65256" t="str">
            <v/>
          </cell>
        </row>
        <row r="65257">
          <cell r="O65257" t="str">
            <v/>
          </cell>
        </row>
        <row r="65258">
          <cell r="O65258" t="str">
            <v/>
          </cell>
        </row>
        <row r="65259">
          <cell r="O65259" t="str">
            <v/>
          </cell>
        </row>
        <row r="65260">
          <cell r="O65260" t="str">
            <v/>
          </cell>
        </row>
        <row r="65261">
          <cell r="O65261" t="str">
            <v/>
          </cell>
        </row>
        <row r="65262">
          <cell r="O65262" t="str">
            <v/>
          </cell>
        </row>
        <row r="65263">
          <cell r="O65263" t="str">
            <v/>
          </cell>
        </row>
        <row r="65264">
          <cell r="O65264" t="str">
            <v/>
          </cell>
        </row>
        <row r="65265">
          <cell r="O65265" t="str">
            <v/>
          </cell>
        </row>
        <row r="65266">
          <cell r="O65266" t="str">
            <v/>
          </cell>
        </row>
        <row r="65267">
          <cell r="O65267" t="str">
            <v/>
          </cell>
        </row>
        <row r="65268">
          <cell r="O65268" t="str">
            <v/>
          </cell>
        </row>
        <row r="65269">
          <cell r="O65269" t="str">
            <v/>
          </cell>
        </row>
        <row r="65270">
          <cell r="O65270" t="str">
            <v/>
          </cell>
        </row>
        <row r="65271">
          <cell r="O65271" t="str">
            <v/>
          </cell>
        </row>
        <row r="65272">
          <cell r="O65272" t="str">
            <v/>
          </cell>
        </row>
        <row r="65273">
          <cell r="O65273" t="str">
            <v/>
          </cell>
        </row>
        <row r="65274">
          <cell r="O65274" t="str">
            <v/>
          </cell>
        </row>
        <row r="65275">
          <cell r="O65275" t="str">
            <v/>
          </cell>
        </row>
        <row r="65276">
          <cell r="O65276" t="str">
            <v/>
          </cell>
        </row>
        <row r="65277">
          <cell r="O65277" t="str">
            <v/>
          </cell>
        </row>
        <row r="65278">
          <cell r="O65278" t="str">
            <v/>
          </cell>
        </row>
        <row r="65279">
          <cell r="O65279" t="str">
            <v/>
          </cell>
        </row>
        <row r="65280">
          <cell r="O65280" t="str">
            <v/>
          </cell>
        </row>
        <row r="65281">
          <cell r="O65281" t="str">
            <v/>
          </cell>
        </row>
        <row r="65282">
          <cell r="O65282" t="str">
            <v/>
          </cell>
        </row>
        <row r="65283">
          <cell r="O65283" t="str">
            <v/>
          </cell>
        </row>
        <row r="65284">
          <cell r="O65284" t="str">
            <v/>
          </cell>
        </row>
        <row r="65285">
          <cell r="O65285" t="str">
            <v/>
          </cell>
        </row>
        <row r="65286">
          <cell r="O65286" t="str">
            <v/>
          </cell>
        </row>
        <row r="65287">
          <cell r="O65287" t="str">
            <v/>
          </cell>
        </row>
        <row r="65288">
          <cell r="O65288" t="str">
            <v/>
          </cell>
        </row>
        <row r="65289">
          <cell r="O65289" t="str">
            <v/>
          </cell>
        </row>
        <row r="65290">
          <cell r="O65290" t="str">
            <v/>
          </cell>
        </row>
        <row r="65291">
          <cell r="O65291" t="str">
            <v/>
          </cell>
        </row>
        <row r="65292">
          <cell r="O65292" t="str">
            <v/>
          </cell>
        </row>
        <row r="65293">
          <cell r="O65293" t="str">
            <v/>
          </cell>
        </row>
        <row r="65294">
          <cell r="O65294" t="str">
            <v/>
          </cell>
        </row>
        <row r="65295">
          <cell r="O65295" t="str">
            <v/>
          </cell>
        </row>
        <row r="65296">
          <cell r="O65296" t="str">
            <v/>
          </cell>
        </row>
        <row r="65297">
          <cell r="O65297" t="str">
            <v/>
          </cell>
        </row>
        <row r="65298">
          <cell r="O65298" t="str">
            <v/>
          </cell>
        </row>
        <row r="65299">
          <cell r="O65299" t="str">
            <v/>
          </cell>
        </row>
        <row r="65300">
          <cell r="O65300" t="str">
            <v/>
          </cell>
        </row>
        <row r="65301">
          <cell r="O65301" t="str">
            <v/>
          </cell>
        </row>
        <row r="65302">
          <cell r="O65302" t="str">
            <v/>
          </cell>
        </row>
        <row r="65303">
          <cell r="O65303" t="str">
            <v/>
          </cell>
        </row>
        <row r="65304">
          <cell r="O65304" t="str">
            <v/>
          </cell>
        </row>
        <row r="65305">
          <cell r="O65305" t="str">
            <v/>
          </cell>
        </row>
        <row r="65306">
          <cell r="O65306" t="str">
            <v/>
          </cell>
        </row>
        <row r="65307">
          <cell r="O65307" t="str">
            <v/>
          </cell>
        </row>
        <row r="65308">
          <cell r="O65308" t="str">
            <v/>
          </cell>
        </row>
        <row r="65309">
          <cell r="O65309" t="str">
            <v/>
          </cell>
        </row>
        <row r="65310">
          <cell r="O65310" t="str">
            <v/>
          </cell>
        </row>
        <row r="65311">
          <cell r="O65311" t="str">
            <v/>
          </cell>
        </row>
        <row r="65312">
          <cell r="O65312" t="str">
            <v/>
          </cell>
        </row>
        <row r="65313">
          <cell r="O65313" t="str">
            <v/>
          </cell>
        </row>
        <row r="65314">
          <cell r="O65314" t="str">
            <v/>
          </cell>
        </row>
        <row r="65315">
          <cell r="O65315" t="str">
            <v/>
          </cell>
        </row>
        <row r="65316">
          <cell r="O65316" t="str">
            <v/>
          </cell>
        </row>
        <row r="65317">
          <cell r="O65317" t="str">
            <v/>
          </cell>
        </row>
        <row r="65318">
          <cell r="O65318" t="str">
            <v/>
          </cell>
        </row>
        <row r="65319">
          <cell r="O65319" t="str">
            <v/>
          </cell>
        </row>
        <row r="65320">
          <cell r="O65320" t="str">
            <v/>
          </cell>
        </row>
        <row r="65321">
          <cell r="O65321" t="str">
            <v/>
          </cell>
        </row>
        <row r="65322">
          <cell r="O65322" t="str">
            <v/>
          </cell>
        </row>
        <row r="65323">
          <cell r="O65323" t="str">
            <v/>
          </cell>
        </row>
        <row r="65324">
          <cell r="O65324" t="str">
            <v/>
          </cell>
        </row>
        <row r="65325">
          <cell r="O65325" t="str">
            <v/>
          </cell>
        </row>
        <row r="65326">
          <cell r="O65326" t="str">
            <v/>
          </cell>
        </row>
        <row r="65327">
          <cell r="O65327" t="str">
            <v/>
          </cell>
        </row>
        <row r="65328">
          <cell r="O65328" t="str">
            <v/>
          </cell>
        </row>
        <row r="65329">
          <cell r="O65329" t="str">
            <v/>
          </cell>
        </row>
        <row r="65330">
          <cell r="O65330" t="str">
            <v/>
          </cell>
        </row>
        <row r="65331">
          <cell r="O65331" t="str">
            <v/>
          </cell>
        </row>
        <row r="65332">
          <cell r="O65332" t="str">
            <v/>
          </cell>
        </row>
        <row r="65333">
          <cell r="O65333" t="str">
            <v/>
          </cell>
        </row>
        <row r="65334">
          <cell r="O65334" t="str">
            <v/>
          </cell>
        </row>
        <row r="65335">
          <cell r="O65335" t="str">
            <v/>
          </cell>
        </row>
        <row r="65336">
          <cell r="O65336" t="str">
            <v/>
          </cell>
        </row>
        <row r="65337">
          <cell r="O65337" t="str">
            <v/>
          </cell>
        </row>
        <row r="65338">
          <cell r="O65338" t="str">
            <v/>
          </cell>
        </row>
        <row r="65339">
          <cell r="O65339" t="str">
            <v/>
          </cell>
        </row>
        <row r="65340">
          <cell r="O65340" t="str">
            <v/>
          </cell>
        </row>
        <row r="65341">
          <cell r="O65341" t="str">
            <v/>
          </cell>
        </row>
        <row r="65342">
          <cell r="O65342" t="str">
            <v/>
          </cell>
        </row>
        <row r="65343">
          <cell r="O65343" t="str">
            <v/>
          </cell>
        </row>
        <row r="65344">
          <cell r="O65344" t="str">
            <v/>
          </cell>
        </row>
        <row r="65345">
          <cell r="O65345" t="str">
            <v/>
          </cell>
        </row>
        <row r="65346">
          <cell r="O65346" t="str">
            <v/>
          </cell>
        </row>
        <row r="65347">
          <cell r="O65347" t="str">
            <v/>
          </cell>
        </row>
        <row r="65348">
          <cell r="O65348" t="str">
            <v/>
          </cell>
        </row>
        <row r="65349">
          <cell r="O65349" t="str">
            <v/>
          </cell>
        </row>
        <row r="65350">
          <cell r="O65350" t="str">
            <v/>
          </cell>
        </row>
        <row r="65351">
          <cell r="O65351" t="str">
            <v/>
          </cell>
        </row>
        <row r="65352">
          <cell r="O65352" t="str">
            <v/>
          </cell>
        </row>
        <row r="65353">
          <cell r="O65353" t="str">
            <v/>
          </cell>
        </row>
        <row r="65354">
          <cell r="O65354" t="str">
            <v/>
          </cell>
        </row>
        <row r="65355">
          <cell r="O65355" t="str">
            <v/>
          </cell>
        </row>
        <row r="65356">
          <cell r="O65356" t="str">
            <v/>
          </cell>
        </row>
        <row r="65357">
          <cell r="O65357" t="str">
            <v/>
          </cell>
        </row>
        <row r="65358">
          <cell r="O65358" t="str">
            <v/>
          </cell>
        </row>
        <row r="65359">
          <cell r="O65359" t="str">
            <v/>
          </cell>
        </row>
        <row r="65360">
          <cell r="O65360" t="str">
            <v/>
          </cell>
        </row>
        <row r="65361">
          <cell r="O65361" t="str">
            <v/>
          </cell>
        </row>
        <row r="65362">
          <cell r="O65362" t="str">
            <v/>
          </cell>
        </row>
        <row r="65363">
          <cell r="O65363" t="str">
            <v/>
          </cell>
        </row>
        <row r="65364">
          <cell r="O65364" t="str">
            <v/>
          </cell>
        </row>
        <row r="65365">
          <cell r="O65365" t="str">
            <v/>
          </cell>
        </row>
        <row r="65366">
          <cell r="O65366" t="str">
            <v/>
          </cell>
        </row>
        <row r="65367">
          <cell r="O65367" t="str">
            <v/>
          </cell>
        </row>
        <row r="65368">
          <cell r="O65368" t="str">
            <v/>
          </cell>
        </row>
        <row r="65369">
          <cell r="O65369" t="str">
            <v/>
          </cell>
        </row>
        <row r="65370">
          <cell r="O65370" t="str">
            <v/>
          </cell>
        </row>
        <row r="65371">
          <cell r="O65371" t="str">
            <v/>
          </cell>
        </row>
        <row r="65372">
          <cell r="O65372" t="str">
            <v/>
          </cell>
        </row>
        <row r="65373">
          <cell r="O65373" t="str">
            <v/>
          </cell>
        </row>
        <row r="65374">
          <cell r="O65374" t="str">
            <v/>
          </cell>
        </row>
        <row r="65375">
          <cell r="O65375" t="str">
            <v/>
          </cell>
        </row>
        <row r="65376">
          <cell r="O65376" t="str">
            <v/>
          </cell>
        </row>
        <row r="65377">
          <cell r="O65377" t="str">
            <v/>
          </cell>
        </row>
        <row r="65378">
          <cell r="O65378" t="str">
            <v/>
          </cell>
        </row>
        <row r="65379">
          <cell r="O65379" t="str">
            <v/>
          </cell>
        </row>
        <row r="65380">
          <cell r="O65380" t="str">
            <v/>
          </cell>
        </row>
        <row r="65381">
          <cell r="O65381" t="str">
            <v/>
          </cell>
        </row>
        <row r="65382">
          <cell r="O65382" t="str">
            <v/>
          </cell>
        </row>
        <row r="65383">
          <cell r="O65383" t="str">
            <v/>
          </cell>
        </row>
        <row r="65384">
          <cell r="O65384" t="str">
            <v/>
          </cell>
        </row>
        <row r="65385">
          <cell r="O65385" t="str">
            <v/>
          </cell>
        </row>
        <row r="65386">
          <cell r="O65386" t="str">
            <v/>
          </cell>
        </row>
        <row r="65387">
          <cell r="O65387" t="str">
            <v/>
          </cell>
        </row>
        <row r="65388">
          <cell r="O65388" t="str">
            <v/>
          </cell>
        </row>
        <row r="65389">
          <cell r="O65389" t="str">
            <v/>
          </cell>
        </row>
        <row r="65390">
          <cell r="O65390" t="str">
            <v/>
          </cell>
        </row>
        <row r="65391">
          <cell r="O65391" t="str">
            <v/>
          </cell>
        </row>
        <row r="65392">
          <cell r="O65392" t="str">
            <v/>
          </cell>
        </row>
        <row r="65393">
          <cell r="O65393" t="str">
            <v/>
          </cell>
        </row>
        <row r="65394">
          <cell r="O65394" t="str">
            <v/>
          </cell>
        </row>
        <row r="65395">
          <cell r="O65395" t="str">
            <v/>
          </cell>
        </row>
        <row r="65396">
          <cell r="O65396" t="str">
            <v/>
          </cell>
        </row>
        <row r="65397">
          <cell r="O65397" t="str">
            <v/>
          </cell>
        </row>
        <row r="65398">
          <cell r="O65398" t="str">
            <v/>
          </cell>
        </row>
        <row r="65399">
          <cell r="O65399" t="str">
            <v/>
          </cell>
        </row>
        <row r="65400">
          <cell r="O65400" t="str">
            <v/>
          </cell>
        </row>
        <row r="65401">
          <cell r="O65401" t="str">
            <v/>
          </cell>
        </row>
        <row r="65402">
          <cell r="O65402" t="str">
            <v/>
          </cell>
        </row>
        <row r="65403">
          <cell r="O65403" t="str">
            <v/>
          </cell>
        </row>
        <row r="65404">
          <cell r="O65404" t="str">
            <v/>
          </cell>
        </row>
        <row r="65405">
          <cell r="O65405" t="str">
            <v/>
          </cell>
        </row>
        <row r="65406">
          <cell r="O65406" t="str">
            <v/>
          </cell>
        </row>
        <row r="65407">
          <cell r="O65407" t="str">
            <v/>
          </cell>
        </row>
        <row r="65408">
          <cell r="O65408" t="str">
            <v/>
          </cell>
        </row>
        <row r="65409">
          <cell r="O65409" t="str">
            <v/>
          </cell>
        </row>
        <row r="65410">
          <cell r="O65410" t="str">
            <v/>
          </cell>
        </row>
        <row r="65411">
          <cell r="O65411" t="str">
            <v/>
          </cell>
        </row>
        <row r="65412">
          <cell r="O65412" t="str">
            <v/>
          </cell>
        </row>
        <row r="65413">
          <cell r="O65413" t="str">
            <v/>
          </cell>
        </row>
        <row r="65414">
          <cell r="O65414" t="str">
            <v/>
          </cell>
        </row>
        <row r="65415">
          <cell r="O65415" t="str">
            <v/>
          </cell>
        </row>
        <row r="65416">
          <cell r="O65416" t="str">
            <v/>
          </cell>
        </row>
        <row r="65417">
          <cell r="O65417" t="str">
            <v/>
          </cell>
        </row>
        <row r="65418">
          <cell r="O65418" t="str">
            <v/>
          </cell>
        </row>
        <row r="65419">
          <cell r="O65419" t="str">
            <v/>
          </cell>
        </row>
        <row r="65420">
          <cell r="O65420" t="str">
            <v/>
          </cell>
        </row>
        <row r="65421">
          <cell r="O65421" t="str">
            <v/>
          </cell>
        </row>
        <row r="65422">
          <cell r="O65422" t="str">
            <v/>
          </cell>
        </row>
        <row r="65423">
          <cell r="O65423" t="str">
            <v/>
          </cell>
        </row>
        <row r="65424">
          <cell r="O65424" t="str">
            <v/>
          </cell>
        </row>
        <row r="65425">
          <cell r="O65425" t="str">
            <v/>
          </cell>
        </row>
        <row r="65426">
          <cell r="O65426" t="str">
            <v/>
          </cell>
        </row>
        <row r="65427">
          <cell r="O65427" t="str">
            <v/>
          </cell>
        </row>
        <row r="65428">
          <cell r="O65428" t="str">
            <v/>
          </cell>
        </row>
        <row r="65429">
          <cell r="O65429" t="str">
            <v/>
          </cell>
        </row>
        <row r="65430">
          <cell r="O65430" t="str">
            <v/>
          </cell>
        </row>
        <row r="65431">
          <cell r="O65431" t="str">
            <v/>
          </cell>
        </row>
        <row r="65432">
          <cell r="O65432" t="str">
            <v/>
          </cell>
        </row>
        <row r="65433">
          <cell r="O65433" t="str">
            <v/>
          </cell>
        </row>
        <row r="65434">
          <cell r="O65434" t="str">
            <v/>
          </cell>
        </row>
        <row r="65435">
          <cell r="O65435" t="str">
            <v/>
          </cell>
        </row>
        <row r="65436">
          <cell r="O65436" t="str">
            <v/>
          </cell>
        </row>
        <row r="65437">
          <cell r="O65437" t="str">
            <v/>
          </cell>
        </row>
        <row r="65438">
          <cell r="O65438" t="str">
            <v/>
          </cell>
        </row>
        <row r="65439">
          <cell r="O65439" t="str">
            <v/>
          </cell>
        </row>
        <row r="65440">
          <cell r="O65440" t="str">
            <v/>
          </cell>
        </row>
        <row r="65441">
          <cell r="O65441" t="str">
            <v/>
          </cell>
        </row>
        <row r="65442">
          <cell r="O65442" t="str">
            <v/>
          </cell>
        </row>
        <row r="65443">
          <cell r="O65443" t="str">
            <v/>
          </cell>
        </row>
        <row r="65444">
          <cell r="O65444" t="str">
            <v/>
          </cell>
        </row>
        <row r="65445">
          <cell r="O65445" t="str">
            <v/>
          </cell>
        </row>
        <row r="65446">
          <cell r="O65446" t="str">
            <v/>
          </cell>
        </row>
        <row r="65447">
          <cell r="O65447" t="str">
            <v/>
          </cell>
        </row>
        <row r="65448">
          <cell r="O65448" t="str">
            <v/>
          </cell>
        </row>
        <row r="65449">
          <cell r="O65449" t="str">
            <v/>
          </cell>
        </row>
        <row r="65450">
          <cell r="O65450" t="str">
            <v/>
          </cell>
        </row>
        <row r="65451">
          <cell r="O65451" t="str">
            <v/>
          </cell>
        </row>
        <row r="65452">
          <cell r="O65452" t="str">
            <v/>
          </cell>
        </row>
        <row r="65453">
          <cell r="O65453" t="str">
            <v/>
          </cell>
        </row>
        <row r="65454">
          <cell r="O65454" t="str">
            <v/>
          </cell>
        </row>
        <row r="65455">
          <cell r="O65455" t="str">
            <v/>
          </cell>
        </row>
        <row r="65456">
          <cell r="O65456" t="str">
            <v/>
          </cell>
        </row>
        <row r="65457">
          <cell r="O65457" t="str">
            <v/>
          </cell>
        </row>
        <row r="65458">
          <cell r="O65458" t="str">
            <v/>
          </cell>
        </row>
        <row r="65459">
          <cell r="O65459" t="str">
            <v/>
          </cell>
        </row>
        <row r="65460">
          <cell r="O65460" t="str">
            <v/>
          </cell>
        </row>
        <row r="65461">
          <cell r="O65461" t="str">
            <v/>
          </cell>
        </row>
        <row r="65462">
          <cell r="O65462" t="str">
            <v/>
          </cell>
        </row>
        <row r="65463">
          <cell r="O65463" t="str">
            <v/>
          </cell>
        </row>
        <row r="65464">
          <cell r="O65464" t="str">
            <v/>
          </cell>
        </row>
        <row r="65465">
          <cell r="O65465" t="str">
            <v/>
          </cell>
        </row>
        <row r="65466">
          <cell r="O65466" t="str">
            <v/>
          </cell>
        </row>
        <row r="65467">
          <cell r="O65467" t="str">
            <v/>
          </cell>
        </row>
        <row r="65468">
          <cell r="O65468" t="str">
            <v/>
          </cell>
        </row>
        <row r="65469">
          <cell r="O65469" t="str">
            <v/>
          </cell>
        </row>
        <row r="65470">
          <cell r="O65470" t="str">
            <v/>
          </cell>
        </row>
        <row r="65471">
          <cell r="O65471" t="str">
            <v/>
          </cell>
        </row>
        <row r="65472">
          <cell r="O65472" t="str">
            <v/>
          </cell>
        </row>
        <row r="65473">
          <cell r="O65473" t="str">
            <v/>
          </cell>
        </row>
        <row r="65474">
          <cell r="O65474" t="str">
            <v/>
          </cell>
        </row>
        <row r="65475">
          <cell r="O65475" t="str">
            <v/>
          </cell>
        </row>
        <row r="65476">
          <cell r="O65476" t="str">
            <v/>
          </cell>
        </row>
        <row r="65477">
          <cell r="O65477" t="str">
            <v/>
          </cell>
        </row>
        <row r="65478">
          <cell r="O65478" t="str">
            <v/>
          </cell>
        </row>
        <row r="65479">
          <cell r="O65479" t="str">
            <v/>
          </cell>
        </row>
        <row r="65480">
          <cell r="O65480" t="str">
            <v/>
          </cell>
        </row>
        <row r="65481">
          <cell r="O65481" t="str">
            <v/>
          </cell>
        </row>
        <row r="65482">
          <cell r="O65482" t="str">
            <v/>
          </cell>
        </row>
        <row r="65483">
          <cell r="O65483" t="str">
            <v/>
          </cell>
        </row>
        <row r="65484">
          <cell r="O65484" t="str">
            <v/>
          </cell>
        </row>
        <row r="65485">
          <cell r="O65485" t="str">
            <v/>
          </cell>
        </row>
        <row r="65486">
          <cell r="O65486" t="str">
            <v/>
          </cell>
        </row>
        <row r="65487">
          <cell r="O65487" t="str">
            <v/>
          </cell>
        </row>
        <row r="65488">
          <cell r="O65488" t="str">
            <v/>
          </cell>
        </row>
        <row r="65489">
          <cell r="O65489" t="str">
            <v/>
          </cell>
        </row>
        <row r="65490">
          <cell r="O65490" t="str">
            <v/>
          </cell>
        </row>
        <row r="65491">
          <cell r="O65491" t="str">
            <v/>
          </cell>
        </row>
        <row r="65492">
          <cell r="O65492" t="str">
            <v/>
          </cell>
        </row>
        <row r="65493">
          <cell r="O65493" t="str">
            <v/>
          </cell>
        </row>
        <row r="65494">
          <cell r="O65494" t="str">
            <v/>
          </cell>
        </row>
        <row r="65495">
          <cell r="O65495" t="str">
            <v/>
          </cell>
        </row>
        <row r="65496">
          <cell r="O65496" t="str">
            <v/>
          </cell>
        </row>
        <row r="65497">
          <cell r="O65497" t="str">
            <v/>
          </cell>
        </row>
        <row r="65498">
          <cell r="O65498" t="str">
            <v/>
          </cell>
        </row>
        <row r="65499">
          <cell r="O65499" t="str">
            <v/>
          </cell>
        </row>
        <row r="65500">
          <cell r="O65500" t="str">
            <v/>
          </cell>
        </row>
        <row r="65501">
          <cell r="O65501" t="str">
            <v/>
          </cell>
        </row>
        <row r="65502">
          <cell r="O65502" t="str">
            <v/>
          </cell>
        </row>
        <row r="65503">
          <cell r="O65503" t="str">
            <v/>
          </cell>
        </row>
        <row r="65504">
          <cell r="O65504" t="str">
            <v/>
          </cell>
        </row>
        <row r="65505">
          <cell r="O65505" t="str">
            <v/>
          </cell>
        </row>
        <row r="65506">
          <cell r="O65506" t="str">
            <v/>
          </cell>
        </row>
        <row r="65507">
          <cell r="O65507" t="str">
            <v/>
          </cell>
        </row>
        <row r="65508">
          <cell r="O65508" t="str">
            <v/>
          </cell>
        </row>
        <row r="65509">
          <cell r="O65509" t="str">
            <v/>
          </cell>
        </row>
        <row r="65510">
          <cell r="O65510" t="str">
            <v/>
          </cell>
        </row>
        <row r="65511">
          <cell r="O65511" t="str">
            <v/>
          </cell>
        </row>
        <row r="65512">
          <cell r="O65512" t="str">
            <v/>
          </cell>
        </row>
        <row r="65513">
          <cell r="O65513" t="str">
            <v/>
          </cell>
        </row>
        <row r="65514">
          <cell r="O65514" t="str">
            <v/>
          </cell>
        </row>
        <row r="65515">
          <cell r="O65515" t="str">
            <v/>
          </cell>
        </row>
        <row r="65516">
          <cell r="O65516" t="str">
            <v/>
          </cell>
        </row>
        <row r="65517">
          <cell r="O65517" t="str">
            <v/>
          </cell>
        </row>
        <row r="65518">
          <cell r="O65518" t="str">
            <v/>
          </cell>
        </row>
        <row r="65519">
          <cell r="O65519" t="str">
            <v/>
          </cell>
        </row>
        <row r="65520">
          <cell r="O65520" t="str">
            <v/>
          </cell>
        </row>
        <row r="65521">
          <cell r="O65521" t="str">
            <v/>
          </cell>
        </row>
        <row r="65522">
          <cell r="O65522" t="str">
            <v/>
          </cell>
        </row>
        <row r="65523">
          <cell r="O65523" t="str">
            <v/>
          </cell>
        </row>
        <row r="65524">
          <cell r="O65524" t="str">
            <v/>
          </cell>
        </row>
        <row r="65525">
          <cell r="O65525" t="str">
            <v/>
          </cell>
        </row>
        <row r="65526">
          <cell r="O65526" t="str">
            <v/>
          </cell>
        </row>
        <row r="65527">
          <cell r="O65527" t="str">
            <v/>
          </cell>
        </row>
        <row r="65528">
          <cell r="O65528" t="str">
            <v/>
          </cell>
        </row>
        <row r="65529">
          <cell r="O65529" t="str">
            <v/>
          </cell>
        </row>
        <row r="65530">
          <cell r="O65530" t="str">
            <v/>
          </cell>
        </row>
        <row r="65531">
          <cell r="O65531" t="str">
            <v/>
          </cell>
        </row>
        <row r="65532">
          <cell r="O65532" t="str">
            <v/>
          </cell>
        </row>
        <row r="65533">
          <cell r="O65533" t="str">
            <v/>
          </cell>
        </row>
        <row r="65534">
          <cell r="O65534" t="str">
            <v/>
          </cell>
        </row>
        <row r="65535">
          <cell r="O65535" t="str">
            <v/>
          </cell>
        </row>
        <row r="65536">
          <cell r="O65536" t="str">
            <v/>
          </cell>
        </row>
        <row r="65537">
          <cell r="O65537" t="str">
            <v/>
          </cell>
        </row>
        <row r="65538">
          <cell r="O65538" t="str">
            <v/>
          </cell>
        </row>
        <row r="65539">
          <cell r="O65539" t="str">
            <v/>
          </cell>
        </row>
        <row r="65540">
          <cell r="O65540" t="str">
            <v/>
          </cell>
        </row>
        <row r="65541">
          <cell r="O65541" t="str">
            <v/>
          </cell>
        </row>
        <row r="65542">
          <cell r="O65542" t="str">
            <v/>
          </cell>
        </row>
        <row r="65543">
          <cell r="O65543" t="str">
            <v/>
          </cell>
        </row>
        <row r="65544">
          <cell r="O65544" t="str">
            <v/>
          </cell>
        </row>
        <row r="65545">
          <cell r="O65545" t="str">
            <v/>
          </cell>
        </row>
        <row r="65546">
          <cell r="O65546" t="str">
            <v/>
          </cell>
        </row>
        <row r="65547">
          <cell r="O65547" t="str">
            <v/>
          </cell>
        </row>
        <row r="65548">
          <cell r="O65548" t="str">
            <v/>
          </cell>
        </row>
        <row r="65549">
          <cell r="O65549" t="str">
            <v/>
          </cell>
        </row>
        <row r="65550">
          <cell r="O65550" t="str">
            <v/>
          </cell>
        </row>
        <row r="65551">
          <cell r="O65551" t="str">
            <v/>
          </cell>
        </row>
        <row r="65552">
          <cell r="O65552" t="str">
            <v/>
          </cell>
        </row>
        <row r="65553">
          <cell r="O65553" t="str">
            <v/>
          </cell>
        </row>
        <row r="65554">
          <cell r="O65554" t="str">
            <v/>
          </cell>
        </row>
        <row r="65555">
          <cell r="O65555" t="str">
            <v/>
          </cell>
        </row>
        <row r="65556">
          <cell r="O65556" t="str">
            <v/>
          </cell>
        </row>
        <row r="65557">
          <cell r="O65557" t="str">
            <v/>
          </cell>
        </row>
        <row r="65558">
          <cell r="O65558" t="str">
            <v/>
          </cell>
        </row>
        <row r="65559">
          <cell r="O65559" t="str">
            <v/>
          </cell>
        </row>
        <row r="65560">
          <cell r="O65560" t="str">
            <v/>
          </cell>
        </row>
        <row r="65561">
          <cell r="O65561" t="str">
            <v/>
          </cell>
        </row>
        <row r="65562">
          <cell r="O65562" t="str">
            <v/>
          </cell>
        </row>
        <row r="65563">
          <cell r="O65563" t="str">
            <v/>
          </cell>
        </row>
        <row r="65564">
          <cell r="O65564" t="str">
            <v/>
          </cell>
        </row>
        <row r="65565">
          <cell r="O65565" t="str">
            <v/>
          </cell>
        </row>
        <row r="65566">
          <cell r="O65566" t="str">
            <v/>
          </cell>
        </row>
        <row r="65567">
          <cell r="O65567" t="str">
            <v/>
          </cell>
        </row>
        <row r="65568">
          <cell r="O65568" t="str">
            <v/>
          </cell>
        </row>
        <row r="65569">
          <cell r="O65569" t="str">
            <v/>
          </cell>
        </row>
        <row r="65570">
          <cell r="O65570" t="str">
            <v/>
          </cell>
        </row>
        <row r="65571">
          <cell r="O65571" t="str">
            <v/>
          </cell>
        </row>
        <row r="65572">
          <cell r="O65572" t="str">
            <v/>
          </cell>
        </row>
        <row r="65573">
          <cell r="O65573" t="str">
            <v/>
          </cell>
        </row>
        <row r="65574">
          <cell r="O65574" t="str">
            <v/>
          </cell>
        </row>
        <row r="65575">
          <cell r="O65575" t="str">
            <v/>
          </cell>
        </row>
        <row r="65576">
          <cell r="O65576" t="str">
            <v/>
          </cell>
        </row>
        <row r="65577">
          <cell r="O65577" t="str">
            <v/>
          </cell>
        </row>
        <row r="65578">
          <cell r="O65578" t="str">
            <v/>
          </cell>
        </row>
        <row r="65579">
          <cell r="O65579" t="str">
            <v/>
          </cell>
        </row>
        <row r="65580">
          <cell r="O65580" t="str">
            <v/>
          </cell>
        </row>
        <row r="65581">
          <cell r="O65581" t="str">
            <v/>
          </cell>
        </row>
        <row r="65582">
          <cell r="O65582" t="str">
            <v/>
          </cell>
        </row>
        <row r="65583">
          <cell r="O65583" t="str">
            <v/>
          </cell>
        </row>
        <row r="65584">
          <cell r="O65584" t="str">
            <v/>
          </cell>
        </row>
        <row r="65585">
          <cell r="O65585" t="str">
            <v/>
          </cell>
        </row>
        <row r="65586">
          <cell r="O65586" t="str">
            <v/>
          </cell>
        </row>
        <row r="65587">
          <cell r="O65587" t="str">
            <v/>
          </cell>
        </row>
        <row r="65588">
          <cell r="O65588" t="str">
            <v/>
          </cell>
        </row>
        <row r="65589">
          <cell r="O65589" t="str">
            <v/>
          </cell>
        </row>
        <row r="65590">
          <cell r="O65590" t="str">
            <v/>
          </cell>
        </row>
        <row r="65591">
          <cell r="O65591" t="str">
            <v/>
          </cell>
        </row>
        <row r="65592">
          <cell r="O65592" t="str">
            <v/>
          </cell>
        </row>
        <row r="65593">
          <cell r="O65593" t="str">
            <v/>
          </cell>
        </row>
        <row r="65594">
          <cell r="O65594" t="str">
            <v/>
          </cell>
        </row>
        <row r="65595">
          <cell r="O65595" t="str">
            <v/>
          </cell>
        </row>
        <row r="65596">
          <cell r="O65596" t="str">
            <v/>
          </cell>
        </row>
        <row r="65597">
          <cell r="O65597" t="str">
            <v/>
          </cell>
        </row>
        <row r="65598">
          <cell r="O65598" t="str">
            <v/>
          </cell>
        </row>
        <row r="65599">
          <cell r="O65599" t="str">
            <v/>
          </cell>
        </row>
        <row r="65600">
          <cell r="O65600" t="str">
            <v/>
          </cell>
        </row>
        <row r="65601">
          <cell r="O65601" t="str">
            <v/>
          </cell>
        </row>
        <row r="65602">
          <cell r="O65602" t="str">
            <v/>
          </cell>
        </row>
        <row r="65603">
          <cell r="O65603" t="str">
            <v/>
          </cell>
        </row>
        <row r="65604">
          <cell r="O65604" t="str">
            <v/>
          </cell>
        </row>
        <row r="65605">
          <cell r="O65605" t="str">
            <v/>
          </cell>
        </row>
        <row r="65606">
          <cell r="O65606" t="str">
            <v/>
          </cell>
        </row>
        <row r="65607">
          <cell r="O65607" t="str">
            <v/>
          </cell>
        </row>
        <row r="65608">
          <cell r="O65608" t="str">
            <v/>
          </cell>
        </row>
        <row r="65609">
          <cell r="O65609" t="str">
            <v/>
          </cell>
        </row>
        <row r="65610">
          <cell r="O65610" t="str">
            <v/>
          </cell>
        </row>
        <row r="65611">
          <cell r="O65611" t="str">
            <v/>
          </cell>
        </row>
        <row r="65612">
          <cell r="O65612" t="str">
            <v/>
          </cell>
        </row>
        <row r="65613">
          <cell r="O65613" t="str">
            <v/>
          </cell>
        </row>
        <row r="65614">
          <cell r="O65614" t="str">
            <v/>
          </cell>
        </row>
        <row r="65615">
          <cell r="O65615" t="str">
            <v/>
          </cell>
        </row>
        <row r="65616">
          <cell r="O65616" t="str">
            <v/>
          </cell>
        </row>
        <row r="65617">
          <cell r="O65617" t="str">
            <v/>
          </cell>
        </row>
        <row r="65618">
          <cell r="O65618" t="str">
            <v/>
          </cell>
        </row>
        <row r="65619">
          <cell r="O65619" t="str">
            <v/>
          </cell>
        </row>
        <row r="65620">
          <cell r="O65620" t="str">
            <v/>
          </cell>
        </row>
        <row r="65621">
          <cell r="O65621" t="str">
            <v/>
          </cell>
        </row>
        <row r="65622">
          <cell r="O65622" t="str">
            <v/>
          </cell>
        </row>
        <row r="65623">
          <cell r="O65623" t="str">
            <v/>
          </cell>
        </row>
        <row r="65624">
          <cell r="O65624" t="str">
            <v/>
          </cell>
        </row>
        <row r="65625">
          <cell r="O65625" t="str">
            <v/>
          </cell>
        </row>
        <row r="65626">
          <cell r="O65626" t="str">
            <v/>
          </cell>
        </row>
        <row r="65627">
          <cell r="O65627" t="str">
            <v/>
          </cell>
        </row>
        <row r="65628">
          <cell r="O65628" t="str">
            <v/>
          </cell>
        </row>
        <row r="65629">
          <cell r="O65629" t="str">
            <v/>
          </cell>
        </row>
        <row r="65630">
          <cell r="O65630" t="str">
            <v/>
          </cell>
        </row>
        <row r="65631">
          <cell r="O65631" t="str">
            <v/>
          </cell>
        </row>
        <row r="65632">
          <cell r="O65632" t="str">
            <v/>
          </cell>
        </row>
        <row r="65633">
          <cell r="O65633" t="str">
            <v/>
          </cell>
        </row>
        <row r="65634">
          <cell r="O65634" t="str">
            <v/>
          </cell>
        </row>
        <row r="65635">
          <cell r="O65635" t="str">
            <v/>
          </cell>
        </row>
        <row r="65636">
          <cell r="O65636" t="str">
            <v/>
          </cell>
        </row>
        <row r="65637">
          <cell r="O65637" t="str">
            <v/>
          </cell>
        </row>
        <row r="65638">
          <cell r="O65638" t="str">
            <v/>
          </cell>
        </row>
        <row r="65639">
          <cell r="O65639" t="str">
            <v/>
          </cell>
        </row>
        <row r="65640">
          <cell r="O65640" t="str">
            <v/>
          </cell>
        </row>
        <row r="65641">
          <cell r="O65641" t="str">
            <v/>
          </cell>
        </row>
        <row r="65642">
          <cell r="O65642" t="str">
            <v/>
          </cell>
        </row>
        <row r="65643">
          <cell r="O65643" t="str">
            <v/>
          </cell>
        </row>
        <row r="65644">
          <cell r="O65644" t="str">
            <v/>
          </cell>
        </row>
        <row r="65645">
          <cell r="O65645" t="str">
            <v/>
          </cell>
        </row>
        <row r="65646">
          <cell r="O65646" t="str">
            <v/>
          </cell>
        </row>
        <row r="65647">
          <cell r="O65647" t="str">
            <v/>
          </cell>
        </row>
        <row r="65648">
          <cell r="O65648" t="str">
            <v/>
          </cell>
        </row>
        <row r="65649">
          <cell r="O65649" t="str">
            <v/>
          </cell>
        </row>
        <row r="65650">
          <cell r="O65650" t="str">
            <v/>
          </cell>
        </row>
        <row r="65651">
          <cell r="O65651" t="str">
            <v/>
          </cell>
        </row>
        <row r="65652">
          <cell r="O65652" t="str">
            <v/>
          </cell>
        </row>
        <row r="65653">
          <cell r="O65653" t="str">
            <v/>
          </cell>
        </row>
        <row r="65654">
          <cell r="O65654" t="str">
            <v/>
          </cell>
        </row>
        <row r="65655">
          <cell r="O65655" t="str">
            <v/>
          </cell>
        </row>
        <row r="65656">
          <cell r="O65656" t="str">
            <v/>
          </cell>
        </row>
        <row r="65657">
          <cell r="O65657" t="str">
            <v/>
          </cell>
        </row>
        <row r="65658">
          <cell r="O65658" t="str">
            <v/>
          </cell>
        </row>
        <row r="65659">
          <cell r="O65659" t="str">
            <v/>
          </cell>
        </row>
        <row r="65660">
          <cell r="O65660" t="str">
            <v/>
          </cell>
        </row>
        <row r="65661">
          <cell r="O65661" t="str">
            <v/>
          </cell>
        </row>
        <row r="65662">
          <cell r="O65662" t="str">
            <v/>
          </cell>
        </row>
        <row r="65663">
          <cell r="O65663" t="str">
            <v/>
          </cell>
        </row>
        <row r="65664">
          <cell r="O65664" t="str">
            <v/>
          </cell>
        </row>
        <row r="65665">
          <cell r="O65665" t="str">
            <v/>
          </cell>
        </row>
        <row r="65666">
          <cell r="O65666" t="str">
            <v/>
          </cell>
        </row>
        <row r="65667">
          <cell r="O65667" t="str">
            <v/>
          </cell>
        </row>
        <row r="65668">
          <cell r="O65668" t="str">
            <v/>
          </cell>
        </row>
        <row r="65669">
          <cell r="O65669" t="str">
            <v/>
          </cell>
        </row>
        <row r="65670">
          <cell r="O65670" t="str">
            <v/>
          </cell>
        </row>
        <row r="65671">
          <cell r="O65671" t="str">
            <v/>
          </cell>
        </row>
        <row r="65672">
          <cell r="O65672" t="str">
            <v/>
          </cell>
        </row>
        <row r="65673">
          <cell r="O65673" t="str">
            <v/>
          </cell>
        </row>
        <row r="65674">
          <cell r="O65674" t="str">
            <v/>
          </cell>
        </row>
        <row r="65675">
          <cell r="O65675" t="str">
            <v/>
          </cell>
        </row>
        <row r="65676">
          <cell r="O65676" t="str">
            <v/>
          </cell>
        </row>
        <row r="65677">
          <cell r="O65677" t="str">
            <v/>
          </cell>
        </row>
        <row r="65678">
          <cell r="O65678" t="str">
            <v/>
          </cell>
        </row>
        <row r="65679">
          <cell r="O65679" t="str">
            <v/>
          </cell>
        </row>
        <row r="65680">
          <cell r="O65680" t="str">
            <v/>
          </cell>
        </row>
        <row r="65681">
          <cell r="O65681" t="str">
            <v/>
          </cell>
        </row>
        <row r="65682">
          <cell r="O65682" t="str">
            <v/>
          </cell>
        </row>
        <row r="65683">
          <cell r="O65683" t="str">
            <v/>
          </cell>
        </row>
        <row r="65684">
          <cell r="O65684" t="str">
            <v/>
          </cell>
        </row>
        <row r="65685">
          <cell r="O65685" t="str">
            <v/>
          </cell>
        </row>
        <row r="65686">
          <cell r="O65686" t="str">
            <v/>
          </cell>
        </row>
        <row r="65687">
          <cell r="O65687" t="str">
            <v/>
          </cell>
        </row>
        <row r="65688">
          <cell r="O65688" t="str">
            <v/>
          </cell>
        </row>
        <row r="65689">
          <cell r="O65689" t="str">
            <v/>
          </cell>
        </row>
        <row r="65690">
          <cell r="O65690" t="str">
            <v/>
          </cell>
        </row>
        <row r="65691">
          <cell r="O65691" t="str">
            <v/>
          </cell>
        </row>
        <row r="65692">
          <cell r="O65692" t="str">
            <v/>
          </cell>
        </row>
        <row r="65693">
          <cell r="O65693" t="str">
            <v/>
          </cell>
        </row>
        <row r="65694">
          <cell r="O65694" t="str">
            <v/>
          </cell>
        </row>
        <row r="65695">
          <cell r="O65695" t="str">
            <v/>
          </cell>
        </row>
        <row r="65696">
          <cell r="O65696" t="str">
            <v/>
          </cell>
        </row>
        <row r="65697">
          <cell r="O65697" t="str">
            <v/>
          </cell>
        </row>
        <row r="65698">
          <cell r="O65698" t="str">
            <v/>
          </cell>
        </row>
        <row r="65699">
          <cell r="O65699" t="str">
            <v/>
          </cell>
        </row>
        <row r="65700">
          <cell r="O65700" t="str">
            <v/>
          </cell>
        </row>
        <row r="65701">
          <cell r="O65701" t="str">
            <v/>
          </cell>
        </row>
        <row r="65702">
          <cell r="O65702" t="str">
            <v/>
          </cell>
        </row>
        <row r="65703">
          <cell r="O65703" t="str">
            <v/>
          </cell>
        </row>
        <row r="65704">
          <cell r="O65704" t="str">
            <v/>
          </cell>
        </row>
        <row r="65705">
          <cell r="O65705" t="str">
            <v/>
          </cell>
        </row>
        <row r="65706">
          <cell r="O65706" t="str">
            <v/>
          </cell>
        </row>
        <row r="65707">
          <cell r="O65707" t="str">
            <v/>
          </cell>
        </row>
        <row r="65708">
          <cell r="O65708" t="str">
            <v/>
          </cell>
        </row>
        <row r="65709">
          <cell r="O65709" t="str">
            <v/>
          </cell>
        </row>
        <row r="65710">
          <cell r="O65710" t="str">
            <v/>
          </cell>
        </row>
        <row r="65711">
          <cell r="O65711" t="str">
            <v/>
          </cell>
        </row>
        <row r="65712">
          <cell r="O65712" t="str">
            <v/>
          </cell>
        </row>
        <row r="65713">
          <cell r="O65713" t="str">
            <v/>
          </cell>
        </row>
        <row r="65714">
          <cell r="O65714" t="str">
            <v/>
          </cell>
        </row>
        <row r="65715">
          <cell r="O65715" t="str">
            <v/>
          </cell>
        </row>
        <row r="65716">
          <cell r="O65716" t="str">
            <v/>
          </cell>
        </row>
        <row r="65717">
          <cell r="O65717" t="str">
            <v/>
          </cell>
        </row>
        <row r="65718">
          <cell r="O65718" t="str">
            <v/>
          </cell>
        </row>
        <row r="65719">
          <cell r="O65719" t="str">
            <v/>
          </cell>
        </row>
        <row r="65720">
          <cell r="O65720" t="str">
            <v/>
          </cell>
        </row>
        <row r="65721">
          <cell r="O65721" t="str">
            <v/>
          </cell>
        </row>
        <row r="65722">
          <cell r="O65722" t="str">
            <v/>
          </cell>
        </row>
        <row r="65723">
          <cell r="O65723" t="str">
            <v/>
          </cell>
        </row>
        <row r="65724">
          <cell r="O65724" t="str">
            <v/>
          </cell>
        </row>
        <row r="65725">
          <cell r="O65725" t="str">
            <v/>
          </cell>
        </row>
        <row r="65726">
          <cell r="O65726" t="str">
            <v/>
          </cell>
        </row>
        <row r="65727">
          <cell r="O65727" t="str">
            <v/>
          </cell>
        </row>
        <row r="65728">
          <cell r="O65728" t="str">
            <v/>
          </cell>
        </row>
        <row r="65729">
          <cell r="O65729" t="str">
            <v/>
          </cell>
        </row>
        <row r="65730">
          <cell r="O65730" t="str">
            <v/>
          </cell>
        </row>
        <row r="65731">
          <cell r="O65731" t="str">
            <v/>
          </cell>
        </row>
        <row r="65732">
          <cell r="O65732" t="str">
            <v/>
          </cell>
        </row>
        <row r="65733">
          <cell r="O65733" t="str">
            <v/>
          </cell>
        </row>
        <row r="65734">
          <cell r="O65734" t="str">
            <v/>
          </cell>
        </row>
        <row r="65735">
          <cell r="O65735" t="str">
            <v/>
          </cell>
        </row>
        <row r="65736">
          <cell r="O65736" t="str">
            <v/>
          </cell>
        </row>
        <row r="65737">
          <cell r="O65737" t="str">
            <v/>
          </cell>
        </row>
        <row r="65738">
          <cell r="O65738" t="str">
            <v/>
          </cell>
        </row>
        <row r="65739">
          <cell r="O65739" t="str">
            <v/>
          </cell>
        </row>
        <row r="65740">
          <cell r="O65740" t="str">
            <v/>
          </cell>
        </row>
        <row r="65741">
          <cell r="O65741" t="str">
            <v/>
          </cell>
        </row>
        <row r="65742">
          <cell r="O65742" t="str">
            <v/>
          </cell>
        </row>
        <row r="65743">
          <cell r="O65743" t="str">
            <v/>
          </cell>
        </row>
        <row r="65744">
          <cell r="O65744" t="str">
            <v/>
          </cell>
        </row>
        <row r="65745">
          <cell r="O65745" t="str">
            <v/>
          </cell>
        </row>
        <row r="65746">
          <cell r="O65746" t="str">
            <v/>
          </cell>
        </row>
        <row r="65747">
          <cell r="O65747" t="str">
            <v/>
          </cell>
        </row>
        <row r="65748">
          <cell r="O65748" t="str">
            <v/>
          </cell>
        </row>
        <row r="65749">
          <cell r="O65749" t="str">
            <v/>
          </cell>
        </row>
        <row r="65750">
          <cell r="O65750" t="str">
            <v/>
          </cell>
        </row>
        <row r="65751">
          <cell r="O65751" t="str">
            <v/>
          </cell>
        </row>
        <row r="65752">
          <cell r="O65752" t="str">
            <v/>
          </cell>
        </row>
        <row r="65753">
          <cell r="O65753" t="str">
            <v/>
          </cell>
        </row>
        <row r="65754">
          <cell r="O65754" t="str">
            <v/>
          </cell>
        </row>
        <row r="65755">
          <cell r="O65755" t="str">
            <v/>
          </cell>
        </row>
        <row r="65756">
          <cell r="O65756" t="str">
            <v/>
          </cell>
        </row>
        <row r="65757">
          <cell r="O65757" t="str">
            <v/>
          </cell>
        </row>
        <row r="65758">
          <cell r="O65758" t="str">
            <v/>
          </cell>
        </row>
        <row r="65759">
          <cell r="O65759" t="str">
            <v/>
          </cell>
        </row>
        <row r="65760">
          <cell r="O65760" t="str">
            <v/>
          </cell>
        </row>
        <row r="65761">
          <cell r="O65761" t="str">
            <v/>
          </cell>
        </row>
        <row r="65762">
          <cell r="O65762" t="str">
            <v/>
          </cell>
        </row>
        <row r="65763">
          <cell r="O65763" t="str">
            <v/>
          </cell>
        </row>
        <row r="65764">
          <cell r="O65764" t="str">
            <v/>
          </cell>
        </row>
        <row r="65765">
          <cell r="O65765" t="str">
            <v/>
          </cell>
        </row>
        <row r="65766">
          <cell r="O65766" t="str">
            <v/>
          </cell>
        </row>
        <row r="65767">
          <cell r="O65767" t="str">
            <v/>
          </cell>
        </row>
        <row r="65768">
          <cell r="O65768" t="str">
            <v/>
          </cell>
        </row>
        <row r="65769">
          <cell r="O65769" t="str">
            <v/>
          </cell>
        </row>
        <row r="65770">
          <cell r="O65770" t="str">
            <v/>
          </cell>
        </row>
        <row r="65771">
          <cell r="O65771" t="str">
            <v/>
          </cell>
        </row>
        <row r="65772">
          <cell r="O65772" t="str">
            <v/>
          </cell>
        </row>
        <row r="65773">
          <cell r="O65773" t="str">
            <v/>
          </cell>
        </row>
        <row r="65774">
          <cell r="O65774" t="str">
            <v/>
          </cell>
        </row>
        <row r="65775">
          <cell r="O65775" t="str">
            <v/>
          </cell>
        </row>
        <row r="65776">
          <cell r="O65776" t="str">
            <v/>
          </cell>
        </row>
        <row r="65777">
          <cell r="O65777" t="str">
            <v/>
          </cell>
        </row>
        <row r="65778">
          <cell r="O65778" t="str">
            <v/>
          </cell>
        </row>
        <row r="65779">
          <cell r="O65779" t="str">
            <v/>
          </cell>
        </row>
        <row r="65780">
          <cell r="O65780" t="str">
            <v/>
          </cell>
        </row>
        <row r="65781">
          <cell r="O65781" t="str">
            <v/>
          </cell>
        </row>
        <row r="65782">
          <cell r="O65782" t="str">
            <v/>
          </cell>
        </row>
        <row r="65783">
          <cell r="O65783" t="str">
            <v/>
          </cell>
        </row>
        <row r="65784">
          <cell r="O65784" t="str">
            <v/>
          </cell>
        </row>
        <row r="65785">
          <cell r="O65785" t="str">
            <v/>
          </cell>
        </row>
        <row r="65786">
          <cell r="O65786" t="str">
            <v/>
          </cell>
        </row>
        <row r="65787">
          <cell r="O65787" t="str">
            <v/>
          </cell>
        </row>
        <row r="65788">
          <cell r="O65788" t="str">
            <v/>
          </cell>
        </row>
        <row r="65789">
          <cell r="O65789" t="str">
            <v/>
          </cell>
        </row>
        <row r="65790">
          <cell r="O65790" t="str">
            <v/>
          </cell>
        </row>
        <row r="65791">
          <cell r="O65791" t="str">
            <v/>
          </cell>
        </row>
        <row r="65792">
          <cell r="O65792" t="str">
            <v/>
          </cell>
        </row>
        <row r="65793">
          <cell r="O65793" t="str">
            <v/>
          </cell>
        </row>
        <row r="65794">
          <cell r="O65794" t="str">
            <v/>
          </cell>
        </row>
        <row r="65795">
          <cell r="O65795" t="str">
            <v/>
          </cell>
        </row>
        <row r="65796">
          <cell r="O65796" t="str">
            <v/>
          </cell>
        </row>
        <row r="65797">
          <cell r="O65797" t="str">
            <v/>
          </cell>
        </row>
        <row r="65798">
          <cell r="O65798" t="str">
            <v/>
          </cell>
        </row>
        <row r="65799">
          <cell r="O65799" t="str">
            <v/>
          </cell>
        </row>
        <row r="65800">
          <cell r="O65800" t="str">
            <v/>
          </cell>
        </row>
        <row r="65801">
          <cell r="O65801" t="str">
            <v/>
          </cell>
        </row>
        <row r="65802">
          <cell r="O65802" t="str">
            <v/>
          </cell>
        </row>
        <row r="65803">
          <cell r="O65803" t="str">
            <v/>
          </cell>
        </row>
        <row r="65804">
          <cell r="O65804" t="str">
            <v/>
          </cell>
        </row>
        <row r="65805">
          <cell r="O65805" t="str">
            <v/>
          </cell>
        </row>
        <row r="65806">
          <cell r="O65806" t="str">
            <v/>
          </cell>
        </row>
        <row r="65807">
          <cell r="O65807" t="str">
            <v/>
          </cell>
        </row>
        <row r="65808">
          <cell r="O65808" t="str">
            <v/>
          </cell>
        </row>
        <row r="65809">
          <cell r="O65809" t="str">
            <v/>
          </cell>
        </row>
        <row r="65810">
          <cell r="O65810" t="str">
            <v/>
          </cell>
        </row>
        <row r="65811">
          <cell r="O65811" t="str">
            <v/>
          </cell>
        </row>
        <row r="65812">
          <cell r="O65812" t="str">
            <v/>
          </cell>
        </row>
        <row r="65813">
          <cell r="O65813" t="str">
            <v/>
          </cell>
        </row>
        <row r="65814">
          <cell r="O65814" t="str">
            <v/>
          </cell>
        </row>
        <row r="65815">
          <cell r="O65815" t="str">
            <v/>
          </cell>
        </row>
        <row r="65816">
          <cell r="O65816" t="str">
            <v/>
          </cell>
        </row>
        <row r="65817">
          <cell r="O65817" t="str">
            <v/>
          </cell>
        </row>
        <row r="65818">
          <cell r="O65818" t="str">
            <v/>
          </cell>
        </row>
        <row r="65819">
          <cell r="O65819" t="str">
            <v/>
          </cell>
        </row>
        <row r="65820">
          <cell r="O65820" t="str">
            <v/>
          </cell>
        </row>
        <row r="65821">
          <cell r="O65821" t="str">
            <v/>
          </cell>
        </row>
        <row r="65822">
          <cell r="O65822" t="str">
            <v/>
          </cell>
        </row>
        <row r="65823">
          <cell r="O65823" t="str">
            <v/>
          </cell>
        </row>
        <row r="65824">
          <cell r="O65824" t="str">
            <v/>
          </cell>
        </row>
        <row r="65825">
          <cell r="O65825" t="str">
            <v/>
          </cell>
        </row>
        <row r="65826">
          <cell r="O65826" t="str">
            <v/>
          </cell>
        </row>
        <row r="65827">
          <cell r="O65827" t="str">
            <v/>
          </cell>
        </row>
        <row r="65828">
          <cell r="O65828" t="str">
            <v/>
          </cell>
        </row>
        <row r="65829">
          <cell r="O65829" t="str">
            <v/>
          </cell>
        </row>
        <row r="65830">
          <cell r="O65830" t="str">
            <v/>
          </cell>
        </row>
        <row r="65831">
          <cell r="O65831" t="str">
            <v/>
          </cell>
        </row>
        <row r="65832">
          <cell r="O65832" t="str">
            <v/>
          </cell>
        </row>
        <row r="65833">
          <cell r="O65833" t="str">
            <v/>
          </cell>
        </row>
        <row r="65834">
          <cell r="O65834" t="str">
            <v/>
          </cell>
        </row>
        <row r="65835">
          <cell r="O65835" t="str">
            <v/>
          </cell>
        </row>
        <row r="65836">
          <cell r="O65836" t="str">
            <v/>
          </cell>
        </row>
        <row r="65837">
          <cell r="O65837" t="str">
            <v/>
          </cell>
        </row>
        <row r="65838">
          <cell r="O65838" t="str">
            <v/>
          </cell>
        </row>
        <row r="65839">
          <cell r="O65839" t="str">
            <v/>
          </cell>
        </row>
        <row r="65840">
          <cell r="O65840" t="str">
            <v/>
          </cell>
        </row>
        <row r="65841">
          <cell r="O65841" t="str">
            <v/>
          </cell>
        </row>
        <row r="65842">
          <cell r="O65842" t="str">
            <v/>
          </cell>
        </row>
        <row r="65843">
          <cell r="O65843" t="str">
            <v/>
          </cell>
        </row>
        <row r="65844">
          <cell r="O65844" t="str">
            <v/>
          </cell>
        </row>
        <row r="65845">
          <cell r="O65845" t="str">
            <v/>
          </cell>
        </row>
        <row r="65846">
          <cell r="O65846" t="str">
            <v/>
          </cell>
        </row>
        <row r="65847">
          <cell r="O65847" t="str">
            <v/>
          </cell>
        </row>
        <row r="65848">
          <cell r="O65848" t="str">
            <v/>
          </cell>
        </row>
        <row r="65849">
          <cell r="O65849" t="str">
            <v/>
          </cell>
        </row>
        <row r="65850">
          <cell r="O65850" t="str">
            <v/>
          </cell>
        </row>
        <row r="65851">
          <cell r="O65851" t="str">
            <v/>
          </cell>
        </row>
        <row r="65852">
          <cell r="O65852" t="str">
            <v/>
          </cell>
        </row>
        <row r="65853">
          <cell r="O65853" t="str">
            <v/>
          </cell>
        </row>
        <row r="65854">
          <cell r="O65854" t="str">
            <v/>
          </cell>
        </row>
        <row r="65855">
          <cell r="O65855" t="str">
            <v/>
          </cell>
        </row>
        <row r="65856">
          <cell r="O65856" t="str">
            <v/>
          </cell>
        </row>
        <row r="65857">
          <cell r="O65857" t="str">
            <v/>
          </cell>
        </row>
        <row r="65858">
          <cell r="O65858" t="str">
            <v/>
          </cell>
        </row>
        <row r="65859">
          <cell r="O65859" t="str">
            <v/>
          </cell>
        </row>
        <row r="65860">
          <cell r="O65860" t="str">
            <v/>
          </cell>
        </row>
        <row r="65861">
          <cell r="O65861" t="str">
            <v/>
          </cell>
        </row>
        <row r="65862">
          <cell r="O65862" t="str">
            <v/>
          </cell>
        </row>
        <row r="65863">
          <cell r="O65863" t="str">
            <v/>
          </cell>
        </row>
        <row r="65864">
          <cell r="O65864" t="str">
            <v/>
          </cell>
        </row>
        <row r="65865">
          <cell r="O65865" t="str">
            <v/>
          </cell>
        </row>
        <row r="65866">
          <cell r="O65866" t="str">
            <v/>
          </cell>
        </row>
        <row r="65867">
          <cell r="O65867" t="str">
            <v/>
          </cell>
        </row>
        <row r="65868">
          <cell r="O65868" t="str">
            <v/>
          </cell>
        </row>
        <row r="65869">
          <cell r="O65869" t="str">
            <v/>
          </cell>
        </row>
        <row r="65870">
          <cell r="O65870" t="str">
            <v/>
          </cell>
        </row>
        <row r="65871">
          <cell r="O65871" t="str">
            <v/>
          </cell>
        </row>
        <row r="65872">
          <cell r="O65872" t="str">
            <v/>
          </cell>
        </row>
        <row r="65873">
          <cell r="O65873" t="str">
            <v/>
          </cell>
        </row>
        <row r="65874">
          <cell r="O65874" t="str">
            <v/>
          </cell>
        </row>
        <row r="65875">
          <cell r="O65875" t="str">
            <v/>
          </cell>
        </row>
        <row r="65876">
          <cell r="O65876" t="str">
            <v/>
          </cell>
        </row>
        <row r="65877">
          <cell r="O65877" t="str">
            <v/>
          </cell>
        </row>
        <row r="65878">
          <cell r="O65878" t="str">
            <v/>
          </cell>
        </row>
        <row r="65879">
          <cell r="O65879" t="str">
            <v/>
          </cell>
        </row>
        <row r="65880">
          <cell r="O65880" t="str">
            <v/>
          </cell>
        </row>
        <row r="65881">
          <cell r="O65881" t="str">
            <v/>
          </cell>
        </row>
        <row r="65882">
          <cell r="O65882" t="str">
            <v/>
          </cell>
        </row>
        <row r="65883">
          <cell r="O65883" t="str">
            <v/>
          </cell>
        </row>
        <row r="65884">
          <cell r="O65884" t="str">
            <v/>
          </cell>
        </row>
        <row r="65885">
          <cell r="O65885" t="str">
            <v/>
          </cell>
        </row>
        <row r="65886">
          <cell r="O65886" t="str">
            <v/>
          </cell>
        </row>
        <row r="65887">
          <cell r="O65887" t="str">
            <v/>
          </cell>
        </row>
        <row r="65888">
          <cell r="O65888" t="str">
            <v/>
          </cell>
        </row>
        <row r="65889">
          <cell r="O65889" t="str">
            <v/>
          </cell>
        </row>
        <row r="65890">
          <cell r="O65890" t="str">
            <v/>
          </cell>
        </row>
        <row r="65891">
          <cell r="O65891" t="str">
            <v/>
          </cell>
        </row>
        <row r="65892">
          <cell r="O65892" t="str">
            <v/>
          </cell>
        </row>
        <row r="65893">
          <cell r="O65893" t="str">
            <v/>
          </cell>
        </row>
        <row r="65894">
          <cell r="O65894" t="str">
            <v/>
          </cell>
        </row>
        <row r="65895">
          <cell r="O65895" t="str">
            <v/>
          </cell>
        </row>
        <row r="65896">
          <cell r="O65896" t="str">
            <v/>
          </cell>
        </row>
        <row r="65897">
          <cell r="O65897" t="str">
            <v/>
          </cell>
        </row>
        <row r="65898">
          <cell r="O65898" t="str">
            <v/>
          </cell>
        </row>
        <row r="65899">
          <cell r="O65899" t="str">
            <v/>
          </cell>
        </row>
        <row r="65900">
          <cell r="O65900" t="str">
            <v/>
          </cell>
        </row>
        <row r="65901">
          <cell r="O65901" t="str">
            <v/>
          </cell>
        </row>
        <row r="65902">
          <cell r="O65902" t="str">
            <v/>
          </cell>
        </row>
        <row r="65903">
          <cell r="O65903" t="str">
            <v/>
          </cell>
        </row>
        <row r="65904">
          <cell r="O65904" t="str">
            <v/>
          </cell>
        </row>
        <row r="65905">
          <cell r="O65905" t="str">
            <v/>
          </cell>
        </row>
        <row r="65906">
          <cell r="O65906" t="str">
            <v/>
          </cell>
        </row>
        <row r="65907">
          <cell r="O65907" t="str">
            <v/>
          </cell>
        </row>
        <row r="65908">
          <cell r="O65908" t="str">
            <v/>
          </cell>
        </row>
        <row r="65909">
          <cell r="O65909" t="str">
            <v/>
          </cell>
        </row>
        <row r="65910">
          <cell r="O65910" t="str">
            <v/>
          </cell>
        </row>
        <row r="65911">
          <cell r="O65911" t="str">
            <v/>
          </cell>
        </row>
        <row r="65912">
          <cell r="O65912" t="str">
            <v/>
          </cell>
        </row>
        <row r="65913">
          <cell r="O65913" t="str">
            <v/>
          </cell>
        </row>
        <row r="65914">
          <cell r="O65914" t="str">
            <v/>
          </cell>
        </row>
        <row r="65915">
          <cell r="O65915" t="str">
            <v/>
          </cell>
        </row>
        <row r="65916">
          <cell r="O65916" t="str">
            <v/>
          </cell>
        </row>
        <row r="65917">
          <cell r="O65917" t="str">
            <v/>
          </cell>
        </row>
        <row r="65918">
          <cell r="O65918" t="str">
            <v/>
          </cell>
        </row>
        <row r="65919">
          <cell r="O65919" t="str">
            <v/>
          </cell>
        </row>
        <row r="65920">
          <cell r="O65920" t="str">
            <v/>
          </cell>
        </row>
        <row r="65921">
          <cell r="O65921" t="str">
            <v/>
          </cell>
        </row>
        <row r="65922">
          <cell r="O65922" t="str">
            <v/>
          </cell>
        </row>
        <row r="65923">
          <cell r="O65923" t="str">
            <v/>
          </cell>
        </row>
        <row r="65924">
          <cell r="O65924" t="str">
            <v/>
          </cell>
        </row>
        <row r="65925">
          <cell r="O65925" t="str">
            <v/>
          </cell>
        </row>
        <row r="65926">
          <cell r="O65926" t="str">
            <v/>
          </cell>
        </row>
        <row r="65927">
          <cell r="O65927" t="str">
            <v/>
          </cell>
        </row>
        <row r="65928">
          <cell r="O65928" t="str">
            <v/>
          </cell>
        </row>
        <row r="65929">
          <cell r="O65929" t="str">
            <v/>
          </cell>
        </row>
        <row r="65930">
          <cell r="O65930" t="str">
            <v/>
          </cell>
        </row>
        <row r="65931">
          <cell r="O65931" t="str">
            <v/>
          </cell>
        </row>
        <row r="65932">
          <cell r="O65932" t="str">
            <v/>
          </cell>
        </row>
        <row r="65933">
          <cell r="O65933" t="str">
            <v/>
          </cell>
        </row>
        <row r="65934">
          <cell r="O65934" t="str">
            <v/>
          </cell>
        </row>
        <row r="65935">
          <cell r="O65935" t="str">
            <v/>
          </cell>
        </row>
        <row r="65936">
          <cell r="O65936" t="str">
            <v/>
          </cell>
        </row>
        <row r="65937">
          <cell r="O65937" t="str">
            <v/>
          </cell>
        </row>
        <row r="65938">
          <cell r="O65938" t="str">
            <v/>
          </cell>
        </row>
        <row r="65939">
          <cell r="O65939" t="str">
            <v/>
          </cell>
        </row>
        <row r="65940">
          <cell r="O65940" t="str">
            <v/>
          </cell>
        </row>
        <row r="65941">
          <cell r="O65941" t="str">
            <v/>
          </cell>
        </row>
        <row r="65942">
          <cell r="O65942" t="str">
            <v/>
          </cell>
        </row>
        <row r="65943">
          <cell r="O65943" t="str">
            <v/>
          </cell>
        </row>
        <row r="65944">
          <cell r="O65944" t="str">
            <v/>
          </cell>
        </row>
        <row r="65945">
          <cell r="O65945" t="str">
            <v/>
          </cell>
        </row>
        <row r="65946">
          <cell r="O65946" t="str">
            <v/>
          </cell>
        </row>
        <row r="65947">
          <cell r="O65947" t="str">
            <v/>
          </cell>
        </row>
        <row r="65948">
          <cell r="O65948" t="str">
            <v/>
          </cell>
        </row>
        <row r="65949">
          <cell r="O65949" t="str">
            <v/>
          </cell>
        </row>
        <row r="65950">
          <cell r="O65950" t="str">
            <v/>
          </cell>
        </row>
        <row r="65951">
          <cell r="O65951" t="str">
            <v/>
          </cell>
        </row>
        <row r="65952">
          <cell r="O65952" t="str">
            <v/>
          </cell>
        </row>
        <row r="65953">
          <cell r="O65953" t="str">
            <v/>
          </cell>
        </row>
        <row r="65954">
          <cell r="O65954" t="str">
            <v/>
          </cell>
        </row>
        <row r="65955">
          <cell r="O65955" t="str">
            <v/>
          </cell>
        </row>
        <row r="65956">
          <cell r="O65956" t="str">
            <v/>
          </cell>
        </row>
        <row r="65957">
          <cell r="O65957" t="str">
            <v/>
          </cell>
        </row>
        <row r="65958">
          <cell r="O65958" t="str">
            <v/>
          </cell>
        </row>
        <row r="65959">
          <cell r="O65959" t="str">
            <v/>
          </cell>
        </row>
        <row r="65960">
          <cell r="O65960" t="str">
            <v/>
          </cell>
        </row>
        <row r="65961">
          <cell r="O65961" t="str">
            <v/>
          </cell>
        </row>
        <row r="65962">
          <cell r="O65962" t="str">
            <v/>
          </cell>
        </row>
        <row r="65963">
          <cell r="O65963" t="str">
            <v/>
          </cell>
        </row>
        <row r="65964">
          <cell r="O65964" t="str">
            <v/>
          </cell>
        </row>
        <row r="65965">
          <cell r="O65965" t="str">
            <v/>
          </cell>
        </row>
        <row r="65966">
          <cell r="O65966" t="str">
            <v/>
          </cell>
        </row>
        <row r="65967">
          <cell r="O65967" t="str">
            <v/>
          </cell>
        </row>
        <row r="65968">
          <cell r="O65968" t="str">
            <v/>
          </cell>
        </row>
        <row r="65969">
          <cell r="O65969" t="str">
            <v/>
          </cell>
        </row>
        <row r="65970">
          <cell r="O65970" t="str">
            <v/>
          </cell>
        </row>
        <row r="65971">
          <cell r="O65971" t="str">
            <v/>
          </cell>
        </row>
        <row r="65972">
          <cell r="O65972" t="str">
            <v/>
          </cell>
        </row>
        <row r="65973">
          <cell r="O65973" t="str">
            <v/>
          </cell>
        </row>
        <row r="65974">
          <cell r="O65974" t="str">
            <v/>
          </cell>
        </row>
        <row r="65975">
          <cell r="O65975" t="str">
            <v/>
          </cell>
        </row>
        <row r="65976">
          <cell r="O65976" t="str">
            <v/>
          </cell>
        </row>
        <row r="65977">
          <cell r="O65977" t="str">
            <v/>
          </cell>
        </row>
        <row r="65978">
          <cell r="O65978" t="str">
            <v/>
          </cell>
        </row>
        <row r="65979">
          <cell r="O65979" t="str">
            <v/>
          </cell>
        </row>
        <row r="65980">
          <cell r="O65980" t="str">
            <v/>
          </cell>
        </row>
        <row r="65981">
          <cell r="O65981" t="str">
            <v/>
          </cell>
        </row>
        <row r="65982">
          <cell r="O65982" t="str">
            <v/>
          </cell>
        </row>
        <row r="65983">
          <cell r="O65983" t="str">
            <v/>
          </cell>
        </row>
        <row r="65984">
          <cell r="O65984" t="str">
            <v/>
          </cell>
        </row>
        <row r="65985">
          <cell r="O65985" t="str">
            <v/>
          </cell>
        </row>
        <row r="65986">
          <cell r="O65986" t="str">
            <v/>
          </cell>
        </row>
        <row r="65987">
          <cell r="O65987" t="str">
            <v/>
          </cell>
        </row>
        <row r="65988">
          <cell r="O65988" t="str">
            <v/>
          </cell>
        </row>
        <row r="65989">
          <cell r="O65989" t="str">
            <v/>
          </cell>
        </row>
        <row r="65990">
          <cell r="O65990" t="str">
            <v/>
          </cell>
        </row>
        <row r="65991">
          <cell r="O65991" t="str">
            <v/>
          </cell>
        </row>
        <row r="65992">
          <cell r="O65992" t="str">
            <v/>
          </cell>
        </row>
        <row r="65993">
          <cell r="O65993" t="str">
            <v/>
          </cell>
        </row>
        <row r="65994">
          <cell r="O65994" t="str">
            <v/>
          </cell>
        </row>
        <row r="65995">
          <cell r="O65995" t="str">
            <v/>
          </cell>
        </row>
        <row r="65996">
          <cell r="O65996" t="str">
            <v/>
          </cell>
        </row>
        <row r="65997">
          <cell r="O65997" t="str">
            <v/>
          </cell>
        </row>
        <row r="65998">
          <cell r="O65998" t="str">
            <v/>
          </cell>
        </row>
        <row r="65999">
          <cell r="O65999" t="str">
            <v/>
          </cell>
        </row>
        <row r="66000">
          <cell r="O66000" t="str">
            <v/>
          </cell>
        </row>
        <row r="66001">
          <cell r="O66001" t="str">
            <v/>
          </cell>
        </row>
        <row r="66002">
          <cell r="O66002" t="str">
            <v/>
          </cell>
        </row>
        <row r="66003">
          <cell r="O66003" t="str">
            <v/>
          </cell>
        </row>
        <row r="66004">
          <cell r="O66004" t="str">
            <v/>
          </cell>
        </row>
        <row r="66005">
          <cell r="O66005" t="str">
            <v/>
          </cell>
        </row>
        <row r="66006">
          <cell r="O66006" t="str">
            <v/>
          </cell>
        </row>
        <row r="66007">
          <cell r="O66007" t="str">
            <v/>
          </cell>
        </row>
        <row r="66008">
          <cell r="O66008" t="str">
            <v/>
          </cell>
        </row>
        <row r="66009">
          <cell r="O66009" t="str">
            <v/>
          </cell>
        </row>
        <row r="66010">
          <cell r="O66010" t="str">
            <v/>
          </cell>
        </row>
        <row r="66011">
          <cell r="O66011" t="str">
            <v/>
          </cell>
        </row>
        <row r="66012">
          <cell r="O66012" t="str">
            <v/>
          </cell>
        </row>
        <row r="66013">
          <cell r="O66013" t="str">
            <v/>
          </cell>
        </row>
        <row r="66014">
          <cell r="O66014" t="str">
            <v/>
          </cell>
        </row>
        <row r="66015">
          <cell r="O66015" t="str">
            <v/>
          </cell>
        </row>
        <row r="66016">
          <cell r="O66016" t="str">
            <v/>
          </cell>
        </row>
        <row r="66017">
          <cell r="O66017" t="str">
            <v/>
          </cell>
        </row>
        <row r="66018">
          <cell r="O66018" t="str">
            <v/>
          </cell>
        </row>
        <row r="66019">
          <cell r="O66019" t="str">
            <v/>
          </cell>
        </row>
        <row r="66020">
          <cell r="O66020" t="str">
            <v/>
          </cell>
        </row>
        <row r="66021">
          <cell r="O66021" t="str">
            <v/>
          </cell>
        </row>
        <row r="66022">
          <cell r="O66022" t="str">
            <v/>
          </cell>
        </row>
        <row r="66023">
          <cell r="O66023" t="str">
            <v/>
          </cell>
        </row>
        <row r="66024">
          <cell r="O66024" t="str">
            <v/>
          </cell>
        </row>
        <row r="66025">
          <cell r="O66025" t="str">
            <v/>
          </cell>
        </row>
        <row r="66026">
          <cell r="O66026" t="str">
            <v/>
          </cell>
        </row>
        <row r="66027">
          <cell r="O66027" t="str">
            <v/>
          </cell>
        </row>
        <row r="66028">
          <cell r="O66028" t="str">
            <v/>
          </cell>
        </row>
        <row r="66029">
          <cell r="O66029" t="str">
            <v/>
          </cell>
        </row>
        <row r="66030">
          <cell r="O66030" t="str">
            <v/>
          </cell>
        </row>
        <row r="66031">
          <cell r="O66031" t="str">
            <v/>
          </cell>
        </row>
        <row r="66032">
          <cell r="O66032" t="str">
            <v/>
          </cell>
        </row>
        <row r="66033">
          <cell r="O66033" t="str">
            <v/>
          </cell>
        </row>
        <row r="66034">
          <cell r="O66034" t="str">
            <v/>
          </cell>
        </row>
        <row r="66035">
          <cell r="O66035" t="str">
            <v/>
          </cell>
        </row>
        <row r="66036">
          <cell r="O66036" t="str">
            <v/>
          </cell>
        </row>
        <row r="66037">
          <cell r="O66037" t="str">
            <v/>
          </cell>
        </row>
        <row r="66038">
          <cell r="O66038" t="str">
            <v/>
          </cell>
        </row>
        <row r="66039">
          <cell r="O66039" t="str">
            <v/>
          </cell>
        </row>
        <row r="66040">
          <cell r="O66040" t="str">
            <v/>
          </cell>
        </row>
        <row r="66041">
          <cell r="O66041" t="str">
            <v/>
          </cell>
        </row>
        <row r="66042">
          <cell r="O66042" t="str">
            <v/>
          </cell>
        </row>
        <row r="66043">
          <cell r="O66043" t="str">
            <v/>
          </cell>
        </row>
        <row r="66044">
          <cell r="O66044" t="str">
            <v/>
          </cell>
        </row>
        <row r="66045">
          <cell r="O66045" t="str">
            <v/>
          </cell>
        </row>
        <row r="66046">
          <cell r="O66046" t="str">
            <v/>
          </cell>
        </row>
        <row r="66047">
          <cell r="O66047" t="str">
            <v/>
          </cell>
        </row>
        <row r="66048">
          <cell r="O66048" t="str">
            <v/>
          </cell>
        </row>
        <row r="66049">
          <cell r="O66049" t="str">
            <v/>
          </cell>
        </row>
        <row r="66050">
          <cell r="O66050" t="str">
            <v/>
          </cell>
        </row>
        <row r="66051">
          <cell r="O66051" t="str">
            <v/>
          </cell>
        </row>
        <row r="66052">
          <cell r="O66052" t="str">
            <v/>
          </cell>
        </row>
        <row r="66053">
          <cell r="O66053" t="str">
            <v/>
          </cell>
        </row>
        <row r="66054">
          <cell r="O66054" t="str">
            <v/>
          </cell>
        </row>
        <row r="66055">
          <cell r="O66055" t="str">
            <v/>
          </cell>
        </row>
        <row r="66056">
          <cell r="O66056" t="str">
            <v/>
          </cell>
        </row>
        <row r="66057">
          <cell r="O66057" t="str">
            <v/>
          </cell>
        </row>
        <row r="66058">
          <cell r="O66058" t="str">
            <v/>
          </cell>
        </row>
        <row r="66059">
          <cell r="O66059" t="str">
            <v/>
          </cell>
        </row>
        <row r="66060">
          <cell r="O66060" t="str">
            <v/>
          </cell>
        </row>
        <row r="66061">
          <cell r="O66061" t="str">
            <v/>
          </cell>
        </row>
        <row r="66062">
          <cell r="O66062" t="str">
            <v/>
          </cell>
        </row>
        <row r="66063">
          <cell r="O66063" t="str">
            <v/>
          </cell>
        </row>
        <row r="66064">
          <cell r="O66064" t="str">
            <v/>
          </cell>
        </row>
        <row r="66065">
          <cell r="O66065" t="str">
            <v/>
          </cell>
        </row>
        <row r="66066">
          <cell r="O66066" t="str">
            <v/>
          </cell>
        </row>
        <row r="66067">
          <cell r="O66067" t="str">
            <v/>
          </cell>
        </row>
        <row r="66068">
          <cell r="O66068" t="str">
            <v/>
          </cell>
        </row>
        <row r="66069">
          <cell r="O66069" t="str">
            <v/>
          </cell>
        </row>
        <row r="66070">
          <cell r="O66070" t="str">
            <v/>
          </cell>
        </row>
        <row r="66071">
          <cell r="O66071" t="str">
            <v/>
          </cell>
        </row>
        <row r="66072">
          <cell r="O66072" t="str">
            <v/>
          </cell>
        </row>
        <row r="66073">
          <cell r="O66073" t="str">
            <v/>
          </cell>
        </row>
        <row r="66074">
          <cell r="O66074" t="str">
            <v/>
          </cell>
        </row>
        <row r="66075">
          <cell r="O66075" t="str">
            <v/>
          </cell>
        </row>
        <row r="66076">
          <cell r="O66076" t="str">
            <v/>
          </cell>
        </row>
        <row r="66077">
          <cell r="O66077" t="str">
            <v/>
          </cell>
        </row>
        <row r="66078">
          <cell r="O66078" t="str">
            <v/>
          </cell>
        </row>
        <row r="66079">
          <cell r="O66079" t="str">
            <v/>
          </cell>
        </row>
        <row r="66080">
          <cell r="O66080" t="str">
            <v/>
          </cell>
        </row>
        <row r="66081">
          <cell r="O66081" t="str">
            <v/>
          </cell>
        </row>
        <row r="66082">
          <cell r="O66082" t="str">
            <v/>
          </cell>
        </row>
        <row r="66083">
          <cell r="O66083" t="str">
            <v/>
          </cell>
        </row>
        <row r="66084">
          <cell r="O66084" t="str">
            <v/>
          </cell>
        </row>
        <row r="66085">
          <cell r="O66085" t="str">
            <v/>
          </cell>
        </row>
        <row r="66086">
          <cell r="O66086" t="str">
            <v/>
          </cell>
        </row>
        <row r="66087">
          <cell r="O66087" t="str">
            <v/>
          </cell>
        </row>
        <row r="66088">
          <cell r="O66088" t="str">
            <v/>
          </cell>
        </row>
        <row r="66089">
          <cell r="O66089" t="str">
            <v/>
          </cell>
        </row>
        <row r="66090">
          <cell r="O66090" t="str">
            <v/>
          </cell>
        </row>
        <row r="66091">
          <cell r="O66091" t="str">
            <v/>
          </cell>
        </row>
        <row r="66092">
          <cell r="O66092" t="str">
            <v/>
          </cell>
        </row>
        <row r="66093">
          <cell r="O66093" t="str">
            <v/>
          </cell>
        </row>
        <row r="66094">
          <cell r="O66094" t="str">
            <v/>
          </cell>
        </row>
        <row r="66095">
          <cell r="O66095" t="str">
            <v/>
          </cell>
        </row>
        <row r="66096">
          <cell r="O66096" t="str">
            <v/>
          </cell>
        </row>
        <row r="66097">
          <cell r="O66097" t="str">
            <v/>
          </cell>
        </row>
        <row r="66098">
          <cell r="O66098" t="str">
            <v/>
          </cell>
        </row>
        <row r="66099">
          <cell r="O66099" t="str">
            <v/>
          </cell>
        </row>
        <row r="66100">
          <cell r="O66100" t="str">
            <v/>
          </cell>
        </row>
        <row r="66101">
          <cell r="O66101" t="str">
            <v/>
          </cell>
        </row>
        <row r="66102">
          <cell r="O66102" t="str">
            <v/>
          </cell>
        </row>
        <row r="66103">
          <cell r="O66103" t="str">
            <v/>
          </cell>
        </row>
        <row r="66104">
          <cell r="O66104" t="str">
            <v/>
          </cell>
        </row>
        <row r="66105">
          <cell r="O66105" t="str">
            <v/>
          </cell>
        </row>
        <row r="66106">
          <cell r="O66106" t="str">
            <v/>
          </cell>
        </row>
        <row r="66107">
          <cell r="O66107" t="str">
            <v/>
          </cell>
        </row>
        <row r="66108">
          <cell r="O66108" t="str">
            <v/>
          </cell>
        </row>
        <row r="66109">
          <cell r="O66109" t="str">
            <v/>
          </cell>
        </row>
        <row r="66110">
          <cell r="O66110" t="str">
            <v/>
          </cell>
        </row>
        <row r="66111">
          <cell r="O66111" t="str">
            <v/>
          </cell>
        </row>
        <row r="66112">
          <cell r="O66112" t="str">
            <v/>
          </cell>
        </row>
        <row r="66113">
          <cell r="O66113" t="str">
            <v/>
          </cell>
        </row>
        <row r="66114">
          <cell r="O66114" t="str">
            <v/>
          </cell>
        </row>
        <row r="66115">
          <cell r="O66115" t="str">
            <v/>
          </cell>
        </row>
        <row r="66116">
          <cell r="O66116" t="str">
            <v/>
          </cell>
        </row>
        <row r="66117">
          <cell r="O66117" t="str">
            <v/>
          </cell>
        </row>
        <row r="66118">
          <cell r="O66118" t="str">
            <v/>
          </cell>
        </row>
        <row r="66119">
          <cell r="O66119" t="str">
            <v/>
          </cell>
        </row>
        <row r="66120">
          <cell r="O66120" t="str">
            <v/>
          </cell>
        </row>
        <row r="66121">
          <cell r="O66121" t="str">
            <v/>
          </cell>
        </row>
        <row r="66122">
          <cell r="O66122" t="str">
            <v/>
          </cell>
        </row>
        <row r="66123">
          <cell r="O66123" t="str">
            <v/>
          </cell>
        </row>
        <row r="66124">
          <cell r="O66124" t="str">
            <v/>
          </cell>
        </row>
        <row r="66125">
          <cell r="O66125" t="str">
            <v/>
          </cell>
        </row>
        <row r="66126">
          <cell r="O66126" t="str">
            <v/>
          </cell>
        </row>
        <row r="66127">
          <cell r="O66127" t="str">
            <v/>
          </cell>
        </row>
        <row r="66128">
          <cell r="O66128" t="str">
            <v/>
          </cell>
        </row>
        <row r="66129">
          <cell r="O66129" t="str">
            <v/>
          </cell>
        </row>
        <row r="66130">
          <cell r="O66130" t="str">
            <v/>
          </cell>
        </row>
        <row r="66131">
          <cell r="O66131" t="str">
            <v/>
          </cell>
        </row>
        <row r="66132">
          <cell r="O66132" t="str">
            <v/>
          </cell>
        </row>
        <row r="66133">
          <cell r="O66133" t="str">
            <v/>
          </cell>
        </row>
        <row r="66134">
          <cell r="O66134" t="str">
            <v/>
          </cell>
        </row>
        <row r="66135">
          <cell r="O66135" t="str">
            <v/>
          </cell>
        </row>
        <row r="66136">
          <cell r="O66136" t="str">
            <v/>
          </cell>
        </row>
        <row r="66137">
          <cell r="O66137" t="str">
            <v/>
          </cell>
        </row>
        <row r="66138">
          <cell r="O66138" t="str">
            <v/>
          </cell>
        </row>
        <row r="66139">
          <cell r="O66139" t="str">
            <v/>
          </cell>
        </row>
        <row r="66140">
          <cell r="O66140" t="str">
            <v/>
          </cell>
        </row>
        <row r="66141">
          <cell r="O66141" t="str">
            <v/>
          </cell>
        </row>
        <row r="66142">
          <cell r="O66142" t="str">
            <v/>
          </cell>
        </row>
        <row r="66143">
          <cell r="O66143" t="str">
            <v/>
          </cell>
        </row>
        <row r="66144">
          <cell r="O66144" t="str">
            <v/>
          </cell>
        </row>
        <row r="66145">
          <cell r="O66145" t="str">
            <v/>
          </cell>
        </row>
        <row r="66146">
          <cell r="O66146" t="str">
            <v/>
          </cell>
        </row>
        <row r="66147">
          <cell r="O66147" t="str">
            <v/>
          </cell>
        </row>
        <row r="66148">
          <cell r="O66148" t="str">
            <v/>
          </cell>
        </row>
        <row r="66149">
          <cell r="O66149" t="str">
            <v/>
          </cell>
        </row>
        <row r="66150">
          <cell r="O66150" t="str">
            <v/>
          </cell>
        </row>
        <row r="66151">
          <cell r="O66151" t="str">
            <v/>
          </cell>
        </row>
        <row r="66152">
          <cell r="O66152" t="str">
            <v/>
          </cell>
        </row>
        <row r="66153">
          <cell r="O66153" t="str">
            <v/>
          </cell>
        </row>
        <row r="66154">
          <cell r="O66154" t="str">
            <v/>
          </cell>
        </row>
        <row r="66155">
          <cell r="O66155" t="str">
            <v/>
          </cell>
        </row>
        <row r="66156">
          <cell r="O66156" t="str">
            <v/>
          </cell>
        </row>
        <row r="66157">
          <cell r="O66157" t="str">
            <v/>
          </cell>
        </row>
        <row r="66158">
          <cell r="O66158" t="str">
            <v/>
          </cell>
        </row>
        <row r="66159">
          <cell r="O66159" t="str">
            <v/>
          </cell>
        </row>
        <row r="66160">
          <cell r="O66160" t="str">
            <v/>
          </cell>
        </row>
        <row r="66161">
          <cell r="O66161" t="str">
            <v/>
          </cell>
        </row>
        <row r="66162">
          <cell r="O66162" t="str">
            <v/>
          </cell>
        </row>
        <row r="66163">
          <cell r="O66163" t="str">
            <v/>
          </cell>
        </row>
        <row r="66164">
          <cell r="O66164" t="str">
            <v/>
          </cell>
        </row>
        <row r="66165">
          <cell r="O66165" t="str">
            <v/>
          </cell>
        </row>
        <row r="66166">
          <cell r="O66166" t="str">
            <v/>
          </cell>
        </row>
        <row r="66167">
          <cell r="O66167" t="str">
            <v/>
          </cell>
        </row>
        <row r="66168">
          <cell r="O66168" t="str">
            <v/>
          </cell>
        </row>
        <row r="66169">
          <cell r="O66169" t="str">
            <v/>
          </cell>
        </row>
        <row r="66170">
          <cell r="O66170" t="str">
            <v/>
          </cell>
        </row>
        <row r="66171">
          <cell r="O66171" t="str">
            <v/>
          </cell>
        </row>
        <row r="66172">
          <cell r="O66172" t="str">
            <v/>
          </cell>
        </row>
        <row r="66173">
          <cell r="O66173" t="str">
            <v/>
          </cell>
        </row>
        <row r="66174">
          <cell r="O66174" t="str">
            <v/>
          </cell>
        </row>
        <row r="66175">
          <cell r="O66175" t="str">
            <v/>
          </cell>
        </row>
        <row r="66176">
          <cell r="O66176" t="str">
            <v/>
          </cell>
        </row>
        <row r="66177">
          <cell r="O66177" t="str">
            <v/>
          </cell>
        </row>
        <row r="66178">
          <cell r="O66178" t="str">
            <v/>
          </cell>
        </row>
        <row r="66179">
          <cell r="O66179" t="str">
            <v/>
          </cell>
        </row>
        <row r="66180">
          <cell r="O66180" t="str">
            <v/>
          </cell>
        </row>
        <row r="66181">
          <cell r="O66181" t="str">
            <v/>
          </cell>
        </row>
        <row r="66182">
          <cell r="O66182" t="str">
            <v/>
          </cell>
        </row>
        <row r="66183">
          <cell r="O66183" t="str">
            <v/>
          </cell>
        </row>
        <row r="66184">
          <cell r="O66184" t="str">
            <v/>
          </cell>
        </row>
        <row r="66185">
          <cell r="O66185" t="str">
            <v/>
          </cell>
        </row>
        <row r="66186">
          <cell r="O66186" t="str">
            <v/>
          </cell>
        </row>
        <row r="66187">
          <cell r="O66187" t="str">
            <v/>
          </cell>
        </row>
        <row r="66188">
          <cell r="O66188" t="str">
            <v/>
          </cell>
        </row>
        <row r="66189">
          <cell r="O66189" t="str">
            <v/>
          </cell>
        </row>
        <row r="66190">
          <cell r="O66190" t="str">
            <v/>
          </cell>
        </row>
        <row r="66191">
          <cell r="O66191" t="str">
            <v/>
          </cell>
        </row>
        <row r="66192">
          <cell r="O66192" t="str">
            <v/>
          </cell>
        </row>
        <row r="66193">
          <cell r="O66193" t="str">
            <v/>
          </cell>
        </row>
        <row r="66194">
          <cell r="O66194" t="str">
            <v/>
          </cell>
        </row>
        <row r="66195">
          <cell r="O66195" t="str">
            <v/>
          </cell>
        </row>
        <row r="66196">
          <cell r="O66196" t="str">
            <v/>
          </cell>
        </row>
        <row r="66197">
          <cell r="O66197" t="str">
            <v/>
          </cell>
        </row>
        <row r="66198">
          <cell r="O66198" t="str">
            <v/>
          </cell>
        </row>
        <row r="66199">
          <cell r="O66199" t="str">
            <v/>
          </cell>
        </row>
        <row r="66200">
          <cell r="O66200" t="str">
            <v/>
          </cell>
        </row>
        <row r="66201">
          <cell r="O66201" t="str">
            <v/>
          </cell>
        </row>
        <row r="66202">
          <cell r="O66202" t="str">
            <v/>
          </cell>
        </row>
        <row r="66203">
          <cell r="O66203" t="str">
            <v/>
          </cell>
        </row>
        <row r="66204">
          <cell r="O66204" t="str">
            <v/>
          </cell>
        </row>
        <row r="66205">
          <cell r="O66205" t="str">
            <v/>
          </cell>
        </row>
        <row r="66206">
          <cell r="O66206" t="str">
            <v/>
          </cell>
        </row>
        <row r="66207">
          <cell r="O66207" t="str">
            <v/>
          </cell>
        </row>
        <row r="66208">
          <cell r="O66208" t="str">
            <v/>
          </cell>
        </row>
        <row r="66209">
          <cell r="O66209" t="str">
            <v/>
          </cell>
        </row>
        <row r="66210">
          <cell r="O66210" t="str">
            <v/>
          </cell>
        </row>
        <row r="66211">
          <cell r="O66211" t="str">
            <v/>
          </cell>
        </row>
        <row r="66212">
          <cell r="O66212" t="str">
            <v/>
          </cell>
        </row>
        <row r="66213">
          <cell r="O66213" t="str">
            <v/>
          </cell>
        </row>
        <row r="66214">
          <cell r="O66214" t="str">
            <v/>
          </cell>
        </row>
        <row r="66215">
          <cell r="O66215" t="str">
            <v/>
          </cell>
        </row>
        <row r="66216">
          <cell r="O66216" t="str">
            <v/>
          </cell>
        </row>
        <row r="66217">
          <cell r="O66217" t="str">
            <v/>
          </cell>
        </row>
        <row r="66218">
          <cell r="O66218" t="str">
            <v/>
          </cell>
        </row>
        <row r="66219">
          <cell r="O66219" t="str">
            <v/>
          </cell>
        </row>
        <row r="66220">
          <cell r="O66220" t="str">
            <v/>
          </cell>
        </row>
        <row r="66221">
          <cell r="O66221" t="str">
            <v/>
          </cell>
        </row>
        <row r="66222">
          <cell r="O66222" t="str">
            <v/>
          </cell>
        </row>
        <row r="66223">
          <cell r="O66223" t="str">
            <v/>
          </cell>
        </row>
        <row r="66224">
          <cell r="O66224" t="str">
            <v/>
          </cell>
        </row>
        <row r="66225">
          <cell r="O66225" t="str">
            <v/>
          </cell>
        </row>
        <row r="66226">
          <cell r="O66226" t="str">
            <v/>
          </cell>
        </row>
        <row r="66227">
          <cell r="O66227" t="str">
            <v/>
          </cell>
        </row>
        <row r="66228">
          <cell r="O66228" t="str">
            <v/>
          </cell>
        </row>
        <row r="66229">
          <cell r="O66229" t="str">
            <v/>
          </cell>
        </row>
        <row r="66230">
          <cell r="O66230" t="str">
            <v/>
          </cell>
        </row>
        <row r="66231">
          <cell r="O66231" t="str">
            <v/>
          </cell>
        </row>
        <row r="66232">
          <cell r="O66232" t="str">
            <v/>
          </cell>
        </row>
        <row r="66233">
          <cell r="O66233" t="str">
            <v/>
          </cell>
        </row>
        <row r="66234">
          <cell r="O66234" t="str">
            <v/>
          </cell>
        </row>
        <row r="66235">
          <cell r="O66235" t="str">
            <v/>
          </cell>
        </row>
        <row r="66236">
          <cell r="O66236" t="str">
            <v/>
          </cell>
        </row>
        <row r="66237">
          <cell r="O66237" t="str">
            <v/>
          </cell>
        </row>
        <row r="66238">
          <cell r="O66238" t="str">
            <v/>
          </cell>
        </row>
        <row r="66239">
          <cell r="O66239" t="str">
            <v/>
          </cell>
        </row>
        <row r="66240">
          <cell r="O66240" t="str">
            <v/>
          </cell>
        </row>
        <row r="66241">
          <cell r="O66241" t="str">
            <v/>
          </cell>
        </row>
        <row r="66242">
          <cell r="O66242" t="str">
            <v/>
          </cell>
        </row>
        <row r="66243">
          <cell r="O66243" t="str">
            <v/>
          </cell>
        </row>
        <row r="66244">
          <cell r="O66244" t="str">
            <v/>
          </cell>
        </row>
        <row r="66245">
          <cell r="O66245" t="str">
            <v/>
          </cell>
        </row>
        <row r="66246">
          <cell r="O66246" t="str">
            <v/>
          </cell>
        </row>
        <row r="66247">
          <cell r="O66247" t="str">
            <v/>
          </cell>
        </row>
        <row r="66248">
          <cell r="O66248" t="str">
            <v/>
          </cell>
        </row>
        <row r="66249">
          <cell r="O66249" t="str">
            <v/>
          </cell>
        </row>
        <row r="66250">
          <cell r="O66250" t="str">
            <v/>
          </cell>
        </row>
        <row r="66251">
          <cell r="O66251" t="str">
            <v/>
          </cell>
        </row>
        <row r="66252">
          <cell r="O66252" t="str">
            <v/>
          </cell>
        </row>
        <row r="66253">
          <cell r="O66253" t="str">
            <v/>
          </cell>
        </row>
        <row r="66254">
          <cell r="O66254" t="str">
            <v/>
          </cell>
        </row>
        <row r="66255">
          <cell r="O66255" t="str">
            <v/>
          </cell>
        </row>
        <row r="66256">
          <cell r="O66256" t="str">
            <v/>
          </cell>
        </row>
        <row r="66257">
          <cell r="O66257" t="str">
            <v/>
          </cell>
        </row>
        <row r="66258">
          <cell r="O66258" t="str">
            <v/>
          </cell>
        </row>
        <row r="66259">
          <cell r="O66259" t="str">
            <v/>
          </cell>
        </row>
        <row r="66260">
          <cell r="O66260" t="str">
            <v/>
          </cell>
        </row>
        <row r="66261">
          <cell r="O66261" t="str">
            <v/>
          </cell>
        </row>
        <row r="66262">
          <cell r="O66262" t="str">
            <v/>
          </cell>
        </row>
        <row r="66263">
          <cell r="O66263" t="str">
            <v/>
          </cell>
        </row>
        <row r="66264">
          <cell r="O66264" t="str">
            <v/>
          </cell>
        </row>
        <row r="66265">
          <cell r="O66265" t="str">
            <v/>
          </cell>
        </row>
        <row r="66266">
          <cell r="O66266" t="str">
            <v/>
          </cell>
        </row>
        <row r="66267">
          <cell r="O66267" t="str">
            <v/>
          </cell>
        </row>
        <row r="66268">
          <cell r="O66268" t="str">
            <v/>
          </cell>
        </row>
        <row r="66269">
          <cell r="O66269" t="str">
            <v/>
          </cell>
        </row>
        <row r="66270">
          <cell r="O66270" t="str">
            <v/>
          </cell>
        </row>
        <row r="66271">
          <cell r="O66271" t="str">
            <v/>
          </cell>
        </row>
        <row r="66272">
          <cell r="O66272" t="str">
            <v/>
          </cell>
        </row>
        <row r="66273">
          <cell r="O66273" t="str">
            <v/>
          </cell>
        </row>
        <row r="66274">
          <cell r="O66274" t="str">
            <v/>
          </cell>
        </row>
        <row r="66275">
          <cell r="O66275" t="str">
            <v/>
          </cell>
        </row>
        <row r="66276">
          <cell r="O66276" t="str">
            <v/>
          </cell>
        </row>
        <row r="66277">
          <cell r="O66277" t="str">
            <v/>
          </cell>
        </row>
        <row r="66278">
          <cell r="O66278" t="str">
            <v/>
          </cell>
        </row>
        <row r="66279">
          <cell r="O66279" t="str">
            <v/>
          </cell>
        </row>
        <row r="66280">
          <cell r="O66280" t="str">
            <v/>
          </cell>
        </row>
        <row r="66281">
          <cell r="O66281" t="str">
            <v/>
          </cell>
        </row>
        <row r="66282">
          <cell r="O66282" t="str">
            <v/>
          </cell>
        </row>
        <row r="66283">
          <cell r="O66283" t="str">
            <v/>
          </cell>
        </row>
        <row r="66284">
          <cell r="O66284" t="str">
            <v/>
          </cell>
        </row>
        <row r="66285">
          <cell r="O66285" t="str">
            <v/>
          </cell>
        </row>
        <row r="66286">
          <cell r="O66286" t="str">
            <v/>
          </cell>
        </row>
        <row r="66287">
          <cell r="O66287" t="str">
            <v/>
          </cell>
        </row>
        <row r="66288">
          <cell r="O66288" t="str">
            <v/>
          </cell>
        </row>
        <row r="66289">
          <cell r="O66289" t="str">
            <v/>
          </cell>
        </row>
        <row r="66290">
          <cell r="O66290" t="str">
            <v/>
          </cell>
        </row>
        <row r="66291">
          <cell r="O66291" t="str">
            <v/>
          </cell>
        </row>
        <row r="66292">
          <cell r="O66292" t="str">
            <v/>
          </cell>
        </row>
        <row r="66293">
          <cell r="O66293" t="str">
            <v/>
          </cell>
        </row>
        <row r="66294">
          <cell r="O66294" t="str">
            <v/>
          </cell>
        </row>
        <row r="66295">
          <cell r="O66295" t="str">
            <v/>
          </cell>
        </row>
        <row r="66296">
          <cell r="O66296" t="str">
            <v/>
          </cell>
        </row>
        <row r="66297">
          <cell r="O66297" t="str">
            <v/>
          </cell>
        </row>
        <row r="66298">
          <cell r="O66298" t="str">
            <v/>
          </cell>
        </row>
        <row r="66299">
          <cell r="O66299" t="str">
            <v/>
          </cell>
        </row>
        <row r="66300">
          <cell r="O66300" t="str">
            <v/>
          </cell>
        </row>
        <row r="66301">
          <cell r="O66301" t="str">
            <v/>
          </cell>
        </row>
        <row r="66302">
          <cell r="O66302" t="str">
            <v/>
          </cell>
        </row>
        <row r="66303">
          <cell r="O66303" t="str">
            <v/>
          </cell>
        </row>
        <row r="66304">
          <cell r="O66304" t="str">
            <v/>
          </cell>
        </row>
        <row r="66305">
          <cell r="O66305" t="str">
            <v/>
          </cell>
        </row>
        <row r="66306">
          <cell r="O66306" t="str">
            <v/>
          </cell>
        </row>
        <row r="66307">
          <cell r="O66307" t="str">
            <v/>
          </cell>
        </row>
        <row r="66308">
          <cell r="O66308" t="str">
            <v/>
          </cell>
        </row>
        <row r="66309">
          <cell r="O66309" t="str">
            <v/>
          </cell>
        </row>
        <row r="66310">
          <cell r="O66310" t="str">
            <v/>
          </cell>
        </row>
        <row r="66311">
          <cell r="O66311" t="str">
            <v/>
          </cell>
        </row>
        <row r="66312">
          <cell r="O66312" t="str">
            <v/>
          </cell>
        </row>
        <row r="66313">
          <cell r="O66313" t="str">
            <v/>
          </cell>
        </row>
        <row r="66314">
          <cell r="O66314" t="str">
            <v/>
          </cell>
        </row>
        <row r="66315">
          <cell r="O66315" t="str">
            <v/>
          </cell>
        </row>
        <row r="66316">
          <cell r="O66316" t="str">
            <v/>
          </cell>
        </row>
        <row r="66317">
          <cell r="O66317" t="str">
            <v/>
          </cell>
        </row>
        <row r="66318">
          <cell r="O66318" t="str">
            <v/>
          </cell>
        </row>
        <row r="66319">
          <cell r="O66319" t="str">
            <v/>
          </cell>
        </row>
        <row r="66320">
          <cell r="O66320" t="str">
            <v/>
          </cell>
        </row>
        <row r="66321">
          <cell r="O66321" t="str">
            <v/>
          </cell>
        </row>
        <row r="66322">
          <cell r="O66322" t="str">
            <v/>
          </cell>
        </row>
        <row r="66323">
          <cell r="O66323" t="str">
            <v/>
          </cell>
        </row>
        <row r="66324">
          <cell r="O66324" t="str">
            <v/>
          </cell>
        </row>
        <row r="66325">
          <cell r="O66325" t="str">
            <v/>
          </cell>
        </row>
        <row r="66326">
          <cell r="O66326" t="str">
            <v/>
          </cell>
        </row>
        <row r="66327">
          <cell r="O66327" t="str">
            <v/>
          </cell>
        </row>
        <row r="66328">
          <cell r="O66328" t="str">
            <v/>
          </cell>
        </row>
        <row r="66329">
          <cell r="O66329" t="str">
            <v/>
          </cell>
        </row>
        <row r="66330">
          <cell r="O66330" t="str">
            <v/>
          </cell>
        </row>
        <row r="66331">
          <cell r="O66331" t="str">
            <v/>
          </cell>
        </row>
        <row r="66332">
          <cell r="O66332" t="str">
            <v/>
          </cell>
        </row>
        <row r="66333">
          <cell r="O66333" t="str">
            <v/>
          </cell>
        </row>
        <row r="66334">
          <cell r="O66334" t="str">
            <v/>
          </cell>
        </row>
        <row r="66335">
          <cell r="O66335" t="str">
            <v/>
          </cell>
        </row>
        <row r="66336">
          <cell r="O66336" t="str">
            <v/>
          </cell>
        </row>
        <row r="66337">
          <cell r="O66337" t="str">
            <v/>
          </cell>
        </row>
        <row r="66338">
          <cell r="O66338" t="str">
            <v/>
          </cell>
        </row>
        <row r="66339">
          <cell r="O66339" t="str">
            <v/>
          </cell>
        </row>
        <row r="66340">
          <cell r="O66340" t="str">
            <v/>
          </cell>
        </row>
        <row r="66341">
          <cell r="O66341" t="str">
            <v/>
          </cell>
        </row>
        <row r="66342">
          <cell r="O66342" t="str">
            <v/>
          </cell>
        </row>
        <row r="66343">
          <cell r="O66343" t="str">
            <v/>
          </cell>
        </row>
        <row r="66344">
          <cell r="O66344" t="str">
            <v/>
          </cell>
        </row>
        <row r="66345">
          <cell r="O66345" t="str">
            <v/>
          </cell>
        </row>
        <row r="66346">
          <cell r="O66346" t="str">
            <v/>
          </cell>
        </row>
        <row r="66347">
          <cell r="O66347" t="str">
            <v/>
          </cell>
        </row>
        <row r="66348">
          <cell r="O66348" t="str">
            <v/>
          </cell>
        </row>
        <row r="66349">
          <cell r="O66349" t="str">
            <v/>
          </cell>
        </row>
        <row r="66350">
          <cell r="O66350" t="str">
            <v/>
          </cell>
        </row>
        <row r="66351">
          <cell r="O66351" t="str">
            <v/>
          </cell>
        </row>
        <row r="66352">
          <cell r="O66352" t="str">
            <v/>
          </cell>
        </row>
        <row r="66353">
          <cell r="O66353" t="str">
            <v/>
          </cell>
        </row>
        <row r="66354">
          <cell r="O66354" t="str">
            <v/>
          </cell>
        </row>
        <row r="66355">
          <cell r="O66355" t="str">
            <v/>
          </cell>
        </row>
        <row r="66356">
          <cell r="O66356" t="str">
            <v/>
          </cell>
        </row>
        <row r="66357">
          <cell r="O66357" t="str">
            <v/>
          </cell>
        </row>
        <row r="66358">
          <cell r="O66358" t="str">
            <v/>
          </cell>
        </row>
        <row r="66359">
          <cell r="O66359" t="str">
            <v/>
          </cell>
        </row>
        <row r="66360">
          <cell r="O66360" t="str">
            <v/>
          </cell>
        </row>
        <row r="66361">
          <cell r="O66361" t="str">
            <v/>
          </cell>
        </row>
        <row r="66362">
          <cell r="O66362" t="str">
            <v/>
          </cell>
        </row>
        <row r="66363">
          <cell r="O66363" t="str">
            <v/>
          </cell>
        </row>
        <row r="66364">
          <cell r="O66364" t="str">
            <v/>
          </cell>
        </row>
        <row r="66365">
          <cell r="O66365" t="str">
            <v/>
          </cell>
        </row>
        <row r="66366">
          <cell r="O66366" t="str">
            <v/>
          </cell>
        </row>
        <row r="66367">
          <cell r="O66367" t="str">
            <v/>
          </cell>
        </row>
        <row r="66368">
          <cell r="O66368" t="str">
            <v/>
          </cell>
        </row>
        <row r="66369">
          <cell r="O66369" t="str">
            <v/>
          </cell>
        </row>
        <row r="66370">
          <cell r="O66370" t="str">
            <v/>
          </cell>
        </row>
        <row r="66371">
          <cell r="O66371" t="str">
            <v/>
          </cell>
        </row>
        <row r="66372">
          <cell r="O66372" t="str">
            <v/>
          </cell>
        </row>
        <row r="66373">
          <cell r="O66373" t="str">
            <v/>
          </cell>
        </row>
        <row r="66374">
          <cell r="O66374" t="str">
            <v/>
          </cell>
        </row>
        <row r="66375">
          <cell r="O66375" t="str">
            <v/>
          </cell>
        </row>
        <row r="66376">
          <cell r="O66376" t="str">
            <v/>
          </cell>
        </row>
        <row r="66377">
          <cell r="O66377" t="str">
            <v/>
          </cell>
        </row>
        <row r="66378">
          <cell r="O66378" t="str">
            <v/>
          </cell>
        </row>
        <row r="66379">
          <cell r="O66379" t="str">
            <v/>
          </cell>
        </row>
        <row r="66380">
          <cell r="O66380" t="str">
            <v/>
          </cell>
        </row>
        <row r="66381">
          <cell r="O66381" t="str">
            <v/>
          </cell>
        </row>
        <row r="66382">
          <cell r="O66382" t="str">
            <v/>
          </cell>
        </row>
        <row r="66383">
          <cell r="O66383" t="str">
            <v/>
          </cell>
        </row>
        <row r="66384">
          <cell r="O66384" t="str">
            <v/>
          </cell>
        </row>
        <row r="66385">
          <cell r="O66385" t="str">
            <v/>
          </cell>
        </row>
        <row r="66386">
          <cell r="O66386" t="str">
            <v/>
          </cell>
        </row>
        <row r="66387">
          <cell r="O66387" t="str">
            <v/>
          </cell>
        </row>
        <row r="66388">
          <cell r="O66388" t="str">
            <v/>
          </cell>
        </row>
        <row r="66389">
          <cell r="O66389" t="str">
            <v/>
          </cell>
        </row>
        <row r="66390">
          <cell r="O66390" t="str">
            <v/>
          </cell>
        </row>
        <row r="66391">
          <cell r="O66391" t="str">
            <v/>
          </cell>
        </row>
        <row r="66392">
          <cell r="O66392" t="str">
            <v/>
          </cell>
        </row>
        <row r="66393">
          <cell r="O66393" t="str">
            <v/>
          </cell>
        </row>
        <row r="66394">
          <cell r="O66394" t="str">
            <v/>
          </cell>
        </row>
        <row r="66395">
          <cell r="O66395" t="str">
            <v/>
          </cell>
        </row>
        <row r="66396">
          <cell r="O66396" t="str">
            <v/>
          </cell>
        </row>
        <row r="66397">
          <cell r="O66397" t="str">
            <v/>
          </cell>
        </row>
        <row r="66398">
          <cell r="O66398" t="str">
            <v/>
          </cell>
        </row>
        <row r="66399">
          <cell r="O66399" t="str">
            <v/>
          </cell>
        </row>
        <row r="66400">
          <cell r="O66400" t="str">
            <v/>
          </cell>
        </row>
        <row r="66401">
          <cell r="O66401" t="str">
            <v/>
          </cell>
        </row>
        <row r="66402">
          <cell r="O66402" t="str">
            <v/>
          </cell>
        </row>
        <row r="66403">
          <cell r="O66403" t="str">
            <v/>
          </cell>
        </row>
        <row r="66404">
          <cell r="O66404" t="str">
            <v/>
          </cell>
        </row>
        <row r="66405">
          <cell r="O66405" t="str">
            <v/>
          </cell>
        </row>
        <row r="66406">
          <cell r="O66406" t="str">
            <v/>
          </cell>
        </row>
        <row r="66407">
          <cell r="O66407" t="str">
            <v/>
          </cell>
        </row>
        <row r="66408">
          <cell r="O66408" t="str">
            <v/>
          </cell>
        </row>
        <row r="66409">
          <cell r="O66409" t="str">
            <v/>
          </cell>
        </row>
        <row r="66410">
          <cell r="O66410" t="str">
            <v/>
          </cell>
        </row>
        <row r="66411">
          <cell r="O66411" t="str">
            <v/>
          </cell>
        </row>
        <row r="66412">
          <cell r="O66412" t="str">
            <v/>
          </cell>
        </row>
        <row r="66413">
          <cell r="O66413" t="str">
            <v/>
          </cell>
        </row>
        <row r="66414">
          <cell r="O66414" t="str">
            <v/>
          </cell>
        </row>
        <row r="66415">
          <cell r="O66415" t="str">
            <v/>
          </cell>
        </row>
        <row r="66416">
          <cell r="O66416" t="str">
            <v/>
          </cell>
        </row>
        <row r="66417">
          <cell r="O66417" t="str">
            <v/>
          </cell>
        </row>
        <row r="66418">
          <cell r="O66418" t="str">
            <v/>
          </cell>
        </row>
        <row r="66419">
          <cell r="O66419" t="str">
            <v/>
          </cell>
        </row>
        <row r="66420">
          <cell r="O66420" t="str">
            <v/>
          </cell>
        </row>
        <row r="66421">
          <cell r="O66421" t="str">
            <v/>
          </cell>
        </row>
        <row r="66422">
          <cell r="O66422" t="str">
            <v/>
          </cell>
        </row>
        <row r="66423">
          <cell r="O66423" t="str">
            <v/>
          </cell>
        </row>
        <row r="66424">
          <cell r="O66424" t="str">
            <v/>
          </cell>
        </row>
        <row r="66425">
          <cell r="O66425" t="str">
            <v/>
          </cell>
        </row>
        <row r="66426">
          <cell r="O66426" t="str">
            <v/>
          </cell>
        </row>
        <row r="66427">
          <cell r="O66427" t="str">
            <v/>
          </cell>
        </row>
        <row r="66428">
          <cell r="O66428" t="str">
            <v/>
          </cell>
        </row>
        <row r="66429">
          <cell r="O66429" t="str">
            <v/>
          </cell>
        </row>
        <row r="66430">
          <cell r="O66430" t="str">
            <v/>
          </cell>
        </row>
        <row r="66431">
          <cell r="O66431" t="str">
            <v/>
          </cell>
        </row>
        <row r="66432">
          <cell r="O66432" t="str">
            <v/>
          </cell>
        </row>
        <row r="66433">
          <cell r="O66433" t="str">
            <v/>
          </cell>
        </row>
        <row r="66434">
          <cell r="O66434" t="str">
            <v/>
          </cell>
        </row>
        <row r="66435">
          <cell r="O66435" t="str">
            <v/>
          </cell>
        </row>
        <row r="66436">
          <cell r="O66436" t="str">
            <v/>
          </cell>
        </row>
        <row r="66437">
          <cell r="O66437" t="str">
            <v/>
          </cell>
        </row>
        <row r="66438">
          <cell r="O66438" t="str">
            <v/>
          </cell>
        </row>
        <row r="66439">
          <cell r="O66439" t="str">
            <v/>
          </cell>
        </row>
        <row r="66440">
          <cell r="O66440" t="str">
            <v/>
          </cell>
        </row>
        <row r="66441">
          <cell r="O66441" t="str">
            <v/>
          </cell>
        </row>
        <row r="66442">
          <cell r="O66442" t="str">
            <v/>
          </cell>
        </row>
        <row r="66443">
          <cell r="O66443" t="str">
            <v/>
          </cell>
        </row>
        <row r="66444">
          <cell r="O66444" t="str">
            <v/>
          </cell>
        </row>
        <row r="66445">
          <cell r="O66445" t="str">
            <v/>
          </cell>
        </row>
        <row r="66446">
          <cell r="O66446" t="str">
            <v/>
          </cell>
        </row>
        <row r="66447">
          <cell r="O66447" t="str">
            <v/>
          </cell>
        </row>
        <row r="66448">
          <cell r="O66448" t="str">
            <v/>
          </cell>
        </row>
        <row r="66449">
          <cell r="O66449" t="str">
            <v/>
          </cell>
        </row>
        <row r="66450">
          <cell r="O66450" t="str">
            <v/>
          </cell>
        </row>
        <row r="66451">
          <cell r="O66451" t="str">
            <v/>
          </cell>
        </row>
        <row r="66452">
          <cell r="O66452" t="str">
            <v/>
          </cell>
        </row>
        <row r="66453">
          <cell r="O66453" t="str">
            <v/>
          </cell>
        </row>
        <row r="66454">
          <cell r="O66454" t="str">
            <v/>
          </cell>
        </row>
        <row r="66455">
          <cell r="O66455" t="str">
            <v/>
          </cell>
        </row>
        <row r="66456">
          <cell r="O66456" t="str">
            <v/>
          </cell>
        </row>
        <row r="66457">
          <cell r="O66457" t="str">
            <v/>
          </cell>
        </row>
        <row r="66458">
          <cell r="O66458" t="str">
            <v/>
          </cell>
        </row>
        <row r="66459">
          <cell r="O66459" t="str">
            <v/>
          </cell>
        </row>
        <row r="66460">
          <cell r="O66460" t="str">
            <v/>
          </cell>
        </row>
        <row r="66461">
          <cell r="O66461" t="str">
            <v/>
          </cell>
        </row>
        <row r="66462">
          <cell r="O66462" t="str">
            <v/>
          </cell>
        </row>
        <row r="66463">
          <cell r="O66463" t="str">
            <v/>
          </cell>
        </row>
        <row r="66464">
          <cell r="O66464" t="str">
            <v/>
          </cell>
        </row>
        <row r="66465">
          <cell r="O66465" t="str">
            <v/>
          </cell>
        </row>
        <row r="66466">
          <cell r="O66466" t="str">
            <v/>
          </cell>
        </row>
        <row r="66467">
          <cell r="O66467" t="str">
            <v/>
          </cell>
        </row>
        <row r="66468">
          <cell r="O66468" t="str">
            <v/>
          </cell>
        </row>
        <row r="66469">
          <cell r="O66469" t="str">
            <v/>
          </cell>
        </row>
        <row r="66470">
          <cell r="O66470" t="str">
            <v/>
          </cell>
        </row>
        <row r="66471">
          <cell r="O66471" t="str">
            <v/>
          </cell>
        </row>
        <row r="66472">
          <cell r="O66472" t="str">
            <v/>
          </cell>
        </row>
        <row r="66473">
          <cell r="O66473" t="str">
            <v/>
          </cell>
        </row>
        <row r="66474">
          <cell r="O66474" t="str">
            <v/>
          </cell>
        </row>
        <row r="66475">
          <cell r="O66475" t="str">
            <v/>
          </cell>
        </row>
        <row r="66476">
          <cell r="O66476" t="str">
            <v/>
          </cell>
        </row>
        <row r="66477">
          <cell r="O66477" t="str">
            <v/>
          </cell>
        </row>
        <row r="66478">
          <cell r="O66478" t="str">
            <v/>
          </cell>
        </row>
        <row r="66479">
          <cell r="O66479" t="str">
            <v/>
          </cell>
        </row>
        <row r="66480">
          <cell r="O66480" t="str">
            <v/>
          </cell>
        </row>
        <row r="66481">
          <cell r="O66481" t="str">
            <v/>
          </cell>
        </row>
        <row r="66482">
          <cell r="O66482" t="str">
            <v/>
          </cell>
        </row>
        <row r="66483">
          <cell r="O66483" t="str">
            <v/>
          </cell>
        </row>
        <row r="66484">
          <cell r="O66484" t="str">
            <v/>
          </cell>
        </row>
        <row r="66485">
          <cell r="O66485" t="str">
            <v/>
          </cell>
        </row>
        <row r="66486">
          <cell r="O66486" t="str">
            <v/>
          </cell>
        </row>
        <row r="66487">
          <cell r="O66487" t="str">
            <v/>
          </cell>
        </row>
        <row r="66488">
          <cell r="O66488" t="str">
            <v/>
          </cell>
        </row>
        <row r="66489">
          <cell r="O66489" t="str">
            <v/>
          </cell>
        </row>
        <row r="66490">
          <cell r="O66490" t="str">
            <v/>
          </cell>
        </row>
        <row r="66491">
          <cell r="O66491" t="str">
            <v/>
          </cell>
        </row>
        <row r="66492">
          <cell r="O66492" t="str">
            <v/>
          </cell>
        </row>
        <row r="66493">
          <cell r="O66493" t="str">
            <v/>
          </cell>
        </row>
        <row r="66494">
          <cell r="O66494" t="str">
            <v/>
          </cell>
        </row>
        <row r="66495">
          <cell r="O66495" t="str">
            <v/>
          </cell>
        </row>
        <row r="66496">
          <cell r="O66496" t="str">
            <v/>
          </cell>
        </row>
        <row r="66497">
          <cell r="O66497" t="str">
            <v/>
          </cell>
        </row>
        <row r="66498">
          <cell r="O66498" t="str">
            <v/>
          </cell>
        </row>
        <row r="66499">
          <cell r="O66499" t="str">
            <v/>
          </cell>
        </row>
        <row r="66500">
          <cell r="O66500" t="str">
            <v/>
          </cell>
        </row>
        <row r="66501">
          <cell r="O66501" t="str">
            <v/>
          </cell>
        </row>
        <row r="66502">
          <cell r="O66502" t="str">
            <v/>
          </cell>
        </row>
        <row r="66503">
          <cell r="O66503" t="str">
            <v/>
          </cell>
        </row>
        <row r="66504">
          <cell r="O66504" t="str">
            <v/>
          </cell>
        </row>
        <row r="66505">
          <cell r="O66505" t="str">
            <v/>
          </cell>
        </row>
        <row r="66506">
          <cell r="O66506" t="str">
            <v/>
          </cell>
        </row>
        <row r="66507">
          <cell r="O66507" t="str">
            <v/>
          </cell>
        </row>
        <row r="66508">
          <cell r="O66508" t="str">
            <v/>
          </cell>
        </row>
        <row r="66509">
          <cell r="O66509" t="str">
            <v/>
          </cell>
        </row>
        <row r="66510">
          <cell r="O66510" t="str">
            <v/>
          </cell>
        </row>
        <row r="66511">
          <cell r="O66511" t="str">
            <v/>
          </cell>
        </row>
        <row r="66512">
          <cell r="O66512" t="str">
            <v/>
          </cell>
        </row>
        <row r="66513">
          <cell r="O66513" t="str">
            <v/>
          </cell>
        </row>
        <row r="66514">
          <cell r="O66514" t="str">
            <v/>
          </cell>
        </row>
        <row r="66515">
          <cell r="O66515" t="str">
            <v/>
          </cell>
        </row>
        <row r="66516">
          <cell r="O66516" t="str">
            <v/>
          </cell>
        </row>
        <row r="66517">
          <cell r="O66517" t="str">
            <v/>
          </cell>
        </row>
        <row r="66518">
          <cell r="O66518" t="str">
            <v/>
          </cell>
        </row>
        <row r="66519">
          <cell r="O66519" t="str">
            <v/>
          </cell>
        </row>
        <row r="66520">
          <cell r="O66520" t="str">
            <v/>
          </cell>
        </row>
        <row r="66521">
          <cell r="O66521" t="str">
            <v/>
          </cell>
        </row>
        <row r="66522">
          <cell r="O66522" t="str">
            <v/>
          </cell>
        </row>
        <row r="66523">
          <cell r="O66523" t="str">
            <v/>
          </cell>
        </row>
        <row r="66524">
          <cell r="O66524" t="str">
            <v/>
          </cell>
        </row>
        <row r="66525">
          <cell r="O66525" t="str">
            <v/>
          </cell>
        </row>
        <row r="66526">
          <cell r="O66526" t="str">
            <v/>
          </cell>
        </row>
        <row r="66527">
          <cell r="O66527" t="str">
            <v/>
          </cell>
        </row>
        <row r="66528">
          <cell r="O66528" t="str">
            <v/>
          </cell>
        </row>
        <row r="66529">
          <cell r="O66529" t="str">
            <v/>
          </cell>
        </row>
        <row r="66530">
          <cell r="O66530" t="str">
            <v/>
          </cell>
        </row>
        <row r="66531">
          <cell r="O66531" t="str">
            <v/>
          </cell>
        </row>
        <row r="66532">
          <cell r="O66532" t="str">
            <v/>
          </cell>
        </row>
        <row r="66533">
          <cell r="O66533" t="str">
            <v/>
          </cell>
        </row>
        <row r="66534">
          <cell r="O66534" t="str">
            <v/>
          </cell>
        </row>
        <row r="66535">
          <cell r="O66535" t="str">
            <v/>
          </cell>
        </row>
        <row r="66536">
          <cell r="O66536" t="str">
            <v/>
          </cell>
        </row>
        <row r="66537">
          <cell r="O66537" t="str">
            <v/>
          </cell>
        </row>
        <row r="66538">
          <cell r="O66538" t="str">
            <v/>
          </cell>
        </row>
        <row r="66539">
          <cell r="O66539" t="str">
            <v/>
          </cell>
        </row>
        <row r="66540">
          <cell r="O66540" t="str">
            <v/>
          </cell>
        </row>
        <row r="66541">
          <cell r="O66541" t="str">
            <v/>
          </cell>
        </row>
        <row r="66542">
          <cell r="O66542" t="str">
            <v/>
          </cell>
        </row>
        <row r="66543">
          <cell r="O66543" t="str">
            <v/>
          </cell>
        </row>
        <row r="66544">
          <cell r="O66544" t="str">
            <v/>
          </cell>
        </row>
        <row r="66545">
          <cell r="O66545" t="str">
            <v/>
          </cell>
        </row>
        <row r="66546">
          <cell r="O66546" t="str">
            <v/>
          </cell>
        </row>
        <row r="66547">
          <cell r="O66547" t="str">
            <v/>
          </cell>
        </row>
        <row r="66548">
          <cell r="O66548" t="str">
            <v/>
          </cell>
        </row>
        <row r="66549">
          <cell r="O66549" t="str">
            <v/>
          </cell>
        </row>
        <row r="66550">
          <cell r="O66550" t="str">
            <v/>
          </cell>
        </row>
        <row r="66551">
          <cell r="O66551" t="str">
            <v/>
          </cell>
        </row>
        <row r="66552">
          <cell r="O66552" t="str">
            <v/>
          </cell>
        </row>
        <row r="66553">
          <cell r="O66553" t="str">
            <v/>
          </cell>
        </row>
        <row r="66554">
          <cell r="O66554" t="str">
            <v/>
          </cell>
        </row>
        <row r="66555">
          <cell r="O66555" t="str">
            <v/>
          </cell>
        </row>
        <row r="66556">
          <cell r="O66556" t="str">
            <v/>
          </cell>
        </row>
        <row r="66557">
          <cell r="O66557" t="str">
            <v/>
          </cell>
        </row>
        <row r="66558">
          <cell r="O66558" t="str">
            <v/>
          </cell>
        </row>
        <row r="66559">
          <cell r="O66559" t="str">
            <v/>
          </cell>
        </row>
        <row r="66560">
          <cell r="O66560" t="str">
            <v/>
          </cell>
        </row>
        <row r="66561">
          <cell r="O66561" t="str">
            <v/>
          </cell>
        </row>
        <row r="66562">
          <cell r="O66562" t="str">
            <v/>
          </cell>
        </row>
        <row r="66563">
          <cell r="O66563" t="str">
            <v/>
          </cell>
        </row>
        <row r="66564">
          <cell r="O66564" t="str">
            <v/>
          </cell>
        </row>
        <row r="66565">
          <cell r="O66565" t="str">
            <v/>
          </cell>
        </row>
        <row r="66566">
          <cell r="O66566" t="str">
            <v/>
          </cell>
        </row>
        <row r="66567">
          <cell r="O66567" t="str">
            <v/>
          </cell>
        </row>
        <row r="66568">
          <cell r="O66568" t="str">
            <v/>
          </cell>
        </row>
        <row r="66569">
          <cell r="O66569" t="str">
            <v/>
          </cell>
        </row>
        <row r="66570">
          <cell r="O66570" t="str">
            <v/>
          </cell>
        </row>
        <row r="66571">
          <cell r="O66571" t="str">
            <v/>
          </cell>
        </row>
        <row r="66572">
          <cell r="O66572" t="str">
            <v/>
          </cell>
        </row>
        <row r="66573">
          <cell r="O66573" t="str">
            <v/>
          </cell>
        </row>
        <row r="66574">
          <cell r="O66574" t="str">
            <v/>
          </cell>
        </row>
        <row r="66575">
          <cell r="O66575" t="str">
            <v/>
          </cell>
        </row>
        <row r="66576">
          <cell r="O66576" t="str">
            <v/>
          </cell>
        </row>
        <row r="66577">
          <cell r="O66577" t="str">
            <v/>
          </cell>
        </row>
        <row r="66578">
          <cell r="O66578" t="str">
            <v/>
          </cell>
        </row>
        <row r="66579">
          <cell r="O66579" t="str">
            <v/>
          </cell>
        </row>
        <row r="66580">
          <cell r="O66580" t="str">
            <v/>
          </cell>
        </row>
        <row r="66581">
          <cell r="O66581" t="str">
            <v/>
          </cell>
        </row>
        <row r="66582">
          <cell r="O66582" t="str">
            <v/>
          </cell>
        </row>
        <row r="66583">
          <cell r="O66583" t="str">
            <v/>
          </cell>
        </row>
        <row r="66584">
          <cell r="O66584" t="str">
            <v/>
          </cell>
        </row>
        <row r="66585">
          <cell r="O66585" t="str">
            <v/>
          </cell>
        </row>
        <row r="66586">
          <cell r="O66586" t="str">
            <v/>
          </cell>
        </row>
        <row r="66587">
          <cell r="O66587" t="str">
            <v/>
          </cell>
        </row>
        <row r="66588">
          <cell r="O66588" t="str">
            <v/>
          </cell>
        </row>
        <row r="66589">
          <cell r="O66589" t="str">
            <v/>
          </cell>
        </row>
        <row r="66590">
          <cell r="O66590" t="str">
            <v/>
          </cell>
        </row>
        <row r="66591">
          <cell r="O66591" t="str">
            <v/>
          </cell>
        </row>
        <row r="66592">
          <cell r="O66592" t="str">
            <v/>
          </cell>
        </row>
        <row r="66593">
          <cell r="O66593" t="str">
            <v/>
          </cell>
        </row>
        <row r="66594">
          <cell r="O66594" t="str">
            <v/>
          </cell>
        </row>
        <row r="66595">
          <cell r="O66595" t="str">
            <v/>
          </cell>
        </row>
        <row r="66596">
          <cell r="O66596" t="str">
            <v/>
          </cell>
        </row>
        <row r="66597">
          <cell r="O66597" t="str">
            <v/>
          </cell>
        </row>
        <row r="66598">
          <cell r="O66598" t="str">
            <v/>
          </cell>
        </row>
        <row r="66599">
          <cell r="O66599" t="str">
            <v/>
          </cell>
        </row>
        <row r="66600">
          <cell r="O66600" t="str">
            <v/>
          </cell>
        </row>
        <row r="66601">
          <cell r="O66601" t="str">
            <v/>
          </cell>
        </row>
        <row r="66602">
          <cell r="O66602" t="str">
            <v/>
          </cell>
        </row>
        <row r="66603">
          <cell r="O66603" t="str">
            <v/>
          </cell>
        </row>
        <row r="66604">
          <cell r="O66604" t="str">
            <v/>
          </cell>
        </row>
        <row r="66605">
          <cell r="O66605" t="str">
            <v/>
          </cell>
        </row>
        <row r="66606">
          <cell r="O66606" t="str">
            <v/>
          </cell>
        </row>
        <row r="66607">
          <cell r="O66607" t="str">
            <v/>
          </cell>
        </row>
        <row r="66608">
          <cell r="O66608" t="str">
            <v/>
          </cell>
        </row>
        <row r="66609">
          <cell r="O66609" t="str">
            <v/>
          </cell>
        </row>
        <row r="66610">
          <cell r="O66610" t="str">
            <v/>
          </cell>
        </row>
        <row r="66611">
          <cell r="O66611" t="str">
            <v/>
          </cell>
        </row>
        <row r="66612">
          <cell r="O66612" t="str">
            <v/>
          </cell>
        </row>
        <row r="66613">
          <cell r="O66613" t="str">
            <v/>
          </cell>
        </row>
        <row r="66614">
          <cell r="O66614" t="str">
            <v/>
          </cell>
        </row>
        <row r="66615">
          <cell r="O66615" t="str">
            <v/>
          </cell>
        </row>
        <row r="66616">
          <cell r="O66616" t="str">
            <v/>
          </cell>
        </row>
        <row r="66617">
          <cell r="O66617" t="str">
            <v/>
          </cell>
        </row>
        <row r="66618">
          <cell r="O66618" t="str">
            <v/>
          </cell>
        </row>
        <row r="66619">
          <cell r="O66619" t="str">
            <v/>
          </cell>
        </row>
        <row r="66620">
          <cell r="O66620" t="str">
            <v/>
          </cell>
        </row>
        <row r="66621">
          <cell r="O66621" t="str">
            <v/>
          </cell>
        </row>
        <row r="66622">
          <cell r="O66622" t="str">
            <v/>
          </cell>
        </row>
        <row r="66623">
          <cell r="O66623" t="str">
            <v/>
          </cell>
        </row>
        <row r="66624">
          <cell r="O66624" t="str">
            <v/>
          </cell>
        </row>
        <row r="66625">
          <cell r="O66625" t="str">
            <v/>
          </cell>
        </row>
        <row r="66626">
          <cell r="O66626" t="str">
            <v/>
          </cell>
        </row>
        <row r="66627">
          <cell r="O66627" t="str">
            <v/>
          </cell>
        </row>
        <row r="66628">
          <cell r="O66628" t="str">
            <v/>
          </cell>
        </row>
        <row r="66629">
          <cell r="O66629" t="str">
            <v/>
          </cell>
        </row>
        <row r="66630">
          <cell r="O66630" t="str">
            <v/>
          </cell>
        </row>
        <row r="66631">
          <cell r="O66631" t="str">
            <v/>
          </cell>
        </row>
        <row r="66632">
          <cell r="O66632" t="str">
            <v/>
          </cell>
        </row>
        <row r="66633">
          <cell r="O66633" t="str">
            <v/>
          </cell>
        </row>
        <row r="66634">
          <cell r="O66634" t="str">
            <v/>
          </cell>
        </row>
        <row r="66635">
          <cell r="O66635" t="str">
            <v/>
          </cell>
        </row>
        <row r="66636">
          <cell r="O66636" t="str">
            <v/>
          </cell>
        </row>
        <row r="66637">
          <cell r="O66637" t="str">
            <v/>
          </cell>
        </row>
        <row r="66638">
          <cell r="O66638" t="str">
            <v/>
          </cell>
        </row>
        <row r="66639">
          <cell r="O66639" t="str">
            <v/>
          </cell>
        </row>
        <row r="66640">
          <cell r="O66640" t="str">
            <v/>
          </cell>
        </row>
        <row r="66641">
          <cell r="O66641" t="str">
            <v/>
          </cell>
        </row>
        <row r="66642">
          <cell r="O66642" t="str">
            <v/>
          </cell>
        </row>
        <row r="66643">
          <cell r="O66643" t="str">
            <v/>
          </cell>
        </row>
        <row r="66644">
          <cell r="O66644" t="str">
            <v/>
          </cell>
        </row>
        <row r="66645">
          <cell r="O66645" t="str">
            <v/>
          </cell>
        </row>
        <row r="66646">
          <cell r="O66646" t="str">
            <v/>
          </cell>
        </row>
        <row r="66647">
          <cell r="O66647" t="str">
            <v/>
          </cell>
        </row>
        <row r="66648">
          <cell r="O66648" t="str">
            <v/>
          </cell>
        </row>
        <row r="66649">
          <cell r="O66649" t="str">
            <v/>
          </cell>
        </row>
        <row r="66650">
          <cell r="O66650" t="str">
            <v/>
          </cell>
        </row>
        <row r="66651">
          <cell r="O66651" t="str">
            <v/>
          </cell>
        </row>
        <row r="66652">
          <cell r="O66652" t="str">
            <v/>
          </cell>
        </row>
        <row r="66653">
          <cell r="O66653" t="str">
            <v/>
          </cell>
        </row>
        <row r="66654">
          <cell r="O66654" t="str">
            <v/>
          </cell>
        </row>
        <row r="66655">
          <cell r="O66655" t="str">
            <v/>
          </cell>
        </row>
        <row r="66656">
          <cell r="O66656" t="str">
            <v/>
          </cell>
        </row>
        <row r="66657">
          <cell r="O66657" t="str">
            <v/>
          </cell>
        </row>
        <row r="66658">
          <cell r="O66658" t="str">
            <v/>
          </cell>
        </row>
        <row r="66659">
          <cell r="O66659" t="str">
            <v/>
          </cell>
        </row>
        <row r="66660">
          <cell r="O66660" t="str">
            <v/>
          </cell>
        </row>
        <row r="66661">
          <cell r="O66661" t="str">
            <v/>
          </cell>
        </row>
        <row r="66662">
          <cell r="O66662" t="str">
            <v/>
          </cell>
        </row>
        <row r="66663">
          <cell r="O66663" t="str">
            <v/>
          </cell>
        </row>
        <row r="66664">
          <cell r="O66664" t="str">
            <v/>
          </cell>
        </row>
        <row r="66665">
          <cell r="O66665" t="str">
            <v/>
          </cell>
        </row>
        <row r="66666">
          <cell r="O66666" t="str">
            <v/>
          </cell>
        </row>
        <row r="66667">
          <cell r="O66667" t="str">
            <v/>
          </cell>
        </row>
        <row r="66668">
          <cell r="O66668" t="str">
            <v/>
          </cell>
        </row>
        <row r="66669">
          <cell r="O66669" t="str">
            <v/>
          </cell>
        </row>
        <row r="66670">
          <cell r="O66670" t="str">
            <v/>
          </cell>
        </row>
        <row r="66671">
          <cell r="O66671" t="str">
            <v/>
          </cell>
        </row>
        <row r="66672">
          <cell r="O66672" t="str">
            <v/>
          </cell>
        </row>
        <row r="66673">
          <cell r="O66673" t="str">
            <v/>
          </cell>
        </row>
        <row r="66674">
          <cell r="O66674" t="str">
            <v/>
          </cell>
        </row>
        <row r="66675">
          <cell r="O66675" t="str">
            <v/>
          </cell>
        </row>
        <row r="66676">
          <cell r="O66676" t="str">
            <v/>
          </cell>
        </row>
        <row r="66677">
          <cell r="O66677" t="str">
            <v/>
          </cell>
        </row>
        <row r="66678">
          <cell r="O66678" t="str">
            <v/>
          </cell>
        </row>
        <row r="66679">
          <cell r="O66679" t="str">
            <v/>
          </cell>
        </row>
        <row r="66680">
          <cell r="O66680" t="str">
            <v/>
          </cell>
        </row>
        <row r="66681">
          <cell r="O66681" t="str">
            <v/>
          </cell>
        </row>
        <row r="66682">
          <cell r="O66682" t="str">
            <v/>
          </cell>
        </row>
        <row r="66683">
          <cell r="O66683" t="str">
            <v/>
          </cell>
        </row>
        <row r="66684">
          <cell r="O66684" t="str">
            <v/>
          </cell>
        </row>
        <row r="66685">
          <cell r="O66685" t="str">
            <v/>
          </cell>
        </row>
        <row r="66686">
          <cell r="O66686" t="str">
            <v/>
          </cell>
        </row>
        <row r="66687">
          <cell r="O66687" t="str">
            <v/>
          </cell>
        </row>
        <row r="66688">
          <cell r="O66688" t="str">
            <v/>
          </cell>
        </row>
        <row r="66689">
          <cell r="O66689" t="str">
            <v/>
          </cell>
        </row>
        <row r="66690">
          <cell r="O66690" t="str">
            <v/>
          </cell>
        </row>
        <row r="66691">
          <cell r="O66691" t="str">
            <v/>
          </cell>
        </row>
        <row r="66692">
          <cell r="O66692" t="str">
            <v/>
          </cell>
        </row>
        <row r="66693">
          <cell r="O66693" t="str">
            <v/>
          </cell>
        </row>
        <row r="66694">
          <cell r="O66694" t="str">
            <v/>
          </cell>
        </row>
        <row r="66695">
          <cell r="O66695" t="str">
            <v/>
          </cell>
        </row>
        <row r="66696">
          <cell r="O66696" t="str">
            <v/>
          </cell>
        </row>
        <row r="66697">
          <cell r="O66697" t="str">
            <v/>
          </cell>
        </row>
        <row r="66698">
          <cell r="O66698" t="str">
            <v/>
          </cell>
        </row>
        <row r="66699">
          <cell r="O66699" t="str">
            <v/>
          </cell>
        </row>
        <row r="66700">
          <cell r="O66700" t="str">
            <v/>
          </cell>
        </row>
        <row r="66701">
          <cell r="O66701" t="str">
            <v/>
          </cell>
        </row>
        <row r="66702">
          <cell r="O66702" t="str">
            <v/>
          </cell>
        </row>
        <row r="66703">
          <cell r="O66703" t="str">
            <v/>
          </cell>
        </row>
        <row r="66704">
          <cell r="O66704" t="str">
            <v/>
          </cell>
        </row>
        <row r="66705">
          <cell r="O66705" t="str">
            <v/>
          </cell>
        </row>
        <row r="66706">
          <cell r="O66706" t="str">
            <v/>
          </cell>
        </row>
        <row r="66707">
          <cell r="O66707" t="str">
            <v/>
          </cell>
        </row>
        <row r="66708">
          <cell r="O66708" t="str">
            <v/>
          </cell>
        </row>
        <row r="66709">
          <cell r="O66709" t="str">
            <v/>
          </cell>
        </row>
        <row r="66710">
          <cell r="O66710" t="str">
            <v/>
          </cell>
        </row>
        <row r="66711">
          <cell r="O66711" t="str">
            <v/>
          </cell>
        </row>
        <row r="66712">
          <cell r="O66712" t="str">
            <v/>
          </cell>
        </row>
        <row r="66713">
          <cell r="O66713" t="str">
            <v/>
          </cell>
        </row>
        <row r="66714">
          <cell r="O66714" t="str">
            <v/>
          </cell>
        </row>
        <row r="66715">
          <cell r="O66715" t="str">
            <v/>
          </cell>
        </row>
        <row r="66716">
          <cell r="O66716" t="str">
            <v/>
          </cell>
        </row>
        <row r="66717">
          <cell r="O66717" t="str">
            <v/>
          </cell>
        </row>
        <row r="66718">
          <cell r="O66718" t="str">
            <v/>
          </cell>
        </row>
        <row r="66719">
          <cell r="O66719" t="str">
            <v/>
          </cell>
        </row>
        <row r="66720">
          <cell r="O66720" t="str">
            <v/>
          </cell>
        </row>
        <row r="66721">
          <cell r="O66721" t="str">
            <v/>
          </cell>
        </row>
        <row r="66722">
          <cell r="O66722" t="str">
            <v/>
          </cell>
        </row>
        <row r="66723">
          <cell r="O66723" t="str">
            <v/>
          </cell>
        </row>
        <row r="66724">
          <cell r="O66724" t="str">
            <v/>
          </cell>
        </row>
        <row r="66725">
          <cell r="O66725" t="str">
            <v/>
          </cell>
        </row>
        <row r="66726">
          <cell r="O66726" t="str">
            <v/>
          </cell>
        </row>
        <row r="66727">
          <cell r="O66727" t="str">
            <v/>
          </cell>
        </row>
        <row r="66728">
          <cell r="O66728" t="str">
            <v/>
          </cell>
        </row>
        <row r="66729">
          <cell r="O66729" t="str">
            <v/>
          </cell>
        </row>
        <row r="66730">
          <cell r="O66730" t="str">
            <v/>
          </cell>
        </row>
        <row r="66731">
          <cell r="O66731" t="str">
            <v/>
          </cell>
        </row>
        <row r="66732">
          <cell r="O66732" t="str">
            <v/>
          </cell>
        </row>
        <row r="66733">
          <cell r="O66733" t="str">
            <v/>
          </cell>
        </row>
        <row r="66734">
          <cell r="O66734" t="str">
            <v/>
          </cell>
        </row>
        <row r="66735">
          <cell r="O66735" t="str">
            <v/>
          </cell>
        </row>
        <row r="66736">
          <cell r="O66736" t="str">
            <v/>
          </cell>
        </row>
        <row r="66737">
          <cell r="O66737" t="str">
            <v/>
          </cell>
        </row>
        <row r="66738">
          <cell r="O66738" t="str">
            <v/>
          </cell>
        </row>
        <row r="66739">
          <cell r="O66739" t="str">
            <v/>
          </cell>
        </row>
        <row r="66740">
          <cell r="O66740" t="str">
            <v/>
          </cell>
        </row>
        <row r="66741">
          <cell r="O66741" t="str">
            <v/>
          </cell>
        </row>
        <row r="66742">
          <cell r="O66742" t="str">
            <v/>
          </cell>
        </row>
        <row r="66743">
          <cell r="O66743" t="str">
            <v/>
          </cell>
        </row>
        <row r="66744">
          <cell r="O66744" t="str">
            <v/>
          </cell>
        </row>
        <row r="66745">
          <cell r="O66745" t="str">
            <v/>
          </cell>
        </row>
        <row r="66746">
          <cell r="O66746" t="str">
            <v/>
          </cell>
        </row>
        <row r="66747">
          <cell r="O66747" t="str">
            <v/>
          </cell>
        </row>
        <row r="66748">
          <cell r="O66748" t="str">
            <v/>
          </cell>
        </row>
        <row r="66749">
          <cell r="O66749" t="str">
            <v/>
          </cell>
        </row>
        <row r="66750">
          <cell r="O66750" t="str">
            <v/>
          </cell>
        </row>
        <row r="66751">
          <cell r="O66751" t="str">
            <v/>
          </cell>
        </row>
        <row r="66752">
          <cell r="O66752" t="str">
            <v/>
          </cell>
        </row>
        <row r="66753">
          <cell r="O66753" t="str">
            <v/>
          </cell>
        </row>
        <row r="66754">
          <cell r="O66754" t="str">
            <v/>
          </cell>
        </row>
        <row r="66755">
          <cell r="O66755" t="str">
            <v/>
          </cell>
        </row>
        <row r="66756">
          <cell r="O66756" t="str">
            <v/>
          </cell>
        </row>
        <row r="66757">
          <cell r="O66757" t="str">
            <v/>
          </cell>
        </row>
        <row r="66758">
          <cell r="O66758" t="str">
            <v/>
          </cell>
        </row>
        <row r="66759">
          <cell r="O66759" t="str">
            <v/>
          </cell>
        </row>
        <row r="66760">
          <cell r="O66760" t="str">
            <v/>
          </cell>
        </row>
        <row r="66761">
          <cell r="O66761" t="str">
            <v/>
          </cell>
        </row>
        <row r="66762">
          <cell r="O66762" t="str">
            <v/>
          </cell>
        </row>
        <row r="66763">
          <cell r="O66763" t="str">
            <v/>
          </cell>
        </row>
        <row r="66764">
          <cell r="O66764" t="str">
            <v/>
          </cell>
        </row>
        <row r="66765">
          <cell r="O66765" t="str">
            <v/>
          </cell>
        </row>
        <row r="66766">
          <cell r="O66766" t="str">
            <v/>
          </cell>
        </row>
        <row r="66767">
          <cell r="O66767" t="str">
            <v/>
          </cell>
        </row>
        <row r="66768">
          <cell r="O66768" t="str">
            <v/>
          </cell>
        </row>
        <row r="66769">
          <cell r="O66769" t="str">
            <v/>
          </cell>
        </row>
        <row r="66770">
          <cell r="O66770" t="str">
            <v/>
          </cell>
        </row>
        <row r="66771">
          <cell r="O66771" t="str">
            <v/>
          </cell>
        </row>
        <row r="66772">
          <cell r="O66772" t="str">
            <v/>
          </cell>
        </row>
        <row r="66773">
          <cell r="O66773" t="str">
            <v/>
          </cell>
        </row>
        <row r="66774">
          <cell r="O66774" t="str">
            <v/>
          </cell>
        </row>
        <row r="66775">
          <cell r="O66775" t="str">
            <v/>
          </cell>
        </row>
        <row r="66776">
          <cell r="O66776" t="str">
            <v/>
          </cell>
        </row>
        <row r="66777">
          <cell r="O66777" t="str">
            <v/>
          </cell>
        </row>
        <row r="66778">
          <cell r="O66778" t="str">
            <v/>
          </cell>
        </row>
        <row r="66779">
          <cell r="O66779" t="str">
            <v/>
          </cell>
        </row>
        <row r="66780">
          <cell r="O66780" t="str">
            <v/>
          </cell>
        </row>
        <row r="66781">
          <cell r="O66781" t="str">
            <v/>
          </cell>
        </row>
        <row r="66782">
          <cell r="O66782" t="str">
            <v/>
          </cell>
        </row>
        <row r="66783">
          <cell r="O66783" t="str">
            <v/>
          </cell>
        </row>
        <row r="66784">
          <cell r="O66784" t="str">
            <v/>
          </cell>
        </row>
        <row r="66785">
          <cell r="O66785" t="str">
            <v/>
          </cell>
        </row>
        <row r="66786">
          <cell r="O66786" t="str">
            <v/>
          </cell>
        </row>
        <row r="66787">
          <cell r="O66787" t="str">
            <v/>
          </cell>
        </row>
        <row r="66788">
          <cell r="O66788" t="str">
            <v/>
          </cell>
        </row>
        <row r="66789">
          <cell r="O66789" t="str">
            <v/>
          </cell>
        </row>
        <row r="66790">
          <cell r="O66790" t="str">
            <v/>
          </cell>
        </row>
        <row r="66791">
          <cell r="O66791" t="str">
            <v/>
          </cell>
        </row>
        <row r="66792">
          <cell r="O66792" t="str">
            <v/>
          </cell>
        </row>
        <row r="66793">
          <cell r="O66793" t="str">
            <v/>
          </cell>
        </row>
        <row r="66794">
          <cell r="O66794" t="str">
            <v/>
          </cell>
        </row>
        <row r="66795">
          <cell r="O66795" t="str">
            <v/>
          </cell>
        </row>
        <row r="66796">
          <cell r="O66796" t="str">
            <v/>
          </cell>
        </row>
        <row r="66797">
          <cell r="O66797" t="str">
            <v/>
          </cell>
        </row>
        <row r="66798">
          <cell r="O66798" t="str">
            <v/>
          </cell>
        </row>
        <row r="66799">
          <cell r="O66799" t="str">
            <v/>
          </cell>
        </row>
        <row r="66800">
          <cell r="O66800" t="str">
            <v/>
          </cell>
        </row>
        <row r="66801">
          <cell r="O66801" t="str">
            <v/>
          </cell>
        </row>
        <row r="66802">
          <cell r="O66802" t="str">
            <v/>
          </cell>
        </row>
        <row r="66803">
          <cell r="O66803" t="str">
            <v/>
          </cell>
        </row>
        <row r="66804">
          <cell r="O66804" t="str">
            <v/>
          </cell>
        </row>
        <row r="66805">
          <cell r="O66805" t="str">
            <v/>
          </cell>
        </row>
        <row r="66806">
          <cell r="O66806" t="str">
            <v/>
          </cell>
        </row>
        <row r="66807">
          <cell r="O66807" t="str">
            <v/>
          </cell>
        </row>
        <row r="66808">
          <cell r="O66808" t="str">
            <v/>
          </cell>
        </row>
        <row r="66809">
          <cell r="O66809" t="str">
            <v/>
          </cell>
        </row>
        <row r="66810">
          <cell r="O66810" t="str">
            <v/>
          </cell>
        </row>
        <row r="66811">
          <cell r="O66811" t="str">
            <v/>
          </cell>
        </row>
        <row r="66812">
          <cell r="O66812" t="str">
            <v/>
          </cell>
        </row>
        <row r="66813">
          <cell r="O66813" t="str">
            <v/>
          </cell>
        </row>
        <row r="66814">
          <cell r="O66814" t="str">
            <v/>
          </cell>
        </row>
        <row r="66815">
          <cell r="O66815" t="str">
            <v/>
          </cell>
        </row>
        <row r="66816">
          <cell r="O66816" t="str">
            <v/>
          </cell>
        </row>
        <row r="66817">
          <cell r="O66817" t="str">
            <v/>
          </cell>
        </row>
        <row r="66818">
          <cell r="O66818" t="str">
            <v/>
          </cell>
        </row>
        <row r="66819">
          <cell r="O66819" t="str">
            <v/>
          </cell>
        </row>
        <row r="66820">
          <cell r="O66820" t="str">
            <v/>
          </cell>
        </row>
        <row r="66821">
          <cell r="O66821" t="str">
            <v/>
          </cell>
        </row>
        <row r="66822">
          <cell r="O66822" t="str">
            <v/>
          </cell>
        </row>
        <row r="66823">
          <cell r="O66823" t="str">
            <v/>
          </cell>
        </row>
        <row r="66824">
          <cell r="O66824" t="str">
            <v/>
          </cell>
        </row>
        <row r="66825">
          <cell r="O66825" t="str">
            <v/>
          </cell>
        </row>
        <row r="66826">
          <cell r="O66826" t="str">
            <v/>
          </cell>
        </row>
        <row r="66827">
          <cell r="O66827" t="str">
            <v/>
          </cell>
        </row>
        <row r="66828">
          <cell r="O66828" t="str">
            <v/>
          </cell>
        </row>
        <row r="66829">
          <cell r="O66829" t="str">
            <v/>
          </cell>
        </row>
        <row r="66830">
          <cell r="O66830" t="str">
            <v/>
          </cell>
        </row>
        <row r="66831">
          <cell r="O66831" t="str">
            <v/>
          </cell>
        </row>
        <row r="66832">
          <cell r="O66832" t="str">
            <v/>
          </cell>
        </row>
        <row r="66833">
          <cell r="O66833" t="str">
            <v/>
          </cell>
        </row>
        <row r="66834">
          <cell r="O66834" t="str">
            <v/>
          </cell>
        </row>
        <row r="66835">
          <cell r="O66835" t="str">
            <v/>
          </cell>
        </row>
        <row r="66836">
          <cell r="O66836" t="str">
            <v/>
          </cell>
        </row>
        <row r="66837">
          <cell r="O66837" t="str">
            <v/>
          </cell>
        </row>
        <row r="66838">
          <cell r="O66838" t="str">
            <v/>
          </cell>
        </row>
        <row r="66839">
          <cell r="O66839" t="str">
            <v/>
          </cell>
        </row>
        <row r="66840">
          <cell r="O66840" t="str">
            <v/>
          </cell>
        </row>
        <row r="66841">
          <cell r="O66841" t="str">
            <v/>
          </cell>
        </row>
        <row r="66842">
          <cell r="O66842" t="str">
            <v/>
          </cell>
        </row>
        <row r="66843">
          <cell r="O66843" t="str">
            <v/>
          </cell>
        </row>
        <row r="66844">
          <cell r="O66844" t="str">
            <v/>
          </cell>
        </row>
        <row r="66845">
          <cell r="O66845" t="str">
            <v/>
          </cell>
        </row>
        <row r="66846">
          <cell r="O66846" t="str">
            <v/>
          </cell>
        </row>
        <row r="66847">
          <cell r="O66847" t="str">
            <v/>
          </cell>
        </row>
        <row r="66848">
          <cell r="O66848" t="str">
            <v/>
          </cell>
        </row>
        <row r="66849">
          <cell r="O66849" t="str">
            <v/>
          </cell>
        </row>
        <row r="66850">
          <cell r="O66850" t="str">
            <v/>
          </cell>
        </row>
        <row r="66851">
          <cell r="O66851" t="str">
            <v/>
          </cell>
        </row>
        <row r="66852">
          <cell r="O66852" t="str">
            <v/>
          </cell>
        </row>
        <row r="66853">
          <cell r="O66853" t="str">
            <v/>
          </cell>
        </row>
        <row r="66854">
          <cell r="O66854" t="str">
            <v/>
          </cell>
        </row>
        <row r="66855">
          <cell r="O66855" t="str">
            <v/>
          </cell>
        </row>
        <row r="66856">
          <cell r="O66856" t="str">
            <v/>
          </cell>
        </row>
        <row r="66857">
          <cell r="O66857" t="str">
            <v/>
          </cell>
        </row>
        <row r="66858">
          <cell r="O66858" t="str">
            <v/>
          </cell>
        </row>
        <row r="66859">
          <cell r="O66859" t="str">
            <v/>
          </cell>
        </row>
        <row r="66860">
          <cell r="O66860" t="str">
            <v/>
          </cell>
        </row>
        <row r="66861">
          <cell r="O66861" t="str">
            <v/>
          </cell>
        </row>
        <row r="66862">
          <cell r="O66862" t="str">
            <v/>
          </cell>
        </row>
        <row r="66863">
          <cell r="O66863" t="str">
            <v/>
          </cell>
        </row>
        <row r="66864">
          <cell r="O66864" t="str">
            <v/>
          </cell>
        </row>
        <row r="66865">
          <cell r="O66865" t="str">
            <v/>
          </cell>
        </row>
        <row r="66866">
          <cell r="O66866" t="str">
            <v/>
          </cell>
        </row>
        <row r="66867">
          <cell r="O66867" t="str">
            <v/>
          </cell>
        </row>
        <row r="66868">
          <cell r="O66868" t="str">
            <v/>
          </cell>
        </row>
        <row r="66869">
          <cell r="O66869" t="str">
            <v/>
          </cell>
        </row>
        <row r="66870">
          <cell r="O66870" t="str">
            <v/>
          </cell>
        </row>
        <row r="66871">
          <cell r="O66871" t="str">
            <v/>
          </cell>
        </row>
        <row r="66872">
          <cell r="O66872" t="str">
            <v/>
          </cell>
        </row>
        <row r="66873">
          <cell r="O66873" t="str">
            <v/>
          </cell>
        </row>
        <row r="66874">
          <cell r="O66874" t="str">
            <v/>
          </cell>
        </row>
        <row r="66875">
          <cell r="O66875" t="str">
            <v/>
          </cell>
        </row>
        <row r="66876">
          <cell r="O66876" t="str">
            <v/>
          </cell>
        </row>
        <row r="66877">
          <cell r="O66877" t="str">
            <v/>
          </cell>
        </row>
        <row r="66878">
          <cell r="O66878" t="str">
            <v/>
          </cell>
        </row>
        <row r="66879">
          <cell r="O66879" t="str">
            <v/>
          </cell>
        </row>
        <row r="66880">
          <cell r="O66880" t="str">
            <v/>
          </cell>
        </row>
        <row r="66881">
          <cell r="O66881" t="str">
            <v/>
          </cell>
        </row>
        <row r="66882">
          <cell r="O66882" t="str">
            <v/>
          </cell>
        </row>
        <row r="66883">
          <cell r="O66883" t="str">
            <v/>
          </cell>
        </row>
        <row r="66884">
          <cell r="O66884" t="str">
            <v/>
          </cell>
        </row>
        <row r="66885">
          <cell r="O66885" t="str">
            <v/>
          </cell>
        </row>
        <row r="66886">
          <cell r="O66886" t="str">
            <v/>
          </cell>
        </row>
        <row r="66887">
          <cell r="O66887" t="str">
            <v/>
          </cell>
        </row>
        <row r="66888">
          <cell r="O66888" t="str">
            <v/>
          </cell>
        </row>
        <row r="66889">
          <cell r="O66889" t="str">
            <v/>
          </cell>
        </row>
        <row r="66890">
          <cell r="O66890" t="str">
            <v/>
          </cell>
        </row>
        <row r="66891">
          <cell r="O66891" t="str">
            <v/>
          </cell>
        </row>
        <row r="66892">
          <cell r="O66892" t="str">
            <v/>
          </cell>
        </row>
        <row r="66893">
          <cell r="O66893" t="str">
            <v/>
          </cell>
        </row>
        <row r="66894">
          <cell r="O66894" t="str">
            <v/>
          </cell>
        </row>
        <row r="66895">
          <cell r="O66895" t="str">
            <v/>
          </cell>
        </row>
        <row r="66896">
          <cell r="O66896" t="str">
            <v/>
          </cell>
        </row>
        <row r="66897">
          <cell r="O66897" t="str">
            <v/>
          </cell>
        </row>
        <row r="66898">
          <cell r="O66898" t="str">
            <v/>
          </cell>
        </row>
        <row r="66899">
          <cell r="O66899" t="str">
            <v/>
          </cell>
        </row>
        <row r="66900">
          <cell r="O66900" t="str">
            <v/>
          </cell>
        </row>
        <row r="66901">
          <cell r="O66901" t="str">
            <v/>
          </cell>
        </row>
        <row r="66902">
          <cell r="O66902" t="str">
            <v/>
          </cell>
        </row>
        <row r="66903">
          <cell r="O66903" t="str">
            <v/>
          </cell>
        </row>
        <row r="66904">
          <cell r="O66904" t="str">
            <v/>
          </cell>
        </row>
        <row r="66905">
          <cell r="O66905" t="str">
            <v/>
          </cell>
        </row>
        <row r="66906">
          <cell r="O66906" t="str">
            <v/>
          </cell>
        </row>
        <row r="66907">
          <cell r="O66907" t="str">
            <v/>
          </cell>
        </row>
        <row r="66908">
          <cell r="O66908" t="str">
            <v/>
          </cell>
        </row>
        <row r="66909">
          <cell r="O66909" t="str">
            <v/>
          </cell>
        </row>
        <row r="66910">
          <cell r="O66910" t="str">
            <v/>
          </cell>
        </row>
        <row r="66911">
          <cell r="O66911" t="str">
            <v/>
          </cell>
        </row>
        <row r="66912">
          <cell r="O66912" t="str">
            <v/>
          </cell>
        </row>
        <row r="66913">
          <cell r="O66913" t="str">
            <v/>
          </cell>
        </row>
        <row r="66914">
          <cell r="O66914" t="str">
            <v/>
          </cell>
        </row>
        <row r="66915">
          <cell r="O66915" t="str">
            <v/>
          </cell>
        </row>
        <row r="66916">
          <cell r="O66916" t="str">
            <v/>
          </cell>
        </row>
        <row r="66917">
          <cell r="O66917" t="str">
            <v/>
          </cell>
        </row>
        <row r="66918">
          <cell r="O66918" t="str">
            <v/>
          </cell>
        </row>
        <row r="66919">
          <cell r="O66919" t="str">
            <v/>
          </cell>
        </row>
        <row r="66920">
          <cell r="O66920" t="str">
            <v/>
          </cell>
        </row>
        <row r="66921">
          <cell r="O66921" t="str">
            <v/>
          </cell>
        </row>
        <row r="66922">
          <cell r="O66922" t="str">
            <v/>
          </cell>
        </row>
        <row r="66923">
          <cell r="O66923" t="str">
            <v/>
          </cell>
        </row>
        <row r="66924">
          <cell r="O66924" t="str">
            <v/>
          </cell>
        </row>
        <row r="66925">
          <cell r="O66925" t="str">
            <v/>
          </cell>
        </row>
        <row r="66926">
          <cell r="O66926" t="str">
            <v/>
          </cell>
        </row>
        <row r="66927">
          <cell r="O66927" t="str">
            <v/>
          </cell>
        </row>
        <row r="66928">
          <cell r="O66928" t="str">
            <v/>
          </cell>
        </row>
        <row r="66929">
          <cell r="O66929" t="str">
            <v/>
          </cell>
        </row>
        <row r="66930">
          <cell r="O66930" t="str">
            <v/>
          </cell>
        </row>
        <row r="66931">
          <cell r="O66931" t="str">
            <v/>
          </cell>
        </row>
        <row r="66932">
          <cell r="O66932" t="str">
            <v/>
          </cell>
        </row>
        <row r="66933">
          <cell r="O66933" t="str">
            <v/>
          </cell>
        </row>
        <row r="66934">
          <cell r="O66934" t="str">
            <v/>
          </cell>
        </row>
        <row r="66935">
          <cell r="O66935" t="str">
            <v/>
          </cell>
        </row>
        <row r="66936">
          <cell r="O66936" t="str">
            <v/>
          </cell>
        </row>
        <row r="66937">
          <cell r="O66937" t="str">
            <v/>
          </cell>
        </row>
        <row r="66938">
          <cell r="O66938" t="str">
            <v/>
          </cell>
        </row>
        <row r="66939">
          <cell r="O66939" t="str">
            <v/>
          </cell>
        </row>
        <row r="66940">
          <cell r="O66940" t="str">
            <v/>
          </cell>
        </row>
        <row r="66941">
          <cell r="O66941" t="str">
            <v/>
          </cell>
        </row>
        <row r="66942">
          <cell r="O66942" t="str">
            <v/>
          </cell>
        </row>
        <row r="66943">
          <cell r="O66943" t="str">
            <v/>
          </cell>
        </row>
        <row r="66944">
          <cell r="O66944" t="str">
            <v/>
          </cell>
        </row>
        <row r="66945">
          <cell r="O66945" t="str">
            <v/>
          </cell>
        </row>
        <row r="66946">
          <cell r="O66946" t="str">
            <v/>
          </cell>
        </row>
        <row r="66947">
          <cell r="O66947" t="str">
            <v/>
          </cell>
        </row>
        <row r="66948">
          <cell r="O66948" t="str">
            <v/>
          </cell>
        </row>
        <row r="66949">
          <cell r="O66949" t="str">
            <v/>
          </cell>
        </row>
        <row r="66950">
          <cell r="O66950" t="str">
            <v/>
          </cell>
        </row>
        <row r="66951">
          <cell r="O66951" t="str">
            <v/>
          </cell>
        </row>
        <row r="66952">
          <cell r="O66952" t="str">
            <v/>
          </cell>
        </row>
        <row r="66953">
          <cell r="O66953" t="str">
            <v/>
          </cell>
        </row>
        <row r="66954">
          <cell r="O66954" t="str">
            <v/>
          </cell>
        </row>
        <row r="66955">
          <cell r="O66955" t="str">
            <v/>
          </cell>
        </row>
        <row r="66956">
          <cell r="O66956" t="str">
            <v/>
          </cell>
        </row>
        <row r="66957">
          <cell r="O66957" t="str">
            <v/>
          </cell>
        </row>
        <row r="66958">
          <cell r="O66958" t="str">
            <v/>
          </cell>
        </row>
        <row r="66959">
          <cell r="O66959" t="str">
            <v/>
          </cell>
        </row>
        <row r="66960">
          <cell r="O66960" t="str">
            <v/>
          </cell>
        </row>
        <row r="66961">
          <cell r="O66961" t="str">
            <v/>
          </cell>
        </row>
        <row r="66962">
          <cell r="O66962" t="str">
            <v/>
          </cell>
        </row>
        <row r="66963">
          <cell r="O66963" t="str">
            <v/>
          </cell>
        </row>
        <row r="66964">
          <cell r="O66964" t="str">
            <v/>
          </cell>
        </row>
        <row r="66965">
          <cell r="O66965" t="str">
            <v/>
          </cell>
        </row>
        <row r="66966">
          <cell r="O66966" t="str">
            <v/>
          </cell>
        </row>
        <row r="66967">
          <cell r="O66967" t="str">
            <v/>
          </cell>
        </row>
        <row r="66968">
          <cell r="O66968" t="str">
            <v/>
          </cell>
        </row>
        <row r="66969">
          <cell r="O66969" t="str">
            <v/>
          </cell>
        </row>
        <row r="66970">
          <cell r="O66970" t="str">
            <v/>
          </cell>
        </row>
        <row r="66971">
          <cell r="O66971" t="str">
            <v/>
          </cell>
        </row>
        <row r="66972">
          <cell r="O66972" t="str">
            <v/>
          </cell>
        </row>
        <row r="66973">
          <cell r="O66973" t="str">
            <v/>
          </cell>
        </row>
        <row r="66974">
          <cell r="O66974" t="str">
            <v/>
          </cell>
        </row>
        <row r="66975">
          <cell r="O66975" t="str">
            <v/>
          </cell>
        </row>
        <row r="66976">
          <cell r="O66976" t="str">
            <v/>
          </cell>
        </row>
        <row r="66977">
          <cell r="O66977" t="str">
            <v/>
          </cell>
        </row>
        <row r="66978">
          <cell r="O66978" t="str">
            <v/>
          </cell>
        </row>
        <row r="66979">
          <cell r="O66979" t="str">
            <v/>
          </cell>
        </row>
        <row r="66980">
          <cell r="O66980" t="str">
            <v/>
          </cell>
        </row>
        <row r="66981">
          <cell r="O66981" t="str">
            <v/>
          </cell>
        </row>
        <row r="66982">
          <cell r="O66982" t="str">
            <v/>
          </cell>
        </row>
        <row r="66983">
          <cell r="O66983" t="str">
            <v/>
          </cell>
        </row>
        <row r="66984">
          <cell r="O66984" t="str">
            <v/>
          </cell>
        </row>
        <row r="66985">
          <cell r="O66985" t="str">
            <v/>
          </cell>
        </row>
        <row r="66986">
          <cell r="O66986" t="str">
            <v/>
          </cell>
        </row>
        <row r="66987">
          <cell r="O66987" t="str">
            <v/>
          </cell>
        </row>
        <row r="66988">
          <cell r="O66988" t="str">
            <v/>
          </cell>
        </row>
        <row r="66989">
          <cell r="O66989" t="str">
            <v/>
          </cell>
        </row>
        <row r="66990">
          <cell r="O66990" t="str">
            <v/>
          </cell>
        </row>
        <row r="66991">
          <cell r="O66991" t="str">
            <v/>
          </cell>
        </row>
        <row r="66992">
          <cell r="O66992" t="str">
            <v/>
          </cell>
        </row>
        <row r="66993">
          <cell r="O66993" t="str">
            <v/>
          </cell>
        </row>
        <row r="66994">
          <cell r="O66994" t="str">
            <v/>
          </cell>
        </row>
        <row r="66995">
          <cell r="O66995" t="str">
            <v/>
          </cell>
        </row>
        <row r="66996">
          <cell r="O66996" t="str">
            <v/>
          </cell>
        </row>
        <row r="66997">
          <cell r="O66997" t="str">
            <v/>
          </cell>
        </row>
        <row r="66998">
          <cell r="O66998" t="str">
            <v/>
          </cell>
        </row>
        <row r="66999">
          <cell r="O66999" t="str">
            <v/>
          </cell>
        </row>
        <row r="67000">
          <cell r="O67000" t="str">
            <v/>
          </cell>
        </row>
        <row r="67001">
          <cell r="O67001" t="str">
            <v/>
          </cell>
        </row>
        <row r="67002">
          <cell r="O67002" t="str">
            <v/>
          </cell>
        </row>
        <row r="67003">
          <cell r="O67003" t="str">
            <v/>
          </cell>
        </row>
        <row r="67004">
          <cell r="O67004" t="str">
            <v/>
          </cell>
        </row>
        <row r="67005">
          <cell r="O67005" t="str">
            <v/>
          </cell>
        </row>
        <row r="67006">
          <cell r="O67006" t="str">
            <v/>
          </cell>
        </row>
        <row r="67007">
          <cell r="O67007" t="str">
            <v/>
          </cell>
        </row>
        <row r="67008">
          <cell r="O67008" t="str">
            <v/>
          </cell>
        </row>
        <row r="67009">
          <cell r="O67009" t="str">
            <v/>
          </cell>
        </row>
        <row r="67010">
          <cell r="O67010" t="str">
            <v/>
          </cell>
        </row>
        <row r="67011">
          <cell r="O67011" t="str">
            <v/>
          </cell>
        </row>
        <row r="67012">
          <cell r="O67012" t="str">
            <v/>
          </cell>
        </row>
        <row r="67013">
          <cell r="O67013" t="str">
            <v/>
          </cell>
        </row>
        <row r="67014">
          <cell r="O67014" t="str">
            <v/>
          </cell>
        </row>
        <row r="67015">
          <cell r="O67015" t="str">
            <v/>
          </cell>
        </row>
        <row r="67016">
          <cell r="O67016" t="str">
            <v/>
          </cell>
        </row>
        <row r="67017">
          <cell r="O67017" t="str">
            <v/>
          </cell>
        </row>
        <row r="67018">
          <cell r="O67018" t="str">
            <v/>
          </cell>
        </row>
        <row r="67019">
          <cell r="O67019" t="str">
            <v/>
          </cell>
        </row>
        <row r="67020">
          <cell r="O67020" t="str">
            <v/>
          </cell>
        </row>
        <row r="67021">
          <cell r="O67021" t="str">
            <v/>
          </cell>
        </row>
        <row r="67022">
          <cell r="O67022" t="str">
            <v/>
          </cell>
        </row>
        <row r="67023">
          <cell r="O67023" t="str">
            <v/>
          </cell>
        </row>
        <row r="67024">
          <cell r="O67024" t="str">
            <v/>
          </cell>
        </row>
        <row r="67025">
          <cell r="O67025" t="str">
            <v/>
          </cell>
        </row>
        <row r="67026">
          <cell r="O67026" t="str">
            <v/>
          </cell>
        </row>
        <row r="67027">
          <cell r="O67027" t="str">
            <v/>
          </cell>
        </row>
        <row r="67028">
          <cell r="O67028" t="str">
            <v/>
          </cell>
        </row>
        <row r="67029">
          <cell r="O67029" t="str">
            <v/>
          </cell>
        </row>
        <row r="67030">
          <cell r="O67030" t="str">
            <v/>
          </cell>
        </row>
        <row r="67031">
          <cell r="O67031" t="str">
            <v/>
          </cell>
        </row>
        <row r="67032">
          <cell r="O67032" t="str">
            <v/>
          </cell>
        </row>
        <row r="67033">
          <cell r="O67033" t="str">
            <v/>
          </cell>
        </row>
        <row r="67034">
          <cell r="O67034" t="str">
            <v/>
          </cell>
        </row>
        <row r="67035">
          <cell r="O67035" t="str">
            <v/>
          </cell>
        </row>
        <row r="67036">
          <cell r="O67036" t="str">
            <v/>
          </cell>
        </row>
        <row r="67037">
          <cell r="O67037" t="str">
            <v/>
          </cell>
        </row>
        <row r="67038">
          <cell r="O67038" t="str">
            <v/>
          </cell>
        </row>
        <row r="67039">
          <cell r="O67039" t="str">
            <v/>
          </cell>
        </row>
        <row r="67040">
          <cell r="O67040" t="str">
            <v/>
          </cell>
        </row>
        <row r="67041">
          <cell r="O67041" t="str">
            <v/>
          </cell>
        </row>
        <row r="67042">
          <cell r="O67042" t="str">
            <v/>
          </cell>
        </row>
        <row r="67043">
          <cell r="O67043" t="str">
            <v/>
          </cell>
        </row>
        <row r="67044">
          <cell r="O67044" t="str">
            <v/>
          </cell>
        </row>
        <row r="67045">
          <cell r="O67045" t="str">
            <v/>
          </cell>
        </row>
        <row r="67046">
          <cell r="O67046" t="str">
            <v/>
          </cell>
        </row>
        <row r="67047">
          <cell r="O67047" t="str">
            <v/>
          </cell>
        </row>
        <row r="67048">
          <cell r="O67048" t="str">
            <v/>
          </cell>
        </row>
        <row r="67049">
          <cell r="O67049" t="str">
            <v/>
          </cell>
        </row>
        <row r="67050">
          <cell r="O67050" t="str">
            <v/>
          </cell>
        </row>
        <row r="67051">
          <cell r="O67051" t="str">
            <v/>
          </cell>
        </row>
        <row r="67052">
          <cell r="O67052" t="str">
            <v/>
          </cell>
        </row>
        <row r="67053">
          <cell r="O67053" t="str">
            <v/>
          </cell>
        </row>
        <row r="67054">
          <cell r="O67054" t="str">
            <v/>
          </cell>
        </row>
        <row r="67055">
          <cell r="O67055" t="str">
            <v/>
          </cell>
        </row>
        <row r="67056">
          <cell r="O67056" t="str">
            <v/>
          </cell>
        </row>
        <row r="67057">
          <cell r="O67057" t="str">
            <v/>
          </cell>
        </row>
        <row r="67058">
          <cell r="O67058" t="str">
            <v/>
          </cell>
        </row>
        <row r="67059">
          <cell r="O67059" t="str">
            <v/>
          </cell>
        </row>
        <row r="67060">
          <cell r="O67060" t="str">
            <v/>
          </cell>
        </row>
        <row r="67061">
          <cell r="O67061" t="str">
            <v/>
          </cell>
        </row>
        <row r="67062">
          <cell r="O67062" t="str">
            <v/>
          </cell>
        </row>
        <row r="67063">
          <cell r="O67063" t="str">
            <v/>
          </cell>
        </row>
        <row r="67064">
          <cell r="O67064" t="str">
            <v/>
          </cell>
        </row>
        <row r="67065">
          <cell r="O67065" t="str">
            <v/>
          </cell>
        </row>
        <row r="67066">
          <cell r="O67066" t="str">
            <v/>
          </cell>
        </row>
        <row r="67067">
          <cell r="O67067" t="str">
            <v/>
          </cell>
        </row>
        <row r="67068">
          <cell r="O67068" t="str">
            <v/>
          </cell>
        </row>
        <row r="67069">
          <cell r="O67069" t="str">
            <v/>
          </cell>
        </row>
        <row r="67070">
          <cell r="O67070" t="str">
            <v/>
          </cell>
        </row>
        <row r="67071">
          <cell r="O67071" t="str">
            <v/>
          </cell>
        </row>
        <row r="67072">
          <cell r="O67072" t="str">
            <v/>
          </cell>
        </row>
        <row r="67073">
          <cell r="O67073" t="str">
            <v/>
          </cell>
        </row>
        <row r="67074">
          <cell r="O67074" t="str">
            <v/>
          </cell>
        </row>
        <row r="67075">
          <cell r="O67075" t="str">
            <v/>
          </cell>
        </row>
        <row r="67076">
          <cell r="O67076" t="str">
            <v/>
          </cell>
        </row>
        <row r="67077">
          <cell r="O67077" t="str">
            <v/>
          </cell>
        </row>
        <row r="67078">
          <cell r="O67078" t="str">
            <v/>
          </cell>
        </row>
        <row r="67079">
          <cell r="O67079" t="str">
            <v/>
          </cell>
        </row>
        <row r="67080">
          <cell r="O67080" t="str">
            <v/>
          </cell>
        </row>
        <row r="67081">
          <cell r="O67081" t="str">
            <v/>
          </cell>
        </row>
        <row r="67082">
          <cell r="O67082" t="str">
            <v/>
          </cell>
        </row>
        <row r="67083">
          <cell r="O67083" t="str">
            <v/>
          </cell>
        </row>
        <row r="67084">
          <cell r="O67084" t="str">
            <v/>
          </cell>
        </row>
        <row r="67085">
          <cell r="O67085" t="str">
            <v/>
          </cell>
        </row>
        <row r="67086">
          <cell r="O67086" t="str">
            <v/>
          </cell>
        </row>
        <row r="67087">
          <cell r="O67087" t="str">
            <v/>
          </cell>
        </row>
        <row r="67088">
          <cell r="O67088" t="str">
            <v/>
          </cell>
        </row>
        <row r="67089">
          <cell r="O67089" t="str">
            <v/>
          </cell>
        </row>
        <row r="67090">
          <cell r="O67090" t="str">
            <v/>
          </cell>
        </row>
        <row r="67091">
          <cell r="O67091" t="str">
            <v/>
          </cell>
        </row>
        <row r="67092">
          <cell r="O67092" t="str">
            <v/>
          </cell>
        </row>
        <row r="67093">
          <cell r="O67093" t="str">
            <v/>
          </cell>
        </row>
        <row r="67094">
          <cell r="O67094" t="str">
            <v/>
          </cell>
        </row>
        <row r="67095">
          <cell r="O67095" t="str">
            <v/>
          </cell>
        </row>
        <row r="67096">
          <cell r="O67096" t="str">
            <v/>
          </cell>
        </row>
        <row r="67097">
          <cell r="O67097" t="str">
            <v/>
          </cell>
        </row>
        <row r="67098">
          <cell r="O67098" t="str">
            <v/>
          </cell>
        </row>
        <row r="67099">
          <cell r="O67099" t="str">
            <v/>
          </cell>
        </row>
        <row r="67100">
          <cell r="O67100" t="str">
            <v/>
          </cell>
        </row>
        <row r="67101">
          <cell r="O67101" t="str">
            <v/>
          </cell>
        </row>
        <row r="67102">
          <cell r="O67102" t="str">
            <v/>
          </cell>
        </row>
        <row r="67103">
          <cell r="O67103" t="str">
            <v/>
          </cell>
        </row>
        <row r="67104">
          <cell r="O67104" t="str">
            <v/>
          </cell>
        </row>
        <row r="67105">
          <cell r="O67105" t="str">
            <v/>
          </cell>
        </row>
        <row r="67106">
          <cell r="O67106" t="str">
            <v/>
          </cell>
        </row>
        <row r="67107">
          <cell r="O67107" t="str">
            <v/>
          </cell>
        </row>
        <row r="67108">
          <cell r="O67108" t="str">
            <v/>
          </cell>
        </row>
        <row r="67109">
          <cell r="O67109" t="str">
            <v/>
          </cell>
        </row>
        <row r="67110">
          <cell r="O67110" t="str">
            <v/>
          </cell>
        </row>
        <row r="67111">
          <cell r="O67111" t="str">
            <v/>
          </cell>
        </row>
        <row r="67112">
          <cell r="O67112" t="str">
            <v/>
          </cell>
        </row>
        <row r="67113">
          <cell r="O67113" t="str">
            <v/>
          </cell>
        </row>
        <row r="67114">
          <cell r="O67114" t="str">
            <v/>
          </cell>
        </row>
        <row r="67115">
          <cell r="O67115" t="str">
            <v/>
          </cell>
        </row>
        <row r="67116">
          <cell r="O67116" t="str">
            <v/>
          </cell>
        </row>
        <row r="67117">
          <cell r="O67117" t="str">
            <v/>
          </cell>
        </row>
        <row r="67118">
          <cell r="O67118" t="str">
            <v/>
          </cell>
        </row>
        <row r="67119">
          <cell r="O67119" t="str">
            <v/>
          </cell>
        </row>
        <row r="67120">
          <cell r="O67120" t="str">
            <v/>
          </cell>
        </row>
        <row r="67121">
          <cell r="O67121" t="str">
            <v/>
          </cell>
        </row>
        <row r="67122">
          <cell r="O67122" t="str">
            <v/>
          </cell>
        </row>
        <row r="67123">
          <cell r="O67123" t="str">
            <v/>
          </cell>
        </row>
        <row r="67124">
          <cell r="O67124" t="str">
            <v/>
          </cell>
        </row>
        <row r="67125">
          <cell r="O67125" t="str">
            <v/>
          </cell>
        </row>
        <row r="67126">
          <cell r="O67126" t="str">
            <v/>
          </cell>
        </row>
        <row r="67127">
          <cell r="O67127" t="str">
            <v/>
          </cell>
        </row>
        <row r="67128">
          <cell r="O67128" t="str">
            <v/>
          </cell>
        </row>
        <row r="67129">
          <cell r="O67129" t="str">
            <v/>
          </cell>
        </row>
        <row r="67130">
          <cell r="O67130" t="str">
            <v/>
          </cell>
        </row>
        <row r="67131">
          <cell r="O67131" t="str">
            <v/>
          </cell>
        </row>
        <row r="67132">
          <cell r="O67132" t="str">
            <v/>
          </cell>
        </row>
        <row r="67133">
          <cell r="O67133" t="str">
            <v/>
          </cell>
        </row>
        <row r="67134">
          <cell r="O67134" t="str">
            <v/>
          </cell>
        </row>
        <row r="67135">
          <cell r="O67135" t="str">
            <v/>
          </cell>
        </row>
        <row r="67136">
          <cell r="O67136" t="str">
            <v/>
          </cell>
        </row>
        <row r="67137">
          <cell r="O67137" t="str">
            <v/>
          </cell>
        </row>
        <row r="67138">
          <cell r="O67138" t="str">
            <v/>
          </cell>
        </row>
        <row r="67139">
          <cell r="O67139" t="str">
            <v/>
          </cell>
        </row>
        <row r="67140">
          <cell r="O67140" t="str">
            <v/>
          </cell>
        </row>
        <row r="67141">
          <cell r="O67141" t="str">
            <v/>
          </cell>
        </row>
        <row r="67142">
          <cell r="O67142" t="str">
            <v/>
          </cell>
        </row>
        <row r="67143">
          <cell r="O67143" t="str">
            <v/>
          </cell>
        </row>
        <row r="67144">
          <cell r="O67144" t="str">
            <v/>
          </cell>
        </row>
        <row r="67145">
          <cell r="O67145" t="str">
            <v/>
          </cell>
        </row>
        <row r="67146">
          <cell r="O67146" t="str">
            <v/>
          </cell>
        </row>
        <row r="67147">
          <cell r="O67147" t="str">
            <v/>
          </cell>
        </row>
        <row r="67148">
          <cell r="O67148" t="str">
            <v/>
          </cell>
        </row>
        <row r="67149">
          <cell r="O67149" t="str">
            <v/>
          </cell>
        </row>
        <row r="67150">
          <cell r="O67150" t="str">
            <v/>
          </cell>
        </row>
        <row r="67151">
          <cell r="O67151" t="str">
            <v/>
          </cell>
        </row>
        <row r="67152">
          <cell r="O67152" t="str">
            <v/>
          </cell>
        </row>
        <row r="67153">
          <cell r="O67153" t="str">
            <v/>
          </cell>
        </row>
        <row r="67154">
          <cell r="O67154" t="str">
            <v/>
          </cell>
        </row>
        <row r="67155">
          <cell r="O67155" t="str">
            <v/>
          </cell>
        </row>
        <row r="67156">
          <cell r="O67156" t="str">
            <v/>
          </cell>
        </row>
        <row r="67157">
          <cell r="O67157" t="str">
            <v/>
          </cell>
        </row>
        <row r="67158">
          <cell r="O67158" t="str">
            <v/>
          </cell>
        </row>
        <row r="67159">
          <cell r="O67159" t="str">
            <v/>
          </cell>
        </row>
        <row r="67160">
          <cell r="O67160" t="str">
            <v/>
          </cell>
        </row>
        <row r="67161">
          <cell r="O67161" t="str">
            <v/>
          </cell>
        </row>
        <row r="67162">
          <cell r="O67162" t="str">
            <v/>
          </cell>
        </row>
        <row r="67163">
          <cell r="O67163" t="str">
            <v/>
          </cell>
        </row>
        <row r="67164">
          <cell r="O67164" t="str">
            <v/>
          </cell>
        </row>
        <row r="67165">
          <cell r="O67165" t="str">
            <v/>
          </cell>
        </row>
        <row r="67166">
          <cell r="O67166" t="str">
            <v/>
          </cell>
        </row>
        <row r="67167">
          <cell r="O67167" t="str">
            <v/>
          </cell>
        </row>
        <row r="67168">
          <cell r="O67168" t="str">
            <v/>
          </cell>
        </row>
        <row r="67169">
          <cell r="O67169" t="str">
            <v/>
          </cell>
        </row>
        <row r="67170">
          <cell r="O67170" t="str">
            <v/>
          </cell>
        </row>
        <row r="67171">
          <cell r="O67171" t="str">
            <v/>
          </cell>
        </row>
        <row r="67172">
          <cell r="O67172" t="str">
            <v/>
          </cell>
        </row>
        <row r="67173">
          <cell r="O67173" t="str">
            <v/>
          </cell>
        </row>
        <row r="67174">
          <cell r="O67174" t="str">
            <v/>
          </cell>
        </row>
        <row r="67175">
          <cell r="O67175" t="str">
            <v/>
          </cell>
        </row>
        <row r="67176">
          <cell r="O67176" t="str">
            <v/>
          </cell>
        </row>
        <row r="67177">
          <cell r="O67177" t="str">
            <v/>
          </cell>
        </row>
        <row r="67178">
          <cell r="O67178" t="str">
            <v/>
          </cell>
        </row>
        <row r="67179">
          <cell r="O67179" t="str">
            <v/>
          </cell>
        </row>
        <row r="67180">
          <cell r="O67180" t="str">
            <v/>
          </cell>
        </row>
        <row r="67181">
          <cell r="O67181" t="str">
            <v/>
          </cell>
        </row>
        <row r="67182">
          <cell r="O67182" t="str">
            <v/>
          </cell>
        </row>
        <row r="67183">
          <cell r="O67183" t="str">
            <v/>
          </cell>
        </row>
        <row r="67184">
          <cell r="O67184" t="str">
            <v/>
          </cell>
        </row>
        <row r="67185">
          <cell r="O67185" t="str">
            <v/>
          </cell>
        </row>
        <row r="67186">
          <cell r="O67186" t="str">
            <v/>
          </cell>
        </row>
        <row r="67187">
          <cell r="O67187" t="str">
            <v/>
          </cell>
        </row>
        <row r="67188">
          <cell r="O67188" t="str">
            <v/>
          </cell>
        </row>
        <row r="67189">
          <cell r="O67189" t="str">
            <v/>
          </cell>
        </row>
        <row r="67190">
          <cell r="O67190" t="str">
            <v/>
          </cell>
        </row>
        <row r="67191">
          <cell r="O67191" t="str">
            <v/>
          </cell>
        </row>
        <row r="67192">
          <cell r="O67192" t="str">
            <v/>
          </cell>
        </row>
        <row r="67193">
          <cell r="O67193" t="str">
            <v/>
          </cell>
        </row>
        <row r="67194">
          <cell r="O67194" t="str">
            <v/>
          </cell>
        </row>
        <row r="67195">
          <cell r="O67195" t="str">
            <v/>
          </cell>
        </row>
        <row r="67196">
          <cell r="O67196" t="str">
            <v/>
          </cell>
        </row>
        <row r="67197">
          <cell r="O67197" t="str">
            <v/>
          </cell>
        </row>
        <row r="67198">
          <cell r="O67198" t="str">
            <v/>
          </cell>
        </row>
        <row r="67199">
          <cell r="O67199" t="str">
            <v/>
          </cell>
        </row>
        <row r="67200">
          <cell r="O67200" t="str">
            <v/>
          </cell>
        </row>
        <row r="67201">
          <cell r="O67201" t="str">
            <v/>
          </cell>
        </row>
        <row r="67202">
          <cell r="O67202" t="str">
            <v/>
          </cell>
        </row>
        <row r="67203">
          <cell r="O67203" t="str">
            <v/>
          </cell>
        </row>
        <row r="67204">
          <cell r="O67204" t="str">
            <v/>
          </cell>
        </row>
        <row r="67205">
          <cell r="O67205" t="str">
            <v/>
          </cell>
        </row>
        <row r="67206">
          <cell r="O67206" t="str">
            <v/>
          </cell>
        </row>
        <row r="67207">
          <cell r="O67207" t="str">
            <v/>
          </cell>
        </row>
        <row r="67208">
          <cell r="O67208" t="str">
            <v/>
          </cell>
        </row>
        <row r="67209">
          <cell r="O67209" t="str">
            <v/>
          </cell>
        </row>
        <row r="67210">
          <cell r="O67210" t="str">
            <v/>
          </cell>
        </row>
        <row r="67211">
          <cell r="O67211" t="str">
            <v/>
          </cell>
        </row>
        <row r="67212">
          <cell r="O67212" t="str">
            <v/>
          </cell>
        </row>
        <row r="67213">
          <cell r="O67213" t="str">
            <v/>
          </cell>
        </row>
        <row r="67214">
          <cell r="O67214" t="str">
            <v/>
          </cell>
        </row>
        <row r="67215">
          <cell r="O67215" t="str">
            <v/>
          </cell>
        </row>
        <row r="67216">
          <cell r="O67216" t="str">
            <v/>
          </cell>
        </row>
        <row r="67217">
          <cell r="O67217" t="str">
            <v/>
          </cell>
        </row>
        <row r="67218">
          <cell r="O67218" t="str">
            <v/>
          </cell>
        </row>
        <row r="67219">
          <cell r="O67219" t="str">
            <v/>
          </cell>
        </row>
        <row r="67220">
          <cell r="O67220" t="str">
            <v/>
          </cell>
        </row>
        <row r="67221">
          <cell r="O67221" t="str">
            <v/>
          </cell>
        </row>
        <row r="67222">
          <cell r="O67222" t="str">
            <v/>
          </cell>
        </row>
        <row r="67223">
          <cell r="O67223" t="str">
            <v/>
          </cell>
        </row>
        <row r="67224">
          <cell r="O67224" t="str">
            <v/>
          </cell>
        </row>
        <row r="67225">
          <cell r="O67225" t="str">
            <v/>
          </cell>
        </row>
        <row r="67226">
          <cell r="O67226" t="str">
            <v/>
          </cell>
        </row>
        <row r="67227">
          <cell r="O67227" t="str">
            <v/>
          </cell>
        </row>
        <row r="67228">
          <cell r="O67228" t="str">
            <v/>
          </cell>
        </row>
        <row r="67229">
          <cell r="O67229" t="str">
            <v/>
          </cell>
        </row>
        <row r="67230">
          <cell r="O67230" t="str">
            <v/>
          </cell>
        </row>
        <row r="67231">
          <cell r="O67231" t="str">
            <v/>
          </cell>
        </row>
        <row r="67232">
          <cell r="O67232" t="str">
            <v/>
          </cell>
        </row>
        <row r="67233">
          <cell r="O67233" t="str">
            <v/>
          </cell>
        </row>
        <row r="67234">
          <cell r="O67234" t="str">
            <v/>
          </cell>
        </row>
        <row r="67235">
          <cell r="O67235" t="str">
            <v/>
          </cell>
        </row>
        <row r="67236">
          <cell r="O67236" t="str">
            <v/>
          </cell>
        </row>
        <row r="67237">
          <cell r="O67237" t="str">
            <v/>
          </cell>
        </row>
        <row r="67238">
          <cell r="O67238" t="str">
            <v/>
          </cell>
        </row>
        <row r="67239">
          <cell r="O67239" t="str">
            <v/>
          </cell>
        </row>
        <row r="67240">
          <cell r="O67240" t="str">
            <v/>
          </cell>
        </row>
        <row r="67241">
          <cell r="O67241" t="str">
            <v/>
          </cell>
        </row>
        <row r="67242">
          <cell r="O67242" t="str">
            <v/>
          </cell>
        </row>
        <row r="67243">
          <cell r="O67243" t="str">
            <v/>
          </cell>
        </row>
        <row r="67244">
          <cell r="O67244" t="str">
            <v/>
          </cell>
        </row>
        <row r="67245">
          <cell r="O67245" t="str">
            <v/>
          </cell>
        </row>
        <row r="67246">
          <cell r="O67246" t="str">
            <v/>
          </cell>
        </row>
        <row r="67247">
          <cell r="O67247" t="str">
            <v/>
          </cell>
        </row>
        <row r="67248">
          <cell r="O67248" t="str">
            <v/>
          </cell>
        </row>
        <row r="67249">
          <cell r="O67249" t="str">
            <v/>
          </cell>
        </row>
        <row r="67250">
          <cell r="O67250" t="str">
            <v/>
          </cell>
        </row>
        <row r="67251">
          <cell r="O67251" t="str">
            <v/>
          </cell>
        </row>
        <row r="67252">
          <cell r="O67252" t="str">
            <v/>
          </cell>
        </row>
        <row r="67253">
          <cell r="O67253" t="str">
            <v/>
          </cell>
        </row>
        <row r="67254">
          <cell r="O67254" t="str">
            <v/>
          </cell>
        </row>
        <row r="67255">
          <cell r="O67255" t="str">
            <v/>
          </cell>
        </row>
        <row r="67256">
          <cell r="O67256" t="str">
            <v/>
          </cell>
        </row>
        <row r="67257">
          <cell r="O67257" t="str">
            <v/>
          </cell>
        </row>
        <row r="67258">
          <cell r="O67258" t="str">
            <v/>
          </cell>
        </row>
        <row r="67259">
          <cell r="O67259" t="str">
            <v/>
          </cell>
        </row>
        <row r="67260">
          <cell r="O67260" t="str">
            <v/>
          </cell>
        </row>
        <row r="67261">
          <cell r="O67261" t="str">
            <v/>
          </cell>
        </row>
        <row r="67262">
          <cell r="O67262" t="str">
            <v/>
          </cell>
        </row>
        <row r="67263">
          <cell r="O67263" t="str">
            <v/>
          </cell>
        </row>
        <row r="67264">
          <cell r="O67264" t="str">
            <v/>
          </cell>
        </row>
        <row r="67265">
          <cell r="O67265" t="str">
            <v/>
          </cell>
        </row>
        <row r="67266">
          <cell r="O67266" t="str">
            <v/>
          </cell>
        </row>
        <row r="67267">
          <cell r="O67267" t="str">
            <v/>
          </cell>
        </row>
        <row r="67268">
          <cell r="O67268" t="str">
            <v/>
          </cell>
        </row>
        <row r="67269">
          <cell r="O67269" t="str">
            <v/>
          </cell>
        </row>
        <row r="67270">
          <cell r="O67270" t="str">
            <v/>
          </cell>
        </row>
        <row r="67271">
          <cell r="O67271" t="str">
            <v/>
          </cell>
        </row>
        <row r="67272">
          <cell r="O67272" t="str">
            <v/>
          </cell>
        </row>
        <row r="67273">
          <cell r="O67273" t="str">
            <v/>
          </cell>
        </row>
        <row r="67274">
          <cell r="O67274" t="str">
            <v/>
          </cell>
        </row>
        <row r="67275">
          <cell r="O67275" t="str">
            <v/>
          </cell>
        </row>
        <row r="67276">
          <cell r="O67276" t="str">
            <v/>
          </cell>
        </row>
        <row r="67277">
          <cell r="O67277" t="str">
            <v/>
          </cell>
        </row>
        <row r="67278">
          <cell r="O67278" t="str">
            <v/>
          </cell>
        </row>
        <row r="67279">
          <cell r="O67279" t="str">
            <v/>
          </cell>
        </row>
        <row r="67280">
          <cell r="O67280" t="str">
            <v/>
          </cell>
        </row>
        <row r="67281">
          <cell r="O67281" t="str">
            <v/>
          </cell>
        </row>
        <row r="67282">
          <cell r="O67282" t="str">
            <v/>
          </cell>
        </row>
        <row r="67283">
          <cell r="O67283" t="str">
            <v/>
          </cell>
        </row>
        <row r="67284">
          <cell r="O67284" t="str">
            <v/>
          </cell>
        </row>
        <row r="67285">
          <cell r="O67285" t="str">
            <v/>
          </cell>
        </row>
        <row r="67286">
          <cell r="O67286" t="str">
            <v/>
          </cell>
        </row>
        <row r="67287">
          <cell r="O67287" t="str">
            <v/>
          </cell>
        </row>
        <row r="67288">
          <cell r="O67288" t="str">
            <v/>
          </cell>
        </row>
        <row r="67289">
          <cell r="O67289" t="str">
            <v/>
          </cell>
        </row>
        <row r="67290">
          <cell r="O67290" t="str">
            <v/>
          </cell>
        </row>
        <row r="67291">
          <cell r="O67291" t="str">
            <v/>
          </cell>
        </row>
        <row r="67292">
          <cell r="O67292" t="str">
            <v/>
          </cell>
        </row>
        <row r="67293">
          <cell r="O67293" t="str">
            <v/>
          </cell>
        </row>
        <row r="67294">
          <cell r="O67294" t="str">
            <v/>
          </cell>
        </row>
        <row r="67295">
          <cell r="O67295" t="str">
            <v/>
          </cell>
        </row>
        <row r="67296">
          <cell r="O67296" t="str">
            <v/>
          </cell>
        </row>
        <row r="67297">
          <cell r="O67297" t="str">
            <v/>
          </cell>
        </row>
        <row r="67298">
          <cell r="O67298" t="str">
            <v/>
          </cell>
        </row>
        <row r="67299">
          <cell r="O67299" t="str">
            <v/>
          </cell>
        </row>
        <row r="67300">
          <cell r="O67300" t="str">
            <v/>
          </cell>
        </row>
        <row r="67301">
          <cell r="O67301" t="str">
            <v/>
          </cell>
        </row>
        <row r="67302">
          <cell r="O67302" t="str">
            <v/>
          </cell>
        </row>
        <row r="67303">
          <cell r="O67303" t="str">
            <v/>
          </cell>
        </row>
        <row r="67304">
          <cell r="O67304" t="str">
            <v/>
          </cell>
        </row>
        <row r="67305">
          <cell r="O67305" t="str">
            <v/>
          </cell>
        </row>
        <row r="67306">
          <cell r="O67306" t="str">
            <v/>
          </cell>
        </row>
        <row r="67307">
          <cell r="O67307" t="str">
            <v/>
          </cell>
        </row>
        <row r="67308">
          <cell r="O67308" t="str">
            <v/>
          </cell>
        </row>
        <row r="67309">
          <cell r="O67309" t="str">
            <v/>
          </cell>
        </row>
        <row r="67310">
          <cell r="O67310" t="str">
            <v/>
          </cell>
        </row>
        <row r="67311">
          <cell r="O67311" t="str">
            <v/>
          </cell>
        </row>
        <row r="67312">
          <cell r="O67312" t="str">
            <v/>
          </cell>
        </row>
        <row r="67313">
          <cell r="O67313" t="str">
            <v/>
          </cell>
        </row>
        <row r="67314">
          <cell r="O67314" t="str">
            <v/>
          </cell>
        </row>
        <row r="67315">
          <cell r="O67315" t="str">
            <v/>
          </cell>
        </row>
        <row r="67316">
          <cell r="O67316" t="str">
            <v/>
          </cell>
        </row>
        <row r="67317">
          <cell r="O67317" t="str">
            <v/>
          </cell>
        </row>
        <row r="67318">
          <cell r="O67318" t="str">
            <v/>
          </cell>
        </row>
        <row r="67319">
          <cell r="O67319" t="str">
            <v/>
          </cell>
        </row>
        <row r="67320">
          <cell r="O67320" t="str">
            <v/>
          </cell>
        </row>
        <row r="67321">
          <cell r="O67321" t="str">
            <v/>
          </cell>
        </row>
        <row r="67322">
          <cell r="O67322" t="str">
            <v/>
          </cell>
        </row>
        <row r="67323">
          <cell r="O67323" t="str">
            <v/>
          </cell>
        </row>
        <row r="67324">
          <cell r="O67324" t="str">
            <v/>
          </cell>
        </row>
        <row r="67325">
          <cell r="O67325" t="str">
            <v/>
          </cell>
        </row>
        <row r="67326">
          <cell r="O67326" t="str">
            <v/>
          </cell>
        </row>
        <row r="67327">
          <cell r="O67327" t="str">
            <v/>
          </cell>
        </row>
        <row r="67328">
          <cell r="O67328" t="str">
            <v/>
          </cell>
        </row>
        <row r="67329">
          <cell r="O67329" t="str">
            <v/>
          </cell>
        </row>
        <row r="67330">
          <cell r="O67330" t="str">
            <v/>
          </cell>
        </row>
        <row r="67331">
          <cell r="O67331" t="str">
            <v/>
          </cell>
        </row>
        <row r="67332">
          <cell r="O67332" t="str">
            <v/>
          </cell>
        </row>
        <row r="67333">
          <cell r="O67333" t="str">
            <v/>
          </cell>
        </row>
        <row r="67334">
          <cell r="O67334" t="str">
            <v/>
          </cell>
        </row>
        <row r="67335">
          <cell r="O67335" t="str">
            <v/>
          </cell>
        </row>
        <row r="67336">
          <cell r="O67336" t="str">
            <v/>
          </cell>
        </row>
        <row r="67337">
          <cell r="O67337" t="str">
            <v/>
          </cell>
        </row>
        <row r="67338">
          <cell r="O67338" t="str">
            <v/>
          </cell>
        </row>
        <row r="67339">
          <cell r="O67339" t="str">
            <v/>
          </cell>
        </row>
        <row r="67340">
          <cell r="O67340" t="str">
            <v/>
          </cell>
        </row>
        <row r="67341">
          <cell r="O67341" t="str">
            <v/>
          </cell>
        </row>
        <row r="67342">
          <cell r="O67342" t="str">
            <v/>
          </cell>
        </row>
        <row r="67343">
          <cell r="O67343" t="str">
            <v/>
          </cell>
        </row>
        <row r="67344">
          <cell r="O67344" t="str">
            <v/>
          </cell>
        </row>
        <row r="67345">
          <cell r="O67345" t="str">
            <v/>
          </cell>
        </row>
        <row r="67346">
          <cell r="O67346" t="str">
            <v/>
          </cell>
        </row>
        <row r="67347">
          <cell r="O67347" t="str">
            <v/>
          </cell>
        </row>
        <row r="67348">
          <cell r="O67348" t="str">
            <v/>
          </cell>
        </row>
        <row r="67349">
          <cell r="O67349" t="str">
            <v/>
          </cell>
        </row>
        <row r="67350">
          <cell r="O67350" t="str">
            <v/>
          </cell>
        </row>
        <row r="67351">
          <cell r="O67351" t="str">
            <v/>
          </cell>
        </row>
        <row r="67352">
          <cell r="O67352" t="str">
            <v/>
          </cell>
        </row>
        <row r="67353">
          <cell r="O67353" t="str">
            <v/>
          </cell>
        </row>
        <row r="67354">
          <cell r="O67354" t="str">
            <v/>
          </cell>
        </row>
        <row r="67355">
          <cell r="O67355" t="str">
            <v/>
          </cell>
        </row>
        <row r="67356">
          <cell r="O67356" t="str">
            <v/>
          </cell>
        </row>
        <row r="67357">
          <cell r="O67357" t="str">
            <v/>
          </cell>
        </row>
        <row r="67358">
          <cell r="O67358" t="str">
            <v/>
          </cell>
        </row>
        <row r="67359">
          <cell r="O67359" t="str">
            <v/>
          </cell>
        </row>
        <row r="67360">
          <cell r="O67360" t="str">
            <v/>
          </cell>
        </row>
        <row r="67361">
          <cell r="O67361" t="str">
            <v/>
          </cell>
        </row>
        <row r="67362">
          <cell r="O67362" t="str">
            <v/>
          </cell>
        </row>
        <row r="67363">
          <cell r="O67363" t="str">
            <v/>
          </cell>
        </row>
        <row r="67364">
          <cell r="O67364" t="str">
            <v/>
          </cell>
        </row>
        <row r="67365">
          <cell r="O67365" t="str">
            <v/>
          </cell>
        </row>
        <row r="67366">
          <cell r="O67366" t="str">
            <v/>
          </cell>
        </row>
        <row r="67367">
          <cell r="O67367" t="str">
            <v/>
          </cell>
        </row>
        <row r="67368">
          <cell r="O67368" t="str">
            <v/>
          </cell>
        </row>
        <row r="67369">
          <cell r="O67369" t="str">
            <v/>
          </cell>
        </row>
        <row r="67370">
          <cell r="O67370" t="str">
            <v/>
          </cell>
        </row>
        <row r="67371">
          <cell r="O67371" t="str">
            <v/>
          </cell>
        </row>
        <row r="67372">
          <cell r="O67372" t="str">
            <v/>
          </cell>
        </row>
        <row r="67373">
          <cell r="O67373" t="str">
            <v/>
          </cell>
        </row>
        <row r="67374">
          <cell r="O67374" t="str">
            <v/>
          </cell>
        </row>
        <row r="67375">
          <cell r="O67375" t="str">
            <v/>
          </cell>
        </row>
        <row r="67376">
          <cell r="O67376" t="str">
            <v/>
          </cell>
        </row>
        <row r="67377">
          <cell r="O67377" t="str">
            <v/>
          </cell>
        </row>
        <row r="67378">
          <cell r="O67378" t="str">
            <v/>
          </cell>
        </row>
        <row r="67379">
          <cell r="O67379" t="str">
            <v/>
          </cell>
        </row>
        <row r="67380">
          <cell r="O67380" t="str">
            <v/>
          </cell>
        </row>
        <row r="67381">
          <cell r="O67381" t="str">
            <v/>
          </cell>
        </row>
        <row r="67382">
          <cell r="O67382" t="str">
            <v/>
          </cell>
        </row>
        <row r="67383">
          <cell r="O67383" t="str">
            <v/>
          </cell>
        </row>
        <row r="67384">
          <cell r="O67384" t="str">
            <v/>
          </cell>
        </row>
        <row r="67385">
          <cell r="O67385" t="str">
            <v/>
          </cell>
        </row>
        <row r="67386">
          <cell r="O67386" t="str">
            <v/>
          </cell>
        </row>
        <row r="67387">
          <cell r="O67387" t="str">
            <v/>
          </cell>
        </row>
        <row r="67388">
          <cell r="O67388" t="str">
            <v/>
          </cell>
        </row>
        <row r="67389">
          <cell r="O67389" t="str">
            <v/>
          </cell>
        </row>
        <row r="67390">
          <cell r="O67390" t="str">
            <v/>
          </cell>
        </row>
        <row r="67391">
          <cell r="O67391" t="str">
            <v/>
          </cell>
        </row>
        <row r="67392">
          <cell r="O67392" t="str">
            <v/>
          </cell>
        </row>
        <row r="67393">
          <cell r="O67393" t="str">
            <v/>
          </cell>
        </row>
        <row r="67394">
          <cell r="O67394" t="str">
            <v/>
          </cell>
        </row>
        <row r="67395">
          <cell r="O67395" t="str">
            <v/>
          </cell>
        </row>
        <row r="67396">
          <cell r="O67396" t="str">
            <v/>
          </cell>
        </row>
        <row r="67397">
          <cell r="O67397" t="str">
            <v/>
          </cell>
        </row>
        <row r="67398">
          <cell r="O67398" t="str">
            <v/>
          </cell>
        </row>
        <row r="67399">
          <cell r="O67399" t="str">
            <v/>
          </cell>
        </row>
        <row r="67400">
          <cell r="O67400" t="str">
            <v/>
          </cell>
        </row>
        <row r="67401">
          <cell r="O67401" t="str">
            <v/>
          </cell>
        </row>
        <row r="67402">
          <cell r="O67402" t="str">
            <v/>
          </cell>
        </row>
        <row r="67403">
          <cell r="O67403" t="str">
            <v/>
          </cell>
        </row>
        <row r="67404">
          <cell r="O67404" t="str">
            <v/>
          </cell>
        </row>
        <row r="67405">
          <cell r="O67405" t="str">
            <v/>
          </cell>
        </row>
        <row r="67406">
          <cell r="O67406" t="str">
            <v/>
          </cell>
        </row>
        <row r="67407">
          <cell r="O67407" t="str">
            <v/>
          </cell>
        </row>
        <row r="67408">
          <cell r="O67408" t="str">
            <v/>
          </cell>
        </row>
        <row r="67409">
          <cell r="O67409" t="str">
            <v/>
          </cell>
        </row>
        <row r="67410">
          <cell r="O67410" t="str">
            <v/>
          </cell>
        </row>
        <row r="67411">
          <cell r="O67411" t="str">
            <v/>
          </cell>
        </row>
        <row r="67412">
          <cell r="O67412" t="str">
            <v/>
          </cell>
        </row>
        <row r="67413">
          <cell r="O67413" t="str">
            <v/>
          </cell>
        </row>
        <row r="67414">
          <cell r="O67414" t="str">
            <v/>
          </cell>
        </row>
        <row r="67415">
          <cell r="O67415" t="str">
            <v/>
          </cell>
        </row>
        <row r="67416">
          <cell r="O67416" t="str">
            <v/>
          </cell>
        </row>
        <row r="67417">
          <cell r="O67417" t="str">
            <v/>
          </cell>
        </row>
        <row r="67418">
          <cell r="O67418" t="str">
            <v/>
          </cell>
        </row>
        <row r="67419">
          <cell r="O67419" t="str">
            <v/>
          </cell>
        </row>
        <row r="67420">
          <cell r="O67420" t="str">
            <v/>
          </cell>
        </row>
        <row r="67421">
          <cell r="O67421" t="str">
            <v/>
          </cell>
        </row>
        <row r="67422">
          <cell r="O67422" t="str">
            <v/>
          </cell>
        </row>
        <row r="67423">
          <cell r="O67423" t="str">
            <v/>
          </cell>
        </row>
        <row r="67424">
          <cell r="O67424" t="str">
            <v/>
          </cell>
        </row>
        <row r="67425">
          <cell r="O67425" t="str">
            <v/>
          </cell>
        </row>
        <row r="67426">
          <cell r="O67426" t="str">
            <v/>
          </cell>
        </row>
        <row r="67427">
          <cell r="O67427" t="str">
            <v/>
          </cell>
        </row>
        <row r="67428">
          <cell r="O67428" t="str">
            <v/>
          </cell>
        </row>
        <row r="67429">
          <cell r="O67429" t="str">
            <v/>
          </cell>
        </row>
        <row r="67430">
          <cell r="O67430" t="str">
            <v/>
          </cell>
        </row>
        <row r="67431">
          <cell r="O67431" t="str">
            <v/>
          </cell>
        </row>
        <row r="67432">
          <cell r="O67432" t="str">
            <v/>
          </cell>
        </row>
        <row r="67433">
          <cell r="O67433" t="str">
            <v/>
          </cell>
        </row>
        <row r="67434">
          <cell r="O67434" t="str">
            <v/>
          </cell>
        </row>
        <row r="67435">
          <cell r="O67435" t="str">
            <v/>
          </cell>
        </row>
        <row r="67436">
          <cell r="O67436" t="str">
            <v/>
          </cell>
        </row>
        <row r="67437">
          <cell r="O67437" t="str">
            <v/>
          </cell>
        </row>
        <row r="67438">
          <cell r="O67438" t="str">
            <v/>
          </cell>
        </row>
        <row r="67439">
          <cell r="O67439" t="str">
            <v/>
          </cell>
        </row>
        <row r="67440">
          <cell r="O67440" t="str">
            <v/>
          </cell>
        </row>
        <row r="67441">
          <cell r="O67441" t="str">
            <v/>
          </cell>
        </row>
        <row r="67442">
          <cell r="O67442" t="str">
            <v/>
          </cell>
        </row>
        <row r="67443">
          <cell r="O67443" t="str">
            <v/>
          </cell>
        </row>
        <row r="67444">
          <cell r="O67444" t="str">
            <v/>
          </cell>
        </row>
        <row r="67445">
          <cell r="O67445" t="str">
            <v/>
          </cell>
        </row>
        <row r="67446">
          <cell r="O67446" t="str">
            <v/>
          </cell>
        </row>
        <row r="67447">
          <cell r="O67447" t="str">
            <v/>
          </cell>
        </row>
        <row r="67448">
          <cell r="O67448" t="str">
            <v/>
          </cell>
        </row>
        <row r="67449">
          <cell r="O67449" t="str">
            <v/>
          </cell>
        </row>
        <row r="67450">
          <cell r="O67450" t="str">
            <v/>
          </cell>
        </row>
        <row r="67451">
          <cell r="O67451" t="str">
            <v/>
          </cell>
        </row>
        <row r="67452">
          <cell r="O67452" t="str">
            <v/>
          </cell>
        </row>
        <row r="67453">
          <cell r="O67453" t="str">
            <v/>
          </cell>
        </row>
        <row r="67454">
          <cell r="O67454" t="str">
            <v/>
          </cell>
        </row>
        <row r="67455">
          <cell r="O67455" t="str">
            <v/>
          </cell>
        </row>
        <row r="67456">
          <cell r="O67456" t="str">
            <v/>
          </cell>
        </row>
        <row r="67457">
          <cell r="O67457" t="str">
            <v/>
          </cell>
        </row>
        <row r="67458">
          <cell r="O67458" t="str">
            <v/>
          </cell>
        </row>
        <row r="67459">
          <cell r="O67459" t="str">
            <v/>
          </cell>
        </row>
        <row r="67460">
          <cell r="O67460" t="str">
            <v/>
          </cell>
        </row>
        <row r="67461">
          <cell r="O67461" t="str">
            <v/>
          </cell>
        </row>
        <row r="67462">
          <cell r="O67462" t="str">
            <v/>
          </cell>
        </row>
        <row r="67463">
          <cell r="O67463" t="str">
            <v/>
          </cell>
        </row>
        <row r="67464">
          <cell r="O67464" t="str">
            <v/>
          </cell>
        </row>
        <row r="67465">
          <cell r="O67465" t="str">
            <v/>
          </cell>
        </row>
        <row r="67466">
          <cell r="O67466" t="str">
            <v/>
          </cell>
        </row>
        <row r="67467">
          <cell r="O67467" t="str">
            <v/>
          </cell>
        </row>
        <row r="67468">
          <cell r="O67468" t="str">
            <v/>
          </cell>
        </row>
        <row r="67469">
          <cell r="O67469" t="str">
            <v/>
          </cell>
        </row>
        <row r="67470">
          <cell r="O67470" t="str">
            <v/>
          </cell>
        </row>
        <row r="67471">
          <cell r="O67471" t="str">
            <v/>
          </cell>
        </row>
        <row r="67472">
          <cell r="O67472" t="str">
            <v/>
          </cell>
        </row>
        <row r="67473">
          <cell r="O67473" t="str">
            <v/>
          </cell>
        </row>
        <row r="67474">
          <cell r="O67474" t="str">
            <v/>
          </cell>
        </row>
        <row r="67475">
          <cell r="O67475" t="str">
            <v/>
          </cell>
        </row>
        <row r="67476">
          <cell r="O67476" t="str">
            <v/>
          </cell>
        </row>
        <row r="67477">
          <cell r="O67477" t="str">
            <v/>
          </cell>
        </row>
        <row r="67478">
          <cell r="O67478" t="str">
            <v/>
          </cell>
        </row>
        <row r="67479">
          <cell r="O67479" t="str">
            <v/>
          </cell>
        </row>
        <row r="67480">
          <cell r="O67480" t="str">
            <v/>
          </cell>
        </row>
        <row r="67481">
          <cell r="O67481" t="str">
            <v/>
          </cell>
        </row>
        <row r="67482">
          <cell r="O67482" t="str">
            <v/>
          </cell>
        </row>
        <row r="67483">
          <cell r="O67483" t="str">
            <v/>
          </cell>
        </row>
        <row r="67484">
          <cell r="O67484" t="str">
            <v/>
          </cell>
        </row>
        <row r="67485">
          <cell r="O67485" t="str">
            <v/>
          </cell>
        </row>
        <row r="67486">
          <cell r="O67486" t="str">
            <v/>
          </cell>
        </row>
        <row r="67487">
          <cell r="O67487" t="str">
            <v/>
          </cell>
        </row>
        <row r="67488">
          <cell r="O67488" t="str">
            <v/>
          </cell>
        </row>
        <row r="67489">
          <cell r="O67489" t="str">
            <v/>
          </cell>
        </row>
        <row r="67490">
          <cell r="O67490" t="str">
            <v/>
          </cell>
        </row>
        <row r="67491">
          <cell r="O67491" t="str">
            <v/>
          </cell>
        </row>
        <row r="67492">
          <cell r="O67492" t="str">
            <v/>
          </cell>
        </row>
        <row r="67493">
          <cell r="O67493" t="str">
            <v/>
          </cell>
        </row>
        <row r="67494">
          <cell r="O67494" t="str">
            <v/>
          </cell>
        </row>
        <row r="67495">
          <cell r="O67495" t="str">
            <v/>
          </cell>
        </row>
        <row r="67496">
          <cell r="O67496" t="str">
            <v/>
          </cell>
        </row>
        <row r="67497">
          <cell r="O67497" t="str">
            <v/>
          </cell>
        </row>
        <row r="67498">
          <cell r="O67498" t="str">
            <v/>
          </cell>
        </row>
        <row r="67499">
          <cell r="O67499" t="str">
            <v/>
          </cell>
        </row>
        <row r="67500">
          <cell r="O67500" t="str">
            <v/>
          </cell>
        </row>
        <row r="67501">
          <cell r="O67501" t="str">
            <v/>
          </cell>
        </row>
        <row r="67502">
          <cell r="O67502" t="str">
            <v/>
          </cell>
        </row>
        <row r="67503">
          <cell r="O67503" t="str">
            <v/>
          </cell>
        </row>
        <row r="67504">
          <cell r="O67504" t="str">
            <v/>
          </cell>
        </row>
        <row r="67505">
          <cell r="O67505" t="str">
            <v/>
          </cell>
        </row>
        <row r="67506">
          <cell r="O67506" t="str">
            <v/>
          </cell>
        </row>
        <row r="67507">
          <cell r="O67507" t="str">
            <v/>
          </cell>
        </row>
        <row r="67508">
          <cell r="O67508" t="str">
            <v/>
          </cell>
        </row>
        <row r="67509">
          <cell r="O67509" t="str">
            <v/>
          </cell>
        </row>
        <row r="67510">
          <cell r="O67510" t="str">
            <v/>
          </cell>
        </row>
        <row r="67511">
          <cell r="O67511" t="str">
            <v/>
          </cell>
        </row>
        <row r="67512">
          <cell r="O67512" t="str">
            <v/>
          </cell>
        </row>
        <row r="67513">
          <cell r="O67513" t="str">
            <v/>
          </cell>
        </row>
        <row r="67514">
          <cell r="O67514" t="str">
            <v/>
          </cell>
        </row>
        <row r="67515">
          <cell r="O67515" t="str">
            <v/>
          </cell>
        </row>
        <row r="67516">
          <cell r="O67516" t="str">
            <v/>
          </cell>
        </row>
        <row r="67517">
          <cell r="O67517" t="str">
            <v/>
          </cell>
        </row>
        <row r="67518">
          <cell r="O67518" t="str">
            <v/>
          </cell>
        </row>
        <row r="67519">
          <cell r="O67519" t="str">
            <v/>
          </cell>
        </row>
        <row r="67520">
          <cell r="O67520" t="str">
            <v/>
          </cell>
        </row>
        <row r="67521">
          <cell r="O67521" t="str">
            <v/>
          </cell>
        </row>
        <row r="67522">
          <cell r="O67522" t="str">
            <v/>
          </cell>
        </row>
        <row r="67523">
          <cell r="O67523" t="str">
            <v/>
          </cell>
        </row>
        <row r="67524">
          <cell r="O67524" t="str">
            <v/>
          </cell>
        </row>
        <row r="67525">
          <cell r="O67525" t="str">
            <v/>
          </cell>
        </row>
        <row r="67526">
          <cell r="O67526" t="str">
            <v/>
          </cell>
        </row>
        <row r="67527">
          <cell r="O67527" t="str">
            <v/>
          </cell>
        </row>
        <row r="67528">
          <cell r="O67528" t="str">
            <v/>
          </cell>
        </row>
        <row r="67529">
          <cell r="O67529" t="str">
            <v/>
          </cell>
        </row>
        <row r="67530">
          <cell r="O67530" t="str">
            <v/>
          </cell>
        </row>
        <row r="67531">
          <cell r="O67531" t="str">
            <v/>
          </cell>
        </row>
        <row r="67532">
          <cell r="O67532" t="str">
            <v/>
          </cell>
        </row>
        <row r="67533">
          <cell r="O67533" t="str">
            <v/>
          </cell>
        </row>
        <row r="67534">
          <cell r="O67534" t="str">
            <v/>
          </cell>
        </row>
        <row r="67535">
          <cell r="O67535" t="str">
            <v/>
          </cell>
        </row>
        <row r="67536">
          <cell r="O67536" t="str">
            <v/>
          </cell>
        </row>
        <row r="67537">
          <cell r="O67537" t="str">
            <v/>
          </cell>
        </row>
        <row r="67538">
          <cell r="O67538" t="str">
            <v/>
          </cell>
        </row>
        <row r="67539">
          <cell r="O67539" t="str">
            <v/>
          </cell>
        </row>
        <row r="67540">
          <cell r="O67540" t="str">
            <v/>
          </cell>
        </row>
        <row r="67541">
          <cell r="O67541" t="str">
            <v/>
          </cell>
        </row>
        <row r="67542">
          <cell r="O67542" t="str">
            <v/>
          </cell>
        </row>
        <row r="67543">
          <cell r="O67543" t="str">
            <v/>
          </cell>
        </row>
        <row r="67544">
          <cell r="O67544" t="str">
            <v/>
          </cell>
        </row>
        <row r="67545">
          <cell r="O67545" t="str">
            <v/>
          </cell>
        </row>
        <row r="67546">
          <cell r="O67546" t="str">
            <v/>
          </cell>
        </row>
        <row r="67547">
          <cell r="O67547" t="str">
            <v/>
          </cell>
        </row>
        <row r="67548">
          <cell r="O67548" t="str">
            <v/>
          </cell>
        </row>
        <row r="67549">
          <cell r="O67549" t="str">
            <v/>
          </cell>
        </row>
        <row r="67550">
          <cell r="O67550" t="str">
            <v/>
          </cell>
        </row>
        <row r="67551">
          <cell r="O67551" t="str">
            <v/>
          </cell>
        </row>
        <row r="67552">
          <cell r="O67552" t="str">
            <v/>
          </cell>
        </row>
        <row r="67553">
          <cell r="O67553" t="str">
            <v/>
          </cell>
        </row>
        <row r="67554">
          <cell r="O67554" t="str">
            <v/>
          </cell>
        </row>
        <row r="67555">
          <cell r="O67555" t="str">
            <v/>
          </cell>
        </row>
        <row r="67556">
          <cell r="O67556" t="str">
            <v/>
          </cell>
        </row>
        <row r="67557">
          <cell r="O67557" t="str">
            <v/>
          </cell>
        </row>
        <row r="67558">
          <cell r="O67558" t="str">
            <v/>
          </cell>
        </row>
        <row r="67559">
          <cell r="O67559" t="str">
            <v/>
          </cell>
        </row>
        <row r="67560">
          <cell r="O67560" t="str">
            <v/>
          </cell>
        </row>
        <row r="67561">
          <cell r="O67561" t="str">
            <v/>
          </cell>
        </row>
        <row r="67562">
          <cell r="O67562" t="str">
            <v/>
          </cell>
        </row>
        <row r="67563">
          <cell r="O67563" t="str">
            <v/>
          </cell>
        </row>
        <row r="67564">
          <cell r="O67564" t="str">
            <v/>
          </cell>
        </row>
        <row r="67565">
          <cell r="O67565" t="str">
            <v/>
          </cell>
        </row>
        <row r="67566">
          <cell r="O67566" t="str">
            <v/>
          </cell>
        </row>
        <row r="67567">
          <cell r="O67567" t="str">
            <v/>
          </cell>
        </row>
        <row r="67568">
          <cell r="O67568" t="str">
            <v/>
          </cell>
        </row>
        <row r="67569">
          <cell r="O67569" t="str">
            <v/>
          </cell>
        </row>
        <row r="67570">
          <cell r="O67570" t="str">
            <v/>
          </cell>
        </row>
        <row r="67571">
          <cell r="O67571" t="str">
            <v/>
          </cell>
        </row>
        <row r="67572">
          <cell r="O67572" t="str">
            <v/>
          </cell>
        </row>
        <row r="67573">
          <cell r="O67573" t="str">
            <v/>
          </cell>
        </row>
        <row r="67574">
          <cell r="O67574" t="str">
            <v/>
          </cell>
        </row>
        <row r="67575">
          <cell r="O67575" t="str">
            <v/>
          </cell>
        </row>
        <row r="67576">
          <cell r="O67576" t="str">
            <v/>
          </cell>
        </row>
        <row r="67577">
          <cell r="O67577" t="str">
            <v/>
          </cell>
        </row>
        <row r="67578">
          <cell r="O67578" t="str">
            <v/>
          </cell>
        </row>
        <row r="67579">
          <cell r="O67579" t="str">
            <v/>
          </cell>
        </row>
        <row r="67580">
          <cell r="O67580" t="str">
            <v/>
          </cell>
        </row>
        <row r="67581">
          <cell r="O67581" t="str">
            <v/>
          </cell>
        </row>
        <row r="67582">
          <cell r="O67582" t="str">
            <v/>
          </cell>
        </row>
        <row r="67583">
          <cell r="O67583" t="str">
            <v/>
          </cell>
        </row>
        <row r="67584">
          <cell r="O67584" t="str">
            <v/>
          </cell>
        </row>
        <row r="67585">
          <cell r="O67585" t="str">
            <v/>
          </cell>
        </row>
        <row r="67586">
          <cell r="O67586" t="str">
            <v/>
          </cell>
        </row>
        <row r="67587">
          <cell r="O67587" t="str">
            <v/>
          </cell>
        </row>
        <row r="67588">
          <cell r="O67588" t="str">
            <v/>
          </cell>
        </row>
        <row r="67589">
          <cell r="O67589" t="str">
            <v/>
          </cell>
        </row>
        <row r="67590">
          <cell r="O67590" t="str">
            <v/>
          </cell>
        </row>
        <row r="67591">
          <cell r="O67591" t="str">
            <v/>
          </cell>
        </row>
        <row r="67592">
          <cell r="O67592" t="str">
            <v/>
          </cell>
        </row>
        <row r="67593">
          <cell r="O67593" t="str">
            <v/>
          </cell>
        </row>
        <row r="67594">
          <cell r="O67594" t="str">
            <v/>
          </cell>
        </row>
        <row r="67595">
          <cell r="O67595" t="str">
            <v/>
          </cell>
        </row>
        <row r="67596">
          <cell r="O67596" t="str">
            <v/>
          </cell>
        </row>
        <row r="67597">
          <cell r="O67597" t="str">
            <v/>
          </cell>
        </row>
        <row r="67598">
          <cell r="O67598" t="str">
            <v/>
          </cell>
        </row>
        <row r="67599">
          <cell r="O67599" t="str">
            <v/>
          </cell>
        </row>
        <row r="67600">
          <cell r="O67600" t="str">
            <v/>
          </cell>
        </row>
        <row r="67601">
          <cell r="O67601" t="str">
            <v/>
          </cell>
        </row>
        <row r="67602">
          <cell r="O67602" t="str">
            <v/>
          </cell>
        </row>
        <row r="67603">
          <cell r="O67603" t="str">
            <v/>
          </cell>
        </row>
        <row r="67604">
          <cell r="O67604" t="str">
            <v/>
          </cell>
        </row>
        <row r="67605">
          <cell r="O67605" t="str">
            <v/>
          </cell>
        </row>
        <row r="67606">
          <cell r="O67606" t="str">
            <v/>
          </cell>
        </row>
        <row r="67607">
          <cell r="O67607" t="str">
            <v/>
          </cell>
        </row>
        <row r="67608">
          <cell r="O67608" t="str">
            <v/>
          </cell>
        </row>
        <row r="67609">
          <cell r="O67609" t="str">
            <v/>
          </cell>
        </row>
        <row r="67610">
          <cell r="O67610" t="str">
            <v/>
          </cell>
        </row>
        <row r="67611">
          <cell r="O67611" t="str">
            <v/>
          </cell>
        </row>
        <row r="67612">
          <cell r="O67612" t="str">
            <v/>
          </cell>
        </row>
        <row r="67613">
          <cell r="O67613" t="str">
            <v/>
          </cell>
        </row>
        <row r="67614">
          <cell r="O67614" t="str">
            <v/>
          </cell>
        </row>
        <row r="67615">
          <cell r="O67615" t="str">
            <v/>
          </cell>
        </row>
        <row r="67616">
          <cell r="O67616" t="str">
            <v/>
          </cell>
        </row>
        <row r="67617">
          <cell r="O67617" t="str">
            <v/>
          </cell>
        </row>
        <row r="67618">
          <cell r="O67618" t="str">
            <v/>
          </cell>
        </row>
        <row r="67619">
          <cell r="O67619" t="str">
            <v/>
          </cell>
        </row>
        <row r="67620">
          <cell r="O67620" t="str">
            <v/>
          </cell>
        </row>
        <row r="67621">
          <cell r="O67621" t="str">
            <v/>
          </cell>
        </row>
        <row r="67622">
          <cell r="O67622" t="str">
            <v/>
          </cell>
        </row>
        <row r="67623">
          <cell r="O67623" t="str">
            <v/>
          </cell>
        </row>
        <row r="67624">
          <cell r="O67624" t="str">
            <v/>
          </cell>
        </row>
        <row r="67625">
          <cell r="O67625" t="str">
            <v/>
          </cell>
        </row>
        <row r="67626">
          <cell r="O67626" t="str">
            <v/>
          </cell>
        </row>
        <row r="67627">
          <cell r="O67627" t="str">
            <v/>
          </cell>
        </row>
        <row r="67628">
          <cell r="O67628" t="str">
            <v/>
          </cell>
        </row>
        <row r="67629">
          <cell r="O67629" t="str">
            <v/>
          </cell>
        </row>
        <row r="67630">
          <cell r="O67630" t="str">
            <v/>
          </cell>
        </row>
        <row r="67631">
          <cell r="O67631" t="str">
            <v/>
          </cell>
        </row>
        <row r="67632">
          <cell r="O67632" t="str">
            <v/>
          </cell>
        </row>
        <row r="67633">
          <cell r="O67633" t="str">
            <v/>
          </cell>
        </row>
        <row r="67634">
          <cell r="O67634" t="str">
            <v/>
          </cell>
        </row>
        <row r="67635">
          <cell r="O67635" t="str">
            <v/>
          </cell>
        </row>
        <row r="67636">
          <cell r="O67636" t="str">
            <v/>
          </cell>
        </row>
        <row r="67637">
          <cell r="O67637" t="str">
            <v/>
          </cell>
        </row>
        <row r="67638">
          <cell r="O67638" t="str">
            <v/>
          </cell>
        </row>
        <row r="67639">
          <cell r="O67639" t="str">
            <v/>
          </cell>
        </row>
        <row r="67640">
          <cell r="O67640" t="str">
            <v/>
          </cell>
        </row>
        <row r="67641">
          <cell r="O67641" t="str">
            <v/>
          </cell>
        </row>
        <row r="67642">
          <cell r="O67642" t="str">
            <v/>
          </cell>
        </row>
        <row r="67643">
          <cell r="O67643" t="str">
            <v/>
          </cell>
        </row>
        <row r="67644">
          <cell r="O67644" t="str">
            <v/>
          </cell>
        </row>
        <row r="67645">
          <cell r="O67645" t="str">
            <v/>
          </cell>
        </row>
        <row r="67646">
          <cell r="O67646" t="str">
            <v/>
          </cell>
        </row>
        <row r="67647">
          <cell r="O67647" t="str">
            <v/>
          </cell>
        </row>
        <row r="67648">
          <cell r="O67648" t="str">
            <v/>
          </cell>
        </row>
        <row r="67649">
          <cell r="O67649" t="str">
            <v/>
          </cell>
        </row>
        <row r="67650">
          <cell r="O67650" t="str">
            <v/>
          </cell>
        </row>
        <row r="67651">
          <cell r="O67651" t="str">
            <v/>
          </cell>
        </row>
        <row r="67652">
          <cell r="O67652" t="str">
            <v/>
          </cell>
        </row>
        <row r="67653">
          <cell r="O67653" t="str">
            <v/>
          </cell>
        </row>
        <row r="67654">
          <cell r="O67654" t="str">
            <v/>
          </cell>
        </row>
        <row r="67655">
          <cell r="O67655" t="str">
            <v/>
          </cell>
        </row>
        <row r="67656">
          <cell r="O67656" t="str">
            <v/>
          </cell>
        </row>
        <row r="67657">
          <cell r="O67657" t="str">
            <v/>
          </cell>
        </row>
        <row r="67658">
          <cell r="O67658" t="str">
            <v/>
          </cell>
        </row>
        <row r="67659">
          <cell r="O67659" t="str">
            <v/>
          </cell>
        </row>
        <row r="67660">
          <cell r="O67660" t="str">
            <v/>
          </cell>
        </row>
        <row r="67661">
          <cell r="O67661" t="str">
            <v/>
          </cell>
        </row>
        <row r="67662">
          <cell r="O67662" t="str">
            <v/>
          </cell>
        </row>
        <row r="67663">
          <cell r="O67663" t="str">
            <v/>
          </cell>
        </row>
        <row r="67664">
          <cell r="O67664" t="str">
            <v/>
          </cell>
        </row>
        <row r="67665">
          <cell r="O67665" t="str">
            <v/>
          </cell>
        </row>
        <row r="67666">
          <cell r="O67666" t="str">
            <v/>
          </cell>
        </row>
        <row r="67667">
          <cell r="O67667" t="str">
            <v/>
          </cell>
        </row>
        <row r="67668">
          <cell r="O67668" t="str">
            <v/>
          </cell>
        </row>
        <row r="67669">
          <cell r="O67669" t="str">
            <v/>
          </cell>
        </row>
        <row r="67670">
          <cell r="O67670" t="str">
            <v/>
          </cell>
        </row>
        <row r="67671">
          <cell r="O67671" t="str">
            <v/>
          </cell>
        </row>
        <row r="67672">
          <cell r="O67672" t="str">
            <v/>
          </cell>
        </row>
        <row r="67673">
          <cell r="O67673" t="str">
            <v/>
          </cell>
        </row>
        <row r="67674">
          <cell r="O67674" t="str">
            <v/>
          </cell>
        </row>
        <row r="67675">
          <cell r="O67675" t="str">
            <v/>
          </cell>
        </row>
        <row r="67676">
          <cell r="O67676" t="str">
            <v/>
          </cell>
        </row>
        <row r="67677">
          <cell r="O67677" t="str">
            <v/>
          </cell>
        </row>
        <row r="67678">
          <cell r="O67678" t="str">
            <v/>
          </cell>
        </row>
        <row r="67679">
          <cell r="O67679" t="str">
            <v/>
          </cell>
        </row>
        <row r="67680">
          <cell r="O67680" t="str">
            <v/>
          </cell>
        </row>
        <row r="67681">
          <cell r="O67681" t="str">
            <v/>
          </cell>
        </row>
        <row r="67682">
          <cell r="O67682" t="str">
            <v/>
          </cell>
        </row>
        <row r="67683">
          <cell r="O67683" t="str">
            <v/>
          </cell>
        </row>
        <row r="67684">
          <cell r="O67684" t="str">
            <v/>
          </cell>
        </row>
        <row r="67685">
          <cell r="O67685" t="str">
            <v/>
          </cell>
        </row>
        <row r="67686">
          <cell r="O67686" t="str">
            <v/>
          </cell>
        </row>
        <row r="67687">
          <cell r="O67687" t="str">
            <v/>
          </cell>
        </row>
        <row r="67688">
          <cell r="O67688" t="str">
            <v/>
          </cell>
        </row>
        <row r="67689">
          <cell r="O67689" t="str">
            <v/>
          </cell>
        </row>
        <row r="67690">
          <cell r="O67690" t="str">
            <v/>
          </cell>
        </row>
        <row r="67691">
          <cell r="O67691" t="str">
            <v/>
          </cell>
        </row>
        <row r="67692">
          <cell r="O67692" t="str">
            <v/>
          </cell>
        </row>
        <row r="67693">
          <cell r="O67693" t="str">
            <v/>
          </cell>
        </row>
        <row r="67694">
          <cell r="O67694" t="str">
            <v/>
          </cell>
        </row>
        <row r="67695">
          <cell r="O67695" t="str">
            <v/>
          </cell>
        </row>
        <row r="67696">
          <cell r="O67696" t="str">
            <v/>
          </cell>
        </row>
        <row r="67697">
          <cell r="O67697" t="str">
            <v/>
          </cell>
        </row>
        <row r="67698">
          <cell r="O67698" t="str">
            <v/>
          </cell>
        </row>
        <row r="67699">
          <cell r="O67699" t="str">
            <v/>
          </cell>
        </row>
        <row r="67700">
          <cell r="O67700" t="str">
            <v/>
          </cell>
        </row>
        <row r="67701">
          <cell r="O67701" t="str">
            <v/>
          </cell>
        </row>
        <row r="67702">
          <cell r="O67702" t="str">
            <v/>
          </cell>
        </row>
        <row r="67703">
          <cell r="O67703" t="str">
            <v/>
          </cell>
        </row>
        <row r="67704">
          <cell r="O67704" t="str">
            <v/>
          </cell>
        </row>
        <row r="67705">
          <cell r="O67705" t="str">
            <v/>
          </cell>
        </row>
        <row r="67706">
          <cell r="O67706" t="str">
            <v/>
          </cell>
        </row>
        <row r="67707">
          <cell r="O67707" t="str">
            <v/>
          </cell>
        </row>
        <row r="67708">
          <cell r="O67708" t="str">
            <v/>
          </cell>
        </row>
        <row r="67709">
          <cell r="O67709" t="str">
            <v/>
          </cell>
        </row>
        <row r="67710">
          <cell r="O67710" t="str">
            <v/>
          </cell>
        </row>
        <row r="67711">
          <cell r="O67711" t="str">
            <v/>
          </cell>
        </row>
        <row r="67712">
          <cell r="O67712" t="str">
            <v/>
          </cell>
        </row>
        <row r="67713">
          <cell r="O67713" t="str">
            <v/>
          </cell>
        </row>
        <row r="67714">
          <cell r="O67714" t="str">
            <v/>
          </cell>
        </row>
        <row r="67715">
          <cell r="O67715" t="str">
            <v/>
          </cell>
        </row>
        <row r="67716">
          <cell r="O67716" t="str">
            <v/>
          </cell>
        </row>
        <row r="67717">
          <cell r="O67717" t="str">
            <v/>
          </cell>
        </row>
        <row r="67718">
          <cell r="O67718" t="str">
            <v/>
          </cell>
        </row>
        <row r="67719">
          <cell r="O67719" t="str">
            <v/>
          </cell>
        </row>
        <row r="67720">
          <cell r="O67720" t="str">
            <v/>
          </cell>
        </row>
        <row r="67721">
          <cell r="O67721" t="str">
            <v/>
          </cell>
        </row>
        <row r="67722">
          <cell r="O67722" t="str">
            <v/>
          </cell>
        </row>
        <row r="67723">
          <cell r="O67723" t="str">
            <v/>
          </cell>
        </row>
        <row r="67724">
          <cell r="O67724" t="str">
            <v/>
          </cell>
        </row>
        <row r="67725">
          <cell r="O67725" t="str">
            <v/>
          </cell>
        </row>
        <row r="67726">
          <cell r="O67726" t="str">
            <v/>
          </cell>
        </row>
        <row r="67727">
          <cell r="O67727" t="str">
            <v/>
          </cell>
        </row>
        <row r="67728">
          <cell r="O67728" t="str">
            <v/>
          </cell>
        </row>
        <row r="67729">
          <cell r="O67729" t="str">
            <v/>
          </cell>
        </row>
        <row r="67730">
          <cell r="O67730" t="str">
            <v/>
          </cell>
        </row>
        <row r="67731">
          <cell r="O67731" t="str">
            <v/>
          </cell>
        </row>
        <row r="67732">
          <cell r="O67732" t="str">
            <v/>
          </cell>
        </row>
        <row r="67733">
          <cell r="O67733" t="str">
            <v/>
          </cell>
        </row>
        <row r="67734">
          <cell r="O67734" t="str">
            <v/>
          </cell>
        </row>
        <row r="67735">
          <cell r="O67735" t="str">
            <v/>
          </cell>
        </row>
        <row r="67736">
          <cell r="O67736" t="str">
            <v/>
          </cell>
        </row>
        <row r="67737">
          <cell r="O67737" t="str">
            <v/>
          </cell>
        </row>
        <row r="67738">
          <cell r="O67738" t="str">
            <v/>
          </cell>
        </row>
        <row r="67739">
          <cell r="O67739" t="str">
            <v/>
          </cell>
        </row>
        <row r="67740">
          <cell r="O67740" t="str">
            <v/>
          </cell>
        </row>
        <row r="67741">
          <cell r="O67741" t="str">
            <v/>
          </cell>
        </row>
        <row r="67742">
          <cell r="O67742" t="str">
            <v/>
          </cell>
        </row>
        <row r="67743">
          <cell r="O67743" t="str">
            <v/>
          </cell>
        </row>
        <row r="67744">
          <cell r="O67744" t="str">
            <v/>
          </cell>
        </row>
        <row r="67745">
          <cell r="O67745" t="str">
            <v/>
          </cell>
        </row>
        <row r="67746">
          <cell r="O67746" t="str">
            <v/>
          </cell>
        </row>
        <row r="67747">
          <cell r="O67747" t="str">
            <v/>
          </cell>
        </row>
        <row r="67748">
          <cell r="O67748" t="str">
            <v/>
          </cell>
        </row>
        <row r="67749">
          <cell r="O67749" t="str">
            <v/>
          </cell>
        </row>
        <row r="67750">
          <cell r="O67750" t="str">
            <v/>
          </cell>
        </row>
        <row r="67751">
          <cell r="O67751" t="str">
            <v/>
          </cell>
        </row>
        <row r="67752">
          <cell r="O67752" t="str">
            <v/>
          </cell>
        </row>
        <row r="67753">
          <cell r="O67753" t="str">
            <v/>
          </cell>
        </row>
        <row r="67754">
          <cell r="O67754" t="str">
            <v/>
          </cell>
        </row>
        <row r="67755">
          <cell r="O67755" t="str">
            <v/>
          </cell>
        </row>
        <row r="67756">
          <cell r="O67756" t="str">
            <v/>
          </cell>
        </row>
        <row r="67757">
          <cell r="O67757" t="str">
            <v/>
          </cell>
        </row>
        <row r="67758">
          <cell r="O67758" t="str">
            <v/>
          </cell>
        </row>
        <row r="67759">
          <cell r="O67759" t="str">
            <v/>
          </cell>
        </row>
        <row r="67760">
          <cell r="O67760" t="str">
            <v/>
          </cell>
        </row>
        <row r="67761">
          <cell r="O67761" t="str">
            <v/>
          </cell>
        </row>
        <row r="67762">
          <cell r="O67762" t="str">
            <v/>
          </cell>
        </row>
        <row r="67763">
          <cell r="O67763" t="str">
            <v/>
          </cell>
        </row>
        <row r="67764">
          <cell r="O67764" t="str">
            <v/>
          </cell>
        </row>
        <row r="67765">
          <cell r="O67765" t="str">
            <v/>
          </cell>
        </row>
        <row r="67766">
          <cell r="O67766" t="str">
            <v/>
          </cell>
        </row>
        <row r="67767">
          <cell r="O67767" t="str">
            <v/>
          </cell>
        </row>
        <row r="67768">
          <cell r="O67768" t="str">
            <v/>
          </cell>
        </row>
        <row r="67769">
          <cell r="O67769" t="str">
            <v/>
          </cell>
        </row>
        <row r="67770">
          <cell r="O67770" t="str">
            <v/>
          </cell>
        </row>
        <row r="67771">
          <cell r="O67771" t="str">
            <v/>
          </cell>
        </row>
        <row r="67772">
          <cell r="O67772" t="str">
            <v/>
          </cell>
        </row>
        <row r="67773">
          <cell r="O67773" t="str">
            <v/>
          </cell>
        </row>
        <row r="67774">
          <cell r="O67774" t="str">
            <v/>
          </cell>
        </row>
        <row r="67775">
          <cell r="O67775" t="str">
            <v/>
          </cell>
        </row>
        <row r="67776">
          <cell r="O67776" t="str">
            <v/>
          </cell>
        </row>
        <row r="67777">
          <cell r="O67777" t="str">
            <v/>
          </cell>
        </row>
        <row r="67778">
          <cell r="O67778" t="str">
            <v/>
          </cell>
        </row>
        <row r="67779">
          <cell r="O67779" t="str">
            <v/>
          </cell>
        </row>
        <row r="67780">
          <cell r="O67780" t="str">
            <v/>
          </cell>
        </row>
        <row r="67781">
          <cell r="O67781" t="str">
            <v/>
          </cell>
        </row>
        <row r="67782">
          <cell r="O67782" t="str">
            <v/>
          </cell>
        </row>
        <row r="67783">
          <cell r="O67783" t="str">
            <v/>
          </cell>
        </row>
        <row r="67784">
          <cell r="O67784" t="str">
            <v/>
          </cell>
        </row>
        <row r="67785">
          <cell r="O67785" t="str">
            <v/>
          </cell>
        </row>
        <row r="67786">
          <cell r="O67786" t="str">
            <v/>
          </cell>
        </row>
        <row r="67787">
          <cell r="O67787" t="str">
            <v/>
          </cell>
        </row>
        <row r="67788">
          <cell r="O67788" t="str">
            <v/>
          </cell>
        </row>
        <row r="67789">
          <cell r="O67789" t="str">
            <v/>
          </cell>
        </row>
        <row r="67790">
          <cell r="O67790" t="str">
            <v/>
          </cell>
        </row>
        <row r="67791">
          <cell r="O67791" t="str">
            <v/>
          </cell>
        </row>
        <row r="67792">
          <cell r="O67792" t="str">
            <v/>
          </cell>
        </row>
        <row r="67793">
          <cell r="O67793" t="str">
            <v/>
          </cell>
        </row>
        <row r="67794">
          <cell r="O67794" t="str">
            <v/>
          </cell>
        </row>
        <row r="67795">
          <cell r="O67795" t="str">
            <v/>
          </cell>
        </row>
        <row r="67796">
          <cell r="O67796" t="str">
            <v/>
          </cell>
        </row>
        <row r="67797">
          <cell r="O67797" t="str">
            <v/>
          </cell>
        </row>
        <row r="67798">
          <cell r="O67798" t="str">
            <v/>
          </cell>
        </row>
        <row r="67799">
          <cell r="O67799" t="str">
            <v/>
          </cell>
        </row>
        <row r="67800">
          <cell r="O67800" t="str">
            <v/>
          </cell>
        </row>
        <row r="67801">
          <cell r="O67801" t="str">
            <v/>
          </cell>
        </row>
        <row r="67802">
          <cell r="O67802" t="str">
            <v/>
          </cell>
        </row>
        <row r="67803">
          <cell r="O67803" t="str">
            <v/>
          </cell>
        </row>
        <row r="67804">
          <cell r="O67804" t="str">
            <v/>
          </cell>
        </row>
        <row r="67805">
          <cell r="O67805" t="str">
            <v/>
          </cell>
        </row>
        <row r="67806">
          <cell r="O67806" t="str">
            <v/>
          </cell>
        </row>
        <row r="67807">
          <cell r="O67807" t="str">
            <v/>
          </cell>
        </row>
        <row r="67808">
          <cell r="O67808" t="str">
            <v/>
          </cell>
        </row>
        <row r="67809">
          <cell r="O67809" t="str">
            <v/>
          </cell>
        </row>
        <row r="67810">
          <cell r="O67810" t="str">
            <v/>
          </cell>
        </row>
        <row r="67811">
          <cell r="O67811" t="str">
            <v/>
          </cell>
        </row>
        <row r="67812">
          <cell r="O67812" t="str">
            <v/>
          </cell>
        </row>
        <row r="67813">
          <cell r="O67813" t="str">
            <v/>
          </cell>
        </row>
        <row r="67814">
          <cell r="O67814" t="str">
            <v/>
          </cell>
        </row>
        <row r="67815">
          <cell r="O67815" t="str">
            <v/>
          </cell>
        </row>
        <row r="67816">
          <cell r="O67816" t="str">
            <v/>
          </cell>
        </row>
        <row r="67817">
          <cell r="O67817" t="str">
            <v/>
          </cell>
        </row>
        <row r="67818">
          <cell r="O67818" t="str">
            <v/>
          </cell>
        </row>
        <row r="67819">
          <cell r="O67819" t="str">
            <v/>
          </cell>
        </row>
        <row r="67820">
          <cell r="O67820" t="str">
            <v/>
          </cell>
        </row>
        <row r="67821">
          <cell r="O67821" t="str">
            <v/>
          </cell>
        </row>
        <row r="67822">
          <cell r="O67822" t="str">
            <v/>
          </cell>
        </row>
        <row r="67823">
          <cell r="O67823" t="str">
            <v/>
          </cell>
        </row>
        <row r="67824">
          <cell r="O67824" t="str">
            <v/>
          </cell>
        </row>
        <row r="67825">
          <cell r="O67825" t="str">
            <v/>
          </cell>
        </row>
        <row r="67826">
          <cell r="O67826" t="str">
            <v/>
          </cell>
        </row>
        <row r="67827">
          <cell r="O67827" t="str">
            <v/>
          </cell>
        </row>
        <row r="67828">
          <cell r="O67828" t="str">
            <v/>
          </cell>
        </row>
        <row r="67829">
          <cell r="O67829" t="str">
            <v/>
          </cell>
        </row>
        <row r="67830">
          <cell r="O67830" t="str">
            <v/>
          </cell>
        </row>
        <row r="67831">
          <cell r="O67831" t="str">
            <v/>
          </cell>
        </row>
        <row r="67832">
          <cell r="O67832" t="str">
            <v/>
          </cell>
        </row>
        <row r="67833">
          <cell r="O67833" t="str">
            <v/>
          </cell>
        </row>
        <row r="67834">
          <cell r="O67834" t="str">
            <v/>
          </cell>
        </row>
        <row r="67835">
          <cell r="O67835" t="str">
            <v/>
          </cell>
        </row>
        <row r="67836">
          <cell r="O67836" t="str">
            <v/>
          </cell>
        </row>
        <row r="67837">
          <cell r="O67837" t="str">
            <v/>
          </cell>
        </row>
        <row r="67838">
          <cell r="O67838" t="str">
            <v/>
          </cell>
        </row>
        <row r="67839">
          <cell r="O67839" t="str">
            <v/>
          </cell>
        </row>
        <row r="67840">
          <cell r="O67840" t="str">
            <v/>
          </cell>
        </row>
        <row r="67841">
          <cell r="O67841" t="str">
            <v/>
          </cell>
        </row>
        <row r="67842">
          <cell r="O67842" t="str">
            <v/>
          </cell>
        </row>
        <row r="67843">
          <cell r="O67843" t="str">
            <v/>
          </cell>
        </row>
        <row r="67844">
          <cell r="O67844" t="str">
            <v/>
          </cell>
        </row>
        <row r="67845">
          <cell r="O67845" t="str">
            <v/>
          </cell>
        </row>
        <row r="67846">
          <cell r="O67846" t="str">
            <v/>
          </cell>
        </row>
        <row r="67847">
          <cell r="O67847" t="str">
            <v/>
          </cell>
        </row>
        <row r="67848">
          <cell r="O67848" t="str">
            <v/>
          </cell>
        </row>
        <row r="67849">
          <cell r="O67849" t="str">
            <v/>
          </cell>
        </row>
        <row r="67850">
          <cell r="O67850" t="str">
            <v/>
          </cell>
        </row>
        <row r="67851">
          <cell r="O67851" t="str">
            <v/>
          </cell>
        </row>
        <row r="67852">
          <cell r="O67852" t="str">
            <v/>
          </cell>
        </row>
        <row r="67853">
          <cell r="O67853" t="str">
            <v/>
          </cell>
        </row>
        <row r="67854">
          <cell r="O67854" t="str">
            <v/>
          </cell>
        </row>
        <row r="67855">
          <cell r="O67855" t="str">
            <v/>
          </cell>
        </row>
        <row r="67856">
          <cell r="O67856" t="str">
            <v/>
          </cell>
        </row>
        <row r="67857">
          <cell r="O67857" t="str">
            <v/>
          </cell>
        </row>
        <row r="67858">
          <cell r="O67858" t="str">
            <v/>
          </cell>
        </row>
        <row r="67859">
          <cell r="O67859" t="str">
            <v/>
          </cell>
        </row>
        <row r="67860">
          <cell r="O67860" t="str">
            <v/>
          </cell>
        </row>
        <row r="67861">
          <cell r="O67861" t="str">
            <v/>
          </cell>
        </row>
        <row r="67862">
          <cell r="O67862" t="str">
            <v/>
          </cell>
        </row>
        <row r="67863">
          <cell r="O67863" t="str">
            <v/>
          </cell>
        </row>
        <row r="67864">
          <cell r="O67864" t="str">
            <v/>
          </cell>
        </row>
        <row r="67865">
          <cell r="O67865" t="str">
            <v/>
          </cell>
        </row>
        <row r="67866">
          <cell r="O67866" t="str">
            <v/>
          </cell>
        </row>
        <row r="67867">
          <cell r="O67867" t="str">
            <v/>
          </cell>
        </row>
        <row r="67868">
          <cell r="O67868" t="str">
            <v/>
          </cell>
        </row>
        <row r="67869">
          <cell r="O67869" t="str">
            <v/>
          </cell>
        </row>
        <row r="67870">
          <cell r="O67870" t="str">
            <v/>
          </cell>
        </row>
        <row r="67871">
          <cell r="O67871" t="str">
            <v/>
          </cell>
        </row>
        <row r="67872">
          <cell r="O67872" t="str">
            <v/>
          </cell>
        </row>
        <row r="67873">
          <cell r="O67873" t="str">
            <v/>
          </cell>
        </row>
        <row r="67874">
          <cell r="O67874" t="str">
            <v/>
          </cell>
        </row>
        <row r="67875">
          <cell r="O67875" t="str">
            <v/>
          </cell>
        </row>
        <row r="67876">
          <cell r="O67876" t="str">
            <v/>
          </cell>
        </row>
        <row r="67877">
          <cell r="O67877" t="str">
            <v/>
          </cell>
        </row>
        <row r="67878">
          <cell r="O67878" t="str">
            <v/>
          </cell>
        </row>
        <row r="67879">
          <cell r="O67879" t="str">
            <v/>
          </cell>
        </row>
        <row r="67880">
          <cell r="O67880" t="str">
            <v/>
          </cell>
        </row>
        <row r="67881">
          <cell r="O67881" t="str">
            <v/>
          </cell>
        </row>
        <row r="67882">
          <cell r="O67882" t="str">
            <v/>
          </cell>
        </row>
        <row r="67883">
          <cell r="O67883" t="str">
            <v/>
          </cell>
        </row>
        <row r="67884">
          <cell r="O67884" t="str">
            <v/>
          </cell>
        </row>
        <row r="67885">
          <cell r="O67885" t="str">
            <v/>
          </cell>
        </row>
        <row r="67886">
          <cell r="O67886" t="str">
            <v/>
          </cell>
        </row>
        <row r="67887">
          <cell r="O67887" t="str">
            <v/>
          </cell>
        </row>
        <row r="67888">
          <cell r="O67888" t="str">
            <v/>
          </cell>
        </row>
        <row r="67889">
          <cell r="O67889" t="str">
            <v/>
          </cell>
        </row>
        <row r="67890">
          <cell r="O67890" t="str">
            <v/>
          </cell>
        </row>
        <row r="67891">
          <cell r="O67891" t="str">
            <v/>
          </cell>
        </row>
        <row r="67892">
          <cell r="O67892" t="str">
            <v/>
          </cell>
        </row>
        <row r="67893">
          <cell r="O67893" t="str">
            <v/>
          </cell>
        </row>
        <row r="67894">
          <cell r="O67894" t="str">
            <v/>
          </cell>
        </row>
        <row r="67895">
          <cell r="O67895" t="str">
            <v/>
          </cell>
        </row>
        <row r="67896">
          <cell r="O67896" t="str">
            <v/>
          </cell>
        </row>
        <row r="67897">
          <cell r="O67897" t="str">
            <v/>
          </cell>
        </row>
        <row r="67898">
          <cell r="O67898" t="str">
            <v/>
          </cell>
        </row>
        <row r="67899">
          <cell r="O67899" t="str">
            <v/>
          </cell>
        </row>
        <row r="67900">
          <cell r="O67900" t="str">
            <v/>
          </cell>
        </row>
        <row r="67901">
          <cell r="O67901" t="str">
            <v/>
          </cell>
        </row>
        <row r="67902">
          <cell r="O67902" t="str">
            <v/>
          </cell>
        </row>
        <row r="67903">
          <cell r="O67903" t="str">
            <v/>
          </cell>
        </row>
        <row r="67904">
          <cell r="O67904" t="str">
            <v/>
          </cell>
        </row>
        <row r="67905">
          <cell r="O67905" t="str">
            <v/>
          </cell>
        </row>
        <row r="67906">
          <cell r="O67906" t="str">
            <v/>
          </cell>
        </row>
        <row r="67907">
          <cell r="O67907" t="str">
            <v/>
          </cell>
        </row>
        <row r="67908">
          <cell r="O67908" t="str">
            <v/>
          </cell>
        </row>
        <row r="67909">
          <cell r="O67909" t="str">
            <v/>
          </cell>
        </row>
        <row r="67910">
          <cell r="O67910" t="str">
            <v/>
          </cell>
        </row>
        <row r="67911">
          <cell r="O67911" t="str">
            <v/>
          </cell>
        </row>
        <row r="67912">
          <cell r="O67912" t="str">
            <v/>
          </cell>
        </row>
        <row r="67913">
          <cell r="O67913" t="str">
            <v/>
          </cell>
        </row>
        <row r="67914">
          <cell r="O67914" t="str">
            <v/>
          </cell>
        </row>
        <row r="67915">
          <cell r="O67915" t="str">
            <v/>
          </cell>
        </row>
        <row r="67916">
          <cell r="O67916" t="str">
            <v/>
          </cell>
        </row>
        <row r="67917">
          <cell r="O67917" t="str">
            <v/>
          </cell>
        </row>
        <row r="67918">
          <cell r="O67918" t="str">
            <v/>
          </cell>
        </row>
        <row r="67919">
          <cell r="O67919" t="str">
            <v/>
          </cell>
        </row>
        <row r="67920">
          <cell r="O67920" t="str">
            <v/>
          </cell>
        </row>
        <row r="67921">
          <cell r="O67921" t="str">
            <v/>
          </cell>
        </row>
        <row r="67922">
          <cell r="O67922" t="str">
            <v/>
          </cell>
        </row>
        <row r="67923">
          <cell r="O67923" t="str">
            <v/>
          </cell>
        </row>
        <row r="67924">
          <cell r="O67924" t="str">
            <v/>
          </cell>
        </row>
        <row r="67925">
          <cell r="O67925" t="str">
            <v/>
          </cell>
        </row>
        <row r="67926">
          <cell r="O67926" t="str">
            <v/>
          </cell>
        </row>
        <row r="67927">
          <cell r="O67927" t="str">
            <v/>
          </cell>
        </row>
        <row r="67928">
          <cell r="O67928" t="str">
            <v/>
          </cell>
        </row>
        <row r="67929">
          <cell r="O67929" t="str">
            <v/>
          </cell>
        </row>
        <row r="67930">
          <cell r="O67930" t="str">
            <v/>
          </cell>
        </row>
        <row r="67931">
          <cell r="O67931" t="str">
            <v/>
          </cell>
        </row>
        <row r="67932">
          <cell r="O67932" t="str">
            <v/>
          </cell>
        </row>
        <row r="67933">
          <cell r="O67933" t="str">
            <v/>
          </cell>
        </row>
        <row r="67934">
          <cell r="O67934" t="str">
            <v/>
          </cell>
        </row>
        <row r="67935">
          <cell r="O67935" t="str">
            <v/>
          </cell>
        </row>
        <row r="67936">
          <cell r="O67936" t="str">
            <v/>
          </cell>
        </row>
        <row r="67937">
          <cell r="O67937" t="str">
            <v/>
          </cell>
        </row>
        <row r="67938">
          <cell r="O67938" t="str">
            <v/>
          </cell>
        </row>
        <row r="67939">
          <cell r="O67939" t="str">
            <v/>
          </cell>
        </row>
        <row r="67940">
          <cell r="O67940" t="str">
            <v/>
          </cell>
        </row>
        <row r="67941">
          <cell r="O67941" t="str">
            <v/>
          </cell>
        </row>
        <row r="67942">
          <cell r="O67942" t="str">
            <v/>
          </cell>
        </row>
        <row r="67943">
          <cell r="O67943" t="str">
            <v/>
          </cell>
        </row>
        <row r="67944">
          <cell r="O67944" t="str">
            <v/>
          </cell>
        </row>
        <row r="67945">
          <cell r="O67945" t="str">
            <v/>
          </cell>
        </row>
        <row r="67946">
          <cell r="O67946" t="str">
            <v/>
          </cell>
        </row>
        <row r="67947">
          <cell r="O67947" t="str">
            <v/>
          </cell>
        </row>
        <row r="67948">
          <cell r="O67948" t="str">
            <v/>
          </cell>
        </row>
        <row r="67949">
          <cell r="O67949" t="str">
            <v/>
          </cell>
        </row>
        <row r="67950">
          <cell r="O67950" t="str">
            <v/>
          </cell>
        </row>
        <row r="67951">
          <cell r="O67951" t="str">
            <v/>
          </cell>
        </row>
        <row r="67952">
          <cell r="O67952" t="str">
            <v/>
          </cell>
        </row>
        <row r="67953">
          <cell r="O67953" t="str">
            <v/>
          </cell>
        </row>
        <row r="67954">
          <cell r="O67954" t="str">
            <v/>
          </cell>
        </row>
        <row r="67955">
          <cell r="O67955" t="str">
            <v/>
          </cell>
        </row>
        <row r="67956">
          <cell r="O67956" t="str">
            <v/>
          </cell>
        </row>
        <row r="67957">
          <cell r="O67957" t="str">
            <v/>
          </cell>
        </row>
        <row r="67958">
          <cell r="O67958" t="str">
            <v/>
          </cell>
        </row>
        <row r="67959">
          <cell r="O67959" t="str">
            <v/>
          </cell>
        </row>
        <row r="67960">
          <cell r="O67960" t="str">
            <v/>
          </cell>
        </row>
        <row r="67961">
          <cell r="O67961" t="str">
            <v/>
          </cell>
        </row>
        <row r="67962">
          <cell r="O67962" t="str">
            <v/>
          </cell>
        </row>
        <row r="67963">
          <cell r="O67963" t="str">
            <v/>
          </cell>
        </row>
        <row r="67964">
          <cell r="O67964" t="str">
            <v/>
          </cell>
        </row>
        <row r="67965">
          <cell r="O67965" t="str">
            <v/>
          </cell>
        </row>
        <row r="67966">
          <cell r="O67966" t="str">
            <v/>
          </cell>
        </row>
        <row r="67967">
          <cell r="O67967" t="str">
            <v/>
          </cell>
        </row>
        <row r="67968">
          <cell r="O67968" t="str">
            <v/>
          </cell>
        </row>
        <row r="67969">
          <cell r="O67969" t="str">
            <v/>
          </cell>
        </row>
        <row r="67970">
          <cell r="O67970" t="str">
            <v/>
          </cell>
        </row>
        <row r="67971">
          <cell r="O67971" t="str">
            <v/>
          </cell>
        </row>
        <row r="67972">
          <cell r="O67972" t="str">
            <v/>
          </cell>
        </row>
        <row r="67973">
          <cell r="O67973" t="str">
            <v/>
          </cell>
        </row>
        <row r="67974">
          <cell r="O67974" t="str">
            <v/>
          </cell>
        </row>
        <row r="67975">
          <cell r="O67975" t="str">
            <v/>
          </cell>
        </row>
        <row r="67976">
          <cell r="O67976" t="str">
            <v/>
          </cell>
        </row>
        <row r="67977">
          <cell r="O67977" t="str">
            <v/>
          </cell>
        </row>
        <row r="67978">
          <cell r="O67978" t="str">
            <v/>
          </cell>
        </row>
        <row r="67979">
          <cell r="O67979" t="str">
            <v/>
          </cell>
        </row>
        <row r="67980">
          <cell r="O67980" t="str">
            <v/>
          </cell>
        </row>
        <row r="67981">
          <cell r="O67981" t="str">
            <v/>
          </cell>
        </row>
        <row r="67982">
          <cell r="O67982" t="str">
            <v/>
          </cell>
        </row>
        <row r="67983">
          <cell r="O67983" t="str">
            <v/>
          </cell>
        </row>
        <row r="67984">
          <cell r="O67984" t="str">
            <v/>
          </cell>
        </row>
        <row r="67985">
          <cell r="O67985" t="str">
            <v/>
          </cell>
        </row>
        <row r="67986">
          <cell r="O67986" t="str">
            <v/>
          </cell>
        </row>
        <row r="67987">
          <cell r="O67987" t="str">
            <v/>
          </cell>
        </row>
        <row r="67988">
          <cell r="O67988" t="str">
            <v/>
          </cell>
        </row>
        <row r="67989">
          <cell r="O67989" t="str">
            <v/>
          </cell>
        </row>
        <row r="67990">
          <cell r="O67990" t="str">
            <v/>
          </cell>
        </row>
        <row r="67991">
          <cell r="O67991" t="str">
            <v/>
          </cell>
        </row>
        <row r="67992">
          <cell r="O67992" t="str">
            <v/>
          </cell>
        </row>
        <row r="67993">
          <cell r="O67993" t="str">
            <v/>
          </cell>
        </row>
        <row r="67994">
          <cell r="O67994" t="str">
            <v/>
          </cell>
        </row>
        <row r="67995">
          <cell r="O67995" t="str">
            <v/>
          </cell>
        </row>
        <row r="67996">
          <cell r="O67996" t="str">
            <v/>
          </cell>
        </row>
        <row r="67997">
          <cell r="O67997" t="str">
            <v/>
          </cell>
        </row>
        <row r="67998">
          <cell r="O67998" t="str">
            <v/>
          </cell>
        </row>
        <row r="67999">
          <cell r="O67999" t="str">
            <v/>
          </cell>
        </row>
        <row r="68000">
          <cell r="O68000" t="str">
            <v/>
          </cell>
        </row>
        <row r="68001">
          <cell r="O68001" t="str">
            <v/>
          </cell>
        </row>
        <row r="68002">
          <cell r="O68002" t="str">
            <v/>
          </cell>
        </row>
        <row r="68003">
          <cell r="O68003" t="str">
            <v/>
          </cell>
        </row>
        <row r="68004">
          <cell r="O68004" t="str">
            <v/>
          </cell>
        </row>
        <row r="68005">
          <cell r="O68005" t="str">
            <v/>
          </cell>
        </row>
        <row r="68006">
          <cell r="O68006" t="str">
            <v/>
          </cell>
        </row>
        <row r="68007">
          <cell r="O68007" t="str">
            <v/>
          </cell>
        </row>
        <row r="68008">
          <cell r="O68008" t="str">
            <v/>
          </cell>
        </row>
        <row r="68009">
          <cell r="O68009" t="str">
            <v/>
          </cell>
        </row>
        <row r="68010">
          <cell r="O68010" t="str">
            <v/>
          </cell>
        </row>
        <row r="68011">
          <cell r="O68011" t="str">
            <v/>
          </cell>
        </row>
        <row r="68012">
          <cell r="O68012" t="str">
            <v/>
          </cell>
        </row>
        <row r="68013">
          <cell r="O68013" t="str">
            <v/>
          </cell>
        </row>
        <row r="68014">
          <cell r="O68014" t="str">
            <v/>
          </cell>
        </row>
        <row r="68015">
          <cell r="O68015" t="str">
            <v/>
          </cell>
        </row>
        <row r="68016">
          <cell r="O68016" t="str">
            <v/>
          </cell>
        </row>
        <row r="68017">
          <cell r="O68017" t="str">
            <v/>
          </cell>
        </row>
        <row r="68018">
          <cell r="O68018" t="str">
            <v/>
          </cell>
        </row>
        <row r="68019">
          <cell r="O68019" t="str">
            <v/>
          </cell>
        </row>
        <row r="68020">
          <cell r="O68020" t="str">
            <v/>
          </cell>
        </row>
        <row r="68021">
          <cell r="O68021" t="str">
            <v/>
          </cell>
        </row>
        <row r="68022">
          <cell r="O68022" t="str">
            <v/>
          </cell>
        </row>
        <row r="68023">
          <cell r="O68023" t="str">
            <v/>
          </cell>
        </row>
        <row r="68024">
          <cell r="O68024" t="str">
            <v/>
          </cell>
        </row>
        <row r="68025">
          <cell r="O68025" t="str">
            <v/>
          </cell>
        </row>
        <row r="68026">
          <cell r="O68026" t="str">
            <v/>
          </cell>
        </row>
        <row r="68027">
          <cell r="O68027" t="str">
            <v/>
          </cell>
        </row>
        <row r="68028">
          <cell r="O68028" t="str">
            <v/>
          </cell>
        </row>
        <row r="68029">
          <cell r="O68029" t="str">
            <v/>
          </cell>
        </row>
        <row r="68030">
          <cell r="O68030" t="str">
            <v/>
          </cell>
        </row>
        <row r="68031">
          <cell r="O68031" t="str">
            <v/>
          </cell>
        </row>
        <row r="68032">
          <cell r="O68032" t="str">
            <v/>
          </cell>
        </row>
        <row r="68033">
          <cell r="O68033" t="str">
            <v/>
          </cell>
        </row>
        <row r="68034">
          <cell r="O68034" t="str">
            <v/>
          </cell>
        </row>
        <row r="68035">
          <cell r="O68035" t="str">
            <v/>
          </cell>
        </row>
        <row r="68036">
          <cell r="O68036" t="str">
            <v/>
          </cell>
        </row>
        <row r="68037">
          <cell r="O68037" t="str">
            <v/>
          </cell>
        </row>
        <row r="68038">
          <cell r="O68038" t="str">
            <v/>
          </cell>
        </row>
        <row r="68039">
          <cell r="O68039" t="str">
            <v/>
          </cell>
        </row>
        <row r="68040">
          <cell r="O68040" t="str">
            <v/>
          </cell>
        </row>
        <row r="68041">
          <cell r="O68041" t="str">
            <v/>
          </cell>
        </row>
        <row r="68042">
          <cell r="O68042" t="str">
            <v/>
          </cell>
        </row>
        <row r="68043">
          <cell r="O68043" t="str">
            <v/>
          </cell>
        </row>
        <row r="68044">
          <cell r="O68044" t="str">
            <v/>
          </cell>
        </row>
        <row r="68045">
          <cell r="O68045" t="str">
            <v/>
          </cell>
        </row>
        <row r="68046">
          <cell r="O68046" t="str">
            <v/>
          </cell>
        </row>
        <row r="68047">
          <cell r="O68047" t="str">
            <v/>
          </cell>
        </row>
        <row r="68048">
          <cell r="O68048" t="str">
            <v/>
          </cell>
        </row>
        <row r="68049">
          <cell r="O68049" t="str">
            <v/>
          </cell>
        </row>
        <row r="68050">
          <cell r="O68050" t="str">
            <v/>
          </cell>
        </row>
        <row r="68051">
          <cell r="O68051" t="str">
            <v/>
          </cell>
        </row>
        <row r="68052">
          <cell r="O68052" t="str">
            <v/>
          </cell>
        </row>
        <row r="68053">
          <cell r="O68053" t="str">
            <v/>
          </cell>
        </row>
        <row r="68054">
          <cell r="O68054" t="str">
            <v/>
          </cell>
        </row>
        <row r="68055">
          <cell r="O68055" t="str">
            <v/>
          </cell>
        </row>
        <row r="68056">
          <cell r="O68056" t="str">
            <v/>
          </cell>
        </row>
        <row r="68057">
          <cell r="O68057" t="str">
            <v/>
          </cell>
        </row>
        <row r="68058">
          <cell r="O68058" t="str">
            <v/>
          </cell>
        </row>
        <row r="68059">
          <cell r="O68059" t="str">
            <v/>
          </cell>
        </row>
        <row r="68060">
          <cell r="O68060" t="str">
            <v/>
          </cell>
        </row>
        <row r="68061">
          <cell r="O68061" t="str">
            <v/>
          </cell>
        </row>
        <row r="68062">
          <cell r="O68062" t="str">
            <v/>
          </cell>
        </row>
        <row r="68063">
          <cell r="O68063" t="str">
            <v/>
          </cell>
        </row>
        <row r="68064">
          <cell r="O68064" t="str">
            <v/>
          </cell>
        </row>
        <row r="68065">
          <cell r="O68065" t="str">
            <v/>
          </cell>
        </row>
        <row r="68066">
          <cell r="O68066" t="str">
            <v/>
          </cell>
        </row>
        <row r="68067">
          <cell r="O68067" t="str">
            <v/>
          </cell>
        </row>
        <row r="68068">
          <cell r="O68068" t="str">
            <v/>
          </cell>
        </row>
        <row r="68069">
          <cell r="O68069" t="str">
            <v/>
          </cell>
        </row>
        <row r="68070">
          <cell r="O68070" t="str">
            <v/>
          </cell>
        </row>
        <row r="68071">
          <cell r="O68071" t="str">
            <v/>
          </cell>
        </row>
        <row r="68072">
          <cell r="O68072" t="str">
            <v/>
          </cell>
        </row>
        <row r="68073">
          <cell r="O68073" t="str">
            <v/>
          </cell>
        </row>
        <row r="68074">
          <cell r="O68074" t="str">
            <v/>
          </cell>
        </row>
        <row r="68075">
          <cell r="O68075" t="str">
            <v/>
          </cell>
        </row>
        <row r="68076">
          <cell r="O68076" t="str">
            <v/>
          </cell>
        </row>
        <row r="68077">
          <cell r="O68077" t="str">
            <v/>
          </cell>
        </row>
        <row r="68078">
          <cell r="O68078" t="str">
            <v/>
          </cell>
        </row>
        <row r="68079">
          <cell r="O68079" t="str">
            <v/>
          </cell>
        </row>
        <row r="68080">
          <cell r="O68080" t="str">
            <v/>
          </cell>
        </row>
        <row r="68081">
          <cell r="O68081" t="str">
            <v/>
          </cell>
        </row>
        <row r="68082">
          <cell r="O68082" t="str">
            <v/>
          </cell>
        </row>
        <row r="68083">
          <cell r="O68083" t="str">
            <v/>
          </cell>
        </row>
        <row r="68084">
          <cell r="O68084" t="str">
            <v/>
          </cell>
        </row>
        <row r="68085">
          <cell r="O68085" t="str">
            <v/>
          </cell>
        </row>
        <row r="68086">
          <cell r="O68086" t="str">
            <v/>
          </cell>
        </row>
        <row r="68087">
          <cell r="O68087" t="str">
            <v/>
          </cell>
        </row>
        <row r="68088">
          <cell r="O68088" t="str">
            <v/>
          </cell>
        </row>
        <row r="68089">
          <cell r="O68089" t="str">
            <v/>
          </cell>
        </row>
        <row r="68090">
          <cell r="O68090" t="str">
            <v/>
          </cell>
        </row>
        <row r="68091">
          <cell r="O68091" t="str">
            <v/>
          </cell>
        </row>
        <row r="68092">
          <cell r="O68092" t="str">
            <v/>
          </cell>
        </row>
        <row r="68093">
          <cell r="O68093" t="str">
            <v/>
          </cell>
        </row>
        <row r="68094">
          <cell r="O68094" t="str">
            <v/>
          </cell>
        </row>
        <row r="68095">
          <cell r="O68095" t="str">
            <v/>
          </cell>
        </row>
        <row r="68096">
          <cell r="O68096" t="str">
            <v/>
          </cell>
        </row>
        <row r="68097">
          <cell r="O68097" t="str">
            <v/>
          </cell>
        </row>
        <row r="68098">
          <cell r="O68098" t="str">
            <v/>
          </cell>
        </row>
        <row r="68099">
          <cell r="O68099" t="str">
            <v/>
          </cell>
        </row>
        <row r="68100">
          <cell r="O68100" t="str">
            <v/>
          </cell>
        </row>
        <row r="68101">
          <cell r="O68101" t="str">
            <v/>
          </cell>
        </row>
        <row r="68102">
          <cell r="O68102" t="str">
            <v/>
          </cell>
        </row>
        <row r="68103">
          <cell r="O68103" t="str">
            <v/>
          </cell>
        </row>
        <row r="68104">
          <cell r="O68104" t="str">
            <v/>
          </cell>
        </row>
        <row r="68105">
          <cell r="O68105" t="str">
            <v/>
          </cell>
        </row>
        <row r="68106">
          <cell r="O68106" t="str">
            <v/>
          </cell>
        </row>
        <row r="68107">
          <cell r="O68107" t="str">
            <v/>
          </cell>
        </row>
        <row r="68108">
          <cell r="O68108" t="str">
            <v/>
          </cell>
        </row>
        <row r="68109">
          <cell r="O68109" t="str">
            <v/>
          </cell>
        </row>
        <row r="68110">
          <cell r="O68110" t="str">
            <v/>
          </cell>
        </row>
        <row r="68111">
          <cell r="O68111" t="str">
            <v/>
          </cell>
        </row>
        <row r="68112">
          <cell r="O68112" t="str">
            <v/>
          </cell>
        </row>
        <row r="68113">
          <cell r="O68113" t="str">
            <v/>
          </cell>
        </row>
        <row r="68114">
          <cell r="O68114" t="str">
            <v/>
          </cell>
        </row>
        <row r="68115">
          <cell r="O68115" t="str">
            <v/>
          </cell>
        </row>
        <row r="68116">
          <cell r="O68116" t="str">
            <v/>
          </cell>
        </row>
        <row r="68117">
          <cell r="O68117" t="str">
            <v/>
          </cell>
        </row>
        <row r="68118">
          <cell r="O68118" t="str">
            <v/>
          </cell>
        </row>
        <row r="68119">
          <cell r="O68119" t="str">
            <v/>
          </cell>
        </row>
        <row r="68120">
          <cell r="O68120" t="str">
            <v/>
          </cell>
        </row>
        <row r="68121">
          <cell r="O68121" t="str">
            <v/>
          </cell>
        </row>
        <row r="68122">
          <cell r="O68122" t="str">
            <v/>
          </cell>
        </row>
        <row r="68123">
          <cell r="O68123" t="str">
            <v/>
          </cell>
        </row>
        <row r="68124">
          <cell r="O68124" t="str">
            <v/>
          </cell>
        </row>
        <row r="68125">
          <cell r="O68125" t="str">
            <v/>
          </cell>
        </row>
        <row r="68126">
          <cell r="O68126" t="str">
            <v/>
          </cell>
        </row>
        <row r="68127">
          <cell r="O68127" t="str">
            <v/>
          </cell>
        </row>
        <row r="68128">
          <cell r="O68128" t="str">
            <v/>
          </cell>
        </row>
        <row r="68129">
          <cell r="O68129" t="str">
            <v/>
          </cell>
        </row>
        <row r="68130">
          <cell r="O68130" t="str">
            <v/>
          </cell>
        </row>
        <row r="68131">
          <cell r="O68131" t="str">
            <v/>
          </cell>
        </row>
        <row r="68132">
          <cell r="O68132" t="str">
            <v/>
          </cell>
        </row>
        <row r="68133">
          <cell r="O68133" t="str">
            <v/>
          </cell>
        </row>
        <row r="68134">
          <cell r="O68134" t="str">
            <v/>
          </cell>
        </row>
        <row r="68135">
          <cell r="O68135" t="str">
            <v/>
          </cell>
        </row>
        <row r="68136">
          <cell r="O68136" t="str">
            <v/>
          </cell>
        </row>
        <row r="68137">
          <cell r="O68137" t="str">
            <v/>
          </cell>
        </row>
        <row r="68138">
          <cell r="O68138" t="str">
            <v/>
          </cell>
        </row>
        <row r="68139">
          <cell r="O68139" t="str">
            <v/>
          </cell>
        </row>
        <row r="68140">
          <cell r="O68140" t="str">
            <v/>
          </cell>
        </row>
        <row r="68141">
          <cell r="O68141" t="str">
            <v/>
          </cell>
        </row>
        <row r="68142">
          <cell r="O68142" t="str">
            <v/>
          </cell>
        </row>
        <row r="68143">
          <cell r="O68143" t="str">
            <v/>
          </cell>
        </row>
        <row r="68144">
          <cell r="O68144" t="str">
            <v/>
          </cell>
        </row>
        <row r="68145">
          <cell r="O68145" t="str">
            <v/>
          </cell>
        </row>
        <row r="68146">
          <cell r="O68146" t="str">
            <v/>
          </cell>
        </row>
        <row r="68147">
          <cell r="O68147" t="str">
            <v/>
          </cell>
        </row>
        <row r="68148">
          <cell r="O68148" t="str">
            <v/>
          </cell>
        </row>
        <row r="68149">
          <cell r="O68149" t="str">
            <v/>
          </cell>
        </row>
        <row r="68150">
          <cell r="O68150" t="str">
            <v/>
          </cell>
        </row>
        <row r="68151">
          <cell r="O68151" t="str">
            <v/>
          </cell>
        </row>
        <row r="68152">
          <cell r="O68152" t="str">
            <v/>
          </cell>
        </row>
        <row r="68153">
          <cell r="O68153" t="str">
            <v/>
          </cell>
        </row>
        <row r="68154">
          <cell r="O68154" t="str">
            <v/>
          </cell>
        </row>
        <row r="68155">
          <cell r="O68155" t="str">
            <v/>
          </cell>
        </row>
        <row r="68156">
          <cell r="O68156" t="str">
            <v/>
          </cell>
        </row>
        <row r="68157">
          <cell r="O68157" t="str">
            <v/>
          </cell>
        </row>
        <row r="68158">
          <cell r="O68158" t="str">
            <v/>
          </cell>
        </row>
        <row r="68159">
          <cell r="O68159" t="str">
            <v/>
          </cell>
        </row>
        <row r="68160">
          <cell r="O68160" t="str">
            <v/>
          </cell>
        </row>
        <row r="68161">
          <cell r="O68161" t="str">
            <v/>
          </cell>
        </row>
        <row r="68162">
          <cell r="O68162" t="str">
            <v/>
          </cell>
        </row>
        <row r="68163">
          <cell r="O68163" t="str">
            <v/>
          </cell>
        </row>
        <row r="68164">
          <cell r="O68164" t="str">
            <v/>
          </cell>
        </row>
        <row r="68165">
          <cell r="O68165" t="str">
            <v/>
          </cell>
        </row>
        <row r="68166">
          <cell r="O68166" t="str">
            <v/>
          </cell>
        </row>
        <row r="68167">
          <cell r="O68167" t="str">
            <v/>
          </cell>
        </row>
        <row r="68168">
          <cell r="O68168" t="str">
            <v/>
          </cell>
        </row>
        <row r="68169">
          <cell r="O68169" t="str">
            <v/>
          </cell>
        </row>
        <row r="68170">
          <cell r="O68170" t="str">
            <v/>
          </cell>
        </row>
        <row r="68171">
          <cell r="O68171" t="str">
            <v/>
          </cell>
        </row>
        <row r="68172">
          <cell r="O68172" t="str">
            <v/>
          </cell>
        </row>
        <row r="68173">
          <cell r="O68173" t="str">
            <v/>
          </cell>
        </row>
        <row r="68174">
          <cell r="O68174" t="str">
            <v/>
          </cell>
        </row>
        <row r="68175">
          <cell r="O68175" t="str">
            <v/>
          </cell>
        </row>
        <row r="68176">
          <cell r="O68176" t="str">
            <v/>
          </cell>
        </row>
        <row r="68177">
          <cell r="O68177" t="str">
            <v/>
          </cell>
        </row>
        <row r="68178">
          <cell r="O68178" t="str">
            <v/>
          </cell>
        </row>
        <row r="68179">
          <cell r="O68179" t="str">
            <v/>
          </cell>
        </row>
        <row r="68180">
          <cell r="O68180" t="str">
            <v/>
          </cell>
        </row>
        <row r="68181">
          <cell r="O68181" t="str">
            <v/>
          </cell>
        </row>
        <row r="68182">
          <cell r="O68182" t="str">
            <v/>
          </cell>
        </row>
        <row r="68183">
          <cell r="O68183" t="str">
            <v/>
          </cell>
        </row>
        <row r="68184">
          <cell r="O68184" t="str">
            <v/>
          </cell>
        </row>
        <row r="68185">
          <cell r="O68185" t="str">
            <v/>
          </cell>
        </row>
        <row r="68186">
          <cell r="O68186" t="str">
            <v/>
          </cell>
        </row>
        <row r="68187">
          <cell r="O68187" t="str">
            <v/>
          </cell>
        </row>
        <row r="68188">
          <cell r="O68188" t="str">
            <v/>
          </cell>
        </row>
        <row r="68189">
          <cell r="O68189" t="str">
            <v/>
          </cell>
        </row>
        <row r="68190">
          <cell r="O68190" t="str">
            <v/>
          </cell>
        </row>
        <row r="68191">
          <cell r="O68191" t="str">
            <v/>
          </cell>
        </row>
        <row r="68192">
          <cell r="O68192" t="str">
            <v/>
          </cell>
        </row>
        <row r="68193">
          <cell r="O68193" t="str">
            <v/>
          </cell>
        </row>
        <row r="68194">
          <cell r="O68194" t="str">
            <v/>
          </cell>
        </row>
        <row r="68195">
          <cell r="O68195" t="str">
            <v/>
          </cell>
        </row>
        <row r="68196">
          <cell r="O68196" t="str">
            <v/>
          </cell>
        </row>
        <row r="68197">
          <cell r="O68197" t="str">
            <v/>
          </cell>
        </row>
        <row r="68198">
          <cell r="O68198" t="str">
            <v/>
          </cell>
        </row>
        <row r="68199">
          <cell r="O68199" t="str">
            <v/>
          </cell>
        </row>
        <row r="68200">
          <cell r="O68200" t="str">
            <v/>
          </cell>
        </row>
        <row r="68201">
          <cell r="O68201" t="str">
            <v/>
          </cell>
        </row>
        <row r="68202">
          <cell r="O68202" t="str">
            <v/>
          </cell>
        </row>
        <row r="68203">
          <cell r="O68203" t="str">
            <v/>
          </cell>
        </row>
        <row r="68204">
          <cell r="O68204" t="str">
            <v/>
          </cell>
        </row>
        <row r="68205">
          <cell r="O68205" t="str">
            <v/>
          </cell>
        </row>
        <row r="68206">
          <cell r="O68206" t="str">
            <v/>
          </cell>
        </row>
        <row r="68207">
          <cell r="O68207" t="str">
            <v/>
          </cell>
        </row>
        <row r="68208">
          <cell r="O68208" t="str">
            <v/>
          </cell>
        </row>
        <row r="68209">
          <cell r="O68209" t="str">
            <v/>
          </cell>
        </row>
        <row r="68210">
          <cell r="O68210" t="str">
            <v/>
          </cell>
        </row>
        <row r="68211">
          <cell r="O68211" t="str">
            <v/>
          </cell>
        </row>
        <row r="68212">
          <cell r="O68212" t="str">
            <v/>
          </cell>
        </row>
        <row r="68213">
          <cell r="O68213" t="str">
            <v/>
          </cell>
        </row>
        <row r="68214">
          <cell r="O68214" t="str">
            <v/>
          </cell>
        </row>
        <row r="68215">
          <cell r="O68215" t="str">
            <v/>
          </cell>
        </row>
        <row r="68216">
          <cell r="O68216" t="str">
            <v/>
          </cell>
        </row>
        <row r="68217">
          <cell r="O68217" t="str">
            <v/>
          </cell>
        </row>
        <row r="68218">
          <cell r="O68218" t="str">
            <v/>
          </cell>
        </row>
        <row r="68219">
          <cell r="O68219" t="str">
            <v/>
          </cell>
        </row>
        <row r="68220">
          <cell r="O68220" t="str">
            <v/>
          </cell>
        </row>
        <row r="68221">
          <cell r="O68221" t="str">
            <v/>
          </cell>
        </row>
        <row r="68222">
          <cell r="O68222" t="str">
            <v/>
          </cell>
        </row>
        <row r="68223">
          <cell r="O68223" t="str">
            <v/>
          </cell>
        </row>
        <row r="68224">
          <cell r="O68224" t="str">
            <v/>
          </cell>
        </row>
        <row r="68225">
          <cell r="O68225" t="str">
            <v/>
          </cell>
        </row>
        <row r="68226">
          <cell r="O68226" t="str">
            <v/>
          </cell>
        </row>
        <row r="68227">
          <cell r="O68227" t="str">
            <v/>
          </cell>
        </row>
        <row r="68228">
          <cell r="O68228" t="str">
            <v/>
          </cell>
        </row>
        <row r="68229">
          <cell r="O68229" t="str">
            <v/>
          </cell>
        </row>
        <row r="68230">
          <cell r="O68230" t="str">
            <v/>
          </cell>
        </row>
        <row r="68231">
          <cell r="O68231" t="str">
            <v/>
          </cell>
        </row>
        <row r="68232">
          <cell r="O68232" t="str">
            <v/>
          </cell>
        </row>
        <row r="68233">
          <cell r="O68233" t="str">
            <v/>
          </cell>
        </row>
        <row r="68234">
          <cell r="O68234" t="str">
            <v/>
          </cell>
        </row>
        <row r="68235">
          <cell r="O68235" t="str">
            <v/>
          </cell>
        </row>
        <row r="68236">
          <cell r="O68236" t="str">
            <v/>
          </cell>
        </row>
        <row r="68237">
          <cell r="O68237" t="str">
            <v/>
          </cell>
        </row>
        <row r="68238">
          <cell r="O68238" t="str">
            <v/>
          </cell>
        </row>
        <row r="68239">
          <cell r="O68239" t="str">
            <v/>
          </cell>
        </row>
        <row r="68240">
          <cell r="O68240" t="str">
            <v/>
          </cell>
        </row>
        <row r="68241">
          <cell r="O68241" t="str">
            <v/>
          </cell>
        </row>
        <row r="68242">
          <cell r="O68242" t="str">
            <v/>
          </cell>
        </row>
        <row r="68243">
          <cell r="O68243" t="str">
            <v/>
          </cell>
        </row>
        <row r="68244">
          <cell r="O68244" t="str">
            <v/>
          </cell>
        </row>
        <row r="68245">
          <cell r="O68245" t="str">
            <v/>
          </cell>
        </row>
        <row r="68246">
          <cell r="O68246" t="str">
            <v/>
          </cell>
        </row>
        <row r="68247">
          <cell r="O68247" t="str">
            <v/>
          </cell>
        </row>
        <row r="68248">
          <cell r="O68248" t="str">
            <v/>
          </cell>
        </row>
        <row r="68249">
          <cell r="O68249" t="str">
            <v/>
          </cell>
        </row>
        <row r="68250">
          <cell r="O68250" t="str">
            <v/>
          </cell>
        </row>
        <row r="68251">
          <cell r="O68251" t="str">
            <v/>
          </cell>
        </row>
        <row r="68252">
          <cell r="O68252" t="str">
            <v/>
          </cell>
        </row>
        <row r="68253">
          <cell r="O68253" t="str">
            <v/>
          </cell>
        </row>
        <row r="68254">
          <cell r="O68254" t="str">
            <v/>
          </cell>
        </row>
        <row r="68255">
          <cell r="O68255" t="str">
            <v/>
          </cell>
        </row>
        <row r="68256">
          <cell r="O68256" t="str">
            <v/>
          </cell>
        </row>
        <row r="68257">
          <cell r="O68257" t="str">
            <v/>
          </cell>
        </row>
        <row r="68258">
          <cell r="O68258" t="str">
            <v/>
          </cell>
        </row>
        <row r="68259">
          <cell r="O68259" t="str">
            <v/>
          </cell>
        </row>
        <row r="68260">
          <cell r="O68260" t="str">
            <v/>
          </cell>
        </row>
        <row r="68261">
          <cell r="O68261" t="str">
            <v/>
          </cell>
        </row>
        <row r="68262">
          <cell r="O68262" t="str">
            <v/>
          </cell>
        </row>
        <row r="68263">
          <cell r="O68263" t="str">
            <v/>
          </cell>
        </row>
        <row r="68264">
          <cell r="O68264" t="str">
            <v/>
          </cell>
        </row>
        <row r="68265">
          <cell r="O68265" t="str">
            <v/>
          </cell>
        </row>
        <row r="68266">
          <cell r="O68266" t="str">
            <v/>
          </cell>
        </row>
        <row r="68267">
          <cell r="O68267" t="str">
            <v/>
          </cell>
        </row>
        <row r="68268">
          <cell r="O68268" t="str">
            <v/>
          </cell>
        </row>
        <row r="68269">
          <cell r="O68269" t="str">
            <v/>
          </cell>
        </row>
        <row r="68270">
          <cell r="O68270" t="str">
            <v/>
          </cell>
        </row>
        <row r="68271">
          <cell r="O68271" t="str">
            <v/>
          </cell>
        </row>
        <row r="68272">
          <cell r="O68272" t="str">
            <v/>
          </cell>
        </row>
        <row r="68273">
          <cell r="O68273" t="str">
            <v/>
          </cell>
        </row>
        <row r="68274">
          <cell r="O68274" t="str">
            <v/>
          </cell>
        </row>
        <row r="68275">
          <cell r="O68275" t="str">
            <v/>
          </cell>
        </row>
        <row r="68276">
          <cell r="O68276" t="str">
            <v/>
          </cell>
        </row>
        <row r="68277">
          <cell r="O68277" t="str">
            <v/>
          </cell>
        </row>
        <row r="68278">
          <cell r="O68278" t="str">
            <v/>
          </cell>
        </row>
        <row r="68279">
          <cell r="O68279" t="str">
            <v/>
          </cell>
        </row>
        <row r="68280">
          <cell r="O68280" t="str">
            <v/>
          </cell>
        </row>
        <row r="68281">
          <cell r="O68281" t="str">
            <v/>
          </cell>
        </row>
        <row r="68282">
          <cell r="O68282" t="str">
            <v/>
          </cell>
        </row>
        <row r="68283">
          <cell r="O68283" t="str">
            <v/>
          </cell>
        </row>
        <row r="68284">
          <cell r="O68284" t="str">
            <v/>
          </cell>
        </row>
        <row r="68285">
          <cell r="O68285" t="str">
            <v/>
          </cell>
        </row>
        <row r="68286">
          <cell r="O68286" t="str">
            <v/>
          </cell>
        </row>
        <row r="68287">
          <cell r="O68287" t="str">
            <v/>
          </cell>
        </row>
        <row r="68288">
          <cell r="O68288" t="str">
            <v/>
          </cell>
        </row>
        <row r="68289">
          <cell r="O68289" t="str">
            <v/>
          </cell>
        </row>
        <row r="68290">
          <cell r="O68290" t="str">
            <v/>
          </cell>
        </row>
        <row r="68291">
          <cell r="O68291" t="str">
            <v/>
          </cell>
        </row>
        <row r="68292">
          <cell r="O68292" t="str">
            <v/>
          </cell>
        </row>
        <row r="68293">
          <cell r="O68293" t="str">
            <v/>
          </cell>
        </row>
        <row r="68294">
          <cell r="O68294" t="str">
            <v/>
          </cell>
        </row>
        <row r="68295">
          <cell r="O68295" t="str">
            <v/>
          </cell>
        </row>
        <row r="68296">
          <cell r="O68296" t="str">
            <v/>
          </cell>
        </row>
        <row r="68297">
          <cell r="O68297" t="str">
            <v/>
          </cell>
        </row>
        <row r="68298">
          <cell r="O68298" t="str">
            <v/>
          </cell>
        </row>
        <row r="68299">
          <cell r="O68299" t="str">
            <v/>
          </cell>
        </row>
        <row r="68300">
          <cell r="O68300" t="str">
            <v/>
          </cell>
        </row>
        <row r="68301">
          <cell r="O68301" t="str">
            <v/>
          </cell>
        </row>
        <row r="68302">
          <cell r="O68302" t="str">
            <v/>
          </cell>
        </row>
        <row r="68303">
          <cell r="O68303" t="str">
            <v/>
          </cell>
        </row>
        <row r="68304">
          <cell r="O68304" t="str">
            <v/>
          </cell>
        </row>
        <row r="68305">
          <cell r="O68305" t="str">
            <v/>
          </cell>
        </row>
        <row r="68306">
          <cell r="O68306" t="str">
            <v/>
          </cell>
        </row>
        <row r="68307">
          <cell r="O68307" t="str">
            <v/>
          </cell>
        </row>
        <row r="68308">
          <cell r="O68308" t="str">
            <v/>
          </cell>
        </row>
        <row r="68309">
          <cell r="O68309" t="str">
            <v/>
          </cell>
        </row>
        <row r="68310">
          <cell r="O68310" t="str">
            <v/>
          </cell>
        </row>
        <row r="68311">
          <cell r="O68311" t="str">
            <v/>
          </cell>
        </row>
        <row r="68312">
          <cell r="O68312" t="str">
            <v/>
          </cell>
        </row>
        <row r="68313">
          <cell r="O68313" t="str">
            <v/>
          </cell>
        </row>
        <row r="68314">
          <cell r="O68314" t="str">
            <v/>
          </cell>
        </row>
        <row r="68315">
          <cell r="O68315" t="str">
            <v/>
          </cell>
        </row>
        <row r="68316">
          <cell r="O68316" t="str">
            <v/>
          </cell>
        </row>
        <row r="68317">
          <cell r="O68317" t="str">
            <v/>
          </cell>
        </row>
        <row r="68318">
          <cell r="O68318" t="str">
            <v/>
          </cell>
        </row>
        <row r="68319">
          <cell r="O68319" t="str">
            <v/>
          </cell>
        </row>
        <row r="68320">
          <cell r="O68320" t="str">
            <v/>
          </cell>
        </row>
        <row r="68321">
          <cell r="O68321" t="str">
            <v/>
          </cell>
        </row>
        <row r="68322">
          <cell r="O68322" t="str">
            <v/>
          </cell>
        </row>
        <row r="68323">
          <cell r="O68323" t="str">
            <v/>
          </cell>
        </row>
        <row r="68324">
          <cell r="O68324" t="str">
            <v/>
          </cell>
        </row>
        <row r="68325">
          <cell r="O68325" t="str">
            <v/>
          </cell>
        </row>
        <row r="68326">
          <cell r="O68326" t="str">
            <v/>
          </cell>
        </row>
        <row r="68327">
          <cell r="O68327" t="str">
            <v/>
          </cell>
        </row>
        <row r="68328">
          <cell r="O68328" t="str">
            <v/>
          </cell>
        </row>
        <row r="68329">
          <cell r="O68329" t="str">
            <v/>
          </cell>
        </row>
        <row r="68330">
          <cell r="O68330" t="str">
            <v/>
          </cell>
        </row>
        <row r="68331">
          <cell r="O68331" t="str">
            <v/>
          </cell>
        </row>
        <row r="68332">
          <cell r="O68332" t="str">
            <v/>
          </cell>
        </row>
        <row r="68333">
          <cell r="O68333" t="str">
            <v/>
          </cell>
        </row>
        <row r="68334">
          <cell r="O68334" t="str">
            <v/>
          </cell>
        </row>
        <row r="68335">
          <cell r="O68335" t="str">
            <v/>
          </cell>
        </row>
        <row r="68336">
          <cell r="O68336" t="str">
            <v/>
          </cell>
        </row>
        <row r="68337">
          <cell r="O68337" t="str">
            <v/>
          </cell>
        </row>
        <row r="68338">
          <cell r="O68338" t="str">
            <v/>
          </cell>
        </row>
        <row r="68339">
          <cell r="O68339" t="str">
            <v/>
          </cell>
        </row>
        <row r="68340">
          <cell r="O68340" t="str">
            <v/>
          </cell>
        </row>
        <row r="68341">
          <cell r="O68341" t="str">
            <v/>
          </cell>
        </row>
        <row r="68342">
          <cell r="O68342" t="str">
            <v/>
          </cell>
        </row>
        <row r="68343">
          <cell r="O68343" t="str">
            <v/>
          </cell>
        </row>
        <row r="68344">
          <cell r="O68344" t="str">
            <v/>
          </cell>
        </row>
        <row r="68345">
          <cell r="O68345" t="str">
            <v/>
          </cell>
        </row>
        <row r="68346">
          <cell r="O68346" t="str">
            <v/>
          </cell>
        </row>
        <row r="68347">
          <cell r="O68347" t="str">
            <v/>
          </cell>
        </row>
        <row r="68348">
          <cell r="O68348" t="str">
            <v/>
          </cell>
        </row>
        <row r="68349">
          <cell r="O68349" t="str">
            <v/>
          </cell>
        </row>
        <row r="68350">
          <cell r="O68350" t="str">
            <v/>
          </cell>
        </row>
        <row r="68351">
          <cell r="O68351" t="str">
            <v/>
          </cell>
        </row>
        <row r="68352">
          <cell r="O68352" t="str">
            <v/>
          </cell>
        </row>
        <row r="68353">
          <cell r="O68353" t="str">
            <v/>
          </cell>
        </row>
        <row r="68354">
          <cell r="O68354" t="str">
            <v/>
          </cell>
        </row>
        <row r="68355">
          <cell r="O68355" t="str">
            <v/>
          </cell>
        </row>
        <row r="68356">
          <cell r="O68356" t="str">
            <v/>
          </cell>
        </row>
        <row r="68357">
          <cell r="O68357" t="str">
            <v/>
          </cell>
        </row>
        <row r="68358">
          <cell r="O68358" t="str">
            <v/>
          </cell>
        </row>
        <row r="68359">
          <cell r="O68359" t="str">
            <v/>
          </cell>
        </row>
        <row r="68360">
          <cell r="O68360" t="str">
            <v/>
          </cell>
        </row>
        <row r="68361">
          <cell r="O68361" t="str">
            <v/>
          </cell>
        </row>
        <row r="68362">
          <cell r="O68362" t="str">
            <v/>
          </cell>
        </row>
        <row r="68363">
          <cell r="O68363" t="str">
            <v/>
          </cell>
        </row>
        <row r="68364">
          <cell r="O68364" t="str">
            <v/>
          </cell>
        </row>
        <row r="68365">
          <cell r="O68365" t="str">
            <v/>
          </cell>
        </row>
        <row r="68366">
          <cell r="O68366" t="str">
            <v/>
          </cell>
        </row>
        <row r="68367">
          <cell r="O68367" t="str">
            <v/>
          </cell>
        </row>
        <row r="68368">
          <cell r="O68368" t="str">
            <v/>
          </cell>
        </row>
        <row r="68369">
          <cell r="O68369" t="str">
            <v/>
          </cell>
        </row>
        <row r="68370">
          <cell r="O68370" t="str">
            <v/>
          </cell>
        </row>
        <row r="68371">
          <cell r="O68371" t="str">
            <v/>
          </cell>
        </row>
        <row r="68372">
          <cell r="O68372" t="str">
            <v/>
          </cell>
        </row>
        <row r="68373">
          <cell r="O68373" t="str">
            <v/>
          </cell>
        </row>
        <row r="68374">
          <cell r="O68374" t="str">
            <v/>
          </cell>
        </row>
        <row r="68375">
          <cell r="O68375" t="str">
            <v/>
          </cell>
        </row>
        <row r="68376">
          <cell r="O68376" t="str">
            <v/>
          </cell>
        </row>
        <row r="68377">
          <cell r="O68377" t="str">
            <v/>
          </cell>
        </row>
        <row r="68378">
          <cell r="O68378" t="str">
            <v/>
          </cell>
        </row>
        <row r="68379">
          <cell r="O68379" t="str">
            <v/>
          </cell>
        </row>
        <row r="68380">
          <cell r="O68380" t="str">
            <v/>
          </cell>
        </row>
        <row r="68381">
          <cell r="O68381" t="str">
            <v/>
          </cell>
        </row>
        <row r="68382">
          <cell r="O68382" t="str">
            <v/>
          </cell>
        </row>
        <row r="68383">
          <cell r="O68383" t="str">
            <v/>
          </cell>
        </row>
        <row r="68384">
          <cell r="O68384" t="str">
            <v/>
          </cell>
        </row>
        <row r="68385">
          <cell r="O68385" t="str">
            <v/>
          </cell>
        </row>
        <row r="68386">
          <cell r="O68386" t="str">
            <v/>
          </cell>
        </row>
        <row r="68387">
          <cell r="O68387" t="str">
            <v/>
          </cell>
        </row>
        <row r="68388">
          <cell r="O68388" t="str">
            <v/>
          </cell>
        </row>
        <row r="68389">
          <cell r="O68389" t="str">
            <v/>
          </cell>
        </row>
        <row r="68390">
          <cell r="O68390" t="str">
            <v/>
          </cell>
        </row>
        <row r="68391">
          <cell r="O68391" t="str">
            <v/>
          </cell>
        </row>
        <row r="68392">
          <cell r="O68392" t="str">
            <v/>
          </cell>
        </row>
        <row r="68393">
          <cell r="O68393" t="str">
            <v/>
          </cell>
        </row>
        <row r="68394">
          <cell r="O68394" t="str">
            <v/>
          </cell>
        </row>
        <row r="68395">
          <cell r="O68395" t="str">
            <v/>
          </cell>
        </row>
        <row r="68396">
          <cell r="O68396" t="str">
            <v/>
          </cell>
        </row>
        <row r="68397">
          <cell r="O68397" t="str">
            <v/>
          </cell>
        </row>
        <row r="68398">
          <cell r="O68398" t="str">
            <v/>
          </cell>
        </row>
        <row r="68399">
          <cell r="O68399" t="str">
            <v/>
          </cell>
        </row>
        <row r="68400">
          <cell r="O68400" t="str">
            <v/>
          </cell>
        </row>
        <row r="68401">
          <cell r="O68401" t="str">
            <v/>
          </cell>
        </row>
        <row r="68402">
          <cell r="O68402" t="str">
            <v/>
          </cell>
        </row>
        <row r="68403">
          <cell r="O68403" t="str">
            <v/>
          </cell>
        </row>
        <row r="68404">
          <cell r="O68404" t="str">
            <v/>
          </cell>
        </row>
        <row r="68405">
          <cell r="O68405" t="str">
            <v/>
          </cell>
        </row>
        <row r="68406">
          <cell r="O68406" t="str">
            <v/>
          </cell>
        </row>
        <row r="68407">
          <cell r="O68407" t="str">
            <v/>
          </cell>
        </row>
        <row r="68408">
          <cell r="O68408" t="str">
            <v/>
          </cell>
        </row>
        <row r="68409">
          <cell r="O68409" t="str">
            <v/>
          </cell>
        </row>
        <row r="68410">
          <cell r="O68410" t="str">
            <v/>
          </cell>
        </row>
        <row r="68411">
          <cell r="O68411" t="str">
            <v/>
          </cell>
        </row>
        <row r="68412">
          <cell r="O68412" t="str">
            <v/>
          </cell>
        </row>
        <row r="68413">
          <cell r="O68413" t="str">
            <v/>
          </cell>
        </row>
        <row r="68414">
          <cell r="O68414" t="str">
            <v/>
          </cell>
        </row>
        <row r="68415">
          <cell r="O68415" t="str">
            <v/>
          </cell>
        </row>
        <row r="68416">
          <cell r="O68416" t="str">
            <v/>
          </cell>
        </row>
        <row r="68417">
          <cell r="O68417" t="str">
            <v/>
          </cell>
        </row>
        <row r="68418">
          <cell r="O68418" t="str">
            <v/>
          </cell>
        </row>
        <row r="68419">
          <cell r="O68419" t="str">
            <v/>
          </cell>
        </row>
        <row r="68420">
          <cell r="O68420" t="str">
            <v/>
          </cell>
        </row>
        <row r="68421">
          <cell r="O68421" t="str">
            <v/>
          </cell>
        </row>
        <row r="68422">
          <cell r="O68422" t="str">
            <v/>
          </cell>
        </row>
        <row r="68423">
          <cell r="O68423" t="str">
            <v/>
          </cell>
        </row>
        <row r="68424">
          <cell r="O68424" t="str">
            <v/>
          </cell>
        </row>
        <row r="68425">
          <cell r="O68425" t="str">
            <v/>
          </cell>
        </row>
        <row r="68426">
          <cell r="O68426" t="str">
            <v/>
          </cell>
        </row>
        <row r="68427">
          <cell r="O68427" t="str">
            <v/>
          </cell>
        </row>
        <row r="68428">
          <cell r="O68428" t="str">
            <v/>
          </cell>
        </row>
        <row r="68429">
          <cell r="O68429" t="str">
            <v/>
          </cell>
        </row>
        <row r="68430">
          <cell r="O68430" t="str">
            <v/>
          </cell>
        </row>
        <row r="68431">
          <cell r="O68431" t="str">
            <v/>
          </cell>
        </row>
        <row r="68432">
          <cell r="O68432" t="str">
            <v/>
          </cell>
        </row>
        <row r="68433">
          <cell r="O68433" t="str">
            <v/>
          </cell>
        </row>
        <row r="68434">
          <cell r="O68434" t="str">
            <v/>
          </cell>
        </row>
        <row r="68435">
          <cell r="O68435" t="str">
            <v/>
          </cell>
        </row>
        <row r="68436">
          <cell r="O68436" t="str">
            <v/>
          </cell>
        </row>
        <row r="68437">
          <cell r="O68437" t="str">
            <v/>
          </cell>
        </row>
        <row r="68438">
          <cell r="O68438" t="str">
            <v/>
          </cell>
        </row>
        <row r="68439">
          <cell r="O68439" t="str">
            <v/>
          </cell>
        </row>
        <row r="68440">
          <cell r="O68440" t="str">
            <v/>
          </cell>
        </row>
        <row r="68441">
          <cell r="O68441" t="str">
            <v/>
          </cell>
        </row>
        <row r="68442">
          <cell r="O68442" t="str">
            <v/>
          </cell>
        </row>
        <row r="68443">
          <cell r="O68443" t="str">
            <v/>
          </cell>
        </row>
        <row r="68444">
          <cell r="O68444" t="str">
            <v/>
          </cell>
        </row>
        <row r="68445">
          <cell r="O68445" t="str">
            <v/>
          </cell>
        </row>
        <row r="68446">
          <cell r="O68446" t="str">
            <v/>
          </cell>
        </row>
        <row r="68447">
          <cell r="O68447" t="str">
            <v/>
          </cell>
        </row>
        <row r="68448">
          <cell r="O68448" t="str">
            <v/>
          </cell>
        </row>
        <row r="68449">
          <cell r="O68449" t="str">
            <v/>
          </cell>
        </row>
        <row r="68450">
          <cell r="O68450" t="str">
            <v/>
          </cell>
        </row>
        <row r="68451">
          <cell r="O68451" t="str">
            <v/>
          </cell>
        </row>
        <row r="68452">
          <cell r="O68452" t="str">
            <v/>
          </cell>
        </row>
        <row r="68453">
          <cell r="O68453" t="str">
            <v/>
          </cell>
        </row>
        <row r="68454">
          <cell r="O68454" t="str">
            <v/>
          </cell>
        </row>
        <row r="68455">
          <cell r="O68455" t="str">
            <v/>
          </cell>
        </row>
        <row r="68456">
          <cell r="O68456" t="str">
            <v/>
          </cell>
        </row>
        <row r="68457">
          <cell r="O68457" t="str">
            <v/>
          </cell>
        </row>
        <row r="68458">
          <cell r="O68458" t="str">
            <v/>
          </cell>
        </row>
        <row r="68459">
          <cell r="O68459" t="str">
            <v/>
          </cell>
        </row>
        <row r="68460">
          <cell r="O68460" t="str">
            <v/>
          </cell>
        </row>
        <row r="68461">
          <cell r="O68461" t="str">
            <v/>
          </cell>
        </row>
        <row r="68462">
          <cell r="O68462" t="str">
            <v/>
          </cell>
        </row>
        <row r="68463">
          <cell r="O68463" t="str">
            <v/>
          </cell>
        </row>
        <row r="68464">
          <cell r="O68464" t="str">
            <v/>
          </cell>
        </row>
        <row r="68465">
          <cell r="O68465" t="str">
            <v/>
          </cell>
        </row>
        <row r="68466">
          <cell r="O68466" t="str">
            <v/>
          </cell>
        </row>
        <row r="68467">
          <cell r="O68467" t="str">
            <v/>
          </cell>
        </row>
        <row r="68468">
          <cell r="O68468" t="str">
            <v/>
          </cell>
        </row>
        <row r="68469">
          <cell r="O68469" t="str">
            <v/>
          </cell>
        </row>
        <row r="68470">
          <cell r="O68470" t="str">
            <v/>
          </cell>
        </row>
        <row r="68471">
          <cell r="O68471" t="str">
            <v/>
          </cell>
        </row>
        <row r="68472">
          <cell r="O68472" t="str">
            <v/>
          </cell>
        </row>
        <row r="68473">
          <cell r="O68473" t="str">
            <v/>
          </cell>
        </row>
        <row r="68474">
          <cell r="O68474" t="str">
            <v/>
          </cell>
        </row>
        <row r="68475">
          <cell r="O68475" t="str">
            <v/>
          </cell>
        </row>
        <row r="68476">
          <cell r="O68476" t="str">
            <v/>
          </cell>
        </row>
        <row r="68477">
          <cell r="O68477" t="str">
            <v/>
          </cell>
        </row>
        <row r="68478">
          <cell r="O68478" t="str">
            <v/>
          </cell>
        </row>
        <row r="68479">
          <cell r="O68479" t="str">
            <v/>
          </cell>
        </row>
        <row r="68480">
          <cell r="O68480" t="str">
            <v/>
          </cell>
        </row>
        <row r="68481">
          <cell r="O68481" t="str">
            <v/>
          </cell>
        </row>
        <row r="68482">
          <cell r="O68482" t="str">
            <v/>
          </cell>
        </row>
        <row r="68483">
          <cell r="O68483" t="str">
            <v/>
          </cell>
        </row>
        <row r="68484">
          <cell r="O68484" t="str">
            <v/>
          </cell>
        </row>
        <row r="68485">
          <cell r="O68485" t="str">
            <v/>
          </cell>
        </row>
        <row r="68486">
          <cell r="O68486" t="str">
            <v/>
          </cell>
        </row>
        <row r="68487">
          <cell r="O68487" t="str">
            <v/>
          </cell>
        </row>
        <row r="68488">
          <cell r="O68488" t="str">
            <v/>
          </cell>
        </row>
        <row r="68489">
          <cell r="O68489" t="str">
            <v/>
          </cell>
        </row>
        <row r="68490">
          <cell r="O68490" t="str">
            <v/>
          </cell>
        </row>
        <row r="68491">
          <cell r="O68491" t="str">
            <v/>
          </cell>
        </row>
        <row r="68492">
          <cell r="O68492" t="str">
            <v/>
          </cell>
        </row>
        <row r="68493">
          <cell r="O68493" t="str">
            <v/>
          </cell>
        </row>
        <row r="68494">
          <cell r="O68494" t="str">
            <v/>
          </cell>
        </row>
        <row r="68495">
          <cell r="O68495" t="str">
            <v/>
          </cell>
        </row>
        <row r="68496">
          <cell r="O68496" t="str">
            <v/>
          </cell>
        </row>
        <row r="68497">
          <cell r="O68497" t="str">
            <v/>
          </cell>
        </row>
        <row r="68498">
          <cell r="O68498" t="str">
            <v/>
          </cell>
        </row>
        <row r="68499">
          <cell r="O68499" t="str">
            <v/>
          </cell>
        </row>
        <row r="68500">
          <cell r="O68500" t="str">
            <v/>
          </cell>
        </row>
        <row r="68501">
          <cell r="O68501" t="str">
            <v/>
          </cell>
        </row>
        <row r="68502">
          <cell r="O68502" t="str">
            <v/>
          </cell>
        </row>
        <row r="68503">
          <cell r="O68503" t="str">
            <v/>
          </cell>
        </row>
        <row r="68504">
          <cell r="O68504" t="str">
            <v/>
          </cell>
        </row>
        <row r="68505">
          <cell r="O68505" t="str">
            <v/>
          </cell>
        </row>
        <row r="68506">
          <cell r="O68506" t="str">
            <v/>
          </cell>
        </row>
        <row r="68507">
          <cell r="O68507" t="str">
            <v/>
          </cell>
        </row>
        <row r="68508">
          <cell r="O68508" t="str">
            <v/>
          </cell>
        </row>
        <row r="68509">
          <cell r="O68509" t="str">
            <v/>
          </cell>
        </row>
        <row r="68510">
          <cell r="O68510" t="str">
            <v/>
          </cell>
        </row>
        <row r="68511">
          <cell r="O68511" t="str">
            <v/>
          </cell>
        </row>
        <row r="68512">
          <cell r="O68512" t="str">
            <v/>
          </cell>
        </row>
        <row r="68513">
          <cell r="O68513" t="str">
            <v/>
          </cell>
        </row>
        <row r="68514">
          <cell r="O68514" t="str">
            <v/>
          </cell>
        </row>
        <row r="68515">
          <cell r="O68515" t="str">
            <v/>
          </cell>
        </row>
        <row r="68516">
          <cell r="O68516" t="str">
            <v/>
          </cell>
        </row>
        <row r="68517">
          <cell r="O68517" t="str">
            <v/>
          </cell>
        </row>
        <row r="68518">
          <cell r="O68518" t="str">
            <v/>
          </cell>
        </row>
        <row r="68519">
          <cell r="O68519" t="str">
            <v/>
          </cell>
        </row>
        <row r="68520">
          <cell r="O68520" t="str">
            <v/>
          </cell>
        </row>
        <row r="68521">
          <cell r="O68521" t="str">
            <v/>
          </cell>
        </row>
        <row r="68522">
          <cell r="O68522" t="str">
            <v/>
          </cell>
        </row>
        <row r="68523">
          <cell r="O68523" t="str">
            <v/>
          </cell>
        </row>
        <row r="68524">
          <cell r="O68524" t="str">
            <v/>
          </cell>
        </row>
        <row r="68525">
          <cell r="O68525" t="str">
            <v/>
          </cell>
        </row>
        <row r="68526">
          <cell r="O68526" t="str">
            <v/>
          </cell>
        </row>
        <row r="68527">
          <cell r="O68527" t="str">
            <v/>
          </cell>
        </row>
        <row r="68528">
          <cell r="O68528" t="str">
            <v/>
          </cell>
        </row>
        <row r="68529">
          <cell r="O68529" t="str">
            <v/>
          </cell>
        </row>
        <row r="68530">
          <cell r="O68530" t="str">
            <v/>
          </cell>
        </row>
        <row r="68531">
          <cell r="O68531" t="str">
            <v/>
          </cell>
        </row>
        <row r="68532">
          <cell r="O68532" t="str">
            <v/>
          </cell>
        </row>
        <row r="68533">
          <cell r="O68533" t="str">
            <v/>
          </cell>
        </row>
        <row r="68534">
          <cell r="O68534" t="str">
            <v/>
          </cell>
        </row>
        <row r="68535">
          <cell r="O68535" t="str">
            <v/>
          </cell>
        </row>
        <row r="68536">
          <cell r="O68536" t="str">
            <v/>
          </cell>
        </row>
        <row r="68537">
          <cell r="O68537" t="str">
            <v/>
          </cell>
        </row>
        <row r="68538">
          <cell r="O68538" t="str">
            <v/>
          </cell>
        </row>
        <row r="68539">
          <cell r="O68539" t="str">
            <v/>
          </cell>
        </row>
        <row r="68540">
          <cell r="O68540" t="str">
            <v/>
          </cell>
        </row>
        <row r="68541">
          <cell r="O68541" t="str">
            <v/>
          </cell>
        </row>
        <row r="68542">
          <cell r="O68542" t="str">
            <v/>
          </cell>
        </row>
        <row r="68543">
          <cell r="O68543" t="str">
            <v/>
          </cell>
        </row>
        <row r="68544">
          <cell r="O68544" t="str">
            <v/>
          </cell>
        </row>
        <row r="68545">
          <cell r="O68545" t="str">
            <v/>
          </cell>
        </row>
        <row r="68546">
          <cell r="O68546" t="str">
            <v/>
          </cell>
        </row>
        <row r="68547">
          <cell r="O68547" t="str">
            <v/>
          </cell>
        </row>
        <row r="68548">
          <cell r="O68548" t="str">
            <v/>
          </cell>
        </row>
        <row r="68549">
          <cell r="O68549" t="str">
            <v/>
          </cell>
        </row>
        <row r="68550">
          <cell r="O68550" t="str">
            <v/>
          </cell>
        </row>
        <row r="68551">
          <cell r="O68551" t="str">
            <v/>
          </cell>
        </row>
        <row r="68552">
          <cell r="O68552" t="str">
            <v/>
          </cell>
        </row>
        <row r="68553">
          <cell r="O68553" t="str">
            <v/>
          </cell>
        </row>
        <row r="68554">
          <cell r="O68554" t="str">
            <v/>
          </cell>
        </row>
        <row r="68555">
          <cell r="O68555" t="str">
            <v/>
          </cell>
        </row>
        <row r="68556">
          <cell r="O68556" t="str">
            <v/>
          </cell>
        </row>
        <row r="68557">
          <cell r="O68557" t="str">
            <v/>
          </cell>
        </row>
        <row r="68558">
          <cell r="O68558" t="str">
            <v/>
          </cell>
        </row>
        <row r="68559">
          <cell r="O68559" t="str">
            <v/>
          </cell>
        </row>
        <row r="68560">
          <cell r="O68560" t="str">
            <v/>
          </cell>
        </row>
        <row r="68561">
          <cell r="O68561" t="str">
            <v/>
          </cell>
        </row>
        <row r="68562">
          <cell r="O68562" t="str">
            <v/>
          </cell>
        </row>
        <row r="68563">
          <cell r="O68563" t="str">
            <v/>
          </cell>
        </row>
        <row r="68564">
          <cell r="O68564" t="str">
            <v/>
          </cell>
        </row>
        <row r="68565">
          <cell r="O68565" t="str">
            <v/>
          </cell>
        </row>
        <row r="68566">
          <cell r="O68566" t="str">
            <v/>
          </cell>
        </row>
        <row r="68567">
          <cell r="O68567" t="str">
            <v/>
          </cell>
        </row>
        <row r="68568">
          <cell r="O68568" t="str">
            <v/>
          </cell>
        </row>
        <row r="68569">
          <cell r="O68569" t="str">
            <v/>
          </cell>
        </row>
        <row r="68570">
          <cell r="O68570" t="str">
            <v/>
          </cell>
        </row>
        <row r="68571">
          <cell r="O68571" t="str">
            <v/>
          </cell>
        </row>
        <row r="68572">
          <cell r="O68572" t="str">
            <v/>
          </cell>
        </row>
        <row r="68573">
          <cell r="O68573" t="str">
            <v/>
          </cell>
        </row>
        <row r="68574">
          <cell r="O68574" t="str">
            <v/>
          </cell>
        </row>
        <row r="68575">
          <cell r="O68575" t="str">
            <v/>
          </cell>
        </row>
        <row r="68576">
          <cell r="O68576" t="str">
            <v/>
          </cell>
        </row>
        <row r="68577">
          <cell r="O68577" t="str">
            <v/>
          </cell>
        </row>
        <row r="68578">
          <cell r="O68578" t="str">
            <v/>
          </cell>
        </row>
        <row r="68579">
          <cell r="O68579" t="str">
            <v/>
          </cell>
        </row>
        <row r="68580">
          <cell r="O68580" t="str">
            <v/>
          </cell>
        </row>
        <row r="68581">
          <cell r="O68581" t="str">
            <v/>
          </cell>
        </row>
        <row r="68582">
          <cell r="O68582" t="str">
            <v/>
          </cell>
        </row>
        <row r="68583">
          <cell r="O68583" t="str">
            <v/>
          </cell>
        </row>
        <row r="68584">
          <cell r="O68584" t="str">
            <v/>
          </cell>
        </row>
        <row r="68585">
          <cell r="O68585" t="str">
            <v/>
          </cell>
        </row>
        <row r="68586">
          <cell r="O68586" t="str">
            <v/>
          </cell>
        </row>
        <row r="68587">
          <cell r="O68587" t="str">
            <v/>
          </cell>
        </row>
        <row r="68588">
          <cell r="O68588" t="str">
            <v/>
          </cell>
        </row>
        <row r="68589">
          <cell r="O68589" t="str">
            <v/>
          </cell>
        </row>
        <row r="68590">
          <cell r="O68590" t="str">
            <v/>
          </cell>
        </row>
        <row r="68591">
          <cell r="O68591" t="str">
            <v/>
          </cell>
        </row>
        <row r="68592">
          <cell r="O68592" t="str">
            <v/>
          </cell>
        </row>
        <row r="68593">
          <cell r="O68593" t="str">
            <v/>
          </cell>
        </row>
        <row r="68594">
          <cell r="O68594" t="str">
            <v/>
          </cell>
        </row>
        <row r="68595">
          <cell r="O68595" t="str">
            <v/>
          </cell>
        </row>
        <row r="68596">
          <cell r="O68596" t="str">
            <v/>
          </cell>
        </row>
        <row r="68597">
          <cell r="O68597" t="str">
            <v/>
          </cell>
        </row>
        <row r="68598">
          <cell r="O68598" t="str">
            <v/>
          </cell>
        </row>
        <row r="68599">
          <cell r="O68599" t="str">
            <v/>
          </cell>
        </row>
        <row r="68600">
          <cell r="O68600" t="str">
            <v/>
          </cell>
        </row>
        <row r="68601">
          <cell r="O68601" t="str">
            <v/>
          </cell>
        </row>
        <row r="68602">
          <cell r="O68602" t="str">
            <v/>
          </cell>
        </row>
        <row r="68603">
          <cell r="O68603" t="str">
            <v/>
          </cell>
        </row>
        <row r="68604">
          <cell r="O68604" t="str">
            <v/>
          </cell>
        </row>
        <row r="68605">
          <cell r="O68605" t="str">
            <v/>
          </cell>
        </row>
        <row r="68606">
          <cell r="O68606" t="str">
            <v/>
          </cell>
        </row>
        <row r="68607">
          <cell r="O68607" t="str">
            <v/>
          </cell>
        </row>
        <row r="68608">
          <cell r="O68608" t="str">
            <v/>
          </cell>
        </row>
        <row r="68609">
          <cell r="O68609" t="str">
            <v/>
          </cell>
        </row>
        <row r="68610">
          <cell r="O68610" t="str">
            <v/>
          </cell>
        </row>
        <row r="68611">
          <cell r="O68611" t="str">
            <v/>
          </cell>
        </row>
        <row r="68612">
          <cell r="O68612" t="str">
            <v/>
          </cell>
        </row>
        <row r="68613">
          <cell r="O68613" t="str">
            <v/>
          </cell>
        </row>
        <row r="68614">
          <cell r="O68614" t="str">
            <v/>
          </cell>
        </row>
        <row r="68615">
          <cell r="O68615" t="str">
            <v/>
          </cell>
        </row>
        <row r="68616">
          <cell r="O68616" t="str">
            <v/>
          </cell>
        </row>
        <row r="68617">
          <cell r="O68617" t="str">
            <v/>
          </cell>
        </row>
        <row r="68618">
          <cell r="O68618" t="str">
            <v/>
          </cell>
        </row>
        <row r="68619">
          <cell r="O68619" t="str">
            <v/>
          </cell>
        </row>
        <row r="68620">
          <cell r="O68620" t="str">
            <v/>
          </cell>
        </row>
        <row r="68621">
          <cell r="O68621" t="str">
            <v/>
          </cell>
        </row>
        <row r="68622">
          <cell r="O68622" t="str">
            <v/>
          </cell>
        </row>
        <row r="68623">
          <cell r="O68623" t="str">
            <v/>
          </cell>
        </row>
        <row r="68624">
          <cell r="O68624" t="str">
            <v/>
          </cell>
        </row>
        <row r="68625">
          <cell r="O68625" t="str">
            <v/>
          </cell>
        </row>
        <row r="68626">
          <cell r="O68626" t="str">
            <v/>
          </cell>
        </row>
        <row r="68627">
          <cell r="O68627" t="str">
            <v/>
          </cell>
        </row>
        <row r="68628">
          <cell r="O68628" t="str">
            <v/>
          </cell>
        </row>
        <row r="68629">
          <cell r="O68629" t="str">
            <v/>
          </cell>
        </row>
        <row r="68630">
          <cell r="O68630" t="str">
            <v/>
          </cell>
        </row>
        <row r="68631">
          <cell r="O68631" t="str">
            <v/>
          </cell>
        </row>
        <row r="68632">
          <cell r="O68632" t="str">
            <v/>
          </cell>
        </row>
        <row r="68633">
          <cell r="O68633" t="str">
            <v/>
          </cell>
        </row>
        <row r="68634">
          <cell r="O68634" t="str">
            <v/>
          </cell>
        </row>
        <row r="68635">
          <cell r="O68635" t="str">
            <v/>
          </cell>
        </row>
        <row r="68636">
          <cell r="O68636" t="str">
            <v/>
          </cell>
        </row>
        <row r="68637">
          <cell r="O68637" t="str">
            <v/>
          </cell>
        </row>
        <row r="68638">
          <cell r="O68638" t="str">
            <v/>
          </cell>
        </row>
        <row r="68639">
          <cell r="O68639" t="str">
            <v/>
          </cell>
        </row>
        <row r="68640">
          <cell r="O68640" t="str">
            <v/>
          </cell>
        </row>
        <row r="68641">
          <cell r="O68641" t="str">
            <v/>
          </cell>
        </row>
        <row r="68642">
          <cell r="O68642" t="str">
            <v/>
          </cell>
        </row>
        <row r="68643">
          <cell r="O68643" t="str">
            <v/>
          </cell>
        </row>
        <row r="68644">
          <cell r="O68644" t="str">
            <v/>
          </cell>
        </row>
        <row r="68645">
          <cell r="O68645" t="str">
            <v/>
          </cell>
        </row>
        <row r="68646">
          <cell r="O68646" t="str">
            <v/>
          </cell>
        </row>
        <row r="68647">
          <cell r="O68647" t="str">
            <v/>
          </cell>
        </row>
        <row r="68648">
          <cell r="O68648" t="str">
            <v/>
          </cell>
        </row>
        <row r="68649">
          <cell r="O68649" t="str">
            <v/>
          </cell>
        </row>
        <row r="68650">
          <cell r="O68650" t="str">
            <v/>
          </cell>
        </row>
        <row r="68651">
          <cell r="O68651" t="str">
            <v/>
          </cell>
        </row>
        <row r="68652">
          <cell r="O68652" t="str">
            <v/>
          </cell>
        </row>
        <row r="68653">
          <cell r="O68653" t="str">
            <v/>
          </cell>
        </row>
        <row r="68654">
          <cell r="O68654" t="str">
            <v/>
          </cell>
        </row>
        <row r="68655">
          <cell r="O68655" t="str">
            <v/>
          </cell>
        </row>
        <row r="68656">
          <cell r="O68656" t="str">
            <v/>
          </cell>
        </row>
        <row r="68657">
          <cell r="O68657" t="str">
            <v/>
          </cell>
        </row>
        <row r="68658">
          <cell r="O68658" t="str">
            <v/>
          </cell>
        </row>
        <row r="68659">
          <cell r="O68659" t="str">
            <v/>
          </cell>
        </row>
        <row r="68660">
          <cell r="O68660" t="str">
            <v/>
          </cell>
        </row>
        <row r="68661">
          <cell r="O68661" t="str">
            <v/>
          </cell>
        </row>
        <row r="68662">
          <cell r="O68662" t="str">
            <v/>
          </cell>
        </row>
        <row r="68663">
          <cell r="O68663" t="str">
            <v/>
          </cell>
        </row>
        <row r="68664">
          <cell r="O68664" t="str">
            <v/>
          </cell>
        </row>
        <row r="68665">
          <cell r="O68665" t="str">
            <v/>
          </cell>
        </row>
        <row r="68666">
          <cell r="O68666" t="str">
            <v/>
          </cell>
        </row>
        <row r="68667">
          <cell r="O68667" t="str">
            <v/>
          </cell>
        </row>
        <row r="68668">
          <cell r="O68668" t="str">
            <v/>
          </cell>
        </row>
        <row r="68669">
          <cell r="O68669" t="str">
            <v/>
          </cell>
        </row>
        <row r="68670">
          <cell r="O68670" t="str">
            <v/>
          </cell>
        </row>
        <row r="68671">
          <cell r="O68671" t="str">
            <v/>
          </cell>
        </row>
        <row r="68672">
          <cell r="O68672" t="str">
            <v/>
          </cell>
        </row>
        <row r="68673">
          <cell r="O68673" t="str">
            <v/>
          </cell>
        </row>
        <row r="68674">
          <cell r="O68674" t="str">
            <v/>
          </cell>
        </row>
        <row r="68675">
          <cell r="O68675" t="str">
            <v/>
          </cell>
        </row>
        <row r="68676">
          <cell r="O68676" t="str">
            <v/>
          </cell>
        </row>
        <row r="68677">
          <cell r="O68677" t="str">
            <v/>
          </cell>
        </row>
        <row r="68678">
          <cell r="O68678" t="str">
            <v/>
          </cell>
        </row>
        <row r="68679">
          <cell r="O68679" t="str">
            <v/>
          </cell>
        </row>
        <row r="68680">
          <cell r="O68680" t="str">
            <v/>
          </cell>
        </row>
        <row r="68681">
          <cell r="O68681" t="str">
            <v/>
          </cell>
        </row>
        <row r="68682">
          <cell r="O68682" t="str">
            <v/>
          </cell>
        </row>
        <row r="68683">
          <cell r="O68683" t="str">
            <v/>
          </cell>
        </row>
        <row r="68684">
          <cell r="O68684" t="str">
            <v/>
          </cell>
        </row>
        <row r="68685">
          <cell r="O68685" t="str">
            <v/>
          </cell>
        </row>
        <row r="68686">
          <cell r="O68686" t="str">
            <v/>
          </cell>
        </row>
        <row r="68687">
          <cell r="O68687" t="str">
            <v/>
          </cell>
        </row>
        <row r="68688">
          <cell r="O68688" t="str">
            <v/>
          </cell>
        </row>
        <row r="68689">
          <cell r="O68689" t="str">
            <v/>
          </cell>
        </row>
        <row r="68690">
          <cell r="O68690" t="str">
            <v/>
          </cell>
        </row>
        <row r="68691">
          <cell r="O68691" t="str">
            <v/>
          </cell>
        </row>
        <row r="68692">
          <cell r="O68692" t="str">
            <v/>
          </cell>
        </row>
        <row r="68693">
          <cell r="O68693" t="str">
            <v/>
          </cell>
        </row>
        <row r="68694">
          <cell r="O68694" t="str">
            <v/>
          </cell>
        </row>
        <row r="68695">
          <cell r="O68695" t="str">
            <v/>
          </cell>
        </row>
        <row r="68696">
          <cell r="O68696" t="str">
            <v/>
          </cell>
        </row>
        <row r="68697">
          <cell r="O68697" t="str">
            <v/>
          </cell>
        </row>
        <row r="68698">
          <cell r="O68698" t="str">
            <v/>
          </cell>
        </row>
        <row r="68699">
          <cell r="O68699" t="str">
            <v/>
          </cell>
        </row>
        <row r="68700">
          <cell r="O68700" t="str">
            <v/>
          </cell>
        </row>
        <row r="68701">
          <cell r="O68701" t="str">
            <v/>
          </cell>
        </row>
        <row r="68702">
          <cell r="O68702" t="str">
            <v/>
          </cell>
        </row>
        <row r="68703">
          <cell r="O68703" t="str">
            <v/>
          </cell>
        </row>
        <row r="68704">
          <cell r="O68704" t="str">
            <v/>
          </cell>
        </row>
        <row r="68705">
          <cell r="O68705" t="str">
            <v/>
          </cell>
        </row>
        <row r="68706">
          <cell r="O68706" t="str">
            <v/>
          </cell>
        </row>
        <row r="68707">
          <cell r="O68707" t="str">
            <v/>
          </cell>
        </row>
        <row r="68708">
          <cell r="O68708" t="str">
            <v/>
          </cell>
        </row>
        <row r="68709">
          <cell r="O68709" t="str">
            <v/>
          </cell>
        </row>
        <row r="68710">
          <cell r="O68710" t="str">
            <v/>
          </cell>
        </row>
        <row r="68711">
          <cell r="O68711" t="str">
            <v/>
          </cell>
        </row>
        <row r="68712">
          <cell r="O68712" t="str">
            <v/>
          </cell>
        </row>
        <row r="68713">
          <cell r="O68713" t="str">
            <v/>
          </cell>
        </row>
        <row r="68714">
          <cell r="O68714" t="str">
            <v/>
          </cell>
        </row>
        <row r="68715">
          <cell r="O68715" t="str">
            <v/>
          </cell>
        </row>
        <row r="68716">
          <cell r="O68716" t="str">
            <v/>
          </cell>
        </row>
        <row r="68717">
          <cell r="O68717" t="str">
            <v/>
          </cell>
        </row>
        <row r="68718">
          <cell r="O68718" t="str">
            <v/>
          </cell>
        </row>
        <row r="68719">
          <cell r="O68719" t="str">
            <v/>
          </cell>
        </row>
        <row r="68720">
          <cell r="O68720" t="str">
            <v/>
          </cell>
        </row>
        <row r="68721">
          <cell r="O68721" t="str">
            <v/>
          </cell>
        </row>
        <row r="68722">
          <cell r="O68722" t="str">
            <v/>
          </cell>
        </row>
        <row r="68723">
          <cell r="O68723" t="str">
            <v/>
          </cell>
        </row>
        <row r="68724">
          <cell r="O68724" t="str">
            <v/>
          </cell>
        </row>
        <row r="68725">
          <cell r="O68725" t="str">
            <v/>
          </cell>
        </row>
        <row r="68726">
          <cell r="O68726" t="str">
            <v/>
          </cell>
        </row>
        <row r="68727">
          <cell r="O68727" t="str">
            <v/>
          </cell>
        </row>
        <row r="68728">
          <cell r="O68728" t="str">
            <v/>
          </cell>
        </row>
        <row r="68729">
          <cell r="O68729" t="str">
            <v/>
          </cell>
        </row>
        <row r="68730">
          <cell r="O68730" t="str">
            <v/>
          </cell>
        </row>
        <row r="68731">
          <cell r="O68731" t="str">
            <v/>
          </cell>
        </row>
        <row r="68732">
          <cell r="O68732" t="str">
            <v/>
          </cell>
        </row>
        <row r="68733">
          <cell r="O68733" t="str">
            <v/>
          </cell>
        </row>
        <row r="68734">
          <cell r="O68734" t="str">
            <v/>
          </cell>
        </row>
        <row r="68735">
          <cell r="O68735" t="str">
            <v/>
          </cell>
        </row>
        <row r="68736">
          <cell r="O68736" t="str">
            <v/>
          </cell>
        </row>
        <row r="68737">
          <cell r="O68737" t="str">
            <v/>
          </cell>
        </row>
        <row r="68738">
          <cell r="O68738" t="str">
            <v/>
          </cell>
        </row>
        <row r="68739">
          <cell r="O68739" t="str">
            <v/>
          </cell>
        </row>
        <row r="68740">
          <cell r="O68740" t="str">
            <v/>
          </cell>
        </row>
        <row r="68741">
          <cell r="O68741" t="str">
            <v/>
          </cell>
        </row>
        <row r="68742">
          <cell r="O68742" t="str">
            <v/>
          </cell>
        </row>
        <row r="68743">
          <cell r="O68743" t="str">
            <v/>
          </cell>
        </row>
        <row r="68744">
          <cell r="O68744" t="str">
            <v/>
          </cell>
        </row>
        <row r="68745">
          <cell r="O68745" t="str">
            <v/>
          </cell>
        </row>
        <row r="68746">
          <cell r="O68746" t="str">
            <v/>
          </cell>
        </row>
        <row r="68747">
          <cell r="O68747" t="str">
            <v/>
          </cell>
        </row>
        <row r="68748">
          <cell r="O68748" t="str">
            <v/>
          </cell>
        </row>
        <row r="68749">
          <cell r="O68749" t="str">
            <v/>
          </cell>
        </row>
        <row r="68750">
          <cell r="O68750" t="str">
            <v/>
          </cell>
        </row>
        <row r="68751">
          <cell r="O68751" t="str">
            <v/>
          </cell>
        </row>
        <row r="68752">
          <cell r="O68752" t="str">
            <v/>
          </cell>
        </row>
        <row r="68753">
          <cell r="O68753" t="str">
            <v/>
          </cell>
        </row>
        <row r="68754">
          <cell r="O68754" t="str">
            <v/>
          </cell>
        </row>
        <row r="68755">
          <cell r="O68755" t="str">
            <v/>
          </cell>
        </row>
        <row r="68756">
          <cell r="O68756" t="str">
            <v/>
          </cell>
        </row>
        <row r="68757">
          <cell r="O68757" t="str">
            <v/>
          </cell>
        </row>
        <row r="68758">
          <cell r="O68758" t="str">
            <v/>
          </cell>
        </row>
        <row r="68759">
          <cell r="O68759" t="str">
            <v/>
          </cell>
        </row>
        <row r="68760">
          <cell r="O68760" t="str">
            <v/>
          </cell>
        </row>
        <row r="68761">
          <cell r="O68761" t="str">
            <v/>
          </cell>
        </row>
        <row r="68762">
          <cell r="O68762" t="str">
            <v/>
          </cell>
        </row>
        <row r="68763">
          <cell r="O68763" t="str">
            <v/>
          </cell>
        </row>
        <row r="68764">
          <cell r="O68764" t="str">
            <v/>
          </cell>
        </row>
        <row r="68765">
          <cell r="O68765" t="str">
            <v/>
          </cell>
        </row>
        <row r="68766">
          <cell r="O68766" t="str">
            <v/>
          </cell>
        </row>
        <row r="68767">
          <cell r="O68767" t="str">
            <v/>
          </cell>
        </row>
        <row r="68768">
          <cell r="O68768" t="str">
            <v/>
          </cell>
        </row>
        <row r="68769">
          <cell r="O68769" t="str">
            <v/>
          </cell>
        </row>
        <row r="68770">
          <cell r="O68770" t="str">
            <v/>
          </cell>
        </row>
        <row r="68771">
          <cell r="O68771" t="str">
            <v/>
          </cell>
        </row>
        <row r="68772">
          <cell r="O68772" t="str">
            <v/>
          </cell>
        </row>
        <row r="68773">
          <cell r="O68773" t="str">
            <v/>
          </cell>
        </row>
        <row r="68774">
          <cell r="O68774" t="str">
            <v/>
          </cell>
        </row>
        <row r="68775">
          <cell r="O68775" t="str">
            <v/>
          </cell>
        </row>
        <row r="68776">
          <cell r="O68776" t="str">
            <v/>
          </cell>
        </row>
        <row r="68777">
          <cell r="O68777" t="str">
            <v/>
          </cell>
        </row>
        <row r="68778">
          <cell r="O68778" t="str">
            <v/>
          </cell>
        </row>
        <row r="68779">
          <cell r="O68779" t="str">
            <v/>
          </cell>
        </row>
        <row r="68780">
          <cell r="O68780" t="str">
            <v/>
          </cell>
        </row>
        <row r="68781">
          <cell r="O68781" t="str">
            <v/>
          </cell>
        </row>
        <row r="68782">
          <cell r="O68782" t="str">
            <v/>
          </cell>
        </row>
        <row r="68783">
          <cell r="O68783" t="str">
            <v/>
          </cell>
        </row>
        <row r="68784">
          <cell r="O68784" t="str">
            <v/>
          </cell>
        </row>
        <row r="68785">
          <cell r="O68785" t="str">
            <v/>
          </cell>
        </row>
        <row r="68786">
          <cell r="O68786" t="str">
            <v/>
          </cell>
        </row>
        <row r="68787">
          <cell r="O68787" t="str">
            <v/>
          </cell>
        </row>
        <row r="68788">
          <cell r="O68788" t="str">
            <v/>
          </cell>
        </row>
        <row r="68789">
          <cell r="O68789" t="str">
            <v/>
          </cell>
        </row>
        <row r="68790">
          <cell r="O68790" t="str">
            <v/>
          </cell>
        </row>
        <row r="68791">
          <cell r="O68791" t="str">
            <v/>
          </cell>
        </row>
        <row r="68792">
          <cell r="O68792" t="str">
            <v/>
          </cell>
        </row>
        <row r="68793">
          <cell r="O68793" t="str">
            <v/>
          </cell>
        </row>
        <row r="68794">
          <cell r="O68794" t="str">
            <v/>
          </cell>
        </row>
        <row r="68795">
          <cell r="O68795" t="str">
            <v/>
          </cell>
        </row>
        <row r="68796">
          <cell r="O68796" t="str">
            <v/>
          </cell>
        </row>
        <row r="68797">
          <cell r="O68797" t="str">
            <v/>
          </cell>
        </row>
        <row r="68798">
          <cell r="O68798" t="str">
            <v/>
          </cell>
        </row>
        <row r="68799">
          <cell r="O68799" t="str">
            <v/>
          </cell>
        </row>
        <row r="68800">
          <cell r="O68800" t="str">
            <v/>
          </cell>
        </row>
        <row r="68801">
          <cell r="O68801" t="str">
            <v/>
          </cell>
        </row>
        <row r="68802">
          <cell r="O68802" t="str">
            <v/>
          </cell>
        </row>
        <row r="68803">
          <cell r="O68803" t="str">
            <v/>
          </cell>
        </row>
        <row r="68804">
          <cell r="O68804" t="str">
            <v/>
          </cell>
        </row>
        <row r="68805">
          <cell r="O68805" t="str">
            <v/>
          </cell>
        </row>
        <row r="68806">
          <cell r="O68806" t="str">
            <v/>
          </cell>
        </row>
        <row r="68807">
          <cell r="O68807" t="str">
            <v/>
          </cell>
        </row>
        <row r="68808">
          <cell r="O68808" t="str">
            <v/>
          </cell>
        </row>
        <row r="68809">
          <cell r="O68809" t="str">
            <v/>
          </cell>
        </row>
        <row r="68810">
          <cell r="O68810" t="str">
            <v/>
          </cell>
        </row>
        <row r="68811">
          <cell r="O68811" t="str">
            <v/>
          </cell>
        </row>
        <row r="68812">
          <cell r="O68812" t="str">
            <v/>
          </cell>
        </row>
        <row r="68813">
          <cell r="O68813" t="str">
            <v/>
          </cell>
        </row>
        <row r="68814">
          <cell r="O68814" t="str">
            <v/>
          </cell>
        </row>
        <row r="68815">
          <cell r="O68815" t="str">
            <v/>
          </cell>
        </row>
        <row r="68816">
          <cell r="O68816" t="str">
            <v/>
          </cell>
        </row>
        <row r="68817">
          <cell r="O68817" t="str">
            <v/>
          </cell>
        </row>
        <row r="68818">
          <cell r="O68818" t="str">
            <v/>
          </cell>
        </row>
        <row r="68819">
          <cell r="O68819" t="str">
            <v/>
          </cell>
        </row>
        <row r="68820">
          <cell r="O68820" t="str">
            <v/>
          </cell>
        </row>
        <row r="68821">
          <cell r="O68821" t="str">
            <v/>
          </cell>
        </row>
        <row r="68822">
          <cell r="O68822" t="str">
            <v/>
          </cell>
        </row>
        <row r="68823">
          <cell r="O68823" t="str">
            <v/>
          </cell>
        </row>
        <row r="68824">
          <cell r="O68824" t="str">
            <v/>
          </cell>
        </row>
        <row r="68825">
          <cell r="O68825" t="str">
            <v/>
          </cell>
        </row>
        <row r="68826">
          <cell r="O68826" t="str">
            <v/>
          </cell>
        </row>
        <row r="68827">
          <cell r="O68827" t="str">
            <v/>
          </cell>
        </row>
        <row r="68828">
          <cell r="O68828" t="str">
            <v/>
          </cell>
        </row>
        <row r="68829">
          <cell r="O68829" t="str">
            <v/>
          </cell>
        </row>
        <row r="68830">
          <cell r="O68830" t="str">
            <v/>
          </cell>
        </row>
        <row r="68831">
          <cell r="O68831" t="str">
            <v/>
          </cell>
        </row>
        <row r="68832">
          <cell r="O68832" t="str">
            <v/>
          </cell>
        </row>
        <row r="68833">
          <cell r="O68833" t="str">
            <v/>
          </cell>
        </row>
        <row r="68834">
          <cell r="O68834" t="str">
            <v/>
          </cell>
        </row>
        <row r="68835">
          <cell r="O68835" t="str">
            <v/>
          </cell>
        </row>
        <row r="68836">
          <cell r="O68836" t="str">
            <v/>
          </cell>
        </row>
        <row r="68837">
          <cell r="O68837" t="str">
            <v/>
          </cell>
        </row>
        <row r="68838">
          <cell r="O68838" t="str">
            <v/>
          </cell>
        </row>
        <row r="68839">
          <cell r="O68839" t="str">
            <v/>
          </cell>
        </row>
        <row r="68840">
          <cell r="O68840" t="str">
            <v/>
          </cell>
        </row>
        <row r="68841">
          <cell r="O68841" t="str">
            <v/>
          </cell>
        </row>
        <row r="68842">
          <cell r="O68842" t="str">
            <v/>
          </cell>
        </row>
        <row r="68843">
          <cell r="O68843" t="str">
            <v/>
          </cell>
        </row>
        <row r="68844">
          <cell r="O68844" t="str">
            <v/>
          </cell>
        </row>
        <row r="68845">
          <cell r="O68845" t="str">
            <v/>
          </cell>
        </row>
        <row r="68846">
          <cell r="O68846" t="str">
            <v/>
          </cell>
        </row>
        <row r="68847">
          <cell r="O68847" t="str">
            <v/>
          </cell>
        </row>
        <row r="68848">
          <cell r="O68848" t="str">
            <v/>
          </cell>
        </row>
        <row r="68849">
          <cell r="O68849" t="str">
            <v/>
          </cell>
        </row>
        <row r="68850">
          <cell r="O68850" t="str">
            <v/>
          </cell>
        </row>
        <row r="68851">
          <cell r="O68851" t="str">
            <v/>
          </cell>
        </row>
        <row r="68852">
          <cell r="O68852" t="str">
            <v/>
          </cell>
        </row>
        <row r="68853">
          <cell r="O68853" t="str">
            <v/>
          </cell>
        </row>
        <row r="68854">
          <cell r="O68854" t="str">
            <v/>
          </cell>
        </row>
        <row r="68855">
          <cell r="O68855" t="str">
            <v/>
          </cell>
        </row>
        <row r="68856">
          <cell r="O68856" t="str">
            <v/>
          </cell>
        </row>
        <row r="68857">
          <cell r="O68857" t="str">
            <v/>
          </cell>
        </row>
        <row r="68858">
          <cell r="O68858" t="str">
            <v/>
          </cell>
        </row>
        <row r="68859">
          <cell r="O68859" t="str">
            <v/>
          </cell>
        </row>
        <row r="68860">
          <cell r="O68860" t="str">
            <v/>
          </cell>
        </row>
        <row r="68861">
          <cell r="O68861" t="str">
            <v/>
          </cell>
        </row>
        <row r="68862">
          <cell r="O68862" t="str">
            <v/>
          </cell>
        </row>
        <row r="68863">
          <cell r="O68863" t="str">
            <v/>
          </cell>
        </row>
        <row r="68864">
          <cell r="O68864" t="str">
            <v/>
          </cell>
        </row>
        <row r="68865">
          <cell r="O68865" t="str">
            <v/>
          </cell>
        </row>
        <row r="68866">
          <cell r="O68866" t="str">
            <v/>
          </cell>
        </row>
        <row r="68867">
          <cell r="O68867" t="str">
            <v/>
          </cell>
        </row>
        <row r="68868">
          <cell r="O68868" t="str">
            <v/>
          </cell>
        </row>
        <row r="68869">
          <cell r="O68869" t="str">
            <v/>
          </cell>
        </row>
        <row r="68870">
          <cell r="O68870" t="str">
            <v/>
          </cell>
        </row>
        <row r="68871">
          <cell r="O68871" t="str">
            <v/>
          </cell>
        </row>
        <row r="68872">
          <cell r="O68872" t="str">
            <v/>
          </cell>
        </row>
        <row r="68873">
          <cell r="O68873" t="str">
            <v/>
          </cell>
        </row>
        <row r="68874">
          <cell r="O68874" t="str">
            <v/>
          </cell>
        </row>
        <row r="68875">
          <cell r="O68875" t="str">
            <v/>
          </cell>
        </row>
        <row r="68876">
          <cell r="O68876" t="str">
            <v/>
          </cell>
        </row>
        <row r="68877">
          <cell r="O68877" t="str">
            <v/>
          </cell>
        </row>
        <row r="68878">
          <cell r="O68878" t="str">
            <v/>
          </cell>
        </row>
        <row r="68879">
          <cell r="O68879" t="str">
            <v/>
          </cell>
        </row>
        <row r="68880">
          <cell r="O68880" t="str">
            <v/>
          </cell>
        </row>
        <row r="68881">
          <cell r="O68881" t="str">
            <v/>
          </cell>
        </row>
        <row r="68882">
          <cell r="O68882" t="str">
            <v/>
          </cell>
        </row>
        <row r="68883">
          <cell r="O68883" t="str">
            <v/>
          </cell>
        </row>
        <row r="68884">
          <cell r="O68884" t="str">
            <v/>
          </cell>
        </row>
        <row r="68885">
          <cell r="O68885" t="str">
            <v/>
          </cell>
        </row>
        <row r="68886">
          <cell r="O68886" t="str">
            <v/>
          </cell>
        </row>
        <row r="68887">
          <cell r="O68887" t="str">
            <v/>
          </cell>
        </row>
        <row r="68888">
          <cell r="O68888" t="str">
            <v/>
          </cell>
        </row>
        <row r="68889">
          <cell r="O68889" t="str">
            <v/>
          </cell>
        </row>
        <row r="68890">
          <cell r="O68890" t="str">
            <v/>
          </cell>
        </row>
        <row r="68891">
          <cell r="O68891" t="str">
            <v/>
          </cell>
        </row>
        <row r="68892">
          <cell r="O68892" t="str">
            <v/>
          </cell>
        </row>
        <row r="68893">
          <cell r="O68893" t="str">
            <v/>
          </cell>
        </row>
        <row r="68894">
          <cell r="O68894" t="str">
            <v/>
          </cell>
        </row>
        <row r="68895">
          <cell r="O68895" t="str">
            <v/>
          </cell>
        </row>
        <row r="68896">
          <cell r="O68896" t="str">
            <v/>
          </cell>
        </row>
        <row r="68897">
          <cell r="O68897" t="str">
            <v/>
          </cell>
        </row>
        <row r="68898">
          <cell r="O68898" t="str">
            <v/>
          </cell>
        </row>
        <row r="68899">
          <cell r="O68899" t="str">
            <v/>
          </cell>
        </row>
        <row r="68900">
          <cell r="O68900" t="str">
            <v/>
          </cell>
        </row>
        <row r="68901">
          <cell r="O68901" t="str">
            <v/>
          </cell>
        </row>
        <row r="68902">
          <cell r="O68902" t="str">
            <v/>
          </cell>
        </row>
        <row r="68903">
          <cell r="O68903" t="str">
            <v/>
          </cell>
        </row>
        <row r="68904">
          <cell r="O68904" t="str">
            <v/>
          </cell>
        </row>
        <row r="68905">
          <cell r="O68905" t="str">
            <v/>
          </cell>
        </row>
        <row r="68906">
          <cell r="O68906" t="str">
            <v/>
          </cell>
        </row>
        <row r="68907">
          <cell r="O68907" t="str">
            <v/>
          </cell>
        </row>
        <row r="68908">
          <cell r="O68908" t="str">
            <v/>
          </cell>
        </row>
        <row r="68909">
          <cell r="O68909" t="str">
            <v/>
          </cell>
        </row>
        <row r="68910">
          <cell r="O68910" t="str">
            <v/>
          </cell>
        </row>
        <row r="68911">
          <cell r="O68911" t="str">
            <v/>
          </cell>
        </row>
        <row r="68912">
          <cell r="O68912" t="str">
            <v/>
          </cell>
        </row>
        <row r="68913">
          <cell r="O68913" t="str">
            <v/>
          </cell>
        </row>
        <row r="68914">
          <cell r="O68914" t="str">
            <v/>
          </cell>
        </row>
        <row r="68915">
          <cell r="O68915" t="str">
            <v/>
          </cell>
        </row>
        <row r="68916">
          <cell r="O68916" t="str">
            <v/>
          </cell>
        </row>
        <row r="68917">
          <cell r="O68917" t="str">
            <v/>
          </cell>
        </row>
        <row r="68918">
          <cell r="O68918" t="str">
            <v/>
          </cell>
        </row>
        <row r="68919">
          <cell r="O68919" t="str">
            <v/>
          </cell>
        </row>
        <row r="68920">
          <cell r="O68920" t="str">
            <v/>
          </cell>
        </row>
        <row r="68921">
          <cell r="O68921" t="str">
            <v/>
          </cell>
        </row>
        <row r="68922">
          <cell r="O68922" t="str">
            <v/>
          </cell>
        </row>
        <row r="68923">
          <cell r="O68923" t="str">
            <v/>
          </cell>
        </row>
        <row r="68924">
          <cell r="O68924" t="str">
            <v/>
          </cell>
        </row>
        <row r="68925">
          <cell r="O68925" t="str">
            <v/>
          </cell>
        </row>
        <row r="68926">
          <cell r="O68926" t="str">
            <v/>
          </cell>
        </row>
        <row r="68927">
          <cell r="O68927" t="str">
            <v/>
          </cell>
        </row>
        <row r="68928">
          <cell r="O68928" t="str">
            <v/>
          </cell>
        </row>
        <row r="68929">
          <cell r="O68929" t="str">
            <v/>
          </cell>
        </row>
        <row r="68930">
          <cell r="O68930" t="str">
            <v/>
          </cell>
        </row>
        <row r="68931">
          <cell r="O68931" t="str">
            <v/>
          </cell>
        </row>
        <row r="68932">
          <cell r="O68932" t="str">
            <v/>
          </cell>
        </row>
        <row r="68933">
          <cell r="O68933" t="str">
            <v/>
          </cell>
        </row>
        <row r="68934">
          <cell r="O68934" t="str">
            <v/>
          </cell>
        </row>
        <row r="68935">
          <cell r="O68935" t="str">
            <v/>
          </cell>
        </row>
        <row r="68936">
          <cell r="O68936" t="str">
            <v/>
          </cell>
        </row>
        <row r="68937">
          <cell r="O68937" t="str">
            <v/>
          </cell>
        </row>
        <row r="68938">
          <cell r="O68938" t="str">
            <v/>
          </cell>
        </row>
        <row r="68939">
          <cell r="O68939" t="str">
            <v/>
          </cell>
        </row>
        <row r="68940">
          <cell r="O68940" t="str">
            <v/>
          </cell>
        </row>
        <row r="68941">
          <cell r="O68941" t="str">
            <v/>
          </cell>
        </row>
        <row r="68942">
          <cell r="O68942" t="str">
            <v/>
          </cell>
        </row>
        <row r="68943">
          <cell r="O68943" t="str">
            <v/>
          </cell>
        </row>
        <row r="68944">
          <cell r="O68944" t="str">
            <v/>
          </cell>
        </row>
        <row r="68945">
          <cell r="O68945" t="str">
            <v/>
          </cell>
        </row>
        <row r="68946">
          <cell r="O68946" t="str">
            <v/>
          </cell>
        </row>
        <row r="68947">
          <cell r="O68947" t="str">
            <v/>
          </cell>
        </row>
        <row r="68948">
          <cell r="O68948" t="str">
            <v/>
          </cell>
        </row>
        <row r="68949">
          <cell r="O68949" t="str">
            <v/>
          </cell>
        </row>
        <row r="68950">
          <cell r="O68950" t="str">
            <v/>
          </cell>
        </row>
        <row r="68951">
          <cell r="O68951" t="str">
            <v/>
          </cell>
        </row>
        <row r="68952">
          <cell r="O68952" t="str">
            <v/>
          </cell>
        </row>
        <row r="68953">
          <cell r="O68953" t="str">
            <v/>
          </cell>
        </row>
        <row r="68954">
          <cell r="O68954" t="str">
            <v/>
          </cell>
        </row>
        <row r="68955">
          <cell r="O68955" t="str">
            <v/>
          </cell>
        </row>
        <row r="68956">
          <cell r="O68956" t="str">
            <v/>
          </cell>
        </row>
        <row r="68957">
          <cell r="O68957" t="str">
            <v/>
          </cell>
        </row>
        <row r="68958">
          <cell r="O68958" t="str">
            <v/>
          </cell>
        </row>
        <row r="68959">
          <cell r="O68959" t="str">
            <v/>
          </cell>
        </row>
        <row r="68960">
          <cell r="O68960" t="str">
            <v/>
          </cell>
        </row>
        <row r="68961">
          <cell r="O68961" t="str">
            <v/>
          </cell>
        </row>
        <row r="68962">
          <cell r="O68962" t="str">
            <v/>
          </cell>
        </row>
        <row r="68963">
          <cell r="O68963" t="str">
            <v/>
          </cell>
        </row>
        <row r="68964">
          <cell r="O68964" t="str">
            <v/>
          </cell>
        </row>
        <row r="68965">
          <cell r="O68965" t="str">
            <v/>
          </cell>
        </row>
        <row r="68966">
          <cell r="O68966" t="str">
            <v/>
          </cell>
        </row>
        <row r="68967">
          <cell r="O68967" t="str">
            <v/>
          </cell>
        </row>
        <row r="68968">
          <cell r="O68968" t="str">
            <v/>
          </cell>
        </row>
        <row r="68969">
          <cell r="O68969" t="str">
            <v/>
          </cell>
        </row>
        <row r="68970">
          <cell r="O68970" t="str">
            <v/>
          </cell>
        </row>
        <row r="68971">
          <cell r="O68971" t="str">
            <v/>
          </cell>
        </row>
        <row r="68972">
          <cell r="O68972" t="str">
            <v/>
          </cell>
        </row>
        <row r="68973">
          <cell r="O68973" t="str">
            <v/>
          </cell>
        </row>
        <row r="68974">
          <cell r="O68974" t="str">
            <v/>
          </cell>
        </row>
        <row r="68975">
          <cell r="O68975" t="str">
            <v/>
          </cell>
        </row>
        <row r="68976">
          <cell r="O68976" t="str">
            <v/>
          </cell>
        </row>
        <row r="68977">
          <cell r="O68977" t="str">
            <v/>
          </cell>
        </row>
        <row r="68978">
          <cell r="O68978" t="str">
            <v/>
          </cell>
        </row>
        <row r="68979">
          <cell r="O68979" t="str">
            <v/>
          </cell>
        </row>
        <row r="68980">
          <cell r="O68980" t="str">
            <v/>
          </cell>
        </row>
        <row r="68981">
          <cell r="O68981" t="str">
            <v/>
          </cell>
        </row>
        <row r="68982">
          <cell r="O68982" t="str">
            <v/>
          </cell>
        </row>
        <row r="68983">
          <cell r="O68983" t="str">
            <v/>
          </cell>
        </row>
        <row r="68984">
          <cell r="O68984" t="str">
            <v/>
          </cell>
        </row>
        <row r="68985">
          <cell r="O68985" t="str">
            <v/>
          </cell>
        </row>
        <row r="68986">
          <cell r="O68986" t="str">
            <v/>
          </cell>
        </row>
        <row r="68987">
          <cell r="O68987" t="str">
            <v/>
          </cell>
        </row>
        <row r="68988">
          <cell r="O68988" t="str">
            <v/>
          </cell>
        </row>
        <row r="68989">
          <cell r="O68989" t="str">
            <v/>
          </cell>
        </row>
        <row r="68990">
          <cell r="O68990" t="str">
            <v/>
          </cell>
        </row>
        <row r="68991">
          <cell r="O68991" t="str">
            <v/>
          </cell>
        </row>
        <row r="68992">
          <cell r="O68992" t="str">
            <v/>
          </cell>
        </row>
        <row r="68993">
          <cell r="O68993" t="str">
            <v/>
          </cell>
        </row>
        <row r="68994">
          <cell r="O68994" t="str">
            <v/>
          </cell>
        </row>
        <row r="68995">
          <cell r="O68995" t="str">
            <v/>
          </cell>
        </row>
        <row r="68996">
          <cell r="O68996" t="str">
            <v/>
          </cell>
        </row>
        <row r="68997">
          <cell r="O68997" t="str">
            <v/>
          </cell>
        </row>
        <row r="68998">
          <cell r="O68998" t="str">
            <v/>
          </cell>
        </row>
        <row r="68999">
          <cell r="O68999" t="str">
            <v/>
          </cell>
        </row>
        <row r="69000">
          <cell r="O69000" t="str">
            <v/>
          </cell>
        </row>
        <row r="69001">
          <cell r="O69001" t="str">
            <v/>
          </cell>
        </row>
        <row r="69002">
          <cell r="O69002" t="str">
            <v/>
          </cell>
        </row>
        <row r="69003">
          <cell r="O69003" t="str">
            <v/>
          </cell>
        </row>
        <row r="69004">
          <cell r="O69004" t="str">
            <v/>
          </cell>
        </row>
        <row r="69005">
          <cell r="O69005" t="str">
            <v/>
          </cell>
        </row>
        <row r="69006">
          <cell r="O69006" t="str">
            <v/>
          </cell>
        </row>
        <row r="69007">
          <cell r="O69007" t="str">
            <v/>
          </cell>
        </row>
        <row r="69008">
          <cell r="O69008" t="str">
            <v/>
          </cell>
        </row>
        <row r="69009">
          <cell r="O69009" t="str">
            <v/>
          </cell>
        </row>
        <row r="69010">
          <cell r="O69010" t="str">
            <v/>
          </cell>
        </row>
        <row r="69011">
          <cell r="O69011" t="str">
            <v/>
          </cell>
        </row>
        <row r="69012">
          <cell r="O69012" t="str">
            <v/>
          </cell>
        </row>
        <row r="69013">
          <cell r="O69013" t="str">
            <v/>
          </cell>
        </row>
        <row r="69014">
          <cell r="O69014" t="str">
            <v/>
          </cell>
        </row>
        <row r="69015">
          <cell r="O69015" t="str">
            <v/>
          </cell>
        </row>
        <row r="69016">
          <cell r="O69016" t="str">
            <v/>
          </cell>
        </row>
        <row r="69017">
          <cell r="O69017" t="str">
            <v/>
          </cell>
        </row>
        <row r="69018">
          <cell r="O69018" t="str">
            <v/>
          </cell>
        </row>
        <row r="69019">
          <cell r="O69019" t="str">
            <v/>
          </cell>
        </row>
        <row r="69020">
          <cell r="O69020" t="str">
            <v/>
          </cell>
        </row>
        <row r="69021">
          <cell r="O69021" t="str">
            <v/>
          </cell>
        </row>
        <row r="69022">
          <cell r="O69022" t="str">
            <v/>
          </cell>
        </row>
        <row r="69023">
          <cell r="O69023" t="str">
            <v/>
          </cell>
        </row>
        <row r="69024">
          <cell r="O69024" t="str">
            <v/>
          </cell>
        </row>
        <row r="69025">
          <cell r="O69025" t="str">
            <v/>
          </cell>
        </row>
        <row r="69026">
          <cell r="O69026" t="str">
            <v/>
          </cell>
        </row>
        <row r="69027">
          <cell r="O69027" t="str">
            <v/>
          </cell>
        </row>
        <row r="69028">
          <cell r="O69028" t="str">
            <v/>
          </cell>
        </row>
        <row r="69029">
          <cell r="O69029" t="str">
            <v/>
          </cell>
        </row>
        <row r="69030">
          <cell r="O69030" t="str">
            <v/>
          </cell>
        </row>
        <row r="69031">
          <cell r="O69031" t="str">
            <v/>
          </cell>
        </row>
        <row r="69032">
          <cell r="O69032" t="str">
            <v/>
          </cell>
        </row>
        <row r="69033">
          <cell r="O69033" t="str">
            <v/>
          </cell>
        </row>
        <row r="69034">
          <cell r="O69034" t="str">
            <v/>
          </cell>
        </row>
        <row r="69035">
          <cell r="O69035" t="str">
            <v/>
          </cell>
        </row>
        <row r="69036">
          <cell r="O69036" t="str">
            <v/>
          </cell>
        </row>
        <row r="69037">
          <cell r="O69037" t="str">
            <v/>
          </cell>
        </row>
        <row r="69038">
          <cell r="O69038" t="str">
            <v/>
          </cell>
        </row>
        <row r="69039">
          <cell r="O69039" t="str">
            <v/>
          </cell>
        </row>
        <row r="69040">
          <cell r="O69040" t="str">
            <v/>
          </cell>
        </row>
        <row r="69041">
          <cell r="O69041" t="str">
            <v/>
          </cell>
        </row>
        <row r="69042">
          <cell r="O69042" t="str">
            <v/>
          </cell>
        </row>
        <row r="69043">
          <cell r="O69043" t="str">
            <v/>
          </cell>
        </row>
        <row r="69044">
          <cell r="O69044" t="str">
            <v/>
          </cell>
        </row>
        <row r="69045">
          <cell r="O69045" t="str">
            <v/>
          </cell>
        </row>
        <row r="69046">
          <cell r="O69046" t="str">
            <v/>
          </cell>
        </row>
        <row r="69047">
          <cell r="O69047" t="str">
            <v/>
          </cell>
        </row>
        <row r="69048">
          <cell r="O69048" t="str">
            <v/>
          </cell>
        </row>
        <row r="69049">
          <cell r="O69049" t="str">
            <v/>
          </cell>
        </row>
        <row r="69050">
          <cell r="O69050" t="str">
            <v/>
          </cell>
        </row>
        <row r="69051">
          <cell r="O69051" t="str">
            <v/>
          </cell>
        </row>
        <row r="69052">
          <cell r="O69052" t="str">
            <v/>
          </cell>
        </row>
        <row r="69053">
          <cell r="O69053" t="str">
            <v/>
          </cell>
        </row>
        <row r="69054">
          <cell r="O69054" t="str">
            <v/>
          </cell>
        </row>
        <row r="69055">
          <cell r="O69055" t="str">
            <v/>
          </cell>
        </row>
        <row r="69056">
          <cell r="O69056" t="str">
            <v/>
          </cell>
        </row>
        <row r="69057">
          <cell r="O69057" t="str">
            <v/>
          </cell>
        </row>
        <row r="69058">
          <cell r="O69058" t="str">
            <v/>
          </cell>
        </row>
        <row r="69059">
          <cell r="O69059" t="str">
            <v/>
          </cell>
        </row>
        <row r="69060">
          <cell r="O69060" t="str">
            <v/>
          </cell>
        </row>
        <row r="69061">
          <cell r="O69061" t="str">
            <v/>
          </cell>
        </row>
        <row r="69062">
          <cell r="O69062" t="str">
            <v/>
          </cell>
        </row>
        <row r="69063">
          <cell r="O69063" t="str">
            <v/>
          </cell>
        </row>
        <row r="69064">
          <cell r="O69064" t="str">
            <v/>
          </cell>
        </row>
        <row r="69065">
          <cell r="O69065" t="str">
            <v/>
          </cell>
        </row>
        <row r="69066">
          <cell r="O69066" t="str">
            <v/>
          </cell>
        </row>
        <row r="69067">
          <cell r="O69067" t="str">
            <v/>
          </cell>
        </row>
        <row r="69068">
          <cell r="O69068" t="str">
            <v/>
          </cell>
        </row>
        <row r="69069">
          <cell r="O69069" t="str">
            <v/>
          </cell>
        </row>
        <row r="69070">
          <cell r="O69070" t="str">
            <v/>
          </cell>
        </row>
        <row r="69071">
          <cell r="O69071" t="str">
            <v/>
          </cell>
        </row>
        <row r="69072">
          <cell r="O69072" t="str">
            <v/>
          </cell>
        </row>
        <row r="69073">
          <cell r="O69073" t="str">
            <v/>
          </cell>
        </row>
        <row r="69074">
          <cell r="O69074" t="str">
            <v/>
          </cell>
        </row>
        <row r="69075">
          <cell r="O69075" t="str">
            <v/>
          </cell>
        </row>
        <row r="69076">
          <cell r="O69076" t="str">
            <v/>
          </cell>
        </row>
        <row r="69077">
          <cell r="O69077" t="str">
            <v/>
          </cell>
        </row>
        <row r="69078">
          <cell r="O69078" t="str">
            <v/>
          </cell>
        </row>
        <row r="69079">
          <cell r="O69079" t="str">
            <v/>
          </cell>
        </row>
        <row r="69080">
          <cell r="O69080" t="str">
            <v/>
          </cell>
        </row>
        <row r="69081">
          <cell r="O69081" t="str">
            <v/>
          </cell>
        </row>
        <row r="69082">
          <cell r="O69082" t="str">
            <v/>
          </cell>
        </row>
        <row r="69083">
          <cell r="O69083" t="str">
            <v/>
          </cell>
        </row>
        <row r="69084">
          <cell r="O69084" t="str">
            <v/>
          </cell>
        </row>
        <row r="69085">
          <cell r="O69085" t="str">
            <v/>
          </cell>
        </row>
        <row r="69086">
          <cell r="O69086" t="str">
            <v/>
          </cell>
        </row>
        <row r="69087">
          <cell r="O69087" t="str">
            <v/>
          </cell>
        </row>
        <row r="69088">
          <cell r="O69088" t="str">
            <v/>
          </cell>
        </row>
        <row r="69089">
          <cell r="O69089" t="str">
            <v/>
          </cell>
        </row>
        <row r="69090">
          <cell r="O69090" t="str">
            <v/>
          </cell>
        </row>
        <row r="69091">
          <cell r="O69091" t="str">
            <v/>
          </cell>
        </row>
        <row r="69092">
          <cell r="O69092" t="str">
            <v/>
          </cell>
        </row>
        <row r="69093">
          <cell r="O69093" t="str">
            <v/>
          </cell>
        </row>
        <row r="69094">
          <cell r="O69094" t="str">
            <v/>
          </cell>
        </row>
        <row r="69095">
          <cell r="O69095" t="str">
            <v/>
          </cell>
        </row>
        <row r="69096">
          <cell r="O69096" t="str">
            <v/>
          </cell>
        </row>
        <row r="69097">
          <cell r="O69097" t="str">
            <v/>
          </cell>
        </row>
        <row r="69098">
          <cell r="O69098" t="str">
            <v/>
          </cell>
        </row>
        <row r="69099">
          <cell r="O69099" t="str">
            <v/>
          </cell>
        </row>
        <row r="69100">
          <cell r="O69100" t="str">
            <v/>
          </cell>
        </row>
        <row r="69101">
          <cell r="O69101" t="str">
            <v/>
          </cell>
        </row>
        <row r="69102">
          <cell r="O69102" t="str">
            <v/>
          </cell>
        </row>
        <row r="69103">
          <cell r="O69103" t="str">
            <v/>
          </cell>
        </row>
        <row r="69104">
          <cell r="O69104" t="str">
            <v/>
          </cell>
        </row>
        <row r="69105">
          <cell r="O69105" t="str">
            <v/>
          </cell>
        </row>
        <row r="69106">
          <cell r="O69106" t="str">
            <v/>
          </cell>
        </row>
        <row r="69107">
          <cell r="O69107" t="str">
            <v/>
          </cell>
        </row>
        <row r="69108">
          <cell r="O69108" t="str">
            <v/>
          </cell>
        </row>
        <row r="69109">
          <cell r="O69109" t="str">
            <v/>
          </cell>
        </row>
        <row r="69110">
          <cell r="O69110" t="str">
            <v/>
          </cell>
        </row>
        <row r="69111">
          <cell r="O69111" t="str">
            <v/>
          </cell>
        </row>
        <row r="69112">
          <cell r="O69112" t="str">
            <v/>
          </cell>
        </row>
        <row r="69113">
          <cell r="O69113" t="str">
            <v/>
          </cell>
        </row>
        <row r="69114">
          <cell r="O69114" t="str">
            <v/>
          </cell>
        </row>
        <row r="69115">
          <cell r="O69115" t="str">
            <v/>
          </cell>
        </row>
        <row r="69116">
          <cell r="O69116" t="str">
            <v/>
          </cell>
        </row>
        <row r="69117">
          <cell r="O69117" t="str">
            <v/>
          </cell>
        </row>
        <row r="69118">
          <cell r="O69118" t="str">
            <v/>
          </cell>
        </row>
        <row r="69119">
          <cell r="O69119" t="str">
            <v/>
          </cell>
        </row>
        <row r="69120">
          <cell r="O69120" t="str">
            <v/>
          </cell>
        </row>
        <row r="69121">
          <cell r="O69121" t="str">
            <v/>
          </cell>
        </row>
        <row r="69122">
          <cell r="O69122" t="str">
            <v/>
          </cell>
        </row>
        <row r="69123">
          <cell r="O69123" t="str">
            <v/>
          </cell>
        </row>
        <row r="69124">
          <cell r="O69124" t="str">
            <v/>
          </cell>
        </row>
        <row r="69125">
          <cell r="O69125" t="str">
            <v/>
          </cell>
        </row>
        <row r="69126">
          <cell r="O69126" t="str">
            <v/>
          </cell>
        </row>
        <row r="69127">
          <cell r="O69127" t="str">
            <v/>
          </cell>
        </row>
        <row r="69128">
          <cell r="O69128" t="str">
            <v/>
          </cell>
        </row>
        <row r="69129">
          <cell r="O69129" t="str">
            <v/>
          </cell>
        </row>
        <row r="69130">
          <cell r="O69130" t="str">
            <v/>
          </cell>
        </row>
        <row r="69131">
          <cell r="O69131" t="str">
            <v/>
          </cell>
        </row>
        <row r="69132">
          <cell r="O69132" t="str">
            <v/>
          </cell>
        </row>
        <row r="69133">
          <cell r="O69133" t="str">
            <v/>
          </cell>
        </row>
        <row r="69134">
          <cell r="O69134" t="str">
            <v/>
          </cell>
        </row>
        <row r="69135">
          <cell r="O69135" t="str">
            <v/>
          </cell>
        </row>
        <row r="69136">
          <cell r="O69136" t="str">
            <v/>
          </cell>
        </row>
        <row r="69137">
          <cell r="O69137" t="str">
            <v/>
          </cell>
        </row>
        <row r="69138">
          <cell r="O69138" t="str">
            <v/>
          </cell>
        </row>
        <row r="69139">
          <cell r="O69139" t="str">
            <v/>
          </cell>
        </row>
        <row r="69140">
          <cell r="O69140" t="str">
            <v/>
          </cell>
        </row>
        <row r="69141">
          <cell r="O69141" t="str">
            <v/>
          </cell>
        </row>
        <row r="69142">
          <cell r="O69142" t="str">
            <v/>
          </cell>
        </row>
        <row r="69143">
          <cell r="O69143" t="str">
            <v/>
          </cell>
        </row>
        <row r="69144">
          <cell r="O69144" t="str">
            <v/>
          </cell>
        </row>
        <row r="69145">
          <cell r="O69145" t="str">
            <v/>
          </cell>
        </row>
        <row r="69146">
          <cell r="O69146" t="str">
            <v/>
          </cell>
        </row>
        <row r="69147">
          <cell r="O69147" t="str">
            <v/>
          </cell>
        </row>
        <row r="69148">
          <cell r="O69148" t="str">
            <v/>
          </cell>
        </row>
        <row r="69149">
          <cell r="O69149" t="str">
            <v/>
          </cell>
        </row>
        <row r="69150">
          <cell r="O69150" t="str">
            <v/>
          </cell>
        </row>
        <row r="69151">
          <cell r="O69151" t="str">
            <v/>
          </cell>
        </row>
        <row r="69152">
          <cell r="O69152" t="str">
            <v/>
          </cell>
        </row>
        <row r="69153">
          <cell r="O69153" t="str">
            <v/>
          </cell>
        </row>
        <row r="69154">
          <cell r="O69154" t="str">
            <v/>
          </cell>
        </row>
        <row r="69155">
          <cell r="O69155" t="str">
            <v/>
          </cell>
        </row>
        <row r="69156">
          <cell r="O69156" t="str">
            <v/>
          </cell>
        </row>
        <row r="69157">
          <cell r="O69157" t="str">
            <v/>
          </cell>
        </row>
        <row r="69158">
          <cell r="O69158" t="str">
            <v/>
          </cell>
        </row>
        <row r="69159">
          <cell r="O69159" t="str">
            <v/>
          </cell>
        </row>
        <row r="69160">
          <cell r="O69160" t="str">
            <v/>
          </cell>
        </row>
        <row r="69161">
          <cell r="O69161" t="str">
            <v/>
          </cell>
        </row>
        <row r="69162">
          <cell r="O69162" t="str">
            <v/>
          </cell>
        </row>
        <row r="69163">
          <cell r="O69163" t="str">
            <v/>
          </cell>
        </row>
        <row r="69164">
          <cell r="O69164" t="str">
            <v/>
          </cell>
        </row>
        <row r="69165">
          <cell r="O69165" t="str">
            <v/>
          </cell>
        </row>
        <row r="69166">
          <cell r="O69166" t="str">
            <v/>
          </cell>
        </row>
        <row r="69167">
          <cell r="O69167" t="str">
            <v/>
          </cell>
        </row>
        <row r="69168">
          <cell r="O69168" t="str">
            <v/>
          </cell>
        </row>
        <row r="69169">
          <cell r="O69169" t="str">
            <v/>
          </cell>
        </row>
        <row r="69170">
          <cell r="O69170" t="str">
            <v/>
          </cell>
        </row>
        <row r="69171">
          <cell r="O69171" t="str">
            <v/>
          </cell>
        </row>
        <row r="69172">
          <cell r="O69172" t="str">
            <v/>
          </cell>
        </row>
        <row r="69173">
          <cell r="O69173" t="str">
            <v/>
          </cell>
        </row>
        <row r="69174">
          <cell r="O69174" t="str">
            <v/>
          </cell>
        </row>
        <row r="69175">
          <cell r="O69175" t="str">
            <v/>
          </cell>
        </row>
        <row r="69176">
          <cell r="O69176" t="str">
            <v/>
          </cell>
        </row>
        <row r="69177">
          <cell r="O69177" t="str">
            <v/>
          </cell>
        </row>
        <row r="69178">
          <cell r="O69178" t="str">
            <v/>
          </cell>
        </row>
        <row r="69179">
          <cell r="O69179" t="str">
            <v/>
          </cell>
        </row>
        <row r="69180">
          <cell r="O69180" t="str">
            <v/>
          </cell>
        </row>
        <row r="69181">
          <cell r="O69181" t="str">
            <v/>
          </cell>
        </row>
        <row r="69182">
          <cell r="O69182" t="str">
            <v/>
          </cell>
        </row>
        <row r="69183">
          <cell r="O69183" t="str">
            <v/>
          </cell>
        </row>
        <row r="69184">
          <cell r="O69184" t="str">
            <v/>
          </cell>
        </row>
        <row r="69185">
          <cell r="O69185" t="str">
            <v/>
          </cell>
        </row>
        <row r="69186">
          <cell r="O69186" t="str">
            <v/>
          </cell>
        </row>
        <row r="69187">
          <cell r="O69187" t="str">
            <v/>
          </cell>
        </row>
        <row r="69188">
          <cell r="O69188" t="str">
            <v/>
          </cell>
        </row>
        <row r="69189">
          <cell r="O69189" t="str">
            <v/>
          </cell>
        </row>
        <row r="69190">
          <cell r="O69190" t="str">
            <v/>
          </cell>
        </row>
        <row r="69191">
          <cell r="O69191" t="str">
            <v/>
          </cell>
        </row>
        <row r="69192">
          <cell r="O69192" t="str">
            <v/>
          </cell>
        </row>
        <row r="69193">
          <cell r="O69193" t="str">
            <v/>
          </cell>
        </row>
        <row r="69194">
          <cell r="O69194" t="str">
            <v/>
          </cell>
        </row>
        <row r="69195">
          <cell r="O69195" t="str">
            <v/>
          </cell>
        </row>
        <row r="69196">
          <cell r="O69196" t="str">
            <v/>
          </cell>
        </row>
        <row r="69197">
          <cell r="O69197" t="str">
            <v/>
          </cell>
        </row>
        <row r="69198">
          <cell r="O69198" t="str">
            <v/>
          </cell>
        </row>
        <row r="69199">
          <cell r="O69199" t="str">
            <v/>
          </cell>
        </row>
        <row r="69200">
          <cell r="O69200" t="str">
            <v/>
          </cell>
        </row>
        <row r="69201">
          <cell r="O69201" t="str">
            <v/>
          </cell>
        </row>
        <row r="69202">
          <cell r="O69202" t="str">
            <v/>
          </cell>
        </row>
        <row r="69203">
          <cell r="O69203" t="str">
            <v/>
          </cell>
        </row>
        <row r="69204">
          <cell r="O69204" t="str">
            <v/>
          </cell>
        </row>
        <row r="69205">
          <cell r="O69205" t="str">
            <v/>
          </cell>
        </row>
        <row r="69206">
          <cell r="O69206" t="str">
            <v/>
          </cell>
        </row>
        <row r="69207">
          <cell r="O69207" t="str">
            <v/>
          </cell>
        </row>
        <row r="69208">
          <cell r="O69208" t="str">
            <v/>
          </cell>
        </row>
        <row r="69209">
          <cell r="O69209" t="str">
            <v/>
          </cell>
        </row>
        <row r="69210">
          <cell r="O69210" t="str">
            <v/>
          </cell>
        </row>
        <row r="69211">
          <cell r="O69211" t="str">
            <v/>
          </cell>
        </row>
        <row r="69212">
          <cell r="O69212" t="str">
            <v/>
          </cell>
        </row>
        <row r="69213">
          <cell r="O69213" t="str">
            <v/>
          </cell>
        </row>
        <row r="69214">
          <cell r="O69214" t="str">
            <v/>
          </cell>
        </row>
        <row r="69215">
          <cell r="O69215" t="str">
            <v/>
          </cell>
        </row>
        <row r="69216">
          <cell r="O69216" t="str">
            <v/>
          </cell>
        </row>
        <row r="69217">
          <cell r="O69217" t="str">
            <v/>
          </cell>
        </row>
        <row r="69218">
          <cell r="O69218" t="str">
            <v/>
          </cell>
        </row>
        <row r="69219">
          <cell r="O69219" t="str">
            <v/>
          </cell>
        </row>
        <row r="69220">
          <cell r="O69220" t="str">
            <v/>
          </cell>
        </row>
        <row r="69221">
          <cell r="O69221" t="str">
            <v/>
          </cell>
        </row>
        <row r="69222">
          <cell r="O69222" t="str">
            <v/>
          </cell>
        </row>
        <row r="69223">
          <cell r="O69223" t="str">
            <v/>
          </cell>
        </row>
        <row r="69224">
          <cell r="O69224" t="str">
            <v/>
          </cell>
        </row>
        <row r="69225">
          <cell r="O69225" t="str">
            <v/>
          </cell>
        </row>
        <row r="69226">
          <cell r="O69226" t="str">
            <v/>
          </cell>
        </row>
        <row r="69227">
          <cell r="O69227" t="str">
            <v/>
          </cell>
        </row>
        <row r="69228">
          <cell r="O69228" t="str">
            <v/>
          </cell>
        </row>
        <row r="69229">
          <cell r="O69229" t="str">
            <v/>
          </cell>
        </row>
        <row r="69230">
          <cell r="O69230" t="str">
            <v/>
          </cell>
        </row>
        <row r="69231">
          <cell r="O69231" t="str">
            <v/>
          </cell>
        </row>
        <row r="69232">
          <cell r="O69232" t="str">
            <v/>
          </cell>
        </row>
        <row r="69233">
          <cell r="O69233" t="str">
            <v/>
          </cell>
        </row>
        <row r="69234">
          <cell r="O69234" t="str">
            <v/>
          </cell>
        </row>
        <row r="69235">
          <cell r="O69235" t="str">
            <v/>
          </cell>
        </row>
        <row r="69236">
          <cell r="O69236" t="str">
            <v/>
          </cell>
        </row>
        <row r="69237">
          <cell r="O69237" t="str">
            <v/>
          </cell>
        </row>
        <row r="69238">
          <cell r="O69238" t="str">
            <v/>
          </cell>
        </row>
        <row r="69239">
          <cell r="O69239" t="str">
            <v/>
          </cell>
        </row>
        <row r="69240">
          <cell r="O69240" t="str">
            <v/>
          </cell>
        </row>
        <row r="69241">
          <cell r="O69241" t="str">
            <v/>
          </cell>
        </row>
        <row r="69242">
          <cell r="O69242" t="str">
            <v/>
          </cell>
        </row>
        <row r="69243">
          <cell r="O69243" t="str">
            <v/>
          </cell>
        </row>
        <row r="69244">
          <cell r="O69244" t="str">
            <v/>
          </cell>
        </row>
        <row r="69245">
          <cell r="O69245" t="str">
            <v/>
          </cell>
        </row>
        <row r="69246">
          <cell r="O69246" t="str">
            <v/>
          </cell>
        </row>
        <row r="69247">
          <cell r="O69247" t="str">
            <v/>
          </cell>
        </row>
        <row r="69248">
          <cell r="O69248" t="str">
            <v/>
          </cell>
        </row>
        <row r="69249">
          <cell r="O69249" t="str">
            <v/>
          </cell>
        </row>
        <row r="69250">
          <cell r="O69250" t="str">
            <v/>
          </cell>
        </row>
        <row r="69251">
          <cell r="O69251" t="str">
            <v/>
          </cell>
        </row>
        <row r="69252">
          <cell r="O69252" t="str">
            <v/>
          </cell>
        </row>
        <row r="69253">
          <cell r="O69253" t="str">
            <v/>
          </cell>
        </row>
        <row r="69254">
          <cell r="O69254" t="str">
            <v/>
          </cell>
        </row>
        <row r="69255">
          <cell r="O69255" t="str">
            <v/>
          </cell>
        </row>
        <row r="69256">
          <cell r="O69256" t="str">
            <v/>
          </cell>
        </row>
        <row r="69257">
          <cell r="O69257" t="str">
            <v/>
          </cell>
        </row>
        <row r="69258">
          <cell r="O69258" t="str">
            <v/>
          </cell>
        </row>
        <row r="69259">
          <cell r="O69259" t="str">
            <v/>
          </cell>
        </row>
        <row r="69260">
          <cell r="O69260" t="str">
            <v/>
          </cell>
        </row>
        <row r="69261">
          <cell r="O69261" t="str">
            <v/>
          </cell>
        </row>
        <row r="69262">
          <cell r="O69262" t="str">
            <v/>
          </cell>
        </row>
        <row r="69263">
          <cell r="O69263" t="str">
            <v/>
          </cell>
        </row>
        <row r="69264">
          <cell r="O69264" t="str">
            <v/>
          </cell>
        </row>
        <row r="69265">
          <cell r="O69265" t="str">
            <v/>
          </cell>
        </row>
        <row r="69266">
          <cell r="O69266" t="str">
            <v/>
          </cell>
        </row>
        <row r="69267">
          <cell r="O69267" t="str">
            <v/>
          </cell>
        </row>
        <row r="69268">
          <cell r="O69268" t="str">
            <v/>
          </cell>
        </row>
        <row r="69269">
          <cell r="O69269" t="str">
            <v/>
          </cell>
        </row>
        <row r="69270">
          <cell r="O69270" t="str">
            <v/>
          </cell>
        </row>
        <row r="69271">
          <cell r="O69271" t="str">
            <v/>
          </cell>
        </row>
        <row r="69272">
          <cell r="O69272" t="str">
            <v/>
          </cell>
        </row>
        <row r="69273">
          <cell r="O69273" t="str">
            <v/>
          </cell>
        </row>
        <row r="69274">
          <cell r="O69274" t="str">
            <v/>
          </cell>
        </row>
        <row r="69275">
          <cell r="O69275" t="str">
            <v/>
          </cell>
        </row>
        <row r="69276">
          <cell r="O69276" t="str">
            <v/>
          </cell>
        </row>
        <row r="69277">
          <cell r="O69277" t="str">
            <v/>
          </cell>
        </row>
        <row r="69278">
          <cell r="O69278" t="str">
            <v/>
          </cell>
        </row>
        <row r="69279">
          <cell r="O69279" t="str">
            <v/>
          </cell>
        </row>
        <row r="69280">
          <cell r="O69280" t="str">
            <v/>
          </cell>
        </row>
        <row r="69281">
          <cell r="O69281" t="str">
            <v/>
          </cell>
        </row>
        <row r="69282">
          <cell r="O69282" t="str">
            <v/>
          </cell>
        </row>
        <row r="69283">
          <cell r="O69283" t="str">
            <v/>
          </cell>
        </row>
        <row r="69284">
          <cell r="O69284" t="str">
            <v/>
          </cell>
        </row>
        <row r="69285">
          <cell r="O69285" t="str">
            <v/>
          </cell>
        </row>
        <row r="69286">
          <cell r="O69286" t="str">
            <v/>
          </cell>
        </row>
        <row r="69287">
          <cell r="O69287" t="str">
            <v/>
          </cell>
        </row>
        <row r="69288">
          <cell r="O69288" t="str">
            <v/>
          </cell>
        </row>
        <row r="69289">
          <cell r="O69289" t="str">
            <v/>
          </cell>
        </row>
        <row r="69290">
          <cell r="O69290" t="str">
            <v/>
          </cell>
        </row>
        <row r="69291">
          <cell r="O69291" t="str">
            <v/>
          </cell>
        </row>
        <row r="69292">
          <cell r="O69292" t="str">
            <v/>
          </cell>
        </row>
        <row r="69293">
          <cell r="O69293" t="str">
            <v/>
          </cell>
        </row>
        <row r="69294">
          <cell r="O69294" t="str">
            <v/>
          </cell>
        </row>
        <row r="69295">
          <cell r="O69295" t="str">
            <v/>
          </cell>
        </row>
        <row r="69296">
          <cell r="O69296" t="str">
            <v/>
          </cell>
        </row>
        <row r="69297">
          <cell r="O69297" t="str">
            <v/>
          </cell>
        </row>
        <row r="69298">
          <cell r="O69298" t="str">
            <v/>
          </cell>
        </row>
        <row r="69299">
          <cell r="O69299" t="str">
            <v/>
          </cell>
        </row>
        <row r="69300">
          <cell r="O69300" t="str">
            <v/>
          </cell>
        </row>
        <row r="69301">
          <cell r="O69301" t="str">
            <v/>
          </cell>
        </row>
        <row r="69302">
          <cell r="O69302" t="str">
            <v/>
          </cell>
        </row>
        <row r="69303">
          <cell r="O69303" t="str">
            <v/>
          </cell>
        </row>
        <row r="69304">
          <cell r="O69304" t="str">
            <v/>
          </cell>
        </row>
        <row r="69305">
          <cell r="O69305" t="str">
            <v/>
          </cell>
        </row>
        <row r="69306">
          <cell r="O69306" t="str">
            <v/>
          </cell>
        </row>
        <row r="69307">
          <cell r="O69307" t="str">
            <v/>
          </cell>
        </row>
        <row r="69308">
          <cell r="O69308" t="str">
            <v/>
          </cell>
        </row>
        <row r="69309">
          <cell r="O69309" t="str">
            <v/>
          </cell>
        </row>
        <row r="69310">
          <cell r="O69310" t="str">
            <v/>
          </cell>
        </row>
        <row r="69311">
          <cell r="O69311" t="str">
            <v/>
          </cell>
        </row>
        <row r="69312">
          <cell r="O69312" t="str">
            <v/>
          </cell>
        </row>
        <row r="69313">
          <cell r="O69313" t="str">
            <v/>
          </cell>
        </row>
        <row r="69314">
          <cell r="O69314" t="str">
            <v/>
          </cell>
        </row>
        <row r="69315">
          <cell r="O69315" t="str">
            <v/>
          </cell>
        </row>
        <row r="69316">
          <cell r="O69316" t="str">
            <v/>
          </cell>
        </row>
        <row r="69317">
          <cell r="O69317" t="str">
            <v/>
          </cell>
        </row>
        <row r="69318">
          <cell r="O69318" t="str">
            <v/>
          </cell>
        </row>
        <row r="69319">
          <cell r="O69319" t="str">
            <v/>
          </cell>
        </row>
        <row r="69320">
          <cell r="O69320" t="str">
            <v/>
          </cell>
        </row>
        <row r="69321">
          <cell r="O69321" t="str">
            <v/>
          </cell>
        </row>
        <row r="69322">
          <cell r="O69322" t="str">
            <v/>
          </cell>
        </row>
        <row r="69323">
          <cell r="O69323" t="str">
            <v/>
          </cell>
        </row>
        <row r="69324">
          <cell r="O69324" t="str">
            <v/>
          </cell>
        </row>
        <row r="69325">
          <cell r="O69325" t="str">
            <v/>
          </cell>
        </row>
        <row r="69326">
          <cell r="O69326" t="str">
            <v/>
          </cell>
        </row>
        <row r="69327">
          <cell r="O69327" t="str">
            <v/>
          </cell>
        </row>
        <row r="69328">
          <cell r="O69328" t="str">
            <v/>
          </cell>
        </row>
        <row r="69329">
          <cell r="O69329" t="str">
            <v/>
          </cell>
        </row>
        <row r="69330">
          <cell r="O69330" t="str">
            <v/>
          </cell>
        </row>
        <row r="69331">
          <cell r="O69331" t="str">
            <v/>
          </cell>
        </row>
        <row r="69332">
          <cell r="O69332" t="str">
            <v/>
          </cell>
        </row>
        <row r="69333">
          <cell r="O69333" t="str">
            <v/>
          </cell>
        </row>
        <row r="69334">
          <cell r="O69334" t="str">
            <v/>
          </cell>
        </row>
        <row r="69335">
          <cell r="O69335" t="str">
            <v/>
          </cell>
        </row>
        <row r="69336">
          <cell r="O69336" t="str">
            <v/>
          </cell>
        </row>
        <row r="69337">
          <cell r="O69337" t="str">
            <v/>
          </cell>
        </row>
        <row r="69338">
          <cell r="O69338" t="str">
            <v/>
          </cell>
        </row>
        <row r="69339">
          <cell r="O69339" t="str">
            <v/>
          </cell>
        </row>
        <row r="69340">
          <cell r="O69340" t="str">
            <v/>
          </cell>
        </row>
        <row r="69341">
          <cell r="O69341" t="str">
            <v/>
          </cell>
        </row>
        <row r="69342">
          <cell r="O69342" t="str">
            <v/>
          </cell>
        </row>
        <row r="69343">
          <cell r="O69343" t="str">
            <v/>
          </cell>
        </row>
        <row r="69344">
          <cell r="O69344" t="str">
            <v/>
          </cell>
        </row>
        <row r="69345">
          <cell r="O69345" t="str">
            <v/>
          </cell>
        </row>
        <row r="69346">
          <cell r="O69346" t="str">
            <v/>
          </cell>
        </row>
        <row r="69347">
          <cell r="O69347" t="str">
            <v/>
          </cell>
        </row>
        <row r="69348">
          <cell r="O69348" t="str">
            <v/>
          </cell>
        </row>
        <row r="69349">
          <cell r="O69349" t="str">
            <v/>
          </cell>
        </row>
        <row r="69350">
          <cell r="O69350" t="str">
            <v/>
          </cell>
        </row>
        <row r="69351">
          <cell r="O69351" t="str">
            <v/>
          </cell>
        </row>
        <row r="69352">
          <cell r="O69352" t="str">
            <v/>
          </cell>
        </row>
        <row r="69353">
          <cell r="O69353" t="str">
            <v/>
          </cell>
        </row>
        <row r="69354">
          <cell r="O69354" t="str">
            <v/>
          </cell>
        </row>
        <row r="69355">
          <cell r="O69355" t="str">
            <v/>
          </cell>
        </row>
        <row r="69356">
          <cell r="O69356" t="str">
            <v/>
          </cell>
        </row>
        <row r="69357">
          <cell r="O69357" t="str">
            <v/>
          </cell>
        </row>
        <row r="69358">
          <cell r="O69358" t="str">
            <v/>
          </cell>
        </row>
        <row r="69359">
          <cell r="O69359" t="str">
            <v/>
          </cell>
        </row>
        <row r="69360">
          <cell r="O69360" t="str">
            <v/>
          </cell>
        </row>
        <row r="69361">
          <cell r="O69361" t="str">
            <v/>
          </cell>
        </row>
        <row r="69362">
          <cell r="O69362" t="str">
            <v/>
          </cell>
        </row>
        <row r="69363">
          <cell r="O69363" t="str">
            <v/>
          </cell>
        </row>
        <row r="69364">
          <cell r="O69364" t="str">
            <v/>
          </cell>
        </row>
        <row r="69365">
          <cell r="O69365" t="str">
            <v/>
          </cell>
        </row>
        <row r="69366">
          <cell r="O69366" t="str">
            <v/>
          </cell>
        </row>
        <row r="69367">
          <cell r="O69367" t="str">
            <v/>
          </cell>
        </row>
        <row r="69368">
          <cell r="O69368" t="str">
            <v/>
          </cell>
        </row>
        <row r="69369">
          <cell r="O69369" t="str">
            <v/>
          </cell>
        </row>
        <row r="69370">
          <cell r="O69370" t="str">
            <v/>
          </cell>
        </row>
        <row r="69371">
          <cell r="O69371" t="str">
            <v/>
          </cell>
        </row>
        <row r="69372">
          <cell r="O69372" t="str">
            <v/>
          </cell>
        </row>
        <row r="69373">
          <cell r="O69373" t="str">
            <v/>
          </cell>
        </row>
        <row r="69374">
          <cell r="O69374" t="str">
            <v/>
          </cell>
        </row>
        <row r="69375">
          <cell r="O69375" t="str">
            <v/>
          </cell>
        </row>
        <row r="69376">
          <cell r="O69376" t="str">
            <v/>
          </cell>
        </row>
        <row r="69377">
          <cell r="O69377" t="str">
            <v/>
          </cell>
        </row>
        <row r="69378">
          <cell r="O69378" t="str">
            <v/>
          </cell>
        </row>
        <row r="69379">
          <cell r="O69379" t="str">
            <v/>
          </cell>
        </row>
        <row r="69380">
          <cell r="O69380" t="str">
            <v/>
          </cell>
        </row>
        <row r="69381">
          <cell r="O69381" t="str">
            <v/>
          </cell>
        </row>
        <row r="69382">
          <cell r="O69382" t="str">
            <v/>
          </cell>
        </row>
        <row r="69383">
          <cell r="O69383" t="str">
            <v/>
          </cell>
        </row>
        <row r="69384">
          <cell r="O69384" t="str">
            <v/>
          </cell>
        </row>
        <row r="69385">
          <cell r="O69385" t="str">
            <v/>
          </cell>
        </row>
        <row r="69386">
          <cell r="O69386" t="str">
            <v/>
          </cell>
        </row>
        <row r="69387">
          <cell r="O69387" t="str">
            <v/>
          </cell>
        </row>
        <row r="69388">
          <cell r="O69388" t="str">
            <v/>
          </cell>
        </row>
        <row r="69389">
          <cell r="O69389" t="str">
            <v/>
          </cell>
        </row>
        <row r="69390">
          <cell r="O69390" t="str">
            <v/>
          </cell>
        </row>
        <row r="69391">
          <cell r="O69391" t="str">
            <v/>
          </cell>
        </row>
        <row r="69392">
          <cell r="O69392" t="str">
            <v/>
          </cell>
        </row>
        <row r="69393">
          <cell r="O69393" t="str">
            <v/>
          </cell>
        </row>
        <row r="69394">
          <cell r="O69394" t="str">
            <v/>
          </cell>
        </row>
        <row r="69395">
          <cell r="O69395" t="str">
            <v/>
          </cell>
        </row>
        <row r="69396">
          <cell r="O69396" t="str">
            <v/>
          </cell>
        </row>
        <row r="69397">
          <cell r="O69397" t="str">
            <v/>
          </cell>
        </row>
        <row r="69398">
          <cell r="O69398" t="str">
            <v/>
          </cell>
        </row>
        <row r="69399">
          <cell r="O69399" t="str">
            <v/>
          </cell>
        </row>
        <row r="69400">
          <cell r="O69400" t="str">
            <v/>
          </cell>
        </row>
        <row r="69401">
          <cell r="O69401" t="str">
            <v/>
          </cell>
        </row>
        <row r="69402">
          <cell r="O69402" t="str">
            <v/>
          </cell>
        </row>
        <row r="69403">
          <cell r="O69403" t="str">
            <v/>
          </cell>
        </row>
        <row r="69404">
          <cell r="O69404" t="str">
            <v/>
          </cell>
        </row>
        <row r="69405">
          <cell r="O69405" t="str">
            <v/>
          </cell>
        </row>
        <row r="69406">
          <cell r="O69406" t="str">
            <v/>
          </cell>
        </row>
        <row r="69407">
          <cell r="O69407" t="str">
            <v/>
          </cell>
        </row>
        <row r="69408">
          <cell r="O69408" t="str">
            <v/>
          </cell>
        </row>
        <row r="69409">
          <cell r="O69409" t="str">
            <v/>
          </cell>
        </row>
        <row r="69410">
          <cell r="O69410" t="str">
            <v/>
          </cell>
        </row>
        <row r="69411">
          <cell r="O69411" t="str">
            <v/>
          </cell>
        </row>
        <row r="69412">
          <cell r="O69412" t="str">
            <v/>
          </cell>
        </row>
        <row r="69413">
          <cell r="O69413" t="str">
            <v/>
          </cell>
        </row>
        <row r="69414">
          <cell r="O69414" t="str">
            <v/>
          </cell>
        </row>
        <row r="69415">
          <cell r="O69415" t="str">
            <v/>
          </cell>
        </row>
        <row r="69416">
          <cell r="O69416" t="str">
            <v/>
          </cell>
        </row>
        <row r="69417">
          <cell r="O69417" t="str">
            <v/>
          </cell>
        </row>
        <row r="69418">
          <cell r="O69418" t="str">
            <v/>
          </cell>
        </row>
        <row r="69419">
          <cell r="O69419" t="str">
            <v/>
          </cell>
        </row>
        <row r="69420">
          <cell r="O69420" t="str">
            <v/>
          </cell>
        </row>
        <row r="69421">
          <cell r="O69421" t="str">
            <v/>
          </cell>
        </row>
        <row r="69422">
          <cell r="O69422" t="str">
            <v/>
          </cell>
        </row>
        <row r="69423">
          <cell r="O69423" t="str">
            <v/>
          </cell>
        </row>
        <row r="69424">
          <cell r="O69424" t="str">
            <v/>
          </cell>
        </row>
        <row r="69425">
          <cell r="O69425" t="str">
            <v/>
          </cell>
        </row>
        <row r="69426">
          <cell r="O69426" t="str">
            <v/>
          </cell>
        </row>
        <row r="69427">
          <cell r="O69427" t="str">
            <v/>
          </cell>
        </row>
        <row r="69428">
          <cell r="O69428" t="str">
            <v/>
          </cell>
        </row>
        <row r="69429">
          <cell r="O69429" t="str">
            <v/>
          </cell>
        </row>
        <row r="69430">
          <cell r="O69430" t="str">
            <v/>
          </cell>
        </row>
        <row r="69431">
          <cell r="O69431" t="str">
            <v/>
          </cell>
        </row>
        <row r="69432">
          <cell r="O69432" t="str">
            <v/>
          </cell>
        </row>
        <row r="69433">
          <cell r="O69433" t="str">
            <v/>
          </cell>
        </row>
        <row r="69434">
          <cell r="O69434" t="str">
            <v/>
          </cell>
        </row>
        <row r="69435">
          <cell r="O69435" t="str">
            <v/>
          </cell>
        </row>
        <row r="69436">
          <cell r="O69436" t="str">
            <v/>
          </cell>
        </row>
        <row r="69437">
          <cell r="O69437" t="str">
            <v/>
          </cell>
        </row>
        <row r="69438">
          <cell r="O69438" t="str">
            <v/>
          </cell>
        </row>
        <row r="69439">
          <cell r="O69439" t="str">
            <v/>
          </cell>
        </row>
        <row r="69440">
          <cell r="O69440" t="str">
            <v/>
          </cell>
        </row>
        <row r="69441">
          <cell r="O69441" t="str">
            <v/>
          </cell>
        </row>
        <row r="69442">
          <cell r="O69442" t="str">
            <v/>
          </cell>
        </row>
        <row r="69443">
          <cell r="O69443" t="str">
            <v/>
          </cell>
        </row>
        <row r="69444">
          <cell r="O69444" t="str">
            <v/>
          </cell>
        </row>
        <row r="69445">
          <cell r="O69445" t="str">
            <v/>
          </cell>
        </row>
        <row r="69446">
          <cell r="O69446" t="str">
            <v/>
          </cell>
        </row>
        <row r="69447">
          <cell r="O69447" t="str">
            <v/>
          </cell>
        </row>
        <row r="69448">
          <cell r="O69448" t="str">
            <v/>
          </cell>
        </row>
        <row r="69449">
          <cell r="O69449" t="str">
            <v/>
          </cell>
        </row>
        <row r="69450">
          <cell r="O69450" t="str">
            <v/>
          </cell>
        </row>
        <row r="69451">
          <cell r="O69451" t="str">
            <v/>
          </cell>
        </row>
        <row r="69452">
          <cell r="O69452" t="str">
            <v/>
          </cell>
        </row>
        <row r="69453">
          <cell r="O69453" t="str">
            <v/>
          </cell>
        </row>
        <row r="69454">
          <cell r="O69454" t="str">
            <v/>
          </cell>
        </row>
        <row r="69455">
          <cell r="O69455" t="str">
            <v/>
          </cell>
        </row>
        <row r="69456">
          <cell r="O69456" t="str">
            <v/>
          </cell>
        </row>
        <row r="69457">
          <cell r="O69457" t="str">
            <v/>
          </cell>
        </row>
        <row r="69458">
          <cell r="O69458" t="str">
            <v/>
          </cell>
        </row>
        <row r="69459">
          <cell r="O69459" t="str">
            <v/>
          </cell>
        </row>
        <row r="69460">
          <cell r="O69460" t="str">
            <v/>
          </cell>
        </row>
        <row r="69461">
          <cell r="O69461" t="str">
            <v/>
          </cell>
        </row>
        <row r="69462">
          <cell r="O69462" t="str">
            <v/>
          </cell>
        </row>
        <row r="69463">
          <cell r="O69463" t="str">
            <v/>
          </cell>
        </row>
        <row r="69464">
          <cell r="O69464" t="str">
            <v/>
          </cell>
        </row>
        <row r="69465">
          <cell r="O69465" t="str">
            <v/>
          </cell>
        </row>
        <row r="69466">
          <cell r="O69466" t="str">
            <v/>
          </cell>
        </row>
        <row r="69467">
          <cell r="O69467" t="str">
            <v/>
          </cell>
        </row>
        <row r="69468">
          <cell r="O69468" t="str">
            <v/>
          </cell>
        </row>
        <row r="69469">
          <cell r="O69469" t="str">
            <v/>
          </cell>
        </row>
        <row r="69470">
          <cell r="O69470" t="str">
            <v/>
          </cell>
        </row>
        <row r="69471">
          <cell r="O69471" t="str">
            <v/>
          </cell>
        </row>
        <row r="69472">
          <cell r="O69472" t="str">
            <v/>
          </cell>
        </row>
        <row r="69473">
          <cell r="O69473" t="str">
            <v/>
          </cell>
        </row>
        <row r="69474">
          <cell r="O69474" t="str">
            <v/>
          </cell>
        </row>
        <row r="69475">
          <cell r="O69475" t="str">
            <v/>
          </cell>
        </row>
        <row r="69476">
          <cell r="O69476" t="str">
            <v/>
          </cell>
        </row>
        <row r="69477">
          <cell r="O69477" t="str">
            <v/>
          </cell>
        </row>
        <row r="69478">
          <cell r="O69478" t="str">
            <v/>
          </cell>
        </row>
        <row r="69479">
          <cell r="O69479" t="str">
            <v/>
          </cell>
        </row>
        <row r="69480">
          <cell r="O69480" t="str">
            <v/>
          </cell>
        </row>
        <row r="69481">
          <cell r="O69481" t="str">
            <v/>
          </cell>
        </row>
        <row r="69482">
          <cell r="O69482" t="str">
            <v/>
          </cell>
        </row>
        <row r="69483">
          <cell r="O69483" t="str">
            <v/>
          </cell>
        </row>
        <row r="69484">
          <cell r="O69484" t="str">
            <v/>
          </cell>
        </row>
        <row r="69485">
          <cell r="O69485" t="str">
            <v/>
          </cell>
        </row>
        <row r="69486">
          <cell r="O69486" t="str">
            <v/>
          </cell>
        </row>
        <row r="69487">
          <cell r="O69487" t="str">
            <v/>
          </cell>
        </row>
        <row r="69488">
          <cell r="O69488" t="str">
            <v/>
          </cell>
        </row>
        <row r="69489">
          <cell r="O69489" t="str">
            <v/>
          </cell>
        </row>
        <row r="69490">
          <cell r="O69490" t="str">
            <v/>
          </cell>
        </row>
        <row r="69491">
          <cell r="O69491" t="str">
            <v/>
          </cell>
        </row>
        <row r="69492">
          <cell r="O69492" t="str">
            <v/>
          </cell>
        </row>
        <row r="69493">
          <cell r="O69493" t="str">
            <v/>
          </cell>
        </row>
        <row r="69494">
          <cell r="O69494" t="str">
            <v/>
          </cell>
        </row>
        <row r="69495">
          <cell r="O69495" t="str">
            <v/>
          </cell>
        </row>
        <row r="69496">
          <cell r="O69496" t="str">
            <v/>
          </cell>
        </row>
        <row r="69497">
          <cell r="O69497" t="str">
            <v/>
          </cell>
        </row>
        <row r="69498">
          <cell r="O69498" t="str">
            <v/>
          </cell>
        </row>
        <row r="69499">
          <cell r="O69499" t="str">
            <v/>
          </cell>
        </row>
        <row r="69500">
          <cell r="O69500" t="str">
            <v/>
          </cell>
        </row>
        <row r="69501">
          <cell r="O69501" t="str">
            <v/>
          </cell>
        </row>
        <row r="69502">
          <cell r="O69502" t="str">
            <v/>
          </cell>
        </row>
        <row r="69503">
          <cell r="O69503" t="str">
            <v/>
          </cell>
        </row>
        <row r="69504">
          <cell r="O69504" t="str">
            <v/>
          </cell>
        </row>
        <row r="69505">
          <cell r="O69505" t="str">
            <v/>
          </cell>
        </row>
        <row r="69506">
          <cell r="O69506" t="str">
            <v/>
          </cell>
        </row>
        <row r="69507">
          <cell r="O69507" t="str">
            <v/>
          </cell>
        </row>
        <row r="69508">
          <cell r="O69508" t="str">
            <v/>
          </cell>
        </row>
        <row r="69509">
          <cell r="O69509" t="str">
            <v/>
          </cell>
        </row>
        <row r="69510">
          <cell r="O69510" t="str">
            <v/>
          </cell>
        </row>
        <row r="69511">
          <cell r="O69511" t="str">
            <v/>
          </cell>
        </row>
        <row r="69512">
          <cell r="O69512" t="str">
            <v/>
          </cell>
        </row>
        <row r="69513">
          <cell r="O69513" t="str">
            <v/>
          </cell>
        </row>
        <row r="69514">
          <cell r="O69514" t="str">
            <v/>
          </cell>
        </row>
        <row r="69515">
          <cell r="O69515" t="str">
            <v/>
          </cell>
        </row>
        <row r="69516">
          <cell r="O69516" t="str">
            <v/>
          </cell>
        </row>
        <row r="69517">
          <cell r="O69517" t="str">
            <v/>
          </cell>
        </row>
        <row r="69518">
          <cell r="O69518" t="str">
            <v/>
          </cell>
        </row>
        <row r="69519">
          <cell r="O69519" t="str">
            <v/>
          </cell>
        </row>
        <row r="69520">
          <cell r="O69520" t="str">
            <v/>
          </cell>
        </row>
        <row r="69521">
          <cell r="O69521" t="str">
            <v/>
          </cell>
        </row>
        <row r="69522">
          <cell r="O69522" t="str">
            <v/>
          </cell>
        </row>
        <row r="69523">
          <cell r="O69523" t="str">
            <v/>
          </cell>
        </row>
        <row r="69524">
          <cell r="O69524" t="str">
            <v/>
          </cell>
        </row>
        <row r="69525">
          <cell r="O69525" t="str">
            <v/>
          </cell>
        </row>
        <row r="69526">
          <cell r="O69526" t="str">
            <v/>
          </cell>
        </row>
        <row r="69527">
          <cell r="O69527" t="str">
            <v/>
          </cell>
        </row>
        <row r="69528">
          <cell r="O69528" t="str">
            <v/>
          </cell>
        </row>
        <row r="69529">
          <cell r="O69529" t="str">
            <v/>
          </cell>
        </row>
        <row r="69530">
          <cell r="O69530" t="str">
            <v/>
          </cell>
        </row>
        <row r="69531">
          <cell r="O69531" t="str">
            <v/>
          </cell>
        </row>
        <row r="69532">
          <cell r="O69532" t="str">
            <v/>
          </cell>
        </row>
        <row r="69533">
          <cell r="O69533" t="str">
            <v/>
          </cell>
        </row>
        <row r="69534">
          <cell r="O69534" t="str">
            <v/>
          </cell>
        </row>
        <row r="69535">
          <cell r="O69535" t="str">
            <v/>
          </cell>
        </row>
        <row r="69536">
          <cell r="O69536" t="str">
            <v/>
          </cell>
        </row>
        <row r="69537">
          <cell r="O69537" t="str">
            <v/>
          </cell>
        </row>
        <row r="69538">
          <cell r="O69538" t="str">
            <v/>
          </cell>
        </row>
        <row r="69539">
          <cell r="O69539" t="str">
            <v/>
          </cell>
        </row>
        <row r="69540">
          <cell r="O69540" t="str">
            <v/>
          </cell>
        </row>
        <row r="69541">
          <cell r="O69541" t="str">
            <v/>
          </cell>
        </row>
        <row r="69542">
          <cell r="O69542" t="str">
            <v/>
          </cell>
        </row>
        <row r="69543">
          <cell r="O69543" t="str">
            <v/>
          </cell>
        </row>
        <row r="69544">
          <cell r="O69544" t="str">
            <v/>
          </cell>
        </row>
        <row r="69545">
          <cell r="O69545" t="str">
            <v/>
          </cell>
        </row>
        <row r="69546">
          <cell r="O69546" t="str">
            <v/>
          </cell>
        </row>
        <row r="69547">
          <cell r="O69547" t="str">
            <v/>
          </cell>
        </row>
        <row r="69548">
          <cell r="O69548" t="str">
            <v/>
          </cell>
        </row>
        <row r="69549">
          <cell r="O69549" t="str">
            <v/>
          </cell>
        </row>
        <row r="69550">
          <cell r="O69550" t="str">
            <v/>
          </cell>
        </row>
        <row r="69551">
          <cell r="O69551" t="str">
            <v/>
          </cell>
        </row>
        <row r="69552">
          <cell r="O69552" t="str">
            <v/>
          </cell>
        </row>
        <row r="69553">
          <cell r="O69553" t="str">
            <v/>
          </cell>
        </row>
        <row r="69554">
          <cell r="O69554" t="str">
            <v/>
          </cell>
        </row>
        <row r="69555">
          <cell r="O69555" t="str">
            <v/>
          </cell>
        </row>
        <row r="69556">
          <cell r="O69556" t="str">
            <v/>
          </cell>
        </row>
        <row r="69557">
          <cell r="O69557" t="str">
            <v/>
          </cell>
        </row>
        <row r="69558">
          <cell r="O69558" t="str">
            <v/>
          </cell>
        </row>
        <row r="69559">
          <cell r="O69559" t="str">
            <v/>
          </cell>
        </row>
        <row r="69560">
          <cell r="O69560" t="str">
            <v/>
          </cell>
        </row>
        <row r="69561">
          <cell r="O69561" t="str">
            <v/>
          </cell>
        </row>
        <row r="69562">
          <cell r="O69562" t="str">
            <v/>
          </cell>
        </row>
        <row r="69563">
          <cell r="O69563" t="str">
            <v/>
          </cell>
        </row>
        <row r="69564">
          <cell r="O69564" t="str">
            <v/>
          </cell>
        </row>
        <row r="69565">
          <cell r="O69565" t="str">
            <v/>
          </cell>
        </row>
        <row r="69566">
          <cell r="O69566" t="str">
            <v/>
          </cell>
        </row>
        <row r="69567">
          <cell r="O69567" t="str">
            <v/>
          </cell>
        </row>
        <row r="69568">
          <cell r="O69568" t="str">
            <v/>
          </cell>
        </row>
        <row r="69569">
          <cell r="O69569" t="str">
            <v/>
          </cell>
        </row>
        <row r="69570">
          <cell r="O69570" t="str">
            <v/>
          </cell>
        </row>
        <row r="69571">
          <cell r="O69571" t="str">
            <v/>
          </cell>
        </row>
        <row r="69572">
          <cell r="O69572" t="str">
            <v/>
          </cell>
        </row>
        <row r="69573">
          <cell r="O69573" t="str">
            <v/>
          </cell>
        </row>
        <row r="69574">
          <cell r="O69574" t="str">
            <v/>
          </cell>
        </row>
        <row r="69575">
          <cell r="O69575" t="str">
            <v/>
          </cell>
        </row>
        <row r="69576">
          <cell r="O69576" t="str">
            <v/>
          </cell>
        </row>
        <row r="69577">
          <cell r="O69577" t="str">
            <v/>
          </cell>
        </row>
        <row r="69578">
          <cell r="O69578" t="str">
            <v/>
          </cell>
        </row>
        <row r="69579">
          <cell r="O69579" t="str">
            <v/>
          </cell>
        </row>
        <row r="69580">
          <cell r="O69580" t="str">
            <v/>
          </cell>
        </row>
        <row r="69581">
          <cell r="O69581" t="str">
            <v/>
          </cell>
        </row>
        <row r="69582">
          <cell r="O69582" t="str">
            <v/>
          </cell>
        </row>
        <row r="69583">
          <cell r="O69583" t="str">
            <v/>
          </cell>
        </row>
        <row r="69584">
          <cell r="O69584" t="str">
            <v/>
          </cell>
        </row>
        <row r="69585">
          <cell r="O69585" t="str">
            <v/>
          </cell>
        </row>
        <row r="69586">
          <cell r="O69586" t="str">
            <v/>
          </cell>
        </row>
        <row r="69587">
          <cell r="O69587" t="str">
            <v/>
          </cell>
        </row>
        <row r="69588">
          <cell r="O69588" t="str">
            <v/>
          </cell>
        </row>
        <row r="69589">
          <cell r="O69589" t="str">
            <v/>
          </cell>
        </row>
        <row r="69590">
          <cell r="O69590" t="str">
            <v/>
          </cell>
        </row>
        <row r="69591">
          <cell r="O69591" t="str">
            <v/>
          </cell>
        </row>
        <row r="69592">
          <cell r="O69592" t="str">
            <v/>
          </cell>
        </row>
        <row r="69593">
          <cell r="O69593" t="str">
            <v/>
          </cell>
        </row>
        <row r="69594">
          <cell r="O69594" t="str">
            <v/>
          </cell>
        </row>
        <row r="69595">
          <cell r="O69595" t="str">
            <v/>
          </cell>
        </row>
        <row r="69596">
          <cell r="O69596" t="str">
            <v/>
          </cell>
        </row>
        <row r="69597">
          <cell r="O69597" t="str">
            <v/>
          </cell>
        </row>
        <row r="69598">
          <cell r="O69598" t="str">
            <v/>
          </cell>
        </row>
        <row r="69599">
          <cell r="O69599" t="str">
            <v/>
          </cell>
        </row>
        <row r="69600">
          <cell r="O69600" t="str">
            <v/>
          </cell>
        </row>
        <row r="69601">
          <cell r="O69601" t="str">
            <v/>
          </cell>
        </row>
        <row r="69602">
          <cell r="O69602" t="str">
            <v/>
          </cell>
        </row>
        <row r="69603">
          <cell r="O69603" t="str">
            <v/>
          </cell>
        </row>
        <row r="69604">
          <cell r="O69604" t="str">
            <v/>
          </cell>
        </row>
        <row r="69605">
          <cell r="O69605" t="str">
            <v/>
          </cell>
        </row>
        <row r="69606">
          <cell r="O69606" t="str">
            <v/>
          </cell>
        </row>
        <row r="69607">
          <cell r="O69607" t="str">
            <v/>
          </cell>
        </row>
        <row r="69608">
          <cell r="O69608" t="str">
            <v/>
          </cell>
        </row>
        <row r="69609">
          <cell r="O69609" t="str">
            <v/>
          </cell>
        </row>
        <row r="69610">
          <cell r="O69610" t="str">
            <v/>
          </cell>
        </row>
        <row r="69611">
          <cell r="O69611" t="str">
            <v/>
          </cell>
        </row>
        <row r="69612">
          <cell r="O69612" t="str">
            <v/>
          </cell>
        </row>
        <row r="69613">
          <cell r="O69613" t="str">
            <v/>
          </cell>
        </row>
        <row r="69614">
          <cell r="O69614" t="str">
            <v/>
          </cell>
        </row>
        <row r="69615">
          <cell r="O69615" t="str">
            <v/>
          </cell>
        </row>
        <row r="69616">
          <cell r="O69616" t="str">
            <v/>
          </cell>
        </row>
        <row r="69617">
          <cell r="O69617" t="str">
            <v/>
          </cell>
        </row>
        <row r="69618">
          <cell r="O69618" t="str">
            <v/>
          </cell>
        </row>
        <row r="69619">
          <cell r="O69619" t="str">
            <v/>
          </cell>
        </row>
        <row r="69620">
          <cell r="O69620" t="str">
            <v/>
          </cell>
        </row>
        <row r="69621">
          <cell r="O69621" t="str">
            <v/>
          </cell>
        </row>
        <row r="69622">
          <cell r="O69622" t="str">
            <v/>
          </cell>
        </row>
        <row r="69623">
          <cell r="O69623" t="str">
            <v/>
          </cell>
        </row>
        <row r="69624">
          <cell r="O69624" t="str">
            <v/>
          </cell>
        </row>
        <row r="69625">
          <cell r="O69625" t="str">
            <v/>
          </cell>
        </row>
        <row r="69626">
          <cell r="O69626" t="str">
            <v/>
          </cell>
        </row>
        <row r="69627">
          <cell r="O69627" t="str">
            <v/>
          </cell>
        </row>
        <row r="69628">
          <cell r="O69628" t="str">
            <v/>
          </cell>
        </row>
        <row r="69629">
          <cell r="O69629" t="str">
            <v/>
          </cell>
        </row>
        <row r="69630">
          <cell r="O69630" t="str">
            <v/>
          </cell>
        </row>
        <row r="69631">
          <cell r="O69631" t="str">
            <v/>
          </cell>
        </row>
        <row r="69632">
          <cell r="O69632" t="str">
            <v/>
          </cell>
        </row>
        <row r="69633">
          <cell r="O69633" t="str">
            <v/>
          </cell>
        </row>
        <row r="69634">
          <cell r="O69634" t="str">
            <v/>
          </cell>
        </row>
        <row r="69635">
          <cell r="O69635" t="str">
            <v/>
          </cell>
        </row>
        <row r="69636">
          <cell r="O69636" t="str">
            <v/>
          </cell>
        </row>
        <row r="69637">
          <cell r="O69637" t="str">
            <v/>
          </cell>
        </row>
        <row r="69638">
          <cell r="O69638" t="str">
            <v/>
          </cell>
        </row>
        <row r="69639">
          <cell r="O69639" t="str">
            <v/>
          </cell>
        </row>
        <row r="69640">
          <cell r="O69640" t="str">
            <v/>
          </cell>
        </row>
        <row r="69641">
          <cell r="O69641" t="str">
            <v/>
          </cell>
        </row>
        <row r="69642">
          <cell r="O69642" t="str">
            <v/>
          </cell>
        </row>
        <row r="69643">
          <cell r="O69643" t="str">
            <v/>
          </cell>
        </row>
        <row r="69644">
          <cell r="O69644" t="str">
            <v/>
          </cell>
        </row>
        <row r="69645">
          <cell r="O69645" t="str">
            <v/>
          </cell>
        </row>
        <row r="69646">
          <cell r="O69646" t="str">
            <v/>
          </cell>
        </row>
        <row r="69647">
          <cell r="O69647" t="str">
            <v/>
          </cell>
        </row>
        <row r="69648">
          <cell r="O69648" t="str">
            <v/>
          </cell>
        </row>
        <row r="69649">
          <cell r="O69649" t="str">
            <v/>
          </cell>
        </row>
        <row r="69650">
          <cell r="O69650" t="str">
            <v/>
          </cell>
        </row>
        <row r="69651">
          <cell r="O69651" t="str">
            <v/>
          </cell>
        </row>
        <row r="69652">
          <cell r="O69652" t="str">
            <v/>
          </cell>
        </row>
        <row r="69653">
          <cell r="O69653" t="str">
            <v/>
          </cell>
        </row>
        <row r="69654">
          <cell r="O69654" t="str">
            <v/>
          </cell>
        </row>
        <row r="69655">
          <cell r="O69655" t="str">
            <v/>
          </cell>
        </row>
        <row r="69656">
          <cell r="O69656" t="str">
            <v/>
          </cell>
        </row>
        <row r="69657">
          <cell r="O69657" t="str">
            <v/>
          </cell>
        </row>
        <row r="69658">
          <cell r="O69658" t="str">
            <v/>
          </cell>
        </row>
        <row r="69659">
          <cell r="O69659" t="str">
            <v/>
          </cell>
        </row>
        <row r="69660">
          <cell r="O69660" t="str">
            <v/>
          </cell>
        </row>
        <row r="69661">
          <cell r="O69661" t="str">
            <v/>
          </cell>
        </row>
        <row r="69662">
          <cell r="O69662" t="str">
            <v/>
          </cell>
        </row>
        <row r="69663">
          <cell r="O69663" t="str">
            <v/>
          </cell>
        </row>
        <row r="69664">
          <cell r="O69664" t="str">
            <v/>
          </cell>
        </row>
        <row r="69665">
          <cell r="O69665" t="str">
            <v/>
          </cell>
        </row>
        <row r="69666">
          <cell r="O69666" t="str">
            <v/>
          </cell>
        </row>
        <row r="69667">
          <cell r="O69667" t="str">
            <v/>
          </cell>
        </row>
        <row r="69668">
          <cell r="O69668" t="str">
            <v/>
          </cell>
        </row>
        <row r="69669">
          <cell r="O69669" t="str">
            <v/>
          </cell>
        </row>
        <row r="69670">
          <cell r="O69670" t="str">
            <v/>
          </cell>
        </row>
        <row r="69671">
          <cell r="O69671" t="str">
            <v/>
          </cell>
        </row>
        <row r="69672">
          <cell r="O69672" t="str">
            <v/>
          </cell>
        </row>
        <row r="69673">
          <cell r="O69673" t="str">
            <v/>
          </cell>
        </row>
        <row r="69674">
          <cell r="O69674" t="str">
            <v/>
          </cell>
        </row>
        <row r="69675">
          <cell r="O69675" t="str">
            <v/>
          </cell>
        </row>
        <row r="69676">
          <cell r="O69676" t="str">
            <v/>
          </cell>
        </row>
        <row r="69677">
          <cell r="O69677" t="str">
            <v/>
          </cell>
        </row>
        <row r="69678">
          <cell r="O69678" t="str">
            <v/>
          </cell>
        </row>
        <row r="69679">
          <cell r="O69679" t="str">
            <v/>
          </cell>
        </row>
        <row r="69680">
          <cell r="O69680" t="str">
            <v/>
          </cell>
        </row>
        <row r="69681">
          <cell r="O69681" t="str">
            <v/>
          </cell>
        </row>
        <row r="69682">
          <cell r="O69682" t="str">
            <v/>
          </cell>
        </row>
        <row r="69683">
          <cell r="O69683" t="str">
            <v/>
          </cell>
        </row>
        <row r="69684">
          <cell r="O69684" t="str">
            <v/>
          </cell>
        </row>
        <row r="69685">
          <cell r="O69685" t="str">
            <v/>
          </cell>
        </row>
        <row r="69686">
          <cell r="O69686" t="str">
            <v/>
          </cell>
        </row>
        <row r="69687">
          <cell r="O69687" t="str">
            <v/>
          </cell>
        </row>
        <row r="69688">
          <cell r="O69688" t="str">
            <v/>
          </cell>
        </row>
        <row r="69689">
          <cell r="O69689" t="str">
            <v/>
          </cell>
        </row>
        <row r="69690">
          <cell r="O69690" t="str">
            <v/>
          </cell>
        </row>
        <row r="69691">
          <cell r="O69691" t="str">
            <v/>
          </cell>
        </row>
        <row r="69692">
          <cell r="O69692" t="str">
            <v/>
          </cell>
        </row>
        <row r="69693">
          <cell r="O69693" t="str">
            <v/>
          </cell>
        </row>
        <row r="69694">
          <cell r="O69694" t="str">
            <v/>
          </cell>
        </row>
        <row r="69695">
          <cell r="O69695" t="str">
            <v/>
          </cell>
        </row>
        <row r="69696">
          <cell r="O69696" t="str">
            <v/>
          </cell>
        </row>
        <row r="69697">
          <cell r="O69697" t="str">
            <v/>
          </cell>
        </row>
        <row r="69698">
          <cell r="O69698" t="str">
            <v/>
          </cell>
        </row>
        <row r="69699">
          <cell r="O69699" t="str">
            <v/>
          </cell>
        </row>
        <row r="69700">
          <cell r="O69700" t="str">
            <v/>
          </cell>
        </row>
        <row r="69701">
          <cell r="O69701" t="str">
            <v/>
          </cell>
        </row>
        <row r="69702">
          <cell r="O69702" t="str">
            <v/>
          </cell>
        </row>
        <row r="69703">
          <cell r="O69703" t="str">
            <v/>
          </cell>
        </row>
        <row r="69704">
          <cell r="O69704" t="str">
            <v/>
          </cell>
        </row>
        <row r="69705">
          <cell r="O69705" t="str">
            <v/>
          </cell>
        </row>
        <row r="69706">
          <cell r="O69706" t="str">
            <v/>
          </cell>
        </row>
        <row r="69707">
          <cell r="O69707" t="str">
            <v/>
          </cell>
        </row>
        <row r="69708">
          <cell r="O69708" t="str">
            <v/>
          </cell>
        </row>
        <row r="69709">
          <cell r="O69709" t="str">
            <v/>
          </cell>
        </row>
        <row r="69710">
          <cell r="O69710" t="str">
            <v/>
          </cell>
        </row>
        <row r="69711">
          <cell r="O69711" t="str">
            <v/>
          </cell>
        </row>
        <row r="69712">
          <cell r="O69712" t="str">
            <v/>
          </cell>
        </row>
        <row r="69713">
          <cell r="O69713" t="str">
            <v/>
          </cell>
        </row>
        <row r="69714">
          <cell r="O69714" t="str">
            <v/>
          </cell>
        </row>
        <row r="69715">
          <cell r="O69715" t="str">
            <v/>
          </cell>
        </row>
        <row r="69716">
          <cell r="O69716" t="str">
            <v/>
          </cell>
        </row>
        <row r="69717">
          <cell r="O69717" t="str">
            <v/>
          </cell>
        </row>
        <row r="69718">
          <cell r="O69718" t="str">
            <v/>
          </cell>
        </row>
        <row r="69719">
          <cell r="O69719" t="str">
            <v/>
          </cell>
        </row>
        <row r="69720">
          <cell r="O69720" t="str">
            <v/>
          </cell>
        </row>
        <row r="69721">
          <cell r="O69721" t="str">
            <v/>
          </cell>
        </row>
        <row r="69722">
          <cell r="O69722" t="str">
            <v/>
          </cell>
        </row>
        <row r="69723">
          <cell r="O69723" t="str">
            <v/>
          </cell>
        </row>
        <row r="69724">
          <cell r="O69724" t="str">
            <v/>
          </cell>
        </row>
        <row r="69725">
          <cell r="O69725" t="str">
            <v/>
          </cell>
        </row>
        <row r="69726">
          <cell r="O69726" t="str">
            <v/>
          </cell>
        </row>
        <row r="69727">
          <cell r="O69727" t="str">
            <v/>
          </cell>
        </row>
        <row r="69728">
          <cell r="O69728" t="str">
            <v/>
          </cell>
        </row>
        <row r="69729">
          <cell r="O69729" t="str">
            <v/>
          </cell>
        </row>
        <row r="69730">
          <cell r="O69730" t="str">
            <v/>
          </cell>
        </row>
        <row r="69731">
          <cell r="O69731" t="str">
            <v/>
          </cell>
        </row>
        <row r="69732">
          <cell r="O69732" t="str">
            <v/>
          </cell>
        </row>
        <row r="69733">
          <cell r="O69733" t="str">
            <v/>
          </cell>
        </row>
        <row r="69734">
          <cell r="O69734" t="str">
            <v/>
          </cell>
        </row>
        <row r="69735">
          <cell r="O69735" t="str">
            <v/>
          </cell>
        </row>
        <row r="69736">
          <cell r="O69736" t="str">
            <v/>
          </cell>
        </row>
        <row r="69737">
          <cell r="O69737" t="str">
            <v/>
          </cell>
        </row>
        <row r="69738">
          <cell r="O69738" t="str">
            <v/>
          </cell>
        </row>
        <row r="69739">
          <cell r="O69739" t="str">
            <v/>
          </cell>
        </row>
        <row r="69740">
          <cell r="O69740" t="str">
            <v/>
          </cell>
        </row>
        <row r="69741">
          <cell r="O69741" t="str">
            <v/>
          </cell>
        </row>
        <row r="69742">
          <cell r="O69742" t="str">
            <v/>
          </cell>
        </row>
        <row r="69743">
          <cell r="O69743" t="str">
            <v/>
          </cell>
        </row>
        <row r="69744">
          <cell r="O69744" t="str">
            <v/>
          </cell>
        </row>
        <row r="69745">
          <cell r="O69745" t="str">
            <v/>
          </cell>
        </row>
        <row r="69746">
          <cell r="O69746" t="str">
            <v/>
          </cell>
        </row>
        <row r="69747">
          <cell r="O69747" t="str">
            <v/>
          </cell>
        </row>
        <row r="69748">
          <cell r="O69748" t="str">
            <v/>
          </cell>
        </row>
        <row r="69749">
          <cell r="O69749" t="str">
            <v/>
          </cell>
        </row>
        <row r="69750">
          <cell r="O69750" t="str">
            <v/>
          </cell>
        </row>
        <row r="69751">
          <cell r="O69751" t="str">
            <v/>
          </cell>
        </row>
        <row r="69752">
          <cell r="O69752" t="str">
            <v/>
          </cell>
        </row>
        <row r="69753">
          <cell r="O69753" t="str">
            <v/>
          </cell>
        </row>
        <row r="69754">
          <cell r="O69754" t="str">
            <v/>
          </cell>
        </row>
        <row r="69755">
          <cell r="O69755" t="str">
            <v/>
          </cell>
        </row>
        <row r="69756">
          <cell r="O69756" t="str">
            <v/>
          </cell>
        </row>
        <row r="69757">
          <cell r="O69757" t="str">
            <v/>
          </cell>
        </row>
        <row r="69758">
          <cell r="O69758" t="str">
            <v/>
          </cell>
        </row>
        <row r="69759">
          <cell r="O69759" t="str">
            <v/>
          </cell>
        </row>
        <row r="69760">
          <cell r="O69760" t="str">
            <v/>
          </cell>
        </row>
        <row r="69761">
          <cell r="O69761" t="str">
            <v/>
          </cell>
        </row>
        <row r="69762">
          <cell r="O69762" t="str">
            <v/>
          </cell>
        </row>
        <row r="69763">
          <cell r="O69763" t="str">
            <v/>
          </cell>
        </row>
        <row r="69764">
          <cell r="O69764" t="str">
            <v/>
          </cell>
        </row>
        <row r="69765">
          <cell r="O69765" t="str">
            <v/>
          </cell>
        </row>
        <row r="69766">
          <cell r="O69766" t="str">
            <v/>
          </cell>
        </row>
        <row r="69767">
          <cell r="O69767" t="str">
            <v/>
          </cell>
        </row>
        <row r="69768">
          <cell r="O69768" t="str">
            <v/>
          </cell>
        </row>
        <row r="69769">
          <cell r="O69769" t="str">
            <v/>
          </cell>
        </row>
        <row r="69770">
          <cell r="O69770" t="str">
            <v/>
          </cell>
        </row>
        <row r="69771">
          <cell r="O69771" t="str">
            <v/>
          </cell>
        </row>
        <row r="69772">
          <cell r="O69772" t="str">
            <v/>
          </cell>
        </row>
        <row r="69773">
          <cell r="O69773" t="str">
            <v/>
          </cell>
        </row>
        <row r="69774">
          <cell r="O69774" t="str">
            <v/>
          </cell>
        </row>
        <row r="69775">
          <cell r="O69775" t="str">
            <v/>
          </cell>
        </row>
        <row r="69776">
          <cell r="O69776" t="str">
            <v/>
          </cell>
        </row>
        <row r="69777">
          <cell r="O69777" t="str">
            <v/>
          </cell>
        </row>
        <row r="69778">
          <cell r="O69778" t="str">
            <v/>
          </cell>
        </row>
        <row r="69779">
          <cell r="O69779" t="str">
            <v/>
          </cell>
        </row>
        <row r="69780">
          <cell r="O69780" t="str">
            <v/>
          </cell>
        </row>
        <row r="69781">
          <cell r="O69781" t="str">
            <v/>
          </cell>
        </row>
        <row r="69782">
          <cell r="O69782" t="str">
            <v/>
          </cell>
        </row>
        <row r="69783">
          <cell r="O69783" t="str">
            <v/>
          </cell>
        </row>
        <row r="69784">
          <cell r="O69784" t="str">
            <v/>
          </cell>
        </row>
        <row r="69785">
          <cell r="O69785" t="str">
            <v/>
          </cell>
        </row>
        <row r="69786">
          <cell r="O69786" t="str">
            <v/>
          </cell>
        </row>
        <row r="69787">
          <cell r="O69787" t="str">
            <v/>
          </cell>
        </row>
        <row r="69788">
          <cell r="O69788" t="str">
            <v/>
          </cell>
        </row>
        <row r="69789">
          <cell r="O69789" t="str">
            <v/>
          </cell>
        </row>
        <row r="69790">
          <cell r="O69790" t="str">
            <v/>
          </cell>
        </row>
        <row r="69791">
          <cell r="O69791" t="str">
            <v/>
          </cell>
        </row>
        <row r="69792">
          <cell r="O69792" t="str">
            <v/>
          </cell>
        </row>
        <row r="69793">
          <cell r="O69793" t="str">
            <v/>
          </cell>
        </row>
        <row r="69794">
          <cell r="O69794" t="str">
            <v/>
          </cell>
        </row>
        <row r="69795">
          <cell r="O69795" t="str">
            <v/>
          </cell>
        </row>
        <row r="69796">
          <cell r="O69796" t="str">
            <v/>
          </cell>
        </row>
        <row r="69797">
          <cell r="O69797" t="str">
            <v/>
          </cell>
        </row>
        <row r="69798">
          <cell r="O69798" t="str">
            <v/>
          </cell>
        </row>
        <row r="69799">
          <cell r="O69799" t="str">
            <v/>
          </cell>
        </row>
        <row r="69800">
          <cell r="O69800" t="str">
            <v/>
          </cell>
        </row>
        <row r="69801">
          <cell r="O69801" t="str">
            <v/>
          </cell>
        </row>
        <row r="69802">
          <cell r="O69802" t="str">
            <v/>
          </cell>
        </row>
        <row r="69803">
          <cell r="O69803" t="str">
            <v/>
          </cell>
        </row>
        <row r="69804">
          <cell r="O69804" t="str">
            <v/>
          </cell>
        </row>
        <row r="69805">
          <cell r="O69805" t="str">
            <v/>
          </cell>
        </row>
        <row r="69806">
          <cell r="O69806" t="str">
            <v/>
          </cell>
        </row>
        <row r="69807">
          <cell r="O69807" t="str">
            <v/>
          </cell>
        </row>
        <row r="69808">
          <cell r="O69808" t="str">
            <v/>
          </cell>
        </row>
        <row r="69809">
          <cell r="O69809" t="str">
            <v/>
          </cell>
        </row>
        <row r="69810">
          <cell r="O69810" t="str">
            <v/>
          </cell>
        </row>
        <row r="69811">
          <cell r="O69811" t="str">
            <v/>
          </cell>
        </row>
        <row r="69812">
          <cell r="O69812" t="str">
            <v/>
          </cell>
        </row>
        <row r="69813">
          <cell r="O69813" t="str">
            <v/>
          </cell>
        </row>
        <row r="69814">
          <cell r="O69814" t="str">
            <v/>
          </cell>
        </row>
        <row r="69815">
          <cell r="O69815" t="str">
            <v/>
          </cell>
        </row>
        <row r="69816">
          <cell r="O69816" t="str">
            <v/>
          </cell>
        </row>
        <row r="69817">
          <cell r="O69817" t="str">
            <v/>
          </cell>
        </row>
        <row r="69818">
          <cell r="O69818" t="str">
            <v/>
          </cell>
        </row>
        <row r="69819">
          <cell r="O69819" t="str">
            <v/>
          </cell>
        </row>
        <row r="69820">
          <cell r="O69820" t="str">
            <v/>
          </cell>
        </row>
        <row r="69821">
          <cell r="O69821" t="str">
            <v/>
          </cell>
        </row>
        <row r="69822">
          <cell r="O69822" t="str">
            <v/>
          </cell>
        </row>
        <row r="69823">
          <cell r="O69823" t="str">
            <v/>
          </cell>
        </row>
        <row r="69824">
          <cell r="O69824" t="str">
            <v/>
          </cell>
        </row>
        <row r="69825">
          <cell r="O69825" t="str">
            <v/>
          </cell>
        </row>
        <row r="69826">
          <cell r="O69826" t="str">
            <v/>
          </cell>
        </row>
        <row r="69827">
          <cell r="O69827" t="str">
            <v/>
          </cell>
        </row>
        <row r="69828">
          <cell r="O69828" t="str">
            <v/>
          </cell>
        </row>
        <row r="69829">
          <cell r="O69829" t="str">
            <v/>
          </cell>
        </row>
        <row r="69830">
          <cell r="O69830" t="str">
            <v/>
          </cell>
        </row>
        <row r="69831">
          <cell r="O69831" t="str">
            <v/>
          </cell>
        </row>
        <row r="69832">
          <cell r="O69832" t="str">
            <v/>
          </cell>
        </row>
        <row r="69833">
          <cell r="O69833" t="str">
            <v/>
          </cell>
        </row>
        <row r="69834">
          <cell r="O69834" t="str">
            <v/>
          </cell>
        </row>
        <row r="69835">
          <cell r="O69835" t="str">
            <v/>
          </cell>
        </row>
        <row r="69836">
          <cell r="O69836" t="str">
            <v/>
          </cell>
        </row>
        <row r="69837">
          <cell r="O69837" t="str">
            <v/>
          </cell>
        </row>
        <row r="69838">
          <cell r="O69838" t="str">
            <v/>
          </cell>
        </row>
        <row r="69839">
          <cell r="O69839" t="str">
            <v/>
          </cell>
        </row>
        <row r="69840">
          <cell r="O69840" t="str">
            <v/>
          </cell>
        </row>
        <row r="69841">
          <cell r="O69841" t="str">
            <v/>
          </cell>
        </row>
        <row r="69842">
          <cell r="O69842" t="str">
            <v/>
          </cell>
        </row>
        <row r="69843">
          <cell r="O69843" t="str">
            <v/>
          </cell>
        </row>
        <row r="69844">
          <cell r="O69844" t="str">
            <v/>
          </cell>
        </row>
        <row r="69845">
          <cell r="O69845" t="str">
            <v/>
          </cell>
        </row>
        <row r="69846">
          <cell r="O69846" t="str">
            <v/>
          </cell>
        </row>
        <row r="69847">
          <cell r="O69847" t="str">
            <v/>
          </cell>
        </row>
        <row r="69848">
          <cell r="O69848" t="str">
            <v/>
          </cell>
        </row>
        <row r="69849">
          <cell r="O69849" t="str">
            <v/>
          </cell>
        </row>
        <row r="69850">
          <cell r="O69850" t="str">
            <v/>
          </cell>
        </row>
        <row r="69851">
          <cell r="O69851" t="str">
            <v/>
          </cell>
        </row>
        <row r="69852">
          <cell r="O69852" t="str">
            <v/>
          </cell>
        </row>
        <row r="69853">
          <cell r="O69853" t="str">
            <v/>
          </cell>
        </row>
        <row r="69854">
          <cell r="O69854" t="str">
            <v/>
          </cell>
        </row>
        <row r="69855">
          <cell r="O69855" t="str">
            <v/>
          </cell>
        </row>
        <row r="69856">
          <cell r="O69856" t="str">
            <v/>
          </cell>
        </row>
        <row r="69857">
          <cell r="O69857" t="str">
            <v/>
          </cell>
        </row>
        <row r="69858">
          <cell r="O69858" t="str">
            <v/>
          </cell>
        </row>
        <row r="69859">
          <cell r="O69859" t="str">
            <v/>
          </cell>
        </row>
        <row r="69860">
          <cell r="O69860" t="str">
            <v/>
          </cell>
        </row>
        <row r="69861">
          <cell r="O69861" t="str">
            <v/>
          </cell>
        </row>
        <row r="69862">
          <cell r="O69862" t="str">
            <v/>
          </cell>
        </row>
        <row r="69863">
          <cell r="O69863" t="str">
            <v/>
          </cell>
        </row>
        <row r="69864">
          <cell r="O69864" t="str">
            <v/>
          </cell>
        </row>
        <row r="69865">
          <cell r="O69865" t="str">
            <v/>
          </cell>
        </row>
        <row r="69866">
          <cell r="O69866" t="str">
            <v/>
          </cell>
        </row>
        <row r="69867">
          <cell r="O69867" t="str">
            <v/>
          </cell>
        </row>
        <row r="69868">
          <cell r="O69868" t="str">
            <v/>
          </cell>
        </row>
        <row r="69869">
          <cell r="O69869" t="str">
            <v/>
          </cell>
        </row>
        <row r="69870">
          <cell r="O69870" t="str">
            <v/>
          </cell>
        </row>
        <row r="69871">
          <cell r="O69871" t="str">
            <v/>
          </cell>
        </row>
        <row r="69872">
          <cell r="O69872" t="str">
            <v/>
          </cell>
        </row>
        <row r="69873">
          <cell r="O69873" t="str">
            <v/>
          </cell>
        </row>
        <row r="69874">
          <cell r="O69874" t="str">
            <v/>
          </cell>
        </row>
        <row r="69875">
          <cell r="O69875" t="str">
            <v/>
          </cell>
        </row>
        <row r="69876">
          <cell r="O69876" t="str">
            <v/>
          </cell>
        </row>
        <row r="69877">
          <cell r="O69877" t="str">
            <v/>
          </cell>
        </row>
        <row r="69878">
          <cell r="O69878" t="str">
            <v/>
          </cell>
        </row>
        <row r="69879">
          <cell r="O69879" t="str">
            <v/>
          </cell>
        </row>
        <row r="69880">
          <cell r="O69880" t="str">
            <v/>
          </cell>
        </row>
        <row r="69881">
          <cell r="O69881" t="str">
            <v/>
          </cell>
        </row>
        <row r="69882">
          <cell r="O69882" t="str">
            <v/>
          </cell>
        </row>
        <row r="69883">
          <cell r="O69883" t="str">
            <v/>
          </cell>
        </row>
        <row r="69884">
          <cell r="O69884" t="str">
            <v/>
          </cell>
        </row>
        <row r="69885">
          <cell r="O69885" t="str">
            <v/>
          </cell>
        </row>
        <row r="69886">
          <cell r="O69886" t="str">
            <v/>
          </cell>
        </row>
        <row r="69887">
          <cell r="O69887" t="str">
            <v/>
          </cell>
        </row>
        <row r="69888">
          <cell r="O69888" t="str">
            <v/>
          </cell>
        </row>
        <row r="69889">
          <cell r="O69889" t="str">
            <v/>
          </cell>
        </row>
        <row r="69890">
          <cell r="O69890" t="str">
            <v/>
          </cell>
        </row>
        <row r="69891">
          <cell r="O69891" t="str">
            <v/>
          </cell>
        </row>
        <row r="69892">
          <cell r="O69892" t="str">
            <v/>
          </cell>
        </row>
        <row r="69893">
          <cell r="O69893" t="str">
            <v/>
          </cell>
        </row>
        <row r="69894">
          <cell r="O69894" t="str">
            <v/>
          </cell>
        </row>
        <row r="69895">
          <cell r="O69895" t="str">
            <v/>
          </cell>
        </row>
        <row r="69896">
          <cell r="O69896" t="str">
            <v/>
          </cell>
        </row>
        <row r="69897">
          <cell r="O69897" t="str">
            <v/>
          </cell>
        </row>
        <row r="69898">
          <cell r="O69898" t="str">
            <v/>
          </cell>
        </row>
        <row r="69899">
          <cell r="O69899" t="str">
            <v/>
          </cell>
        </row>
        <row r="69900">
          <cell r="O69900" t="str">
            <v/>
          </cell>
        </row>
        <row r="69901">
          <cell r="O69901" t="str">
            <v/>
          </cell>
        </row>
        <row r="69902">
          <cell r="O69902" t="str">
            <v/>
          </cell>
        </row>
        <row r="69903">
          <cell r="O69903" t="str">
            <v/>
          </cell>
        </row>
        <row r="69904">
          <cell r="O69904" t="str">
            <v/>
          </cell>
        </row>
        <row r="69905">
          <cell r="O69905" t="str">
            <v/>
          </cell>
        </row>
        <row r="69906">
          <cell r="O69906" t="str">
            <v/>
          </cell>
        </row>
        <row r="69907">
          <cell r="O69907" t="str">
            <v/>
          </cell>
        </row>
        <row r="69908">
          <cell r="O69908" t="str">
            <v/>
          </cell>
        </row>
        <row r="69909">
          <cell r="O69909" t="str">
            <v/>
          </cell>
        </row>
        <row r="69910">
          <cell r="O69910" t="str">
            <v/>
          </cell>
        </row>
        <row r="69911">
          <cell r="O69911" t="str">
            <v/>
          </cell>
        </row>
        <row r="69912">
          <cell r="O69912" t="str">
            <v/>
          </cell>
        </row>
        <row r="69913">
          <cell r="O69913" t="str">
            <v/>
          </cell>
        </row>
        <row r="69914">
          <cell r="O69914" t="str">
            <v/>
          </cell>
        </row>
        <row r="69915">
          <cell r="O69915" t="str">
            <v/>
          </cell>
        </row>
        <row r="69916">
          <cell r="O69916" t="str">
            <v/>
          </cell>
        </row>
        <row r="69917">
          <cell r="O69917" t="str">
            <v/>
          </cell>
        </row>
        <row r="69918">
          <cell r="O69918" t="str">
            <v/>
          </cell>
        </row>
        <row r="69919">
          <cell r="O69919" t="str">
            <v/>
          </cell>
        </row>
        <row r="69920">
          <cell r="O69920" t="str">
            <v/>
          </cell>
        </row>
        <row r="69921">
          <cell r="O69921" t="str">
            <v/>
          </cell>
        </row>
        <row r="69922">
          <cell r="O69922" t="str">
            <v/>
          </cell>
        </row>
        <row r="69923">
          <cell r="O69923" t="str">
            <v/>
          </cell>
        </row>
        <row r="69924">
          <cell r="O69924" t="str">
            <v/>
          </cell>
        </row>
        <row r="69925">
          <cell r="O69925" t="str">
            <v/>
          </cell>
        </row>
        <row r="69926">
          <cell r="O69926" t="str">
            <v/>
          </cell>
        </row>
        <row r="69927">
          <cell r="O69927" t="str">
            <v/>
          </cell>
        </row>
        <row r="69928">
          <cell r="O69928" t="str">
            <v/>
          </cell>
        </row>
        <row r="69929">
          <cell r="O69929" t="str">
            <v/>
          </cell>
        </row>
        <row r="69930">
          <cell r="O69930" t="str">
            <v/>
          </cell>
        </row>
        <row r="69931">
          <cell r="O69931" t="str">
            <v/>
          </cell>
        </row>
        <row r="69932">
          <cell r="O69932" t="str">
            <v/>
          </cell>
        </row>
        <row r="69933">
          <cell r="O69933" t="str">
            <v/>
          </cell>
        </row>
        <row r="69934">
          <cell r="O69934" t="str">
            <v/>
          </cell>
        </row>
        <row r="69935">
          <cell r="O69935" t="str">
            <v/>
          </cell>
        </row>
        <row r="69936">
          <cell r="O69936" t="str">
            <v/>
          </cell>
        </row>
        <row r="69937">
          <cell r="O69937" t="str">
            <v/>
          </cell>
        </row>
        <row r="69938">
          <cell r="O69938" t="str">
            <v/>
          </cell>
        </row>
        <row r="69939">
          <cell r="O69939" t="str">
            <v/>
          </cell>
        </row>
        <row r="69940">
          <cell r="O69940" t="str">
            <v/>
          </cell>
        </row>
        <row r="69941">
          <cell r="O69941" t="str">
            <v/>
          </cell>
        </row>
        <row r="69942">
          <cell r="O69942" t="str">
            <v/>
          </cell>
        </row>
        <row r="69943">
          <cell r="O69943" t="str">
            <v/>
          </cell>
        </row>
        <row r="69944">
          <cell r="O69944" t="str">
            <v/>
          </cell>
        </row>
        <row r="69945">
          <cell r="O69945" t="str">
            <v/>
          </cell>
        </row>
        <row r="69946">
          <cell r="O69946" t="str">
            <v/>
          </cell>
        </row>
        <row r="69947">
          <cell r="O69947" t="str">
            <v/>
          </cell>
        </row>
        <row r="69948">
          <cell r="O69948" t="str">
            <v/>
          </cell>
        </row>
        <row r="69949">
          <cell r="O69949" t="str">
            <v/>
          </cell>
        </row>
        <row r="69950">
          <cell r="O69950" t="str">
            <v/>
          </cell>
        </row>
        <row r="69951">
          <cell r="O69951" t="str">
            <v/>
          </cell>
        </row>
        <row r="69952">
          <cell r="O69952" t="str">
            <v/>
          </cell>
        </row>
        <row r="69953">
          <cell r="O69953" t="str">
            <v/>
          </cell>
        </row>
        <row r="69954">
          <cell r="O69954" t="str">
            <v/>
          </cell>
        </row>
        <row r="69955">
          <cell r="O69955" t="str">
            <v/>
          </cell>
        </row>
        <row r="69956">
          <cell r="O69956" t="str">
            <v/>
          </cell>
        </row>
        <row r="69957">
          <cell r="O69957" t="str">
            <v/>
          </cell>
        </row>
        <row r="69958">
          <cell r="O69958" t="str">
            <v/>
          </cell>
        </row>
        <row r="69959">
          <cell r="O69959" t="str">
            <v/>
          </cell>
        </row>
        <row r="69960">
          <cell r="O69960" t="str">
            <v/>
          </cell>
        </row>
        <row r="69961">
          <cell r="O69961" t="str">
            <v/>
          </cell>
        </row>
        <row r="69962">
          <cell r="O69962" t="str">
            <v/>
          </cell>
        </row>
        <row r="69963">
          <cell r="O69963" t="str">
            <v/>
          </cell>
        </row>
        <row r="69964">
          <cell r="O69964" t="str">
            <v/>
          </cell>
        </row>
        <row r="69965">
          <cell r="O69965" t="str">
            <v/>
          </cell>
        </row>
        <row r="69966">
          <cell r="O69966" t="str">
            <v/>
          </cell>
        </row>
        <row r="69967">
          <cell r="O69967" t="str">
            <v/>
          </cell>
        </row>
        <row r="69968">
          <cell r="O69968" t="str">
            <v/>
          </cell>
        </row>
        <row r="69969">
          <cell r="O69969" t="str">
            <v/>
          </cell>
        </row>
        <row r="69970">
          <cell r="O69970" t="str">
            <v/>
          </cell>
        </row>
        <row r="69971">
          <cell r="O69971" t="str">
            <v/>
          </cell>
        </row>
        <row r="69972">
          <cell r="O69972" t="str">
            <v/>
          </cell>
        </row>
        <row r="69973">
          <cell r="O69973" t="str">
            <v/>
          </cell>
        </row>
        <row r="69974">
          <cell r="O69974" t="str">
            <v/>
          </cell>
        </row>
        <row r="69975">
          <cell r="O69975" t="str">
            <v/>
          </cell>
        </row>
        <row r="69976">
          <cell r="O69976" t="str">
            <v/>
          </cell>
        </row>
        <row r="69977">
          <cell r="O69977" t="str">
            <v/>
          </cell>
        </row>
        <row r="69978">
          <cell r="O69978" t="str">
            <v/>
          </cell>
        </row>
        <row r="69979">
          <cell r="O69979" t="str">
            <v/>
          </cell>
        </row>
        <row r="69980">
          <cell r="O69980" t="str">
            <v/>
          </cell>
        </row>
        <row r="69981">
          <cell r="O69981" t="str">
            <v/>
          </cell>
        </row>
        <row r="69982">
          <cell r="O69982" t="str">
            <v/>
          </cell>
        </row>
        <row r="69983">
          <cell r="O69983" t="str">
            <v/>
          </cell>
        </row>
        <row r="69984">
          <cell r="O69984" t="str">
            <v/>
          </cell>
        </row>
        <row r="69985">
          <cell r="O69985" t="str">
            <v/>
          </cell>
        </row>
        <row r="69986">
          <cell r="O69986" t="str">
            <v/>
          </cell>
        </row>
        <row r="69987">
          <cell r="O69987" t="str">
            <v/>
          </cell>
        </row>
        <row r="69988">
          <cell r="O69988" t="str">
            <v/>
          </cell>
        </row>
        <row r="69989">
          <cell r="O69989" t="str">
            <v/>
          </cell>
        </row>
        <row r="69990">
          <cell r="O69990" t="str">
            <v/>
          </cell>
        </row>
        <row r="69991">
          <cell r="O69991" t="str">
            <v/>
          </cell>
        </row>
        <row r="69992">
          <cell r="O69992" t="str">
            <v/>
          </cell>
        </row>
        <row r="69993">
          <cell r="O69993" t="str">
            <v/>
          </cell>
        </row>
        <row r="69994">
          <cell r="O69994" t="str">
            <v/>
          </cell>
        </row>
        <row r="69995">
          <cell r="O69995" t="str">
            <v/>
          </cell>
        </row>
        <row r="69996">
          <cell r="O69996" t="str">
            <v/>
          </cell>
        </row>
        <row r="69997">
          <cell r="O69997" t="str">
            <v/>
          </cell>
        </row>
        <row r="69998">
          <cell r="O69998" t="str">
            <v/>
          </cell>
        </row>
        <row r="69999">
          <cell r="O69999" t="str">
            <v/>
          </cell>
        </row>
        <row r="70000">
          <cell r="O70000" t="str">
            <v/>
          </cell>
        </row>
        <row r="70001">
          <cell r="O70001" t="str">
            <v/>
          </cell>
        </row>
        <row r="70002">
          <cell r="O70002" t="str">
            <v/>
          </cell>
        </row>
        <row r="70003">
          <cell r="O70003" t="str">
            <v/>
          </cell>
        </row>
        <row r="70004">
          <cell r="O70004" t="str">
            <v/>
          </cell>
        </row>
        <row r="70005">
          <cell r="O70005" t="str">
            <v/>
          </cell>
        </row>
        <row r="70006">
          <cell r="O70006" t="str">
            <v/>
          </cell>
        </row>
        <row r="70007">
          <cell r="O70007" t="str">
            <v/>
          </cell>
        </row>
        <row r="70008">
          <cell r="O70008" t="str">
            <v/>
          </cell>
        </row>
        <row r="70009">
          <cell r="O70009" t="str">
            <v/>
          </cell>
        </row>
        <row r="70010">
          <cell r="O70010" t="str">
            <v/>
          </cell>
        </row>
        <row r="70011">
          <cell r="O70011" t="str">
            <v/>
          </cell>
        </row>
        <row r="70012">
          <cell r="O70012" t="str">
            <v/>
          </cell>
        </row>
        <row r="70013">
          <cell r="O70013" t="str">
            <v/>
          </cell>
        </row>
        <row r="70014">
          <cell r="O70014" t="str">
            <v/>
          </cell>
        </row>
        <row r="70015">
          <cell r="O70015" t="str">
            <v/>
          </cell>
        </row>
        <row r="70016">
          <cell r="O70016" t="str">
            <v/>
          </cell>
        </row>
        <row r="70017">
          <cell r="O70017" t="str">
            <v/>
          </cell>
        </row>
        <row r="70018">
          <cell r="O70018" t="str">
            <v/>
          </cell>
        </row>
        <row r="70019">
          <cell r="O70019" t="str">
            <v/>
          </cell>
        </row>
        <row r="70020">
          <cell r="O70020" t="str">
            <v/>
          </cell>
        </row>
        <row r="70021">
          <cell r="O70021" t="str">
            <v/>
          </cell>
        </row>
        <row r="70022">
          <cell r="O70022" t="str">
            <v/>
          </cell>
        </row>
        <row r="70023">
          <cell r="O70023" t="str">
            <v/>
          </cell>
        </row>
        <row r="70024">
          <cell r="O70024" t="str">
            <v/>
          </cell>
        </row>
        <row r="70025">
          <cell r="O70025" t="str">
            <v/>
          </cell>
        </row>
        <row r="70026">
          <cell r="O70026" t="str">
            <v/>
          </cell>
        </row>
        <row r="70027">
          <cell r="O70027" t="str">
            <v/>
          </cell>
        </row>
        <row r="70028">
          <cell r="O70028" t="str">
            <v/>
          </cell>
        </row>
        <row r="70029">
          <cell r="O70029" t="str">
            <v/>
          </cell>
        </row>
        <row r="70030">
          <cell r="O70030" t="str">
            <v/>
          </cell>
        </row>
        <row r="70031">
          <cell r="O70031" t="str">
            <v/>
          </cell>
        </row>
        <row r="70032">
          <cell r="O70032" t="str">
            <v/>
          </cell>
        </row>
        <row r="70033">
          <cell r="O70033" t="str">
            <v/>
          </cell>
        </row>
        <row r="70034">
          <cell r="O70034" t="str">
            <v/>
          </cell>
        </row>
        <row r="70035">
          <cell r="O70035" t="str">
            <v/>
          </cell>
        </row>
        <row r="70036">
          <cell r="O70036" t="str">
            <v/>
          </cell>
        </row>
        <row r="70037">
          <cell r="O70037" t="str">
            <v/>
          </cell>
        </row>
        <row r="70038">
          <cell r="O70038" t="str">
            <v/>
          </cell>
        </row>
        <row r="70039">
          <cell r="O70039" t="str">
            <v/>
          </cell>
        </row>
        <row r="70040">
          <cell r="O70040" t="str">
            <v/>
          </cell>
        </row>
        <row r="70041">
          <cell r="O70041" t="str">
            <v/>
          </cell>
        </row>
        <row r="70042">
          <cell r="O70042" t="str">
            <v/>
          </cell>
        </row>
        <row r="70043">
          <cell r="O70043" t="str">
            <v/>
          </cell>
        </row>
        <row r="70044">
          <cell r="O70044" t="str">
            <v/>
          </cell>
        </row>
        <row r="70045">
          <cell r="O70045" t="str">
            <v/>
          </cell>
        </row>
        <row r="70046">
          <cell r="O70046" t="str">
            <v/>
          </cell>
        </row>
        <row r="70047">
          <cell r="O70047" t="str">
            <v/>
          </cell>
        </row>
        <row r="70048">
          <cell r="O70048" t="str">
            <v/>
          </cell>
        </row>
        <row r="70049">
          <cell r="O70049" t="str">
            <v/>
          </cell>
        </row>
        <row r="70050">
          <cell r="O70050" t="str">
            <v/>
          </cell>
        </row>
        <row r="70051">
          <cell r="O70051" t="str">
            <v/>
          </cell>
        </row>
        <row r="70052">
          <cell r="O70052" t="str">
            <v/>
          </cell>
        </row>
        <row r="70053">
          <cell r="O70053" t="str">
            <v/>
          </cell>
        </row>
        <row r="70054">
          <cell r="O70054" t="str">
            <v/>
          </cell>
        </row>
        <row r="70055">
          <cell r="O70055" t="str">
            <v/>
          </cell>
        </row>
        <row r="70056">
          <cell r="O70056" t="str">
            <v/>
          </cell>
        </row>
        <row r="70057">
          <cell r="O70057" t="str">
            <v/>
          </cell>
        </row>
        <row r="70058">
          <cell r="O70058" t="str">
            <v/>
          </cell>
        </row>
        <row r="70059">
          <cell r="O70059" t="str">
            <v/>
          </cell>
        </row>
        <row r="70060">
          <cell r="O70060" t="str">
            <v/>
          </cell>
        </row>
        <row r="70061">
          <cell r="O70061" t="str">
            <v/>
          </cell>
        </row>
        <row r="70062">
          <cell r="O70062" t="str">
            <v/>
          </cell>
        </row>
        <row r="70063">
          <cell r="O70063" t="str">
            <v/>
          </cell>
        </row>
        <row r="70064">
          <cell r="O70064" t="str">
            <v/>
          </cell>
        </row>
        <row r="70065">
          <cell r="O70065" t="str">
            <v/>
          </cell>
        </row>
        <row r="70066">
          <cell r="O70066" t="str">
            <v/>
          </cell>
        </row>
        <row r="70067">
          <cell r="O70067" t="str">
            <v/>
          </cell>
        </row>
        <row r="70068">
          <cell r="O70068" t="str">
            <v/>
          </cell>
        </row>
        <row r="70069">
          <cell r="O70069" t="str">
            <v/>
          </cell>
        </row>
        <row r="70070">
          <cell r="O70070" t="str">
            <v/>
          </cell>
        </row>
        <row r="70071">
          <cell r="O70071" t="str">
            <v/>
          </cell>
        </row>
        <row r="70072">
          <cell r="O70072" t="str">
            <v/>
          </cell>
        </row>
        <row r="70073">
          <cell r="O70073" t="str">
            <v/>
          </cell>
        </row>
        <row r="70074">
          <cell r="O70074" t="str">
            <v/>
          </cell>
        </row>
        <row r="70075">
          <cell r="O70075" t="str">
            <v/>
          </cell>
        </row>
        <row r="70076">
          <cell r="O70076" t="str">
            <v/>
          </cell>
        </row>
        <row r="70077">
          <cell r="O70077" t="str">
            <v/>
          </cell>
        </row>
        <row r="70078">
          <cell r="O70078" t="str">
            <v/>
          </cell>
        </row>
        <row r="70079">
          <cell r="O70079" t="str">
            <v/>
          </cell>
        </row>
        <row r="70080">
          <cell r="O70080" t="str">
            <v/>
          </cell>
        </row>
        <row r="70081">
          <cell r="O70081" t="str">
            <v/>
          </cell>
        </row>
        <row r="70082">
          <cell r="O70082" t="str">
            <v/>
          </cell>
        </row>
        <row r="70083">
          <cell r="O70083" t="str">
            <v/>
          </cell>
        </row>
        <row r="70084">
          <cell r="O70084" t="str">
            <v/>
          </cell>
        </row>
        <row r="70085">
          <cell r="O70085" t="str">
            <v/>
          </cell>
        </row>
        <row r="70086">
          <cell r="O70086" t="str">
            <v/>
          </cell>
        </row>
        <row r="70087">
          <cell r="O70087" t="str">
            <v/>
          </cell>
        </row>
        <row r="70088">
          <cell r="O70088" t="str">
            <v/>
          </cell>
        </row>
        <row r="70089">
          <cell r="O70089" t="str">
            <v/>
          </cell>
        </row>
        <row r="70090">
          <cell r="O70090" t="str">
            <v/>
          </cell>
        </row>
        <row r="70091">
          <cell r="O70091" t="str">
            <v/>
          </cell>
        </row>
        <row r="70092">
          <cell r="O70092" t="str">
            <v/>
          </cell>
        </row>
        <row r="70093">
          <cell r="O70093" t="str">
            <v/>
          </cell>
        </row>
        <row r="70094">
          <cell r="O70094" t="str">
            <v/>
          </cell>
        </row>
        <row r="70095">
          <cell r="O70095" t="str">
            <v/>
          </cell>
        </row>
        <row r="70096">
          <cell r="O70096" t="str">
            <v/>
          </cell>
        </row>
        <row r="70097">
          <cell r="O70097" t="str">
            <v/>
          </cell>
        </row>
        <row r="70098">
          <cell r="O70098" t="str">
            <v/>
          </cell>
        </row>
        <row r="70099">
          <cell r="O70099" t="str">
            <v/>
          </cell>
        </row>
        <row r="70100">
          <cell r="O70100" t="str">
            <v/>
          </cell>
        </row>
        <row r="70101">
          <cell r="O70101" t="str">
            <v/>
          </cell>
        </row>
        <row r="70102">
          <cell r="O70102" t="str">
            <v/>
          </cell>
        </row>
        <row r="70103">
          <cell r="O70103" t="str">
            <v/>
          </cell>
        </row>
        <row r="70104">
          <cell r="O70104" t="str">
            <v/>
          </cell>
        </row>
        <row r="70105">
          <cell r="O70105" t="str">
            <v/>
          </cell>
        </row>
        <row r="70106">
          <cell r="O70106" t="str">
            <v/>
          </cell>
        </row>
        <row r="70107">
          <cell r="O70107" t="str">
            <v/>
          </cell>
        </row>
        <row r="70108">
          <cell r="O70108" t="str">
            <v/>
          </cell>
        </row>
        <row r="70109">
          <cell r="O70109" t="str">
            <v/>
          </cell>
        </row>
        <row r="70110">
          <cell r="O70110" t="str">
            <v/>
          </cell>
        </row>
        <row r="70111">
          <cell r="O70111" t="str">
            <v/>
          </cell>
        </row>
        <row r="70112">
          <cell r="O70112" t="str">
            <v/>
          </cell>
        </row>
        <row r="70113">
          <cell r="O70113" t="str">
            <v/>
          </cell>
        </row>
        <row r="70114">
          <cell r="O70114" t="str">
            <v/>
          </cell>
        </row>
        <row r="70115">
          <cell r="O70115" t="str">
            <v/>
          </cell>
        </row>
        <row r="70116">
          <cell r="O70116" t="str">
            <v/>
          </cell>
        </row>
        <row r="70117">
          <cell r="O70117" t="str">
            <v/>
          </cell>
        </row>
        <row r="70118">
          <cell r="O70118" t="str">
            <v/>
          </cell>
        </row>
        <row r="70119">
          <cell r="O70119" t="str">
            <v/>
          </cell>
        </row>
        <row r="70120">
          <cell r="O70120" t="str">
            <v/>
          </cell>
        </row>
        <row r="70121">
          <cell r="O70121" t="str">
            <v/>
          </cell>
        </row>
        <row r="70122">
          <cell r="O70122" t="str">
            <v/>
          </cell>
        </row>
        <row r="70123">
          <cell r="O70123" t="str">
            <v/>
          </cell>
        </row>
        <row r="70124">
          <cell r="O70124" t="str">
            <v/>
          </cell>
        </row>
        <row r="70125">
          <cell r="O70125" t="str">
            <v/>
          </cell>
        </row>
        <row r="70126">
          <cell r="O70126" t="str">
            <v/>
          </cell>
        </row>
        <row r="70127">
          <cell r="O70127" t="str">
            <v/>
          </cell>
        </row>
        <row r="70128">
          <cell r="O70128" t="str">
            <v/>
          </cell>
        </row>
        <row r="70129">
          <cell r="O70129" t="str">
            <v/>
          </cell>
        </row>
        <row r="70130">
          <cell r="O70130" t="str">
            <v/>
          </cell>
        </row>
        <row r="70131">
          <cell r="O70131" t="str">
            <v/>
          </cell>
        </row>
        <row r="70132">
          <cell r="O70132" t="str">
            <v/>
          </cell>
        </row>
        <row r="70133">
          <cell r="O70133" t="str">
            <v/>
          </cell>
        </row>
        <row r="70134">
          <cell r="O70134" t="str">
            <v/>
          </cell>
        </row>
        <row r="70135">
          <cell r="O70135" t="str">
            <v/>
          </cell>
        </row>
        <row r="70136">
          <cell r="O70136" t="str">
            <v/>
          </cell>
        </row>
        <row r="70137">
          <cell r="O70137" t="str">
            <v/>
          </cell>
        </row>
        <row r="70138">
          <cell r="O70138" t="str">
            <v/>
          </cell>
        </row>
        <row r="70139">
          <cell r="O70139" t="str">
            <v/>
          </cell>
        </row>
        <row r="70140">
          <cell r="O70140" t="str">
            <v/>
          </cell>
        </row>
        <row r="70141">
          <cell r="O70141" t="str">
            <v/>
          </cell>
        </row>
        <row r="70142">
          <cell r="O70142" t="str">
            <v/>
          </cell>
        </row>
        <row r="70143">
          <cell r="O70143" t="str">
            <v/>
          </cell>
        </row>
        <row r="70144">
          <cell r="O70144" t="str">
            <v/>
          </cell>
        </row>
        <row r="70145">
          <cell r="O70145" t="str">
            <v/>
          </cell>
        </row>
        <row r="70146">
          <cell r="O70146" t="str">
            <v/>
          </cell>
        </row>
        <row r="70147">
          <cell r="O70147" t="str">
            <v/>
          </cell>
        </row>
        <row r="70148">
          <cell r="O70148" t="str">
            <v/>
          </cell>
        </row>
        <row r="70149">
          <cell r="O70149" t="str">
            <v/>
          </cell>
        </row>
        <row r="70150">
          <cell r="O70150" t="str">
            <v/>
          </cell>
        </row>
        <row r="70151">
          <cell r="O70151" t="str">
            <v/>
          </cell>
        </row>
        <row r="70152">
          <cell r="O70152" t="str">
            <v/>
          </cell>
        </row>
        <row r="70153">
          <cell r="O70153" t="str">
            <v/>
          </cell>
        </row>
        <row r="70154">
          <cell r="O70154" t="str">
            <v/>
          </cell>
        </row>
        <row r="70155">
          <cell r="O70155" t="str">
            <v/>
          </cell>
        </row>
        <row r="70156">
          <cell r="O70156" t="str">
            <v/>
          </cell>
        </row>
        <row r="70157">
          <cell r="O70157" t="str">
            <v/>
          </cell>
        </row>
        <row r="70158">
          <cell r="O70158" t="str">
            <v/>
          </cell>
        </row>
        <row r="70159">
          <cell r="O70159" t="str">
            <v/>
          </cell>
        </row>
        <row r="70160">
          <cell r="O70160" t="str">
            <v/>
          </cell>
        </row>
        <row r="70161">
          <cell r="O70161" t="str">
            <v/>
          </cell>
        </row>
        <row r="70162">
          <cell r="O70162" t="str">
            <v/>
          </cell>
        </row>
        <row r="70163">
          <cell r="O70163" t="str">
            <v/>
          </cell>
        </row>
        <row r="70164">
          <cell r="O70164" t="str">
            <v/>
          </cell>
        </row>
        <row r="70165">
          <cell r="O70165" t="str">
            <v/>
          </cell>
        </row>
        <row r="70166">
          <cell r="O70166" t="str">
            <v/>
          </cell>
        </row>
        <row r="70167">
          <cell r="O70167" t="str">
            <v/>
          </cell>
        </row>
        <row r="70168">
          <cell r="O70168" t="str">
            <v/>
          </cell>
        </row>
        <row r="70169">
          <cell r="O70169" t="str">
            <v/>
          </cell>
        </row>
        <row r="70170">
          <cell r="O70170" t="str">
            <v/>
          </cell>
        </row>
        <row r="70171">
          <cell r="O70171" t="str">
            <v/>
          </cell>
        </row>
        <row r="70172">
          <cell r="O70172" t="str">
            <v/>
          </cell>
        </row>
        <row r="70173">
          <cell r="O70173" t="str">
            <v/>
          </cell>
        </row>
        <row r="70174">
          <cell r="O70174" t="str">
            <v/>
          </cell>
        </row>
        <row r="70175">
          <cell r="O70175" t="str">
            <v/>
          </cell>
        </row>
        <row r="70176">
          <cell r="O70176" t="str">
            <v/>
          </cell>
        </row>
        <row r="70177">
          <cell r="O70177" t="str">
            <v/>
          </cell>
        </row>
        <row r="70178">
          <cell r="O70178" t="str">
            <v/>
          </cell>
        </row>
        <row r="70179">
          <cell r="O70179" t="str">
            <v/>
          </cell>
        </row>
        <row r="70180">
          <cell r="O70180" t="str">
            <v/>
          </cell>
        </row>
        <row r="70181">
          <cell r="O70181" t="str">
            <v/>
          </cell>
        </row>
        <row r="70182">
          <cell r="O70182" t="str">
            <v/>
          </cell>
        </row>
        <row r="70183">
          <cell r="O70183" t="str">
            <v/>
          </cell>
        </row>
        <row r="70184">
          <cell r="O70184" t="str">
            <v/>
          </cell>
        </row>
        <row r="70185">
          <cell r="O70185" t="str">
            <v/>
          </cell>
        </row>
        <row r="70186">
          <cell r="O70186" t="str">
            <v/>
          </cell>
        </row>
        <row r="70187">
          <cell r="O70187" t="str">
            <v/>
          </cell>
        </row>
        <row r="70188">
          <cell r="O70188" t="str">
            <v/>
          </cell>
        </row>
        <row r="70189">
          <cell r="O70189" t="str">
            <v/>
          </cell>
        </row>
        <row r="70190">
          <cell r="O70190" t="str">
            <v/>
          </cell>
        </row>
        <row r="70191">
          <cell r="O70191" t="str">
            <v/>
          </cell>
        </row>
        <row r="70192">
          <cell r="O70192" t="str">
            <v/>
          </cell>
        </row>
        <row r="70193">
          <cell r="O70193" t="str">
            <v/>
          </cell>
        </row>
        <row r="70194">
          <cell r="O70194" t="str">
            <v/>
          </cell>
        </row>
        <row r="70195">
          <cell r="O70195" t="str">
            <v/>
          </cell>
        </row>
        <row r="70196">
          <cell r="O70196" t="str">
            <v/>
          </cell>
        </row>
        <row r="70197">
          <cell r="O70197" t="str">
            <v/>
          </cell>
        </row>
        <row r="70198">
          <cell r="O70198" t="str">
            <v/>
          </cell>
        </row>
        <row r="70199">
          <cell r="O70199" t="str">
            <v/>
          </cell>
        </row>
        <row r="70200">
          <cell r="O70200" t="str">
            <v/>
          </cell>
        </row>
        <row r="70201">
          <cell r="O70201" t="str">
            <v/>
          </cell>
        </row>
        <row r="70202">
          <cell r="O70202" t="str">
            <v/>
          </cell>
        </row>
        <row r="70203">
          <cell r="O70203" t="str">
            <v/>
          </cell>
        </row>
        <row r="70204">
          <cell r="O70204" t="str">
            <v/>
          </cell>
        </row>
        <row r="70205">
          <cell r="O70205" t="str">
            <v/>
          </cell>
        </row>
        <row r="70206">
          <cell r="O70206" t="str">
            <v/>
          </cell>
        </row>
        <row r="70207">
          <cell r="O70207" t="str">
            <v/>
          </cell>
        </row>
        <row r="70208">
          <cell r="O70208" t="str">
            <v/>
          </cell>
        </row>
        <row r="70209">
          <cell r="O70209" t="str">
            <v/>
          </cell>
        </row>
        <row r="70210">
          <cell r="O70210" t="str">
            <v/>
          </cell>
        </row>
        <row r="70211">
          <cell r="O70211" t="str">
            <v/>
          </cell>
        </row>
        <row r="70212">
          <cell r="O70212" t="str">
            <v/>
          </cell>
        </row>
        <row r="70213">
          <cell r="O70213" t="str">
            <v/>
          </cell>
        </row>
        <row r="70214">
          <cell r="O70214" t="str">
            <v/>
          </cell>
        </row>
        <row r="70215">
          <cell r="O70215" t="str">
            <v/>
          </cell>
        </row>
        <row r="70216">
          <cell r="O70216" t="str">
            <v/>
          </cell>
        </row>
        <row r="70217">
          <cell r="O70217" t="str">
            <v/>
          </cell>
        </row>
        <row r="70218">
          <cell r="O70218" t="str">
            <v/>
          </cell>
        </row>
        <row r="70219">
          <cell r="O70219" t="str">
            <v/>
          </cell>
        </row>
        <row r="70220">
          <cell r="O70220" t="str">
            <v/>
          </cell>
        </row>
        <row r="70221">
          <cell r="O70221" t="str">
            <v/>
          </cell>
        </row>
        <row r="70222">
          <cell r="O70222" t="str">
            <v/>
          </cell>
        </row>
        <row r="70223">
          <cell r="O70223" t="str">
            <v/>
          </cell>
        </row>
        <row r="70224">
          <cell r="O70224" t="str">
            <v/>
          </cell>
        </row>
        <row r="70225">
          <cell r="O70225" t="str">
            <v/>
          </cell>
        </row>
        <row r="70226">
          <cell r="O70226" t="str">
            <v/>
          </cell>
        </row>
        <row r="70227">
          <cell r="O70227" t="str">
            <v/>
          </cell>
        </row>
        <row r="70228">
          <cell r="O70228" t="str">
            <v/>
          </cell>
        </row>
        <row r="70229">
          <cell r="O70229" t="str">
            <v/>
          </cell>
        </row>
        <row r="70230">
          <cell r="O70230" t="str">
            <v/>
          </cell>
        </row>
        <row r="70231">
          <cell r="O70231" t="str">
            <v/>
          </cell>
        </row>
        <row r="70232">
          <cell r="O70232" t="str">
            <v/>
          </cell>
        </row>
        <row r="70233">
          <cell r="O70233" t="str">
            <v/>
          </cell>
        </row>
        <row r="70234">
          <cell r="O70234" t="str">
            <v/>
          </cell>
        </row>
        <row r="70235">
          <cell r="O70235" t="str">
            <v/>
          </cell>
        </row>
        <row r="70236">
          <cell r="O70236" t="str">
            <v/>
          </cell>
        </row>
        <row r="70237">
          <cell r="O70237" t="str">
            <v/>
          </cell>
        </row>
        <row r="70238">
          <cell r="O70238" t="str">
            <v/>
          </cell>
        </row>
        <row r="70239">
          <cell r="O70239" t="str">
            <v/>
          </cell>
        </row>
        <row r="70240">
          <cell r="O70240" t="str">
            <v/>
          </cell>
        </row>
        <row r="70241">
          <cell r="O70241" t="str">
            <v/>
          </cell>
        </row>
        <row r="70242">
          <cell r="O70242" t="str">
            <v/>
          </cell>
        </row>
        <row r="70243">
          <cell r="O70243" t="str">
            <v/>
          </cell>
        </row>
        <row r="70244">
          <cell r="O70244" t="str">
            <v/>
          </cell>
        </row>
        <row r="70245">
          <cell r="O70245" t="str">
            <v/>
          </cell>
        </row>
        <row r="70246">
          <cell r="O70246" t="str">
            <v/>
          </cell>
        </row>
        <row r="70247">
          <cell r="O70247" t="str">
            <v/>
          </cell>
        </row>
        <row r="70248">
          <cell r="O70248" t="str">
            <v/>
          </cell>
        </row>
        <row r="70249">
          <cell r="O70249" t="str">
            <v/>
          </cell>
        </row>
        <row r="70250">
          <cell r="O70250" t="str">
            <v/>
          </cell>
        </row>
        <row r="70251">
          <cell r="O70251" t="str">
            <v/>
          </cell>
        </row>
        <row r="70252">
          <cell r="O70252" t="str">
            <v/>
          </cell>
        </row>
        <row r="70253">
          <cell r="O70253" t="str">
            <v/>
          </cell>
        </row>
        <row r="70254">
          <cell r="O70254" t="str">
            <v/>
          </cell>
        </row>
        <row r="70255">
          <cell r="O70255" t="str">
            <v/>
          </cell>
        </row>
        <row r="70256">
          <cell r="O70256" t="str">
            <v/>
          </cell>
        </row>
        <row r="70257">
          <cell r="O70257" t="str">
            <v/>
          </cell>
        </row>
        <row r="70258">
          <cell r="O70258" t="str">
            <v/>
          </cell>
        </row>
        <row r="70259">
          <cell r="O70259" t="str">
            <v/>
          </cell>
        </row>
        <row r="70260">
          <cell r="O70260" t="str">
            <v/>
          </cell>
        </row>
        <row r="70261">
          <cell r="O70261" t="str">
            <v/>
          </cell>
        </row>
        <row r="70262">
          <cell r="O70262" t="str">
            <v/>
          </cell>
        </row>
        <row r="70263">
          <cell r="O70263" t="str">
            <v/>
          </cell>
        </row>
        <row r="70264">
          <cell r="O70264" t="str">
            <v/>
          </cell>
        </row>
        <row r="70265">
          <cell r="O70265" t="str">
            <v/>
          </cell>
        </row>
        <row r="70266">
          <cell r="O70266" t="str">
            <v/>
          </cell>
        </row>
        <row r="70267">
          <cell r="O70267" t="str">
            <v/>
          </cell>
        </row>
        <row r="70268">
          <cell r="O70268" t="str">
            <v/>
          </cell>
        </row>
        <row r="70269">
          <cell r="O70269" t="str">
            <v/>
          </cell>
        </row>
        <row r="70270">
          <cell r="O70270" t="str">
            <v/>
          </cell>
        </row>
        <row r="70271">
          <cell r="O70271" t="str">
            <v/>
          </cell>
        </row>
        <row r="70272">
          <cell r="O70272" t="str">
            <v/>
          </cell>
        </row>
        <row r="70273">
          <cell r="O70273" t="str">
            <v/>
          </cell>
        </row>
        <row r="70274">
          <cell r="O70274" t="str">
            <v/>
          </cell>
        </row>
        <row r="70275">
          <cell r="O70275" t="str">
            <v/>
          </cell>
        </row>
        <row r="70276">
          <cell r="O70276" t="str">
            <v/>
          </cell>
        </row>
        <row r="70277">
          <cell r="O70277" t="str">
            <v/>
          </cell>
        </row>
        <row r="70278">
          <cell r="O70278" t="str">
            <v/>
          </cell>
        </row>
        <row r="70279">
          <cell r="O70279" t="str">
            <v/>
          </cell>
        </row>
        <row r="70280">
          <cell r="O70280" t="str">
            <v/>
          </cell>
        </row>
        <row r="70281">
          <cell r="O70281" t="str">
            <v/>
          </cell>
        </row>
        <row r="70282">
          <cell r="O70282" t="str">
            <v/>
          </cell>
        </row>
        <row r="70283">
          <cell r="O70283" t="str">
            <v/>
          </cell>
        </row>
        <row r="70284">
          <cell r="O70284" t="str">
            <v/>
          </cell>
        </row>
        <row r="70285">
          <cell r="O70285" t="str">
            <v/>
          </cell>
        </row>
        <row r="70286">
          <cell r="O70286" t="str">
            <v/>
          </cell>
        </row>
        <row r="70287">
          <cell r="O70287" t="str">
            <v/>
          </cell>
        </row>
        <row r="70288">
          <cell r="O70288" t="str">
            <v/>
          </cell>
        </row>
        <row r="70289">
          <cell r="O70289" t="str">
            <v/>
          </cell>
        </row>
        <row r="70290">
          <cell r="O70290" t="str">
            <v/>
          </cell>
        </row>
        <row r="70291">
          <cell r="O70291" t="str">
            <v/>
          </cell>
        </row>
        <row r="70292">
          <cell r="O70292" t="str">
            <v/>
          </cell>
        </row>
        <row r="70293">
          <cell r="O70293" t="str">
            <v/>
          </cell>
        </row>
        <row r="70294">
          <cell r="O70294" t="str">
            <v/>
          </cell>
        </row>
        <row r="70295">
          <cell r="O70295" t="str">
            <v/>
          </cell>
        </row>
        <row r="70296">
          <cell r="O70296" t="str">
            <v/>
          </cell>
        </row>
        <row r="70297">
          <cell r="O70297" t="str">
            <v/>
          </cell>
        </row>
        <row r="70298">
          <cell r="O70298" t="str">
            <v/>
          </cell>
        </row>
        <row r="70299">
          <cell r="O70299" t="str">
            <v/>
          </cell>
        </row>
        <row r="70300">
          <cell r="O70300" t="str">
            <v/>
          </cell>
        </row>
        <row r="70301">
          <cell r="O70301" t="str">
            <v/>
          </cell>
        </row>
        <row r="70302">
          <cell r="O70302" t="str">
            <v/>
          </cell>
        </row>
        <row r="70303">
          <cell r="O70303" t="str">
            <v/>
          </cell>
        </row>
        <row r="70304">
          <cell r="O70304" t="str">
            <v/>
          </cell>
        </row>
        <row r="70305">
          <cell r="O70305" t="str">
            <v/>
          </cell>
        </row>
        <row r="70306">
          <cell r="O70306" t="str">
            <v/>
          </cell>
        </row>
        <row r="70307">
          <cell r="O70307" t="str">
            <v/>
          </cell>
        </row>
        <row r="70308">
          <cell r="O70308" t="str">
            <v/>
          </cell>
        </row>
        <row r="70309">
          <cell r="O70309" t="str">
            <v/>
          </cell>
        </row>
        <row r="70310">
          <cell r="O70310" t="str">
            <v/>
          </cell>
        </row>
        <row r="70311">
          <cell r="O70311" t="str">
            <v/>
          </cell>
        </row>
        <row r="70312">
          <cell r="O70312" t="str">
            <v/>
          </cell>
        </row>
        <row r="70313">
          <cell r="O70313" t="str">
            <v/>
          </cell>
        </row>
        <row r="70314">
          <cell r="O70314" t="str">
            <v/>
          </cell>
        </row>
        <row r="70315">
          <cell r="O70315" t="str">
            <v/>
          </cell>
        </row>
        <row r="70316">
          <cell r="O70316" t="str">
            <v/>
          </cell>
        </row>
        <row r="70317">
          <cell r="O70317" t="str">
            <v/>
          </cell>
        </row>
        <row r="70318">
          <cell r="O70318" t="str">
            <v/>
          </cell>
        </row>
        <row r="70319">
          <cell r="O70319" t="str">
            <v/>
          </cell>
        </row>
        <row r="70320">
          <cell r="O70320" t="str">
            <v/>
          </cell>
        </row>
        <row r="70321">
          <cell r="O70321" t="str">
            <v/>
          </cell>
        </row>
        <row r="70322">
          <cell r="O70322" t="str">
            <v/>
          </cell>
        </row>
        <row r="70323">
          <cell r="O70323" t="str">
            <v/>
          </cell>
        </row>
        <row r="70324">
          <cell r="O70324" t="str">
            <v/>
          </cell>
        </row>
        <row r="70325">
          <cell r="O70325" t="str">
            <v/>
          </cell>
        </row>
        <row r="70326">
          <cell r="O70326" t="str">
            <v/>
          </cell>
        </row>
        <row r="70327">
          <cell r="O70327" t="str">
            <v/>
          </cell>
        </row>
        <row r="70328">
          <cell r="O70328" t="str">
            <v/>
          </cell>
        </row>
        <row r="70329">
          <cell r="O70329" t="str">
            <v/>
          </cell>
        </row>
        <row r="70330">
          <cell r="O70330" t="str">
            <v/>
          </cell>
        </row>
        <row r="70331">
          <cell r="O70331" t="str">
            <v/>
          </cell>
        </row>
        <row r="70332">
          <cell r="O70332" t="str">
            <v/>
          </cell>
        </row>
        <row r="70333">
          <cell r="O70333" t="str">
            <v/>
          </cell>
        </row>
        <row r="70334">
          <cell r="O70334" t="str">
            <v/>
          </cell>
        </row>
        <row r="70335">
          <cell r="O70335" t="str">
            <v/>
          </cell>
        </row>
        <row r="70336">
          <cell r="O70336" t="str">
            <v/>
          </cell>
        </row>
        <row r="70337">
          <cell r="O70337" t="str">
            <v/>
          </cell>
        </row>
        <row r="70338">
          <cell r="O70338" t="str">
            <v/>
          </cell>
        </row>
        <row r="70339">
          <cell r="O70339" t="str">
            <v/>
          </cell>
        </row>
        <row r="70340">
          <cell r="O70340" t="str">
            <v/>
          </cell>
        </row>
        <row r="70341">
          <cell r="O70341" t="str">
            <v/>
          </cell>
        </row>
        <row r="70342">
          <cell r="O70342" t="str">
            <v/>
          </cell>
        </row>
        <row r="70343">
          <cell r="O70343" t="str">
            <v/>
          </cell>
        </row>
        <row r="70344">
          <cell r="O70344" t="str">
            <v/>
          </cell>
        </row>
        <row r="70345">
          <cell r="O70345" t="str">
            <v/>
          </cell>
        </row>
        <row r="70346">
          <cell r="O70346" t="str">
            <v/>
          </cell>
        </row>
        <row r="70347">
          <cell r="O70347" t="str">
            <v/>
          </cell>
        </row>
        <row r="70348">
          <cell r="O70348" t="str">
            <v/>
          </cell>
        </row>
        <row r="70349">
          <cell r="O70349" t="str">
            <v/>
          </cell>
        </row>
        <row r="70350">
          <cell r="O70350" t="str">
            <v/>
          </cell>
        </row>
        <row r="70351">
          <cell r="O70351" t="str">
            <v/>
          </cell>
        </row>
        <row r="70352">
          <cell r="O70352" t="str">
            <v/>
          </cell>
        </row>
        <row r="70353">
          <cell r="O70353" t="str">
            <v/>
          </cell>
        </row>
        <row r="70354">
          <cell r="O70354" t="str">
            <v/>
          </cell>
        </row>
        <row r="70355">
          <cell r="O70355" t="str">
            <v/>
          </cell>
        </row>
        <row r="70356">
          <cell r="O70356" t="str">
            <v/>
          </cell>
        </row>
        <row r="70357">
          <cell r="O70357" t="str">
            <v/>
          </cell>
        </row>
        <row r="70358">
          <cell r="O70358" t="str">
            <v/>
          </cell>
        </row>
        <row r="70359">
          <cell r="O70359" t="str">
            <v/>
          </cell>
        </row>
        <row r="70360">
          <cell r="O70360" t="str">
            <v/>
          </cell>
        </row>
        <row r="70361">
          <cell r="O70361" t="str">
            <v/>
          </cell>
        </row>
        <row r="70362">
          <cell r="O70362" t="str">
            <v/>
          </cell>
        </row>
        <row r="70363">
          <cell r="O70363" t="str">
            <v/>
          </cell>
        </row>
        <row r="70364">
          <cell r="O70364" t="str">
            <v/>
          </cell>
        </row>
        <row r="70365">
          <cell r="O70365" t="str">
            <v/>
          </cell>
        </row>
        <row r="70366">
          <cell r="O70366" t="str">
            <v/>
          </cell>
        </row>
        <row r="70367">
          <cell r="O70367" t="str">
            <v/>
          </cell>
        </row>
        <row r="70368">
          <cell r="O70368" t="str">
            <v/>
          </cell>
        </row>
        <row r="70369">
          <cell r="O70369" t="str">
            <v/>
          </cell>
        </row>
        <row r="70370">
          <cell r="O70370" t="str">
            <v/>
          </cell>
        </row>
        <row r="70371">
          <cell r="O70371" t="str">
            <v/>
          </cell>
        </row>
        <row r="70372">
          <cell r="O70372" t="str">
            <v/>
          </cell>
        </row>
        <row r="70373">
          <cell r="O70373" t="str">
            <v/>
          </cell>
        </row>
        <row r="70374">
          <cell r="O70374" t="str">
            <v/>
          </cell>
        </row>
        <row r="70375">
          <cell r="O70375" t="str">
            <v/>
          </cell>
        </row>
        <row r="70376">
          <cell r="O70376" t="str">
            <v/>
          </cell>
        </row>
        <row r="70377">
          <cell r="O70377" t="str">
            <v/>
          </cell>
        </row>
        <row r="70378">
          <cell r="O70378" t="str">
            <v/>
          </cell>
        </row>
        <row r="70379">
          <cell r="O70379" t="str">
            <v/>
          </cell>
        </row>
        <row r="70380">
          <cell r="O70380" t="str">
            <v/>
          </cell>
        </row>
        <row r="70381">
          <cell r="O70381" t="str">
            <v/>
          </cell>
        </row>
        <row r="70382">
          <cell r="O70382" t="str">
            <v/>
          </cell>
        </row>
        <row r="70383">
          <cell r="O70383" t="str">
            <v/>
          </cell>
        </row>
        <row r="70384">
          <cell r="O70384" t="str">
            <v/>
          </cell>
        </row>
        <row r="70385">
          <cell r="O70385" t="str">
            <v/>
          </cell>
        </row>
        <row r="70386">
          <cell r="O70386" t="str">
            <v/>
          </cell>
        </row>
        <row r="70387">
          <cell r="O70387" t="str">
            <v/>
          </cell>
        </row>
        <row r="70388">
          <cell r="O70388" t="str">
            <v/>
          </cell>
        </row>
        <row r="70389">
          <cell r="O70389" t="str">
            <v/>
          </cell>
        </row>
        <row r="70390">
          <cell r="O70390" t="str">
            <v/>
          </cell>
        </row>
        <row r="70391">
          <cell r="O70391" t="str">
            <v/>
          </cell>
        </row>
        <row r="70392">
          <cell r="O70392" t="str">
            <v/>
          </cell>
        </row>
        <row r="70393">
          <cell r="O70393" t="str">
            <v/>
          </cell>
        </row>
        <row r="70394">
          <cell r="O70394" t="str">
            <v/>
          </cell>
        </row>
        <row r="70395">
          <cell r="O70395" t="str">
            <v/>
          </cell>
        </row>
        <row r="70396">
          <cell r="O70396" t="str">
            <v/>
          </cell>
        </row>
        <row r="70397">
          <cell r="O70397" t="str">
            <v/>
          </cell>
        </row>
        <row r="70398">
          <cell r="O70398" t="str">
            <v/>
          </cell>
        </row>
        <row r="70399">
          <cell r="O70399" t="str">
            <v/>
          </cell>
        </row>
        <row r="70400">
          <cell r="O70400" t="str">
            <v/>
          </cell>
        </row>
        <row r="70401">
          <cell r="O70401" t="str">
            <v/>
          </cell>
        </row>
        <row r="70402">
          <cell r="O70402" t="str">
            <v/>
          </cell>
        </row>
        <row r="70403">
          <cell r="O70403" t="str">
            <v/>
          </cell>
        </row>
        <row r="70404">
          <cell r="O70404" t="str">
            <v/>
          </cell>
        </row>
        <row r="70405">
          <cell r="O70405" t="str">
            <v/>
          </cell>
        </row>
        <row r="70406">
          <cell r="O70406" t="str">
            <v/>
          </cell>
        </row>
        <row r="70407">
          <cell r="O70407" t="str">
            <v/>
          </cell>
        </row>
        <row r="70408">
          <cell r="O70408" t="str">
            <v/>
          </cell>
        </row>
        <row r="70409">
          <cell r="O70409" t="str">
            <v/>
          </cell>
        </row>
        <row r="70410">
          <cell r="O70410" t="str">
            <v/>
          </cell>
        </row>
        <row r="70411">
          <cell r="O70411" t="str">
            <v/>
          </cell>
        </row>
        <row r="70412">
          <cell r="O70412" t="str">
            <v/>
          </cell>
        </row>
        <row r="70413">
          <cell r="O70413" t="str">
            <v/>
          </cell>
        </row>
        <row r="70414">
          <cell r="O70414" t="str">
            <v/>
          </cell>
        </row>
        <row r="70415">
          <cell r="O70415" t="str">
            <v/>
          </cell>
        </row>
        <row r="70416">
          <cell r="O70416" t="str">
            <v/>
          </cell>
        </row>
        <row r="70417">
          <cell r="O70417" t="str">
            <v/>
          </cell>
        </row>
        <row r="70418">
          <cell r="O70418" t="str">
            <v/>
          </cell>
        </row>
        <row r="70419">
          <cell r="O70419" t="str">
            <v/>
          </cell>
        </row>
        <row r="70420">
          <cell r="O70420" t="str">
            <v/>
          </cell>
        </row>
        <row r="70421">
          <cell r="O70421" t="str">
            <v/>
          </cell>
        </row>
        <row r="70422">
          <cell r="O70422" t="str">
            <v/>
          </cell>
        </row>
        <row r="70423">
          <cell r="O70423" t="str">
            <v/>
          </cell>
        </row>
        <row r="70424">
          <cell r="O70424" t="str">
            <v/>
          </cell>
        </row>
        <row r="70425">
          <cell r="O70425" t="str">
            <v/>
          </cell>
        </row>
        <row r="70426">
          <cell r="O70426" t="str">
            <v/>
          </cell>
        </row>
        <row r="70427">
          <cell r="O70427" t="str">
            <v/>
          </cell>
        </row>
        <row r="70428">
          <cell r="O70428" t="str">
            <v/>
          </cell>
        </row>
        <row r="70429">
          <cell r="O70429" t="str">
            <v/>
          </cell>
        </row>
        <row r="70430">
          <cell r="O70430" t="str">
            <v/>
          </cell>
        </row>
        <row r="70431">
          <cell r="O70431" t="str">
            <v/>
          </cell>
        </row>
        <row r="70432">
          <cell r="O70432" t="str">
            <v/>
          </cell>
        </row>
        <row r="70433">
          <cell r="O70433" t="str">
            <v/>
          </cell>
        </row>
        <row r="70434">
          <cell r="O70434" t="str">
            <v/>
          </cell>
        </row>
        <row r="70435">
          <cell r="O70435" t="str">
            <v/>
          </cell>
        </row>
        <row r="70436">
          <cell r="O70436" t="str">
            <v/>
          </cell>
        </row>
        <row r="70437">
          <cell r="O70437" t="str">
            <v/>
          </cell>
        </row>
        <row r="70438">
          <cell r="O70438" t="str">
            <v/>
          </cell>
        </row>
        <row r="70439">
          <cell r="O70439" t="str">
            <v/>
          </cell>
        </row>
        <row r="70440">
          <cell r="O70440" t="str">
            <v/>
          </cell>
        </row>
        <row r="70441">
          <cell r="O70441" t="str">
            <v/>
          </cell>
        </row>
        <row r="70442">
          <cell r="O70442" t="str">
            <v/>
          </cell>
        </row>
        <row r="70443">
          <cell r="O70443" t="str">
            <v/>
          </cell>
        </row>
        <row r="70444">
          <cell r="O70444" t="str">
            <v/>
          </cell>
        </row>
        <row r="70445">
          <cell r="O70445" t="str">
            <v/>
          </cell>
        </row>
        <row r="70446">
          <cell r="O70446" t="str">
            <v/>
          </cell>
        </row>
        <row r="70447">
          <cell r="O70447" t="str">
            <v/>
          </cell>
        </row>
        <row r="70448">
          <cell r="O70448" t="str">
            <v/>
          </cell>
        </row>
        <row r="70449">
          <cell r="O70449" t="str">
            <v/>
          </cell>
        </row>
        <row r="70450">
          <cell r="O70450" t="str">
            <v/>
          </cell>
        </row>
        <row r="70451">
          <cell r="O70451" t="str">
            <v/>
          </cell>
        </row>
        <row r="70452">
          <cell r="O70452" t="str">
            <v/>
          </cell>
        </row>
        <row r="70453">
          <cell r="O70453" t="str">
            <v/>
          </cell>
        </row>
        <row r="70454">
          <cell r="O70454" t="str">
            <v/>
          </cell>
        </row>
        <row r="70455">
          <cell r="O70455" t="str">
            <v/>
          </cell>
        </row>
        <row r="70456">
          <cell r="O70456" t="str">
            <v/>
          </cell>
        </row>
        <row r="70457">
          <cell r="O70457" t="str">
            <v/>
          </cell>
        </row>
        <row r="70458">
          <cell r="O70458" t="str">
            <v/>
          </cell>
        </row>
        <row r="70459">
          <cell r="O70459" t="str">
            <v/>
          </cell>
        </row>
        <row r="70460">
          <cell r="O70460" t="str">
            <v/>
          </cell>
        </row>
        <row r="70461">
          <cell r="O70461" t="str">
            <v/>
          </cell>
        </row>
        <row r="70462">
          <cell r="O70462" t="str">
            <v/>
          </cell>
        </row>
        <row r="70463">
          <cell r="O70463" t="str">
            <v/>
          </cell>
        </row>
        <row r="70464">
          <cell r="O70464" t="str">
            <v/>
          </cell>
        </row>
        <row r="70465">
          <cell r="O70465" t="str">
            <v/>
          </cell>
        </row>
        <row r="70466">
          <cell r="O70466" t="str">
            <v/>
          </cell>
        </row>
        <row r="70467">
          <cell r="O70467" t="str">
            <v/>
          </cell>
        </row>
        <row r="70468">
          <cell r="O70468" t="str">
            <v/>
          </cell>
        </row>
        <row r="70469">
          <cell r="O70469" t="str">
            <v/>
          </cell>
        </row>
        <row r="70470">
          <cell r="O70470" t="str">
            <v/>
          </cell>
        </row>
        <row r="70471">
          <cell r="O70471" t="str">
            <v/>
          </cell>
        </row>
        <row r="70472">
          <cell r="O70472" t="str">
            <v/>
          </cell>
        </row>
        <row r="70473">
          <cell r="O70473" t="str">
            <v/>
          </cell>
        </row>
        <row r="70474">
          <cell r="O70474" t="str">
            <v/>
          </cell>
        </row>
        <row r="70475">
          <cell r="O70475" t="str">
            <v/>
          </cell>
        </row>
        <row r="70476">
          <cell r="O70476" t="str">
            <v/>
          </cell>
        </row>
        <row r="70477">
          <cell r="O70477" t="str">
            <v/>
          </cell>
        </row>
        <row r="70478">
          <cell r="O70478" t="str">
            <v/>
          </cell>
        </row>
        <row r="70479">
          <cell r="O70479" t="str">
            <v/>
          </cell>
        </row>
        <row r="70480">
          <cell r="O70480" t="str">
            <v/>
          </cell>
        </row>
        <row r="70481">
          <cell r="O70481" t="str">
            <v/>
          </cell>
        </row>
        <row r="70482">
          <cell r="O70482" t="str">
            <v/>
          </cell>
        </row>
        <row r="70483">
          <cell r="O70483" t="str">
            <v/>
          </cell>
        </row>
        <row r="70484">
          <cell r="O70484" t="str">
            <v/>
          </cell>
        </row>
        <row r="70485">
          <cell r="O70485" t="str">
            <v/>
          </cell>
        </row>
        <row r="70486">
          <cell r="O70486" t="str">
            <v/>
          </cell>
        </row>
        <row r="70487">
          <cell r="O70487" t="str">
            <v/>
          </cell>
        </row>
        <row r="70488">
          <cell r="O70488" t="str">
            <v/>
          </cell>
        </row>
        <row r="70489">
          <cell r="O70489" t="str">
            <v/>
          </cell>
        </row>
        <row r="70490">
          <cell r="O70490" t="str">
            <v/>
          </cell>
        </row>
        <row r="70491">
          <cell r="O70491" t="str">
            <v/>
          </cell>
        </row>
        <row r="70492">
          <cell r="O70492" t="str">
            <v/>
          </cell>
        </row>
        <row r="70493">
          <cell r="O70493" t="str">
            <v/>
          </cell>
        </row>
        <row r="70494">
          <cell r="O70494" t="str">
            <v/>
          </cell>
        </row>
        <row r="70495">
          <cell r="O70495" t="str">
            <v/>
          </cell>
        </row>
        <row r="70496">
          <cell r="O70496" t="str">
            <v/>
          </cell>
        </row>
        <row r="70497">
          <cell r="O70497" t="str">
            <v/>
          </cell>
        </row>
        <row r="70498">
          <cell r="O70498" t="str">
            <v/>
          </cell>
        </row>
        <row r="70499">
          <cell r="O70499" t="str">
            <v/>
          </cell>
        </row>
        <row r="70500">
          <cell r="O70500" t="str">
            <v/>
          </cell>
        </row>
        <row r="70501">
          <cell r="O70501" t="str">
            <v/>
          </cell>
        </row>
        <row r="70502">
          <cell r="O70502" t="str">
            <v/>
          </cell>
        </row>
        <row r="70503">
          <cell r="O70503" t="str">
            <v/>
          </cell>
        </row>
        <row r="70504">
          <cell r="O70504" t="str">
            <v/>
          </cell>
        </row>
        <row r="70505">
          <cell r="O70505" t="str">
            <v/>
          </cell>
        </row>
        <row r="70506">
          <cell r="O70506" t="str">
            <v/>
          </cell>
        </row>
        <row r="70507">
          <cell r="O70507" t="str">
            <v/>
          </cell>
        </row>
        <row r="70508">
          <cell r="O70508" t="str">
            <v/>
          </cell>
        </row>
        <row r="70509">
          <cell r="O70509" t="str">
            <v/>
          </cell>
        </row>
        <row r="70510">
          <cell r="O70510" t="str">
            <v/>
          </cell>
        </row>
        <row r="70511">
          <cell r="O70511" t="str">
            <v/>
          </cell>
        </row>
        <row r="70512">
          <cell r="O70512" t="str">
            <v/>
          </cell>
        </row>
        <row r="70513">
          <cell r="O70513" t="str">
            <v/>
          </cell>
        </row>
        <row r="70514">
          <cell r="O70514" t="str">
            <v/>
          </cell>
        </row>
        <row r="70515">
          <cell r="O70515" t="str">
            <v/>
          </cell>
        </row>
        <row r="70516">
          <cell r="O70516" t="str">
            <v/>
          </cell>
        </row>
        <row r="70517">
          <cell r="O70517" t="str">
            <v/>
          </cell>
        </row>
        <row r="70518">
          <cell r="O70518" t="str">
            <v/>
          </cell>
        </row>
        <row r="70519">
          <cell r="O70519" t="str">
            <v/>
          </cell>
        </row>
        <row r="70520">
          <cell r="O70520" t="str">
            <v/>
          </cell>
        </row>
        <row r="70521">
          <cell r="O70521" t="str">
            <v/>
          </cell>
        </row>
        <row r="70522">
          <cell r="O70522" t="str">
            <v/>
          </cell>
        </row>
        <row r="70523">
          <cell r="O70523" t="str">
            <v/>
          </cell>
        </row>
        <row r="70524">
          <cell r="O70524" t="str">
            <v/>
          </cell>
        </row>
        <row r="70525">
          <cell r="O70525" t="str">
            <v/>
          </cell>
        </row>
        <row r="70526">
          <cell r="O70526" t="str">
            <v/>
          </cell>
        </row>
        <row r="70527">
          <cell r="O70527" t="str">
            <v/>
          </cell>
        </row>
        <row r="70528">
          <cell r="O70528" t="str">
            <v/>
          </cell>
        </row>
        <row r="70529">
          <cell r="O70529" t="str">
            <v/>
          </cell>
        </row>
        <row r="70530">
          <cell r="O70530" t="str">
            <v/>
          </cell>
        </row>
        <row r="70531">
          <cell r="O70531" t="str">
            <v/>
          </cell>
        </row>
        <row r="70532">
          <cell r="O70532" t="str">
            <v/>
          </cell>
        </row>
        <row r="70533">
          <cell r="O70533" t="str">
            <v/>
          </cell>
        </row>
        <row r="70534">
          <cell r="O70534" t="str">
            <v/>
          </cell>
        </row>
        <row r="70535">
          <cell r="O70535" t="str">
            <v/>
          </cell>
        </row>
        <row r="70536">
          <cell r="O70536" t="str">
            <v/>
          </cell>
        </row>
        <row r="70537">
          <cell r="O70537" t="str">
            <v/>
          </cell>
        </row>
        <row r="70538">
          <cell r="O70538" t="str">
            <v/>
          </cell>
        </row>
        <row r="70539">
          <cell r="O70539" t="str">
            <v/>
          </cell>
        </row>
        <row r="70540">
          <cell r="O70540" t="str">
            <v/>
          </cell>
        </row>
        <row r="70541">
          <cell r="O70541" t="str">
            <v/>
          </cell>
        </row>
        <row r="70542">
          <cell r="O70542" t="str">
            <v/>
          </cell>
        </row>
        <row r="70543">
          <cell r="O70543" t="str">
            <v/>
          </cell>
        </row>
        <row r="70544">
          <cell r="O70544" t="str">
            <v/>
          </cell>
        </row>
        <row r="70545">
          <cell r="O70545" t="str">
            <v/>
          </cell>
        </row>
        <row r="70546">
          <cell r="O70546" t="str">
            <v/>
          </cell>
        </row>
        <row r="70547">
          <cell r="O70547" t="str">
            <v/>
          </cell>
        </row>
        <row r="70548">
          <cell r="O70548" t="str">
            <v/>
          </cell>
        </row>
        <row r="70549">
          <cell r="O70549" t="str">
            <v/>
          </cell>
        </row>
        <row r="70550">
          <cell r="O70550" t="str">
            <v/>
          </cell>
        </row>
        <row r="70551">
          <cell r="O70551" t="str">
            <v/>
          </cell>
        </row>
        <row r="70552">
          <cell r="O70552" t="str">
            <v/>
          </cell>
        </row>
        <row r="70553">
          <cell r="O70553" t="str">
            <v/>
          </cell>
        </row>
        <row r="70554">
          <cell r="O70554" t="str">
            <v/>
          </cell>
        </row>
        <row r="70555">
          <cell r="O70555" t="str">
            <v/>
          </cell>
        </row>
        <row r="70556">
          <cell r="O70556" t="str">
            <v/>
          </cell>
        </row>
        <row r="70557">
          <cell r="O70557" t="str">
            <v/>
          </cell>
        </row>
        <row r="70558">
          <cell r="O70558" t="str">
            <v/>
          </cell>
        </row>
        <row r="70559">
          <cell r="O70559" t="str">
            <v/>
          </cell>
        </row>
        <row r="70560">
          <cell r="O70560" t="str">
            <v/>
          </cell>
        </row>
        <row r="70561">
          <cell r="O70561" t="str">
            <v/>
          </cell>
        </row>
        <row r="70562">
          <cell r="O70562" t="str">
            <v/>
          </cell>
        </row>
        <row r="70563">
          <cell r="O70563" t="str">
            <v/>
          </cell>
        </row>
        <row r="70564">
          <cell r="O70564" t="str">
            <v/>
          </cell>
        </row>
        <row r="70565">
          <cell r="O70565" t="str">
            <v/>
          </cell>
        </row>
        <row r="70566">
          <cell r="O70566" t="str">
            <v/>
          </cell>
        </row>
        <row r="70567">
          <cell r="O70567" t="str">
            <v/>
          </cell>
        </row>
        <row r="70568">
          <cell r="O70568" t="str">
            <v/>
          </cell>
        </row>
        <row r="70569">
          <cell r="O70569" t="str">
            <v/>
          </cell>
        </row>
        <row r="70570">
          <cell r="O70570" t="str">
            <v/>
          </cell>
        </row>
        <row r="70571">
          <cell r="O70571" t="str">
            <v/>
          </cell>
        </row>
        <row r="70572">
          <cell r="O70572" t="str">
            <v/>
          </cell>
        </row>
        <row r="70573">
          <cell r="O70573" t="str">
            <v/>
          </cell>
        </row>
        <row r="70574">
          <cell r="O70574" t="str">
            <v/>
          </cell>
        </row>
        <row r="70575">
          <cell r="O70575" t="str">
            <v/>
          </cell>
        </row>
        <row r="70576">
          <cell r="O70576" t="str">
            <v/>
          </cell>
        </row>
        <row r="70577">
          <cell r="O70577" t="str">
            <v/>
          </cell>
        </row>
        <row r="70578">
          <cell r="O70578" t="str">
            <v/>
          </cell>
        </row>
        <row r="70579">
          <cell r="O70579" t="str">
            <v/>
          </cell>
        </row>
        <row r="70580">
          <cell r="O70580" t="str">
            <v/>
          </cell>
        </row>
        <row r="70581">
          <cell r="O70581" t="str">
            <v/>
          </cell>
        </row>
        <row r="70582">
          <cell r="O70582" t="str">
            <v/>
          </cell>
        </row>
        <row r="70583">
          <cell r="O70583" t="str">
            <v/>
          </cell>
        </row>
        <row r="70584">
          <cell r="O70584" t="str">
            <v/>
          </cell>
        </row>
        <row r="70585">
          <cell r="O70585" t="str">
            <v/>
          </cell>
        </row>
        <row r="70586">
          <cell r="O70586" t="str">
            <v/>
          </cell>
        </row>
        <row r="70587">
          <cell r="O70587" t="str">
            <v/>
          </cell>
        </row>
        <row r="70588">
          <cell r="O70588" t="str">
            <v/>
          </cell>
        </row>
        <row r="70589">
          <cell r="O70589" t="str">
            <v/>
          </cell>
        </row>
        <row r="70590">
          <cell r="O70590" t="str">
            <v/>
          </cell>
        </row>
        <row r="70591">
          <cell r="O70591" t="str">
            <v/>
          </cell>
        </row>
        <row r="70592">
          <cell r="O70592" t="str">
            <v/>
          </cell>
        </row>
        <row r="70593">
          <cell r="O70593" t="str">
            <v/>
          </cell>
        </row>
        <row r="70594">
          <cell r="O70594" t="str">
            <v/>
          </cell>
        </row>
        <row r="70595">
          <cell r="O70595" t="str">
            <v/>
          </cell>
        </row>
        <row r="70596">
          <cell r="O70596" t="str">
            <v/>
          </cell>
        </row>
        <row r="70597">
          <cell r="O70597" t="str">
            <v/>
          </cell>
        </row>
        <row r="70598">
          <cell r="O70598" t="str">
            <v/>
          </cell>
        </row>
        <row r="70599">
          <cell r="O70599" t="str">
            <v/>
          </cell>
        </row>
        <row r="70600">
          <cell r="O70600" t="str">
            <v/>
          </cell>
        </row>
        <row r="70601">
          <cell r="O70601" t="str">
            <v/>
          </cell>
        </row>
        <row r="70602">
          <cell r="O70602" t="str">
            <v/>
          </cell>
        </row>
        <row r="70603">
          <cell r="O70603" t="str">
            <v/>
          </cell>
        </row>
        <row r="70604">
          <cell r="O70604" t="str">
            <v/>
          </cell>
        </row>
        <row r="70605">
          <cell r="O70605" t="str">
            <v/>
          </cell>
        </row>
        <row r="70606">
          <cell r="O70606" t="str">
            <v/>
          </cell>
        </row>
        <row r="70607">
          <cell r="O70607" t="str">
            <v/>
          </cell>
        </row>
        <row r="70608">
          <cell r="O70608" t="str">
            <v/>
          </cell>
        </row>
        <row r="70609">
          <cell r="O70609" t="str">
            <v/>
          </cell>
        </row>
        <row r="70610">
          <cell r="O70610" t="str">
            <v/>
          </cell>
        </row>
        <row r="70611">
          <cell r="O70611" t="str">
            <v/>
          </cell>
        </row>
        <row r="70612">
          <cell r="O70612" t="str">
            <v/>
          </cell>
        </row>
        <row r="70613">
          <cell r="O70613" t="str">
            <v/>
          </cell>
        </row>
        <row r="70614">
          <cell r="O70614" t="str">
            <v/>
          </cell>
        </row>
        <row r="70615">
          <cell r="O70615" t="str">
            <v/>
          </cell>
        </row>
        <row r="70616">
          <cell r="O70616" t="str">
            <v/>
          </cell>
        </row>
        <row r="70617">
          <cell r="O70617" t="str">
            <v/>
          </cell>
        </row>
        <row r="70618">
          <cell r="O70618" t="str">
            <v/>
          </cell>
        </row>
        <row r="70619">
          <cell r="O70619" t="str">
            <v/>
          </cell>
        </row>
        <row r="70620">
          <cell r="O70620" t="str">
            <v/>
          </cell>
        </row>
        <row r="70621">
          <cell r="O70621" t="str">
            <v/>
          </cell>
        </row>
        <row r="70622">
          <cell r="O70622" t="str">
            <v/>
          </cell>
        </row>
        <row r="70623">
          <cell r="O70623" t="str">
            <v/>
          </cell>
        </row>
        <row r="70624">
          <cell r="O70624" t="str">
            <v/>
          </cell>
        </row>
        <row r="70625">
          <cell r="O70625" t="str">
            <v/>
          </cell>
        </row>
        <row r="70626">
          <cell r="O70626" t="str">
            <v/>
          </cell>
        </row>
        <row r="70627">
          <cell r="O70627" t="str">
            <v/>
          </cell>
        </row>
        <row r="70628">
          <cell r="O70628" t="str">
            <v/>
          </cell>
        </row>
        <row r="70629">
          <cell r="O70629" t="str">
            <v/>
          </cell>
        </row>
        <row r="70630">
          <cell r="O70630" t="str">
            <v/>
          </cell>
        </row>
        <row r="70631">
          <cell r="O70631" t="str">
            <v/>
          </cell>
        </row>
        <row r="70632">
          <cell r="O70632" t="str">
            <v/>
          </cell>
        </row>
        <row r="70633">
          <cell r="O70633" t="str">
            <v/>
          </cell>
        </row>
        <row r="70634">
          <cell r="O70634" t="str">
            <v/>
          </cell>
        </row>
        <row r="70635">
          <cell r="O70635" t="str">
            <v/>
          </cell>
        </row>
        <row r="70636">
          <cell r="O70636" t="str">
            <v/>
          </cell>
        </row>
        <row r="70637">
          <cell r="O70637" t="str">
            <v/>
          </cell>
        </row>
        <row r="70638">
          <cell r="O70638" t="str">
            <v/>
          </cell>
        </row>
        <row r="70639">
          <cell r="O70639" t="str">
            <v/>
          </cell>
        </row>
        <row r="70640">
          <cell r="O70640" t="str">
            <v/>
          </cell>
        </row>
        <row r="70641">
          <cell r="O70641" t="str">
            <v/>
          </cell>
        </row>
        <row r="70642">
          <cell r="O70642" t="str">
            <v/>
          </cell>
        </row>
        <row r="70643">
          <cell r="O70643" t="str">
            <v/>
          </cell>
        </row>
        <row r="70644">
          <cell r="O70644" t="str">
            <v/>
          </cell>
        </row>
        <row r="70645">
          <cell r="O70645" t="str">
            <v/>
          </cell>
        </row>
        <row r="70646">
          <cell r="O70646" t="str">
            <v/>
          </cell>
        </row>
        <row r="70647">
          <cell r="O70647" t="str">
            <v/>
          </cell>
        </row>
        <row r="70648">
          <cell r="O70648" t="str">
            <v/>
          </cell>
        </row>
        <row r="70649">
          <cell r="O70649" t="str">
            <v/>
          </cell>
        </row>
        <row r="70650">
          <cell r="O70650" t="str">
            <v/>
          </cell>
        </row>
        <row r="70651">
          <cell r="O70651" t="str">
            <v/>
          </cell>
        </row>
        <row r="70652">
          <cell r="O70652" t="str">
            <v/>
          </cell>
        </row>
        <row r="70653">
          <cell r="O70653" t="str">
            <v/>
          </cell>
        </row>
        <row r="70654">
          <cell r="O70654" t="str">
            <v/>
          </cell>
        </row>
        <row r="70655">
          <cell r="O70655" t="str">
            <v/>
          </cell>
        </row>
        <row r="70656">
          <cell r="O70656" t="str">
            <v/>
          </cell>
        </row>
        <row r="70657">
          <cell r="O70657" t="str">
            <v/>
          </cell>
        </row>
        <row r="70658">
          <cell r="O70658" t="str">
            <v/>
          </cell>
        </row>
        <row r="70659">
          <cell r="O70659" t="str">
            <v/>
          </cell>
        </row>
        <row r="70660">
          <cell r="O70660" t="str">
            <v/>
          </cell>
        </row>
        <row r="70661">
          <cell r="O70661" t="str">
            <v/>
          </cell>
        </row>
        <row r="70662">
          <cell r="O70662" t="str">
            <v/>
          </cell>
        </row>
        <row r="70663">
          <cell r="O70663" t="str">
            <v/>
          </cell>
        </row>
        <row r="70664">
          <cell r="O70664" t="str">
            <v/>
          </cell>
        </row>
        <row r="70665">
          <cell r="O70665" t="str">
            <v/>
          </cell>
        </row>
        <row r="70666">
          <cell r="O70666" t="str">
            <v/>
          </cell>
        </row>
        <row r="70667">
          <cell r="O70667" t="str">
            <v/>
          </cell>
        </row>
        <row r="70668">
          <cell r="O70668" t="str">
            <v/>
          </cell>
        </row>
        <row r="70669">
          <cell r="O70669" t="str">
            <v/>
          </cell>
        </row>
        <row r="70670">
          <cell r="O70670" t="str">
            <v/>
          </cell>
        </row>
        <row r="70671">
          <cell r="O70671" t="str">
            <v/>
          </cell>
        </row>
        <row r="70672">
          <cell r="O70672" t="str">
            <v/>
          </cell>
        </row>
        <row r="70673">
          <cell r="O70673" t="str">
            <v/>
          </cell>
        </row>
        <row r="70674">
          <cell r="O70674" t="str">
            <v/>
          </cell>
        </row>
        <row r="70675">
          <cell r="O70675" t="str">
            <v/>
          </cell>
        </row>
        <row r="70676">
          <cell r="O70676" t="str">
            <v/>
          </cell>
        </row>
        <row r="70677">
          <cell r="O70677" t="str">
            <v/>
          </cell>
        </row>
        <row r="70678">
          <cell r="O70678" t="str">
            <v/>
          </cell>
        </row>
        <row r="70679">
          <cell r="O70679" t="str">
            <v/>
          </cell>
        </row>
        <row r="70680">
          <cell r="O70680" t="str">
            <v/>
          </cell>
        </row>
        <row r="70681">
          <cell r="O70681" t="str">
            <v/>
          </cell>
        </row>
        <row r="70682">
          <cell r="O70682" t="str">
            <v/>
          </cell>
        </row>
        <row r="70683">
          <cell r="O70683" t="str">
            <v/>
          </cell>
        </row>
        <row r="70684">
          <cell r="O70684" t="str">
            <v/>
          </cell>
        </row>
        <row r="70685">
          <cell r="O70685" t="str">
            <v/>
          </cell>
        </row>
        <row r="70686">
          <cell r="O70686" t="str">
            <v/>
          </cell>
        </row>
        <row r="70687">
          <cell r="O70687" t="str">
            <v/>
          </cell>
        </row>
        <row r="70688">
          <cell r="O70688" t="str">
            <v/>
          </cell>
        </row>
        <row r="70689">
          <cell r="O70689" t="str">
            <v/>
          </cell>
        </row>
        <row r="70690">
          <cell r="O70690" t="str">
            <v/>
          </cell>
        </row>
        <row r="70691">
          <cell r="O70691" t="str">
            <v/>
          </cell>
        </row>
        <row r="70692">
          <cell r="O70692" t="str">
            <v/>
          </cell>
        </row>
        <row r="70693">
          <cell r="O70693" t="str">
            <v/>
          </cell>
        </row>
        <row r="70694">
          <cell r="O70694" t="str">
            <v/>
          </cell>
        </row>
        <row r="70695">
          <cell r="O70695" t="str">
            <v/>
          </cell>
        </row>
        <row r="70696">
          <cell r="O70696" t="str">
            <v/>
          </cell>
        </row>
        <row r="70697">
          <cell r="O70697" t="str">
            <v/>
          </cell>
        </row>
        <row r="70698">
          <cell r="O70698" t="str">
            <v/>
          </cell>
        </row>
        <row r="70699">
          <cell r="O70699" t="str">
            <v/>
          </cell>
        </row>
        <row r="70700">
          <cell r="O70700" t="str">
            <v/>
          </cell>
        </row>
        <row r="70701">
          <cell r="O70701" t="str">
            <v/>
          </cell>
        </row>
        <row r="70702">
          <cell r="O70702" t="str">
            <v/>
          </cell>
        </row>
        <row r="70703">
          <cell r="O70703" t="str">
            <v/>
          </cell>
        </row>
        <row r="70704">
          <cell r="O70704" t="str">
            <v/>
          </cell>
        </row>
        <row r="70705">
          <cell r="O70705" t="str">
            <v/>
          </cell>
        </row>
        <row r="70706">
          <cell r="O70706" t="str">
            <v/>
          </cell>
        </row>
        <row r="70707">
          <cell r="O70707" t="str">
            <v/>
          </cell>
        </row>
        <row r="70708">
          <cell r="O70708" t="str">
            <v/>
          </cell>
        </row>
        <row r="70709">
          <cell r="O70709" t="str">
            <v/>
          </cell>
        </row>
        <row r="70710">
          <cell r="O70710" t="str">
            <v/>
          </cell>
        </row>
        <row r="70711">
          <cell r="O70711" t="str">
            <v/>
          </cell>
        </row>
        <row r="70712">
          <cell r="O70712" t="str">
            <v/>
          </cell>
        </row>
        <row r="70713">
          <cell r="O70713" t="str">
            <v/>
          </cell>
        </row>
        <row r="70714">
          <cell r="O70714" t="str">
            <v/>
          </cell>
        </row>
        <row r="70715">
          <cell r="O70715" t="str">
            <v/>
          </cell>
        </row>
        <row r="70716">
          <cell r="O70716" t="str">
            <v/>
          </cell>
        </row>
        <row r="70717">
          <cell r="O70717" t="str">
            <v/>
          </cell>
        </row>
        <row r="70718">
          <cell r="O70718" t="str">
            <v/>
          </cell>
        </row>
        <row r="70719">
          <cell r="O70719" t="str">
            <v/>
          </cell>
        </row>
        <row r="70720">
          <cell r="O70720" t="str">
            <v/>
          </cell>
        </row>
        <row r="70721">
          <cell r="O70721" t="str">
            <v/>
          </cell>
        </row>
        <row r="70722">
          <cell r="O70722" t="str">
            <v/>
          </cell>
        </row>
        <row r="70723">
          <cell r="O70723" t="str">
            <v/>
          </cell>
        </row>
        <row r="70724">
          <cell r="O70724" t="str">
            <v/>
          </cell>
        </row>
        <row r="70725">
          <cell r="O70725" t="str">
            <v/>
          </cell>
        </row>
        <row r="70726">
          <cell r="O70726" t="str">
            <v/>
          </cell>
        </row>
        <row r="70727">
          <cell r="O70727" t="str">
            <v/>
          </cell>
        </row>
        <row r="70728">
          <cell r="O70728" t="str">
            <v/>
          </cell>
        </row>
        <row r="70729">
          <cell r="O70729" t="str">
            <v/>
          </cell>
        </row>
        <row r="70730">
          <cell r="O70730" t="str">
            <v/>
          </cell>
        </row>
        <row r="70731">
          <cell r="O70731" t="str">
            <v/>
          </cell>
        </row>
        <row r="70732">
          <cell r="O70732" t="str">
            <v/>
          </cell>
        </row>
        <row r="70733">
          <cell r="O70733" t="str">
            <v/>
          </cell>
        </row>
        <row r="70734">
          <cell r="O70734" t="str">
            <v/>
          </cell>
        </row>
        <row r="70735">
          <cell r="O70735" t="str">
            <v/>
          </cell>
        </row>
        <row r="70736">
          <cell r="O70736" t="str">
            <v/>
          </cell>
        </row>
        <row r="70737">
          <cell r="O70737" t="str">
            <v/>
          </cell>
        </row>
        <row r="70738">
          <cell r="O70738" t="str">
            <v/>
          </cell>
        </row>
        <row r="70739">
          <cell r="O70739" t="str">
            <v/>
          </cell>
        </row>
        <row r="70740">
          <cell r="O70740" t="str">
            <v/>
          </cell>
        </row>
        <row r="70741">
          <cell r="O70741" t="str">
            <v/>
          </cell>
        </row>
        <row r="70742">
          <cell r="O70742" t="str">
            <v/>
          </cell>
        </row>
        <row r="70743">
          <cell r="O70743" t="str">
            <v/>
          </cell>
        </row>
        <row r="70744">
          <cell r="O70744" t="str">
            <v/>
          </cell>
        </row>
        <row r="70745">
          <cell r="O70745" t="str">
            <v/>
          </cell>
        </row>
        <row r="70746">
          <cell r="O70746" t="str">
            <v/>
          </cell>
        </row>
        <row r="70747">
          <cell r="O70747" t="str">
            <v/>
          </cell>
        </row>
        <row r="70748">
          <cell r="O70748" t="str">
            <v/>
          </cell>
        </row>
        <row r="70749">
          <cell r="O70749" t="str">
            <v/>
          </cell>
        </row>
        <row r="70750">
          <cell r="O70750" t="str">
            <v/>
          </cell>
        </row>
        <row r="70751">
          <cell r="O70751" t="str">
            <v/>
          </cell>
        </row>
        <row r="70752">
          <cell r="O70752" t="str">
            <v/>
          </cell>
        </row>
        <row r="70753">
          <cell r="O70753" t="str">
            <v/>
          </cell>
        </row>
        <row r="70754">
          <cell r="O70754" t="str">
            <v/>
          </cell>
        </row>
        <row r="70755">
          <cell r="O70755" t="str">
            <v/>
          </cell>
        </row>
        <row r="70756">
          <cell r="O70756" t="str">
            <v/>
          </cell>
        </row>
        <row r="70757">
          <cell r="O70757" t="str">
            <v/>
          </cell>
        </row>
        <row r="70758">
          <cell r="O70758" t="str">
            <v/>
          </cell>
        </row>
        <row r="70759">
          <cell r="O70759" t="str">
            <v/>
          </cell>
        </row>
        <row r="70760">
          <cell r="O70760" t="str">
            <v/>
          </cell>
        </row>
        <row r="70761">
          <cell r="O70761" t="str">
            <v/>
          </cell>
        </row>
        <row r="70762">
          <cell r="O70762" t="str">
            <v/>
          </cell>
        </row>
        <row r="70763">
          <cell r="O70763" t="str">
            <v/>
          </cell>
        </row>
        <row r="70764">
          <cell r="O70764" t="str">
            <v/>
          </cell>
        </row>
        <row r="70765">
          <cell r="O70765" t="str">
            <v/>
          </cell>
        </row>
        <row r="70766">
          <cell r="O70766" t="str">
            <v/>
          </cell>
        </row>
        <row r="70767">
          <cell r="O70767" t="str">
            <v/>
          </cell>
        </row>
        <row r="70768">
          <cell r="O70768" t="str">
            <v/>
          </cell>
        </row>
        <row r="70769">
          <cell r="O70769" t="str">
            <v/>
          </cell>
        </row>
        <row r="70770">
          <cell r="O70770" t="str">
            <v/>
          </cell>
        </row>
        <row r="70771">
          <cell r="O70771" t="str">
            <v/>
          </cell>
        </row>
        <row r="70772">
          <cell r="O70772" t="str">
            <v/>
          </cell>
        </row>
        <row r="70773">
          <cell r="O70773" t="str">
            <v/>
          </cell>
        </row>
        <row r="70774">
          <cell r="O70774" t="str">
            <v/>
          </cell>
        </row>
        <row r="70775">
          <cell r="O70775" t="str">
            <v/>
          </cell>
        </row>
        <row r="70776">
          <cell r="O70776" t="str">
            <v/>
          </cell>
        </row>
        <row r="70777">
          <cell r="O70777" t="str">
            <v/>
          </cell>
        </row>
        <row r="70778">
          <cell r="O70778" t="str">
            <v/>
          </cell>
        </row>
        <row r="70779">
          <cell r="O70779" t="str">
            <v/>
          </cell>
        </row>
        <row r="70780">
          <cell r="O70780" t="str">
            <v/>
          </cell>
        </row>
        <row r="70781">
          <cell r="O70781" t="str">
            <v/>
          </cell>
        </row>
        <row r="70782">
          <cell r="O70782" t="str">
            <v/>
          </cell>
        </row>
        <row r="70783">
          <cell r="O70783" t="str">
            <v/>
          </cell>
        </row>
        <row r="70784">
          <cell r="O70784" t="str">
            <v/>
          </cell>
        </row>
        <row r="70785">
          <cell r="O70785" t="str">
            <v/>
          </cell>
        </row>
        <row r="70786">
          <cell r="O70786" t="str">
            <v/>
          </cell>
        </row>
        <row r="70787">
          <cell r="O70787" t="str">
            <v/>
          </cell>
        </row>
        <row r="70788">
          <cell r="O70788" t="str">
            <v/>
          </cell>
        </row>
        <row r="70789">
          <cell r="O70789" t="str">
            <v/>
          </cell>
        </row>
        <row r="70790">
          <cell r="O70790" t="str">
            <v/>
          </cell>
        </row>
        <row r="70791">
          <cell r="O70791" t="str">
            <v/>
          </cell>
        </row>
        <row r="70792">
          <cell r="O70792" t="str">
            <v/>
          </cell>
        </row>
        <row r="70793">
          <cell r="O70793" t="str">
            <v/>
          </cell>
        </row>
        <row r="70794">
          <cell r="O70794" t="str">
            <v/>
          </cell>
        </row>
        <row r="70795">
          <cell r="O70795" t="str">
            <v/>
          </cell>
        </row>
        <row r="70796">
          <cell r="O70796" t="str">
            <v/>
          </cell>
        </row>
        <row r="70797">
          <cell r="O70797" t="str">
            <v/>
          </cell>
        </row>
        <row r="70798">
          <cell r="O70798" t="str">
            <v/>
          </cell>
        </row>
        <row r="70799">
          <cell r="O70799" t="str">
            <v/>
          </cell>
        </row>
        <row r="70800">
          <cell r="O70800" t="str">
            <v/>
          </cell>
        </row>
        <row r="70801">
          <cell r="O70801" t="str">
            <v/>
          </cell>
        </row>
        <row r="70802">
          <cell r="O70802" t="str">
            <v/>
          </cell>
        </row>
        <row r="70803">
          <cell r="O70803" t="str">
            <v/>
          </cell>
        </row>
        <row r="70804">
          <cell r="O70804" t="str">
            <v/>
          </cell>
        </row>
        <row r="70805">
          <cell r="O70805" t="str">
            <v/>
          </cell>
        </row>
        <row r="70806">
          <cell r="O70806" t="str">
            <v/>
          </cell>
        </row>
        <row r="70807">
          <cell r="O70807" t="str">
            <v/>
          </cell>
        </row>
        <row r="70808">
          <cell r="O70808" t="str">
            <v/>
          </cell>
        </row>
        <row r="70809">
          <cell r="O70809" t="str">
            <v/>
          </cell>
        </row>
        <row r="70810">
          <cell r="O70810" t="str">
            <v/>
          </cell>
        </row>
        <row r="70811">
          <cell r="O70811" t="str">
            <v/>
          </cell>
        </row>
        <row r="70812">
          <cell r="O70812" t="str">
            <v/>
          </cell>
        </row>
        <row r="70813">
          <cell r="O70813" t="str">
            <v/>
          </cell>
        </row>
        <row r="70814">
          <cell r="O70814" t="str">
            <v/>
          </cell>
        </row>
        <row r="70815">
          <cell r="O70815" t="str">
            <v/>
          </cell>
        </row>
        <row r="70816">
          <cell r="O70816" t="str">
            <v/>
          </cell>
        </row>
        <row r="70817">
          <cell r="O70817" t="str">
            <v/>
          </cell>
        </row>
        <row r="70818">
          <cell r="O70818" t="str">
            <v/>
          </cell>
        </row>
        <row r="70819">
          <cell r="O70819" t="str">
            <v/>
          </cell>
        </row>
        <row r="70820">
          <cell r="O70820" t="str">
            <v/>
          </cell>
        </row>
        <row r="70821">
          <cell r="O70821" t="str">
            <v/>
          </cell>
        </row>
        <row r="70822">
          <cell r="O70822" t="str">
            <v/>
          </cell>
        </row>
        <row r="70823">
          <cell r="O70823" t="str">
            <v/>
          </cell>
        </row>
        <row r="70824">
          <cell r="O70824" t="str">
            <v/>
          </cell>
        </row>
        <row r="70825">
          <cell r="O70825" t="str">
            <v/>
          </cell>
        </row>
        <row r="70826">
          <cell r="O70826" t="str">
            <v/>
          </cell>
        </row>
        <row r="70827">
          <cell r="O70827" t="str">
            <v/>
          </cell>
        </row>
        <row r="70828">
          <cell r="O70828" t="str">
            <v/>
          </cell>
        </row>
        <row r="70829">
          <cell r="O70829" t="str">
            <v/>
          </cell>
        </row>
        <row r="70830">
          <cell r="O70830" t="str">
            <v/>
          </cell>
        </row>
        <row r="70831">
          <cell r="O70831" t="str">
            <v/>
          </cell>
        </row>
        <row r="70832">
          <cell r="O70832" t="str">
            <v/>
          </cell>
        </row>
        <row r="70833">
          <cell r="O70833" t="str">
            <v/>
          </cell>
        </row>
        <row r="70834">
          <cell r="O70834" t="str">
            <v/>
          </cell>
        </row>
        <row r="70835">
          <cell r="O70835" t="str">
            <v/>
          </cell>
        </row>
        <row r="70836">
          <cell r="O70836" t="str">
            <v/>
          </cell>
        </row>
        <row r="70837">
          <cell r="O70837" t="str">
            <v/>
          </cell>
        </row>
        <row r="70838">
          <cell r="O70838" t="str">
            <v/>
          </cell>
        </row>
        <row r="70839">
          <cell r="O70839" t="str">
            <v/>
          </cell>
        </row>
        <row r="70840">
          <cell r="O70840" t="str">
            <v/>
          </cell>
        </row>
        <row r="70841">
          <cell r="O70841" t="str">
            <v/>
          </cell>
        </row>
        <row r="70842">
          <cell r="O70842" t="str">
            <v/>
          </cell>
        </row>
        <row r="70843">
          <cell r="O70843" t="str">
            <v/>
          </cell>
        </row>
        <row r="70844">
          <cell r="O70844" t="str">
            <v/>
          </cell>
        </row>
        <row r="70845">
          <cell r="O70845" t="str">
            <v/>
          </cell>
        </row>
        <row r="70846">
          <cell r="O70846" t="str">
            <v/>
          </cell>
        </row>
        <row r="70847">
          <cell r="O70847" t="str">
            <v/>
          </cell>
        </row>
        <row r="70848">
          <cell r="O70848" t="str">
            <v/>
          </cell>
        </row>
        <row r="70849">
          <cell r="O70849" t="str">
            <v/>
          </cell>
        </row>
        <row r="70850">
          <cell r="O70850" t="str">
            <v/>
          </cell>
        </row>
        <row r="70851">
          <cell r="O70851" t="str">
            <v/>
          </cell>
        </row>
        <row r="70852">
          <cell r="O70852" t="str">
            <v/>
          </cell>
        </row>
        <row r="70853">
          <cell r="O70853" t="str">
            <v/>
          </cell>
        </row>
        <row r="70854">
          <cell r="O70854" t="str">
            <v/>
          </cell>
        </row>
        <row r="70855">
          <cell r="O70855" t="str">
            <v/>
          </cell>
        </row>
        <row r="70856">
          <cell r="O70856" t="str">
            <v/>
          </cell>
        </row>
        <row r="70857">
          <cell r="O70857" t="str">
            <v/>
          </cell>
        </row>
        <row r="70858">
          <cell r="O70858" t="str">
            <v/>
          </cell>
        </row>
        <row r="70859">
          <cell r="O70859" t="str">
            <v/>
          </cell>
        </row>
        <row r="70860">
          <cell r="O70860" t="str">
            <v/>
          </cell>
        </row>
        <row r="70861">
          <cell r="O70861" t="str">
            <v/>
          </cell>
        </row>
        <row r="70862">
          <cell r="O70862" t="str">
            <v/>
          </cell>
        </row>
        <row r="70863">
          <cell r="O70863" t="str">
            <v/>
          </cell>
        </row>
        <row r="70864">
          <cell r="O70864" t="str">
            <v/>
          </cell>
        </row>
        <row r="70865">
          <cell r="O70865" t="str">
            <v/>
          </cell>
        </row>
        <row r="70866">
          <cell r="O70866" t="str">
            <v/>
          </cell>
        </row>
        <row r="70867">
          <cell r="O70867" t="str">
            <v/>
          </cell>
        </row>
        <row r="70868">
          <cell r="O70868" t="str">
            <v/>
          </cell>
        </row>
        <row r="70869">
          <cell r="O70869" t="str">
            <v/>
          </cell>
        </row>
        <row r="70870">
          <cell r="O70870" t="str">
            <v/>
          </cell>
        </row>
        <row r="70871">
          <cell r="O70871" t="str">
            <v/>
          </cell>
        </row>
        <row r="70872">
          <cell r="O70872" t="str">
            <v/>
          </cell>
        </row>
        <row r="70873">
          <cell r="O70873" t="str">
            <v/>
          </cell>
        </row>
        <row r="70874">
          <cell r="O70874" t="str">
            <v/>
          </cell>
        </row>
        <row r="70875">
          <cell r="O70875" t="str">
            <v/>
          </cell>
        </row>
        <row r="70876">
          <cell r="O70876" t="str">
            <v/>
          </cell>
        </row>
        <row r="70877">
          <cell r="O70877" t="str">
            <v/>
          </cell>
        </row>
        <row r="70878">
          <cell r="O70878" t="str">
            <v/>
          </cell>
        </row>
        <row r="70879">
          <cell r="O70879" t="str">
            <v/>
          </cell>
        </row>
        <row r="70880">
          <cell r="O70880" t="str">
            <v/>
          </cell>
        </row>
        <row r="70881">
          <cell r="O70881" t="str">
            <v/>
          </cell>
        </row>
        <row r="70882">
          <cell r="O70882" t="str">
            <v/>
          </cell>
        </row>
        <row r="70883">
          <cell r="O70883" t="str">
            <v/>
          </cell>
        </row>
        <row r="70884">
          <cell r="O70884" t="str">
            <v/>
          </cell>
        </row>
        <row r="70885">
          <cell r="O70885" t="str">
            <v/>
          </cell>
        </row>
        <row r="70886">
          <cell r="O70886" t="str">
            <v/>
          </cell>
        </row>
        <row r="70887">
          <cell r="O70887" t="str">
            <v/>
          </cell>
        </row>
        <row r="70888">
          <cell r="O70888" t="str">
            <v/>
          </cell>
        </row>
        <row r="70889">
          <cell r="O70889" t="str">
            <v/>
          </cell>
        </row>
        <row r="70890">
          <cell r="O70890" t="str">
            <v/>
          </cell>
        </row>
        <row r="70891">
          <cell r="O70891" t="str">
            <v/>
          </cell>
        </row>
        <row r="70892">
          <cell r="O70892" t="str">
            <v/>
          </cell>
        </row>
        <row r="70893">
          <cell r="O70893" t="str">
            <v/>
          </cell>
        </row>
        <row r="70894">
          <cell r="O70894" t="str">
            <v/>
          </cell>
        </row>
        <row r="70895">
          <cell r="O70895" t="str">
            <v/>
          </cell>
        </row>
        <row r="70896">
          <cell r="O70896" t="str">
            <v/>
          </cell>
        </row>
        <row r="70897">
          <cell r="O70897" t="str">
            <v/>
          </cell>
        </row>
        <row r="70898">
          <cell r="O70898" t="str">
            <v/>
          </cell>
        </row>
        <row r="70899">
          <cell r="O70899" t="str">
            <v/>
          </cell>
        </row>
        <row r="70900">
          <cell r="O70900" t="str">
            <v/>
          </cell>
        </row>
        <row r="70901">
          <cell r="O70901" t="str">
            <v/>
          </cell>
        </row>
        <row r="70902">
          <cell r="O70902" t="str">
            <v/>
          </cell>
        </row>
        <row r="70903">
          <cell r="O70903" t="str">
            <v/>
          </cell>
        </row>
        <row r="70904">
          <cell r="O70904" t="str">
            <v/>
          </cell>
        </row>
        <row r="70905">
          <cell r="O70905" t="str">
            <v/>
          </cell>
        </row>
        <row r="70906">
          <cell r="O70906" t="str">
            <v/>
          </cell>
        </row>
        <row r="70907">
          <cell r="O70907" t="str">
            <v/>
          </cell>
        </row>
        <row r="70908">
          <cell r="O70908" t="str">
            <v/>
          </cell>
        </row>
        <row r="70909">
          <cell r="O70909" t="str">
            <v/>
          </cell>
        </row>
        <row r="70910">
          <cell r="O70910" t="str">
            <v/>
          </cell>
        </row>
        <row r="70911">
          <cell r="O70911" t="str">
            <v/>
          </cell>
        </row>
        <row r="70912">
          <cell r="O70912" t="str">
            <v/>
          </cell>
        </row>
        <row r="70913">
          <cell r="O70913" t="str">
            <v/>
          </cell>
        </row>
        <row r="70914">
          <cell r="O70914" t="str">
            <v/>
          </cell>
        </row>
        <row r="70915">
          <cell r="O70915" t="str">
            <v/>
          </cell>
        </row>
        <row r="70916">
          <cell r="O70916" t="str">
            <v/>
          </cell>
        </row>
        <row r="70917">
          <cell r="O70917" t="str">
            <v/>
          </cell>
        </row>
        <row r="70918">
          <cell r="O70918" t="str">
            <v/>
          </cell>
        </row>
        <row r="70919">
          <cell r="O70919" t="str">
            <v/>
          </cell>
        </row>
        <row r="70920">
          <cell r="O70920" t="str">
            <v/>
          </cell>
        </row>
        <row r="70921">
          <cell r="O70921" t="str">
            <v/>
          </cell>
        </row>
        <row r="70922">
          <cell r="O70922" t="str">
            <v/>
          </cell>
        </row>
        <row r="70923">
          <cell r="O70923" t="str">
            <v/>
          </cell>
        </row>
        <row r="70924">
          <cell r="O70924" t="str">
            <v/>
          </cell>
        </row>
        <row r="70925">
          <cell r="O70925" t="str">
            <v/>
          </cell>
        </row>
        <row r="70926">
          <cell r="O70926" t="str">
            <v/>
          </cell>
        </row>
        <row r="70927">
          <cell r="O70927" t="str">
            <v/>
          </cell>
        </row>
        <row r="70928">
          <cell r="O70928" t="str">
            <v/>
          </cell>
        </row>
        <row r="70929">
          <cell r="O70929" t="str">
            <v/>
          </cell>
        </row>
        <row r="70930">
          <cell r="O70930" t="str">
            <v/>
          </cell>
        </row>
        <row r="70931">
          <cell r="O70931" t="str">
            <v/>
          </cell>
        </row>
        <row r="70932">
          <cell r="O70932" t="str">
            <v/>
          </cell>
        </row>
        <row r="70933">
          <cell r="O70933" t="str">
            <v/>
          </cell>
        </row>
        <row r="70934">
          <cell r="O70934" t="str">
            <v/>
          </cell>
        </row>
        <row r="70935">
          <cell r="O70935" t="str">
            <v/>
          </cell>
        </row>
        <row r="70936">
          <cell r="O70936" t="str">
            <v/>
          </cell>
        </row>
        <row r="70937">
          <cell r="O70937" t="str">
            <v/>
          </cell>
        </row>
        <row r="70938">
          <cell r="O70938" t="str">
            <v/>
          </cell>
        </row>
        <row r="70939">
          <cell r="O70939" t="str">
            <v/>
          </cell>
        </row>
        <row r="70940">
          <cell r="O70940" t="str">
            <v/>
          </cell>
        </row>
        <row r="70941">
          <cell r="O70941" t="str">
            <v/>
          </cell>
        </row>
        <row r="70942">
          <cell r="O70942" t="str">
            <v/>
          </cell>
        </row>
        <row r="70943">
          <cell r="O70943" t="str">
            <v/>
          </cell>
        </row>
        <row r="70944">
          <cell r="O70944" t="str">
            <v/>
          </cell>
        </row>
        <row r="70945">
          <cell r="O70945" t="str">
            <v/>
          </cell>
        </row>
        <row r="70946">
          <cell r="O70946" t="str">
            <v/>
          </cell>
        </row>
        <row r="70947">
          <cell r="O70947" t="str">
            <v/>
          </cell>
        </row>
        <row r="70948">
          <cell r="O70948" t="str">
            <v/>
          </cell>
        </row>
        <row r="70949">
          <cell r="O70949" t="str">
            <v/>
          </cell>
        </row>
        <row r="70950">
          <cell r="O70950" t="str">
            <v/>
          </cell>
        </row>
        <row r="70951">
          <cell r="O70951" t="str">
            <v/>
          </cell>
        </row>
        <row r="70952">
          <cell r="O70952" t="str">
            <v/>
          </cell>
        </row>
        <row r="70953">
          <cell r="O70953" t="str">
            <v/>
          </cell>
        </row>
        <row r="70954">
          <cell r="O70954" t="str">
            <v/>
          </cell>
        </row>
        <row r="70955">
          <cell r="O70955" t="str">
            <v/>
          </cell>
        </row>
        <row r="70956">
          <cell r="O70956" t="str">
            <v/>
          </cell>
        </row>
        <row r="70957">
          <cell r="O70957" t="str">
            <v/>
          </cell>
        </row>
        <row r="70958">
          <cell r="O70958" t="str">
            <v/>
          </cell>
        </row>
        <row r="70959">
          <cell r="O70959" t="str">
            <v/>
          </cell>
        </row>
        <row r="70960">
          <cell r="O70960" t="str">
            <v/>
          </cell>
        </row>
        <row r="70961">
          <cell r="O70961" t="str">
            <v/>
          </cell>
        </row>
        <row r="70962">
          <cell r="O70962" t="str">
            <v/>
          </cell>
        </row>
        <row r="70963">
          <cell r="O70963" t="str">
            <v/>
          </cell>
        </row>
        <row r="70964">
          <cell r="O70964" t="str">
            <v/>
          </cell>
        </row>
        <row r="70965">
          <cell r="O70965" t="str">
            <v/>
          </cell>
        </row>
        <row r="70966">
          <cell r="O70966" t="str">
            <v/>
          </cell>
        </row>
        <row r="70967">
          <cell r="O70967" t="str">
            <v/>
          </cell>
        </row>
        <row r="70968">
          <cell r="O70968" t="str">
            <v/>
          </cell>
        </row>
        <row r="70969">
          <cell r="O70969" t="str">
            <v/>
          </cell>
        </row>
        <row r="70970">
          <cell r="O70970" t="str">
            <v/>
          </cell>
        </row>
        <row r="70971">
          <cell r="O70971" t="str">
            <v/>
          </cell>
        </row>
        <row r="70972">
          <cell r="O70972" t="str">
            <v/>
          </cell>
        </row>
        <row r="70973">
          <cell r="O70973" t="str">
            <v/>
          </cell>
        </row>
        <row r="70974">
          <cell r="O70974" t="str">
            <v/>
          </cell>
        </row>
        <row r="70975">
          <cell r="O70975" t="str">
            <v/>
          </cell>
        </row>
        <row r="70976">
          <cell r="O70976" t="str">
            <v/>
          </cell>
        </row>
        <row r="70977">
          <cell r="O70977" t="str">
            <v/>
          </cell>
        </row>
        <row r="70978">
          <cell r="O70978" t="str">
            <v/>
          </cell>
        </row>
        <row r="70979">
          <cell r="O70979" t="str">
            <v/>
          </cell>
        </row>
        <row r="70980">
          <cell r="O70980" t="str">
            <v/>
          </cell>
        </row>
        <row r="70981">
          <cell r="O70981" t="str">
            <v/>
          </cell>
        </row>
        <row r="70982">
          <cell r="O70982" t="str">
            <v/>
          </cell>
        </row>
        <row r="70983">
          <cell r="O70983" t="str">
            <v/>
          </cell>
        </row>
        <row r="70984">
          <cell r="O70984" t="str">
            <v/>
          </cell>
        </row>
        <row r="70985">
          <cell r="O70985" t="str">
            <v/>
          </cell>
        </row>
        <row r="70986">
          <cell r="O70986" t="str">
            <v/>
          </cell>
        </row>
        <row r="70987">
          <cell r="O70987" t="str">
            <v/>
          </cell>
        </row>
        <row r="70988">
          <cell r="O70988" t="str">
            <v/>
          </cell>
        </row>
        <row r="70989">
          <cell r="O70989" t="str">
            <v/>
          </cell>
        </row>
        <row r="70990">
          <cell r="O70990" t="str">
            <v/>
          </cell>
        </row>
        <row r="70991">
          <cell r="O70991" t="str">
            <v/>
          </cell>
        </row>
        <row r="70992">
          <cell r="O70992" t="str">
            <v/>
          </cell>
        </row>
        <row r="70993">
          <cell r="O70993" t="str">
            <v/>
          </cell>
        </row>
        <row r="70994">
          <cell r="O70994" t="str">
            <v/>
          </cell>
        </row>
        <row r="70995">
          <cell r="O70995" t="str">
            <v/>
          </cell>
        </row>
        <row r="70996">
          <cell r="O70996" t="str">
            <v/>
          </cell>
        </row>
        <row r="70997">
          <cell r="O70997" t="str">
            <v/>
          </cell>
        </row>
        <row r="70998">
          <cell r="O70998" t="str">
            <v/>
          </cell>
        </row>
        <row r="70999">
          <cell r="O70999" t="str">
            <v/>
          </cell>
        </row>
        <row r="71000">
          <cell r="O71000" t="str">
            <v/>
          </cell>
        </row>
        <row r="71001">
          <cell r="O71001" t="str">
            <v/>
          </cell>
        </row>
        <row r="71002">
          <cell r="O71002" t="str">
            <v/>
          </cell>
        </row>
        <row r="71003">
          <cell r="O71003" t="str">
            <v/>
          </cell>
        </row>
        <row r="71004">
          <cell r="O71004" t="str">
            <v/>
          </cell>
        </row>
        <row r="71005">
          <cell r="O71005" t="str">
            <v/>
          </cell>
        </row>
        <row r="71006">
          <cell r="O71006" t="str">
            <v/>
          </cell>
        </row>
        <row r="71007">
          <cell r="O71007" t="str">
            <v/>
          </cell>
        </row>
        <row r="71008">
          <cell r="O71008" t="str">
            <v/>
          </cell>
        </row>
        <row r="71009">
          <cell r="O71009" t="str">
            <v/>
          </cell>
        </row>
        <row r="71010">
          <cell r="O71010" t="str">
            <v/>
          </cell>
        </row>
        <row r="71011">
          <cell r="O71011" t="str">
            <v/>
          </cell>
        </row>
        <row r="71012">
          <cell r="O71012" t="str">
            <v/>
          </cell>
        </row>
        <row r="71013">
          <cell r="O71013" t="str">
            <v/>
          </cell>
        </row>
        <row r="71014">
          <cell r="O71014" t="str">
            <v/>
          </cell>
        </row>
        <row r="71015">
          <cell r="O71015" t="str">
            <v/>
          </cell>
        </row>
        <row r="71016">
          <cell r="O71016" t="str">
            <v/>
          </cell>
        </row>
        <row r="71017">
          <cell r="O71017" t="str">
            <v/>
          </cell>
        </row>
        <row r="71018">
          <cell r="O71018" t="str">
            <v/>
          </cell>
        </row>
        <row r="71019">
          <cell r="O71019" t="str">
            <v/>
          </cell>
        </row>
        <row r="71020">
          <cell r="O71020" t="str">
            <v/>
          </cell>
        </row>
        <row r="71021">
          <cell r="O71021" t="str">
            <v/>
          </cell>
        </row>
        <row r="71022">
          <cell r="O71022" t="str">
            <v/>
          </cell>
        </row>
        <row r="71023">
          <cell r="O71023" t="str">
            <v/>
          </cell>
        </row>
        <row r="71024">
          <cell r="O71024" t="str">
            <v/>
          </cell>
        </row>
        <row r="71025">
          <cell r="O71025" t="str">
            <v/>
          </cell>
        </row>
        <row r="71026">
          <cell r="O71026" t="str">
            <v/>
          </cell>
        </row>
        <row r="71027">
          <cell r="O71027" t="str">
            <v/>
          </cell>
        </row>
        <row r="71028">
          <cell r="O71028" t="str">
            <v/>
          </cell>
        </row>
        <row r="71029">
          <cell r="O71029" t="str">
            <v/>
          </cell>
        </row>
        <row r="71030">
          <cell r="O71030" t="str">
            <v/>
          </cell>
        </row>
        <row r="71031">
          <cell r="O71031" t="str">
            <v/>
          </cell>
        </row>
        <row r="71032">
          <cell r="O71032" t="str">
            <v/>
          </cell>
        </row>
        <row r="71033">
          <cell r="O71033" t="str">
            <v/>
          </cell>
        </row>
        <row r="71034">
          <cell r="O71034" t="str">
            <v/>
          </cell>
        </row>
        <row r="71035">
          <cell r="O71035" t="str">
            <v/>
          </cell>
        </row>
        <row r="71036">
          <cell r="O71036" t="str">
            <v/>
          </cell>
        </row>
        <row r="71037">
          <cell r="O71037" t="str">
            <v/>
          </cell>
        </row>
        <row r="71038">
          <cell r="O71038" t="str">
            <v/>
          </cell>
        </row>
        <row r="71039">
          <cell r="O71039" t="str">
            <v/>
          </cell>
        </row>
        <row r="71040">
          <cell r="O71040" t="str">
            <v/>
          </cell>
        </row>
        <row r="71041">
          <cell r="O71041" t="str">
            <v/>
          </cell>
        </row>
        <row r="71042">
          <cell r="O71042" t="str">
            <v/>
          </cell>
        </row>
        <row r="71043">
          <cell r="O71043" t="str">
            <v/>
          </cell>
        </row>
        <row r="71044">
          <cell r="O71044" t="str">
            <v/>
          </cell>
        </row>
        <row r="71045">
          <cell r="O71045" t="str">
            <v/>
          </cell>
        </row>
        <row r="71046">
          <cell r="O71046" t="str">
            <v/>
          </cell>
        </row>
        <row r="71047">
          <cell r="O71047" t="str">
            <v/>
          </cell>
        </row>
        <row r="71048">
          <cell r="O71048" t="str">
            <v/>
          </cell>
        </row>
        <row r="71049">
          <cell r="O71049" t="str">
            <v/>
          </cell>
        </row>
        <row r="71050">
          <cell r="O71050" t="str">
            <v/>
          </cell>
        </row>
        <row r="71051">
          <cell r="O71051" t="str">
            <v/>
          </cell>
        </row>
        <row r="71052">
          <cell r="O71052" t="str">
            <v/>
          </cell>
        </row>
        <row r="71053">
          <cell r="O71053" t="str">
            <v/>
          </cell>
        </row>
        <row r="71054">
          <cell r="O71054" t="str">
            <v/>
          </cell>
        </row>
        <row r="71055">
          <cell r="O71055" t="str">
            <v/>
          </cell>
        </row>
        <row r="71056">
          <cell r="O71056" t="str">
            <v/>
          </cell>
        </row>
        <row r="71057">
          <cell r="O71057" t="str">
            <v/>
          </cell>
        </row>
        <row r="71058">
          <cell r="O71058" t="str">
            <v/>
          </cell>
        </row>
        <row r="71059">
          <cell r="O71059" t="str">
            <v/>
          </cell>
        </row>
        <row r="71060">
          <cell r="O71060" t="str">
            <v/>
          </cell>
        </row>
        <row r="71061">
          <cell r="O71061" t="str">
            <v/>
          </cell>
        </row>
        <row r="71062">
          <cell r="O71062" t="str">
            <v/>
          </cell>
        </row>
        <row r="71063">
          <cell r="O71063" t="str">
            <v/>
          </cell>
        </row>
        <row r="71064">
          <cell r="O71064" t="str">
            <v/>
          </cell>
        </row>
        <row r="71065">
          <cell r="O71065" t="str">
            <v/>
          </cell>
        </row>
        <row r="71066">
          <cell r="O71066" t="str">
            <v/>
          </cell>
        </row>
        <row r="71067">
          <cell r="O71067" t="str">
            <v/>
          </cell>
        </row>
        <row r="71068">
          <cell r="O71068" t="str">
            <v/>
          </cell>
        </row>
        <row r="71069">
          <cell r="O71069" t="str">
            <v/>
          </cell>
        </row>
        <row r="71070">
          <cell r="O71070" t="str">
            <v/>
          </cell>
        </row>
        <row r="71071">
          <cell r="O71071" t="str">
            <v/>
          </cell>
        </row>
        <row r="71072">
          <cell r="O71072" t="str">
            <v/>
          </cell>
        </row>
        <row r="71073">
          <cell r="O71073" t="str">
            <v/>
          </cell>
        </row>
        <row r="71074">
          <cell r="O71074" t="str">
            <v/>
          </cell>
        </row>
        <row r="71075">
          <cell r="O71075" t="str">
            <v/>
          </cell>
        </row>
        <row r="71076">
          <cell r="O71076" t="str">
            <v/>
          </cell>
        </row>
        <row r="71077">
          <cell r="O71077" t="str">
            <v/>
          </cell>
        </row>
        <row r="71078">
          <cell r="O71078" t="str">
            <v/>
          </cell>
        </row>
        <row r="71079">
          <cell r="O71079" t="str">
            <v/>
          </cell>
        </row>
        <row r="71080">
          <cell r="O71080" t="str">
            <v/>
          </cell>
        </row>
        <row r="71081">
          <cell r="O71081" t="str">
            <v/>
          </cell>
        </row>
        <row r="71082">
          <cell r="O71082" t="str">
            <v/>
          </cell>
        </row>
        <row r="71083">
          <cell r="O71083" t="str">
            <v/>
          </cell>
        </row>
        <row r="71084">
          <cell r="O71084" t="str">
            <v/>
          </cell>
        </row>
        <row r="71085">
          <cell r="O71085" t="str">
            <v/>
          </cell>
        </row>
        <row r="71086">
          <cell r="O71086" t="str">
            <v/>
          </cell>
        </row>
        <row r="71087">
          <cell r="O71087" t="str">
            <v/>
          </cell>
        </row>
        <row r="71088">
          <cell r="O71088" t="str">
            <v/>
          </cell>
        </row>
        <row r="71089">
          <cell r="O71089" t="str">
            <v/>
          </cell>
        </row>
        <row r="71090">
          <cell r="O71090" t="str">
            <v/>
          </cell>
        </row>
        <row r="71091">
          <cell r="O71091" t="str">
            <v/>
          </cell>
        </row>
        <row r="71092">
          <cell r="O71092" t="str">
            <v/>
          </cell>
        </row>
        <row r="71093">
          <cell r="O71093" t="str">
            <v/>
          </cell>
        </row>
        <row r="71094">
          <cell r="O71094" t="str">
            <v/>
          </cell>
        </row>
        <row r="71095">
          <cell r="O71095" t="str">
            <v/>
          </cell>
        </row>
        <row r="71096">
          <cell r="O71096" t="str">
            <v/>
          </cell>
        </row>
        <row r="71097">
          <cell r="O71097" t="str">
            <v/>
          </cell>
        </row>
        <row r="71098">
          <cell r="O71098" t="str">
            <v/>
          </cell>
        </row>
        <row r="71099">
          <cell r="O71099" t="str">
            <v/>
          </cell>
        </row>
        <row r="71100">
          <cell r="O71100" t="str">
            <v/>
          </cell>
        </row>
        <row r="71101">
          <cell r="O71101" t="str">
            <v/>
          </cell>
        </row>
        <row r="71102">
          <cell r="O71102" t="str">
            <v/>
          </cell>
        </row>
        <row r="71103">
          <cell r="O71103" t="str">
            <v/>
          </cell>
        </row>
        <row r="71104">
          <cell r="O71104" t="str">
            <v/>
          </cell>
        </row>
        <row r="71105">
          <cell r="O71105" t="str">
            <v/>
          </cell>
        </row>
        <row r="71106">
          <cell r="O71106" t="str">
            <v/>
          </cell>
        </row>
        <row r="71107">
          <cell r="O71107" t="str">
            <v/>
          </cell>
        </row>
        <row r="71108">
          <cell r="O71108" t="str">
            <v/>
          </cell>
        </row>
        <row r="71109">
          <cell r="O71109" t="str">
            <v/>
          </cell>
        </row>
        <row r="71110">
          <cell r="O71110" t="str">
            <v/>
          </cell>
        </row>
        <row r="71111">
          <cell r="O71111" t="str">
            <v/>
          </cell>
        </row>
        <row r="71112">
          <cell r="O71112" t="str">
            <v/>
          </cell>
        </row>
        <row r="71113">
          <cell r="O71113" t="str">
            <v/>
          </cell>
        </row>
        <row r="71114">
          <cell r="O71114" t="str">
            <v/>
          </cell>
        </row>
        <row r="71115">
          <cell r="O71115" t="str">
            <v/>
          </cell>
        </row>
        <row r="71116">
          <cell r="O71116" t="str">
            <v/>
          </cell>
        </row>
        <row r="71117">
          <cell r="O71117" t="str">
            <v/>
          </cell>
        </row>
        <row r="71118">
          <cell r="O71118" t="str">
            <v/>
          </cell>
        </row>
        <row r="71119">
          <cell r="O71119" t="str">
            <v/>
          </cell>
        </row>
        <row r="71120">
          <cell r="O71120" t="str">
            <v/>
          </cell>
        </row>
        <row r="71121">
          <cell r="O71121" t="str">
            <v/>
          </cell>
        </row>
        <row r="71122">
          <cell r="O71122" t="str">
            <v/>
          </cell>
        </row>
        <row r="71123">
          <cell r="O71123" t="str">
            <v/>
          </cell>
        </row>
        <row r="71124">
          <cell r="O71124" t="str">
            <v/>
          </cell>
        </row>
        <row r="71125">
          <cell r="O71125" t="str">
            <v/>
          </cell>
        </row>
        <row r="71126">
          <cell r="O71126" t="str">
            <v/>
          </cell>
        </row>
        <row r="71127">
          <cell r="O71127" t="str">
            <v/>
          </cell>
        </row>
        <row r="71128">
          <cell r="O71128" t="str">
            <v/>
          </cell>
        </row>
        <row r="71129">
          <cell r="O71129" t="str">
            <v/>
          </cell>
        </row>
        <row r="71130">
          <cell r="O71130" t="str">
            <v/>
          </cell>
        </row>
        <row r="71131">
          <cell r="O71131" t="str">
            <v/>
          </cell>
        </row>
        <row r="71132">
          <cell r="O71132" t="str">
            <v/>
          </cell>
        </row>
        <row r="71133">
          <cell r="O71133" t="str">
            <v/>
          </cell>
        </row>
        <row r="71134">
          <cell r="O71134" t="str">
            <v/>
          </cell>
        </row>
        <row r="71135">
          <cell r="O71135" t="str">
            <v/>
          </cell>
        </row>
        <row r="71136">
          <cell r="O71136" t="str">
            <v/>
          </cell>
        </row>
        <row r="71137">
          <cell r="O71137" t="str">
            <v/>
          </cell>
        </row>
        <row r="71138">
          <cell r="O71138" t="str">
            <v/>
          </cell>
        </row>
        <row r="71139">
          <cell r="O71139" t="str">
            <v/>
          </cell>
        </row>
        <row r="71140">
          <cell r="O71140" t="str">
            <v/>
          </cell>
        </row>
        <row r="71141">
          <cell r="O71141" t="str">
            <v/>
          </cell>
        </row>
        <row r="71142">
          <cell r="O71142" t="str">
            <v/>
          </cell>
        </row>
        <row r="71143">
          <cell r="O71143" t="str">
            <v/>
          </cell>
        </row>
        <row r="71144">
          <cell r="O71144" t="str">
            <v/>
          </cell>
        </row>
        <row r="71145">
          <cell r="O71145" t="str">
            <v/>
          </cell>
        </row>
        <row r="71146">
          <cell r="O71146" t="str">
            <v/>
          </cell>
        </row>
        <row r="71147">
          <cell r="O71147" t="str">
            <v/>
          </cell>
        </row>
        <row r="71148">
          <cell r="O71148" t="str">
            <v/>
          </cell>
        </row>
        <row r="71149">
          <cell r="O71149" t="str">
            <v/>
          </cell>
        </row>
        <row r="71150">
          <cell r="O71150" t="str">
            <v/>
          </cell>
        </row>
        <row r="71151">
          <cell r="O71151" t="str">
            <v/>
          </cell>
        </row>
        <row r="71152">
          <cell r="O71152" t="str">
            <v/>
          </cell>
        </row>
        <row r="71153">
          <cell r="O71153" t="str">
            <v/>
          </cell>
        </row>
        <row r="71154">
          <cell r="O71154" t="str">
            <v/>
          </cell>
        </row>
        <row r="71155">
          <cell r="O71155" t="str">
            <v/>
          </cell>
        </row>
        <row r="71156">
          <cell r="O71156" t="str">
            <v/>
          </cell>
        </row>
        <row r="71157">
          <cell r="O71157" t="str">
            <v/>
          </cell>
        </row>
        <row r="71158">
          <cell r="O71158" t="str">
            <v/>
          </cell>
        </row>
        <row r="71159">
          <cell r="O71159" t="str">
            <v/>
          </cell>
        </row>
        <row r="71160">
          <cell r="O71160" t="str">
            <v/>
          </cell>
        </row>
        <row r="71161">
          <cell r="O71161" t="str">
            <v/>
          </cell>
        </row>
        <row r="71162">
          <cell r="O71162" t="str">
            <v/>
          </cell>
        </row>
        <row r="71163">
          <cell r="O71163" t="str">
            <v/>
          </cell>
        </row>
        <row r="71164">
          <cell r="O71164" t="str">
            <v/>
          </cell>
        </row>
        <row r="71165">
          <cell r="O71165" t="str">
            <v/>
          </cell>
        </row>
        <row r="71166">
          <cell r="O71166" t="str">
            <v/>
          </cell>
        </row>
        <row r="71167">
          <cell r="O71167" t="str">
            <v/>
          </cell>
        </row>
        <row r="71168">
          <cell r="O71168" t="str">
            <v/>
          </cell>
        </row>
        <row r="71169">
          <cell r="O71169" t="str">
            <v/>
          </cell>
        </row>
        <row r="71170">
          <cell r="O71170" t="str">
            <v/>
          </cell>
        </row>
        <row r="71171">
          <cell r="O71171" t="str">
            <v/>
          </cell>
        </row>
        <row r="71172">
          <cell r="O71172" t="str">
            <v/>
          </cell>
        </row>
        <row r="71173">
          <cell r="O71173" t="str">
            <v/>
          </cell>
        </row>
        <row r="71174">
          <cell r="O71174" t="str">
            <v/>
          </cell>
        </row>
        <row r="71175">
          <cell r="O71175" t="str">
            <v/>
          </cell>
        </row>
        <row r="71176">
          <cell r="O71176" t="str">
            <v/>
          </cell>
        </row>
        <row r="71177">
          <cell r="O71177" t="str">
            <v/>
          </cell>
        </row>
        <row r="71178">
          <cell r="O71178" t="str">
            <v/>
          </cell>
        </row>
        <row r="71179">
          <cell r="O71179" t="str">
            <v/>
          </cell>
        </row>
        <row r="71180">
          <cell r="O71180" t="str">
            <v/>
          </cell>
        </row>
        <row r="71181">
          <cell r="O71181" t="str">
            <v/>
          </cell>
        </row>
        <row r="71182">
          <cell r="O71182" t="str">
            <v/>
          </cell>
        </row>
        <row r="71183">
          <cell r="O71183" t="str">
            <v/>
          </cell>
        </row>
        <row r="71184">
          <cell r="O71184" t="str">
            <v/>
          </cell>
        </row>
        <row r="71185">
          <cell r="O71185" t="str">
            <v/>
          </cell>
        </row>
        <row r="71186">
          <cell r="O71186" t="str">
            <v/>
          </cell>
        </row>
        <row r="71187">
          <cell r="O71187" t="str">
            <v/>
          </cell>
        </row>
        <row r="71188">
          <cell r="O71188" t="str">
            <v/>
          </cell>
        </row>
        <row r="71189">
          <cell r="O71189" t="str">
            <v/>
          </cell>
        </row>
        <row r="71190">
          <cell r="O71190" t="str">
            <v/>
          </cell>
        </row>
        <row r="71191">
          <cell r="O71191" t="str">
            <v/>
          </cell>
        </row>
        <row r="71192">
          <cell r="O71192" t="str">
            <v/>
          </cell>
        </row>
        <row r="71193">
          <cell r="O71193" t="str">
            <v/>
          </cell>
        </row>
        <row r="71194">
          <cell r="O71194" t="str">
            <v/>
          </cell>
        </row>
        <row r="71195">
          <cell r="O71195" t="str">
            <v/>
          </cell>
        </row>
        <row r="71196">
          <cell r="O71196" t="str">
            <v/>
          </cell>
        </row>
        <row r="71197">
          <cell r="O71197" t="str">
            <v/>
          </cell>
        </row>
        <row r="71198">
          <cell r="O71198" t="str">
            <v/>
          </cell>
        </row>
        <row r="71199">
          <cell r="O71199" t="str">
            <v/>
          </cell>
        </row>
        <row r="71200">
          <cell r="O71200" t="str">
            <v/>
          </cell>
        </row>
        <row r="71201">
          <cell r="O71201" t="str">
            <v/>
          </cell>
        </row>
        <row r="71202">
          <cell r="O71202" t="str">
            <v/>
          </cell>
        </row>
        <row r="71203">
          <cell r="O71203" t="str">
            <v/>
          </cell>
        </row>
        <row r="71204">
          <cell r="O71204" t="str">
            <v/>
          </cell>
        </row>
        <row r="71205">
          <cell r="O71205" t="str">
            <v/>
          </cell>
        </row>
        <row r="71206">
          <cell r="O71206" t="str">
            <v/>
          </cell>
        </row>
        <row r="71207">
          <cell r="O71207" t="str">
            <v/>
          </cell>
        </row>
        <row r="71208">
          <cell r="O71208" t="str">
            <v/>
          </cell>
        </row>
        <row r="71209">
          <cell r="O71209" t="str">
            <v/>
          </cell>
        </row>
        <row r="71210">
          <cell r="O71210" t="str">
            <v/>
          </cell>
        </row>
        <row r="71211">
          <cell r="O71211" t="str">
            <v/>
          </cell>
        </row>
        <row r="71212">
          <cell r="O71212" t="str">
            <v/>
          </cell>
        </row>
        <row r="71213">
          <cell r="O71213" t="str">
            <v/>
          </cell>
        </row>
        <row r="71214">
          <cell r="O71214" t="str">
            <v/>
          </cell>
        </row>
        <row r="71215">
          <cell r="O71215" t="str">
            <v/>
          </cell>
        </row>
        <row r="71216">
          <cell r="O71216" t="str">
            <v/>
          </cell>
        </row>
        <row r="71217">
          <cell r="O71217" t="str">
            <v/>
          </cell>
        </row>
        <row r="71218">
          <cell r="O71218" t="str">
            <v/>
          </cell>
        </row>
        <row r="71219">
          <cell r="O71219" t="str">
            <v/>
          </cell>
        </row>
        <row r="71220">
          <cell r="O71220" t="str">
            <v/>
          </cell>
        </row>
        <row r="71221">
          <cell r="O71221" t="str">
            <v/>
          </cell>
        </row>
        <row r="71222">
          <cell r="O71222" t="str">
            <v/>
          </cell>
        </row>
        <row r="71223">
          <cell r="O71223" t="str">
            <v/>
          </cell>
        </row>
        <row r="71224">
          <cell r="O71224" t="str">
            <v/>
          </cell>
        </row>
        <row r="71225">
          <cell r="O71225" t="str">
            <v/>
          </cell>
        </row>
        <row r="71226">
          <cell r="O71226" t="str">
            <v/>
          </cell>
        </row>
        <row r="71227">
          <cell r="O71227" t="str">
            <v/>
          </cell>
        </row>
        <row r="71228">
          <cell r="O71228" t="str">
            <v/>
          </cell>
        </row>
        <row r="71229">
          <cell r="O71229" t="str">
            <v/>
          </cell>
        </row>
        <row r="71230">
          <cell r="O71230" t="str">
            <v/>
          </cell>
        </row>
        <row r="71231">
          <cell r="O71231" t="str">
            <v/>
          </cell>
        </row>
        <row r="71232">
          <cell r="O71232" t="str">
            <v/>
          </cell>
        </row>
        <row r="71233">
          <cell r="O71233" t="str">
            <v/>
          </cell>
        </row>
        <row r="71234">
          <cell r="O71234" t="str">
            <v/>
          </cell>
        </row>
        <row r="71235">
          <cell r="O71235" t="str">
            <v/>
          </cell>
        </row>
        <row r="71236">
          <cell r="O71236" t="str">
            <v/>
          </cell>
        </row>
        <row r="71237">
          <cell r="O71237" t="str">
            <v/>
          </cell>
        </row>
        <row r="71238">
          <cell r="O71238" t="str">
            <v/>
          </cell>
        </row>
        <row r="71239">
          <cell r="O71239" t="str">
            <v/>
          </cell>
        </row>
        <row r="71240">
          <cell r="O71240" t="str">
            <v/>
          </cell>
        </row>
        <row r="71241">
          <cell r="O71241" t="str">
            <v/>
          </cell>
        </row>
        <row r="71242">
          <cell r="O71242" t="str">
            <v/>
          </cell>
        </row>
        <row r="71243">
          <cell r="O71243" t="str">
            <v/>
          </cell>
        </row>
        <row r="71244">
          <cell r="O71244" t="str">
            <v/>
          </cell>
        </row>
        <row r="71245">
          <cell r="O71245" t="str">
            <v/>
          </cell>
        </row>
        <row r="71246">
          <cell r="O71246" t="str">
            <v/>
          </cell>
        </row>
        <row r="71247">
          <cell r="O71247" t="str">
            <v/>
          </cell>
        </row>
        <row r="71248">
          <cell r="O71248" t="str">
            <v/>
          </cell>
        </row>
        <row r="71249">
          <cell r="O71249" t="str">
            <v/>
          </cell>
        </row>
        <row r="71250">
          <cell r="O71250" t="str">
            <v/>
          </cell>
        </row>
        <row r="71251">
          <cell r="O71251" t="str">
            <v/>
          </cell>
        </row>
        <row r="71252">
          <cell r="O71252" t="str">
            <v/>
          </cell>
        </row>
        <row r="71253">
          <cell r="O71253" t="str">
            <v/>
          </cell>
        </row>
        <row r="71254">
          <cell r="O71254" t="str">
            <v/>
          </cell>
        </row>
        <row r="71255">
          <cell r="O71255" t="str">
            <v/>
          </cell>
        </row>
        <row r="71256">
          <cell r="O71256" t="str">
            <v/>
          </cell>
        </row>
        <row r="71257">
          <cell r="O71257" t="str">
            <v/>
          </cell>
        </row>
        <row r="71258">
          <cell r="O71258" t="str">
            <v/>
          </cell>
        </row>
        <row r="71259">
          <cell r="O71259" t="str">
            <v/>
          </cell>
        </row>
        <row r="71260">
          <cell r="O71260" t="str">
            <v/>
          </cell>
        </row>
        <row r="71261">
          <cell r="O71261" t="str">
            <v/>
          </cell>
        </row>
        <row r="71262">
          <cell r="O71262" t="str">
            <v/>
          </cell>
        </row>
        <row r="71263">
          <cell r="O71263" t="str">
            <v/>
          </cell>
        </row>
        <row r="71264">
          <cell r="O71264" t="str">
            <v/>
          </cell>
        </row>
        <row r="71265">
          <cell r="O71265" t="str">
            <v/>
          </cell>
        </row>
        <row r="71266">
          <cell r="O71266" t="str">
            <v/>
          </cell>
        </row>
        <row r="71267">
          <cell r="O71267" t="str">
            <v/>
          </cell>
        </row>
        <row r="71268">
          <cell r="O71268" t="str">
            <v/>
          </cell>
        </row>
        <row r="71269">
          <cell r="O71269" t="str">
            <v/>
          </cell>
        </row>
        <row r="71270">
          <cell r="O71270" t="str">
            <v/>
          </cell>
        </row>
        <row r="71271">
          <cell r="O71271" t="str">
            <v/>
          </cell>
        </row>
        <row r="71272">
          <cell r="O71272" t="str">
            <v/>
          </cell>
        </row>
        <row r="71273">
          <cell r="O71273" t="str">
            <v/>
          </cell>
        </row>
        <row r="71274">
          <cell r="O71274" t="str">
            <v/>
          </cell>
        </row>
        <row r="71275">
          <cell r="O71275" t="str">
            <v/>
          </cell>
        </row>
        <row r="71276">
          <cell r="O71276" t="str">
            <v/>
          </cell>
        </row>
        <row r="71277">
          <cell r="O71277" t="str">
            <v/>
          </cell>
        </row>
        <row r="71278">
          <cell r="O71278" t="str">
            <v/>
          </cell>
        </row>
        <row r="71279">
          <cell r="O71279" t="str">
            <v/>
          </cell>
        </row>
        <row r="71280">
          <cell r="O71280" t="str">
            <v/>
          </cell>
        </row>
        <row r="71281">
          <cell r="O71281" t="str">
            <v/>
          </cell>
        </row>
        <row r="71282">
          <cell r="O71282" t="str">
            <v/>
          </cell>
        </row>
        <row r="71283">
          <cell r="O71283" t="str">
            <v/>
          </cell>
        </row>
        <row r="71284">
          <cell r="O71284" t="str">
            <v/>
          </cell>
        </row>
        <row r="71285">
          <cell r="O71285" t="str">
            <v/>
          </cell>
        </row>
        <row r="71286">
          <cell r="O71286" t="str">
            <v/>
          </cell>
        </row>
        <row r="71287">
          <cell r="O71287" t="str">
            <v/>
          </cell>
        </row>
        <row r="71288">
          <cell r="O71288" t="str">
            <v/>
          </cell>
        </row>
        <row r="71289">
          <cell r="O71289" t="str">
            <v/>
          </cell>
        </row>
        <row r="71290">
          <cell r="O71290" t="str">
            <v/>
          </cell>
        </row>
        <row r="71291">
          <cell r="O71291" t="str">
            <v/>
          </cell>
        </row>
        <row r="71292">
          <cell r="O71292" t="str">
            <v/>
          </cell>
        </row>
        <row r="71293">
          <cell r="O71293" t="str">
            <v/>
          </cell>
        </row>
        <row r="71294">
          <cell r="O71294" t="str">
            <v/>
          </cell>
        </row>
        <row r="71295">
          <cell r="O71295" t="str">
            <v/>
          </cell>
        </row>
        <row r="71296">
          <cell r="O71296" t="str">
            <v/>
          </cell>
        </row>
        <row r="71297">
          <cell r="O71297" t="str">
            <v/>
          </cell>
        </row>
        <row r="71298">
          <cell r="O71298" t="str">
            <v/>
          </cell>
        </row>
        <row r="71299">
          <cell r="O71299" t="str">
            <v/>
          </cell>
        </row>
        <row r="71300">
          <cell r="O71300" t="str">
            <v/>
          </cell>
        </row>
        <row r="71301">
          <cell r="O71301" t="str">
            <v/>
          </cell>
        </row>
        <row r="71302">
          <cell r="O71302" t="str">
            <v/>
          </cell>
        </row>
        <row r="71303">
          <cell r="O71303" t="str">
            <v/>
          </cell>
        </row>
        <row r="71304">
          <cell r="O71304" t="str">
            <v/>
          </cell>
        </row>
        <row r="71305">
          <cell r="O71305" t="str">
            <v/>
          </cell>
        </row>
        <row r="71306">
          <cell r="O71306" t="str">
            <v/>
          </cell>
        </row>
        <row r="71307">
          <cell r="O71307" t="str">
            <v/>
          </cell>
        </row>
        <row r="71308">
          <cell r="O71308" t="str">
            <v/>
          </cell>
        </row>
        <row r="71309">
          <cell r="O71309" t="str">
            <v/>
          </cell>
        </row>
        <row r="71310">
          <cell r="O71310" t="str">
            <v/>
          </cell>
        </row>
        <row r="71311">
          <cell r="O71311" t="str">
            <v/>
          </cell>
        </row>
        <row r="71312">
          <cell r="O71312" t="str">
            <v/>
          </cell>
        </row>
        <row r="71313">
          <cell r="O71313" t="str">
            <v/>
          </cell>
        </row>
        <row r="71314">
          <cell r="O71314" t="str">
            <v/>
          </cell>
        </row>
        <row r="71315">
          <cell r="O71315" t="str">
            <v/>
          </cell>
        </row>
        <row r="71316">
          <cell r="O71316" t="str">
            <v/>
          </cell>
        </row>
        <row r="71317">
          <cell r="O71317" t="str">
            <v/>
          </cell>
        </row>
        <row r="71318">
          <cell r="O71318" t="str">
            <v/>
          </cell>
        </row>
        <row r="71319">
          <cell r="O71319" t="str">
            <v/>
          </cell>
        </row>
        <row r="71320">
          <cell r="O71320" t="str">
            <v/>
          </cell>
        </row>
        <row r="71321">
          <cell r="O71321" t="str">
            <v/>
          </cell>
        </row>
        <row r="71322">
          <cell r="O71322" t="str">
            <v/>
          </cell>
        </row>
        <row r="71323">
          <cell r="O71323" t="str">
            <v/>
          </cell>
        </row>
        <row r="71324">
          <cell r="O71324" t="str">
            <v/>
          </cell>
        </row>
        <row r="71325">
          <cell r="O71325" t="str">
            <v/>
          </cell>
        </row>
        <row r="71326">
          <cell r="O71326" t="str">
            <v/>
          </cell>
        </row>
        <row r="71327">
          <cell r="O71327" t="str">
            <v/>
          </cell>
        </row>
        <row r="71328">
          <cell r="O71328" t="str">
            <v/>
          </cell>
        </row>
        <row r="71329">
          <cell r="O71329" t="str">
            <v/>
          </cell>
        </row>
        <row r="71330">
          <cell r="O71330" t="str">
            <v/>
          </cell>
        </row>
        <row r="71331">
          <cell r="O71331" t="str">
            <v/>
          </cell>
        </row>
        <row r="71332">
          <cell r="O71332" t="str">
            <v/>
          </cell>
        </row>
        <row r="71333">
          <cell r="O71333" t="str">
            <v/>
          </cell>
        </row>
        <row r="71334">
          <cell r="O71334" t="str">
            <v/>
          </cell>
        </row>
        <row r="71335">
          <cell r="O71335" t="str">
            <v/>
          </cell>
        </row>
        <row r="71336">
          <cell r="O71336" t="str">
            <v/>
          </cell>
        </row>
        <row r="71337">
          <cell r="O71337" t="str">
            <v/>
          </cell>
        </row>
        <row r="71338">
          <cell r="O71338" t="str">
            <v/>
          </cell>
        </row>
        <row r="71339">
          <cell r="O71339" t="str">
            <v/>
          </cell>
        </row>
        <row r="71340">
          <cell r="O71340" t="str">
            <v/>
          </cell>
        </row>
        <row r="71341">
          <cell r="O71341" t="str">
            <v/>
          </cell>
        </row>
        <row r="71342">
          <cell r="O71342" t="str">
            <v/>
          </cell>
        </row>
        <row r="71343">
          <cell r="O71343" t="str">
            <v/>
          </cell>
        </row>
        <row r="71344">
          <cell r="O71344" t="str">
            <v/>
          </cell>
        </row>
        <row r="71345">
          <cell r="O71345" t="str">
            <v/>
          </cell>
        </row>
        <row r="71346">
          <cell r="O71346" t="str">
            <v/>
          </cell>
        </row>
        <row r="71347">
          <cell r="O71347" t="str">
            <v/>
          </cell>
        </row>
        <row r="71348">
          <cell r="O71348" t="str">
            <v/>
          </cell>
        </row>
        <row r="71349">
          <cell r="O71349" t="str">
            <v/>
          </cell>
        </row>
        <row r="71350">
          <cell r="O71350" t="str">
            <v/>
          </cell>
        </row>
        <row r="71351">
          <cell r="O71351" t="str">
            <v/>
          </cell>
        </row>
        <row r="71352">
          <cell r="O71352" t="str">
            <v/>
          </cell>
        </row>
        <row r="71353">
          <cell r="O71353" t="str">
            <v/>
          </cell>
        </row>
        <row r="71354">
          <cell r="O71354" t="str">
            <v/>
          </cell>
        </row>
        <row r="71355">
          <cell r="O71355" t="str">
            <v/>
          </cell>
        </row>
        <row r="71356">
          <cell r="O71356" t="str">
            <v/>
          </cell>
        </row>
        <row r="71357">
          <cell r="O71357" t="str">
            <v/>
          </cell>
        </row>
        <row r="71358">
          <cell r="O71358" t="str">
            <v/>
          </cell>
        </row>
        <row r="71359">
          <cell r="O71359" t="str">
            <v/>
          </cell>
        </row>
        <row r="71360">
          <cell r="O71360" t="str">
            <v/>
          </cell>
        </row>
        <row r="71361">
          <cell r="O71361" t="str">
            <v/>
          </cell>
        </row>
        <row r="71362">
          <cell r="O71362" t="str">
            <v/>
          </cell>
        </row>
        <row r="71363">
          <cell r="O71363" t="str">
            <v/>
          </cell>
        </row>
        <row r="71364">
          <cell r="O71364" t="str">
            <v/>
          </cell>
        </row>
        <row r="71365">
          <cell r="O71365" t="str">
            <v/>
          </cell>
        </row>
        <row r="71366">
          <cell r="O71366" t="str">
            <v/>
          </cell>
        </row>
        <row r="71367">
          <cell r="O71367" t="str">
            <v/>
          </cell>
        </row>
        <row r="71368">
          <cell r="O71368" t="str">
            <v/>
          </cell>
        </row>
        <row r="71369">
          <cell r="O71369" t="str">
            <v/>
          </cell>
        </row>
        <row r="71370">
          <cell r="O71370" t="str">
            <v/>
          </cell>
        </row>
        <row r="71371">
          <cell r="O71371" t="str">
            <v/>
          </cell>
        </row>
        <row r="71372">
          <cell r="O71372" t="str">
            <v/>
          </cell>
        </row>
        <row r="71373">
          <cell r="O71373" t="str">
            <v/>
          </cell>
        </row>
        <row r="71374">
          <cell r="O71374" t="str">
            <v/>
          </cell>
        </row>
        <row r="71375">
          <cell r="O71375" t="str">
            <v/>
          </cell>
        </row>
        <row r="71376">
          <cell r="O71376" t="str">
            <v/>
          </cell>
        </row>
        <row r="71377">
          <cell r="O71377" t="str">
            <v/>
          </cell>
        </row>
        <row r="71378">
          <cell r="O71378" t="str">
            <v/>
          </cell>
        </row>
        <row r="71379">
          <cell r="O71379" t="str">
            <v/>
          </cell>
        </row>
        <row r="71380">
          <cell r="O71380" t="str">
            <v/>
          </cell>
        </row>
        <row r="71381">
          <cell r="O71381" t="str">
            <v/>
          </cell>
        </row>
        <row r="71382">
          <cell r="O71382" t="str">
            <v/>
          </cell>
        </row>
        <row r="71383">
          <cell r="O71383" t="str">
            <v/>
          </cell>
        </row>
        <row r="71384">
          <cell r="O71384" t="str">
            <v/>
          </cell>
        </row>
        <row r="71385">
          <cell r="O71385" t="str">
            <v/>
          </cell>
        </row>
        <row r="71386">
          <cell r="O71386" t="str">
            <v/>
          </cell>
        </row>
        <row r="71387">
          <cell r="O71387" t="str">
            <v/>
          </cell>
        </row>
        <row r="71388">
          <cell r="O71388" t="str">
            <v/>
          </cell>
        </row>
        <row r="71389">
          <cell r="O71389" t="str">
            <v/>
          </cell>
        </row>
        <row r="71390">
          <cell r="O71390" t="str">
            <v/>
          </cell>
        </row>
        <row r="71391">
          <cell r="O71391" t="str">
            <v/>
          </cell>
        </row>
        <row r="71392">
          <cell r="O71392" t="str">
            <v/>
          </cell>
        </row>
        <row r="71393">
          <cell r="O71393" t="str">
            <v/>
          </cell>
        </row>
        <row r="71394">
          <cell r="O71394" t="str">
            <v/>
          </cell>
        </row>
        <row r="71395">
          <cell r="O71395" t="str">
            <v/>
          </cell>
        </row>
        <row r="71396">
          <cell r="O71396" t="str">
            <v/>
          </cell>
        </row>
        <row r="71397">
          <cell r="O71397" t="str">
            <v/>
          </cell>
        </row>
        <row r="71398">
          <cell r="O71398" t="str">
            <v/>
          </cell>
        </row>
        <row r="71399">
          <cell r="O71399" t="str">
            <v/>
          </cell>
        </row>
        <row r="71400">
          <cell r="O71400" t="str">
            <v/>
          </cell>
        </row>
        <row r="71401">
          <cell r="O71401" t="str">
            <v/>
          </cell>
        </row>
        <row r="71402">
          <cell r="O71402" t="str">
            <v/>
          </cell>
        </row>
        <row r="71403">
          <cell r="O71403" t="str">
            <v/>
          </cell>
        </row>
        <row r="71404">
          <cell r="O71404" t="str">
            <v/>
          </cell>
        </row>
        <row r="71405">
          <cell r="O71405" t="str">
            <v/>
          </cell>
        </row>
        <row r="71406">
          <cell r="O71406" t="str">
            <v/>
          </cell>
        </row>
        <row r="71407">
          <cell r="O71407" t="str">
            <v/>
          </cell>
        </row>
        <row r="71408">
          <cell r="O71408" t="str">
            <v/>
          </cell>
        </row>
        <row r="71409">
          <cell r="O71409" t="str">
            <v/>
          </cell>
        </row>
        <row r="71410">
          <cell r="O71410" t="str">
            <v/>
          </cell>
        </row>
        <row r="71411">
          <cell r="O71411" t="str">
            <v/>
          </cell>
        </row>
        <row r="71412">
          <cell r="O71412" t="str">
            <v/>
          </cell>
        </row>
        <row r="71413">
          <cell r="O71413" t="str">
            <v/>
          </cell>
        </row>
        <row r="71414">
          <cell r="O71414" t="str">
            <v/>
          </cell>
        </row>
        <row r="71415">
          <cell r="O71415" t="str">
            <v/>
          </cell>
        </row>
        <row r="71416">
          <cell r="O71416" t="str">
            <v/>
          </cell>
        </row>
        <row r="71417">
          <cell r="O71417" t="str">
            <v/>
          </cell>
        </row>
        <row r="71418">
          <cell r="O71418" t="str">
            <v/>
          </cell>
        </row>
        <row r="71419">
          <cell r="O71419" t="str">
            <v/>
          </cell>
        </row>
        <row r="71420">
          <cell r="O71420" t="str">
            <v/>
          </cell>
        </row>
        <row r="71421">
          <cell r="O71421" t="str">
            <v/>
          </cell>
        </row>
        <row r="71422">
          <cell r="O71422" t="str">
            <v/>
          </cell>
        </row>
        <row r="71423">
          <cell r="O71423" t="str">
            <v/>
          </cell>
        </row>
        <row r="71424">
          <cell r="O71424" t="str">
            <v/>
          </cell>
        </row>
        <row r="71425">
          <cell r="O71425" t="str">
            <v/>
          </cell>
        </row>
        <row r="71426">
          <cell r="O71426" t="str">
            <v/>
          </cell>
        </row>
        <row r="71427">
          <cell r="O71427" t="str">
            <v/>
          </cell>
        </row>
        <row r="71428">
          <cell r="O71428" t="str">
            <v/>
          </cell>
        </row>
        <row r="71429">
          <cell r="O71429" t="str">
            <v/>
          </cell>
        </row>
        <row r="71430">
          <cell r="O71430" t="str">
            <v/>
          </cell>
        </row>
        <row r="71431">
          <cell r="O71431" t="str">
            <v/>
          </cell>
        </row>
        <row r="71432">
          <cell r="O71432" t="str">
            <v/>
          </cell>
        </row>
        <row r="71433">
          <cell r="O71433" t="str">
            <v/>
          </cell>
        </row>
        <row r="71434">
          <cell r="O71434" t="str">
            <v/>
          </cell>
        </row>
        <row r="71435">
          <cell r="O71435" t="str">
            <v/>
          </cell>
        </row>
        <row r="71436">
          <cell r="O71436" t="str">
            <v/>
          </cell>
        </row>
        <row r="71437">
          <cell r="O71437" t="str">
            <v/>
          </cell>
        </row>
        <row r="71438">
          <cell r="O71438" t="str">
            <v/>
          </cell>
        </row>
        <row r="71439">
          <cell r="O71439" t="str">
            <v/>
          </cell>
        </row>
        <row r="71440">
          <cell r="O71440" t="str">
            <v/>
          </cell>
        </row>
        <row r="71441">
          <cell r="O71441" t="str">
            <v/>
          </cell>
        </row>
        <row r="71442">
          <cell r="O71442" t="str">
            <v/>
          </cell>
        </row>
        <row r="71443">
          <cell r="O71443" t="str">
            <v/>
          </cell>
        </row>
        <row r="71444">
          <cell r="O71444" t="str">
            <v/>
          </cell>
        </row>
        <row r="71445">
          <cell r="O71445" t="str">
            <v/>
          </cell>
        </row>
        <row r="71446">
          <cell r="O71446" t="str">
            <v/>
          </cell>
        </row>
        <row r="71447">
          <cell r="O71447" t="str">
            <v/>
          </cell>
        </row>
        <row r="71448">
          <cell r="O71448" t="str">
            <v/>
          </cell>
        </row>
        <row r="71449">
          <cell r="O71449" t="str">
            <v/>
          </cell>
        </row>
        <row r="71450">
          <cell r="O71450" t="str">
            <v/>
          </cell>
        </row>
        <row r="71451">
          <cell r="O71451" t="str">
            <v/>
          </cell>
        </row>
        <row r="71452">
          <cell r="O71452" t="str">
            <v/>
          </cell>
        </row>
        <row r="71453">
          <cell r="O71453" t="str">
            <v/>
          </cell>
        </row>
        <row r="71454">
          <cell r="O71454" t="str">
            <v/>
          </cell>
        </row>
        <row r="71455">
          <cell r="O71455" t="str">
            <v/>
          </cell>
        </row>
        <row r="71456">
          <cell r="O71456" t="str">
            <v/>
          </cell>
        </row>
        <row r="71457">
          <cell r="O71457" t="str">
            <v/>
          </cell>
        </row>
        <row r="71458">
          <cell r="O71458" t="str">
            <v/>
          </cell>
        </row>
        <row r="71459">
          <cell r="O71459" t="str">
            <v/>
          </cell>
        </row>
        <row r="71460">
          <cell r="O71460" t="str">
            <v/>
          </cell>
        </row>
        <row r="71461">
          <cell r="O71461" t="str">
            <v/>
          </cell>
        </row>
        <row r="71462">
          <cell r="O71462" t="str">
            <v/>
          </cell>
        </row>
        <row r="71463">
          <cell r="O71463" t="str">
            <v/>
          </cell>
        </row>
        <row r="71464">
          <cell r="O71464" t="str">
            <v/>
          </cell>
        </row>
        <row r="71465">
          <cell r="O71465" t="str">
            <v/>
          </cell>
        </row>
        <row r="71466">
          <cell r="O71466" t="str">
            <v/>
          </cell>
        </row>
        <row r="71467">
          <cell r="O71467" t="str">
            <v/>
          </cell>
        </row>
        <row r="71468">
          <cell r="O71468" t="str">
            <v/>
          </cell>
        </row>
        <row r="71469">
          <cell r="O71469" t="str">
            <v/>
          </cell>
        </row>
        <row r="71470">
          <cell r="O71470" t="str">
            <v/>
          </cell>
        </row>
        <row r="71471">
          <cell r="O71471" t="str">
            <v/>
          </cell>
        </row>
        <row r="71472">
          <cell r="O71472" t="str">
            <v/>
          </cell>
        </row>
        <row r="71473">
          <cell r="O71473" t="str">
            <v/>
          </cell>
        </row>
        <row r="71474">
          <cell r="O71474" t="str">
            <v/>
          </cell>
        </row>
        <row r="71475">
          <cell r="O71475" t="str">
            <v/>
          </cell>
        </row>
        <row r="71476">
          <cell r="O71476" t="str">
            <v/>
          </cell>
        </row>
        <row r="71477">
          <cell r="O71477" t="str">
            <v/>
          </cell>
        </row>
        <row r="71478">
          <cell r="O71478" t="str">
            <v/>
          </cell>
        </row>
        <row r="71479">
          <cell r="O71479" t="str">
            <v/>
          </cell>
        </row>
        <row r="71480">
          <cell r="O71480" t="str">
            <v/>
          </cell>
        </row>
        <row r="71481">
          <cell r="O71481" t="str">
            <v/>
          </cell>
        </row>
        <row r="71482">
          <cell r="O71482" t="str">
            <v/>
          </cell>
        </row>
        <row r="71483">
          <cell r="O71483" t="str">
            <v/>
          </cell>
        </row>
        <row r="71484">
          <cell r="O71484" t="str">
            <v/>
          </cell>
        </row>
        <row r="71485">
          <cell r="O71485" t="str">
            <v/>
          </cell>
        </row>
        <row r="71486">
          <cell r="O71486" t="str">
            <v/>
          </cell>
        </row>
        <row r="71487">
          <cell r="O71487" t="str">
            <v/>
          </cell>
        </row>
        <row r="71488">
          <cell r="O71488" t="str">
            <v/>
          </cell>
        </row>
        <row r="71489">
          <cell r="O71489" t="str">
            <v/>
          </cell>
        </row>
        <row r="71490">
          <cell r="O71490" t="str">
            <v/>
          </cell>
        </row>
        <row r="71491">
          <cell r="O71491" t="str">
            <v/>
          </cell>
        </row>
        <row r="71492">
          <cell r="O71492" t="str">
            <v/>
          </cell>
        </row>
        <row r="71493">
          <cell r="O71493" t="str">
            <v/>
          </cell>
        </row>
        <row r="71494">
          <cell r="O71494" t="str">
            <v/>
          </cell>
        </row>
        <row r="71495">
          <cell r="O71495" t="str">
            <v/>
          </cell>
        </row>
        <row r="71496">
          <cell r="O71496" t="str">
            <v/>
          </cell>
        </row>
        <row r="71497">
          <cell r="O71497" t="str">
            <v/>
          </cell>
        </row>
        <row r="71498">
          <cell r="O71498" t="str">
            <v/>
          </cell>
        </row>
        <row r="71499">
          <cell r="O71499" t="str">
            <v/>
          </cell>
        </row>
        <row r="71500">
          <cell r="O71500" t="str">
            <v/>
          </cell>
        </row>
        <row r="71501">
          <cell r="O71501" t="str">
            <v/>
          </cell>
        </row>
        <row r="71502">
          <cell r="O71502" t="str">
            <v/>
          </cell>
        </row>
        <row r="71503">
          <cell r="O71503" t="str">
            <v/>
          </cell>
        </row>
        <row r="71504">
          <cell r="O71504" t="str">
            <v/>
          </cell>
        </row>
        <row r="71505">
          <cell r="O71505" t="str">
            <v/>
          </cell>
        </row>
        <row r="71506">
          <cell r="O71506" t="str">
            <v/>
          </cell>
        </row>
        <row r="71507">
          <cell r="O71507" t="str">
            <v/>
          </cell>
        </row>
        <row r="71508">
          <cell r="O71508" t="str">
            <v/>
          </cell>
        </row>
        <row r="71509">
          <cell r="O71509" t="str">
            <v/>
          </cell>
        </row>
        <row r="71510">
          <cell r="O71510" t="str">
            <v/>
          </cell>
        </row>
        <row r="71511">
          <cell r="O71511" t="str">
            <v/>
          </cell>
        </row>
        <row r="71512">
          <cell r="O71512" t="str">
            <v/>
          </cell>
        </row>
        <row r="71513">
          <cell r="O71513" t="str">
            <v/>
          </cell>
        </row>
        <row r="71514">
          <cell r="O71514" t="str">
            <v/>
          </cell>
        </row>
        <row r="71515">
          <cell r="O71515" t="str">
            <v/>
          </cell>
        </row>
        <row r="71516">
          <cell r="O71516" t="str">
            <v/>
          </cell>
        </row>
        <row r="71517">
          <cell r="O71517" t="str">
            <v/>
          </cell>
        </row>
        <row r="71518">
          <cell r="O71518" t="str">
            <v/>
          </cell>
        </row>
        <row r="71519">
          <cell r="O71519" t="str">
            <v/>
          </cell>
        </row>
        <row r="71520">
          <cell r="O71520" t="str">
            <v/>
          </cell>
        </row>
        <row r="71521">
          <cell r="O71521" t="str">
            <v/>
          </cell>
        </row>
        <row r="71522">
          <cell r="O71522" t="str">
            <v/>
          </cell>
        </row>
        <row r="71523">
          <cell r="O71523" t="str">
            <v/>
          </cell>
        </row>
        <row r="71524">
          <cell r="O71524" t="str">
            <v/>
          </cell>
        </row>
        <row r="71525">
          <cell r="O71525" t="str">
            <v/>
          </cell>
        </row>
        <row r="71526">
          <cell r="O71526" t="str">
            <v/>
          </cell>
        </row>
        <row r="71527">
          <cell r="O71527" t="str">
            <v/>
          </cell>
        </row>
        <row r="71528">
          <cell r="O71528" t="str">
            <v/>
          </cell>
        </row>
        <row r="71529">
          <cell r="O71529" t="str">
            <v/>
          </cell>
        </row>
        <row r="71530">
          <cell r="O71530" t="str">
            <v/>
          </cell>
        </row>
        <row r="71531">
          <cell r="O71531" t="str">
            <v/>
          </cell>
        </row>
        <row r="71532">
          <cell r="O71532" t="str">
            <v/>
          </cell>
        </row>
        <row r="71533">
          <cell r="O71533" t="str">
            <v/>
          </cell>
        </row>
        <row r="71534">
          <cell r="O71534" t="str">
            <v/>
          </cell>
        </row>
        <row r="71535">
          <cell r="O71535" t="str">
            <v/>
          </cell>
        </row>
        <row r="71536">
          <cell r="O71536" t="str">
            <v/>
          </cell>
        </row>
        <row r="71537">
          <cell r="O71537" t="str">
            <v/>
          </cell>
        </row>
        <row r="71538">
          <cell r="O71538" t="str">
            <v/>
          </cell>
        </row>
        <row r="71539">
          <cell r="O71539" t="str">
            <v/>
          </cell>
        </row>
        <row r="71540">
          <cell r="O71540" t="str">
            <v/>
          </cell>
        </row>
        <row r="71541">
          <cell r="O71541" t="str">
            <v/>
          </cell>
        </row>
        <row r="71542">
          <cell r="O71542" t="str">
            <v/>
          </cell>
        </row>
        <row r="71543">
          <cell r="O71543" t="str">
            <v/>
          </cell>
        </row>
        <row r="71544">
          <cell r="O71544" t="str">
            <v/>
          </cell>
        </row>
        <row r="71545">
          <cell r="O71545" t="str">
            <v/>
          </cell>
        </row>
        <row r="71546">
          <cell r="O71546" t="str">
            <v/>
          </cell>
        </row>
        <row r="71547">
          <cell r="O71547" t="str">
            <v/>
          </cell>
        </row>
        <row r="71548">
          <cell r="O71548" t="str">
            <v/>
          </cell>
        </row>
        <row r="71549">
          <cell r="O71549" t="str">
            <v/>
          </cell>
        </row>
        <row r="71550">
          <cell r="O71550" t="str">
            <v/>
          </cell>
        </row>
        <row r="71551">
          <cell r="O71551" t="str">
            <v/>
          </cell>
        </row>
        <row r="71552">
          <cell r="O71552" t="str">
            <v/>
          </cell>
        </row>
        <row r="71553">
          <cell r="O71553" t="str">
            <v/>
          </cell>
        </row>
        <row r="71554">
          <cell r="O71554" t="str">
            <v/>
          </cell>
        </row>
        <row r="71555">
          <cell r="O71555" t="str">
            <v/>
          </cell>
        </row>
        <row r="71556">
          <cell r="O71556" t="str">
            <v/>
          </cell>
        </row>
        <row r="71557">
          <cell r="O71557" t="str">
            <v/>
          </cell>
        </row>
        <row r="71558">
          <cell r="O71558" t="str">
            <v/>
          </cell>
        </row>
        <row r="71559">
          <cell r="O71559" t="str">
            <v/>
          </cell>
        </row>
        <row r="71560">
          <cell r="O71560" t="str">
            <v/>
          </cell>
        </row>
        <row r="71561">
          <cell r="O71561" t="str">
            <v/>
          </cell>
        </row>
        <row r="71562">
          <cell r="O71562" t="str">
            <v/>
          </cell>
        </row>
        <row r="71563">
          <cell r="O71563" t="str">
            <v/>
          </cell>
        </row>
        <row r="71564">
          <cell r="O71564" t="str">
            <v/>
          </cell>
        </row>
        <row r="71565">
          <cell r="O71565" t="str">
            <v/>
          </cell>
        </row>
        <row r="71566">
          <cell r="O71566" t="str">
            <v/>
          </cell>
        </row>
        <row r="71567">
          <cell r="O71567" t="str">
            <v/>
          </cell>
        </row>
        <row r="71568">
          <cell r="O71568" t="str">
            <v/>
          </cell>
        </row>
        <row r="71569">
          <cell r="O71569" t="str">
            <v/>
          </cell>
        </row>
        <row r="71570">
          <cell r="O71570" t="str">
            <v/>
          </cell>
        </row>
        <row r="71571">
          <cell r="O71571" t="str">
            <v/>
          </cell>
        </row>
        <row r="71572">
          <cell r="O71572" t="str">
            <v/>
          </cell>
        </row>
        <row r="71573">
          <cell r="O71573" t="str">
            <v/>
          </cell>
        </row>
        <row r="71574">
          <cell r="O71574" t="str">
            <v/>
          </cell>
        </row>
        <row r="71575">
          <cell r="O71575" t="str">
            <v/>
          </cell>
        </row>
        <row r="71576">
          <cell r="O71576" t="str">
            <v/>
          </cell>
        </row>
        <row r="71577">
          <cell r="O71577" t="str">
            <v/>
          </cell>
        </row>
        <row r="71578">
          <cell r="O71578" t="str">
            <v/>
          </cell>
        </row>
        <row r="71579">
          <cell r="O71579" t="str">
            <v/>
          </cell>
        </row>
        <row r="71580">
          <cell r="O71580" t="str">
            <v/>
          </cell>
        </row>
        <row r="71581">
          <cell r="O71581" t="str">
            <v/>
          </cell>
        </row>
        <row r="71582">
          <cell r="O71582" t="str">
            <v/>
          </cell>
        </row>
        <row r="71583">
          <cell r="O71583" t="str">
            <v/>
          </cell>
        </row>
        <row r="71584">
          <cell r="O71584" t="str">
            <v/>
          </cell>
        </row>
        <row r="71585">
          <cell r="O71585" t="str">
            <v/>
          </cell>
        </row>
        <row r="71586">
          <cell r="O71586" t="str">
            <v/>
          </cell>
        </row>
        <row r="71587">
          <cell r="O71587" t="str">
            <v/>
          </cell>
        </row>
        <row r="71588">
          <cell r="O71588" t="str">
            <v/>
          </cell>
        </row>
        <row r="71589">
          <cell r="O71589" t="str">
            <v/>
          </cell>
        </row>
        <row r="71590">
          <cell r="O71590" t="str">
            <v/>
          </cell>
        </row>
        <row r="71591">
          <cell r="O71591" t="str">
            <v/>
          </cell>
        </row>
        <row r="71592">
          <cell r="O71592" t="str">
            <v/>
          </cell>
        </row>
        <row r="71593">
          <cell r="O71593" t="str">
            <v/>
          </cell>
        </row>
        <row r="71594">
          <cell r="O71594" t="str">
            <v/>
          </cell>
        </row>
        <row r="71595">
          <cell r="O71595" t="str">
            <v/>
          </cell>
        </row>
        <row r="71596">
          <cell r="O71596" t="str">
            <v/>
          </cell>
        </row>
        <row r="71597">
          <cell r="O71597" t="str">
            <v/>
          </cell>
        </row>
        <row r="71598">
          <cell r="O71598" t="str">
            <v/>
          </cell>
        </row>
        <row r="71599">
          <cell r="O71599" t="str">
            <v/>
          </cell>
        </row>
        <row r="71600">
          <cell r="O71600" t="str">
            <v/>
          </cell>
        </row>
        <row r="71601">
          <cell r="O71601" t="str">
            <v/>
          </cell>
        </row>
        <row r="71602">
          <cell r="O71602" t="str">
            <v/>
          </cell>
        </row>
        <row r="71603">
          <cell r="O71603" t="str">
            <v/>
          </cell>
        </row>
        <row r="71604">
          <cell r="O71604" t="str">
            <v/>
          </cell>
        </row>
        <row r="71605">
          <cell r="O71605" t="str">
            <v/>
          </cell>
        </row>
        <row r="71606">
          <cell r="O71606" t="str">
            <v/>
          </cell>
        </row>
        <row r="71607">
          <cell r="O71607" t="str">
            <v/>
          </cell>
        </row>
        <row r="71608">
          <cell r="O71608" t="str">
            <v/>
          </cell>
        </row>
        <row r="71609">
          <cell r="O71609" t="str">
            <v/>
          </cell>
        </row>
        <row r="71610">
          <cell r="O71610" t="str">
            <v/>
          </cell>
        </row>
        <row r="71611">
          <cell r="O71611" t="str">
            <v/>
          </cell>
        </row>
        <row r="71612">
          <cell r="O71612" t="str">
            <v/>
          </cell>
        </row>
        <row r="71613">
          <cell r="O71613" t="str">
            <v/>
          </cell>
        </row>
        <row r="71614">
          <cell r="O71614" t="str">
            <v/>
          </cell>
        </row>
        <row r="71615">
          <cell r="O71615" t="str">
            <v/>
          </cell>
        </row>
        <row r="71616">
          <cell r="O71616" t="str">
            <v/>
          </cell>
        </row>
        <row r="71617">
          <cell r="O71617" t="str">
            <v/>
          </cell>
        </row>
        <row r="71618">
          <cell r="O71618" t="str">
            <v/>
          </cell>
        </row>
        <row r="71619">
          <cell r="O71619" t="str">
            <v/>
          </cell>
        </row>
        <row r="71620">
          <cell r="O71620" t="str">
            <v/>
          </cell>
        </row>
        <row r="71621">
          <cell r="O71621" t="str">
            <v/>
          </cell>
        </row>
        <row r="71622">
          <cell r="O71622" t="str">
            <v/>
          </cell>
        </row>
        <row r="71623">
          <cell r="O71623" t="str">
            <v/>
          </cell>
        </row>
        <row r="71624">
          <cell r="O71624" t="str">
            <v/>
          </cell>
        </row>
        <row r="71625">
          <cell r="O71625" t="str">
            <v/>
          </cell>
        </row>
        <row r="71626">
          <cell r="O71626" t="str">
            <v/>
          </cell>
        </row>
        <row r="71627">
          <cell r="O71627" t="str">
            <v/>
          </cell>
        </row>
        <row r="71628">
          <cell r="O71628" t="str">
            <v/>
          </cell>
        </row>
        <row r="71629">
          <cell r="O71629" t="str">
            <v/>
          </cell>
        </row>
        <row r="71630">
          <cell r="O71630" t="str">
            <v/>
          </cell>
        </row>
        <row r="71631">
          <cell r="O71631" t="str">
            <v/>
          </cell>
        </row>
        <row r="71632">
          <cell r="O71632" t="str">
            <v/>
          </cell>
        </row>
        <row r="71633">
          <cell r="O71633" t="str">
            <v/>
          </cell>
        </row>
        <row r="71634">
          <cell r="O71634" t="str">
            <v/>
          </cell>
        </row>
        <row r="71635">
          <cell r="O71635" t="str">
            <v/>
          </cell>
        </row>
        <row r="71636">
          <cell r="O71636" t="str">
            <v/>
          </cell>
        </row>
        <row r="71637">
          <cell r="O71637" t="str">
            <v/>
          </cell>
        </row>
        <row r="71638">
          <cell r="O71638" t="str">
            <v/>
          </cell>
        </row>
        <row r="71639">
          <cell r="O71639" t="str">
            <v/>
          </cell>
        </row>
        <row r="71640">
          <cell r="O71640" t="str">
            <v/>
          </cell>
        </row>
        <row r="71641">
          <cell r="O71641" t="str">
            <v/>
          </cell>
        </row>
        <row r="71642">
          <cell r="O71642" t="str">
            <v/>
          </cell>
        </row>
        <row r="71643">
          <cell r="O71643" t="str">
            <v/>
          </cell>
        </row>
        <row r="71644">
          <cell r="O71644" t="str">
            <v/>
          </cell>
        </row>
        <row r="71645">
          <cell r="O71645" t="str">
            <v/>
          </cell>
        </row>
        <row r="71646">
          <cell r="O71646" t="str">
            <v/>
          </cell>
        </row>
        <row r="71647">
          <cell r="O71647" t="str">
            <v/>
          </cell>
        </row>
        <row r="71648">
          <cell r="O71648" t="str">
            <v/>
          </cell>
        </row>
        <row r="71649">
          <cell r="O71649" t="str">
            <v/>
          </cell>
        </row>
        <row r="71650">
          <cell r="O71650" t="str">
            <v/>
          </cell>
        </row>
        <row r="71651">
          <cell r="O71651" t="str">
            <v/>
          </cell>
        </row>
        <row r="71652">
          <cell r="O71652" t="str">
            <v/>
          </cell>
        </row>
        <row r="71653">
          <cell r="O71653" t="str">
            <v/>
          </cell>
        </row>
        <row r="71654">
          <cell r="O71654" t="str">
            <v/>
          </cell>
        </row>
        <row r="71655">
          <cell r="O71655" t="str">
            <v/>
          </cell>
        </row>
        <row r="71656">
          <cell r="O71656" t="str">
            <v/>
          </cell>
        </row>
        <row r="71657">
          <cell r="O71657" t="str">
            <v/>
          </cell>
        </row>
        <row r="71658">
          <cell r="O71658" t="str">
            <v/>
          </cell>
        </row>
        <row r="71659">
          <cell r="O71659" t="str">
            <v/>
          </cell>
        </row>
        <row r="71660">
          <cell r="O71660" t="str">
            <v/>
          </cell>
        </row>
        <row r="71661">
          <cell r="O71661" t="str">
            <v/>
          </cell>
        </row>
        <row r="71662">
          <cell r="O71662" t="str">
            <v/>
          </cell>
        </row>
        <row r="71663">
          <cell r="O71663" t="str">
            <v/>
          </cell>
        </row>
        <row r="71664">
          <cell r="O71664" t="str">
            <v/>
          </cell>
        </row>
        <row r="71665">
          <cell r="O71665" t="str">
            <v/>
          </cell>
        </row>
        <row r="71666">
          <cell r="O71666" t="str">
            <v/>
          </cell>
        </row>
        <row r="71667">
          <cell r="O71667" t="str">
            <v/>
          </cell>
        </row>
        <row r="71668">
          <cell r="O71668" t="str">
            <v/>
          </cell>
        </row>
        <row r="71669">
          <cell r="O71669" t="str">
            <v/>
          </cell>
        </row>
        <row r="71670">
          <cell r="O71670" t="str">
            <v/>
          </cell>
        </row>
        <row r="71671">
          <cell r="O71671" t="str">
            <v/>
          </cell>
        </row>
        <row r="71672">
          <cell r="O71672" t="str">
            <v/>
          </cell>
        </row>
        <row r="71673">
          <cell r="O71673" t="str">
            <v/>
          </cell>
        </row>
        <row r="71674">
          <cell r="O71674" t="str">
            <v/>
          </cell>
        </row>
        <row r="71675">
          <cell r="O71675" t="str">
            <v/>
          </cell>
        </row>
        <row r="71676">
          <cell r="O71676" t="str">
            <v/>
          </cell>
        </row>
        <row r="71677">
          <cell r="O71677" t="str">
            <v/>
          </cell>
        </row>
        <row r="71678">
          <cell r="O71678" t="str">
            <v/>
          </cell>
        </row>
        <row r="71679">
          <cell r="O71679" t="str">
            <v/>
          </cell>
        </row>
        <row r="71680">
          <cell r="O71680" t="str">
            <v/>
          </cell>
        </row>
        <row r="71681">
          <cell r="O71681" t="str">
            <v/>
          </cell>
        </row>
        <row r="71682">
          <cell r="O71682" t="str">
            <v/>
          </cell>
        </row>
        <row r="71683">
          <cell r="O71683" t="str">
            <v/>
          </cell>
        </row>
        <row r="71684">
          <cell r="O71684" t="str">
            <v/>
          </cell>
        </row>
        <row r="71685">
          <cell r="O71685" t="str">
            <v/>
          </cell>
        </row>
        <row r="71686">
          <cell r="O71686" t="str">
            <v/>
          </cell>
        </row>
        <row r="71687">
          <cell r="O71687" t="str">
            <v/>
          </cell>
        </row>
        <row r="71688">
          <cell r="O71688" t="str">
            <v/>
          </cell>
        </row>
        <row r="71689">
          <cell r="O71689" t="str">
            <v/>
          </cell>
        </row>
        <row r="71690">
          <cell r="O71690" t="str">
            <v/>
          </cell>
        </row>
        <row r="71691">
          <cell r="O71691" t="str">
            <v/>
          </cell>
        </row>
        <row r="71692">
          <cell r="O71692" t="str">
            <v/>
          </cell>
        </row>
        <row r="71693">
          <cell r="O71693" t="str">
            <v/>
          </cell>
        </row>
        <row r="71694">
          <cell r="O71694" t="str">
            <v/>
          </cell>
        </row>
        <row r="71695">
          <cell r="O71695" t="str">
            <v/>
          </cell>
        </row>
        <row r="71696">
          <cell r="O71696" t="str">
            <v/>
          </cell>
        </row>
        <row r="71697">
          <cell r="O71697" t="str">
            <v/>
          </cell>
        </row>
        <row r="71698">
          <cell r="O71698" t="str">
            <v/>
          </cell>
        </row>
        <row r="71699">
          <cell r="O71699" t="str">
            <v/>
          </cell>
        </row>
        <row r="71700">
          <cell r="O71700" t="str">
            <v/>
          </cell>
        </row>
        <row r="71701">
          <cell r="O71701" t="str">
            <v/>
          </cell>
        </row>
        <row r="71702">
          <cell r="O71702" t="str">
            <v/>
          </cell>
        </row>
        <row r="71703">
          <cell r="O71703" t="str">
            <v/>
          </cell>
        </row>
        <row r="71704">
          <cell r="O71704" t="str">
            <v/>
          </cell>
        </row>
        <row r="71705">
          <cell r="O71705" t="str">
            <v/>
          </cell>
        </row>
        <row r="71706">
          <cell r="O71706" t="str">
            <v/>
          </cell>
        </row>
        <row r="71707">
          <cell r="O71707" t="str">
            <v/>
          </cell>
        </row>
        <row r="71708">
          <cell r="O71708" t="str">
            <v/>
          </cell>
        </row>
        <row r="71709">
          <cell r="O71709" t="str">
            <v/>
          </cell>
        </row>
        <row r="71710">
          <cell r="O71710" t="str">
            <v/>
          </cell>
        </row>
        <row r="71711">
          <cell r="O71711" t="str">
            <v/>
          </cell>
        </row>
        <row r="71712">
          <cell r="O71712" t="str">
            <v/>
          </cell>
        </row>
        <row r="71713">
          <cell r="O71713" t="str">
            <v/>
          </cell>
        </row>
        <row r="71714">
          <cell r="O71714" t="str">
            <v/>
          </cell>
        </row>
        <row r="71715">
          <cell r="O71715" t="str">
            <v/>
          </cell>
        </row>
        <row r="71716">
          <cell r="O71716" t="str">
            <v/>
          </cell>
        </row>
        <row r="71717">
          <cell r="O71717" t="str">
            <v/>
          </cell>
        </row>
        <row r="71718">
          <cell r="O71718" t="str">
            <v/>
          </cell>
        </row>
        <row r="71719">
          <cell r="O71719" t="str">
            <v/>
          </cell>
        </row>
        <row r="71720">
          <cell r="O71720" t="str">
            <v/>
          </cell>
        </row>
        <row r="71721">
          <cell r="O71721" t="str">
            <v/>
          </cell>
        </row>
        <row r="71722">
          <cell r="O71722" t="str">
            <v/>
          </cell>
        </row>
        <row r="71723">
          <cell r="O71723" t="str">
            <v/>
          </cell>
        </row>
        <row r="71724">
          <cell r="O71724" t="str">
            <v/>
          </cell>
        </row>
        <row r="71725">
          <cell r="O71725" t="str">
            <v/>
          </cell>
        </row>
        <row r="71726">
          <cell r="O71726" t="str">
            <v/>
          </cell>
        </row>
        <row r="71727">
          <cell r="O71727" t="str">
            <v/>
          </cell>
        </row>
        <row r="71728">
          <cell r="O71728" t="str">
            <v/>
          </cell>
        </row>
        <row r="71729">
          <cell r="O71729" t="str">
            <v/>
          </cell>
        </row>
        <row r="71730">
          <cell r="O71730" t="str">
            <v/>
          </cell>
        </row>
        <row r="71731">
          <cell r="O71731" t="str">
            <v/>
          </cell>
        </row>
        <row r="71732">
          <cell r="O71732" t="str">
            <v/>
          </cell>
        </row>
        <row r="71733">
          <cell r="O71733" t="str">
            <v/>
          </cell>
        </row>
        <row r="71734">
          <cell r="O71734" t="str">
            <v/>
          </cell>
        </row>
        <row r="71735">
          <cell r="O71735" t="str">
            <v/>
          </cell>
        </row>
        <row r="71736">
          <cell r="O71736" t="str">
            <v/>
          </cell>
        </row>
        <row r="71737">
          <cell r="O71737" t="str">
            <v/>
          </cell>
        </row>
        <row r="71738">
          <cell r="O71738" t="str">
            <v/>
          </cell>
        </row>
        <row r="71739">
          <cell r="O71739" t="str">
            <v/>
          </cell>
        </row>
        <row r="71740">
          <cell r="O71740" t="str">
            <v/>
          </cell>
        </row>
        <row r="71741">
          <cell r="O71741" t="str">
            <v/>
          </cell>
        </row>
        <row r="71742">
          <cell r="O71742" t="str">
            <v/>
          </cell>
        </row>
        <row r="71743">
          <cell r="O71743" t="str">
            <v/>
          </cell>
        </row>
        <row r="71744">
          <cell r="O71744" t="str">
            <v/>
          </cell>
        </row>
        <row r="71745">
          <cell r="O71745" t="str">
            <v/>
          </cell>
        </row>
        <row r="71746">
          <cell r="O71746" t="str">
            <v/>
          </cell>
        </row>
        <row r="71747">
          <cell r="O71747" t="str">
            <v/>
          </cell>
        </row>
        <row r="71748">
          <cell r="O71748" t="str">
            <v/>
          </cell>
        </row>
        <row r="71749">
          <cell r="O71749" t="str">
            <v/>
          </cell>
        </row>
        <row r="71750">
          <cell r="O71750" t="str">
            <v/>
          </cell>
        </row>
        <row r="71751">
          <cell r="O71751" t="str">
            <v/>
          </cell>
        </row>
        <row r="71752">
          <cell r="O71752" t="str">
            <v/>
          </cell>
        </row>
        <row r="71753">
          <cell r="O71753" t="str">
            <v/>
          </cell>
        </row>
        <row r="71754">
          <cell r="O71754" t="str">
            <v/>
          </cell>
        </row>
        <row r="71755">
          <cell r="O71755" t="str">
            <v/>
          </cell>
        </row>
        <row r="71756">
          <cell r="O71756" t="str">
            <v/>
          </cell>
        </row>
        <row r="71757">
          <cell r="O71757" t="str">
            <v/>
          </cell>
        </row>
        <row r="71758">
          <cell r="O71758" t="str">
            <v/>
          </cell>
        </row>
        <row r="71759">
          <cell r="O71759" t="str">
            <v/>
          </cell>
        </row>
        <row r="71760">
          <cell r="O71760" t="str">
            <v/>
          </cell>
        </row>
        <row r="71761">
          <cell r="O71761" t="str">
            <v/>
          </cell>
        </row>
        <row r="71762">
          <cell r="O71762" t="str">
            <v/>
          </cell>
        </row>
        <row r="71763">
          <cell r="O71763" t="str">
            <v/>
          </cell>
        </row>
        <row r="71764">
          <cell r="O71764" t="str">
            <v/>
          </cell>
        </row>
        <row r="71765">
          <cell r="O71765" t="str">
            <v/>
          </cell>
        </row>
        <row r="71766">
          <cell r="O71766" t="str">
            <v/>
          </cell>
        </row>
        <row r="71767">
          <cell r="O71767" t="str">
            <v/>
          </cell>
        </row>
        <row r="71768">
          <cell r="O71768" t="str">
            <v/>
          </cell>
        </row>
        <row r="71769">
          <cell r="O71769" t="str">
            <v/>
          </cell>
        </row>
        <row r="71770">
          <cell r="O71770" t="str">
            <v/>
          </cell>
        </row>
        <row r="71771">
          <cell r="O71771" t="str">
            <v/>
          </cell>
        </row>
        <row r="71772">
          <cell r="O71772" t="str">
            <v/>
          </cell>
        </row>
        <row r="71773">
          <cell r="O71773" t="str">
            <v/>
          </cell>
        </row>
        <row r="71774">
          <cell r="O71774" t="str">
            <v/>
          </cell>
        </row>
        <row r="71775">
          <cell r="O71775" t="str">
            <v/>
          </cell>
        </row>
        <row r="71776">
          <cell r="O71776" t="str">
            <v/>
          </cell>
        </row>
        <row r="71777">
          <cell r="O71777" t="str">
            <v/>
          </cell>
        </row>
        <row r="71778">
          <cell r="O71778" t="str">
            <v/>
          </cell>
        </row>
        <row r="71779">
          <cell r="O71779" t="str">
            <v/>
          </cell>
        </row>
        <row r="71780">
          <cell r="O71780" t="str">
            <v/>
          </cell>
        </row>
        <row r="71781">
          <cell r="O71781" t="str">
            <v/>
          </cell>
        </row>
        <row r="71782">
          <cell r="O71782" t="str">
            <v/>
          </cell>
        </row>
        <row r="71783">
          <cell r="O71783" t="str">
            <v/>
          </cell>
        </row>
        <row r="71784">
          <cell r="O71784" t="str">
            <v/>
          </cell>
        </row>
        <row r="71785">
          <cell r="O71785" t="str">
            <v/>
          </cell>
        </row>
        <row r="71786">
          <cell r="O71786" t="str">
            <v/>
          </cell>
        </row>
        <row r="71787">
          <cell r="O71787" t="str">
            <v/>
          </cell>
        </row>
        <row r="71788">
          <cell r="O71788" t="str">
            <v/>
          </cell>
        </row>
        <row r="71789">
          <cell r="O71789" t="str">
            <v/>
          </cell>
        </row>
        <row r="71790">
          <cell r="O71790" t="str">
            <v/>
          </cell>
        </row>
        <row r="71791">
          <cell r="O71791" t="str">
            <v/>
          </cell>
        </row>
        <row r="71792">
          <cell r="O71792" t="str">
            <v/>
          </cell>
        </row>
        <row r="71793">
          <cell r="O71793" t="str">
            <v/>
          </cell>
        </row>
        <row r="71794">
          <cell r="O71794" t="str">
            <v/>
          </cell>
        </row>
        <row r="71795">
          <cell r="O71795" t="str">
            <v/>
          </cell>
        </row>
        <row r="71796">
          <cell r="O71796" t="str">
            <v/>
          </cell>
        </row>
        <row r="71797">
          <cell r="O71797" t="str">
            <v/>
          </cell>
        </row>
        <row r="71798">
          <cell r="O71798" t="str">
            <v/>
          </cell>
        </row>
        <row r="71799">
          <cell r="O71799" t="str">
            <v/>
          </cell>
        </row>
        <row r="71800">
          <cell r="O71800" t="str">
            <v/>
          </cell>
        </row>
        <row r="71801">
          <cell r="O71801" t="str">
            <v/>
          </cell>
        </row>
        <row r="71802">
          <cell r="O71802" t="str">
            <v/>
          </cell>
        </row>
        <row r="71803">
          <cell r="O71803" t="str">
            <v/>
          </cell>
        </row>
        <row r="71804">
          <cell r="O71804" t="str">
            <v/>
          </cell>
        </row>
        <row r="71805">
          <cell r="O71805" t="str">
            <v/>
          </cell>
        </row>
        <row r="71806">
          <cell r="O71806" t="str">
            <v/>
          </cell>
        </row>
        <row r="71807">
          <cell r="O71807" t="str">
            <v/>
          </cell>
        </row>
        <row r="71808">
          <cell r="O71808" t="str">
            <v/>
          </cell>
        </row>
        <row r="71809">
          <cell r="O71809" t="str">
            <v/>
          </cell>
        </row>
        <row r="71810">
          <cell r="O71810" t="str">
            <v/>
          </cell>
        </row>
        <row r="71811">
          <cell r="O71811" t="str">
            <v/>
          </cell>
        </row>
        <row r="71812">
          <cell r="O71812" t="str">
            <v/>
          </cell>
        </row>
        <row r="71813">
          <cell r="O71813" t="str">
            <v/>
          </cell>
        </row>
        <row r="71814">
          <cell r="O71814" t="str">
            <v/>
          </cell>
        </row>
        <row r="71815">
          <cell r="O71815" t="str">
            <v/>
          </cell>
        </row>
        <row r="71816">
          <cell r="O71816" t="str">
            <v/>
          </cell>
        </row>
        <row r="71817">
          <cell r="O71817" t="str">
            <v/>
          </cell>
        </row>
        <row r="71818">
          <cell r="O71818" t="str">
            <v/>
          </cell>
        </row>
        <row r="71819">
          <cell r="O71819" t="str">
            <v/>
          </cell>
        </row>
        <row r="71820">
          <cell r="O71820" t="str">
            <v/>
          </cell>
        </row>
        <row r="71821">
          <cell r="O71821" t="str">
            <v/>
          </cell>
        </row>
        <row r="71822">
          <cell r="O71822" t="str">
            <v/>
          </cell>
        </row>
        <row r="71823">
          <cell r="O71823" t="str">
            <v/>
          </cell>
        </row>
        <row r="71824">
          <cell r="O71824" t="str">
            <v/>
          </cell>
        </row>
        <row r="71825">
          <cell r="O71825" t="str">
            <v/>
          </cell>
        </row>
        <row r="71826">
          <cell r="O71826" t="str">
            <v/>
          </cell>
        </row>
        <row r="71827">
          <cell r="O71827" t="str">
            <v/>
          </cell>
        </row>
        <row r="71828">
          <cell r="O71828" t="str">
            <v/>
          </cell>
        </row>
        <row r="71829">
          <cell r="O71829" t="str">
            <v/>
          </cell>
        </row>
        <row r="71830">
          <cell r="O71830" t="str">
            <v/>
          </cell>
        </row>
        <row r="71831">
          <cell r="O71831" t="str">
            <v/>
          </cell>
        </row>
        <row r="71832">
          <cell r="O71832" t="str">
            <v/>
          </cell>
        </row>
        <row r="71833">
          <cell r="O71833" t="str">
            <v/>
          </cell>
        </row>
        <row r="71834">
          <cell r="O71834" t="str">
            <v/>
          </cell>
        </row>
        <row r="71835">
          <cell r="O71835" t="str">
            <v/>
          </cell>
        </row>
        <row r="71836">
          <cell r="O71836" t="str">
            <v/>
          </cell>
        </row>
        <row r="71837">
          <cell r="O71837" t="str">
            <v/>
          </cell>
        </row>
        <row r="71838">
          <cell r="O71838" t="str">
            <v/>
          </cell>
        </row>
        <row r="71839">
          <cell r="O71839" t="str">
            <v/>
          </cell>
        </row>
        <row r="71840">
          <cell r="O71840" t="str">
            <v/>
          </cell>
        </row>
        <row r="71841">
          <cell r="O71841" t="str">
            <v/>
          </cell>
        </row>
        <row r="71842">
          <cell r="O71842" t="str">
            <v/>
          </cell>
        </row>
        <row r="71843">
          <cell r="O71843" t="str">
            <v/>
          </cell>
        </row>
        <row r="71844">
          <cell r="O71844" t="str">
            <v/>
          </cell>
        </row>
        <row r="71845">
          <cell r="O71845" t="str">
            <v/>
          </cell>
        </row>
        <row r="71846">
          <cell r="O71846" t="str">
            <v/>
          </cell>
        </row>
        <row r="71847">
          <cell r="O71847" t="str">
            <v/>
          </cell>
        </row>
        <row r="71848">
          <cell r="O71848" t="str">
            <v/>
          </cell>
        </row>
        <row r="71849">
          <cell r="O71849" t="str">
            <v/>
          </cell>
        </row>
        <row r="71850">
          <cell r="O71850" t="str">
            <v/>
          </cell>
        </row>
        <row r="71851">
          <cell r="O71851" t="str">
            <v/>
          </cell>
        </row>
        <row r="71852">
          <cell r="O71852" t="str">
            <v/>
          </cell>
        </row>
        <row r="71853">
          <cell r="O71853" t="str">
            <v/>
          </cell>
        </row>
        <row r="71854">
          <cell r="O71854" t="str">
            <v/>
          </cell>
        </row>
        <row r="71855">
          <cell r="O71855" t="str">
            <v/>
          </cell>
        </row>
        <row r="71856">
          <cell r="O71856" t="str">
            <v/>
          </cell>
        </row>
        <row r="71857">
          <cell r="O71857" t="str">
            <v/>
          </cell>
        </row>
        <row r="71858">
          <cell r="O71858" t="str">
            <v/>
          </cell>
        </row>
        <row r="71859">
          <cell r="O71859" t="str">
            <v/>
          </cell>
        </row>
        <row r="71860">
          <cell r="O71860" t="str">
            <v/>
          </cell>
        </row>
        <row r="71861">
          <cell r="O71861" t="str">
            <v/>
          </cell>
        </row>
        <row r="71862">
          <cell r="O71862" t="str">
            <v/>
          </cell>
        </row>
        <row r="71863">
          <cell r="O71863" t="str">
            <v/>
          </cell>
        </row>
        <row r="71864">
          <cell r="O71864" t="str">
            <v/>
          </cell>
        </row>
        <row r="71865">
          <cell r="O71865" t="str">
            <v/>
          </cell>
        </row>
        <row r="71866">
          <cell r="O71866" t="str">
            <v/>
          </cell>
        </row>
        <row r="71867">
          <cell r="O71867" t="str">
            <v/>
          </cell>
        </row>
        <row r="71868">
          <cell r="O71868" t="str">
            <v/>
          </cell>
        </row>
        <row r="71869">
          <cell r="O71869" t="str">
            <v/>
          </cell>
        </row>
        <row r="71870">
          <cell r="O71870" t="str">
            <v/>
          </cell>
        </row>
        <row r="71871">
          <cell r="O71871" t="str">
            <v/>
          </cell>
        </row>
        <row r="71872">
          <cell r="O71872" t="str">
            <v/>
          </cell>
        </row>
        <row r="71873">
          <cell r="O71873" t="str">
            <v/>
          </cell>
        </row>
        <row r="71874">
          <cell r="O71874" t="str">
            <v/>
          </cell>
        </row>
        <row r="71875">
          <cell r="O71875" t="str">
            <v/>
          </cell>
        </row>
        <row r="71876">
          <cell r="O71876" t="str">
            <v/>
          </cell>
        </row>
        <row r="71877">
          <cell r="O71877" t="str">
            <v/>
          </cell>
        </row>
        <row r="71878">
          <cell r="O71878" t="str">
            <v/>
          </cell>
        </row>
        <row r="71879">
          <cell r="O71879" t="str">
            <v/>
          </cell>
        </row>
        <row r="71880">
          <cell r="O71880" t="str">
            <v/>
          </cell>
        </row>
        <row r="71881">
          <cell r="O71881" t="str">
            <v/>
          </cell>
        </row>
        <row r="71882">
          <cell r="O71882" t="str">
            <v/>
          </cell>
        </row>
        <row r="71883">
          <cell r="O71883" t="str">
            <v/>
          </cell>
        </row>
        <row r="71884">
          <cell r="O71884" t="str">
            <v/>
          </cell>
        </row>
        <row r="71885">
          <cell r="O71885" t="str">
            <v/>
          </cell>
        </row>
        <row r="71886">
          <cell r="O71886" t="str">
            <v/>
          </cell>
        </row>
        <row r="71887">
          <cell r="O71887" t="str">
            <v/>
          </cell>
        </row>
        <row r="71888">
          <cell r="O71888" t="str">
            <v/>
          </cell>
        </row>
        <row r="71889">
          <cell r="O71889" t="str">
            <v/>
          </cell>
        </row>
        <row r="71890">
          <cell r="O71890" t="str">
            <v/>
          </cell>
        </row>
        <row r="71891">
          <cell r="O71891" t="str">
            <v/>
          </cell>
        </row>
        <row r="71892">
          <cell r="O71892" t="str">
            <v/>
          </cell>
        </row>
        <row r="71893">
          <cell r="O71893" t="str">
            <v/>
          </cell>
        </row>
        <row r="71894">
          <cell r="O71894" t="str">
            <v/>
          </cell>
        </row>
        <row r="71895">
          <cell r="O71895" t="str">
            <v/>
          </cell>
        </row>
        <row r="71896">
          <cell r="O71896" t="str">
            <v/>
          </cell>
        </row>
        <row r="71897">
          <cell r="O71897" t="str">
            <v/>
          </cell>
        </row>
        <row r="71898">
          <cell r="O71898" t="str">
            <v/>
          </cell>
        </row>
        <row r="71899">
          <cell r="O71899" t="str">
            <v/>
          </cell>
        </row>
        <row r="71900">
          <cell r="O71900" t="str">
            <v/>
          </cell>
        </row>
        <row r="71901">
          <cell r="O71901" t="str">
            <v/>
          </cell>
        </row>
        <row r="71902">
          <cell r="O71902" t="str">
            <v/>
          </cell>
        </row>
        <row r="71903">
          <cell r="O71903" t="str">
            <v/>
          </cell>
        </row>
        <row r="71904">
          <cell r="O71904" t="str">
            <v/>
          </cell>
        </row>
        <row r="71905">
          <cell r="O71905" t="str">
            <v/>
          </cell>
        </row>
        <row r="71906">
          <cell r="O71906" t="str">
            <v/>
          </cell>
        </row>
        <row r="71907">
          <cell r="O71907" t="str">
            <v/>
          </cell>
        </row>
        <row r="71908">
          <cell r="O71908" t="str">
            <v/>
          </cell>
        </row>
        <row r="71909">
          <cell r="O71909" t="str">
            <v/>
          </cell>
        </row>
        <row r="71910">
          <cell r="O71910" t="str">
            <v/>
          </cell>
        </row>
        <row r="71911">
          <cell r="O71911" t="str">
            <v/>
          </cell>
        </row>
        <row r="71912">
          <cell r="O71912" t="str">
            <v/>
          </cell>
        </row>
        <row r="71913">
          <cell r="O71913" t="str">
            <v/>
          </cell>
        </row>
        <row r="71914">
          <cell r="O71914" t="str">
            <v/>
          </cell>
        </row>
        <row r="71915">
          <cell r="O71915" t="str">
            <v/>
          </cell>
        </row>
        <row r="71916">
          <cell r="O71916" t="str">
            <v/>
          </cell>
        </row>
        <row r="71917">
          <cell r="O71917" t="str">
            <v/>
          </cell>
        </row>
        <row r="71918">
          <cell r="O71918" t="str">
            <v/>
          </cell>
        </row>
        <row r="71919">
          <cell r="O71919" t="str">
            <v/>
          </cell>
        </row>
        <row r="71920">
          <cell r="O71920" t="str">
            <v/>
          </cell>
        </row>
        <row r="71921">
          <cell r="O71921" t="str">
            <v/>
          </cell>
        </row>
        <row r="71922">
          <cell r="O71922" t="str">
            <v/>
          </cell>
        </row>
        <row r="71923">
          <cell r="O71923" t="str">
            <v/>
          </cell>
        </row>
        <row r="71924">
          <cell r="O71924" t="str">
            <v/>
          </cell>
        </row>
        <row r="71925">
          <cell r="O71925" t="str">
            <v/>
          </cell>
        </row>
        <row r="71926">
          <cell r="O71926" t="str">
            <v/>
          </cell>
        </row>
        <row r="71927">
          <cell r="O71927" t="str">
            <v/>
          </cell>
        </row>
        <row r="71928">
          <cell r="O71928" t="str">
            <v/>
          </cell>
        </row>
        <row r="71929">
          <cell r="O71929" t="str">
            <v/>
          </cell>
        </row>
        <row r="71930">
          <cell r="O71930" t="str">
            <v/>
          </cell>
        </row>
        <row r="71931">
          <cell r="O71931" t="str">
            <v/>
          </cell>
        </row>
        <row r="71932">
          <cell r="O71932" t="str">
            <v/>
          </cell>
        </row>
        <row r="71933">
          <cell r="O71933" t="str">
            <v/>
          </cell>
        </row>
        <row r="71934">
          <cell r="O71934" t="str">
            <v/>
          </cell>
        </row>
        <row r="71935">
          <cell r="O71935" t="str">
            <v/>
          </cell>
        </row>
        <row r="71936">
          <cell r="O71936" t="str">
            <v/>
          </cell>
        </row>
        <row r="71937">
          <cell r="O71937" t="str">
            <v/>
          </cell>
        </row>
        <row r="71938">
          <cell r="O71938" t="str">
            <v/>
          </cell>
        </row>
        <row r="71939">
          <cell r="O71939" t="str">
            <v/>
          </cell>
        </row>
        <row r="71940">
          <cell r="O71940" t="str">
            <v/>
          </cell>
        </row>
        <row r="71941">
          <cell r="O71941" t="str">
            <v/>
          </cell>
        </row>
        <row r="71942">
          <cell r="O71942" t="str">
            <v/>
          </cell>
        </row>
        <row r="71943">
          <cell r="O71943" t="str">
            <v/>
          </cell>
        </row>
        <row r="71944">
          <cell r="O71944" t="str">
            <v/>
          </cell>
        </row>
        <row r="71945">
          <cell r="O71945" t="str">
            <v/>
          </cell>
        </row>
        <row r="71946">
          <cell r="O71946" t="str">
            <v/>
          </cell>
        </row>
        <row r="71947">
          <cell r="O71947" t="str">
            <v/>
          </cell>
        </row>
        <row r="71948">
          <cell r="O71948" t="str">
            <v/>
          </cell>
        </row>
        <row r="71949">
          <cell r="O71949" t="str">
            <v/>
          </cell>
        </row>
        <row r="71950">
          <cell r="O71950" t="str">
            <v/>
          </cell>
        </row>
        <row r="71951">
          <cell r="O71951" t="str">
            <v/>
          </cell>
        </row>
        <row r="71952">
          <cell r="O71952" t="str">
            <v/>
          </cell>
        </row>
        <row r="71953">
          <cell r="O71953" t="str">
            <v/>
          </cell>
        </row>
        <row r="71954">
          <cell r="O71954" t="str">
            <v/>
          </cell>
        </row>
        <row r="71955">
          <cell r="O71955" t="str">
            <v/>
          </cell>
        </row>
        <row r="71956">
          <cell r="O71956" t="str">
            <v/>
          </cell>
        </row>
        <row r="71957">
          <cell r="O71957" t="str">
            <v/>
          </cell>
        </row>
        <row r="71958">
          <cell r="O71958" t="str">
            <v/>
          </cell>
        </row>
        <row r="71959">
          <cell r="O71959" t="str">
            <v/>
          </cell>
        </row>
        <row r="71960">
          <cell r="O71960" t="str">
            <v/>
          </cell>
        </row>
        <row r="71961">
          <cell r="O71961" t="str">
            <v/>
          </cell>
        </row>
        <row r="71962">
          <cell r="O71962" t="str">
            <v/>
          </cell>
        </row>
        <row r="71963">
          <cell r="O71963" t="str">
            <v/>
          </cell>
        </row>
        <row r="71964">
          <cell r="O71964" t="str">
            <v/>
          </cell>
        </row>
        <row r="71965">
          <cell r="O71965" t="str">
            <v/>
          </cell>
        </row>
        <row r="71966">
          <cell r="O71966" t="str">
            <v/>
          </cell>
        </row>
        <row r="71967">
          <cell r="O71967" t="str">
            <v/>
          </cell>
        </row>
        <row r="71968">
          <cell r="O71968" t="str">
            <v/>
          </cell>
        </row>
        <row r="71969">
          <cell r="O71969" t="str">
            <v/>
          </cell>
        </row>
        <row r="71970">
          <cell r="O71970" t="str">
            <v/>
          </cell>
        </row>
        <row r="71971">
          <cell r="O71971" t="str">
            <v/>
          </cell>
        </row>
        <row r="71972">
          <cell r="O71972" t="str">
            <v/>
          </cell>
        </row>
        <row r="71973">
          <cell r="O71973" t="str">
            <v/>
          </cell>
        </row>
        <row r="71974">
          <cell r="O71974" t="str">
            <v/>
          </cell>
        </row>
        <row r="71975">
          <cell r="O71975" t="str">
            <v/>
          </cell>
        </row>
        <row r="71976">
          <cell r="O71976" t="str">
            <v/>
          </cell>
        </row>
        <row r="71977">
          <cell r="O71977" t="str">
            <v/>
          </cell>
        </row>
        <row r="71978">
          <cell r="O71978" t="str">
            <v/>
          </cell>
        </row>
        <row r="71979">
          <cell r="O71979" t="str">
            <v/>
          </cell>
        </row>
        <row r="71980">
          <cell r="O71980" t="str">
            <v/>
          </cell>
        </row>
        <row r="71981">
          <cell r="O71981" t="str">
            <v/>
          </cell>
        </row>
        <row r="71982">
          <cell r="O71982" t="str">
            <v/>
          </cell>
        </row>
        <row r="71983">
          <cell r="O71983" t="str">
            <v/>
          </cell>
        </row>
        <row r="71984">
          <cell r="O71984" t="str">
            <v/>
          </cell>
        </row>
        <row r="71985">
          <cell r="O71985" t="str">
            <v/>
          </cell>
        </row>
        <row r="71986">
          <cell r="O71986" t="str">
            <v/>
          </cell>
        </row>
        <row r="71987">
          <cell r="O71987" t="str">
            <v/>
          </cell>
        </row>
        <row r="71988">
          <cell r="O71988" t="str">
            <v/>
          </cell>
        </row>
        <row r="71989">
          <cell r="O71989" t="str">
            <v/>
          </cell>
        </row>
        <row r="71990">
          <cell r="O71990" t="str">
            <v/>
          </cell>
        </row>
        <row r="71991">
          <cell r="O71991" t="str">
            <v/>
          </cell>
        </row>
        <row r="71992">
          <cell r="O71992" t="str">
            <v/>
          </cell>
        </row>
        <row r="71993">
          <cell r="O71993" t="str">
            <v/>
          </cell>
        </row>
        <row r="71994">
          <cell r="O71994" t="str">
            <v/>
          </cell>
        </row>
        <row r="71995">
          <cell r="O71995" t="str">
            <v/>
          </cell>
        </row>
        <row r="71996">
          <cell r="O71996" t="str">
            <v/>
          </cell>
        </row>
        <row r="71997">
          <cell r="O71997" t="str">
            <v/>
          </cell>
        </row>
        <row r="71998">
          <cell r="O71998" t="str">
            <v/>
          </cell>
        </row>
        <row r="71999">
          <cell r="O71999" t="str">
            <v/>
          </cell>
        </row>
        <row r="72000">
          <cell r="O72000" t="str">
            <v/>
          </cell>
        </row>
        <row r="72001">
          <cell r="O72001" t="str">
            <v/>
          </cell>
        </row>
        <row r="72002">
          <cell r="O72002" t="str">
            <v/>
          </cell>
        </row>
        <row r="72003">
          <cell r="O72003" t="str">
            <v/>
          </cell>
        </row>
        <row r="72004">
          <cell r="O72004" t="str">
            <v/>
          </cell>
        </row>
        <row r="72005">
          <cell r="O72005" t="str">
            <v/>
          </cell>
        </row>
        <row r="72006">
          <cell r="O72006" t="str">
            <v/>
          </cell>
        </row>
        <row r="72007">
          <cell r="O72007" t="str">
            <v/>
          </cell>
        </row>
        <row r="72008">
          <cell r="O72008" t="str">
            <v/>
          </cell>
        </row>
        <row r="72009">
          <cell r="O72009" t="str">
            <v/>
          </cell>
        </row>
        <row r="72010">
          <cell r="O72010" t="str">
            <v/>
          </cell>
        </row>
        <row r="72011">
          <cell r="O72011" t="str">
            <v/>
          </cell>
        </row>
        <row r="72012">
          <cell r="O72012" t="str">
            <v/>
          </cell>
        </row>
        <row r="72013">
          <cell r="O72013" t="str">
            <v/>
          </cell>
        </row>
        <row r="72014">
          <cell r="O72014" t="str">
            <v/>
          </cell>
        </row>
        <row r="72015">
          <cell r="O72015" t="str">
            <v/>
          </cell>
        </row>
        <row r="72016">
          <cell r="O72016" t="str">
            <v/>
          </cell>
        </row>
        <row r="72017">
          <cell r="O72017" t="str">
            <v/>
          </cell>
        </row>
        <row r="72018">
          <cell r="O72018" t="str">
            <v/>
          </cell>
        </row>
        <row r="72019">
          <cell r="O72019" t="str">
            <v/>
          </cell>
        </row>
        <row r="72020">
          <cell r="O72020" t="str">
            <v/>
          </cell>
        </row>
        <row r="72021">
          <cell r="O72021" t="str">
            <v/>
          </cell>
        </row>
        <row r="72022">
          <cell r="O72022" t="str">
            <v/>
          </cell>
        </row>
        <row r="72023">
          <cell r="O72023" t="str">
            <v/>
          </cell>
        </row>
        <row r="72024">
          <cell r="O72024" t="str">
            <v/>
          </cell>
        </row>
        <row r="72025">
          <cell r="O72025" t="str">
            <v/>
          </cell>
        </row>
        <row r="72026">
          <cell r="O72026" t="str">
            <v/>
          </cell>
        </row>
        <row r="72027">
          <cell r="O72027" t="str">
            <v/>
          </cell>
        </row>
        <row r="72028">
          <cell r="O72028" t="str">
            <v/>
          </cell>
        </row>
        <row r="72029">
          <cell r="O72029" t="str">
            <v/>
          </cell>
        </row>
        <row r="72030">
          <cell r="O72030" t="str">
            <v/>
          </cell>
        </row>
        <row r="72031">
          <cell r="O72031" t="str">
            <v/>
          </cell>
        </row>
        <row r="72032">
          <cell r="O72032" t="str">
            <v/>
          </cell>
        </row>
        <row r="72033">
          <cell r="O72033" t="str">
            <v/>
          </cell>
        </row>
        <row r="72034">
          <cell r="O72034" t="str">
            <v/>
          </cell>
        </row>
        <row r="72035">
          <cell r="O72035" t="str">
            <v/>
          </cell>
        </row>
        <row r="72036">
          <cell r="O72036" t="str">
            <v/>
          </cell>
        </row>
        <row r="72037">
          <cell r="O72037" t="str">
            <v/>
          </cell>
        </row>
        <row r="72038">
          <cell r="O72038" t="str">
            <v/>
          </cell>
        </row>
        <row r="72039">
          <cell r="O72039" t="str">
            <v/>
          </cell>
        </row>
        <row r="72040">
          <cell r="O72040" t="str">
            <v/>
          </cell>
        </row>
        <row r="72041">
          <cell r="O72041" t="str">
            <v/>
          </cell>
        </row>
        <row r="72042">
          <cell r="O72042" t="str">
            <v/>
          </cell>
        </row>
        <row r="72043">
          <cell r="O72043" t="str">
            <v/>
          </cell>
        </row>
        <row r="72044">
          <cell r="O72044" t="str">
            <v/>
          </cell>
        </row>
        <row r="72045">
          <cell r="O72045" t="str">
            <v/>
          </cell>
        </row>
        <row r="72046">
          <cell r="O72046" t="str">
            <v/>
          </cell>
        </row>
        <row r="72047">
          <cell r="O72047" t="str">
            <v/>
          </cell>
        </row>
        <row r="72048">
          <cell r="O72048" t="str">
            <v/>
          </cell>
        </row>
        <row r="72049">
          <cell r="O72049" t="str">
            <v/>
          </cell>
        </row>
        <row r="72050">
          <cell r="O72050" t="str">
            <v/>
          </cell>
        </row>
        <row r="72051">
          <cell r="O72051" t="str">
            <v/>
          </cell>
        </row>
        <row r="72052">
          <cell r="O72052" t="str">
            <v/>
          </cell>
        </row>
        <row r="72053">
          <cell r="O72053" t="str">
            <v/>
          </cell>
        </row>
        <row r="72054">
          <cell r="O72054" t="str">
            <v/>
          </cell>
        </row>
        <row r="72055">
          <cell r="O72055" t="str">
            <v/>
          </cell>
        </row>
        <row r="72056">
          <cell r="O72056" t="str">
            <v/>
          </cell>
        </row>
        <row r="72057">
          <cell r="O72057" t="str">
            <v/>
          </cell>
        </row>
        <row r="72058">
          <cell r="O72058" t="str">
            <v/>
          </cell>
        </row>
        <row r="72059">
          <cell r="O72059" t="str">
            <v/>
          </cell>
        </row>
        <row r="72060">
          <cell r="O72060" t="str">
            <v/>
          </cell>
        </row>
        <row r="72061">
          <cell r="O72061" t="str">
            <v/>
          </cell>
        </row>
        <row r="72062">
          <cell r="O72062" t="str">
            <v/>
          </cell>
        </row>
        <row r="72063">
          <cell r="O72063" t="str">
            <v/>
          </cell>
        </row>
        <row r="72064">
          <cell r="O72064" t="str">
            <v/>
          </cell>
        </row>
        <row r="72065">
          <cell r="O72065" t="str">
            <v/>
          </cell>
        </row>
        <row r="72066">
          <cell r="O72066" t="str">
            <v/>
          </cell>
        </row>
        <row r="72067">
          <cell r="O72067" t="str">
            <v/>
          </cell>
        </row>
        <row r="72068">
          <cell r="O72068" t="str">
            <v/>
          </cell>
        </row>
        <row r="72069">
          <cell r="O72069" t="str">
            <v/>
          </cell>
        </row>
        <row r="72070">
          <cell r="O72070" t="str">
            <v/>
          </cell>
        </row>
        <row r="72071">
          <cell r="O72071" t="str">
            <v/>
          </cell>
        </row>
        <row r="72072">
          <cell r="O72072" t="str">
            <v/>
          </cell>
        </row>
        <row r="72073">
          <cell r="O72073" t="str">
            <v/>
          </cell>
        </row>
        <row r="72074">
          <cell r="O72074" t="str">
            <v/>
          </cell>
        </row>
        <row r="72075">
          <cell r="O72075" t="str">
            <v/>
          </cell>
        </row>
        <row r="72076">
          <cell r="O72076" t="str">
            <v/>
          </cell>
        </row>
        <row r="72077">
          <cell r="O72077" t="str">
            <v/>
          </cell>
        </row>
        <row r="72078">
          <cell r="O72078" t="str">
            <v/>
          </cell>
        </row>
        <row r="72079">
          <cell r="O72079" t="str">
            <v/>
          </cell>
        </row>
        <row r="72080">
          <cell r="O72080" t="str">
            <v/>
          </cell>
        </row>
        <row r="72081">
          <cell r="O72081" t="str">
            <v/>
          </cell>
        </row>
        <row r="72082">
          <cell r="O72082" t="str">
            <v/>
          </cell>
        </row>
        <row r="72083">
          <cell r="O72083" t="str">
            <v/>
          </cell>
        </row>
        <row r="72084">
          <cell r="O72084" t="str">
            <v/>
          </cell>
        </row>
        <row r="72085">
          <cell r="O72085" t="str">
            <v/>
          </cell>
        </row>
        <row r="72086">
          <cell r="O72086" t="str">
            <v/>
          </cell>
        </row>
        <row r="72087">
          <cell r="O72087" t="str">
            <v/>
          </cell>
        </row>
        <row r="72088">
          <cell r="O72088" t="str">
            <v/>
          </cell>
        </row>
        <row r="72089">
          <cell r="O72089" t="str">
            <v/>
          </cell>
        </row>
        <row r="72090">
          <cell r="O72090" t="str">
            <v/>
          </cell>
        </row>
        <row r="72091">
          <cell r="O72091" t="str">
            <v/>
          </cell>
        </row>
        <row r="72092">
          <cell r="O72092" t="str">
            <v/>
          </cell>
        </row>
        <row r="72093">
          <cell r="O72093" t="str">
            <v/>
          </cell>
        </row>
        <row r="72094">
          <cell r="O72094" t="str">
            <v/>
          </cell>
        </row>
        <row r="72095">
          <cell r="O72095" t="str">
            <v/>
          </cell>
        </row>
        <row r="72096">
          <cell r="O72096" t="str">
            <v/>
          </cell>
        </row>
        <row r="72097">
          <cell r="O72097" t="str">
            <v/>
          </cell>
        </row>
        <row r="72098">
          <cell r="O72098" t="str">
            <v/>
          </cell>
        </row>
        <row r="72099">
          <cell r="O72099" t="str">
            <v/>
          </cell>
        </row>
        <row r="72100">
          <cell r="O72100" t="str">
            <v/>
          </cell>
        </row>
        <row r="72101">
          <cell r="O72101" t="str">
            <v/>
          </cell>
        </row>
        <row r="72102">
          <cell r="O72102" t="str">
            <v/>
          </cell>
        </row>
        <row r="72103">
          <cell r="O72103" t="str">
            <v/>
          </cell>
        </row>
        <row r="72104">
          <cell r="O72104" t="str">
            <v/>
          </cell>
        </row>
        <row r="72105">
          <cell r="O72105" t="str">
            <v/>
          </cell>
        </row>
        <row r="72106">
          <cell r="O72106" t="str">
            <v/>
          </cell>
        </row>
        <row r="72107">
          <cell r="O72107" t="str">
            <v/>
          </cell>
        </row>
        <row r="72108">
          <cell r="O72108" t="str">
            <v/>
          </cell>
        </row>
        <row r="72109">
          <cell r="O72109" t="str">
            <v/>
          </cell>
        </row>
        <row r="72110">
          <cell r="O72110" t="str">
            <v/>
          </cell>
        </row>
        <row r="72111">
          <cell r="O72111" t="str">
            <v/>
          </cell>
        </row>
        <row r="72112">
          <cell r="O72112" t="str">
            <v/>
          </cell>
        </row>
        <row r="72113">
          <cell r="O72113" t="str">
            <v/>
          </cell>
        </row>
        <row r="72114">
          <cell r="O72114" t="str">
            <v/>
          </cell>
        </row>
        <row r="72115">
          <cell r="O72115" t="str">
            <v/>
          </cell>
        </row>
        <row r="72116">
          <cell r="O72116" t="str">
            <v/>
          </cell>
        </row>
        <row r="72117">
          <cell r="O72117" t="str">
            <v/>
          </cell>
        </row>
        <row r="72118">
          <cell r="O72118" t="str">
            <v/>
          </cell>
        </row>
        <row r="72119">
          <cell r="O72119" t="str">
            <v/>
          </cell>
        </row>
        <row r="72120">
          <cell r="O72120" t="str">
            <v/>
          </cell>
        </row>
        <row r="72121">
          <cell r="O72121" t="str">
            <v/>
          </cell>
        </row>
        <row r="72122">
          <cell r="O72122" t="str">
            <v/>
          </cell>
        </row>
        <row r="72123">
          <cell r="O72123" t="str">
            <v/>
          </cell>
        </row>
        <row r="72124">
          <cell r="O72124" t="str">
            <v/>
          </cell>
        </row>
        <row r="72125">
          <cell r="O72125" t="str">
            <v/>
          </cell>
        </row>
        <row r="72126">
          <cell r="O72126" t="str">
            <v/>
          </cell>
        </row>
        <row r="72127">
          <cell r="O72127" t="str">
            <v/>
          </cell>
        </row>
        <row r="72128">
          <cell r="O72128" t="str">
            <v/>
          </cell>
        </row>
        <row r="72129">
          <cell r="O72129" t="str">
            <v/>
          </cell>
        </row>
        <row r="72130">
          <cell r="O72130" t="str">
            <v/>
          </cell>
        </row>
        <row r="72131">
          <cell r="O72131" t="str">
            <v/>
          </cell>
        </row>
        <row r="72132">
          <cell r="O72132" t="str">
            <v/>
          </cell>
        </row>
        <row r="72133">
          <cell r="O72133" t="str">
            <v/>
          </cell>
        </row>
        <row r="72134">
          <cell r="O72134" t="str">
            <v/>
          </cell>
        </row>
        <row r="72135">
          <cell r="O72135" t="str">
            <v/>
          </cell>
        </row>
        <row r="72136">
          <cell r="O72136" t="str">
            <v/>
          </cell>
        </row>
        <row r="72137">
          <cell r="O72137" t="str">
            <v/>
          </cell>
        </row>
        <row r="72138">
          <cell r="O72138" t="str">
            <v/>
          </cell>
        </row>
        <row r="72139">
          <cell r="O72139" t="str">
            <v/>
          </cell>
        </row>
        <row r="72140">
          <cell r="O72140" t="str">
            <v/>
          </cell>
        </row>
        <row r="72141">
          <cell r="O72141" t="str">
            <v/>
          </cell>
        </row>
        <row r="72142">
          <cell r="O72142" t="str">
            <v/>
          </cell>
        </row>
        <row r="72143">
          <cell r="O72143" t="str">
            <v/>
          </cell>
        </row>
        <row r="72144">
          <cell r="O72144" t="str">
            <v/>
          </cell>
        </row>
        <row r="72145">
          <cell r="O72145" t="str">
            <v/>
          </cell>
        </row>
        <row r="72146">
          <cell r="O72146" t="str">
            <v/>
          </cell>
        </row>
        <row r="72147">
          <cell r="O72147" t="str">
            <v/>
          </cell>
        </row>
        <row r="72148">
          <cell r="O72148" t="str">
            <v/>
          </cell>
        </row>
        <row r="72149">
          <cell r="O72149" t="str">
            <v/>
          </cell>
        </row>
        <row r="72150">
          <cell r="O72150" t="str">
            <v/>
          </cell>
        </row>
        <row r="72151">
          <cell r="O72151" t="str">
            <v/>
          </cell>
        </row>
        <row r="72152">
          <cell r="O72152" t="str">
            <v/>
          </cell>
        </row>
        <row r="72153">
          <cell r="O72153" t="str">
            <v/>
          </cell>
        </row>
        <row r="72154">
          <cell r="O72154" t="str">
            <v/>
          </cell>
        </row>
        <row r="72155">
          <cell r="O72155" t="str">
            <v/>
          </cell>
        </row>
        <row r="72156">
          <cell r="O72156" t="str">
            <v/>
          </cell>
        </row>
        <row r="72157">
          <cell r="O72157" t="str">
            <v/>
          </cell>
        </row>
        <row r="72158">
          <cell r="O72158" t="str">
            <v/>
          </cell>
        </row>
        <row r="72159">
          <cell r="O72159" t="str">
            <v/>
          </cell>
        </row>
        <row r="72160">
          <cell r="O72160" t="str">
            <v/>
          </cell>
        </row>
        <row r="72161">
          <cell r="O72161" t="str">
            <v/>
          </cell>
        </row>
        <row r="72162">
          <cell r="O72162" t="str">
            <v/>
          </cell>
        </row>
        <row r="72163">
          <cell r="O72163" t="str">
            <v/>
          </cell>
        </row>
        <row r="72164">
          <cell r="O72164" t="str">
            <v/>
          </cell>
        </row>
        <row r="72165">
          <cell r="O72165" t="str">
            <v/>
          </cell>
        </row>
        <row r="72166">
          <cell r="O72166" t="str">
            <v/>
          </cell>
        </row>
        <row r="72167">
          <cell r="O72167" t="str">
            <v/>
          </cell>
        </row>
        <row r="72168">
          <cell r="O72168" t="str">
            <v/>
          </cell>
        </row>
        <row r="72169">
          <cell r="O72169" t="str">
            <v/>
          </cell>
        </row>
        <row r="72170">
          <cell r="O72170" t="str">
            <v/>
          </cell>
        </row>
        <row r="72171">
          <cell r="O72171" t="str">
            <v/>
          </cell>
        </row>
        <row r="72172">
          <cell r="O72172" t="str">
            <v/>
          </cell>
        </row>
        <row r="72173">
          <cell r="O72173" t="str">
            <v/>
          </cell>
        </row>
        <row r="72174">
          <cell r="O72174" t="str">
            <v/>
          </cell>
        </row>
        <row r="72175">
          <cell r="O72175" t="str">
            <v/>
          </cell>
        </row>
        <row r="72176">
          <cell r="O72176" t="str">
            <v/>
          </cell>
        </row>
        <row r="72177">
          <cell r="O72177" t="str">
            <v/>
          </cell>
        </row>
        <row r="72178">
          <cell r="O72178" t="str">
            <v/>
          </cell>
        </row>
        <row r="72179">
          <cell r="O72179" t="str">
            <v/>
          </cell>
        </row>
        <row r="72180">
          <cell r="O72180" t="str">
            <v/>
          </cell>
        </row>
        <row r="72181">
          <cell r="O72181" t="str">
            <v/>
          </cell>
        </row>
        <row r="72182">
          <cell r="O72182" t="str">
            <v/>
          </cell>
        </row>
        <row r="72183">
          <cell r="O72183" t="str">
            <v/>
          </cell>
        </row>
        <row r="72184">
          <cell r="O72184" t="str">
            <v/>
          </cell>
        </row>
        <row r="72185">
          <cell r="O72185" t="str">
            <v/>
          </cell>
        </row>
        <row r="72186">
          <cell r="O72186" t="str">
            <v/>
          </cell>
        </row>
        <row r="72187">
          <cell r="O72187" t="str">
            <v/>
          </cell>
        </row>
        <row r="72188">
          <cell r="O72188" t="str">
            <v/>
          </cell>
        </row>
        <row r="72189">
          <cell r="O72189" t="str">
            <v/>
          </cell>
        </row>
        <row r="72190">
          <cell r="O72190" t="str">
            <v/>
          </cell>
        </row>
        <row r="72191">
          <cell r="O72191" t="str">
            <v/>
          </cell>
        </row>
        <row r="72192">
          <cell r="O72192" t="str">
            <v/>
          </cell>
        </row>
        <row r="72193">
          <cell r="O72193" t="str">
            <v/>
          </cell>
        </row>
        <row r="72194">
          <cell r="O72194" t="str">
            <v/>
          </cell>
        </row>
        <row r="72195">
          <cell r="O72195" t="str">
            <v/>
          </cell>
        </row>
        <row r="72196">
          <cell r="O72196" t="str">
            <v/>
          </cell>
        </row>
        <row r="72197">
          <cell r="O72197" t="str">
            <v/>
          </cell>
        </row>
        <row r="72198">
          <cell r="O72198" t="str">
            <v/>
          </cell>
        </row>
        <row r="72199">
          <cell r="O72199" t="str">
            <v/>
          </cell>
        </row>
        <row r="72200">
          <cell r="O72200" t="str">
            <v/>
          </cell>
        </row>
        <row r="72201">
          <cell r="O72201" t="str">
            <v/>
          </cell>
        </row>
        <row r="72202">
          <cell r="O72202" t="str">
            <v/>
          </cell>
        </row>
        <row r="72203">
          <cell r="O72203" t="str">
            <v/>
          </cell>
        </row>
        <row r="72204">
          <cell r="O72204" t="str">
            <v/>
          </cell>
        </row>
        <row r="72205">
          <cell r="O72205" t="str">
            <v/>
          </cell>
        </row>
        <row r="72206">
          <cell r="O72206" t="str">
            <v/>
          </cell>
        </row>
        <row r="72207">
          <cell r="O72207" t="str">
            <v/>
          </cell>
        </row>
        <row r="72208">
          <cell r="O72208" t="str">
            <v/>
          </cell>
        </row>
        <row r="72209">
          <cell r="O72209" t="str">
            <v/>
          </cell>
        </row>
        <row r="72210">
          <cell r="O72210" t="str">
            <v/>
          </cell>
        </row>
        <row r="72211">
          <cell r="O72211" t="str">
            <v/>
          </cell>
        </row>
        <row r="72212">
          <cell r="O72212" t="str">
            <v/>
          </cell>
        </row>
        <row r="72213">
          <cell r="O72213" t="str">
            <v/>
          </cell>
        </row>
        <row r="72214">
          <cell r="O72214" t="str">
            <v/>
          </cell>
        </row>
        <row r="72215">
          <cell r="O72215" t="str">
            <v/>
          </cell>
        </row>
        <row r="72216">
          <cell r="O72216" t="str">
            <v/>
          </cell>
        </row>
        <row r="72217">
          <cell r="O72217" t="str">
            <v/>
          </cell>
        </row>
        <row r="72218">
          <cell r="O72218" t="str">
            <v/>
          </cell>
        </row>
        <row r="72219">
          <cell r="O72219" t="str">
            <v/>
          </cell>
        </row>
        <row r="72220">
          <cell r="O72220" t="str">
            <v/>
          </cell>
        </row>
        <row r="72221">
          <cell r="O72221" t="str">
            <v/>
          </cell>
        </row>
        <row r="72222">
          <cell r="O72222" t="str">
            <v/>
          </cell>
        </row>
        <row r="72223">
          <cell r="O72223" t="str">
            <v/>
          </cell>
        </row>
        <row r="72224">
          <cell r="O72224" t="str">
            <v/>
          </cell>
        </row>
        <row r="72225">
          <cell r="O72225" t="str">
            <v/>
          </cell>
        </row>
        <row r="72226">
          <cell r="O72226" t="str">
            <v/>
          </cell>
        </row>
        <row r="72227">
          <cell r="O72227" t="str">
            <v/>
          </cell>
        </row>
        <row r="72228">
          <cell r="O72228" t="str">
            <v/>
          </cell>
        </row>
        <row r="72229">
          <cell r="O72229" t="str">
            <v/>
          </cell>
        </row>
        <row r="72230">
          <cell r="O72230" t="str">
            <v/>
          </cell>
        </row>
        <row r="72231">
          <cell r="O72231" t="str">
            <v/>
          </cell>
        </row>
        <row r="72232">
          <cell r="O72232" t="str">
            <v/>
          </cell>
        </row>
        <row r="72233">
          <cell r="O72233" t="str">
            <v/>
          </cell>
        </row>
        <row r="72234">
          <cell r="O72234" t="str">
            <v/>
          </cell>
        </row>
        <row r="72235">
          <cell r="O72235" t="str">
            <v/>
          </cell>
        </row>
        <row r="72236">
          <cell r="O72236" t="str">
            <v/>
          </cell>
        </row>
        <row r="72237">
          <cell r="O72237" t="str">
            <v/>
          </cell>
        </row>
        <row r="72238">
          <cell r="O72238" t="str">
            <v/>
          </cell>
        </row>
        <row r="72239">
          <cell r="O72239" t="str">
            <v/>
          </cell>
        </row>
        <row r="72240">
          <cell r="O72240" t="str">
            <v/>
          </cell>
        </row>
        <row r="72241">
          <cell r="O72241" t="str">
            <v/>
          </cell>
        </row>
        <row r="72242">
          <cell r="O72242" t="str">
            <v/>
          </cell>
        </row>
        <row r="72243">
          <cell r="O72243" t="str">
            <v/>
          </cell>
        </row>
        <row r="72244">
          <cell r="O72244" t="str">
            <v/>
          </cell>
        </row>
        <row r="72245">
          <cell r="O72245" t="str">
            <v/>
          </cell>
        </row>
        <row r="72246">
          <cell r="O72246" t="str">
            <v/>
          </cell>
        </row>
        <row r="72247">
          <cell r="O72247" t="str">
            <v/>
          </cell>
        </row>
        <row r="72248">
          <cell r="O72248" t="str">
            <v/>
          </cell>
        </row>
        <row r="72249">
          <cell r="O72249" t="str">
            <v/>
          </cell>
        </row>
        <row r="72250">
          <cell r="O72250" t="str">
            <v/>
          </cell>
        </row>
        <row r="72251">
          <cell r="O72251" t="str">
            <v/>
          </cell>
        </row>
        <row r="72252">
          <cell r="O72252" t="str">
            <v/>
          </cell>
        </row>
        <row r="72253">
          <cell r="O72253" t="str">
            <v/>
          </cell>
        </row>
        <row r="72254">
          <cell r="O72254" t="str">
            <v/>
          </cell>
        </row>
        <row r="72255">
          <cell r="O72255" t="str">
            <v/>
          </cell>
        </row>
        <row r="72256">
          <cell r="O72256" t="str">
            <v/>
          </cell>
        </row>
        <row r="72257">
          <cell r="O72257" t="str">
            <v/>
          </cell>
        </row>
        <row r="72258">
          <cell r="O72258" t="str">
            <v/>
          </cell>
        </row>
        <row r="72259">
          <cell r="O72259" t="str">
            <v/>
          </cell>
        </row>
        <row r="72260">
          <cell r="O72260" t="str">
            <v/>
          </cell>
        </row>
        <row r="72261">
          <cell r="O72261" t="str">
            <v/>
          </cell>
        </row>
        <row r="72262">
          <cell r="O72262" t="str">
            <v/>
          </cell>
        </row>
        <row r="72263">
          <cell r="O72263" t="str">
            <v/>
          </cell>
        </row>
        <row r="72264">
          <cell r="O72264" t="str">
            <v/>
          </cell>
        </row>
        <row r="72265">
          <cell r="O72265" t="str">
            <v/>
          </cell>
        </row>
        <row r="72266">
          <cell r="O72266" t="str">
            <v/>
          </cell>
        </row>
        <row r="72267">
          <cell r="O72267" t="str">
            <v/>
          </cell>
        </row>
        <row r="72268">
          <cell r="O72268" t="str">
            <v/>
          </cell>
        </row>
        <row r="72269">
          <cell r="O72269" t="str">
            <v/>
          </cell>
        </row>
        <row r="72270">
          <cell r="O72270" t="str">
            <v/>
          </cell>
        </row>
        <row r="72271">
          <cell r="O72271" t="str">
            <v/>
          </cell>
        </row>
        <row r="72272">
          <cell r="O72272" t="str">
            <v/>
          </cell>
        </row>
        <row r="72273">
          <cell r="O72273" t="str">
            <v/>
          </cell>
        </row>
        <row r="72274">
          <cell r="O72274" t="str">
            <v/>
          </cell>
        </row>
        <row r="72275">
          <cell r="O72275" t="str">
            <v/>
          </cell>
        </row>
        <row r="72276">
          <cell r="O72276" t="str">
            <v/>
          </cell>
        </row>
        <row r="72277">
          <cell r="O72277" t="str">
            <v/>
          </cell>
        </row>
        <row r="72278">
          <cell r="O72278" t="str">
            <v/>
          </cell>
        </row>
        <row r="72279">
          <cell r="O72279" t="str">
            <v/>
          </cell>
        </row>
        <row r="72280">
          <cell r="O72280" t="str">
            <v/>
          </cell>
        </row>
        <row r="72281">
          <cell r="O72281" t="str">
            <v/>
          </cell>
        </row>
        <row r="72282">
          <cell r="O72282" t="str">
            <v/>
          </cell>
        </row>
        <row r="72283">
          <cell r="O72283" t="str">
            <v/>
          </cell>
        </row>
        <row r="72284">
          <cell r="O72284" t="str">
            <v/>
          </cell>
        </row>
        <row r="72285">
          <cell r="O72285" t="str">
            <v/>
          </cell>
        </row>
        <row r="72286">
          <cell r="O72286" t="str">
            <v/>
          </cell>
        </row>
        <row r="72287">
          <cell r="O72287" t="str">
            <v/>
          </cell>
        </row>
        <row r="72288">
          <cell r="O72288" t="str">
            <v/>
          </cell>
        </row>
        <row r="72289">
          <cell r="O72289" t="str">
            <v/>
          </cell>
        </row>
        <row r="72290">
          <cell r="O72290" t="str">
            <v/>
          </cell>
        </row>
        <row r="72291">
          <cell r="O72291" t="str">
            <v/>
          </cell>
        </row>
        <row r="72292">
          <cell r="O72292" t="str">
            <v/>
          </cell>
        </row>
        <row r="72293">
          <cell r="O72293" t="str">
            <v/>
          </cell>
        </row>
        <row r="72294">
          <cell r="O72294" t="str">
            <v/>
          </cell>
        </row>
        <row r="72295">
          <cell r="O72295" t="str">
            <v/>
          </cell>
        </row>
        <row r="72296">
          <cell r="O72296" t="str">
            <v/>
          </cell>
        </row>
        <row r="72297">
          <cell r="O72297" t="str">
            <v/>
          </cell>
        </row>
        <row r="72298">
          <cell r="O72298" t="str">
            <v/>
          </cell>
        </row>
        <row r="72299">
          <cell r="O72299" t="str">
            <v/>
          </cell>
        </row>
        <row r="72300">
          <cell r="O72300" t="str">
            <v/>
          </cell>
        </row>
        <row r="72301">
          <cell r="O72301" t="str">
            <v/>
          </cell>
        </row>
        <row r="72302">
          <cell r="O72302" t="str">
            <v/>
          </cell>
        </row>
        <row r="72303">
          <cell r="O72303" t="str">
            <v/>
          </cell>
        </row>
        <row r="72304">
          <cell r="O72304" t="str">
            <v/>
          </cell>
        </row>
        <row r="72305">
          <cell r="O72305" t="str">
            <v/>
          </cell>
        </row>
        <row r="72306">
          <cell r="O72306" t="str">
            <v/>
          </cell>
        </row>
        <row r="72307">
          <cell r="O72307" t="str">
            <v/>
          </cell>
        </row>
        <row r="72308">
          <cell r="O72308" t="str">
            <v/>
          </cell>
        </row>
        <row r="72309">
          <cell r="O72309" t="str">
            <v/>
          </cell>
        </row>
        <row r="72310">
          <cell r="O72310" t="str">
            <v/>
          </cell>
        </row>
        <row r="72311">
          <cell r="O72311" t="str">
            <v/>
          </cell>
        </row>
        <row r="72312">
          <cell r="O72312" t="str">
            <v/>
          </cell>
        </row>
        <row r="72313">
          <cell r="O72313" t="str">
            <v/>
          </cell>
        </row>
        <row r="72314">
          <cell r="O72314" t="str">
            <v/>
          </cell>
        </row>
        <row r="72315">
          <cell r="O72315" t="str">
            <v/>
          </cell>
        </row>
        <row r="72316">
          <cell r="O72316" t="str">
            <v/>
          </cell>
        </row>
        <row r="72317">
          <cell r="O72317" t="str">
            <v/>
          </cell>
        </row>
        <row r="72318">
          <cell r="O72318" t="str">
            <v/>
          </cell>
        </row>
        <row r="72319">
          <cell r="O72319" t="str">
            <v/>
          </cell>
        </row>
        <row r="72320">
          <cell r="O72320" t="str">
            <v/>
          </cell>
        </row>
        <row r="72321">
          <cell r="O72321" t="str">
            <v/>
          </cell>
        </row>
        <row r="72322">
          <cell r="O72322" t="str">
            <v/>
          </cell>
        </row>
        <row r="72323">
          <cell r="O72323" t="str">
            <v/>
          </cell>
        </row>
        <row r="72324">
          <cell r="O72324" t="str">
            <v/>
          </cell>
        </row>
        <row r="72325">
          <cell r="O72325" t="str">
            <v/>
          </cell>
        </row>
        <row r="72326">
          <cell r="O72326" t="str">
            <v/>
          </cell>
        </row>
        <row r="72327">
          <cell r="O72327" t="str">
            <v/>
          </cell>
        </row>
        <row r="72328">
          <cell r="O72328" t="str">
            <v/>
          </cell>
        </row>
        <row r="72329">
          <cell r="O72329" t="str">
            <v/>
          </cell>
        </row>
        <row r="72330">
          <cell r="O72330" t="str">
            <v/>
          </cell>
        </row>
        <row r="72331">
          <cell r="O72331" t="str">
            <v/>
          </cell>
        </row>
        <row r="72332">
          <cell r="O72332" t="str">
            <v/>
          </cell>
        </row>
        <row r="72333">
          <cell r="O72333" t="str">
            <v/>
          </cell>
        </row>
        <row r="72334">
          <cell r="O72334" t="str">
            <v/>
          </cell>
        </row>
        <row r="72335">
          <cell r="O72335" t="str">
            <v/>
          </cell>
        </row>
        <row r="72336">
          <cell r="O72336" t="str">
            <v/>
          </cell>
        </row>
        <row r="72337">
          <cell r="O72337" t="str">
            <v/>
          </cell>
        </row>
        <row r="72338">
          <cell r="O72338" t="str">
            <v/>
          </cell>
        </row>
        <row r="72339">
          <cell r="O72339" t="str">
            <v/>
          </cell>
        </row>
        <row r="72340">
          <cell r="O72340" t="str">
            <v/>
          </cell>
        </row>
        <row r="72341">
          <cell r="O72341" t="str">
            <v/>
          </cell>
        </row>
        <row r="72342">
          <cell r="O72342" t="str">
            <v/>
          </cell>
        </row>
        <row r="72343">
          <cell r="O72343" t="str">
            <v/>
          </cell>
        </row>
        <row r="72344">
          <cell r="O72344" t="str">
            <v/>
          </cell>
        </row>
        <row r="72345">
          <cell r="O72345" t="str">
            <v/>
          </cell>
        </row>
        <row r="72346">
          <cell r="O72346" t="str">
            <v/>
          </cell>
        </row>
        <row r="72347">
          <cell r="O72347" t="str">
            <v/>
          </cell>
        </row>
        <row r="72348">
          <cell r="O72348" t="str">
            <v/>
          </cell>
        </row>
        <row r="72349">
          <cell r="O72349" t="str">
            <v/>
          </cell>
        </row>
        <row r="72350">
          <cell r="O72350" t="str">
            <v/>
          </cell>
        </row>
        <row r="72351">
          <cell r="O72351" t="str">
            <v/>
          </cell>
        </row>
        <row r="72352">
          <cell r="O72352" t="str">
            <v/>
          </cell>
        </row>
        <row r="72353">
          <cell r="O72353" t="str">
            <v/>
          </cell>
        </row>
        <row r="72354">
          <cell r="O72354" t="str">
            <v/>
          </cell>
        </row>
        <row r="72355">
          <cell r="O72355" t="str">
            <v/>
          </cell>
        </row>
        <row r="72356">
          <cell r="O72356" t="str">
            <v/>
          </cell>
        </row>
        <row r="72357">
          <cell r="O72357" t="str">
            <v/>
          </cell>
        </row>
        <row r="72358">
          <cell r="O72358" t="str">
            <v/>
          </cell>
        </row>
        <row r="72359">
          <cell r="O72359" t="str">
            <v/>
          </cell>
        </row>
        <row r="72360">
          <cell r="O72360" t="str">
            <v/>
          </cell>
        </row>
        <row r="72361">
          <cell r="O72361" t="str">
            <v/>
          </cell>
        </row>
        <row r="72362">
          <cell r="O72362" t="str">
            <v/>
          </cell>
        </row>
        <row r="72363">
          <cell r="O72363" t="str">
            <v/>
          </cell>
        </row>
        <row r="72364">
          <cell r="O72364" t="str">
            <v/>
          </cell>
        </row>
        <row r="72365">
          <cell r="O72365" t="str">
            <v/>
          </cell>
        </row>
        <row r="72366">
          <cell r="O72366" t="str">
            <v/>
          </cell>
        </row>
        <row r="72367">
          <cell r="O72367" t="str">
            <v/>
          </cell>
        </row>
        <row r="72368">
          <cell r="O72368" t="str">
            <v/>
          </cell>
        </row>
        <row r="72369">
          <cell r="O72369" t="str">
            <v/>
          </cell>
        </row>
        <row r="72370">
          <cell r="O72370" t="str">
            <v/>
          </cell>
        </row>
        <row r="72371">
          <cell r="O72371" t="str">
            <v/>
          </cell>
        </row>
        <row r="72372">
          <cell r="O72372" t="str">
            <v/>
          </cell>
        </row>
        <row r="72373">
          <cell r="O72373" t="str">
            <v/>
          </cell>
        </row>
        <row r="72374">
          <cell r="O72374" t="str">
            <v/>
          </cell>
        </row>
        <row r="72375">
          <cell r="O72375" t="str">
            <v/>
          </cell>
        </row>
        <row r="72376">
          <cell r="O72376" t="str">
            <v/>
          </cell>
        </row>
        <row r="72377">
          <cell r="O72377" t="str">
            <v/>
          </cell>
        </row>
        <row r="72378">
          <cell r="O72378" t="str">
            <v/>
          </cell>
        </row>
        <row r="72379">
          <cell r="O72379" t="str">
            <v/>
          </cell>
        </row>
        <row r="72380">
          <cell r="O72380" t="str">
            <v/>
          </cell>
        </row>
        <row r="72381">
          <cell r="O72381" t="str">
            <v/>
          </cell>
        </row>
        <row r="72382">
          <cell r="O72382" t="str">
            <v/>
          </cell>
        </row>
        <row r="72383">
          <cell r="O72383" t="str">
            <v/>
          </cell>
        </row>
        <row r="72384">
          <cell r="O72384" t="str">
            <v/>
          </cell>
        </row>
        <row r="72385">
          <cell r="O72385" t="str">
            <v/>
          </cell>
        </row>
        <row r="72386">
          <cell r="O72386" t="str">
            <v/>
          </cell>
        </row>
        <row r="72387">
          <cell r="O72387" t="str">
            <v/>
          </cell>
        </row>
        <row r="72388">
          <cell r="O72388" t="str">
            <v/>
          </cell>
        </row>
        <row r="72389">
          <cell r="O72389" t="str">
            <v/>
          </cell>
        </row>
        <row r="72390">
          <cell r="O72390" t="str">
            <v/>
          </cell>
        </row>
        <row r="72391">
          <cell r="O72391" t="str">
            <v/>
          </cell>
        </row>
        <row r="72392">
          <cell r="O72392" t="str">
            <v/>
          </cell>
        </row>
        <row r="72393">
          <cell r="O72393" t="str">
            <v/>
          </cell>
        </row>
        <row r="72394">
          <cell r="O72394" t="str">
            <v/>
          </cell>
        </row>
        <row r="72395">
          <cell r="O72395" t="str">
            <v/>
          </cell>
        </row>
        <row r="72396">
          <cell r="O72396" t="str">
            <v/>
          </cell>
        </row>
        <row r="72397">
          <cell r="O72397" t="str">
            <v/>
          </cell>
        </row>
        <row r="72398">
          <cell r="O72398" t="str">
            <v/>
          </cell>
        </row>
        <row r="72399">
          <cell r="O72399" t="str">
            <v/>
          </cell>
        </row>
        <row r="72400">
          <cell r="O72400" t="str">
            <v/>
          </cell>
        </row>
        <row r="72401">
          <cell r="O72401" t="str">
            <v/>
          </cell>
        </row>
        <row r="72402">
          <cell r="O72402" t="str">
            <v/>
          </cell>
        </row>
        <row r="72403">
          <cell r="O72403" t="str">
            <v/>
          </cell>
        </row>
        <row r="72404">
          <cell r="O72404" t="str">
            <v/>
          </cell>
        </row>
        <row r="72405">
          <cell r="O72405" t="str">
            <v/>
          </cell>
        </row>
        <row r="72406">
          <cell r="O72406" t="str">
            <v/>
          </cell>
        </row>
        <row r="72407">
          <cell r="O72407" t="str">
            <v/>
          </cell>
        </row>
        <row r="72408">
          <cell r="O72408" t="str">
            <v/>
          </cell>
        </row>
        <row r="72409">
          <cell r="O72409" t="str">
            <v/>
          </cell>
        </row>
        <row r="72410">
          <cell r="O72410" t="str">
            <v/>
          </cell>
        </row>
        <row r="72411">
          <cell r="O72411" t="str">
            <v/>
          </cell>
        </row>
        <row r="72412">
          <cell r="O72412" t="str">
            <v/>
          </cell>
        </row>
        <row r="72413">
          <cell r="O72413" t="str">
            <v/>
          </cell>
        </row>
        <row r="72414">
          <cell r="O72414" t="str">
            <v/>
          </cell>
        </row>
        <row r="72415">
          <cell r="O72415" t="str">
            <v/>
          </cell>
        </row>
        <row r="72416">
          <cell r="O72416" t="str">
            <v/>
          </cell>
        </row>
        <row r="72417">
          <cell r="O72417" t="str">
            <v/>
          </cell>
        </row>
        <row r="72418">
          <cell r="O72418" t="str">
            <v/>
          </cell>
        </row>
        <row r="72419">
          <cell r="O72419" t="str">
            <v/>
          </cell>
        </row>
        <row r="72420">
          <cell r="O72420" t="str">
            <v/>
          </cell>
        </row>
        <row r="72421">
          <cell r="O72421" t="str">
            <v/>
          </cell>
        </row>
        <row r="72422">
          <cell r="O72422" t="str">
            <v/>
          </cell>
        </row>
        <row r="72423">
          <cell r="O72423" t="str">
            <v/>
          </cell>
        </row>
        <row r="72424">
          <cell r="O72424" t="str">
            <v/>
          </cell>
        </row>
        <row r="72425">
          <cell r="O72425" t="str">
            <v/>
          </cell>
        </row>
        <row r="72426">
          <cell r="O72426" t="str">
            <v/>
          </cell>
        </row>
        <row r="72427">
          <cell r="O72427" t="str">
            <v/>
          </cell>
        </row>
        <row r="72428">
          <cell r="O72428" t="str">
            <v/>
          </cell>
        </row>
        <row r="72429">
          <cell r="O72429" t="str">
            <v/>
          </cell>
        </row>
        <row r="72430">
          <cell r="O72430" t="str">
            <v/>
          </cell>
        </row>
        <row r="72431">
          <cell r="O72431" t="str">
            <v/>
          </cell>
        </row>
        <row r="72432">
          <cell r="O72432" t="str">
            <v/>
          </cell>
        </row>
        <row r="72433">
          <cell r="O72433" t="str">
            <v/>
          </cell>
        </row>
        <row r="72434">
          <cell r="O72434" t="str">
            <v/>
          </cell>
        </row>
        <row r="72435">
          <cell r="O72435" t="str">
            <v/>
          </cell>
        </row>
        <row r="72436">
          <cell r="O72436" t="str">
            <v/>
          </cell>
        </row>
        <row r="72437">
          <cell r="O72437" t="str">
            <v/>
          </cell>
        </row>
        <row r="72438">
          <cell r="O72438" t="str">
            <v/>
          </cell>
        </row>
        <row r="72439">
          <cell r="O72439" t="str">
            <v/>
          </cell>
        </row>
        <row r="72440">
          <cell r="O72440" t="str">
            <v/>
          </cell>
        </row>
        <row r="72441">
          <cell r="O72441" t="str">
            <v/>
          </cell>
        </row>
        <row r="72442">
          <cell r="O72442" t="str">
            <v/>
          </cell>
        </row>
        <row r="72443">
          <cell r="O72443" t="str">
            <v/>
          </cell>
        </row>
        <row r="72444">
          <cell r="O72444" t="str">
            <v/>
          </cell>
        </row>
        <row r="72445">
          <cell r="O72445" t="str">
            <v/>
          </cell>
        </row>
        <row r="72446">
          <cell r="O72446" t="str">
            <v/>
          </cell>
        </row>
        <row r="72447">
          <cell r="O72447" t="str">
            <v/>
          </cell>
        </row>
        <row r="72448">
          <cell r="O72448" t="str">
            <v/>
          </cell>
        </row>
        <row r="72449">
          <cell r="O72449" t="str">
            <v/>
          </cell>
        </row>
        <row r="72450">
          <cell r="O72450" t="str">
            <v/>
          </cell>
        </row>
        <row r="72451">
          <cell r="O72451" t="str">
            <v/>
          </cell>
        </row>
        <row r="72452">
          <cell r="O72452" t="str">
            <v/>
          </cell>
        </row>
        <row r="72453">
          <cell r="O72453" t="str">
            <v/>
          </cell>
        </row>
        <row r="72454">
          <cell r="O72454" t="str">
            <v/>
          </cell>
        </row>
        <row r="72455">
          <cell r="O72455" t="str">
            <v/>
          </cell>
        </row>
        <row r="72456">
          <cell r="O72456" t="str">
            <v/>
          </cell>
        </row>
        <row r="72457">
          <cell r="O72457" t="str">
            <v/>
          </cell>
        </row>
        <row r="72458">
          <cell r="O72458" t="str">
            <v/>
          </cell>
        </row>
        <row r="72459">
          <cell r="O72459" t="str">
            <v/>
          </cell>
        </row>
        <row r="72460">
          <cell r="O72460" t="str">
            <v/>
          </cell>
        </row>
        <row r="72461">
          <cell r="O72461" t="str">
            <v/>
          </cell>
        </row>
        <row r="72462">
          <cell r="O72462" t="str">
            <v/>
          </cell>
        </row>
        <row r="72463">
          <cell r="O72463" t="str">
            <v/>
          </cell>
        </row>
        <row r="72464">
          <cell r="O72464" t="str">
            <v/>
          </cell>
        </row>
        <row r="72465">
          <cell r="O72465" t="str">
            <v/>
          </cell>
        </row>
        <row r="72466">
          <cell r="O72466" t="str">
            <v/>
          </cell>
        </row>
        <row r="72467">
          <cell r="O72467" t="str">
            <v/>
          </cell>
        </row>
        <row r="72468">
          <cell r="O72468" t="str">
            <v/>
          </cell>
        </row>
        <row r="72469">
          <cell r="O72469" t="str">
            <v/>
          </cell>
        </row>
        <row r="72470">
          <cell r="O72470" t="str">
            <v/>
          </cell>
        </row>
        <row r="72471">
          <cell r="O72471" t="str">
            <v/>
          </cell>
        </row>
        <row r="72472">
          <cell r="O72472" t="str">
            <v/>
          </cell>
        </row>
        <row r="72473">
          <cell r="O72473" t="str">
            <v/>
          </cell>
        </row>
        <row r="72474">
          <cell r="O72474" t="str">
            <v/>
          </cell>
        </row>
        <row r="72475">
          <cell r="O72475" t="str">
            <v/>
          </cell>
        </row>
        <row r="72476">
          <cell r="O72476" t="str">
            <v/>
          </cell>
        </row>
        <row r="72477">
          <cell r="O72477" t="str">
            <v/>
          </cell>
        </row>
        <row r="72478">
          <cell r="O72478" t="str">
            <v/>
          </cell>
        </row>
        <row r="72479">
          <cell r="O72479" t="str">
            <v/>
          </cell>
        </row>
        <row r="72480">
          <cell r="O72480" t="str">
            <v/>
          </cell>
        </row>
        <row r="72481">
          <cell r="O72481" t="str">
            <v/>
          </cell>
        </row>
        <row r="72482">
          <cell r="O72482" t="str">
            <v/>
          </cell>
        </row>
        <row r="72483">
          <cell r="O72483" t="str">
            <v/>
          </cell>
        </row>
        <row r="72484">
          <cell r="O72484" t="str">
            <v/>
          </cell>
        </row>
        <row r="72485">
          <cell r="O72485" t="str">
            <v/>
          </cell>
        </row>
        <row r="72486">
          <cell r="O72486" t="str">
            <v/>
          </cell>
        </row>
        <row r="72487">
          <cell r="O72487" t="str">
            <v/>
          </cell>
        </row>
        <row r="72488">
          <cell r="O72488" t="str">
            <v/>
          </cell>
        </row>
        <row r="72489">
          <cell r="O72489" t="str">
            <v/>
          </cell>
        </row>
        <row r="72490">
          <cell r="O72490" t="str">
            <v/>
          </cell>
        </row>
        <row r="72491">
          <cell r="O72491" t="str">
            <v/>
          </cell>
        </row>
        <row r="72492">
          <cell r="O72492" t="str">
            <v/>
          </cell>
        </row>
        <row r="72493">
          <cell r="O72493" t="str">
            <v/>
          </cell>
        </row>
        <row r="72494">
          <cell r="O72494" t="str">
            <v/>
          </cell>
        </row>
        <row r="72495">
          <cell r="O72495" t="str">
            <v/>
          </cell>
        </row>
        <row r="72496">
          <cell r="O72496" t="str">
            <v/>
          </cell>
        </row>
        <row r="72497">
          <cell r="O72497" t="str">
            <v/>
          </cell>
        </row>
        <row r="72498">
          <cell r="O72498" t="str">
            <v/>
          </cell>
        </row>
        <row r="72499">
          <cell r="O72499" t="str">
            <v/>
          </cell>
        </row>
        <row r="72500">
          <cell r="O72500" t="str">
            <v/>
          </cell>
        </row>
        <row r="72501">
          <cell r="O72501" t="str">
            <v/>
          </cell>
        </row>
        <row r="72502">
          <cell r="O72502" t="str">
            <v/>
          </cell>
        </row>
        <row r="72503">
          <cell r="O72503" t="str">
            <v/>
          </cell>
        </row>
        <row r="72504">
          <cell r="O72504" t="str">
            <v/>
          </cell>
        </row>
        <row r="72505">
          <cell r="O72505" t="str">
            <v/>
          </cell>
        </row>
        <row r="72506">
          <cell r="O72506" t="str">
            <v/>
          </cell>
        </row>
        <row r="72507">
          <cell r="O72507" t="str">
            <v/>
          </cell>
        </row>
        <row r="72508">
          <cell r="O72508" t="str">
            <v/>
          </cell>
        </row>
        <row r="72509">
          <cell r="O72509" t="str">
            <v/>
          </cell>
        </row>
        <row r="72510">
          <cell r="O72510" t="str">
            <v/>
          </cell>
        </row>
        <row r="72511">
          <cell r="O72511" t="str">
            <v/>
          </cell>
        </row>
        <row r="72512">
          <cell r="O72512" t="str">
            <v/>
          </cell>
        </row>
        <row r="72513">
          <cell r="O72513" t="str">
            <v/>
          </cell>
        </row>
        <row r="72514">
          <cell r="O72514" t="str">
            <v/>
          </cell>
        </row>
        <row r="72515">
          <cell r="O72515" t="str">
            <v/>
          </cell>
        </row>
        <row r="72516">
          <cell r="O72516" t="str">
            <v/>
          </cell>
        </row>
        <row r="72517">
          <cell r="O72517" t="str">
            <v/>
          </cell>
        </row>
        <row r="72518">
          <cell r="O72518" t="str">
            <v/>
          </cell>
        </row>
        <row r="72519">
          <cell r="O72519" t="str">
            <v/>
          </cell>
        </row>
        <row r="72520">
          <cell r="O72520" t="str">
            <v/>
          </cell>
        </row>
        <row r="72521">
          <cell r="O72521" t="str">
            <v/>
          </cell>
        </row>
        <row r="72522">
          <cell r="O72522" t="str">
            <v/>
          </cell>
        </row>
        <row r="72523">
          <cell r="O72523" t="str">
            <v/>
          </cell>
        </row>
        <row r="72524">
          <cell r="O72524" t="str">
            <v/>
          </cell>
        </row>
        <row r="72525">
          <cell r="O72525" t="str">
            <v/>
          </cell>
        </row>
        <row r="72526">
          <cell r="O72526" t="str">
            <v/>
          </cell>
        </row>
        <row r="72527">
          <cell r="O72527" t="str">
            <v/>
          </cell>
        </row>
        <row r="72528">
          <cell r="O72528" t="str">
            <v/>
          </cell>
        </row>
        <row r="72529">
          <cell r="O72529" t="str">
            <v/>
          </cell>
        </row>
        <row r="72530">
          <cell r="O72530" t="str">
            <v/>
          </cell>
        </row>
        <row r="72531">
          <cell r="O72531" t="str">
            <v/>
          </cell>
        </row>
        <row r="72532">
          <cell r="O72532" t="str">
            <v/>
          </cell>
        </row>
        <row r="72533">
          <cell r="O72533" t="str">
            <v/>
          </cell>
        </row>
        <row r="72534">
          <cell r="O72534" t="str">
            <v/>
          </cell>
        </row>
        <row r="72535">
          <cell r="O72535" t="str">
            <v/>
          </cell>
        </row>
        <row r="72536">
          <cell r="O72536" t="str">
            <v/>
          </cell>
        </row>
        <row r="72537">
          <cell r="O72537" t="str">
            <v/>
          </cell>
        </row>
        <row r="72538">
          <cell r="O72538" t="str">
            <v/>
          </cell>
        </row>
        <row r="72539">
          <cell r="O72539" t="str">
            <v/>
          </cell>
        </row>
        <row r="72540">
          <cell r="O72540" t="str">
            <v/>
          </cell>
        </row>
        <row r="72541">
          <cell r="O72541" t="str">
            <v/>
          </cell>
        </row>
        <row r="72542">
          <cell r="O72542" t="str">
            <v/>
          </cell>
        </row>
        <row r="72543">
          <cell r="O72543" t="str">
            <v/>
          </cell>
        </row>
        <row r="72544">
          <cell r="O72544" t="str">
            <v/>
          </cell>
        </row>
        <row r="72545">
          <cell r="O72545" t="str">
            <v/>
          </cell>
        </row>
        <row r="72546">
          <cell r="O72546" t="str">
            <v/>
          </cell>
        </row>
        <row r="72547">
          <cell r="O72547" t="str">
            <v/>
          </cell>
        </row>
        <row r="72548">
          <cell r="O72548" t="str">
            <v/>
          </cell>
        </row>
        <row r="72549">
          <cell r="O72549" t="str">
            <v/>
          </cell>
        </row>
        <row r="72550">
          <cell r="O72550" t="str">
            <v/>
          </cell>
        </row>
        <row r="72551">
          <cell r="O72551" t="str">
            <v/>
          </cell>
        </row>
        <row r="72552">
          <cell r="O72552" t="str">
            <v/>
          </cell>
        </row>
        <row r="72553">
          <cell r="O72553" t="str">
            <v/>
          </cell>
        </row>
        <row r="72554">
          <cell r="O72554" t="str">
            <v/>
          </cell>
        </row>
        <row r="72555">
          <cell r="O72555" t="str">
            <v/>
          </cell>
        </row>
        <row r="72556">
          <cell r="O72556" t="str">
            <v/>
          </cell>
        </row>
        <row r="72557">
          <cell r="O72557" t="str">
            <v/>
          </cell>
        </row>
        <row r="72558">
          <cell r="O72558" t="str">
            <v/>
          </cell>
        </row>
        <row r="72559">
          <cell r="O72559" t="str">
            <v/>
          </cell>
        </row>
        <row r="72560">
          <cell r="O72560" t="str">
            <v/>
          </cell>
        </row>
        <row r="72561">
          <cell r="O72561" t="str">
            <v/>
          </cell>
        </row>
        <row r="72562">
          <cell r="O72562" t="str">
            <v/>
          </cell>
        </row>
        <row r="72563">
          <cell r="O72563" t="str">
            <v/>
          </cell>
        </row>
        <row r="72564">
          <cell r="O72564" t="str">
            <v/>
          </cell>
        </row>
        <row r="72565">
          <cell r="O72565" t="str">
            <v/>
          </cell>
        </row>
        <row r="72566">
          <cell r="O72566" t="str">
            <v/>
          </cell>
        </row>
        <row r="72567">
          <cell r="O72567" t="str">
            <v/>
          </cell>
        </row>
        <row r="72568">
          <cell r="O72568" t="str">
            <v/>
          </cell>
        </row>
        <row r="72569">
          <cell r="O72569" t="str">
            <v/>
          </cell>
        </row>
        <row r="72570">
          <cell r="O72570" t="str">
            <v/>
          </cell>
        </row>
        <row r="72571">
          <cell r="O72571" t="str">
            <v/>
          </cell>
        </row>
        <row r="72572">
          <cell r="O72572" t="str">
            <v/>
          </cell>
        </row>
        <row r="72573">
          <cell r="O72573" t="str">
            <v/>
          </cell>
        </row>
        <row r="72574">
          <cell r="O72574" t="str">
            <v/>
          </cell>
        </row>
        <row r="72575">
          <cell r="O72575" t="str">
            <v/>
          </cell>
        </row>
        <row r="72576">
          <cell r="O72576" t="str">
            <v/>
          </cell>
        </row>
        <row r="72577">
          <cell r="O72577" t="str">
            <v/>
          </cell>
        </row>
        <row r="72578">
          <cell r="O72578" t="str">
            <v/>
          </cell>
        </row>
        <row r="72579">
          <cell r="O72579" t="str">
            <v/>
          </cell>
        </row>
        <row r="72580">
          <cell r="O72580" t="str">
            <v/>
          </cell>
        </row>
        <row r="72581">
          <cell r="O72581" t="str">
            <v/>
          </cell>
        </row>
        <row r="72582">
          <cell r="O72582" t="str">
            <v/>
          </cell>
        </row>
        <row r="72583">
          <cell r="O72583" t="str">
            <v/>
          </cell>
        </row>
        <row r="72584">
          <cell r="O72584" t="str">
            <v/>
          </cell>
        </row>
        <row r="72585">
          <cell r="O72585" t="str">
            <v/>
          </cell>
        </row>
        <row r="72586">
          <cell r="O72586" t="str">
            <v/>
          </cell>
        </row>
        <row r="72587">
          <cell r="O72587" t="str">
            <v/>
          </cell>
        </row>
        <row r="72588">
          <cell r="O72588" t="str">
            <v/>
          </cell>
        </row>
        <row r="72589">
          <cell r="O72589" t="str">
            <v/>
          </cell>
        </row>
        <row r="72590">
          <cell r="O72590" t="str">
            <v/>
          </cell>
        </row>
        <row r="72591">
          <cell r="O72591" t="str">
            <v/>
          </cell>
        </row>
        <row r="72592">
          <cell r="O72592" t="str">
            <v/>
          </cell>
        </row>
        <row r="72593">
          <cell r="O72593" t="str">
            <v/>
          </cell>
        </row>
        <row r="72594">
          <cell r="O72594" t="str">
            <v/>
          </cell>
        </row>
        <row r="72595">
          <cell r="O72595" t="str">
            <v/>
          </cell>
        </row>
        <row r="72596">
          <cell r="O72596" t="str">
            <v/>
          </cell>
        </row>
        <row r="72597">
          <cell r="O72597" t="str">
            <v/>
          </cell>
        </row>
        <row r="72598">
          <cell r="O72598" t="str">
            <v/>
          </cell>
        </row>
        <row r="72599">
          <cell r="O72599" t="str">
            <v/>
          </cell>
        </row>
        <row r="72600">
          <cell r="O72600" t="str">
            <v/>
          </cell>
        </row>
        <row r="72601">
          <cell r="O72601" t="str">
            <v/>
          </cell>
        </row>
        <row r="72602">
          <cell r="O72602" t="str">
            <v/>
          </cell>
        </row>
        <row r="72603">
          <cell r="O72603" t="str">
            <v/>
          </cell>
        </row>
        <row r="72604">
          <cell r="O72604" t="str">
            <v/>
          </cell>
        </row>
        <row r="72605">
          <cell r="O72605" t="str">
            <v/>
          </cell>
        </row>
        <row r="72606">
          <cell r="O72606" t="str">
            <v/>
          </cell>
        </row>
        <row r="72607">
          <cell r="O72607" t="str">
            <v/>
          </cell>
        </row>
        <row r="72608">
          <cell r="O72608" t="str">
            <v/>
          </cell>
        </row>
        <row r="72609">
          <cell r="O72609" t="str">
            <v/>
          </cell>
        </row>
        <row r="72610">
          <cell r="O72610" t="str">
            <v/>
          </cell>
        </row>
        <row r="72611">
          <cell r="O72611" t="str">
            <v/>
          </cell>
        </row>
        <row r="72612">
          <cell r="O72612" t="str">
            <v/>
          </cell>
        </row>
        <row r="72613">
          <cell r="O72613" t="str">
            <v/>
          </cell>
        </row>
        <row r="72614">
          <cell r="O72614" t="str">
            <v/>
          </cell>
        </row>
        <row r="72615">
          <cell r="O72615" t="str">
            <v/>
          </cell>
        </row>
        <row r="72616">
          <cell r="O72616" t="str">
            <v/>
          </cell>
        </row>
        <row r="72617">
          <cell r="O72617" t="str">
            <v/>
          </cell>
        </row>
        <row r="72618">
          <cell r="O72618" t="str">
            <v/>
          </cell>
        </row>
        <row r="72619">
          <cell r="O72619" t="str">
            <v/>
          </cell>
        </row>
        <row r="72620">
          <cell r="O72620" t="str">
            <v/>
          </cell>
        </row>
        <row r="72621">
          <cell r="O72621" t="str">
            <v/>
          </cell>
        </row>
        <row r="72622">
          <cell r="O72622" t="str">
            <v/>
          </cell>
        </row>
        <row r="72623">
          <cell r="O72623" t="str">
            <v/>
          </cell>
        </row>
        <row r="72624">
          <cell r="O72624" t="str">
            <v/>
          </cell>
        </row>
        <row r="72625">
          <cell r="O72625" t="str">
            <v/>
          </cell>
        </row>
        <row r="72626">
          <cell r="O72626" t="str">
            <v/>
          </cell>
        </row>
        <row r="72627">
          <cell r="O72627" t="str">
            <v/>
          </cell>
        </row>
        <row r="72628">
          <cell r="O72628" t="str">
            <v/>
          </cell>
        </row>
        <row r="72629">
          <cell r="O72629" t="str">
            <v/>
          </cell>
        </row>
        <row r="72630">
          <cell r="O72630" t="str">
            <v/>
          </cell>
        </row>
        <row r="72631">
          <cell r="O72631" t="str">
            <v/>
          </cell>
        </row>
        <row r="72632">
          <cell r="O72632" t="str">
            <v/>
          </cell>
        </row>
        <row r="72633">
          <cell r="O72633" t="str">
            <v/>
          </cell>
        </row>
        <row r="72634">
          <cell r="O72634" t="str">
            <v/>
          </cell>
        </row>
        <row r="72635">
          <cell r="O72635" t="str">
            <v/>
          </cell>
        </row>
        <row r="72636">
          <cell r="O72636" t="str">
            <v/>
          </cell>
        </row>
        <row r="72637">
          <cell r="O72637" t="str">
            <v/>
          </cell>
        </row>
        <row r="72638">
          <cell r="O72638" t="str">
            <v/>
          </cell>
        </row>
        <row r="72639">
          <cell r="O72639" t="str">
            <v/>
          </cell>
        </row>
        <row r="72640">
          <cell r="O72640" t="str">
            <v/>
          </cell>
        </row>
        <row r="72641">
          <cell r="O72641" t="str">
            <v/>
          </cell>
        </row>
        <row r="72642">
          <cell r="O72642" t="str">
            <v/>
          </cell>
        </row>
        <row r="72643">
          <cell r="O72643" t="str">
            <v/>
          </cell>
        </row>
        <row r="72644">
          <cell r="O72644" t="str">
            <v/>
          </cell>
        </row>
        <row r="72645">
          <cell r="O72645" t="str">
            <v/>
          </cell>
        </row>
        <row r="72646">
          <cell r="O72646" t="str">
            <v/>
          </cell>
        </row>
        <row r="72647">
          <cell r="O72647" t="str">
            <v/>
          </cell>
        </row>
        <row r="72648">
          <cell r="O72648" t="str">
            <v/>
          </cell>
        </row>
        <row r="72649">
          <cell r="O72649" t="str">
            <v/>
          </cell>
        </row>
        <row r="72650">
          <cell r="O72650" t="str">
            <v/>
          </cell>
        </row>
        <row r="72651">
          <cell r="O72651" t="str">
            <v/>
          </cell>
        </row>
        <row r="72652">
          <cell r="O72652" t="str">
            <v/>
          </cell>
        </row>
        <row r="72653">
          <cell r="O72653" t="str">
            <v/>
          </cell>
        </row>
        <row r="72654">
          <cell r="O72654" t="str">
            <v/>
          </cell>
        </row>
        <row r="72655">
          <cell r="O72655" t="str">
            <v/>
          </cell>
        </row>
        <row r="72656">
          <cell r="O72656" t="str">
            <v/>
          </cell>
        </row>
        <row r="72657">
          <cell r="O72657" t="str">
            <v/>
          </cell>
        </row>
        <row r="72658">
          <cell r="O72658" t="str">
            <v/>
          </cell>
        </row>
        <row r="72659">
          <cell r="O72659" t="str">
            <v/>
          </cell>
        </row>
        <row r="72660">
          <cell r="O72660" t="str">
            <v/>
          </cell>
        </row>
        <row r="72661">
          <cell r="O72661" t="str">
            <v/>
          </cell>
        </row>
        <row r="72662">
          <cell r="O72662" t="str">
            <v/>
          </cell>
        </row>
        <row r="72663">
          <cell r="O72663" t="str">
            <v/>
          </cell>
        </row>
        <row r="72664">
          <cell r="O72664" t="str">
            <v/>
          </cell>
        </row>
        <row r="72665">
          <cell r="O72665" t="str">
            <v/>
          </cell>
        </row>
        <row r="72666">
          <cell r="O72666" t="str">
            <v/>
          </cell>
        </row>
        <row r="72667">
          <cell r="O72667" t="str">
            <v/>
          </cell>
        </row>
        <row r="72668">
          <cell r="O72668" t="str">
            <v/>
          </cell>
        </row>
        <row r="72669">
          <cell r="O72669" t="str">
            <v/>
          </cell>
        </row>
        <row r="72670">
          <cell r="O72670" t="str">
            <v/>
          </cell>
        </row>
        <row r="72671">
          <cell r="O72671" t="str">
            <v/>
          </cell>
        </row>
        <row r="72672">
          <cell r="O72672" t="str">
            <v/>
          </cell>
        </row>
        <row r="72673">
          <cell r="O72673" t="str">
            <v/>
          </cell>
        </row>
        <row r="72674">
          <cell r="O72674" t="str">
            <v/>
          </cell>
        </row>
        <row r="72675">
          <cell r="O72675" t="str">
            <v/>
          </cell>
        </row>
        <row r="72676">
          <cell r="O72676" t="str">
            <v/>
          </cell>
        </row>
        <row r="72677">
          <cell r="O72677" t="str">
            <v/>
          </cell>
        </row>
        <row r="72678">
          <cell r="O72678" t="str">
            <v/>
          </cell>
        </row>
        <row r="72679">
          <cell r="O72679" t="str">
            <v/>
          </cell>
        </row>
        <row r="72680">
          <cell r="O72680" t="str">
            <v/>
          </cell>
        </row>
        <row r="72681">
          <cell r="O72681" t="str">
            <v/>
          </cell>
        </row>
        <row r="72682">
          <cell r="O72682" t="str">
            <v/>
          </cell>
        </row>
        <row r="72683">
          <cell r="O72683" t="str">
            <v/>
          </cell>
        </row>
        <row r="72684">
          <cell r="O72684" t="str">
            <v/>
          </cell>
        </row>
        <row r="72685">
          <cell r="O72685" t="str">
            <v/>
          </cell>
        </row>
        <row r="72686">
          <cell r="O72686" t="str">
            <v/>
          </cell>
        </row>
        <row r="72687">
          <cell r="O72687" t="str">
            <v/>
          </cell>
        </row>
        <row r="72688">
          <cell r="O72688" t="str">
            <v/>
          </cell>
        </row>
        <row r="72689">
          <cell r="O72689" t="str">
            <v/>
          </cell>
        </row>
        <row r="72690">
          <cell r="O72690" t="str">
            <v/>
          </cell>
        </row>
        <row r="72691">
          <cell r="O72691" t="str">
            <v/>
          </cell>
        </row>
        <row r="72692">
          <cell r="O72692" t="str">
            <v/>
          </cell>
        </row>
        <row r="72693">
          <cell r="O72693" t="str">
            <v/>
          </cell>
        </row>
        <row r="72694">
          <cell r="O72694" t="str">
            <v/>
          </cell>
        </row>
        <row r="72695">
          <cell r="O72695" t="str">
            <v/>
          </cell>
        </row>
        <row r="72696">
          <cell r="O72696" t="str">
            <v/>
          </cell>
        </row>
        <row r="72697">
          <cell r="O72697" t="str">
            <v/>
          </cell>
        </row>
        <row r="72698">
          <cell r="O72698" t="str">
            <v/>
          </cell>
        </row>
        <row r="72699">
          <cell r="O72699" t="str">
            <v/>
          </cell>
        </row>
        <row r="72700">
          <cell r="O72700" t="str">
            <v/>
          </cell>
        </row>
        <row r="72701">
          <cell r="O72701" t="str">
            <v/>
          </cell>
        </row>
        <row r="72702">
          <cell r="O72702" t="str">
            <v/>
          </cell>
        </row>
        <row r="72703">
          <cell r="O72703" t="str">
            <v/>
          </cell>
        </row>
        <row r="72704">
          <cell r="O72704" t="str">
            <v/>
          </cell>
        </row>
        <row r="72705">
          <cell r="O72705" t="str">
            <v/>
          </cell>
        </row>
        <row r="72706">
          <cell r="O72706" t="str">
            <v/>
          </cell>
        </row>
        <row r="72707">
          <cell r="O72707" t="str">
            <v/>
          </cell>
        </row>
        <row r="72708">
          <cell r="O72708" t="str">
            <v/>
          </cell>
        </row>
        <row r="72709">
          <cell r="O72709" t="str">
            <v/>
          </cell>
        </row>
        <row r="72710">
          <cell r="O72710" t="str">
            <v/>
          </cell>
        </row>
        <row r="72711">
          <cell r="O72711" t="str">
            <v/>
          </cell>
        </row>
        <row r="72712">
          <cell r="O72712" t="str">
            <v/>
          </cell>
        </row>
        <row r="72713">
          <cell r="O72713" t="str">
            <v/>
          </cell>
        </row>
        <row r="72714">
          <cell r="O72714" t="str">
            <v/>
          </cell>
        </row>
        <row r="72715">
          <cell r="O72715" t="str">
            <v/>
          </cell>
        </row>
        <row r="72716">
          <cell r="O72716" t="str">
            <v/>
          </cell>
        </row>
        <row r="72717">
          <cell r="O72717" t="str">
            <v/>
          </cell>
        </row>
        <row r="72718">
          <cell r="O72718" t="str">
            <v/>
          </cell>
        </row>
        <row r="72719">
          <cell r="O72719" t="str">
            <v/>
          </cell>
        </row>
        <row r="72720">
          <cell r="O72720" t="str">
            <v/>
          </cell>
        </row>
        <row r="72721">
          <cell r="O72721" t="str">
            <v/>
          </cell>
        </row>
        <row r="72722">
          <cell r="O72722" t="str">
            <v/>
          </cell>
        </row>
        <row r="72723">
          <cell r="O72723" t="str">
            <v/>
          </cell>
        </row>
        <row r="72724">
          <cell r="O72724" t="str">
            <v/>
          </cell>
        </row>
        <row r="72725">
          <cell r="O72725" t="str">
            <v/>
          </cell>
        </row>
        <row r="72726">
          <cell r="O72726" t="str">
            <v/>
          </cell>
        </row>
        <row r="72727">
          <cell r="O72727" t="str">
            <v/>
          </cell>
        </row>
        <row r="72728">
          <cell r="O72728" t="str">
            <v/>
          </cell>
        </row>
        <row r="72729">
          <cell r="O72729" t="str">
            <v/>
          </cell>
        </row>
        <row r="72730">
          <cell r="O72730" t="str">
            <v/>
          </cell>
        </row>
        <row r="72731">
          <cell r="O72731" t="str">
            <v/>
          </cell>
        </row>
        <row r="72732">
          <cell r="O72732" t="str">
            <v/>
          </cell>
        </row>
        <row r="72733">
          <cell r="O72733" t="str">
            <v/>
          </cell>
        </row>
        <row r="72734">
          <cell r="O72734" t="str">
            <v/>
          </cell>
        </row>
        <row r="72735">
          <cell r="O72735" t="str">
            <v/>
          </cell>
        </row>
        <row r="72736">
          <cell r="O72736" t="str">
            <v/>
          </cell>
        </row>
        <row r="72737">
          <cell r="O72737" t="str">
            <v/>
          </cell>
        </row>
        <row r="72738">
          <cell r="O72738" t="str">
            <v/>
          </cell>
        </row>
        <row r="72739">
          <cell r="O72739" t="str">
            <v/>
          </cell>
        </row>
        <row r="72740">
          <cell r="O72740" t="str">
            <v/>
          </cell>
        </row>
        <row r="72741">
          <cell r="O72741" t="str">
            <v/>
          </cell>
        </row>
        <row r="72742">
          <cell r="O72742" t="str">
            <v/>
          </cell>
        </row>
        <row r="72743">
          <cell r="O72743" t="str">
            <v/>
          </cell>
        </row>
        <row r="72744">
          <cell r="O72744" t="str">
            <v/>
          </cell>
        </row>
        <row r="72745">
          <cell r="O72745" t="str">
            <v/>
          </cell>
        </row>
        <row r="72746">
          <cell r="O72746" t="str">
            <v/>
          </cell>
        </row>
        <row r="72747">
          <cell r="O72747" t="str">
            <v/>
          </cell>
        </row>
        <row r="72748">
          <cell r="O72748" t="str">
            <v/>
          </cell>
        </row>
        <row r="72749">
          <cell r="O72749" t="str">
            <v/>
          </cell>
        </row>
        <row r="72750">
          <cell r="O72750" t="str">
            <v/>
          </cell>
        </row>
        <row r="72751">
          <cell r="O72751" t="str">
            <v/>
          </cell>
        </row>
        <row r="72752">
          <cell r="O72752" t="str">
            <v/>
          </cell>
        </row>
        <row r="72753">
          <cell r="O72753" t="str">
            <v/>
          </cell>
        </row>
        <row r="72754">
          <cell r="O72754" t="str">
            <v/>
          </cell>
        </row>
        <row r="72755">
          <cell r="O72755" t="str">
            <v/>
          </cell>
        </row>
        <row r="72756">
          <cell r="O72756" t="str">
            <v/>
          </cell>
        </row>
        <row r="72757">
          <cell r="O72757" t="str">
            <v/>
          </cell>
        </row>
        <row r="72758">
          <cell r="O72758" t="str">
            <v/>
          </cell>
        </row>
        <row r="72759">
          <cell r="O72759" t="str">
            <v/>
          </cell>
        </row>
        <row r="72760">
          <cell r="O72760" t="str">
            <v/>
          </cell>
        </row>
        <row r="72761">
          <cell r="O72761" t="str">
            <v/>
          </cell>
        </row>
        <row r="72762">
          <cell r="O72762" t="str">
            <v/>
          </cell>
        </row>
        <row r="72763">
          <cell r="O72763" t="str">
            <v/>
          </cell>
        </row>
        <row r="72764">
          <cell r="O72764" t="str">
            <v/>
          </cell>
        </row>
        <row r="72765">
          <cell r="O72765" t="str">
            <v/>
          </cell>
        </row>
        <row r="72766">
          <cell r="O72766" t="str">
            <v/>
          </cell>
        </row>
        <row r="72767">
          <cell r="O72767" t="str">
            <v/>
          </cell>
        </row>
        <row r="72768">
          <cell r="O72768" t="str">
            <v/>
          </cell>
        </row>
        <row r="72769">
          <cell r="O72769" t="str">
            <v/>
          </cell>
        </row>
        <row r="72770">
          <cell r="O72770" t="str">
            <v/>
          </cell>
        </row>
        <row r="72771">
          <cell r="O72771" t="str">
            <v/>
          </cell>
        </row>
        <row r="72772">
          <cell r="O72772" t="str">
            <v/>
          </cell>
        </row>
        <row r="72773">
          <cell r="O72773" t="str">
            <v/>
          </cell>
        </row>
        <row r="72774">
          <cell r="O72774" t="str">
            <v/>
          </cell>
        </row>
        <row r="72775">
          <cell r="O72775" t="str">
            <v/>
          </cell>
        </row>
        <row r="72776">
          <cell r="O72776" t="str">
            <v/>
          </cell>
        </row>
        <row r="72777">
          <cell r="O72777" t="str">
            <v/>
          </cell>
        </row>
        <row r="72778">
          <cell r="O72778" t="str">
            <v/>
          </cell>
        </row>
        <row r="72779">
          <cell r="O72779" t="str">
            <v/>
          </cell>
        </row>
        <row r="72780">
          <cell r="O72780" t="str">
            <v/>
          </cell>
        </row>
        <row r="72781">
          <cell r="O72781" t="str">
            <v/>
          </cell>
        </row>
        <row r="72782">
          <cell r="O72782" t="str">
            <v/>
          </cell>
        </row>
        <row r="72783">
          <cell r="O72783" t="str">
            <v/>
          </cell>
        </row>
        <row r="72784">
          <cell r="O72784" t="str">
            <v/>
          </cell>
        </row>
        <row r="72785">
          <cell r="O72785" t="str">
            <v/>
          </cell>
        </row>
        <row r="72786">
          <cell r="O72786" t="str">
            <v/>
          </cell>
        </row>
        <row r="72787">
          <cell r="O72787" t="str">
            <v/>
          </cell>
        </row>
        <row r="72788">
          <cell r="O72788" t="str">
            <v/>
          </cell>
        </row>
        <row r="72789">
          <cell r="O72789" t="str">
            <v/>
          </cell>
        </row>
        <row r="72790">
          <cell r="O72790" t="str">
            <v/>
          </cell>
        </row>
        <row r="72791">
          <cell r="O72791" t="str">
            <v/>
          </cell>
        </row>
        <row r="72792">
          <cell r="O72792" t="str">
            <v/>
          </cell>
        </row>
        <row r="72793">
          <cell r="O72793" t="str">
            <v/>
          </cell>
        </row>
        <row r="72794">
          <cell r="O72794" t="str">
            <v/>
          </cell>
        </row>
        <row r="72795">
          <cell r="O72795" t="str">
            <v/>
          </cell>
        </row>
        <row r="72796">
          <cell r="O72796" t="str">
            <v/>
          </cell>
        </row>
        <row r="72797">
          <cell r="O72797" t="str">
            <v/>
          </cell>
        </row>
        <row r="72798">
          <cell r="O72798" t="str">
            <v/>
          </cell>
        </row>
        <row r="72799">
          <cell r="O72799" t="str">
            <v/>
          </cell>
        </row>
        <row r="72800">
          <cell r="O72800" t="str">
            <v/>
          </cell>
        </row>
        <row r="72801">
          <cell r="O72801" t="str">
            <v/>
          </cell>
        </row>
        <row r="72802">
          <cell r="O72802" t="str">
            <v/>
          </cell>
        </row>
        <row r="72803">
          <cell r="O72803" t="str">
            <v/>
          </cell>
        </row>
        <row r="72804">
          <cell r="O72804" t="str">
            <v/>
          </cell>
        </row>
        <row r="72805">
          <cell r="O72805" t="str">
            <v/>
          </cell>
        </row>
        <row r="72806">
          <cell r="O72806" t="str">
            <v/>
          </cell>
        </row>
        <row r="72807">
          <cell r="O72807" t="str">
            <v/>
          </cell>
        </row>
        <row r="72808">
          <cell r="O72808" t="str">
            <v/>
          </cell>
        </row>
        <row r="72809">
          <cell r="O72809" t="str">
            <v/>
          </cell>
        </row>
        <row r="72810">
          <cell r="O72810" t="str">
            <v/>
          </cell>
        </row>
        <row r="72811">
          <cell r="O72811" t="str">
            <v/>
          </cell>
        </row>
        <row r="72812">
          <cell r="O72812" t="str">
            <v/>
          </cell>
        </row>
        <row r="72813">
          <cell r="O72813" t="str">
            <v/>
          </cell>
        </row>
        <row r="72814">
          <cell r="O72814" t="str">
            <v/>
          </cell>
        </row>
        <row r="72815">
          <cell r="O72815" t="str">
            <v/>
          </cell>
        </row>
        <row r="72816">
          <cell r="O72816" t="str">
            <v/>
          </cell>
        </row>
        <row r="72817">
          <cell r="O72817" t="str">
            <v/>
          </cell>
        </row>
        <row r="72818">
          <cell r="O72818" t="str">
            <v/>
          </cell>
        </row>
        <row r="72819">
          <cell r="O72819" t="str">
            <v/>
          </cell>
        </row>
        <row r="72820">
          <cell r="O72820" t="str">
            <v/>
          </cell>
        </row>
        <row r="72821">
          <cell r="O72821" t="str">
            <v/>
          </cell>
        </row>
        <row r="72822">
          <cell r="O72822" t="str">
            <v/>
          </cell>
        </row>
        <row r="72823">
          <cell r="O72823" t="str">
            <v/>
          </cell>
        </row>
        <row r="72824">
          <cell r="O72824" t="str">
            <v/>
          </cell>
        </row>
        <row r="72825">
          <cell r="O72825" t="str">
            <v/>
          </cell>
        </row>
        <row r="72826">
          <cell r="O72826" t="str">
            <v/>
          </cell>
        </row>
        <row r="72827">
          <cell r="O72827" t="str">
            <v/>
          </cell>
        </row>
        <row r="72828">
          <cell r="O72828" t="str">
            <v/>
          </cell>
        </row>
        <row r="72829">
          <cell r="O72829" t="str">
            <v/>
          </cell>
        </row>
        <row r="72830">
          <cell r="O72830" t="str">
            <v/>
          </cell>
        </row>
        <row r="72831">
          <cell r="O72831" t="str">
            <v/>
          </cell>
        </row>
        <row r="72832">
          <cell r="O72832" t="str">
            <v/>
          </cell>
        </row>
        <row r="72833">
          <cell r="O72833" t="str">
            <v/>
          </cell>
        </row>
        <row r="72834">
          <cell r="O72834" t="str">
            <v/>
          </cell>
        </row>
        <row r="72835">
          <cell r="O72835" t="str">
            <v/>
          </cell>
        </row>
        <row r="72836">
          <cell r="O72836" t="str">
            <v/>
          </cell>
        </row>
        <row r="72837">
          <cell r="O72837" t="str">
            <v/>
          </cell>
        </row>
        <row r="72838">
          <cell r="O72838" t="str">
            <v/>
          </cell>
        </row>
        <row r="72839">
          <cell r="O72839" t="str">
            <v/>
          </cell>
        </row>
        <row r="72840">
          <cell r="O72840" t="str">
            <v/>
          </cell>
        </row>
        <row r="72841">
          <cell r="O72841" t="str">
            <v/>
          </cell>
        </row>
        <row r="72842">
          <cell r="O72842" t="str">
            <v/>
          </cell>
        </row>
        <row r="72843">
          <cell r="O72843" t="str">
            <v/>
          </cell>
        </row>
        <row r="72844">
          <cell r="O72844" t="str">
            <v/>
          </cell>
        </row>
        <row r="72845">
          <cell r="O72845" t="str">
            <v/>
          </cell>
        </row>
        <row r="72846">
          <cell r="O72846" t="str">
            <v/>
          </cell>
        </row>
        <row r="72847">
          <cell r="O72847" t="str">
            <v/>
          </cell>
        </row>
        <row r="72848">
          <cell r="O72848" t="str">
            <v/>
          </cell>
        </row>
        <row r="72849">
          <cell r="O72849" t="str">
            <v/>
          </cell>
        </row>
        <row r="72850">
          <cell r="O72850" t="str">
            <v/>
          </cell>
        </row>
        <row r="72851">
          <cell r="O72851" t="str">
            <v/>
          </cell>
        </row>
        <row r="72852">
          <cell r="O72852" t="str">
            <v/>
          </cell>
        </row>
        <row r="72853">
          <cell r="O72853" t="str">
            <v/>
          </cell>
        </row>
        <row r="72854">
          <cell r="O72854" t="str">
            <v/>
          </cell>
        </row>
        <row r="72855">
          <cell r="O72855" t="str">
            <v/>
          </cell>
        </row>
        <row r="72856">
          <cell r="O72856" t="str">
            <v/>
          </cell>
        </row>
        <row r="72857">
          <cell r="O72857" t="str">
            <v/>
          </cell>
        </row>
        <row r="72858">
          <cell r="O72858" t="str">
            <v/>
          </cell>
        </row>
        <row r="72859">
          <cell r="O72859" t="str">
            <v/>
          </cell>
        </row>
        <row r="72860">
          <cell r="O72860" t="str">
            <v/>
          </cell>
        </row>
        <row r="72861">
          <cell r="O72861" t="str">
            <v/>
          </cell>
        </row>
        <row r="72862">
          <cell r="O72862" t="str">
            <v/>
          </cell>
        </row>
        <row r="72863">
          <cell r="O72863" t="str">
            <v/>
          </cell>
        </row>
        <row r="72864">
          <cell r="O72864" t="str">
            <v/>
          </cell>
        </row>
        <row r="72865">
          <cell r="O72865" t="str">
            <v/>
          </cell>
        </row>
        <row r="72866">
          <cell r="O72866" t="str">
            <v/>
          </cell>
        </row>
        <row r="72867">
          <cell r="O72867" t="str">
            <v/>
          </cell>
        </row>
        <row r="72868">
          <cell r="O72868" t="str">
            <v/>
          </cell>
        </row>
        <row r="72869">
          <cell r="O72869" t="str">
            <v/>
          </cell>
        </row>
        <row r="72870">
          <cell r="O72870" t="str">
            <v/>
          </cell>
        </row>
        <row r="72871">
          <cell r="O72871" t="str">
            <v/>
          </cell>
        </row>
        <row r="72872">
          <cell r="O72872" t="str">
            <v/>
          </cell>
        </row>
        <row r="72873">
          <cell r="O72873" t="str">
            <v/>
          </cell>
        </row>
        <row r="72874">
          <cell r="O72874" t="str">
            <v/>
          </cell>
        </row>
        <row r="72875">
          <cell r="O72875" t="str">
            <v/>
          </cell>
        </row>
        <row r="72876">
          <cell r="O72876" t="str">
            <v/>
          </cell>
        </row>
        <row r="72877">
          <cell r="O72877" t="str">
            <v/>
          </cell>
        </row>
        <row r="72878">
          <cell r="O72878" t="str">
            <v/>
          </cell>
        </row>
        <row r="72879">
          <cell r="O72879" t="str">
            <v/>
          </cell>
        </row>
        <row r="72880">
          <cell r="O72880" t="str">
            <v/>
          </cell>
        </row>
        <row r="72881">
          <cell r="O72881" t="str">
            <v/>
          </cell>
        </row>
        <row r="72882">
          <cell r="O72882" t="str">
            <v/>
          </cell>
        </row>
        <row r="72883">
          <cell r="O72883" t="str">
            <v/>
          </cell>
        </row>
        <row r="72884">
          <cell r="O72884" t="str">
            <v/>
          </cell>
        </row>
        <row r="72885">
          <cell r="O72885" t="str">
            <v/>
          </cell>
        </row>
        <row r="72886">
          <cell r="O72886" t="str">
            <v/>
          </cell>
        </row>
        <row r="72887">
          <cell r="O72887" t="str">
            <v/>
          </cell>
        </row>
        <row r="72888">
          <cell r="O72888" t="str">
            <v/>
          </cell>
        </row>
        <row r="72889">
          <cell r="O72889" t="str">
            <v/>
          </cell>
        </row>
        <row r="72890">
          <cell r="O72890" t="str">
            <v/>
          </cell>
        </row>
        <row r="72891">
          <cell r="O72891" t="str">
            <v/>
          </cell>
        </row>
        <row r="72892">
          <cell r="O72892" t="str">
            <v/>
          </cell>
        </row>
        <row r="72893">
          <cell r="O72893" t="str">
            <v/>
          </cell>
        </row>
        <row r="72894">
          <cell r="O72894" t="str">
            <v/>
          </cell>
        </row>
        <row r="72895">
          <cell r="O72895" t="str">
            <v/>
          </cell>
        </row>
        <row r="72896">
          <cell r="O72896" t="str">
            <v/>
          </cell>
        </row>
        <row r="72897">
          <cell r="O72897" t="str">
            <v/>
          </cell>
        </row>
        <row r="72898">
          <cell r="O72898" t="str">
            <v/>
          </cell>
        </row>
        <row r="72899">
          <cell r="O72899" t="str">
            <v/>
          </cell>
        </row>
        <row r="72900">
          <cell r="O72900" t="str">
            <v/>
          </cell>
        </row>
        <row r="72901">
          <cell r="O72901" t="str">
            <v/>
          </cell>
        </row>
        <row r="72902">
          <cell r="O72902" t="str">
            <v/>
          </cell>
        </row>
        <row r="72903">
          <cell r="O72903" t="str">
            <v/>
          </cell>
        </row>
        <row r="72904">
          <cell r="O72904" t="str">
            <v/>
          </cell>
        </row>
        <row r="72905">
          <cell r="O72905" t="str">
            <v/>
          </cell>
        </row>
        <row r="72906">
          <cell r="O72906" t="str">
            <v/>
          </cell>
        </row>
        <row r="72907">
          <cell r="O72907" t="str">
            <v/>
          </cell>
        </row>
        <row r="72908">
          <cell r="O72908" t="str">
            <v/>
          </cell>
        </row>
        <row r="72909">
          <cell r="O72909" t="str">
            <v/>
          </cell>
        </row>
        <row r="72910">
          <cell r="O72910" t="str">
            <v/>
          </cell>
        </row>
        <row r="72911">
          <cell r="O72911" t="str">
            <v/>
          </cell>
        </row>
        <row r="72912">
          <cell r="O72912" t="str">
            <v/>
          </cell>
        </row>
        <row r="72913">
          <cell r="O72913" t="str">
            <v/>
          </cell>
        </row>
        <row r="72914">
          <cell r="O72914" t="str">
            <v/>
          </cell>
        </row>
        <row r="72915">
          <cell r="O72915" t="str">
            <v/>
          </cell>
        </row>
        <row r="72916">
          <cell r="O72916" t="str">
            <v/>
          </cell>
        </row>
        <row r="72917">
          <cell r="O72917" t="str">
            <v/>
          </cell>
        </row>
        <row r="72918">
          <cell r="O72918" t="str">
            <v/>
          </cell>
        </row>
        <row r="72919">
          <cell r="O72919" t="str">
            <v/>
          </cell>
        </row>
        <row r="72920">
          <cell r="O72920" t="str">
            <v/>
          </cell>
        </row>
        <row r="72921">
          <cell r="O72921" t="str">
            <v/>
          </cell>
        </row>
        <row r="72922">
          <cell r="O72922" t="str">
            <v/>
          </cell>
        </row>
        <row r="72923">
          <cell r="O72923" t="str">
            <v/>
          </cell>
        </row>
        <row r="72924">
          <cell r="O72924" t="str">
            <v/>
          </cell>
        </row>
        <row r="72925">
          <cell r="O72925" t="str">
            <v/>
          </cell>
        </row>
        <row r="72926">
          <cell r="O72926" t="str">
            <v/>
          </cell>
        </row>
        <row r="72927">
          <cell r="O72927" t="str">
            <v/>
          </cell>
        </row>
        <row r="72928">
          <cell r="O72928" t="str">
            <v/>
          </cell>
        </row>
        <row r="72929">
          <cell r="O72929" t="str">
            <v/>
          </cell>
        </row>
        <row r="72930">
          <cell r="O72930" t="str">
            <v/>
          </cell>
        </row>
        <row r="72931">
          <cell r="O72931" t="str">
            <v/>
          </cell>
        </row>
        <row r="72932">
          <cell r="O72932" t="str">
            <v/>
          </cell>
        </row>
        <row r="72933">
          <cell r="O72933" t="str">
            <v/>
          </cell>
        </row>
        <row r="72934">
          <cell r="O72934" t="str">
            <v/>
          </cell>
        </row>
        <row r="72935">
          <cell r="O72935" t="str">
            <v/>
          </cell>
        </row>
        <row r="72936">
          <cell r="O72936" t="str">
            <v/>
          </cell>
        </row>
        <row r="72937">
          <cell r="O72937" t="str">
            <v/>
          </cell>
        </row>
        <row r="72938">
          <cell r="O72938" t="str">
            <v/>
          </cell>
        </row>
        <row r="72939">
          <cell r="O72939" t="str">
            <v/>
          </cell>
        </row>
        <row r="72940">
          <cell r="O72940" t="str">
            <v/>
          </cell>
        </row>
        <row r="72941">
          <cell r="O72941" t="str">
            <v/>
          </cell>
        </row>
        <row r="72942">
          <cell r="O72942" t="str">
            <v/>
          </cell>
        </row>
        <row r="72943">
          <cell r="O72943" t="str">
            <v/>
          </cell>
        </row>
        <row r="72944">
          <cell r="O72944" t="str">
            <v/>
          </cell>
        </row>
        <row r="72945">
          <cell r="O72945" t="str">
            <v/>
          </cell>
        </row>
        <row r="72946">
          <cell r="O72946" t="str">
            <v/>
          </cell>
        </row>
        <row r="72947">
          <cell r="O72947" t="str">
            <v/>
          </cell>
        </row>
        <row r="72948">
          <cell r="O72948" t="str">
            <v/>
          </cell>
        </row>
        <row r="72949">
          <cell r="O72949" t="str">
            <v/>
          </cell>
        </row>
        <row r="72950">
          <cell r="O72950" t="str">
            <v/>
          </cell>
        </row>
        <row r="72951">
          <cell r="O72951" t="str">
            <v/>
          </cell>
        </row>
        <row r="72952">
          <cell r="O72952" t="str">
            <v/>
          </cell>
        </row>
        <row r="72953">
          <cell r="O72953" t="str">
            <v/>
          </cell>
        </row>
        <row r="72954">
          <cell r="O72954" t="str">
            <v/>
          </cell>
        </row>
        <row r="72955">
          <cell r="O72955" t="str">
            <v/>
          </cell>
        </row>
        <row r="72956">
          <cell r="O72956" t="str">
            <v/>
          </cell>
        </row>
        <row r="72957">
          <cell r="O72957" t="str">
            <v/>
          </cell>
        </row>
        <row r="72958">
          <cell r="O72958" t="str">
            <v/>
          </cell>
        </row>
        <row r="72959">
          <cell r="O72959" t="str">
            <v/>
          </cell>
        </row>
        <row r="72960">
          <cell r="O72960" t="str">
            <v/>
          </cell>
        </row>
        <row r="72961">
          <cell r="O72961" t="str">
            <v/>
          </cell>
        </row>
        <row r="72962">
          <cell r="O72962" t="str">
            <v/>
          </cell>
        </row>
        <row r="72963">
          <cell r="O72963" t="str">
            <v/>
          </cell>
        </row>
        <row r="72964">
          <cell r="O72964" t="str">
            <v/>
          </cell>
        </row>
        <row r="72965">
          <cell r="O72965" t="str">
            <v/>
          </cell>
        </row>
        <row r="72966">
          <cell r="O72966" t="str">
            <v/>
          </cell>
        </row>
        <row r="72967">
          <cell r="O72967" t="str">
            <v/>
          </cell>
        </row>
        <row r="72968">
          <cell r="O72968" t="str">
            <v/>
          </cell>
        </row>
        <row r="72969">
          <cell r="O72969" t="str">
            <v/>
          </cell>
        </row>
        <row r="72970">
          <cell r="O72970" t="str">
            <v/>
          </cell>
        </row>
        <row r="72971">
          <cell r="O72971" t="str">
            <v/>
          </cell>
        </row>
        <row r="72972">
          <cell r="O72972" t="str">
            <v/>
          </cell>
        </row>
        <row r="72973">
          <cell r="O72973" t="str">
            <v/>
          </cell>
        </row>
        <row r="72974">
          <cell r="O72974" t="str">
            <v/>
          </cell>
        </row>
        <row r="72975">
          <cell r="O72975" t="str">
            <v/>
          </cell>
        </row>
        <row r="72976">
          <cell r="O72976" t="str">
            <v/>
          </cell>
        </row>
        <row r="72977">
          <cell r="O72977" t="str">
            <v/>
          </cell>
        </row>
        <row r="72978">
          <cell r="O72978" t="str">
            <v/>
          </cell>
        </row>
        <row r="72979">
          <cell r="O72979" t="str">
            <v/>
          </cell>
        </row>
        <row r="72980">
          <cell r="O72980" t="str">
            <v/>
          </cell>
        </row>
        <row r="72981">
          <cell r="O72981" t="str">
            <v/>
          </cell>
        </row>
        <row r="72982">
          <cell r="O72982" t="str">
            <v/>
          </cell>
        </row>
        <row r="72983">
          <cell r="O72983" t="str">
            <v/>
          </cell>
        </row>
        <row r="72984">
          <cell r="O72984" t="str">
            <v/>
          </cell>
        </row>
        <row r="72985">
          <cell r="O72985" t="str">
            <v/>
          </cell>
        </row>
        <row r="72986">
          <cell r="O72986" t="str">
            <v/>
          </cell>
        </row>
        <row r="72987">
          <cell r="O72987" t="str">
            <v/>
          </cell>
        </row>
        <row r="72988">
          <cell r="O72988" t="str">
            <v/>
          </cell>
        </row>
        <row r="72989">
          <cell r="O72989" t="str">
            <v/>
          </cell>
        </row>
        <row r="72990">
          <cell r="O72990" t="str">
            <v/>
          </cell>
        </row>
        <row r="72991">
          <cell r="O72991" t="str">
            <v/>
          </cell>
        </row>
        <row r="72992">
          <cell r="O72992" t="str">
            <v/>
          </cell>
        </row>
        <row r="72993">
          <cell r="O72993" t="str">
            <v/>
          </cell>
        </row>
        <row r="72994">
          <cell r="O72994" t="str">
            <v/>
          </cell>
        </row>
        <row r="72995">
          <cell r="O72995" t="str">
            <v/>
          </cell>
        </row>
        <row r="72996">
          <cell r="O72996" t="str">
            <v/>
          </cell>
        </row>
        <row r="72997">
          <cell r="O72997" t="str">
            <v/>
          </cell>
        </row>
        <row r="72998">
          <cell r="O72998" t="str">
            <v/>
          </cell>
        </row>
        <row r="72999">
          <cell r="O72999" t="str">
            <v/>
          </cell>
        </row>
        <row r="73000">
          <cell r="O73000" t="str">
            <v/>
          </cell>
        </row>
        <row r="73001">
          <cell r="O73001" t="str">
            <v/>
          </cell>
        </row>
        <row r="73002">
          <cell r="O73002" t="str">
            <v/>
          </cell>
        </row>
        <row r="73003">
          <cell r="O73003" t="str">
            <v/>
          </cell>
        </row>
        <row r="73004">
          <cell r="O73004" t="str">
            <v/>
          </cell>
        </row>
        <row r="73005">
          <cell r="O73005" t="str">
            <v/>
          </cell>
        </row>
        <row r="73006">
          <cell r="O73006" t="str">
            <v/>
          </cell>
        </row>
        <row r="73007">
          <cell r="O73007" t="str">
            <v/>
          </cell>
        </row>
        <row r="73008">
          <cell r="O73008" t="str">
            <v/>
          </cell>
        </row>
        <row r="73009">
          <cell r="O73009" t="str">
            <v/>
          </cell>
        </row>
        <row r="73010">
          <cell r="O73010" t="str">
            <v/>
          </cell>
        </row>
        <row r="73011">
          <cell r="O73011" t="str">
            <v/>
          </cell>
        </row>
        <row r="73012">
          <cell r="O73012" t="str">
            <v/>
          </cell>
        </row>
        <row r="73013">
          <cell r="O73013" t="str">
            <v/>
          </cell>
        </row>
        <row r="73014">
          <cell r="O73014" t="str">
            <v/>
          </cell>
        </row>
        <row r="73015">
          <cell r="O73015" t="str">
            <v/>
          </cell>
        </row>
        <row r="73016">
          <cell r="O73016" t="str">
            <v/>
          </cell>
        </row>
        <row r="73017">
          <cell r="O73017" t="str">
            <v/>
          </cell>
        </row>
        <row r="73018">
          <cell r="O73018" t="str">
            <v/>
          </cell>
        </row>
        <row r="73019">
          <cell r="O73019" t="str">
            <v/>
          </cell>
        </row>
        <row r="73020">
          <cell r="O73020" t="str">
            <v/>
          </cell>
        </row>
        <row r="73021">
          <cell r="O73021" t="str">
            <v/>
          </cell>
        </row>
        <row r="73022">
          <cell r="O73022" t="str">
            <v/>
          </cell>
        </row>
        <row r="73023">
          <cell r="O73023" t="str">
            <v/>
          </cell>
        </row>
        <row r="73024">
          <cell r="O73024" t="str">
            <v/>
          </cell>
        </row>
        <row r="73025">
          <cell r="O73025" t="str">
            <v/>
          </cell>
        </row>
        <row r="73026">
          <cell r="O73026" t="str">
            <v/>
          </cell>
        </row>
        <row r="73027">
          <cell r="O73027" t="str">
            <v/>
          </cell>
        </row>
        <row r="73028">
          <cell r="O73028" t="str">
            <v/>
          </cell>
        </row>
        <row r="73029">
          <cell r="O73029" t="str">
            <v/>
          </cell>
        </row>
        <row r="73030">
          <cell r="O73030" t="str">
            <v/>
          </cell>
        </row>
        <row r="73031">
          <cell r="O73031" t="str">
            <v/>
          </cell>
        </row>
        <row r="73032">
          <cell r="O73032" t="str">
            <v/>
          </cell>
        </row>
        <row r="73033">
          <cell r="O73033" t="str">
            <v/>
          </cell>
        </row>
        <row r="73034">
          <cell r="O73034" t="str">
            <v/>
          </cell>
        </row>
        <row r="73035">
          <cell r="O73035" t="str">
            <v/>
          </cell>
        </row>
        <row r="73036">
          <cell r="O73036" t="str">
            <v/>
          </cell>
        </row>
        <row r="73037">
          <cell r="O73037" t="str">
            <v/>
          </cell>
        </row>
        <row r="73038">
          <cell r="O73038" t="str">
            <v/>
          </cell>
        </row>
        <row r="73039">
          <cell r="O73039" t="str">
            <v/>
          </cell>
        </row>
        <row r="73040">
          <cell r="O73040" t="str">
            <v/>
          </cell>
        </row>
        <row r="73041">
          <cell r="O73041" t="str">
            <v/>
          </cell>
        </row>
        <row r="73042">
          <cell r="O73042" t="str">
            <v/>
          </cell>
        </row>
        <row r="73043">
          <cell r="O73043" t="str">
            <v/>
          </cell>
        </row>
        <row r="73044">
          <cell r="O73044" t="str">
            <v/>
          </cell>
        </row>
        <row r="73045">
          <cell r="O73045" t="str">
            <v/>
          </cell>
        </row>
        <row r="73046">
          <cell r="O73046" t="str">
            <v/>
          </cell>
        </row>
        <row r="73047">
          <cell r="O73047" t="str">
            <v/>
          </cell>
        </row>
        <row r="73048">
          <cell r="O73048" t="str">
            <v/>
          </cell>
        </row>
        <row r="73049">
          <cell r="O73049" t="str">
            <v/>
          </cell>
        </row>
        <row r="73050">
          <cell r="O73050" t="str">
            <v/>
          </cell>
        </row>
        <row r="73051">
          <cell r="O73051" t="str">
            <v/>
          </cell>
        </row>
        <row r="73052">
          <cell r="O73052" t="str">
            <v/>
          </cell>
        </row>
        <row r="73053">
          <cell r="O73053" t="str">
            <v/>
          </cell>
        </row>
        <row r="73054">
          <cell r="O73054" t="str">
            <v/>
          </cell>
        </row>
        <row r="73055">
          <cell r="O73055" t="str">
            <v/>
          </cell>
        </row>
        <row r="73056">
          <cell r="O73056" t="str">
            <v/>
          </cell>
        </row>
        <row r="73057">
          <cell r="O73057" t="str">
            <v/>
          </cell>
        </row>
        <row r="73058">
          <cell r="O73058" t="str">
            <v/>
          </cell>
        </row>
        <row r="73059">
          <cell r="O73059" t="str">
            <v/>
          </cell>
        </row>
        <row r="73060">
          <cell r="O73060" t="str">
            <v/>
          </cell>
        </row>
        <row r="73061">
          <cell r="O73061" t="str">
            <v/>
          </cell>
        </row>
        <row r="73062">
          <cell r="O73062" t="str">
            <v/>
          </cell>
        </row>
        <row r="73063">
          <cell r="O73063" t="str">
            <v/>
          </cell>
        </row>
        <row r="73064">
          <cell r="O73064" t="str">
            <v/>
          </cell>
        </row>
        <row r="73065">
          <cell r="O73065" t="str">
            <v/>
          </cell>
        </row>
        <row r="73066">
          <cell r="O73066" t="str">
            <v/>
          </cell>
        </row>
        <row r="73067">
          <cell r="O73067" t="str">
            <v/>
          </cell>
        </row>
        <row r="73068">
          <cell r="O73068" t="str">
            <v/>
          </cell>
        </row>
        <row r="73069">
          <cell r="O73069" t="str">
            <v/>
          </cell>
        </row>
        <row r="73070">
          <cell r="O73070" t="str">
            <v/>
          </cell>
        </row>
        <row r="73071">
          <cell r="O73071" t="str">
            <v/>
          </cell>
        </row>
        <row r="73072">
          <cell r="O73072" t="str">
            <v/>
          </cell>
        </row>
        <row r="73073">
          <cell r="O73073" t="str">
            <v/>
          </cell>
        </row>
        <row r="73074">
          <cell r="O73074" t="str">
            <v/>
          </cell>
        </row>
        <row r="73075">
          <cell r="O73075" t="str">
            <v/>
          </cell>
        </row>
        <row r="73076">
          <cell r="O73076" t="str">
            <v/>
          </cell>
        </row>
        <row r="73077">
          <cell r="O73077" t="str">
            <v/>
          </cell>
        </row>
        <row r="73078">
          <cell r="O73078" t="str">
            <v/>
          </cell>
        </row>
        <row r="73079">
          <cell r="O73079" t="str">
            <v/>
          </cell>
        </row>
        <row r="73080">
          <cell r="O73080" t="str">
            <v/>
          </cell>
        </row>
        <row r="73081">
          <cell r="O73081" t="str">
            <v/>
          </cell>
        </row>
        <row r="73082">
          <cell r="O73082" t="str">
            <v/>
          </cell>
        </row>
        <row r="73083">
          <cell r="O73083" t="str">
            <v/>
          </cell>
        </row>
        <row r="73084">
          <cell r="O73084" t="str">
            <v/>
          </cell>
        </row>
        <row r="73085">
          <cell r="O73085" t="str">
            <v/>
          </cell>
        </row>
        <row r="73086">
          <cell r="O73086" t="str">
            <v/>
          </cell>
        </row>
        <row r="73087">
          <cell r="O73087" t="str">
            <v/>
          </cell>
        </row>
        <row r="73088">
          <cell r="O73088" t="str">
            <v/>
          </cell>
        </row>
        <row r="73089">
          <cell r="O73089" t="str">
            <v/>
          </cell>
        </row>
        <row r="73090">
          <cell r="O73090" t="str">
            <v/>
          </cell>
        </row>
        <row r="73091">
          <cell r="O73091" t="str">
            <v/>
          </cell>
        </row>
        <row r="73092">
          <cell r="O73092" t="str">
            <v/>
          </cell>
        </row>
        <row r="73093">
          <cell r="O73093" t="str">
            <v/>
          </cell>
        </row>
        <row r="73094">
          <cell r="O73094" t="str">
            <v/>
          </cell>
        </row>
        <row r="73095">
          <cell r="O73095" t="str">
            <v/>
          </cell>
        </row>
        <row r="73096">
          <cell r="O73096" t="str">
            <v/>
          </cell>
        </row>
        <row r="73097">
          <cell r="O73097" t="str">
            <v/>
          </cell>
        </row>
        <row r="73098">
          <cell r="O73098" t="str">
            <v/>
          </cell>
        </row>
        <row r="73099">
          <cell r="O73099" t="str">
            <v/>
          </cell>
        </row>
        <row r="73100">
          <cell r="O73100" t="str">
            <v/>
          </cell>
        </row>
        <row r="73101">
          <cell r="O73101" t="str">
            <v/>
          </cell>
        </row>
        <row r="73102">
          <cell r="O73102" t="str">
            <v/>
          </cell>
        </row>
        <row r="73103">
          <cell r="O73103" t="str">
            <v/>
          </cell>
        </row>
        <row r="73104">
          <cell r="O73104" t="str">
            <v/>
          </cell>
        </row>
        <row r="73105">
          <cell r="O73105" t="str">
            <v/>
          </cell>
        </row>
        <row r="73106">
          <cell r="O73106" t="str">
            <v/>
          </cell>
        </row>
        <row r="73107">
          <cell r="O73107" t="str">
            <v/>
          </cell>
        </row>
        <row r="73108">
          <cell r="O73108" t="str">
            <v/>
          </cell>
        </row>
        <row r="73109">
          <cell r="O73109" t="str">
            <v/>
          </cell>
        </row>
        <row r="73110">
          <cell r="O73110" t="str">
            <v/>
          </cell>
        </row>
        <row r="73111">
          <cell r="O73111" t="str">
            <v/>
          </cell>
        </row>
        <row r="73112">
          <cell r="O73112" t="str">
            <v/>
          </cell>
        </row>
        <row r="73113">
          <cell r="O73113" t="str">
            <v/>
          </cell>
        </row>
        <row r="73114">
          <cell r="O73114" t="str">
            <v/>
          </cell>
        </row>
        <row r="73115">
          <cell r="O73115" t="str">
            <v/>
          </cell>
        </row>
        <row r="73116">
          <cell r="O73116" t="str">
            <v/>
          </cell>
        </row>
        <row r="73117">
          <cell r="O73117" t="str">
            <v/>
          </cell>
        </row>
        <row r="73118">
          <cell r="O73118" t="str">
            <v/>
          </cell>
        </row>
        <row r="73119">
          <cell r="O73119" t="str">
            <v/>
          </cell>
        </row>
        <row r="73120">
          <cell r="O73120" t="str">
            <v/>
          </cell>
        </row>
        <row r="73121">
          <cell r="O73121" t="str">
            <v/>
          </cell>
        </row>
        <row r="73122">
          <cell r="O73122" t="str">
            <v/>
          </cell>
        </row>
        <row r="73123">
          <cell r="O73123" t="str">
            <v/>
          </cell>
        </row>
        <row r="73124">
          <cell r="O73124" t="str">
            <v/>
          </cell>
        </row>
        <row r="73125">
          <cell r="O73125" t="str">
            <v/>
          </cell>
        </row>
        <row r="73126">
          <cell r="O73126" t="str">
            <v/>
          </cell>
        </row>
        <row r="73127">
          <cell r="O73127" t="str">
            <v/>
          </cell>
        </row>
        <row r="73128">
          <cell r="O73128" t="str">
            <v/>
          </cell>
        </row>
        <row r="73129">
          <cell r="O73129" t="str">
            <v/>
          </cell>
        </row>
        <row r="73130">
          <cell r="O73130" t="str">
            <v/>
          </cell>
        </row>
        <row r="73131">
          <cell r="O73131" t="str">
            <v/>
          </cell>
        </row>
        <row r="73132">
          <cell r="O73132" t="str">
            <v/>
          </cell>
        </row>
        <row r="73133">
          <cell r="O73133" t="str">
            <v/>
          </cell>
        </row>
        <row r="73134">
          <cell r="O73134" t="str">
            <v/>
          </cell>
        </row>
        <row r="73135">
          <cell r="O73135" t="str">
            <v/>
          </cell>
        </row>
        <row r="73136">
          <cell r="O73136" t="str">
            <v/>
          </cell>
        </row>
        <row r="73137">
          <cell r="O73137" t="str">
            <v/>
          </cell>
        </row>
        <row r="73138">
          <cell r="O73138" t="str">
            <v/>
          </cell>
        </row>
        <row r="73139">
          <cell r="O73139" t="str">
            <v/>
          </cell>
        </row>
        <row r="73140">
          <cell r="O73140" t="str">
            <v/>
          </cell>
        </row>
        <row r="73141">
          <cell r="O73141" t="str">
            <v/>
          </cell>
        </row>
        <row r="73142">
          <cell r="O73142" t="str">
            <v/>
          </cell>
        </row>
        <row r="73143">
          <cell r="O73143" t="str">
            <v/>
          </cell>
        </row>
        <row r="73144">
          <cell r="O73144" t="str">
            <v/>
          </cell>
        </row>
        <row r="73145">
          <cell r="O73145" t="str">
            <v/>
          </cell>
        </row>
        <row r="73146">
          <cell r="O73146" t="str">
            <v/>
          </cell>
        </row>
        <row r="73147">
          <cell r="O73147" t="str">
            <v/>
          </cell>
        </row>
        <row r="73148">
          <cell r="O73148" t="str">
            <v/>
          </cell>
        </row>
        <row r="73149">
          <cell r="O73149" t="str">
            <v/>
          </cell>
        </row>
        <row r="73150">
          <cell r="O73150" t="str">
            <v/>
          </cell>
        </row>
        <row r="73151">
          <cell r="O73151" t="str">
            <v/>
          </cell>
        </row>
        <row r="73152">
          <cell r="O73152" t="str">
            <v/>
          </cell>
        </row>
        <row r="73153">
          <cell r="O73153" t="str">
            <v/>
          </cell>
        </row>
        <row r="73154">
          <cell r="O73154" t="str">
            <v/>
          </cell>
        </row>
        <row r="73155">
          <cell r="O73155" t="str">
            <v/>
          </cell>
        </row>
        <row r="73156">
          <cell r="O73156" t="str">
            <v/>
          </cell>
        </row>
        <row r="73157">
          <cell r="O73157" t="str">
            <v/>
          </cell>
        </row>
        <row r="73158">
          <cell r="O73158" t="str">
            <v/>
          </cell>
        </row>
        <row r="73159">
          <cell r="O73159" t="str">
            <v/>
          </cell>
        </row>
        <row r="73160">
          <cell r="O73160" t="str">
            <v/>
          </cell>
        </row>
        <row r="73161">
          <cell r="O73161" t="str">
            <v/>
          </cell>
        </row>
        <row r="73162">
          <cell r="O73162" t="str">
            <v/>
          </cell>
        </row>
        <row r="73163">
          <cell r="O73163" t="str">
            <v/>
          </cell>
        </row>
        <row r="73164">
          <cell r="O73164" t="str">
            <v/>
          </cell>
        </row>
        <row r="73165">
          <cell r="O73165" t="str">
            <v/>
          </cell>
        </row>
        <row r="73166">
          <cell r="O73166" t="str">
            <v/>
          </cell>
        </row>
        <row r="73167">
          <cell r="O73167" t="str">
            <v/>
          </cell>
        </row>
        <row r="73168">
          <cell r="O73168" t="str">
            <v/>
          </cell>
        </row>
        <row r="73169">
          <cell r="O73169" t="str">
            <v/>
          </cell>
        </row>
        <row r="73170">
          <cell r="O73170" t="str">
            <v/>
          </cell>
        </row>
        <row r="73171">
          <cell r="O73171" t="str">
            <v/>
          </cell>
        </row>
        <row r="73172">
          <cell r="O73172" t="str">
            <v/>
          </cell>
        </row>
        <row r="73173">
          <cell r="O73173" t="str">
            <v/>
          </cell>
        </row>
        <row r="73174">
          <cell r="O73174" t="str">
            <v/>
          </cell>
        </row>
        <row r="73175">
          <cell r="O73175" t="str">
            <v/>
          </cell>
        </row>
        <row r="73176">
          <cell r="O73176" t="str">
            <v/>
          </cell>
        </row>
        <row r="73177">
          <cell r="O73177" t="str">
            <v/>
          </cell>
        </row>
        <row r="73178">
          <cell r="O73178" t="str">
            <v/>
          </cell>
        </row>
        <row r="73179">
          <cell r="O73179" t="str">
            <v/>
          </cell>
        </row>
        <row r="73180">
          <cell r="O73180" t="str">
            <v/>
          </cell>
        </row>
        <row r="73181">
          <cell r="O73181" t="str">
            <v/>
          </cell>
        </row>
        <row r="73182">
          <cell r="O73182" t="str">
            <v/>
          </cell>
        </row>
        <row r="73183">
          <cell r="O73183" t="str">
            <v/>
          </cell>
        </row>
        <row r="73184">
          <cell r="O73184" t="str">
            <v/>
          </cell>
        </row>
        <row r="73185">
          <cell r="O73185" t="str">
            <v/>
          </cell>
        </row>
        <row r="73186">
          <cell r="O73186" t="str">
            <v/>
          </cell>
        </row>
        <row r="73187">
          <cell r="O73187" t="str">
            <v/>
          </cell>
        </row>
        <row r="73188">
          <cell r="O73188" t="str">
            <v/>
          </cell>
        </row>
        <row r="73189">
          <cell r="O73189" t="str">
            <v/>
          </cell>
        </row>
        <row r="73190">
          <cell r="O73190" t="str">
            <v/>
          </cell>
        </row>
        <row r="73191">
          <cell r="O73191" t="str">
            <v/>
          </cell>
        </row>
        <row r="73192">
          <cell r="O73192" t="str">
            <v/>
          </cell>
        </row>
        <row r="73193">
          <cell r="O73193" t="str">
            <v/>
          </cell>
        </row>
        <row r="73194">
          <cell r="O73194" t="str">
            <v/>
          </cell>
        </row>
        <row r="73195">
          <cell r="O73195" t="str">
            <v/>
          </cell>
        </row>
        <row r="73196">
          <cell r="O73196" t="str">
            <v/>
          </cell>
        </row>
        <row r="73197">
          <cell r="O73197" t="str">
            <v/>
          </cell>
        </row>
        <row r="73198">
          <cell r="O73198" t="str">
            <v/>
          </cell>
        </row>
        <row r="73199">
          <cell r="O73199" t="str">
            <v/>
          </cell>
        </row>
        <row r="73200">
          <cell r="O73200" t="str">
            <v/>
          </cell>
        </row>
        <row r="73201">
          <cell r="O73201" t="str">
            <v/>
          </cell>
        </row>
        <row r="73202">
          <cell r="O73202" t="str">
            <v/>
          </cell>
        </row>
        <row r="73203">
          <cell r="O73203" t="str">
            <v/>
          </cell>
        </row>
        <row r="73204">
          <cell r="O73204" t="str">
            <v/>
          </cell>
        </row>
        <row r="73205">
          <cell r="O73205" t="str">
            <v/>
          </cell>
        </row>
        <row r="73206">
          <cell r="O73206" t="str">
            <v/>
          </cell>
        </row>
        <row r="73207">
          <cell r="O73207" t="str">
            <v/>
          </cell>
        </row>
        <row r="73208">
          <cell r="O73208" t="str">
            <v/>
          </cell>
        </row>
        <row r="73209">
          <cell r="O73209" t="str">
            <v/>
          </cell>
        </row>
        <row r="73210">
          <cell r="O73210" t="str">
            <v/>
          </cell>
        </row>
        <row r="73211">
          <cell r="O73211" t="str">
            <v/>
          </cell>
        </row>
        <row r="73212">
          <cell r="O73212" t="str">
            <v/>
          </cell>
        </row>
        <row r="73213">
          <cell r="O73213" t="str">
            <v/>
          </cell>
        </row>
        <row r="73214">
          <cell r="O73214" t="str">
            <v/>
          </cell>
        </row>
        <row r="73215">
          <cell r="O73215" t="str">
            <v/>
          </cell>
        </row>
        <row r="73216">
          <cell r="O73216" t="str">
            <v/>
          </cell>
        </row>
        <row r="73217">
          <cell r="O73217" t="str">
            <v/>
          </cell>
        </row>
        <row r="73218">
          <cell r="O73218" t="str">
            <v/>
          </cell>
        </row>
        <row r="73219">
          <cell r="O73219" t="str">
            <v/>
          </cell>
        </row>
        <row r="73220">
          <cell r="O73220" t="str">
            <v/>
          </cell>
        </row>
        <row r="73221">
          <cell r="O73221" t="str">
            <v/>
          </cell>
        </row>
        <row r="73222">
          <cell r="O73222" t="str">
            <v/>
          </cell>
        </row>
        <row r="73223">
          <cell r="O73223" t="str">
            <v/>
          </cell>
        </row>
        <row r="73224">
          <cell r="O73224" t="str">
            <v/>
          </cell>
        </row>
        <row r="73225">
          <cell r="O73225" t="str">
            <v/>
          </cell>
        </row>
        <row r="73226">
          <cell r="O73226" t="str">
            <v/>
          </cell>
        </row>
        <row r="73227">
          <cell r="O73227" t="str">
            <v/>
          </cell>
        </row>
        <row r="73228">
          <cell r="O73228" t="str">
            <v/>
          </cell>
        </row>
        <row r="73229">
          <cell r="O73229" t="str">
            <v/>
          </cell>
        </row>
        <row r="73230">
          <cell r="O73230" t="str">
            <v/>
          </cell>
        </row>
        <row r="73231">
          <cell r="O73231" t="str">
            <v/>
          </cell>
        </row>
        <row r="73232">
          <cell r="O73232" t="str">
            <v/>
          </cell>
        </row>
        <row r="73233">
          <cell r="O73233" t="str">
            <v/>
          </cell>
        </row>
        <row r="73234">
          <cell r="O73234" t="str">
            <v/>
          </cell>
        </row>
        <row r="73235">
          <cell r="O73235" t="str">
            <v/>
          </cell>
        </row>
        <row r="73236">
          <cell r="O73236" t="str">
            <v/>
          </cell>
        </row>
        <row r="73237">
          <cell r="O73237" t="str">
            <v/>
          </cell>
        </row>
        <row r="73238">
          <cell r="O73238" t="str">
            <v/>
          </cell>
        </row>
        <row r="73239">
          <cell r="O73239" t="str">
            <v/>
          </cell>
        </row>
        <row r="73240">
          <cell r="O73240" t="str">
            <v/>
          </cell>
        </row>
        <row r="73241">
          <cell r="O73241" t="str">
            <v/>
          </cell>
        </row>
        <row r="73242">
          <cell r="O73242" t="str">
            <v/>
          </cell>
        </row>
        <row r="73243">
          <cell r="O73243" t="str">
            <v/>
          </cell>
        </row>
        <row r="73244">
          <cell r="O73244" t="str">
            <v/>
          </cell>
        </row>
        <row r="73245">
          <cell r="O73245" t="str">
            <v/>
          </cell>
        </row>
        <row r="73246">
          <cell r="O73246" t="str">
            <v/>
          </cell>
        </row>
        <row r="73247">
          <cell r="O73247" t="str">
            <v/>
          </cell>
        </row>
        <row r="73248">
          <cell r="O73248" t="str">
            <v/>
          </cell>
        </row>
        <row r="73249">
          <cell r="O73249" t="str">
            <v/>
          </cell>
        </row>
        <row r="73250">
          <cell r="O73250" t="str">
            <v/>
          </cell>
        </row>
        <row r="73251">
          <cell r="O73251" t="str">
            <v/>
          </cell>
        </row>
        <row r="73252">
          <cell r="O73252" t="str">
            <v/>
          </cell>
        </row>
        <row r="73253">
          <cell r="O73253" t="str">
            <v/>
          </cell>
        </row>
        <row r="73254">
          <cell r="O73254" t="str">
            <v/>
          </cell>
        </row>
        <row r="73255">
          <cell r="O73255" t="str">
            <v/>
          </cell>
        </row>
        <row r="73256">
          <cell r="O73256" t="str">
            <v/>
          </cell>
        </row>
        <row r="73257">
          <cell r="O73257" t="str">
            <v/>
          </cell>
        </row>
        <row r="73258">
          <cell r="O73258" t="str">
            <v/>
          </cell>
        </row>
        <row r="73259">
          <cell r="O73259" t="str">
            <v/>
          </cell>
        </row>
        <row r="73260">
          <cell r="O73260" t="str">
            <v/>
          </cell>
        </row>
        <row r="73261">
          <cell r="O73261" t="str">
            <v/>
          </cell>
        </row>
        <row r="73262">
          <cell r="O73262" t="str">
            <v/>
          </cell>
        </row>
        <row r="73263">
          <cell r="O73263" t="str">
            <v/>
          </cell>
        </row>
        <row r="73264">
          <cell r="O73264" t="str">
            <v/>
          </cell>
        </row>
        <row r="73265">
          <cell r="O73265" t="str">
            <v/>
          </cell>
        </row>
        <row r="73266">
          <cell r="O73266" t="str">
            <v/>
          </cell>
        </row>
        <row r="73267">
          <cell r="O73267" t="str">
            <v/>
          </cell>
        </row>
        <row r="73268">
          <cell r="O73268" t="str">
            <v/>
          </cell>
        </row>
        <row r="73269">
          <cell r="O73269" t="str">
            <v/>
          </cell>
        </row>
        <row r="73270">
          <cell r="O73270" t="str">
            <v/>
          </cell>
        </row>
        <row r="73271">
          <cell r="O73271" t="str">
            <v/>
          </cell>
        </row>
        <row r="73272">
          <cell r="O73272" t="str">
            <v/>
          </cell>
        </row>
        <row r="73273">
          <cell r="O73273" t="str">
            <v/>
          </cell>
        </row>
        <row r="73274">
          <cell r="O73274" t="str">
            <v/>
          </cell>
        </row>
        <row r="73275">
          <cell r="O73275" t="str">
            <v/>
          </cell>
        </row>
        <row r="73276">
          <cell r="O73276" t="str">
            <v/>
          </cell>
        </row>
        <row r="73277">
          <cell r="O73277" t="str">
            <v/>
          </cell>
        </row>
        <row r="73278">
          <cell r="O73278" t="str">
            <v/>
          </cell>
        </row>
        <row r="73279">
          <cell r="O73279" t="str">
            <v/>
          </cell>
        </row>
        <row r="73280">
          <cell r="O73280" t="str">
            <v/>
          </cell>
        </row>
        <row r="73281">
          <cell r="O73281" t="str">
            <v/>
          </cell>
        </row>
        <row r="73282">
          <cell r="O73282" t="str">
            <v/>
          </cell>
        </row>
        <row r="73283">
          <cell r="O73283" t="str">
            <v/>
          </cell>
        </row>
        <row r="73284">
          <cell r="O73284" t="str">
            <v/>
          </cell>
        </row>
        <row r="73285">
          <cell r="O73285" t="str">
            <v/>
          </cell>
        </row>
        <row r="73286">
          <cell r="O73286" t="str">
            <v/>
          </cell>
        </row>
        <row r="73287">
          <cell r="O73287" t="str">
            <v/>
          </cell>
        </row>
        <row r="73288">
          <cell r="O73288" t="str">
            <v/>
          </cell>
        </row>
        <row r="73289">
          <cell r="O73289" t="str">
            <v/>
          </cell>
        </row>
        <row r="73290">
          <cell r="O73290" t="str">
            <v/>
          </cell>
        </row>
        <row r="73291">
          <cell r="O73291" t="str">
            <v/>
          </cell>
        </row>
        <row r="73292">
          <cell r="O73292" t="str">
            <v/>
          </cell>
        </row>
        <row r="73293">
          <cell r="O73293" t="str">
            <v/>
          </cell>
        </row>
        <row r="73294">
          <cell r="O73294" t="str">
            <v/>
          </cell>
        </row>
        <row r="73295">
          <cell r="O73295" t="str">
            <v/>
          </cell>
        </row>
        <row r="73296">
          <cell r="O73296" t="str">
            <v/>
          </cell>
        </row>
        <row r="73297">
          <cell r="O73297" t="str">
            <v/>
          </cell>
        </row>
        <row r="73298">
          <cell r="O73298" t="str">
            <v/>
          </cell>
        </row>
        <row r="73299">
          <cell r="O73299" t="str">
            <v/>
          </cell>
        </row>
        <row r="73300">
          <cell r="O73300" t="str">
            <v/>
          </cell>
        </row>
        <row r="73301">
          <cell r="O73301" t="str">
            <v/>
          </cell>
        </row>
        <row r="73302">
          <cell r="O73302" t="str">
            <v/>
          </cell>
        </row>
        <row r="73303">
          <cell r="O73303" t="str">
            <v/>
          </cell>
        </row>
        <row r="73304">
          <cell r="O73304" t="str">
            <v/>
          </cell>
        </row>
        <row r="73305">
          <cell r="O73305" t="str">
            <v/>
          </cell>
        </row>
        <row r="73306">
          <cell r="O73306" t="str">
            <v/>
          </cell>
        </row>
        <row r="73307">
          <cell r="O73307" t="str">
            <v/>
          </cell>
        </row>
        <row r="73308">
          <cell r="O73308" t="str">
            <v/>
          </cell>
        </row>
        <row r="73309">
          <cell r="O73309" t="str">
            <v/>
          </cell>
        </row>
        <row r="73310">
          <cell r="O73310" t="str">
            <v/>
          </cell>
        </row>
        <row r="73311">
          <cell r="O73311" t="str">
            <v/>
          </cell>
        </row>
        <row r="73312">
          <cell r="O73312" t="str">
            <v/>
          </cell>
        </row>
        <row r="73313">
          <cell r="O73313" t="str">
            <v/>
          </cell>
        </row>
        <row r="73314">
          <cell r="O73314" t="str">
            <v/>
          </cell>
        </row>
        <row r="73315">
          <cell r="O73315" t="str">
            <v/>
          </cell>
        </row>
        <row r="73316">
          <cell r="O73316" t="str">
            <v/>
          </cell>
        </row>
        <row r="73317">
          <cell r="O73317" t="str">
            <v/>
          </cell>
        </row>
        <row r="73318">
          <cell r="O73318" t="str">
            <v/>
          </cell>
        </row>
        <row r="73319">
          <cell r="O73319" t="str">
            <v/>
          </cell>
        </row>
        <row r="73320">
          <cell r="O73320" t="str">
            <v/>
          </cell>
        </row>
        <row r="73321">
          <cell r="O73321" t="str">
            <v/>
          </cell>
        </row>
        <row r="73322">
          <cell r="O73322" t="str">
            <v/>
          </cell>
        </row>
        <row r="73323">
          <cell r="O73323" t="str">
            <v/>
          </cell>
        </row>
        <row r="73324">
          <cell r="O73324" t="str">
            <v/>
          </cell>
        </row>
        <row r="73325">
          <cell r="O73325" t="str">
            <v/>
          </cell>
        </row>
        <row r="73326">
          <cell r="O73326" t="str">
            <v/>
          </cell>
        </row>
        <row r="73327">
          <cell r="O73327" t="str">
            <v/>
          </cell>
        </row>
        <row r="73328">
          <cell r="O73328" t="str">
            <v/>
          </cell>
        </row>
        <row r="73329">
          <cell r="O73329" t="str">
            <v/>
          </cell>
        </row>
        <row r="73330">
          <cell r="O73330" t="str">
            <v/>
          </cell>
        </row>
        <row r="73331">
          <cell r="O73331" t="str">
            <v/>
          </cell>
        </row>
        <row r="73332">
          <cell r="O73332" t="str">
            <v/>
          </cell>
        </row>
        <row r="73333">
          <cell r="O73333" t="str">
            <v/>
          </cell>
        </row>
        <row r="73334">
          <cell r="O73334" t="str">
            <v/>
          </cell>
        </row>
        <row r="73335">
          <cell r="O73335" t="str">
            <v/>
          </cell>
        </row>
        <row r="73336">
          <cell r="O73336" t="str">
            <v/>
          </cell>
        </row>
        <row r="73337">
          <cell r="O73337" t="str">
            <v/>
          </cell>
        </row>
        <row r="73338">
          <cell r="O73338" t="str">
            <v/>
          </cell>
        </row>
        <row r="73339">
          <cell r="O73339" t="str">
            <v/>
          </cell>
        </row>
        <row r="73340">
          <cell r="O73340" t="str">
            <v/>
          </cell>
        </row>
        <row r="73341">
          <cell r="O73341" t="str">
            <v/>
          </cell>
        </row>
        <row r="73342">
          <cell r="O73342" t="str">
            <v/>
          </cell>
        </row>
        <row r="73343">
          <cell r="O73343" t="str">
            <v/>
          </cell>
        </row>
        <row r="73344">
          <cell r="O73344" t="str">
            <v/>
          </cell>
        </row>
        <row r="73345">
          <cell r="O73345" t="str">
            <v/>
          </cell>
        </row>
        <row r="73346">
          <cell r="O73346" t="str">
            <v/>
          </cell>
        </row>
        <row r="73347">
          <cell r="O73347" t="str">
            <v/>
          </cell>
        </row>
        <row r="73348">
          <cell r="O73348" t="str">
            <v/>
          </cell>
        </row>
        <row r="73349">
          <cell r="O73349" t="str">
            <v/>
          </cell>
        </row>
        <row r="73350">
          <cell r="O73350" t="str">
            <v/>
          </cell>
        </row>
        <row r="73351">
          <cell r="O73351" t="str">
            <v/>
          </cell>
        </row>
        <row r="73352">
          <cell r="O73352" t="str">
            <v/>
          </cell>
        </row>
        <row r="73353">
          <cell r="O73353" t="str">
            <v/>
          </cell>
        </row>
        <row r="73354">
          <cell r="O73354" t="str">
            <v/>
          </cell>
        </row>
        <row r="73355">
          <cell r="O73355" t="str">
            <v/>
          </cell>
        </row>
        <row r="73356">
          <cell r="O73356" t="str">
            <v/>
          </cell>
        </row>
        <row r="73357">
          <cell r="O73357" t="str">
            <v/>
          </cell>
        </row>
        <row r="73358">
          <cell r="O73358" t="str">
            <v/>
          </cell>
        </row>
        <row r="73359">
          <cell r="O73359" t="str">
            <v/>
          </cell>
        </row>
        <row r="73360">
          <cell r="O73360" t="str">
            <v/>
          </cell>
        </row>
        <row r="73361">
          <cell r="O73361" t="str">
            <v/>
          </cell>
        </row>
        <row r="73362">
          <cell r="O73362" t="str">
            <v/>
          </cell>
        </row>
        <row r="73363">
          <cell r="O73363" t="str">
            <v/>
          </cell>
        </row>
        <row r="73364">
          <cell r="O73364" t="str">
            <v/>
          </cell>
        </row>
        <row r="73365">
          <cell r="O73365" t="str">
            <v/>
          </cell>
        </row>
        <row r="73366">
          <cell r="O73366" t="str">
            <v/>
          </cell>
        </row>
        <row r="73367">
          <cell r="O73367" t="str">
            <v/>
          </cell>
        </row>
        <row r="73368">
          <cell r="O73368" t="str">
            <v/>
          </cell>
        </row>
        <row r="73369">
          <cell r="O73369" t="str">
            <v/>
          </cell>
        </row>
        <row r="73370">
          <cell r="O73370" t="str">
            <v/>
          </cell>
        </row>
        <row r="73371">
          <cell r="O73371" t="str">
            <v/>
          </cell>
        </row>
        <row r="73372">
          <cell r="O73372" t="str">
            <v/>
          </cell>
        </row>
        <row r="73373">
          <cell r="O73373" t="str">
            <v/>
          </cell>
        </row>
        <row r="73374">
          <cell r="O73374" t="str">
            <v/>
          </cell>
        </row>
        <row r="73375">
          <cell r="O73375" t="str">
            <v/>
          </cell>
        </row>
        <row r="73376">
          <cell r="O73376" t="str">
            <v/>
          </cell>
        </row>
        <row r="73377">
          <cell r="O73377" t="str">
            <v/>
          </cell>
        </row>
        <row r="73378">
          <cell r="O73378" t="str">
            <v/>
          </cell>
        </row>
        <row r="73379">
          <cell r="O73379" t="str">
            <v/>
          </cell>
        </row>
        <row r="73380">
          <cell r="O73380" t="str">
            <v/>
          </cell>
        </row>
        <row r="73381">
          <cell r="O73381" t="str">
            <v/>
          </cell>
        </row>
        <row r="73382">
          <cell r="O73382" t="str">
            <v/>
          </cell>
        </row>
        <row r="73383">
          <cell r="O73383" t="str">
            <v/>
          </cell>
        </row>
        <row r="73384">
          <cell r="O73384" t="str">
            <v/>
          </cell>
        </row>
        <row r="73385">
          <cell r="O73385" t="str">
            <v/>
          </cell>
        </row>
        <row r="73386">
          <cell r="O73386" t="str">
            <v/>
          </cell>
        </row>
        <row r="73387">
          <cell r="O73387" t="str">
            <v/>
          </cell>
        </row>
        <row r="73388">
          <cell r="O73388" t="str">
            <v/>
          </cell>
        </row>
        <row r="73389">
          <cell r="O73389" t="str">
            <v/>
          </cell>
        </row>
        <row r="73390">
          <cell r="O73390" t="str">
            <v/>
          </cell>
        </row>
        <row r="73391">
          <cell r="O73391" t="str">
            <v/>
          </cell>
        </row>
        <row r="73392">
          <cell r="O73392" t="str">
            <v/>
          </cell>
        </row>
        <row r="73393">
          <cell r="O73393" t="str">
            <v/>
          </cell>
        </row>
        <row r="73394">
          <cell r="O73394" t="str">
            <v/>
          </cell>
        </row>
        <row r="73395">
          <cell r="O73395" t="str">
            <v/>
          </cell>
        </row>
        <row r="73396">
          <cell r="O73396" t="str">
            <v/>
          </cell>
        </row>
        <row r="73397">
          <cell r="O73397" t="str">
            <v/>
          </cell>
        </row>
        <row r="73398">
          <cell r="O73398" t="str">
            <v/>
          </cell>
        </row>
        <row r="73399">
          <cell r="O73399" t="str">
            <v/>
          </cell>
        </row>
        <row r="73400">
          <cell r="O73400" t="str">
            <v/>
          </cell>
        </row>
        <row r="73401">
          <cell r="O73401" t="str">
            <v/>
          </cell>
        </row>
        <row r="73402">
          <cell r="O73402" t="str">
            <v/>
          </cell>
        </row>
        <row r="73403">
          <cell r="O73403" t="str">
            <v/>
          </cell>
        </row>
        <row r="73404">
          <cell r="O73404" t="str">
            <v/>
          </cell>
        </row>
        <row r="73405">
          <cell r="O73405" t="str">
            <v/>
          </cell>
        </row>
        <row r="73406">
          <cell r="O73406" t="str">
            <v/>
          </cell>
        </row>
        <row r="73407">
          <cell r="O73407" t="str">
            <v/>
          </cell>
        </row>
        <row r="73408">
          <cell r="O73408" t="str">
            <v/>
          </cell>
        </row>
        <row r="73409">
          <cell r="O73409" t="str">
            <v/>
          </cell>
        </row>
        <row r="73410">
          <cell r="O73410" t="str">
            <v/>
          </cell>
        </row>
        <row r="73411">
          <cell r="O73411" t="str">
            <v/>
          </cell>
        </row>
        <row r="73412">
          <cell r="O73412" t="str">
            <v/>
          </cell>
        </row>
        <row r="73413">
          <cell r="O73413" t="str">
            <v/>
          </cell>
        </row>
        <row r="73414">
          <cell r="O73414" t="str">
            <v/>
          </cell>
        </row>
        <row r="73415">
          <cell r="O73415" t="str">
            <v/>
          </cell>
        </row>
        <row r="73416">
          <cell r="O73416" t="str">
            <v/>
          </cell>
        </row>
        <row r="73417">
          <cell r="O73417" t="str">
            <v/>
          </cell>
        </row>
        <row r="73418">
          <cell r="O73418" t="str">
            <v/>
          </cell>
        </row>
        <row r="73419">
          <cell r="O73419" t="str">
            <v/>
          </cell>
        </row>
        <row r="73420">
          <cell r="O73420" t="str">
            <v/>
          </cell>
        </row>
        <row r="73421">
          <cell r="O73421" t="str">
            <v/>
          </cell>
        </row>
        <row r="73422">
          <cell r="O73422" t="str">
            <v/>
          </cell>
        </row>
        <row r="73423">
          <cell r="O73423" t="str">
            <v/>
          </cell>
        </row>
        <row r="73424">
          <cell r="O73424" t="str">
            <v/>
          </cell>
        </row>
        <row r="73425">
          <cell r="O73425" t="str">
            <v/>
          </cell>
        </row>
        <row r="73426">
          <cell r="O73426" t="str">
            <v/>
          </cell>
        </row>
        <row r="73427">
          <cell r="O73427" t="str">
            <v/>
          </cell>
        </row>
        <row r="73428">
          <cell r="O73428" t="str">
            <v/>
          </cell>
        </row>
        <row r="73429">
          <cell r="O73429" t="str">
            <v/>
          </cell>
        </row>
        <row r="73430">
          <cell r="O73430" t="str">
            <v/>
          </cell>
        </row>
        <row r="73431">
          <cell r="O73431" t="str">
            <v/>
          </cell>
        </row>
        <row r="73432">
          <cell r="O73432" t="str">
            <v/>
          </cell>
        </row>
        <row r="73433">
          <cell r="O73433" t="str">
            <v/>
          </cell>
        </row>
        <row r="73434">
          <cell r="O73434" t="str">
            <v/>
          </cell>
        </row>
        <row r="73435">
          <cell r="O73435" t="str">
            <v/>
          </cell>
        </row>
        <row r="73436">
          <cell r="O73436" t="str">
            <v/>
          </cell>
        </row>
        <row r="73437">
          <cell r="O73437" t="str">
            <v/>
          </cell>
        </row>
        <row r="73438">
          <cell r="O73438" t="str">
            <v/>
          </cell>
        </row>
        <row r="73439">
          <cell r="O73439" t="str">
            <v/>
          </cell>
        </row>
        <row r="73440">
          <cell r="O73440" t="str">
            <v/>
          </cell>
        </row>
        <row r="73441">
          <cell r="O73441" t="str">
            <v/>
          </cell>
        </row>
        <row r="73442">
          <cell r="O73442" t="str">
            <v/>
          </cell>
        </row>
        <row r="73443">
          <cell r="O73443" t="str">
            <v/>
          </cell>
        </row>
        <row r="73444">
          <cell r="O73444" t="str">
            <v/>
          </cell>
        </row>
        <row r="73445">
          <cell r="O73445" t="str">
            <v/>
          </cell>
        </row>
        <row r="73446">
          <cell r="O73446" t="str">
            <v/>
          </cell>
        </row>
        <row r="73447">
          <cell r="O73447" t="str">
            <v/>
          </cell>
        </row>
        <row r="73448">
          <cell r="O73448" t="str">
            <v/>
          </cell>
        </row>
        <row r="73449">
          <cell r="O73449" t="str">
            <v/>
          </cell>
        </row>
        <row r="73450">
          <cell r="O73450" t="str">
            <v/>
          </cell>
        </row>
        <row r="73451">
          <cell r="O73451" t="str">
            <v/>
          </cell>
        </row>
        <row r="73452">
          <cell r="O73452" t="str">
            <v/>
          </cell>
        </row>
        <row r="73453">
          <cell r="O73453" t="str">
            <v/>
          </cell>
        </row>
        <row r="73454">
          <cell r="O73454" t="str">
            <v/>
          </cell>
        </row>
        <row r="73455">
          <cell r="O73455" t="str">
            <v/>
          </cell>
        </row>
        <row r="73456">
          <cell r="O73456" t="str">
            <v/>
          </cell>
        </row>
        <row r="73457">
          <cell r="O73457" t="str">
            <v/>
          </cell>
        </row>
        <row r="73458">
          <cell r="O73458" t="str">
            <v/>
          </cell>
        </row>
        <row r="73459">
          <cell r="O73459" t="str">
            <v/>
          </cell>
        </row>
        <row r="73460">
          <cell r="O73460" t="str">
            <v/>
          </cell>
        </row>
        <row r="73461">
          <cell r="O73461" t="str">
            <v/>
          </cell>
        </row>
        <row r="73462">
          <cell r="O73462" t="str">
            <v/>
          </cell>
        </row>
        <row r="73463">
          <cell r="O73463" t="str">
            <v/>
          </cell>
        </row>
        <row r="73464">
          <cell r="O73464" t="str">
            <v/>
          </cell>
        </row>
        <row r="73465">
          <cell r="O73465" t="str">
            <v/>
          </cell>
        </row>
        <row r="73466">
          <cell r="O73466" t="str">
            <v/>
          </cell>
        </row>
        <row r="73467">
          <cell r="O73467" t="str">
            <v/>
          </cell>
        </row>
        <row r="73468">
          <cell r="O73468" t="str">
            <v/>
          </cell>
        </row>
        <row r="73469">
          <cell r="O73469" t="str">
            <v/>
          </cell>
        </row>
        <row r="73470">
          <cell r="O73470" t="str">
            <v/>
          </cell>
        </row>
        <row r="73471">
          <cell r="O73471" t="str">
            <v/>
          </cell>
        </row>
        <row r="73472">
          <cell r="O73472" t="str">
            <v/>
          </cell>
        </row>
        <row r="73473">
          <cell r="O73473" t="str">
            <v/>
          </cell>
        </row>
        <row r="73474">
          <cell r="O73474" t="str">
            <v/>
          </cell>
        </row>
        <row r="73475">
          <cell r="O73475" t="str">
            <v/>
          </cell>
        </row>
        <row r="73476">
          <cell r="O73476" t="str">
            <v/>
          </cell>
        </row>
        <row r="73477">
          <cell r="O73477" t="str">
            <v/>
          </cell>
        </row>
        <row r="73478">
          <cell r="O73478" t="str">
            <v/>
          </cell>
        </row>
        <row r="73479">
          <cell r="O73479" t="str">
            <v/>
          </cell>
        </row>
        <row r="73480">
          <cell r="O73480" t="str">
            <v/>
          </cell>
        </row>
        <row r="73481">
          <cell r="O73481" t="str">
            <v/>
          </cell>
        </row>
        <row r="73482">
          <cell r="O73482" t="str">
            <v/>
          </cell>
        </row>
        <row r="73483">
          <cell r="O73483" t="str">
            <v/>
          </cell>
        </row>
        <row r="73484">
          <cell r="O73484" t="str">
            <v/>
          </cell>
        </row>
        <row r="73485">
          <cell r="O73485" t="str">
            <v/>
          </cell>
        </row>
        <row r="73486">
          <cell r="O73486" t="str">
            <v/>
          </cell>
        </row>
        <row r="73487">
          <cell r="O73487" t="str">
            <v/>
          </cell>
        </row>
        <row r="73488">
          <cell r="O73488" t="str">
            <v/>
          </cell>
        </row>
        <row r="73489">
          <cell r="O73489" t="str">
            <v/>
          </cell>
        </row>
        <row r="73490">
          <cell r="O73490" t="str">
            <v/>
          </cell>
        </row>
        <row r="73491">
          <cell r="O73491" t="str">
            <v/>
          </cell>
        </row>
        <row r="73492">
          <cell r="O73492" t="str">
            <v/>
          </cell>
        </row>
        <row r="73493">
          <cell r="O73493" t="str">
            <v/>
          </cell>
        </row>
        <row r="73494">
          <cell r="O73494" t="str">
            <v/>
          </cell>
        </row>
        <row r="73495">
          <cell r="O73495" t="str">
            <v/>
          </cell>
        </row>
        <row r="73496">
          <cell r="O73496" t="str">
            <v/>
          </cell>
        </row>
        <row r="73497">
          <cell r="O73497" t="str">
            <v/>
          </cell>
        </row>
        <row r="73498">
          <cell r="O73498" t="str">
            <v/>
          </cell>
        </row>
        <row r="73499">
          <cell r="O73499" t="str">
            <v/>
          </cell>
        </row>
        <row r="73500">
          <cell r="O73500" t="str">
            <v/>
          </cell>
        </row>
        <row r="73501">
          <cell r="O73501" t="str">
            <v/>
          </cell>
        </row>
        <row r="73502">
          <cell r="O73502" t="str">
            <v/>
          </cell>
        </row>
        <row r="73503">
          <cell r="O73503" t="str">
            <v/>
          </cell>
        </row>
        <row r="73504">
          <cell r="O73504" t="str">
            <v/>
          </cell>
        </row>
        <row r="73505">
          <cell r="O73505" t="str">
            <v/>
          </cell>
        </row>
        <row r="73506">
          <cell r="O73506" t="str">
            <v/>
          </cell>
        </row>
        <row r="73507">
          <cell r="O73507" t="str">
            <v/>
          </cell>
        </row>
        <row r="73508">
          <cell r="O73508" t="str">
            <v/>
          </cell>
        </row>
        <row r="73509">
          <cell r="O73509" t="str">
            <v/>
          </cell>
        </row>
        <row r="73510">
          <cell r="O73510" t="str">
            <v/>
          </cell>
        </row>
        <row r="73511">
          <cell r="O73511" t="str">
            <v/>
          </cell>
        </row>
        <row r="73512">
          <cell r="O73512" t="str">
            <v/>
          </cell>
        </row>
        <row r="73513">
          <cell r="O73513" t="str">
            <v/>
          </cell>
        </row>
        <row r="73514">
          <cell r="O73514" t="str">
            <v/>
          </cell>
        </row>
        <row r="73515">
          <cell r="O73515" t="str">
            <v/>
          </cell>
        </row>
        <row r="73516">
          <cell r="O73516" t="str">
            <v/>
          </cell>
        </row>
        <row r="73517">
          <cell r="O73517" t="str">
            <v/>
          </cell>
        </row>
        <row r="73518">
          <cell r="O73518" t="str">
            <v/>
          </cell>
        </row>
        <row r="73519">
          <cell r="O73519" t="str">
            <v/>
          </cell>
        </row>
        <row r="73520">
          <cell r="O73520" t="str">
            <v/>
          </cell>
        </row>
        <row r="73521">
          <cell r="O73521" t="str">
            <v/>
          </cell>
        </row>
        <row r="73522">
          <cell r="O73522" t="str">
            <v/>
          </cell>
        </row>
        <row r="73523">
          <cell r="O73523" t="str">
            <v/>
          </cell>
        </row>
        <row r="73524">
          <cell r="O73524" t="str">
            <v/>
          </cell>
        </row>
        <row r="73525">
          <cell r="O73525" t="str">
            <v/>
          </cell>
        </row>
        <row r="73526">
          <cell r="O73526" t="str">
            <v/>
          </cell>
        </row>
        <row r="73527">
          <cell r="O73527" t="str">
            <v/>
          </cell>
        </row>
        <row r="73528">
          <cell r="O73528" t="str">
            <v/>
          </cell>
        </row>
        <row r="73529">
          <cell r="O73529" t="str">
            <v/>
          </cell>
        </row>
        <row r="73530">
          <cell r="O73530" t="str">
            <v/>
          </cell>
        </row>
        <row r="73531">
          <cell r="O73531" t="str">
            <v/>
          </cell>
        </row>
        <row r="73532">
          <cell r="O73532" t="str">
            <v/>
          </cell>
        </row>
        <row r="73533">
          <cell r="O73533" t="str">
            <v/>
          </cell>
        </row>
        <row r="73534">
          <cell r="O73534" t="str">
            <v/>
          </cell>
        </row>
        <row r="73535">
          <cell r="O73535" t="str">
            <v/>
          </cell>
        </row>
        <row r="73536">
          <cell r="O73536" t="str">
            <v/>
          </cell>
        </row>
        <row r="73537">
          <cell r="O73537" t="str">
            <v/>
          </cell>
        </row>
        <row r="73538">
          <cell r="O73538" t="str">
            <v/>
          </cell>
        </row>
        <row r="73539">
          <cell r="O73539" t="str">
            <v/>
          </cell>
        </row>
        <row r="73540">
          <cell r="O73540" t="str">
            <v/>
          </cell>
        </row>
        <row r="73541">
          <cell r="O73541" t="str">
            <v/>
          </cell>
        </row>
        <row r="73542">
          <cell r="O73542" t="str">
            <v/>
          </cell>
        </row>
        <row r="73543">
          <cell r="O73543" t="str">
            <v/>
          </cell>
        </row>
        <row r="73544">
          <cell r="O73544" t="str">
            <v/>
          </cell>
        </row>
        <row r="73545">
          <cell r="O73545" t="str">
            <v/>
          </cell>
        </row>
        <row r="73546">
          <cell r="O73546" t="str">
            <v/>
          </cell>
        </row>
        <row r="73547">
          <cell r="O73547" t="str">
            <v/>
          </cell>
        </row>
        <row r="73548">
          <cell r="O73548" t="str">
            <v/>
          </cell>
        </row>
        <row r="73549">
          <cell r="O73549" t="str">
            <v/>
          </cell>
        </row>
        <row r="73550">
          <cell r="O73550" t="str">
            <v/>
          </cell>
        </row>
        <row r="73551">
          <cell r="O73551" t="str">
            <v/>
          </cell>
        </row>
        <row r="73552">
          <cell r="O73552" t="str">
            <v/>
          </cell>
        </row>
        <row r="73553">
          <cell r="O73553" t="str">
            <v/>
          </cell>
        </row>
        <row r="73554">
          <cell r="O73554" t="str">
            <v/>
          </cell>
        </row>
        <row r="73555">
          <cell r="O73555" t="str">
            <v/>
          </cell>
        </row>
        <row r="73556">
          <cell r="O73556" t="str">
            <v/>
          </cell>
        </row>
        <row r="73557">
          <cell r="O73557" t="str">
            <v/>
          </cell>
        </row>
        <row r="73558">
          <cell r="O73558" t="str">
            <v/>
          </cell>
        </row>
        <row r="73559">
          <cell r="O73559" t="str">
            <v/>
          </cell>
        </row>
        <row r="73560">
          <cell r="O73560" t="str">
            <v/>
          </cell>
        </row>
        <row r="73561">
          <cell r="O73561" t="str">
            <v/>
          </cell>
        </row>
        <row r="73562">
          <cell r="O73562" t="str">
            <v/>
          </cell>
        </row>
        <row r="73563">
          <cell r="O73563" t="str">
            <v/>
          </cell>
        </row>
        <row r="73564">
          <cell r="O73564" t="str">
            <v/>
          </cell>
        </row>
        <row r="73565">
          <cell r="O73565" t="str">
            <v/>
          </cell>
        </row>
        <row r="73566">
          <cell r="O73566" t="str">
            <v/>
          </cell>
        </row>
        <row r="73567">
          <cell r="O73567" t="str">
            <v/>
          </cell>
        </row>
        <row r="73568">
          <cell r="O73568" t="str">
            <v/>
          </cell>
        </row>
        <row r="73569">
          <cell r="O73569" t="str">
            <v/>
          </cell>
        </row>
        <row r="73570">
          <cell r="O73570" t="str">
            <v/>
          </cell>
        </row>
        <row r="73571">
          <cell r="O73571" t="str">
            <v/>
          </cell>
        </row>
        <row r="73572">
          <cell r="O73572" t="str">
            <v/>
          </cell>
        </row>
        <row r="73573">
          <cell r="O73573" t="str">
            <v/>
          </cell>
        </row>
        <row r="73574">
          <cell r="O73574" t="str">
            <v/>
          </cell>
        </row>
        <row r="73575">
          <cell r="O73575" t="str">
            <v/>
          </cell>
        </row>
        <row r="73576">
          <cell r="O73576" t="str">
            <v/>
          </cell>
        </row>
        <row r="73577">
          <cell r="O73577" t="str">
            <v/>
          </cell>
        </row>
        <row r="73578">
          <cell r="O73578" t="str">
            <v/>
          </cell>
        </row>
        <row r="73579">
          <cell r="O73579" t="str">
            <v/>
          </cell>
        </row>
        <row r="73580">
          <cell r="O73580" t="str">
            <v/>
          </cell>
        </row>
        <row r="73581">
          <cell r="O73581" t="str">
            <v/>
          </cell>
        </row>
        <row r="73582">
          <cell r="O73582" t="str">
            <v/>
          </cell>
        </row>
        <row r="73583">
          <cell r="O73583" t="str">
            <v/>
          </cell>
        </row>
        <row r="73584">
          <cell r="O73584" t="str">
            <v/>
          </cell>
        </row>
        <row r="73585">
          <cell r="O73585" t="str">
            <v/>
          </cell>
        </row>
        <row r="73586">
          <cell r="O73586" t="str">
            <v/>
          </cell>
        </row>
        <row r="73587">
          <cell r="O73587" t="str">
            <v/>
          </cell>
        </row>
        <row r="73588">
          <cell r="O73588" t="str">
            <v/>
          </cell>
        </row>
        <row r="73589">
          <cell r="O73589" t="str">
            <v/>
          </cell>
        </row>
        <row r="73590">
          <cell r="O73590" t="str">
            <v/>
          </cell>
        </row>
        <row r="73591">
          <cell r="O73591" t="str">
            <v/>
          </cell>
        </row>
        <row r="73592">
          <cell r="O73592" t="str">
            <v/>
          </cell>
        </row>
        <row r="73593">
          <cell r="O73593" t="str">
            <v/>
          </cell>
        </row>
        <row r="73594">
          <cell r="O73594" t="str">
            <v/>
          </cell>
        </row>
        <row r="73595">
          <cell r="O73595" t="str">
            <v/>
          </cell>
        </row>
        <row r="73596">
          <cell r="O73596" t="str">
            <v/>
          </cell>
        </row>
        <row r="73597">
          <cell r="O73597" t="str">
            <v/>
          </cell>
        </row>
        <row r="73598">
          <cell r="O73598" t="str">
            <v/>
          </cell>
        </row>
        <row r="73599">
          <cell r="O73599" t="str">
            <v/>
          </cell>
        </row>
        <row r="73600">
          <cell r="O73600" t="str">
            <v/>
          </cell>
        </row>
        <row r="73601">
          <cell r="O73601" t="str">
            <v/>
          </cell>
        </row>
        <row r="73602">
          <cell r="O73602" t="str">
            <v/>
          </cell>
        </row>
        <row r="73603">
          <cell r="O73603" t="str">
            <v/>
          </cell>
        </row>
        <row r="73604">
          <cell r="O73604" t="str">
            <v/>
          </cell>
        </row>
        <row r="73605">
          <cell r="O73605" t="str">
            <v/>
          </cell>
        </row>
        <row r="73606">
          <cell r="O73606" t="str">
            <v/>
          </cell>
        </row>
        <row r="73607">
          <cell r="O73607" t="str">
            <v/>
          </cell>
        </row>
        <row r="73608">
          <cell r="O73608" t="str">
            <v/>
          </cell>
        </row>
        <row r="73609">
          <cell r="O73609" t="str">
            <v/>
          </cell>
        </row>
        <row r="73610">
          <cell r="O73610" t="str">
            <v/>
          </cell>
        </row>
        <row r="73611">
          <cell r="O73611" t="str">
            <v/>
          </cell>
        </row>
        <row r="73612">
          <cell r="O73612" t="str">
            <v/>
          </cell>
        </row>
        <row r="73613">
          <cell r="O73613" t="str">
            <v/>
          </cell>
        </row>
        <row r="73614">
          <cell r="O73614" t="str">
            <v/>
          </cell>
        </row>
        <row r="73615">
          <cell r="O73615" t="str">
            <v/>
          </cell>
        </row>
        <row r="73616">
          <cell r="O73616" t="str">
            <v/>
          </cell>
        </row>
        <row r="73617">
          <cell r="O73617" t="str">
            <v/>
          </cell>
        </row>
        <row r="73618">
          <cell r="O73618" t="str">
            <v/>
          </cell>
        </row>
        <row r="73619">
          <cell r="O73619" t="str">
            <v/>
          </cell>
        </row>
        <row r="73620">
          <cell r="O73620" t="str">
            <v/>
          </cell>
        </row>
        <row r="73621">
          <cell r="O73621" t="str">
            <v/>
          </cell>
        </row>
        <row r="73622">
          <cell r="O73622" t="str">
            <v/>
          </cell>
        </row>
        <row r="73623">
          <cell r="O73623" t="str">
            <v/>
          </cell>
        </row>
        <row r="73624">
          <cell r="O73624" t="str">
            <v/>
          </cell>
        </row>
        <row r="73625">
          <cell r="O73625" t="str">
            <v/>
          </cell>
        </row>
        <row r="73626">
          <cell r="O73626" t="str">
            <v/>
          </cell>
        </row>
        <row r="73627">
          <cell r="O73627" t="str">
            <v/>
          </cell>
        </row>
        <row r="73628">
          <cell r="O73628" t="str">
            <v/>
          </cell>
        </row>
        <row r="73629">
          <cell r="O73629" t="str">
            <v/>
          </cell>
        </row>
        <row r="73630">
          <cell r="O73630" t="str">
            <v/>
          </cell>
        </row>
        <row r="73631">
          <cell r="O73631" t="str">
            <v/>
          </cell>
        </row>
        <row r="73632">
          <cell r="O73632" t="str">
            <v/>
          </cell>
        </row>
        <row r="73633">
          <cell r="O73633" t="str">
            <v/>
          </cell>
        </row>
        <row r="73634">
          <cell r="O73634" t="str">
            <v/>
          </cell>
        </row>
        <row r="73635">
          <cell r="O73635" t="str">
            <v/>
          </cell>
        </row>
        <row r="73636">
          <cell r="O73636" t="str">
            <v/>
          </cell>
        </row>
        <row r="73637">
          <cell r="O73637" t="str">
            <v/>
          </cell>
        </row>
        <row r="73638">
          <cell r="O73638" t="str">
            <v/>
          </cell>
        </row>
        <row r="73639">
          <cell r="O73639" t="str">
            <v/>
          </cell>
        </row>
        <row r="73640">
          <cell r="O73640" t="str">
            <v/>
          </cell>
        </row>
        <row r="73641">
          <cell r="O73641" t="str">
            <v/>
          </cell>
        </row>
        <row r="73642">
          <cell r="O73642" t="str">
            <v/>
          </cell>
        </row>
        <row r="73643">
          <cell r="O73643" t="str">
            <v/>
          </cell>
        </row>
        <row r="73644">
          <cell r="O73644" t="str">
            <v/>
          </cell>
        </row>
        <row r="73645">
          <cell r="O73645" t="str">
            <v/>
          </cell>
        </row>
        <row r="73646">
          <cell r="O73646" t="str">
            <v/>
          </cell>
        </row>
        <row r="73647">
          <cell r="O73647" t="str">
            <v/>
          </cell>
        </row>
        <row r="73648">
          <cell r="O73648" t="str">
            <v/>
          </cell>
        </row>
        <row r="73649">
          <cell r="O73649" t="str">
            <v/>
          </cell>
        </row>
        <row r="73650">
          <cell r="O73650" t="str">
            <v/>
          </cell>
        </row>
        <row r="73651">
          <cell r="O73651" t="str">
            <v/>
          </cell>
        </row>
        <row r="73652">
          <cell r="O73652" t="str">
            <v/>
          </cell>
        </row>
        <row r="73653">
          <cell r="O73653" t="str">
            <v/>
          </cell>
        </row>
        <row r="73654">
          <cell r="O73654" t="str">
            <v/>
          </cell>
        </row>
        <row r="73655">
          <cell r="O73655" t="str">
            <v/>
          </cell>
        </row>
        <row r="73656">
          <cell r="O73656" t="str">
            <v/>
          </cell>
        </row>
        <row r="73657">
          <cell r="O73657" t="str">
            <v/>
          </cell>
        </row>
        <row r="73658">
          <cell r="O73658" t="str">
            <v/>
          </cell>
        </row>
        <row r="73659">
          <cell r="O73659" t="str">
            <v/>
          </cell>
        </row>
        <row r="73660">
          <cell r="O73660" t="str">
            <v/>
          </cell>
        </row>
        <row r="73661">
          <cell r="O73661" t="str">
            <v/>
          </cell>
        </row>
        <row r="73662">
          <cell r="O73662" t="str">
            <v/>
          </cell>
        </row>
        <row r="73663">
          <cell r="O73663" t="str">
            <v/>
          </cell>
        </row>
        <row r="73664">
          <cell r="O73664" t="str">
            <v/>
          </cell>
        </row>
        <row r="73665">
          <cell r="O73665" t="str">
            <v/>
          </cell>
        </row>
        <row r="73666">
          <cell r="O73666" t="str">
            <v/>
          </cell>
        </row>
        <row r="73667">
          <cell r="O73667" t="str">
            <v/>
          </cell>
        </row>
        <row r="73668">
          <cell r="O73668" t="str">
            <v/>
          </cell>
        </row>
        <row r="73669">
          <cell r="O73669" t="str">
            <v/>
          </cell>
        </row>
        <row r="73670">
          <cell r="O73670" t="str">
            <v/>
          </cell>
        </row>
        <row r="73671">
          <cell r="O73671" t="str">
            <v/>
          </cell>
        </row>
        <row r="73672">
          <cell r="O73672" t="str">
            <v/>
          </cell>
        </row>
        <row r="73673">
          <cell r="O73673" t="str">
            <v/>
          </cell>
        </row>
        <row r="73674">
          <cell r="O73674" t="str">
            <v/>
          </cell>
        </row>
        <row r="73675">
          <cell r="O73675" t="str">
            <v/>
          </cell>
        </row>
        <row r="73676">
          <cell r="O73676" t="str">
            <v/>
          </cell>
        </row>
        <row r="73677">
          <cell r="O73677" t="str">
            <v/>
          </cell>
        </row>
        <row r="73678">
          <cell r="O73678" t="str">
            <v/>
          </cell>
        </row>
        <row r="73679">
          <cell r="O73679" t="str">
            <v/>
          </cell>
        </row>
        <row r="73680">
          <cell r="O73680" t="str">
            <v/>
          </cell>
        </row>
        <row r="73681">
          <cell r="O73681" t="str">
            <v/>
          </cell>
        </row>
        <row r="73682">
          <cell r="O73682" t="str">
            <v/>
          </cell>
        </row>
        <row r="73683">
          <cell r="O73683" t="str">
            <v/>
          </cell>
        </row>
        <row r="73684">
          <cell r="O73684" t="str">
            <v/>
          </cell>
        </row>
        <row r="73685">
          <cell r="O73685" t="str">
            <v/>
          </cell>
        </row>
        <row r="73686">
          <cell r="O73686" t="str">
            <v/>
          </cell>
        </row>
        <row r="73687">
          <cell r="O73687" t="str">
            <v/>
          </cell>
        </row>
        <row r="73688">
          <cell r="O73688" t="str">
            <v/>
          </cell>
        </row>
        <row r="73689">
          <cell r="O73689" t="str">
            <v/>
          </cell>
        </row>
        <row r="73690">
          <cell r="O73690" t="str">
            <v/>
          </cell>
        </row>
        <row r="73691">
          <cell r="O73691" t="str">
            <v/>
          </cell>
        </row>
        <row r="73692">
          <cell r="O73692" t="str">
            <v/>
          </cell>
        </row>
        <row r="73693">
          <cell r="O73693" t="str">
            <v/>
          </cell>
        </row>
        <row r="73694">
          <cell r="O73694" t="str">
            <v/>
          </cell>
        </row>
        <row r="73695">
          <cell r="O73695" t="str">
            <v/>
          </cell>
        </row>
        <row r="73696">
          <cell r="O73696" t="str">
            <v/>
          </cell>
        </row>
        <row r="73697">
          <cell r="O73697" t="str">
            <v/>
          </cell>
        </row>
        <row r="73698">
          <cell r="O73698" t="str">
            <v/>
          </cell>
        </row>
        <row r="73699">
          <cell r="O73699" t="str">
            <v/>
          </cell>
        </row>
        <row r="73700">
          <cell r="O73700" t="str">
            <v/>
          </cell>
        </row>
        <row r="73701">
          <cell r="O73701" t="str">
            <v/>
          </cell>
        </row>
        <row r="73702">
          <cell r="O73702" t="str">
            <v/>
          </cell>
        </row>
        <row r="73703">
          <cell r="O73703" t="str">
            <v/>
          </cell>
        </row>
        <row r="73704">
          <cell r="O73704" t="str">
            <v/>
          </cell>
        </row>
        <row r="73705">
          <cell r="O73705" t="str">
            <v/>
          </cell>
        </row>
        <row r="73706">
          <cell r="O73706" t="str">
            <v/>
          </cell>
        </row>
        <row r="73707">
          <cell r="O73707" t="str">
            <v/>
          </cell>
        </row>
        <row r="73708">
          <cell r="O73708" t="str">
            <v/>
          </cell>
        </row>
        <row r="73709">
          <cell r="O73709" t="str">
            <v/>
          </cell>
        </row>
        <row r="73710">
          <cell r="O73710" t="str">
            <v/>
          </cell>
        </row>
        <row r="73711">
          <cell r="O73711" t="str">
            <v/>
          </cell>
        </row>
        <row r="73712">
          <cell r="O73712" t="str">
            <v/>
          </cell>
        </row>
        <row r="73713">
          <cell r="O73713" t="str">
            <v/>
          </cell>
        </row>
        <row r="73714">
          <cell r="O73714" t="str">
            <v/>
          </cell>
        </row>
        <row r="73715">
          <cell r="O73715" t="str">
            <v/>
          </cell>
        </row>
        <row r="73716">
          <cell r="O73716" t="str">
            <v/>
          </cell>
        </row>
        <row r="73717">
          <cell r="O73717" t="str">
            <v/>
          </cell>
        </row>
        <row r="73718">
          <cell r="O73718" t="str">
            <v/>
          </cell>
        </row>
        <row r="73719">
          <cell r="O73719" t="str">
            <v/>
          </cell>
        </row>
        <row r="73720">
          <cell r="O73720" t="str">
            <v/>
          </cell>
        </row>
        <row r="73721">
          <cell r="O73721" t="str">
            <v/>
          </cell>
        </row>
        <row r="73722">
          <cell r="O73722" t="str">
            <v/>
          </cell>
        </row>
        <row r="73723">
          <cell r="O73723" t="str">
            <v/>
          </cell>
        </row>
        <row r="73724">
          <cell r="O73724" t="str">
            <v/>
          </cell>
        </row>
        <row r="73725">
          <cell r="O73725" t="str">
            <v/>
          </cell>
        </row>
        <row r="73726">
          <cell r="O73726" t="str">
            <v/>
          </cell>
        </row>
        <row r="73727">
          <cell r="O73727" t="str">
            <v/>
          </cell>
        </row>
        <row r="73728">
          <cell r="O73728" t="str">
            <v/>
          </cell>
        </row>
        <row r="73729">
          <cell r="O73729" t="str">
            <v/>
          </cell>
        </row>
        <row r="73730">
          <cell r="O73730" t="str">
            <v/>
          </cell>
        </row>
        <row r="73731">
          <cell r="O73731" t="str">
            <v/>
          </cell>
        </row>
        <row r="73732">
          <cell r="O73732" t="str">
            <v/>
          </cell>
        </row>
        <row r="73733">
          <cell r="O73733" t="str">
            <v/>
          </cell>
        </row>
        <row r="73734">
          <cell r="O73734" t="str">
            <v/>
          </cell>
        </row>
        <row r="73735">
          <cell r="O73735" t="str">
            <v/>
          </cell>
        </row>
        <row r="73736">
          <cell r="O73736" t="str">
            <v/>
          </cell>
        </row>
        <row r="73737">
          <cell r="O73737" t="str">
            <v/>
          </cell>
        </row>
        <row r="73738">
          <cell r="O73738" t="str">
            <v/>
          </cell>
        </row>
        <row r="73739">
          <cell r="O73739" t="str">
            <v/>
          </cell>
        </row>
        <row r="73740">
          <cell r="O73740" t="str">
            <v/>
          </cell>
        </row>
        <row r="73741">
          <cell r="O73741" t="str">
            <v/>
          </cell>
        </row>
        <row r="73742">
          <cell r="O73742" t="str">
            <v/>
          </cell>
        </row>
        <row r="73743">
          <cell r="O73743" t="str">
            <v/>
          </cell>
        </row>
        <row r="73744">
          <cell r="O73744" t="str">
            <v/>
          </cell>
        </row>
        <row r="73745">
          <cell r="O73745" t="str">
            <v/>
          </cell>
        </row>
        <row r="73746">
          <cell r="O73746" t="str">
            <v/>
          </cell>
        </row>
        <row r="73747">
          <cell r="O73747" t="str">
            <v/>
          </cell>
        </row>
        <row r="73748">
          <cell r="O73748" t="str">
            <v/>
          </cell>
        </row>
        <row r="73749">
          <cell r="O73749" t="str">
            <v/>
          </cell>
        </row>
        <row r="73750">
          <cell r="O73750" t="str">
            <v/>
          </cell>
        </row>
        <row r="73751">
          <cell r="O73751" t="str">
            <v/>
          </cell>
        </row>
        <row r="73752">
          <cell r="O73752" t="str">
            <v/>
          </cell>
        </row>
        <row r="73753">
          <cell r="O73753" t="str">
            <v/>
          </cell>
        </row>
        <row r="73754">
          <cell r="O73754" t="str">
            <v/>
          </cell>
        </row>
        <row r="73755">
          <cell r="O73755" t="str">
            <v/>
          </cell>
        </row>
        <row r="73756">
          <cell r="O73756" t="str">
            <v/>
          </cell>
        </row>
        <row r="73757">
          <cell r="O73757" t="str">
            <v/>
          </cell>
        </row>
        <row r="73758">
          <cell r="O73758" t="str">
            <v/>
          </cell>
        </row>
        <row r="73759">
          <cell r="O73759" t="str">
            <v/>
          </cell>
        </row>
        <row r="73760">
          <cell r="O73760" t="str">
            <v/>
          </cell>
        </row>
        <row r="73761">
          <cell r="O73761" t="str">
            <v/>
          </cell>
        </row>
        <row r="73762">
          <cell r="O73762" t="str">
            <v/>
          </cell>
        </row>
        <row r="73763">
          <cell r="O73763" t="str">
            <v/>
          </cell>
        </row>
        <row r="73764">
          <cell r="O73764" t="str">
            <v/>
          </cell>
        </row>
        <row r="73765">
          <cell r="O73765" t="str">
            <v/>
          </cell>
        </row>
        <row r="73766">
          <cell r="O73766" t="str">
            <v/>
          </cell>
        </row>
        <row r="73767">
          <cell r="O73767" t="str">
            <v/>
          </cell>
        </row>
        <row r="73768">
          <cell r="O73768" t="str">
            <v/>
          </cell>
        </row>
        <row r="73769">
          <cell r="O73769" t="str">
            <v/>
          </cell>
        </row>
        <row r="73770">
          <cell r="O73770" t="str">
            <v/>
          </cell>
        </row>
        <row r="73771">
          <cell r="O73771" t="str">
            <v/>
          </cell>
        </row>
        <row r="73772">
          <cell r="O73772" t="str">
            <v/>
          </cell>
        </row>
        <row r="73773">
          <cell r="O73773" t="str">
            <v/>
          </cell>
        </row>
        <row r="73774">
          <cell r="O73774" t="str">
            <v/>
          </cell>
        </row>
        <row r="73775">
          <cell r="O73775" t="str">
            <v/>
          </cell>
        </row>
        <row r="73776">
          <cell r="O73776" t="str">
            <v/>
          </cell>
        </row>
        <row r="73777">
          <cell r="O73777" t="str">
            <v/>
          </cell>
        </row>
        <row r="73778">
          <cell r="O73778" t="str">
            <v/>
          </cell>
        </row>
        <row r="73779">
          <cell r="O73779" t="str">
            <v/>
          </cell>
        </row>
        <row r="73780">
          <cell r="O73780" t="str">
            <v/>
          </cell>
        </row>
        <row r="73781">
          <cell r="O73781" t="str">
            <v/>
          </cell>
        </row>
        <row r="73782">
          <cell r="O73782" t="str">
            <v/>
          </cell>
        </row>
        <row r="73783">
          <cell r="O73783" t="str">
            <v/>
          </cell>
        </row>
        <row r="73784">
          <cell r="O73784" t="str">
            <v/>
          </cell>
        </row>
        <row r="73785">
          <cell r="O73785" t="str">
            <v/>
          </cell>
        </row>
        <row r="73786">
          <cell r="O73786" t="str">
            <v/>
          </cell>
        </row>
        <row r="73787">
          <cell r="O73787" t="str">
            <v/>
          </cell>
        </row>
        <row r="73788">
          <cell r="O73788" t="str">
            <v/>
          </cell>
        </row>
        <row r="73789">
          <cell r="O73789" t="str">
            <v/>
          </cell>
        </row>
        <row r="73790">
          <cell r="O73790" t="str">
            <v/>
          </cell>
        </row>
        <row r="73791">
          <cell r="O73791" t="str">
            <v/>
          </cell>
        </row>
        <row r="73792">
          <cell r="O73792" t="str">
            <v/>
          </cell>
        </row>
        <row r="73793">
          <cell r="O73793" t="str">
            <v/>
          </cell>
        </row>
        <row r="73794">
          <cell r="O73794" t="str">
            <v/>
          </cell>
        </row>
        <row r="73795">
          <cell r="O73795" t="str">
            <v/>
          </cell>
        </row>
        <row r="73796">
          <cell r="O73796" t="str">
            <v/>
          </cell>
        </row>
        <row r="73797">
          <cell r="O73797" t="str">
            <v/>
          </cell>
        </row>
        <row r="73798">
          <cell r="O73798" t="str">
            <v/>
          </cell>
        </row>
        <row r="73799">
          <cell r="O73799" t="str">
            <v/>
          </cell>
        </row>
        <row r="73800">
          <cell r="O73800" t="str">
            <v/>
          </cell>
        </row>
        <row r="73801">
          <cell r="O73801" t="str">
            <v/>
          </cell>
        </row>
        <row r="73802">
          <cell r="O73802" t="str">
            <v/>
          </cell>
        </row>
        <row r="73803">
          <cell r="O73803" t="str">
            <v/>
          </cell>
        </row>
        <row r="73804">
          <cell r="O73804" t="str">
            <v/>
          </cell>
        </row>
        <row r="73805">
          <cell r="O73805" t="str">
            <v/>
          </cell>
        </row>
        <row r="73806">
          <cell r="O73806" t="str">
            <v/>
          </cell>
        </row>
        <row r="73807">
          <cell r="O73807" t="str">
            <v/>
          </cell>
        </row>
        <row r="73808">
          <cell r="O73808" t="str">
            <v/>
          </cell>
        </row>
        <row r="73809">
          <cell r="O73809" t="str">
            <v/>
          </cell>
        </row>
        <row r="73810">
          <cell r="O73810" t="str">
            <v/>
          </cell>
        </row>
        <row r="73811">
          <cell r="O73811" t="str">
            <v/>
          </cell>
        </row>
        <row r="73812">
          <cell r="O73812" t="str">
            <v/>
          </cell>
        </row>
        <row r="73813">
          <cell r="O73813" t="str">
            <v/>
          </cell>
        </row>
        <row r="73814">
          <cell r="O73814" t="str">
            <v/>
          </cell>
        </row>
        <row r="73815">
          <cell r="O73815" t="str">
            <v/>
          </cell>
        </row>
        <row r="73816">
          <cell r="O73816" t="str">
            <v/>
          </cell>
        </row>
        <row r="73817">
          <cell r="O73817" t="str">
            <v/>
          </cell>
        </row>
        <row r="73818">
          <cell r="O73818" t="str">
            <v/>
          </cell>
        </row>
        <row r="73819">
          <cell r="O73819" t="str">
            <v/>
          </cell>
        </row>
        <row r="73820">
          <cell r="O73820" t="str">
            <v/>
          </cell>
        </row>
        <row r="73821">
          <cell r="O73821" t="str">
            <v/>
          </cell>
        </row>
        <row r="73822">
          <cell r="O73822" t="str">
            <v/>
          </cell>
        </row>
        <row r="73823">
          <cell r="O73823" t="str">
            <v/>
          </cell>
        </row>
        <row r="73824">
          <cell r="O73824" t="str">
            <v/>
          </cell>
        </row>
        <row r="73825">
          <cell r="O73825" t="str">
            <v/>
          </cell>
        </row>
        <row r="73826">
          <cell r="O73826" t="str">
            <v/>
          </cell>
        </row>
        <row r="73827">
          <cell r="O73827" t="str">
            <v/>
          </cell>
        </row>
        <row r="73828">
          <cell r="O73828" t="str">
            <v/>
          </cell>
        </row>
        <row r="73829">
          <cell r="O73829" t="str">
            <v/>
          </cell>
        </row>
        <row r="73830">
          <cell r="O73830" t="str">
            <v/>
          </cell>
        </row>
        <row r="73831">
          <cell r="O73831" t="str">
            <v/>
          </cell>
        </row>
        <row r="73832">
          <cell r="O73832" t="str">
            <v/>
          </cell>
        </row>
        <row r="73833">
          <cell r="O73833" t="str">
            <v/>
          </cell>
        </row>
        <row r="73834">
          <cell r="O73834" t="str">
            <v/>
          </cell>
        </row>
        <row r="73835">
          <cell r="O73835" t="str">
            <v/>
          </cell>
        </row>
        <row r="73836">
          <cell r="O73836" t="str">
            <v/>
          </cell>
        </row>
        <row r="73837">
          <cell r="O73837" t="str">
            <v/>
          </cell>
        </row>
        <row r="73838">
          <cell r="O73838" t="str">
            <v/>
          </cell>
        </row>
        <row r="73839">
          <cell r="O73839" t="str">
            <v/>
          </cell>
        </row>
        <row r="73840">
          <cell r="O73840" t="str">
            <v/>
          </cell>
        </row>
        <row r="73841">
          <cell r="O73841" t="str">
            <v/>
          </cell>
        </row>
        <row r="73842">
          <cell r="O73842" t="str">
            <v/>
          </cell>
        </row>
        <row r="73843">
          <cell r="O73843" t="str">
            <v/>
          </cell>
        </row>
        <row r="73844">
          <cell r="O73844" t="str">
            <v/>
          </cell>
        </row>
        <row r="73845">
          <cell r="O73845" t="str">
            <v/>
          </cell>
        </row>
        <row r="73846">
          <cell r="O73846" t="str">
            <v/>
          </cell>
        </row>
        <row r="73847">
          <cell r="O73847" t="str">
            <v/>
          </cell>
        </row>
        <row r="73848">
          <cell r="O73848" t="str">
            <v/>
          </cell>
        </row>
        <row r="73849">
          <cell r="O73849" t="str">
            <v/>
          </cell>
        </row>
        <row r="73850">
          <cell r="O73850" t="str">
            <v/>
          </cell>
        </row>
        <row r="73851">
          <cell r="O73851" t="str">
            <v/>
          </cell>
        </row>
        <row r="73852">
          <cell r="O73852" t="str">
            <v/>
          </cell>
        </row>
        <row r="73853">
          <cell r="O73853" t="str">
            <v/>
          </cell>
        </row>
        <row r="73854">
          <cell r="O73854" t="str">
            <v/>
          </cell>
        </row>
        <row r="73855">
          <cell r="O73855" t="str">
            <v/>
          </cell>
        </row>
        <row r="73856">
          <cell r="O73856" t="str">
            <v/>
          </cell>
        </row>
        <row r="73857">
          <cell r="O73857" t="str">
            <v/>
          </cell>
        </row>
        <row r="73858">
          <cell r="O73858" t="str">
            <v/>
          </cell>
        </row>
        <row r="73859">
          <cell r="O73859" t="str">
            <v/>
          </cell>
        </row>
        <row r="73860">
          <cell r="O73860" t="str">
            <v/>
          </cell>
        </row>
        <row r="73861">
          <cell r="O73861" t="str">
            <v/>
          </cell>
        </row>
        <row r="73862">
          <cell r="O73862" t="str">
            <v/>
          </cell>
        </row>
        <row r="73863">
          <cell r="O73863" t="str">
            <v/>
          </cell>
        </row>
        <row r="73864">
          <cell r="O73864" t="str">
            <v/>
          </cell>
        </row>
        <row r="73865">
          <cell r="O73865" t="str">
            <v/>
          </cell>
        </row>
        <row r="73866">
          <cell r="O73866" t="str">
            <v/>
          </cell>
        </row>
        <row r="73867">
          <cell r="O73867" t="str">
            <v/>
          </cell>
        </row>
        <row r="73868">
          <cell r="O73868" t="str">
            <v/>
          </cell>
        </row>
        <row r="73869">
          <cell r="O73869" t="str">
            <v/>
          </cell>
        </row>
        <row r="73870">
          <cell r="O73870" t="str">
            <v/>
          </cell>
        </row>
        <row r="73871">
          <cell r="O73871" t="str">
            <v/>
          </cell>
        </row>
        <row r="73872">
          <cell r="O73872" t="str">
            <v/>
          </cell>
        </row>
        <row r="73873">
          <cell r="O73873" t="str">
            <v/>
          </cell>
        </row>
        <row r="73874">
          <cell r="O73874" t="str">
            <v/>
          </cell>
        </row>
        <row r="73875">
          <cell r="O73875" t="str">
            <v/>
          </cell>
        </row>
        <row r="73876">
          <cell r="O73876" t="str">
            <v/>
          </cell>
        </row>
        <row r="73877">
          <cell r="O73877" t="str">
            <v/>
          </cell>
        </row>
        <row r="73878">
          <cell r="O73878" t="str">
            <v/>
          </cell>
        </row>
        <row r="73879">
          <cell r="O73879" t="str">
            <v/>
          </cell>
        </row>
        <row r="73880">
          <cell r="O73880" t="str">
            <v/>
          </cell>
        </row>
        <row r="73881">
          <cell r="O73881" t="str">
            <v/>
          </cell>
        </row>
        <row r="73882">
          <cell r="O73882" t="str">
            <v/>
          </cell>
        </row>
        <row r="73883">
          <cell r="O73883" t="str">
            <v/>
          </cell>
        </row>
        <row r="73884">
          <cell r="O73884" t="str">
            <v/>
          </cell>
        </row>
        <row r="73885">
          <cell r="O73885" t="str">
            <v/>
          </cell>
        </row>
        <row r="73886">
          <cell r="O73886" t="str">
            <v/>
          </cell>
        </row>
        <row r="73887">
          <cell r="O73887" t="str">
            <v/>
          </cell>
        </row>
        <row r="73888">
          <cell r="O73888" t="str">
            <v/>
          </cell>
        </row>
        <row r="73889">
          <cell r="O73889" t="str">
            <v/>
          </cell>
        </row>
        <row r="73890">
          <cell r="O73890" t="str">
            <v/>
          </cell>
        </row>
        <row r="73891">
          <cell r="O73891" t="str">
            <v/>
          </cell>
        </row>
        <row r="73892">
          <cell r="O73892" t="str">
            <v/>
          </cell>
        </row>
        <row r="73893">
          <cell r="O73893" t="str">
            <v/>
          </cell>
        </row>
        <row r="73894">
          <cell r="O73894" t="str">
            <v/>
          </cell>
        </row>
        <row r="73895">
          <cell r="O73895" t="str">
            <v/>
          </cell>
        </row>
        <row r="73896">
          <cell r="O73896" t="str">
            <v/>
          </cell>
        </row>
        <row r="73897">
          <cell r="O73897" t="str">
            <v/>
          </cell>
        </row>
        <row r="73898">
          <cell r="O73898" t="str">
            <v/>
          </cell>
        </row>
        <row r="73899">
          <cell r="O73899" t="str">
            <v/>
          </cell>
        </row>
        <row r="73900">
          <cell r="O73900" t="str">
            <v/>
          </cell>
        </row>
        <row r="73901">
          <cell r="O73901" t="str">
            <v/>
          </cell>
        </row>
        <row r="73902">
          <cell r="O73902" t="str">
            <v/>
          </cell>
        </row>
        <row r="73903">
          <cell r="O73903" t="str">
            <v/>
          </cell>
        </row>
        <row r="73904">
          <cell r="O73904" t="str">
            <v/>
          </cell>
        </row>
        <row r="73905">
          <cell r="O73905" t="str">
            <v/>
          </cell>
        </row>
        <row r="73906">
          <cell r="O73906" t="str">
            <v/>
          </cell>
        </row>
        <row r="73907">
          <cell r="O73907" t="str">
            <v/>
          </cell>
        </row>
        <row r="73908">
          <cell r="O73908" t="str">
            <v/>
          </cell>
        </row>
        <row r="73909">
          <cell r="O73909" t="str">
            <v/>
          </cell>
        </row>
        <row r="73910">
          <cell r="O73910" t="str">
            <v/>
          </cell>
        </row>
        <row r="73911">
          <cell r="O73911" t="str">
            <v/>
          </cell>
        </row>
        <row r="73912">
          <cell r="O73912" t="str">
            <v/>
          </cell>
        </row>
        <row r="73913">
          <cell r="O73913" t="str">
            <v/>
          </cell>
        </row>
        <row r="73914">
          <cell r="O73914" t="str">
            <v/>
          </cell>
        </row>
        <row r="73915">
          <cell r="O73915" t="str">
            <v/>
          </cell>
        </row>
        <row r="73916">
          <cell r="O73916" t="str">
            <v/>
          </cell>
        </row>
        <row r="73917">
          <cell r="O73917" t="str">
            <v/>
          </cell>
        </row>
        <row r="73918">
          <cell r="O73918" t="str">
            <v/>
          </cell>
        </row>
        <row r="73919">
          <cell r="O73919" t="str">
            <v/>
          </cell>
        </row>
        <row r="73920">
          <cell r="O73920" t="str">
            <v/>
          </cell>
        </row>
        <row r="73921">
          <cell r="O73921" t="str">
            <v/>
          </cell>
        </row>
        <row r="73922">
          <cell r="O73922" t="str">
            <v/>
          </cell>
        </row>
        <row r="73923">
          <cell r="O73923" t="str">
            <v/>
          </cell>
        </row>
        <row r="73924">
          <cell r="O73924" t="str">
            <v/>
          </cell>
        </row>
        <row r="73925">
          <cell r="O73925" t="str">
            <v/>
          </cell>
        </row>
        <row r="73926">
          <cell r="O73926" t="str">
            <v/>
          </cell>
        </row>
        <row r="73927">
          <cell r="O73927" t="str">
            <v/>
          </cell>
        </row>
        <row r="73928">
          <cell r="O73928" t="str">
            <v/>
          </cell>
        </row>
        <row r="73929">
          <cell r="O73929" t="str">
            <v/>
          </cell>
        </row>
        <row r="73930">
          <cell r="O73930" t="str">
            <v/>
          </cell>
        </row>
        <row r="73931">
          <cell r="O73931" t="str">
            <v/>
          </cell>
        </row>
        <row r="73932">
          <cell r="O73932" t="str">
            <v/>
          </cell>
        </row>
        <row r="73933">
          <cell r="O73933" t="str">
            <v/>
          </cell>
        </row>
        <row r="73934">
          <cell r="O73934" t="str">
            <v/>
          </cell>
        </row>
        <row r="73935">
          <cell r="O73935" t="str">
            <v/>
          </cell>
        </row>
        <row r="73936">
          <cell r="O73936" t="str">
            <v/>
          </cell>
        </row>
        <row r="73937">
          <cell r="O73937" t="str">
            <v/>
          </cell>
        </row>
        <row r="73938">
          <cell r="O73938" t="str">
            <v/>
          </cell>
        </row>
        <row r="73939">
          <cell r="O73939" t="str">
            <v/>
          </cell>
        </row>
        <row r="73940">
          <cell r="O73940" t="str">
            <v/>
          </cell>
        </row>
        <row r="73941">
          <cell r="O73941" t="str">
            <v/>
          </cell>
        </row>
        <row r="73942">
          <cell r="O73942" t="str">
            <v/>
          </cell>
        </row>
        <row r="73943">
          <cell r="O73943" t="str">
            <v/>
          </cell>
        </row>
        <row r="73944">
          <cell r="O73944" t="str">
            <v/>
          </cell>
        </row>
        <row r="73945">
          <cell r="O73945" t="str">
            <v/>
          </cell>
        </row>
        <row r="73946">
          <cell r="O73946" t="str">
            <v/>
          </cell>
        </row>
        <row r="73947">
          <cell r="O73947" t="str">
            <v/>
          </cell>
        </row>
        <row r="73948">
          <cell r="O73948" t="str">
            <v/>
          </cell>
        </row>
        <row r="73949">
          <cell r="O73949" t="str">
            <v/>
          </cell>
        </row>
        <row r="73950">
          <cell r="O73950" t="str">
            <v/>
          </cell>
        </row>
        <row r="73951">
          <cell r="O73951" t="str">
            <v/>
          </cell>
        </row>
        <row r="73952">
          <cell r="O73952" t="str">
            <v/>
          </cell>
        </row>
        <row r="73953">
          <cell r="O73953" t="str">
            <v/>
          </cell>
        </row>
        <row r="73954">
          <cell r="O73954" t="str">
            <v/>
          </cell>
        </row>
        <row r="73955">
          <cell r="O73955" t="str">
            <v/>
          </cell>
        </row>
        <row r="73956">
          <cell r="O73956" t="str">
            <v/>
          </cell>
        </row>
        <row r="73957">
          <cell r="O73957" t="str">
            <v/>
          </cell>
        </row>
        <row r="73958">
          <cell r="O73958" t="str">
            <v/>
          </cell>
        </row>
        <row r="73959">
          <cell r="O73959" t="str">
            <v/>
          </cell>
        </row>
        <row r="73960">
          <cell r="O73960" t="str">
            <v/>
          </cell>
        </row>
        <row r="73961">
          <cell r="O73961" t="str">
            <v/>
          </cell>
        </row>
        <row r="73962">
          <cell r="O73962" t="str">
            <v/>
          </cell>
        </row>
        <row r="73963">
          <cell r="O73963" t="str">
            <v/>
          </cell>
        </row>
        <row r="73964">
          <cell r="O73964" t="str">
            <v/>
          </cell>
        </row>
        <row r="73965">
          <cell r="O73965" t="str">
            <v/>
          </cell>
        </row>
        <row r="73966">
          <cell r="O73966" t="str">
            <v/>
          </cell>
        </row>
        <row r="73967">
          <cell r="O73967" t="str">
            <v/>
          </cell>
        </row>
        <row r="73968">
          <cell r="O73968" t="str">
            <v/>
          </cell>
        </row>
        <row r="73969">
          <cell r="O73969" t="str">
            <v/>
          </cell>
        </row>
        <row r="73970">
          <cell r="O73970" t="str">
            <v/>
          </cell>
        </row>
        <row r="73971">
          <cell r="O73971" t="str">
            <v/>
          </cell>
        </row>
        <row r="73972">
          <cell r="O73972" t="str">
            <v/>
          </cell>
        </row>
        <row r="73973">
          <cell r="O73973" t="str">
            <v/>
          </cell>
        </row>
        <row r="73974">
          <cell r="O73974" t="str">
            <v/>
          </cell>
        </row>
        <row r="73975">
          <cell r="O73975" t="str">
            <v/>
          </cell>
        </row>
        <row r="73976">
          <cell r="O73976" t="str">
            <v/>
          </cell>
        </row>
        <row r="73977">
          <cell r="O73977" t="str">
            <v/>
          </cell>
        </row>
        <row r="73978">
          <cell r="O73978" t="str">
            <v/>
          </cell>
        </row>
        <row r="73979">
          <cell r="O73979" t="str">
            <v/>
          </cell>
        </row>
        <row r="73980">
          <cell r="O73980" t="str">
            <v/>
          </cell>
        </row>
        <row r="73981">
          <cell r="O73981" t="str">
            <v/>
          </cell>
        </row>
        <row r="73982">
          <cell r="O73982" t="str">
            <v/>
          </cell>
        </row>
        <row r="73983">
          <cell r="O73983" t="str">
            <v/>
          </cell>
        </row>
        <row r="73984">
          <cell r="O73984" t="str">
            <v/>
          </cell>
        </row>
        <row r="73985">
          <cell r="O73985" t="str">
            <v/>
          </cell>
        </row>
        <row r="73986">
          <cell r="O73986" t="str">
            <v/>
          </cell>
        </row>
        <row r="73987">
          <cell r="O73987" t="str">
            <v/>
          </cell>
        </row>
        <row r="73988">
          <cell r="O73988" t="str">
            <v/>
          </cell>
        </row>
        <row r="73989">
          <cell r="O73989" t="str">
            <v/>
          </cell>
        </row>
        <row r="73990">
          <cell r="O73990" t="str">
            <v/>
          </cell>
        </row>
        <row r="73991">
          <cell r="O73991" t="str">
            <v/>
          </cell>
        </row>
        <row r="73992">
          <cell r="O73992" t="str">
            <v/>
          </cell>
        </row>
        <row r="73993">
          <cell r="O73993" t="str">
            <v/>
          </cell>
        </row>
        <row r="73994">
          <cell r="O73994" t="str">
            <v/>
          </cell>
        </row>
        <row r="73995">
          <cell r="O73995" t="str">
            <v/>
          </cell>
        </row>
        <row r="73996">
          <cell r="O73996" t="str">
            <v/>
          </cell>
        </row>
        <row r="73997">
          <cell r="O73997" t="str">
            <v/>
          </cell>
        </row>
        <row r="73998">
          <cell r="O73998" t="str">
            <v/>
          </cell>
        </row>
        <row r="73999">
          <cell r="O73999" t="str">
            <v/>
          </cell>
        </row>
        <row r="74000">
          <cell r="O74000" t="str">
            <v/>
          </cell>
        </row>
        <row r="74001">
          <cell r="O74001" t="str">
            <v/>
          </cell>
        </row>
        <row r="74002">
          <cell r="O74002" t="str">
            <v/>
          </cell>
        </row>
        <row r="74003">
          <cell r="O74003" t="str">
            <v/>
          </cell>
        </row>
        <row r="74004">
          <cell r="O74004" t="str">
            <v/>
          </cell>
        </row>
        <row r="74005">
          <cell r="O74005" t="str">
            <v/>
          </cell>
        </row>
        <row r="74006">
          <cell r="O74006" t="str">
            <v/>
          </cell>
        </row>
        <row r="74007">
          <cell r="O74007" t="str">
            <v/>
          </cell>
        </row>
        <row r="74008">
          <cell r="O74008" t="str">
            <v/>
          </cell>
        </row>
        <row r="74009">
          <cell r="O74009" t="str">
            <v/>
          </cell>
        </row>
        <row r="74010">
          <cell r="O74010" t="str">
            <v/>
          </cell>
        </row>
        <row r="74011">
          <cell r="O74011" t="str">
            <v/>
          </cell>
        </row>
        <row r="74012">
          <cell r="O74012" t="str">
            <v/>
          </cell>
        </row>
        <row r="74013">
          <cell r="O74013" t="str">
            <v/>
          </cell>
        </row>
        <row r="74014">
          <cell r="O74014" t="str">
            <v/>
          </cell>
        </row>
        <row r="74015">
          <cell r="O74015" t="str">
            <v/>
          </cell>
        </row>
        <row r="74016">
          <cell r="O74016" t="str">
            <v/>
          </cell>
        </row>
        <row r="74017">
          <cell r="O74017" t="str">
            <v/>
          </cell>
        </row>
        <row r="74018">
          <cell r="O74018" t="str">
            <v/>
          </cell>
        </row>
        <row r="74019">
          <cell r="O74019" t="str">
            <v/>
          </cell>
        </row>
        <row r="74020">
          <cell r="O74020" t="str">
            <v/>
          </cell>
        </row>
        <row r="74021">
          <cell r="O74021" t="str">
            <v/>
          </cell>
        </row>
        <row r="74022">
          <cell r="O74022" t="str">
            <v/>
          </cell>
        </row>
        <row r="74023">
          <cell r="O74023" t="str">
            <v/>
          </cell>
        </row>
        <row r="74024">
          <cell r="O74024" t="str">
            <v/>
          </cell>
        </row>
        <row r="74025">
          <cell r="O74025" t="str">
            <v/>
          </cell>
        </row>
        <row r="74026">
          <cell r="O74026" t="str">
            <v/>
          </cell>
        </row>
        <row r="74027">
          <cell r="O74027" t="str">
            <v/>
          </cell>
        </row>
        <row r="74028">
          <cell r="O74028" t="str">
            <v/>
          </cell>
        </row>
        <row r="74029">
          <cell r="O74029" t="str">
            <v/>
          </cell>
        </row>
        <row r="74030">
          <cell r="O74030" t="str">
            <v/>
          </cell>
        </row>
        <row r="74031">
          <cell r="O74031" t="str">
            <v/>
          </cell>
        </row>
        <row r="74032">
          <cell r="O74032" t="str">
            <v/>
          </cell>
        </row>
        <row r="74033">
          <cell r="O74033" t="str">
            <v/>
          </cell>
        </row>
        <row r="74034">
          <cell r="O74034" t="str">
            <v/>
          </cell>
        </row>
        <row r="74035">
          <cell r="O74035" t="str">
            <v/>
          </cell>
        </row>
        <row r="74036">
          <cell r="O74036" t="str">
            <v/>
          </cell>
        </row>
        <row r="74037">
          <cell r="O74037" t="str">
            <v/>
          </cell>
        </row>
        <row r="74038">
          <cell r="O74038" t="str">
            <v/>
          </cell>
        </row>
        <row r="74039">
          <cell r="O74039" t="str">
            <v/>
          </cell>
        </row>
        <row r="74040">
          <cell r="O74040" t="str">
            <v/>
          </cell>
        </row>
        <row r="74041">
          <cell r="O74041" t="str">
            <v/>
          </cell>
        </row>
        <row r="74042">
          <cell r="O74042" t="str">
            <v/>
          </cell>
        </row>
        <row r="74043">
          <cell r="O74043" t="str">
            <v/>
          </cell>
        </row>
        <row r="74044">
          <cell r="O74044" t="str">
            <v/>
          </cell>
        </row>
        <row r="74045">
          <cell r="O74045" t="str">
            <v/>
          </cell>
        </row>
        <row r="74046">
          <cell r="O74046" t="str">
            <v/>
          </cell>
        </row>
        <row r="74047">
          <cell r="O74047" t="str">
            <v/>
          </cell>
        </row>
        <row r="74048">
          <cell r="O74048" t="str">
            <v/>
          </cell>
        </row>
        <row r="74049">
          <cell r="O74049" t="str">
            <v/>
          </cell>
        </row>
        <row r="74050">
          <cell r="O74050" t="str">
            <v/>
          </cell>
        </row>
        <row r="74051">
          <cell r="O74051" t="str">
            <v/>
          </cell>
        </row>
        <row r="74052">
          <cell r="O74052" t="str">
            <v/>
          </cell>
        </row>
        <row r="74053">
          <cell r="O74053" t="str">
            <v/>
          </cell>
        </row>
        <row r="74054">
          <cell r="O74054" t="str">
            <v/>
          </cell>
        </row>
        <row r="74055">
          <cell r="O74055" t="str">
            <v/>
          </cell>
        </row>
        <row r="74056">
          <cell r="O74056" t="str">
            <v/>
          </cell>
        </row>
        <row r="74057">
          <cell r="O74057" t="str">
            <v/>
          </cell>
        </row>
        <row r="74058">
          <cell r="O74058" t="str">
            <v/>
          </cell>
        </row>
        <row r="74059">
          <cell r="O74059" t="str">
            <v/>
          </cell>
        </row>
        <row r="74060">
          <cell r="O74060" t="str">
            <v/>
          </cell>
        </row>
        <row r="74061">
          <cell r="O74061" t="str">
            <v/>
          </cell>
        </row>
        <row r="74062">
          <cell r="O74062" t="str">
            <v/>
          </cell>
        </row>
        <row r="74063">
          <cell r="O74063" t="str">
            <v/>
          </cell>
        </row>
        <row r="74064">
          <cell r="O74064" t="str">
            <v/>
          </cell>
        </row>
        <row r="74065">
          <cell r="O74065" t="str">
            <v/>
          </cell>
        </row>
        <row r="74066">
          <cell r="O74066" t="str">
            <v/>
          </cell>
        </row>
        <row r="74067">
          <cell r="O74067" t="str">
            <v/>
          </cell>
        </row>
        <row r="74068">
          <cell r="O74068" t="str">
            <v/>
          </cell>
        </row>
        <row r="74069">
          <cell r="O74069" t="str">
            <v/>
          </cell>
        </row>
        <row r="74070">
          <cell r="O74070" t="str">
            <v/>
          </cell>
        </row>
        <row r="74071">
          <cell r="O74071" t="str">
            <v/>
          </cell>
        </row>
        <row r="74072">
          <cell r="O74072" t="str">
            <v/>
          </cell>
        </row>
        <row r="74073">
          <cell r="O74073" t="str">
            <v/>
          </cell>
        </row>
        <row r="74074">
          <cell r="O74074" t="str">
            <v/>
          </cell>
        </row>
        <row r="74075">
          <cell r="O74075" t="str">
            <v/>
          </cell>
        </row>
        <row r="74076">
          <cell r="O74076" t="str">
            <v/>
          </cell>
        </row>
        <row r="74077">
          <cell r="O74077" t="str">
            <v/>
          </cell>
        </row>
        <row r="74078">
          <cell r="O74078" t="str">
            <v/>
          </cell>
        </row>
        <row r="74079">
          <cell r="O74079" t="str">
            <v/>
          </cell>
        </row>
        <row r="74080">
          <cell r="O74080" t="str">
            <v/>
          </cell>
        </row>
        <row r="74081">
          <cell r="O74081" t="str">
            <v/>
          </cell>
        </row>
        <row r="74082">
          <cell r="O74082" t="str">
            <v/>
          </cell>
        </row>
        <row r="74083">
          <cell r="O74083" t="str">
            <v/>
          </cell>
        </row>
        <row r="74084">
          <cell r="O74084" t="str">
            <v/>
          </cell>
        </row>
        <row r="74085">
          <cell r="O74085" t="str">
            <v/>
          </cell>
        </row>
        <row r="74086">
          <cell r="O74086" t="str">
            <v/>
          </cell>
        </row>
        <row r="74087">
          <cell r="O74087" t="str">
            <v/>
          </cell>
        </row>
        <row r="74088">
          <cell r="O74088" t="str">
            <v/>
          </cell>
        </row>
        <row r="74089">
          <cell r="O74089" t="str">
            <v/>
          </cell>
        </row>
        <row r="74090">
          <cell r="O74090" t="str">
            <v/>
          </cell>
        </row>
        <row r="74091">
          <cell r="O74091" t="str">
            <v/>
          </cell>
        </row>
        <row r="74092">
          <cell r="O74092" t="str">
            <v/>
          </cell>
        </row>
        <row r="74093">
          <cell r="O74093" t="str">
            <v/>
          </cell>
        </row>
        <row r="74094">
          <cell r="O74094" t="str">
            <v/>
          </cell>
        </row>
        <row r="74095">
          <cell r="O74095" t="str">
            <v/>
          </cell>
        </row>
        <row r="74096">
          <cell r="O74096" t="str">
            <v/>
          </cell>
        </row>
        <row r="74097">
          <cell r="O74097" t="str">
            <v/>
          </cell>
        </row>
        <row r="74098">
          <cell r="O74098" t="str">
            <v/>
          </cell>
        </row>
        <row r="74099">
          <cell r="O74099" t="str">
            <v/>
          </cell>
        </row>
        <row r="74100">
          <cell r="O74100" t="str">
            <v/>
          </cell>
        </row>
        <row r="74101">
          <cell r="O74101" t="str">
            <v/>
          </cell>
        </row>
        <row r="74102">
          <cell r="O74102" t="str">
            <v/>
          </cell>
        </row>
        <row r="74103">
          <cell r="O74103" t="str">
            <v/>
          </cell>
        </row>
        <row r="74104">
          <cell r="O74104" t="str">
            <v/>
          </cell>
        </row>
        <row r="74105">
          <cell r="O74105" t="str">
            <v/>
          </cell>
        </row>
        <row r="74106">
          <cell r="O74106" t="str">
            <v/>
          </cell>
        </row>
        <row r="74107">
          <cell r="O74107" t="str">
            <v/>
          </cell>
        </row>
        <row r="74108">
          <cell r="O74108" t="str">
            <v/>
          </cell>
        </row>
        <row r="74109">
          <cell r="O74109" t="str">
            <v/>
          </cell>
        </row>
        <row r="74110">
          <cell r="O74110" t="str">
            <v/>
          </cell>
        </row>
        <row r="74111">
          <cell r="O74111" t="str">
            <v/>
          </cell>
        </row>
        <row r="74112">
          <cell r="O74112" t="str">
            <v/>
          </cell>
        </row>
        <row r="74113">
          <cell r="O74113" t="str">
            <v/>
          </cell>
        </row>
        <row r="74114">
          <cell r="O74114" t="str">
            <v/>
          </cell>
        </row>
        <row r="74115">
          <cell r="O74115" t="str">
            <v/>
          </cell>
        </row>
        <row r="74116">
          <cell r="O74116" t="str">
            <v/>
          </cell>
        </row>
        <row r="74117">
          <cell r="O74117" t="str">
            <v/>
          </cell>
        </row>
        <row r="74118">
          <cell r="O74118" t="str">
            <v/>
          </cell>
        </row>
        <row r="74119">
          <cell r="O74119" t="str">
            <v/>
          </cell>
        </row>
        <row r="74120">
          <cell r="O74120" t="str">
            <v/>
          </cell>
        </row>
        <row r="74121">
          <cell r="O74121" t="str">
            <v/>
          </cell>
        </row>
        <row r="74122">
          <cell r="O74122" t="str">
            <v/>
          </cell>
        </row>
        <row r="74123">
          <cell r="O74123" t="str">
            <v/>
          </cell>
        </row>
        <row r="74124">
          <cell r="O74124" t="str">
            <v/>
          </cell>
        </row>
        <row r="74125">
          <cell r="O74125" t="str">
            <v/>
          </cell>
        </row>
        <row r="74126">
          <cell r="O74126" t="str">
            <v/>
          </cell>
        </row>
        <row r="74127">
          <cell r="O74127" t="str">
            <v/>
          </cell>
        </row>
        <row r="74128">
          <cell r="O74128" t="str">
            <v/>
          </cell>
        </row>
        <row r="74129">
          <cell r="O74129" t="str">
            <v/>
          </cell>
        </row>
        <row r="74130">
          <cell r="O74130" t="str">
            <v/>
          </cell>
        </row>
        <row r="74131">
          <cell r="O74131" t="str">
            <v/>
          </cell>
        </row>
        <row r="74132">
          <cell r="O74132" t="str">
            <v/>
          </cell>
        </row>
        <row r="74133">
          <cell r="O74133" t="str">
            <v/>
          </cell>
        </row>
        <row r="74134">
          <cell r="O74134" t="str">
            <v/>
          </cell>
        </row>
        <row r="74135">
          <cell r="O74135" t="str">
            <v/>
          </cell>
        </row>
        <row r="74136">
          <cell r="O74136" t="str">
            <v/>
          </cell>
        </row>
        <row r="74137">
          <cell r="O74137" t="str">
            <v/>
          </cell>
        </row>
        <row r="74138">
          <cell r="O74138" t="str">
            <v/>
          </cell>
        </row>
        <row r="74139">
          <cell r="O74139" t="str">
            <v/>
          </cell>
        </row>
        <row r="74140">
          <cell r="O74140" t="str">
            <v/>
          </cell>
        </row>
        <row r="74141">
          <cell r="O74141" t="str">
            <v/>
          </cell>
        </row>
        <row r="74142">
          <cell r="O74142" t="str">
            <v/>
          </cell>
        </row>
        <row r="74143">
          <cell r="O74143" t="str">
            <v/>
          </cell>
        </row>
        <row r="74144">
          <cell r="O74144" t="str">
            <v/>
          </cell>
        </row>
        <row r="74145">
          <cell r="O74145" t="str">
            <v/>
          </cell>
        </row>
        <row r="74146">
          <cell r="O74146" t="str">
            <v/>
          </cell>
        </row>
        <row r="74147">
          <cell r="O74147" t="str">
            <v/>
          </cell>
        </row>
        <row r="74148">
          <cell r="O74148" t="str">
            <v/>
          </cell>
        </row>
        <row r="74149">
          <cell r="O74149" t="str">
            <v/>
          </cell>
        </row>
        <row r="74150">
          <cell r="O74150" t="str">
            <v/>
          </cell>
        </row>
        <row r="74151">
          <cell r="O74151" t="str">
            <v/>
          </cell>
        </row>
        <row r="74152">
          <cell r="O74152" t="str">
            <v/>
          </cell>
        </row>
        <row r="74153">
          <cell r="O74153" t="str">
            <v/>
          </cell>
        </row>
        <row r="74154">
          <cell r="O74154" t="str">
            <v/>
          </cell>
        </row>
        <row r="74155">
          <cell r="O74155" t="str">
            <v/>
          </cell>
        </row>
        <row r="74156">
          <cell r="O74156" t="str">
            <v/>
          </cell>
        </row>
        <row r="74157">
          <cell r="O74157" t="str">
            <v/>
          </cell>
        </row>
        <row r="74158">
          <cell r="O74158" t="str">
            <v/>
          </cell>
        </row>
        <row r="74159">
          <cell r="O74159" t="str">
            <v/>
          </cell>
        </row>
        <row r="74160">
          <cell r="O74160" t="str">
            <v/>
          </cell>
        </row>
        <row r="74161">
          <cell r="O74161" t="str">
            <v/>
          </cell>
        </row>
        <row r="74162">
          <cell r="O74162" t="str">
            <v/>
          </cell>
        </row>
        <row r="74163">
          <cell r="O74163" t="str">
            <v/>
          </cell>
        </row>
        <row r="74164">
          <cell r="O74164" t="str">
            <v/>
          </cell>
        </row>
        <row r="74165">
          <cell r="O74165" t="str">
            <v/>
          </cell>
        </row>
        <row r="74166">
          <cell r="O74166" t="str">
            <v/>
          </cell>
        </row>
        <row r="74167">
          <cell r="O74167" t="str">
            <v/>
          </cell>
        </row>
        <row r="74168">
          <cell r="O74168" t="str">
            <v/>
          </cell>
        </row>
        <row r="74169">
          <cell r="O74169" t="str">
            <v/>
          </cell>
        </row>
        <row r="74170">
          <cell r="O74170" t="str">
            <v/>
          </cell>
        </row>
        <row r="74171">
          <cell r="O74171" t="str">
            <v/>
          </cell>
        </row>
        <row r="74172">
          <cell r="O74172" t="str">
            <v/>
          </cell>
        </row>
        <row r="74173">
          <cell r="O74173" t="str">
            <v/>
          </cell>
        </row>
        <row r="74174">
          <cell r="O74174" t="str">
            <v/>
          </cell>
        </row>
        <row r="74175">
          <cell r="O74175" t="str">
            <v/>
          </cell>
        </row>
        <row r="74176">
          <cell r="O74176" t="str">
            <v/>
          </cell>
        </row>
        <row r="74177">
          <cell r="O74177" t="str">
            <v/>
          </cell>
        </row>
        <row r="74178">
          <cell r="O74178" t="str">
            <v/>
          </cell>
        </row>
        <row r="74179">
          <cell r="O74179" t="str">
            <v/>
          </cell>
        </row>
        <row r="74180">
          <cell r="O74180" t="str">
            <v/>
          </cell>
        </row>
        <row r="74181">
          <cell r="O74181" t="str">
            <v/>
          </cell>
        </row>
        <row r="74182">
          <cell r="O74182" t="str">
            <v/>
          </cell>
        </row>
        <row r="74183">
          <cell r="O74183" t="str">
            <v/>
          </cell>
        </row>
        <row r="74184">
          <cell r="O74184" t="str">
            <v/>
          </cell>
        </row>
        <row r="74185">
          <cell r="O74185" t="str">
            <v/>
          </cell>
        </row>
        <row r="74186">
          <cell r="O74186" t="str">
            <v/>
          </cell>
        </row>
        <row r="74187">
          <cell r="O74187" t="str">
            <v/>
          </cell>
        </row>
        <row r="74188">
          <cell r="O74188" t="str">
            <v/>
          </cell>
        </row>
        <row r="74189">
          <cell r="O74189" t="str">
            <v/>
          </cell>
        </row>
        <row r="74190">
          <cell r="O74190" t="str">
            <v/>
          </cell>
        </row>
        <row r="74191">
          <cell r="O74191" t="str">
            <v/>
          </cell>
        </row>
        <row r="74192">
          <cell r="O74192" t="str">
            <v/>
          </cell>
        </row>
        <row r="74193">
          <cell r="O74193" t="str">
            <v/>
          </cell>
        </row>
        <row r="74194">
          <cell r="O74194" t="str">
            <v/>
          </cell>
        </row>
        <row r="74195">
          <cell r="O74195" t="str">
            <v/>
          </cell>
        </row>
        <row r="74196">
          <cell r="O74196" t="str">
            <v/>
          </cell>
        </row>
        <row r="74197">
          <cell r="O74197" t="str">
            <v/>
          </cell>
        </row>
        <row r="74198">
          <cell r="O74198" t="str">
            <v/>
          </cell>
        </row>
        <row r="74199">
          <cell r="O74199" t="str">
            <v/>
          </cell>
        </row>
        <row r="74200">
          <cell r="O74200" t="str">
            <v/>
          </cell>
        </row>
        <row r="74201">
          <cell r="O74201" t="str">
            <v/>
          </cell>
        </row>
        <row r="74202">
          <cell r="O74202" t="str">
            <v/>
          </cell>
        </row>
        <row r="74203">
          <cell r="O74203" t="str">
            <v/>
          </cell>
        </row>
        <row r="74204">
          <cell r="O74204" t="str">
            <v/>
          </cell>
        </row>
        <row r="74205">
          <cell r="O74205" t="str">
            <v/>
          </cell>
        </row>
        <row r="74206">
          <cell r="O74206" t="str">
            <v/>
          </cell>
        </row>
        <row r="74207">
          <cell r="O74207" t="str">
            <v/>
          </cell>
        </row>
        <row r="74208">
          <cell r="O74208" t="str">
            <v/>
          </cell>
        </row>
        <row r="74209">
          <cell r="O74209" t="str">
            <v/>
          </cell>
        </row>
        <row r="74210">
          <cell r="O74210" t="str">
            <v/>
          </cell>
        </row>
        <row r="74211">
          <cell r="O74211" t="str">
            <v/>
          </cell>
        </row>
        <row r="74212">
          <cell r="O74212" t="str">
            <v/>
          </cell>
        </row>
        <row r="74213">
          <cell r="O74213" t="str">
            <v/>
          </cell>
        </row>
        <row r="74214">
          <cell r="O74214" t="str">
            <v/>
          </cell>
        </row>
        <row r="74215">
          <cell r="O74215" t="str">
            <v/>
          </cell>
        </row>
        <row r="74216">
          <cell r="O74216" t="str">
            <v/>
          </cell>
        </row>
        <row r="74217">
          <cell r="O74217" t="str">
            <v/>
          </cell>
        </row>
        <row r="74218">
          <cell r="O74218" t="str">
            <v/>
          </cell>
        </row>
        <row r="74219">
          <cell r="O74219" t="str">
            <v/>
          </cell>
        </row>
        <row r="74220">
          <cell r="O74220" t="str">
            <v/>
          </cell>
        </row>
        <row r="74221">
          <cell r="O74221" t="str">
            <v/>
          </cell>
        </row>
        <row r="74222">
          <cell r="O74222" t="str">
            <v/>
          </cell>
        </row>
        <row r="74223">
          <cell r="O74223" t="str">
            <v/>
          </cell>
        </row>
        <row r="74224">
          <cell r="O74224" t="str">
            <v/>
          </cell>
        </row>
        <row r="74225">
          <cell r="O74225" t="str">
            <v/>
          </cell>
        </row>
        <row r="74226">
          <cell r="O74226" t="str">
            <v/>
          </cell>
        </row>
        <row r="74227">
          <cell r="O74227" t="str">
            <v/>
          </cell>
        </row>
        <row r="74228">
          <cell r="O74228" t="str">
            <v/>
          </cell>
        </row>
        <row r="74229">
          <cell r="O74229" t="str">
            <v/>
          </cell>
        </row>
        <row r="74230">
          <cell r="O74230" t="str">
            <v/>
          </cell>
        </row>
        <row r="74231">
          <cell r="O74231" t="str">
            <v/>
          </cell>
        </row>
        <row r="74232">
          <cell r="O74232" t="str">
            <v/>
          </cell>
        </row>
        <row r="74233">
          <cell r="O74233" t="str">
            <v/>
          </cell>
        </row>
        <row r="74234">
          <cell r="O74234" t="str">
            <v/>
          </cell>
        </row>
        <row r="74235">
          <cell r="O74235" t="str">
            <v/>
          </cell>
        </row>
        <row r="74236">
          <cell r="O74236" t="str">
            <v/>
          </cell>
        </row>
        <row r="74237">
          <cell r="O74237" t="str">
            <v/>
          </cell>
        </row>
        <row r="74238">
          <cell r="O74238" t="str">
            <v/>
          </cell>
        </row>
        <row r="74239">
          <cell r="O74239" t="str">
            <v/>
          </cell>
        </row>
        <row r="74240">
          <cell r="O74240" t="str">
            <v/>
          </cell>
        </row>
        <row r="74241">
          <cell r="O74241" t="str">
            <v/>
          </cell>
        </row>
        <row r="74242">
          <cell r="O74242" t="str">
            <v/>
          </cell>
        </row>
        <row r="74243">
          <cell r="O74243" t="str">
            <v/>
          </cell>
        </row>
        <row r="74244">
          <cell r="O74244" t="str">
            <v/>
          </cell>
        </row>
        <row r="74245">
          <cell r="O74245" t="str">
            <v/>
          </cell>
        </row>
        <row r="74246">
          <cell r="O74246" t="str">
            <v/>
          </cell>
        </row>
        <row r="74247">
          <cell r="O74247" t="str">
            <v/>
          </cell>
        </row>
        <row r="74248">
          <cell r="O74248" t="str">
            <v/>
          </cell>
        </row>
        <row r="74249">
          <cell r="O74249" t="str">
            <v/>
          </cell>
        </row>
        <row r="74250">
          <cell r="O74250" t="str">
            <v/>
          </cell>
        </row>
        <row r="74251">
          <cell r="O74251" t="str">
            <v/>
          </cell>
        </row>
        <row r="74252">
          <cell r="O74252" t="str">
            <v/>
          </cell>
        </row>
        <row r="74253">
          <cell r="O74253" t="str">
            <v/>
          </cell>
        </row>
        <row r="74254">
          <cell r="O74254" t="str">
            <v/>
          </cell>
        </row>
        <row r="74255">
          <cell r="O74255" t="str">
            <v/>
          </cell>
        </row>
        <row r="74256">
          <cell r="O74256" t="str">
            <v/>
          </cell>
        </row>
        <row r="74257">
          <cell r="O74257" t="str">
            <v/>
          </cell>
        </row>
        <row r="74258">
          <cell r="O74258" t="str">
            <v/>
          </cell>
        </row>
        <row r="74259">
          <cell r="O74259" t="str">
            <v/>
          </cell>
        </row>
        <row r="74260">
          <cell r="O74260" t="str">
            <v/>
          </cell>
        </row>
        <row r="74261">
          <cell r="O74261" t="str">
            <v/>
          </cell>
        </row>
        <row r="74262">
          <cell r="O74262" t="str">
            <v/>
          </cell>
        </row>
        <row r="74263">
          <cell r="O74263" t="str">
            <v/>
          </cell>
        </row>
        <row r="74264">
          <cell r="O74264" t="str">
            <v/>
          </cell>
        </row>
        <row r="74265">
          <cell r="O74265" t="str">
            <v/>
          </cell>
        </row>
        <row r="74266">
          <cell r="O74266" t="str">
            <v/>
          </cell>
        </row>
        <row r="74267">
          <cell r="O74267" t="str">
            <v/>
          </cell>
        </row>
        <row r="74268">
          <cell r="O74268" t="str">
            <v/>
          </cell>
        </row>
        <row r="74269">
          <cell r="O74269" t="str">
            <v/>
          </cell>
        </row>
        <row r="74270">
          <cell r="O74270" t="str">
            <v/>
          </cell>
        </row>
        <row r="74271">
          <cell r="O74271" t="str">
            <v/>
          </cell>
        </row>
        <row r="74272">
          <cell r="O74272" t="str">
            <v/>
          </cell>
        </row>
        <row r="74273">
          <cell r="O74273" t="str">
            <v/>
          </cell>
        </row>
        <row r="74274">
          <cell r="O74274" t="str">
            <v/>
          </cell>
        </row>
        <row r="74275">
          <cell r="O74275" t="str">
            <v/>
          </cell>
        </row>
        <row r="74276">
          <cell r="O74276" t="str">
            <v/>
          </cell>
        </row>
        <row r="74277">
          <cell r="O74277" t="str">
            <v/>
          </cell>
        </row>
        <row r="74278">
          <cell r="O74278" t="str">
            <v/>
          </cell>
        </row>
        <row r="74279">
          <cell r="O74279" t="str">
            <v/>
          </cell>
        </row>
        <row r="74280">
          <cell r="O74280" t="str">
            <v/>
          </cell>
        </row>
        <row r="74281">
          <cell r="O74281" t="str">
            <v/>
          </cell>
        </row>
        <row r="74282">
          <cell r="O74282" t="str">
            <v/>
          </cell>
        </row>
        <row r="74283">
          <cell r="O74283" t="str">
            <v/>
          </cell>
        </row>
        <row r="74284">
          <cell r="O74284" t="str">
            <v/>
          </cell>
        </row>
        <row r="74285">
          <cell r="O74285" t="str">
            <v/>
          </cell>
        </row>
        <row r="74286">
          <cell r="O74286" t="str">
            <v/>
          </cell>
        </row>
        <row r="74287">
          <cell r="O74287" t="str">
            <v/>
          </cell>
        </row>
        <row r="74288">
          <cell r="O74288" t="str">
            <v/>
          </cell>
        </row>
        <row r="74289">
          <cell r="O74289" t="str">
            <v/>
          </cell>
        </row>
        <row r="74290">
          <cell r="O74290" t="str">
            <v/>
          </cell>
        </row>
        <row r="74291">
          <cell r="O74291" t="str">
            <v/>
          </cell>
        </row>
        <row r="74292">
          <cell r="O74292" t="str">
            <v/>
          </cell>
        </row>
        <row r="74293">
          <cell r="O74293" t="str">
            <v/>
          </cell>
        </row>
        <row r="74294">
          <cell r="O74294" t="str">
            <v/>
          </cell>
        </row>
        <row r="74295">
          <cell r="O74295" t="str">
            <v/>
          </cell>
        </row>
        <row r="74296">
          <cell r="O74296" t="str">
            <v/>
          </cell>
        </row>
        <row r="74297">
          <cell r="O74297" t="str">
            <v/>
          </cell>
        </row>
        <row r="74298">
          <cell r="O74298" t="str">
            <v/>
          </cell>
        </row>
        <row r="74299">
          <cell r="O74299" t="str">
            <v/>
          </cell>
        </row>
        <row r="74300">
          <cell r="O74300" t="str">
            <v/>
          </cell>
        </row>
        <row r="74301">
          <cell r="O74301" t="str">
            <v/>
          </cell>
        </row>
        <row r="74302">
          <cell r="O74302" t="str">
            <v/>
          </cell>
        </row>
        <row r="74303">
          <cell r="O74303" t="str">
            <v/>
          </cell>
        </row>
        <row r="74304">
          <cell r="O74304" t="str">
            <v/>
          </cell>
        </row>
        <row r="74305">
          <cell r="O74305" t="str">
            <v/>
          </cell>
        </row>
        <row r="74306">
          <cell r="O74306" t="str">
            <v/>
          </cell>
        </row>
        <row r="74307">
          <cell r="O74307" t="str">
            <v/>
          </cell>
        </row>
        <row r="74308">
          <cell r="O74308" t="str">
            <v/>
          </cell>
        </row>
        <row r="74309">
          <cell r="O74309" t="str">
            <v/>
          </cell>
        </row>
        <row r="74310">
          <cell r="O74310" t="str">
            <v/>
          </cell>
        </row>
        <row r="74311">
          <cell r="O74311" t="str">
            <v/>
          </cell>
        </row>
        <row r="74312">
          <cell r="O74312" t="str">
            <v/>
          </cell>
        </row>
        <row r="74313">
          <cell r="O74313" t="str">
            <v/>
          </cell>
        </row>
        <row r="74314">
          <cell r="O74314" t="str">
            <v/>
          </cell>
        </row>
        <row r="74315">
          <cell r="O74315" t="str">
            <v/>
          </cell>
        </row>
        <row r="74316">
          <cell r="O74316" t="str">
            <v/>
          </cell>
        </row>
        <row r="74317">
          <cell r="O74317" t="str">
            <v/>
          </cell>
        </row>
        <row r="74318">
          <cell r="O74318" t="str">
            <v/>
          </cell>
        </row>
        <row r="74319">
          <cell r="O74319" t="str">
            <v/>
          </cell>
        </row>
        <row r="74320">
          <cell r="O74320" t="str">
            <v/>
          </cell>
        </row>
        <row r="74321">
          <cell r="O74321" t="str">
            <v/>
          </cell>
        </row>
        <row r="74322">
          <cell r="O74322" t="str">
            <v/>
          </cell>
        </row>
        <row r="74323">
          <cell r="O74323" t="str">
            <v/>
          </cell>
        </row>
        <row r="74324">
          <cell r="O74324" t="str">
            <v/>
          </cell>
        </row>
        <row r="74325">
          <cell r="O74325" t="str">
            <v/>
          </cell>
        </row>
        <row r="74326">
          <cell r="O74326" t="str">
            <v/>
          </cell>
        </row>
        <row r="74327">
          <cell r="O74327" t="str">
            <v/>
          </cell>
        </row>
        <row r="74328">
          <cell r="O74328" t="str">
            <v/>
          </cell>
        </row>
        <row r="74329">
          <cell r="O74329" t="str">
            <v/>
          </cell>
        </row>
        <row r="74330">
          <cell r="O74330" t="str">
            <v/>
          </cell>
        </row>
        <row r="74331">
          <cell r="O74331" t="str">
            <v/>
          </cell>
        </row>
        <row r="74332">
          <cell r="O74332" t="str">
            <v/>
          </cell>
        </row>
        <row r="74333">
          <cell r="O74333" t="str">
            <v/>
          </cell>
        </row>
        <row r="74334">
          <cell r="O74334" t="str">
            <v/>
          </cell>
        </row>
        <row r="74335">
          <cell r="O74335" t="str">
            <v/>
          </cell>
        </row>
        <row r="74336">
          <cell r="O74336" t="str">
            <v/>
          </cell>
        </row>
        <row r="74337">
          <cell r="O74337" t="str">
            <v/>
          </cell>
        </row>
        <row r="74338">
          <cell r="O74338" t="str">
            <v/>
          </cell>
        </row>
        <row r="74339">
          <cell r="O74339" t="str">
            <v/>
          </cell>
        </row>
        <row r="74340">
          <cell r="O74340" t="str">
            <v/>
          </cell>
        </row>
        <row r="74341">
          <cell r="O74341" t="str">
            <v/>
          </cell>
        </row>
        <row r="74342">
          <cell r="O74342" t="str">
            <v/>
          </cell>
        </row>
        <row r="74343">
          <cell r="O74343" t="str">
            <v/>
          </cell>
        </row>
        <row r="74344">
          <cell r="O74344" t="str">
            <v/>
          </cell>
        </row>
        <row r="74345">
          <cell r="O74345" t="str">
            <v/>
          </cell>
        </row>
        <row r="74346">
          <cell r="O74346" t="str">
            <v/>
          </cell>
        </row>
        <row r="74347">
          <cell r="O74347" t="str">
            <v/>
          </cell>
        </row>
        <row r="74348">
          <cell r="O74348" t="str">
            <v/>
          </cell>
        </row>
        <row r="74349">
          <cell r="O74349" t="str">
            <v/>
          </cell>
        </row>
        <row r="74350">
          <cell r="O74350" t="str">
            <v/>
          </cell>
        </row>
        <row r="74351">
          <cell r="O74351" t="str">
            <v/>
          </cell>
        </row>
        <row r="74352">
          <cell r="O74352" t="str">
            <v/>
          </cell>
        </row>
        <row r="74353">
          <cell r="O74353" t="str">
            <v/>
          </cell>
        </row>
        <row r="74354">
          <cell r="O74354" t="str">
            <v/>
          </cell>
        </row>
        <row r="74355">
          <cell r="O74355" t="str">
            <v/>
          </cell>
        </row>
        <row r="74356">
          <cell r="O74356" t="str">
            <v/>
          </cell>
        </row>
        <row r="74357">
          <cell r="O74357" t="str">
            <v/>
          </cell>
        </row>
        <row r="74358">
          <cell r="O74358" t="str">
            <v/>
          </cell>
        </row>
        <row r="74359">
          <cell r="O74359" t="str">
            <v/>
          </cell>
        </row>
        <row r="74360">
          <cell r="O74360" t="str">
            <v/>
          </cell>
        </row>
        <row r="74361">
          <cell r="O74361" t="str">
            <v/>
          </cell>
        </row>
        <row r="74362">
          <cell r="O74362" t="str">
            <v/>
          </cell>
        </row>
        <row r="74363">
          <cell r="O74363" t="str">
            <v/>
          </cell>
        </row>
        <row r="74364">
          <cell r="O74364" t="str">
            <v/>
          </cell>
        </row>
        <row r="74365">
          <cell r="O74365" t="str">
            <v/>
          </cell>
        </row>
        <row r="74366">
          <cell r="O74366" t="str">
            <v/>
          </cell>
        </row>
        <row r="74367">
          <cell r="O74367" t="str">
            <v/>
          </cell>
        </row>
        <row r="74368">
          <cell r="O74368" t="str">
            <v/>
          </cell>
        </row>
        <row r="74369">
          <cell r="O74369" t="str">
            <v/>
          </cell>
        </row>
        <row r="74370">
          <cell r="O74370" t="str">
            <v/>
          </cell>
        </row>
        <row r="74371">
          <cell r="O74371" t="str">
            <v/>
          </cell>
        </row>
        <row r="74372">
          <cell r="O74372" t="str">
            <v/>
          </cell>
        </row>
        <row r="74373">
          <cell r="O74373" t="str">
            <v/>
          </cell>
        </row>
        <row r="74374">
          <cell r="O74374" t="str">
            <v/>
          </cell>
        </row>
        <row r="74375">
          <cell r="O74375" t="str">
            <v/>
          </cell>
        </row>
        <row r="74376">
          <cell r="O74376" t="str">
            <v/>
          </cell>
        </row>
        <row r="74377">
          <cell r="O74377" t="str">
            <v/>
          </cell>
        </row>
        <row r="74378">
          <cell r="O74378" t="str">
            <v/>
          </cell>
        </row>
        <row r="74379">
          <cell r="O74379" t="str">
            <v/>
          </cell>
        </row>
        <row r="74380">
          <cell r="O74380" t="str">
            <v/>
          </cell>
        </row>
        <row r="74381">
          <cell r="O74381" t="str">
            <v/>
          </cell>
        </row>
        <row r="74382">
          <cell r="O74382" t="str">
            <v/>
          </cell>
        </row>
        <row r="74383">
          <cell r="O74383" t="str">
            <v/>
          </cell>
        </row>
        <row r="74384">
          <cell r="O74384" t="str">
            <v/>
          </cell>
        </row>
        <row r="74385">
          <cell r="O74385" t="str">
            <v/>
          </cell>
        </row>
        <row r="74386">
          <cell r="O74386" t="str">
            <v/>
          </cell>
        </row>
        <row r="74387">
          <cell r="O74387" t="str">
            <v/>
          </cell>
        </row>
        <row r="74388">
          <cell r="O74388" t="str">
            <v/>
          </cell>
        </row>
        <row r="74389">
          <cell r="O74389" t="str">
            <v/>
          </cell>
        </row>
        <row r="74390">
          <cell r="O74390" t="str">
            <v/>
          </cell>
        </row>
        <row r="74391">
          <cell r="O74391" t="str">
            <v/>
          </cell>
        </row>
        <row r="74392">
          <cell r="O74392" t="str">
            <v/>
          </cell>
        </row>
        <row r="74393">
          <cell r="O74393" t="str">
            <v/>
          </cell>
        </row>
        <row r="74394">
          <cell r="O74394" t="str">
            <v/>
          </cell>
        </row>
        <row r="74395">
          <cell r="O74395" t="str">
            <v/>
          </cell>
        </row>
        <row r="74396">
          <cell r="O74396" t="str">
            <v/>
          </cell>
        </row>
        <row r="74397">
          <cell r="O74397" t="str">
            <v/>
          </cell>
        </row>
        <row r="74398">
          <cell r="O74398" t="str">
            <v/>
          </cell>
        </row>
        <row r="74399">
          <cell r="O74399" t="str">
            <v/>
          </cell>
        </row>
        <row r="74400">
          <cell r="O74400" t="str">
            <v/>
          </cell>
        </row>
        <row r="74401">
          <cell r="O74401" t="str">
            <v/>
          </cell>
        </row>
        <row r="74402">
          <cell r="O74402" t="str">
            <v/>
          </cell>
        </row>
        <row r="74403">
          <cell r="O74403" t="str">
            <v/>
          </cell>
        </row>
        <row r="74404">
          <cell r="O74404" t="str">
            <v/>
          </cell>
        </row>
        <row r="74405">
          <cell r="O74405" t="str">
            <v/>
          </cell>
        </row>
        <row r="74406">
          <cell r="O74406" t="str">
            <v/>
          </cell>
        </row>
        <row r="74407">
          <cell r="O74407" t="str">
            <v/>
          </cell>
        </row>
        <row r="74408">
          <cell r="O74408" t="str">
            <v/>
          </cell>
        </row>
        <row r="74409">
          <cell r="O74409" t="str">
            <v/>
          </cell>
        </row>
        <row r="74410">
          <cell r="O74410" t="str">
            <v/>
          </cell>
        </row>
        <row r="74411">
          <cell r="O74411" t="str">
            <v/>
          </cell>
        </row>
        <row r="74412">
          <cell r="O74412" t="str">
            <v/>
          </cell>
        </row>
        <row r="74413">
          <cell r="O74413" t="str">
            <v/>
          </cell>
        </row>
        <row r="74414">
          <cell r="O74414" t="str">
            <v/>
          </cell>
        </row>
        <row r="74415">
          <cell r="O74415" t="str">
            <v/>
          </cell>
        </row>
        <row r="74416">
          <cell r="O74416" t="str">
            <v/>
          </cell>
        </row>
        <row r="74417">
          <cell r="O74417" t="str">
            <v/>
          </cell>
        </row>
        <row r="74418">
          <cell r="O74418" t="str">
            <v/>
          </cell>
        </row>
        <row r="74419">
          <cell r="O74419" t="str">
            <v/>
          </cell>
        </row>
        <row r="74420">
          <cell r="O74420" t="str">
            <v/>
          </cell>
        </row>
        <row r="74421">
          <cell r="O74421" t="str">
            <v/>
          </cell>
        </row>
        <row r="74422">
          <cell r="O74422" t="str">
            <v/>
          </cell>
        </row>
        <row r="74423">
          <cell r="O74423" t="str">
            <v/>
          </cell>
        </row>
        <row r="74424">
          <cell r="O74424" t="str">
            <v/>
          </cell>
        </row>
        <row r="74425">
          <cell r="O74425" t="str">
            <v/>
          </cell>
        </row>
        <row r="74426">
          <cell r="O74426" t="str">
            <v/>
          </cell>
        </row>
        <row r="74427">
          <cell r="O74427" t="str">
            <v/>
          </cell>
        </row>
        <row r="74428">
          <cell r="O74428" t="str">
            <v/>
          </cell>
        </row>
        <row r="74429">
          <cell r="O74429" t="str">
            <v/>
          </cell>
        </row>
        <row r="74430">
          <cell r="O74430" t="str">
            <v/>
          </cell>
        </row>
        <row r="74431">
          <cell r="O74431" t="str">
            <v/>
          </cell>
        </row>
        <row r="74432">
          <cell r="O74432" t="str">
            <v/>
          </cell>
        </row>
        <row r="74433">
          <cell r="O74433" t="str">
            <v/>
          </cell>
        </row>
        <row r="74434">
          <cell r="O74434" t="str">
            <v/>
          </cell>
        </row>
        <row r="74435">
          <cell r="O74435" t="str">
            <v/>
          </cell>
        </row>
        <row r="74436">
          <cell r="O74436" t="str">
            <v/>
          </cell>
        </row>
        <row r="74437">
          <cell r="O74437" t="str">
            <v/>
          </cell>
        </row>
        <row r="74438">
          <cell r="O74438" t="str">
            <v/>
          </cell>
        </row>
        <row r="74439">
          <cell r="O74439" t="str">
            <v/>
          </cell>
        </row>
        <row r="74440">
          <cell r="O74440" t="str">
            <v/>
          </cell>
        </row>
        <row r="74441">
          <cell r="O74441" t="str">
            <v/>
          </cell>
        </row>
        <row r="74442">
          <cell r="O74442" t="str">
            <v/>
          </cell>
        </row>
        <row r="74443">
          <cell r="O74443" t="str">
            <v/>
          </cell>
        </row>
        <row r="74444">
          <cell r="O74444" t="str">
            <v/>
          </cell>
        </row>
        <row r="74445">
          <cell r="O74445" t="str">
            <v/>
          </cell>
        </row>
        <row r="74446">
          <cell r="O74446" t="str">
            <v/>
          </cell>
        </row>
        <row r="74447">
          <cell r="O74447" t="str">
            <v/>
          </cell>
        </row>
        <row r="74448">
          <cell r="O74448" t="str">
            <v/>
          </cell>
        </row>
        <row r="74449">
          <cell r="O74449" t="str">
            <v/>
          </cell>
        </row>
        <row r="74450">
          <cell r="O74450" t="str">
            <v/>
          </cell>
        </row>
        <row r="74451">
          <cell r="O74451" t="str">
            <v/>
          </cell>
        </row>
        <row r="74452">
          <cell r="O74452" t="str">
            <v/>
          </cell>
        </row>
        <row r="74453">
          <cell r="O74453" t="str">
            <v/>
          </cell>
        </row>
        <row r="74454">
          <cell r="O74454" t="str">
            <v/>
          </cell>
        </row>
        <row r="74455">
          <cell r="O74455" t="str">
            <v/>
          </cell>
        </row>
        <row r="74456">
          <cell r="O74456" t="str">
            <v/>
          </cell>
        </row>
        <row r="74457">
          <cell r="O74457" t="str">
            <v/>
          </cell>
        </row>
        <row r="74458">
          <cell r="O74458" t="str">
            <v/>
          </cell>
        </row>
        <row r="74459">
          <cell r="O74459" t="str">
            <v/>
          </cell>
        </row>
        <row r="74460">
          <cell r="O74460" t="str">
            <v/>
          </cell>
        </row>
        <row r="74461">
          <cell r="O74461" t="str">
            <v/>
          </cell>
        </row>
        <row r="74462">
          <cell r="O74462" t="str">
            <v/>
          </cell>
        </row>
        <row r="74463">
          <cell r="O74463" t="str">
            <v/>
          </cell>
        </row>
        <row r="74464">
          <cell r="O74464" t="str">
            <v/>
          </cell>
        </row>
        <row r="74465">
          <cell r="O74465" t="str">
            <v/>
          </cell>
        </row>
        <row r="74466">
          <cell r="O74466" t="str">
            <v/>
          </cell>
        </row>
        <row r="74467">
          <cell r="O74467" t="str">
            <v/>
          </cell>
        </row>
        <row r="74468">
          <cell r="O74468" t="str">
            <v/>
          </cell>
        </row>
        <row r="74469">
          <cell r="O74469" t="str">
            <v/>
          </cell>
        </row>
        <row r="74470">
          <cell r="O74470" t="str">
            <v/>
          </cell>
        </row>
        <row r="74471">
          <cell r="O74471" t="str">
            <v/>
          </cell>
        </row>
        <row r="74472">
          <cell r="O74472" t="str">
            <v/>
          </cell>
        </row>
        <row r="74473">
          <cell r="O74473" t="str">
            <v/>
          </cell>
        </row>
        <row r="74474">
          <cell r="O74474" t="str">
            <v/>
          </cell>
        </row>
        <row r="74475">
          <cell r="O74475" t="str">
            <v/>
          </cell>
        </row>
        <row r="74476">
          <cell r="O74476" t="str">
            <v/>
          </cell>
        </row>
        <row r="74477">
          <cell r="O74477" t="str">
            <v/>
          </cell>
        </row>
        <row r="74478">
          <cell r="O74478" t="str">
            <v/>
          </cell>
        </row>
        <row r="74479">
          <cell r="O74479" t="str">
            <v/>
          </cell>
        </row>
        <row r="74480">
          <cell r="O74480" t="str">
            <v/>
          </cell>
        </row>
        <row r="74481">
          <cell r="O74481" t="str">
            <v/>
          </cell>
        </row>
        <row r="74482">
          <cell r="O74482" t="str">
            <v/>
          </cell>
        </row>
        <row r="74483">
          <cell r="O74483" t="str">
            <v/>
          </cell>
        </row>
        <row r="74484">
          <cell r="O74484" t="str">
            <v/>
          </cell>
        </row>
        <row r="74485">
          <cell r="O74485" t="str">
            <v/>
          </cell>
        </row>
        <row r="74486">
          <cell r="O74486" t="str">
            <v/>
          </cell>
        </row>
        <row r="74487">
          <cell r="O74487" t="str">
            <v/>
          </cell>
        </row>
        <row r="74488">
          <cell r="O74488" t="str">
            <v/>
          </cell>
        </row>
        <row r="74489">
          <cell r="O74489" t="str">
            <v/>
          </cell>
        </row>
        <row r="74490">
          <cell r="O74490" t="str">
            <v/>
          </cell>
        </row>
        <row r="74491">
          <cell r="O74491" t="str">
            <v/>
          </cell>
        </row>
        <row r="74492">
          <cell r="O74492" t="str">
            <v/>
          </cell>
        </row>
        <row r="74493">
          <cell r="O74493" t="str">
            <v/>
          </cell>
        </row>
        <row r="74494">
          <cell r="O74494" t="str">
            <v/>
          </cell>
        </row>
        <row r="74495">
          <cell r="O74495" t="str">
            <v/>
          </cell>
        </row>
        <row r="74496">
          <cell r="O74496" t="str">
            <v/>
          </cell>
        </row>
        <row r="74497">
          <cell r="O74497" t="str">
            <v/>
          </cell>
        </row>
        <row r="74498">
          <cell r="O74498" t="str">
            <v/>
          </cell>
        </row>
        <row r="74499">
          <cell r="O74499" t="str">
            <v/>
          </cell>
        </row>
        <row r="74500">
          <cell r="O74500" t="str">
            <v/>
          </cell>
        </row>
        <row r="74501">
          <cell r="O74501" t="str">
            <v/>
          </cell>
        </row>
        <row r="74502">
          <cell r="O74502" t="str">
            <v/>
          </cell>
        </row>
        <row r="74503">
          <cell r="O74503" t="str">
            <v/>
          </cell>
        </row>
        <row r="74504">
          <cell r="O74504" t="str">
            <v/>
          </cell>
        </row>
        <row r="74505">
          <cell r="O74505" t="str">
            <v/>
          </cell>
        </row>
        <row r="74506">
          <cell r="O74506" t="str">
            <v/>
          </cell>
        </row>
        <row r="74507">
          <cell r="O74507" t="str">
            <v/>
          </cell>
        </row>
        <row r="74508">
          <cell r="O74508" t="str">
            <v/>
          </cell>
        </row>
        <row r="74509">
          <cell r="O74509" t="str">
            <v/>
          </cell>
        </row>
        <row r="74510">
          <cell r="O74510" t="str">
            <v/>
          </cell>
        </row>
        <row r="74511">
          <cell r="O74511" t="str">
            <v/>
          </cell>
        </row>
        <row r="74512">
          <cell r="O74512" t="str">
            <v/>
          </cell>
        </row>
        <row r="74513">
          <cell r="O74513" t="str">
            <v/>
          </cell>
        </row>
        <row r="74514">
          <cell r="O74514" t="str">
            <v/>
          </cell>
        </row>
        <row r="74515">
          <cell r="O74515" t="str">
            <v/>
          </cell>
        </row>
        <row r="74516">
          <cell r="O74516" t="str">
            <v/>
          </cell>
        </row>
        <row r="74517">
          <cell r="O74517" t="str">
            <v/>
          </cell>
        </row>
        <row r="74518">
          <cell r="O74518" t="str">
            <v/>
          </cell>
        </row>
        <row r="74519">
          <cell r="O74519" t="str">
            <v/>
          </cell>
        </row>
        <row r="74520">
          <cell r="O74520" t="str">
            <v/>
          </cell>
        </row>
        <row r="74521">
          <cell r="O74521" t="str">
            <v/>
          </cell>
        </row>
        <row r="74522">
          <cell r="O74522" t="str">
            <v/>
          </cell>
        </row>
        <row r="74523">
          <cell r="O74523" t="str">
            <v/>
          </cell>
        </row>
        <row r="74524">
          <cell r="O74524" t="str">
            <v/>
          </cell>
        </row>
        <row r="74525">
          <cell r="O74525" t="str">
            <v/>
          </cell>
        </row>
        <row r="74526">
          <cell r="O74526" t="str">
            <v/>
          </cell>
        </row>
        <row r="74527">
          <cell r="O74527" t="str">
            <v/>
          </cell>
        </row>
        <row r="74528">
          <cell r="O74528" t="str">
            <v/>
          </cell>
        </row>
        <row r="74529">
          <cell r="O74529" t="str">
            <v/>
          </cell>
        </row>
        <row r="74530">
          <cell r="O74530" t="str">
            <v/>
          </cell>
        </row>
        <row r="74531">
          <cell r="O74531" t="str">
            <v/>
          </cell>
        </row>
        <row r="74532">
          <cell r="O74532" t="str">
            <v/>
          </cell>
        </row>
        <row r="74533">
          <cell r="O74533" t="str">
            <v/>
          </cell>
        </row>
        <row r="74534">
          <cell r="O74534" t="str">
            <v/>
          </cell>
        </row>
        <row r="74535">
          <cell r="O74535" t="str">
            <v/>
          </cell>
        </row>
        <row r="74536">
          <cell r="O74536" t="str">
            <v/>
          </cell>
        </row>
        <row r="74537">
          <cell r="O74537" t="str">
            <v/>
          </cell>
        </row>
        <row r="74538">
          <cell r="O74538" t="str">
            <v/>
          </cell>
        </row>
        <row r="74539">
          <cell r="O74539" t="str">
            <v/>
          </cell>
        </row>
        <row r="74540">
          <cell r="O74540" t="str">
            <v/>
          </cell>
        </row>
        <row r="74541">
          <cell r="O74541" t="str">
            <v/>
          </cell>
        </row>
        <row r="74542">
          <cell r="O74542" t="str">
            <v/>
          </cell>
        </row>
        <row r="74543">
          <cell r="O74543" t="str">
            <v/>
          </cell>
        </row>
        <row r="74544">
          <cell r="O74544" t="str">
            <v/>
          </cell>
        </row>
        <row r="74545">
          <cell r="O74545" t="str">
            <v/>
          </cell>
        </row>
        <row r="74546">
          <cell r="O74546" t="str">
            <v/>
          </cell>
        </row>
        <row r="74547">
          <cell r="O74547" t="str">
            <v/>
          </cell>
        </row>
        <row r="74548">
          <cell r="O74548" t="str">
            <v/>
          </cell>
        </row>
        <row r="74549">
          <cell r="O74549" t="str">
            <v/>
          </cell>
        </row>
        <row r="74550">
          <cell r="O74550" t="str">
            <v/>
          </cell>
        </row>
        <row r="74551">
          <cell r="O74551" t="str">
            <v/>
          </cell>
        </row>
        <row r="74552">
          <cell r="O74552" t="str">
            <v/>
          </cell>
        </row>
        <row r="74553">
          <cell r="O74553" t="str">
            <v/>
          </cell>
        </row>
        <row r="74554">
          <cell r="O74554" t="str">
            <v/>
          </cell>
        </row>
        <row r="74555">
          <cell r="O74555" t="str">
            <v/>
          </cell>
        </row>
        <row r="74556">
          <cell r="O74556" t="str">
            <v/>
          </cell>
        </row>
        <row r="74557">
          <cell r="O74557" t="str">
            <v/>
          </cell>
        </row>
        <row r="74558">
          <cell r="O74558" t="str">
            <v/>
          </cell>
        </row>
        <row r="74559">
          <cell r="O74559" t="str">
            <v/>
          </cell>
        </row>
        <row r="74560">
          <cell r="O74560" t="str">
            <v/>
          </cell>
        </row>
        <row r="74561">
          <cell r="O74561" t="str">
            <v/>
          </cell>
        </row>
        <row r="74562">
          <cell r="O74562" t="str">
            <v/>
          </cell>
        </row>
        <row r="74563">
          <cell r="O74563" t="str">
            <v/>
          </cell>
        </row>
        <row r="74564">
          <cell r="O74564" t="str">
            <v/>
          </cell>
        </row>
        <row r="74565">
          <cell r="O74565" t="str">
            <v/>
          </cell>
        </row>
        <row r="74566">
          <cell r="O74566" t="str">
            <v/>
          </cell>
        </row>
        <row r="74567">
          <cell r="O74567" t="str">
            <v/>
          </cell>
        </row>
        <row r="74568">
          <cell r="O74568" t="str">
            <v/>
          </cell>
        </row>
        <row r="74569">
          <cell r="O74569" t="str">
            <v/>
          </cell>
        </row>
        <row r="74570">
          <cell r="O74570" t="str">
            <v/>
          </cell>
        </row>
        <row r="74571">
          <cell r="O74571" t="str">
            <v/>
          </cell>
        </row>
        <row r="74572">
          <cell r="O74572" t="str">
            <v/>
          </cell>
        </row>
        <row r="74573">
          <cell r="O74573" t="str">
            <v/>
          </cell>
        </row>
        <row r="74574">
          <cell r="O74574" t="str">
            <v/>
          </cell>
        </row>
        <row r="74575">
          <cell r="O74575" t="str">
            <v/>
          </cell>
        </row>
        <row r="74576">
          <cell r="O74576" t="str">
            <v/>
          </cell>
        </row>
        <row r="74577">
          <cell r="O74577" t="str">
            <v/>
          </cell>
        </row>
        <row r="74578">
          <cell r="O74578" t="str">
            <v/>
          </cell>
        </row>
        <row r="74579">
          <cell r="O74579" t="str">
            <v/>
          </cell>
        </row>
        <row r="74580">
          <cell r="O74580" t="str">
            <v/>
          </cell>
        </row>
        <row r="74581">
          <cell r="O74581" t="str">
            <v/>
          </cell>
        </row>
        <row r="74582">
          <cell r="O74582" t="str">
            <v/>
          </cell>
        </row>
        <row r="74583">
          <cell r="O74583" t="str">
            <v/>
          </cell>
        </row>
        <row r="74584">
          <cell r="O74584" t="str">
            <v/>
          </cell>
        </row>
        <row r="74585">
          <cell r="O74585" t="str">
            <v/>
          </cell>
        </row>
        <row r="74586">
          <cell r="O74586" t="str">
            <v/>
          </cell>
        </row>
        <row r="74587">
          <cell r="O74587" t="str">
            <v/>
          </cell>
        </row>
        <row r="74588">
          <cell r="O74588" t="str">
            <v/>
          </cell>
        </row>
        <row r="74589">
          <cell r="O74589" t="str">
            <v/>
          </cell>
        </row>
        <row r="74590">
          <cell r="O74590" t="str">
            <v/>
          </cell>
        </row>
        <row r="74591">
          <cell r="O74591" t="str">
            <v/>
          </cell>
        </row>
        <row r="74592">
          <cell r="O74592" t="str">
            <v/>
          </cell>
        </row>
        <row r="74593">
          <cell r="O74593" t="str">
            <v/>
          </cell>
        </row>
        <row r="74594">
          <cell r="O74594" t="str">
            <v/>
          </cell>
        </row>
        <row r="74595">
          <cell r="O74595" t="str">
            <v/>
          </cell>
        </row>
        <row r="74596">
          <cell r="O74596" t="str">
            <v/>
          </cell>
        </row>
        <row r="74597">
          <cell r="O74597" t="str">
            <v/>
          </cell>
        </row>
        <row r="74598">
          <cell r="O74598" t="str">
            <v/>
          </cell>
        </row>
        <row r="74599">
          <cell r="O74599" t="str">
            <v/>
          </cell>
        </row>
        <row r="74600">
          <cell r="O74600" t="str">
            <v/>
          </cell>
        </row>
        <row r="74601">
          <cell r="O74601" t="str">
            <v/>
          </cell>
        </row>
        <row r="74602">
          <cell r="O74602" t="str">
            <v/>
          </cell>
        </row>
        <row r="74603">
          <cell r="O74603" t="str">
            <v/>
          </cell>
        </row>
        <row r="74604">
          <cell r="O74604" t="str">
            <v/>
          </cell>
        </row>
        <row r="74605">
          <cell r="O74605" t="str">
            <v/>
          </cell>
        </row>
        <row r="74606">
          <cell r="O74606" t="str">
            <v/>
          </cell>
        </row>
        <row r="74607">
          <cell r="O74607" t="str">
            <v/>
          </cell>
        </row>
        <row r="74608">
          <cell r="O74608" t="str">
            <v/>
          </cell>
        </row>
        <row r="74609">
          <cell r="O74609" t="str">
            <v/>
          </cell>
        </row>
        <row r="74610">
          <cell r="O74610" t="str">
            <v/>
          </cell>
        </row>
        <row r="74611">
          <cell r="O74611" t="str">
            <v/>
          </cell>
        </row>
        <row r="74612">
          <cell r="O74612" t="str">
            <v/>
          </cell>
        </row>
        <row r="74613">
          <cell r="O74613" t="str">
            <v/>
          </cell>
        </row>
        <row r="74614">
          <cell r="O74614" t="str">
            <v/>
          </cell>
        </row>
        <row r="74615">
          <cell r="O74615" t="str">
            <v/>
          </cell>
        </row>
        <row r="74616">
          <cell r="O74616" t="str">
            <v/>
          </cell>
        </row>
        <row r="74617">
          <cell r="O74617" t="str">
            <v/>
          </cell>
        </row>
        <row r="74618">
          <cell r="O74618" t="str">
            <v/>
          </cell>
        </row>
        <row r="74619">
          <cell r="O74619" t="str">
            <v/>
          </cell>
        </row>
        <row r="74620">
          <cell r="O74620" t="str">
            <v/>
          </cell>
        </row>
        <row r="74621">
          <cell r="O74621" t="str">
            <v/>
          </cell>
        </row>
        <row r="74622">
          <cell r="O74622" t="str">
            <v/>
          </cell>
        </row>
        <row r="74623">
          <cell r="O74623" t="str">
            <v/>
          </cell>
        </row>
        <row r="74624">
          <cell r="O74624" t="str">
            <v/>
          </cell>
        </row>
        <row r="74625">
          <cell r="O74625" t="str">
            <v/>
          </cell>
        </row>
        <row r="74626">
          <cell r="O74626" t="str">
            <v/>
          </cell>
        </row>
        <row r="74627">
          <cell r="O74627" t="str">
            <v/>
          </cell>
        </row>
        <row r="74628">
          <cell r="O74628" t="str">
            <v/>
          </cell>
        </row>
        <row r="74629">
          <cell r="O74629" t="str">
            <v/>
          </cell>
        </row>
        <row r="74630">
          <cell r="O74630" t="str">
            <v/>
          </cell>
        </row>
        <row r="74631">
          <cell r="O74631" t="str">
            <v/>
          </cell>
        </row>
        <row r="74632">
          <cell r="O74632" t="str">
            <v/>
          </cell>
        </row>
        <row r="74633">
          <cell r="O74633" t="str">
            <v/>
          </cell>
        </row>
        <row r="74634">
          <cell r="O74634" t="str">
            <v/>
          </cell>
        </row>
        <row r="74635">
          <cell r="O74635" t="str">
            <v/>
          </cell>
        </row>
        <row r="74636">
          <cell r="O74636" t="str">
            <v/>
          </cell>
        </row>
        <row r="74637">
          <cell r="O74637" t="str">
            <v/>
          </cell>
        </row>
        <row r="74638">
          <cell r="O74638" t="str">
            <v/>
          </cell>
        </row>
        <row r="74639">
          <cell r="O74639" t="str">
            <v/>
          </cell>
        </row>
        <row r="74640">
          <cell r="O74640" t="str">
            <v/>
          </cell>
        </row>
        <row r="74641">
          <cell r="O74641" t="str">
            <v/>
          </cell>
        </row>
        <row r="74642">
          <cell r="O74642" t="str">
            <v/>
          </cell>
        </row>
        <row r="74643">
          <cell r="O74643" t="str">
            <v/>
          </cell>
        </row>
        <row r="74644">
          <cell r="O74644" t="str">
            <v/>
          </cell>
        </row>
        <row r="74645">
          <cell r="O74645" t="str">
            <v/>
          </cell>
        </row>
        <row r="74646">
          <cell r="O74646" t="str">
            <v/>
          </cell>
        </row>
        <row r="74647">
          <cell r="O74647" t="str">
            <v/>
          </cell>
        </row>
        <row r="74648">
          <cell r="O74648" t="str">
            <v/>
          </cell>
        </row>
        <row r="74649">
          <cell r="O74649" t="str">
            <v/>
          </cell>
        </row>
        <row r="74650">
          <cell r="O74650" t="str">
            <v/>
          </cell>
        </row>
        <row r="74651">
          <cell r="O74651" t="str">
            <v/>
          </cell>
        </row>
        <row r="74652">
          <cell r="O74652" t="str">
            <v/>
          </cell>
        </row>
        <row r="74653">
          <cell r="O74653" t="str">
            <v/>
          </cell>
        </row>
        <row r="74654">
          <cell r="O74654" t="str">
            <v/>
          </cell>
        </row>
        <row r="74655">
          <cell r="O74655" t="str">
            <v/>
          </cell>
        </row>
        <row r="74656">
          <cell r="O74656" t="str">
            <v/>
          </cell>
        </row>
        <row r="74657">
          <cell r="O74657" t="str">
            <v/>
          </cell>
        </row>
        <row r="74658">
          <cell r="O74658" t="str">
            <v/>
          </cell>
        </row>
        <row r="74659">
          <cell r="O74659" t="str">
            <v/>
          </cell>
        </row>
        <row r="74660">
          <cell r="O74660" t="str">
            <v/>
          </cell>
        </row>
        <row r="74661">
          <cell r="O74661" t="str">
            <v/>
          </cell>
        </row>
        <row r="74662">
          <cell r="O74662" t="str">
            <v/>
          </cell>
        </row>
        <row r="74663">
          <cell r="O74663" t="str">
            <v/>
          </cell>
        </row>
        <row r="74664">
          <cell r="O74664" t="str">
            <v/>
          </cell>
        </row>
        <row r="74665">
          <cell r="O74665" t="str">
            <v/>
          </cell>
        </row>
        <row r="74666">
          <cell r="O74666" t="str">
            <v/>
          </cell>
        </row>
        <row r="74667">
          <cell r="O74667" t="str">
            <v/>
          </cell>
        </row>
        <row r="74668">
          <cell r="O74668" t="str">
            <v/>
          </cell>
        </row>
        <row r="74669">
          <cell r="O74669" t="str">
            <v/>
          </cell>
        </row>
        <row r="74670">
          <cell r="O74670" t="str">
            <v/>
          </cell>
        </row>
        <row r="74671">
          <cell r="O74671" t="str">
            <v/>
          </cell>
        </row>
        <row r="74672">
          <cell r="O74672" t="str">
            <v/>
          </cell>
        </row>
        <row r="74673">
          <cell r="O74673" t="str">
            <v/>
          </cell>
        </row>
        <row r="74674">
          <cell r="O74674" t="str">
            <v/>
          </cell>
        </row>
        <row r="74675">
          <cell r="O74675" t="str">
            <v/>
          </cell>
        </row>
        <row r="74676">
          <cell r="O74676" t="str">
            <v/>
          </cell>
        </row>
        <row r="74677">
          <cell r="O74677" t="str">
            <v/>
          </cell>
        </row>
        <row r="74678">
          <cell r="O74678" t="str">
            <v/>
          </cell>
        </row>
        <row r="74679">
          <cell r="O74679" t="str">
            <v/>
          </cell>
        </row>
        <row r="74680">
          <cell r="O74680" t="str">
            <v/>
          </cell>
        </row>
        <row r="74681">
          <cell r="O74681" t="str">
            <v/>
          </cell>
        </row>
        <row r="74682">
          <cell r="O74682" t="str">
            <v/>
          </cell>
        </row>
        <row r="74683">
          <cell r="O74683" t="str">
            <v/>
          </cell>
        </row>
        <row r="74684">
          <cell r="O74684" t="str">
            <v/>
          </cell>
        </row>
        <row r="74685">
          <cell r="O74685" t="str">
            <v/>
          </cell>
        </row>
        <row r="74686">
          <cell r="O74686" t="str">
            <v/>
          </cell>
        </row>
        <row r="74687">
          <cell r="O74687" t="str">
            <v/>
          </cell>
        </row>
        <row r="74688">
          <cell r="O74688" t="str">
            <v/>
          </cell>
        </row>
        <row r="74689">
          <cell r="O74689" t="str">
            <v/>
          </cell>
        </row>
        <row r="74690">
          <cell r="O74690" t="str">
            <v/>
          </cell>
        </row>
        <row r="74691">
          <cell r="O74691" t="str">
            <v/>
          </cell>
        </row>
        <row r="74692">
          <cell r="O74692" t="str">
            <v/>
          </cell>
        </row>
        <row r="74693">
          <cell r="O74693" t="str">
            <v/>
          </cell>
        </row>
        <row r="74694">
          <cell r="O74694" t="str">
            <v/>
          </cell>
        </row>
        <row r="74695">
          <cell r="O74695" t="str">
            <v/>
          </cell>
        </row>
        <row r="74696">
          <cell r="O74696" t="str">
            <v/>
          </cell>
        </row>
        <row r="74697">
          <cell r="O74697" t="str">
            <v/>
          </cell>
        </row>
        <row r="74698">
          <cell r="O74698" t="str">
            <v/>
          </cell>
        </row>
        <row r="74699">
          <cell r="O74699" t="str">
            <v/>
          </cell>
        </row>
        <row r="74700">
          <cell r="O74700" t="str">
            <v/>
          </cell>
        </row>
        <row r="74701">
          <cell r="O74701" t="str">
            <v/>
          </cell>
        </row>
        <row r="74702">
          <cell r="O74702" t="str">
            <v/>
          </cell>
        </row>
        <row r="74703">
          <cell r="O74703" t="str">
            <v/>
          </cell>
        </row>
        <row r="74704">
          <cell r="O74704" t="str">
            <v/>
          </cell>
        </row>
        <row r="74705">
          <cell r="O74705" t="str">
            <v/>
          </cell>
        </row>
        <row r="74706">
          <cell r="O74706" t="str">
            <v/>
          </cell>
        </row>
        <row r="74707">
          <cell r="O74707" t="str">
            <v/>
          </cell>
        </row>
        <row r="74708">
          <cell r="O74708" t="str">
            <v/>
          </cell>
        </row>
        <row r="74709">
          <cell r="O74709" t="str">
            <v/>
          </cell>
        </row>
        <row r="74710">
          <cell r="O74710" t="str">
            <v/>
          </cell>
        </row>
        <row r="74711">
          <cell r="O74711" t="str">
            <v/>
          </cell>
        </row>
        <row r="74712">
          <cell r="O74712" t="str">
            <v/>
          </cell>
        </row>
        <row r="74713">
          <cell r="O74713" t="str">
            <v/>
          </cell>
        </row>
        <row r="74714">
          <cell r="O74714" t="str">
            <v/>
          </cell>
        </row>
        <row r="74715">
          <cell r="O74715" t="str">
            <v/>
          </cell>
        </row>
        <row r="74716">
          <cell r="O74716" t="str">
            <v/>
          </cell>
        </row>
        <row r="74717">
          <cell r="O74717" t="str">
            <v/>
          </cell>
        </row>
        <row r="74718">
          <cell r="O74718" t="str">
            <v/>
          </cell>
        </row>
        <row r="74719">
          <cell r="O74719" t="str">
            <v/>
          </cell>
        </row>
        <row r="74720">
          <cell r="O74720" t="str">
            <v/>
          </cell>
        </row>
        <row r="74721">
          <cell r="O74721" t="str">
            <v/>
          </cell>
        </row>
        <row r="74722">
          <cell r="O74722" t="str">
            <v/>
          </cell>
        </row>
        <row r="74723">
          <cell r="O74723" t="str">
            <v/>
          </cell>
        </row>
        <row r="74724">
          <cell r="O74724" t="str">
            <v/>
          </cell>
        </row>
        <row r="74725">
          <cell r="O74725" t="str">
            <v/>
          </cell>
        </row>
        <row r="74726">
          <cell r="O74726" t="str">
            <v/>
          </cell>
        </row>
        <row r="74727">
          <cell r="O74727" t="str">
            <v/>
          </cell>
        </row>
        <row r="74728">
          <cell r="O74728" t="str">
            <v/>
          </cell>
        </row>
        <row r="74729">
          <cell r="O74729" t="str">
            <v/>
          </cell>
        </row>
        <row r="74730">
          <cell r="O74730" t="str">
            <v/>
          </cell>
        </row>
        <row r="74731">
          <cell r="O74731" t="str">
            <v/>
          </cell>
        </row>
        <row r="74732">
          <cell r="O74732" t="str">
            <v/>
          </cell>
        </row>
        <row r="74733">
          <cell r="O74733" t="str">
            <v/>
          </cell>
        </row>
        <row r="74734">
          <cell r="O74734" t="str">
            <v/>
          </cell>
        </row>
        <row r="74735">
          <cell r="O74735" t="str">
            <v/>
          </cell>
        </row>
        <row r="74736">
          <cell r="O74736" t="str">
            <v/>
          </cell>
        </row>
        <row r="74737">
          <cell r="O74737" t="str">
            <v/>
          </cell>
        </row>
        <row r="74738">
          <cell r="O74738" t="str">
            <v/>
          </cell>
        </row>
        <row r="74739">
          <cell r="O74739" t="str">
            <v/>
          </cell>
        </row>
        <row r="74740">
          <cell r="O74740" t="str">
            <v/>
          </cell>
        </row>
        <row r="74741">
          <cell r="O74741" t="str">
            <v/>
          </cell>
        </row>
        <row r="74742">
          <cell r="O74742" t="str">
            <v/>
          </cell>
        </row>
        <row r="74743">
          <cell r="O74743" t="str">
            <v/>
          </cell>
        </row>
        <row r="74744">
          <cell r="O74744" t="str">
            <v/>
          </cell>
        </row>
        <row r="74745">
          <cell r="O74745" t="str">
            <v/>
          </cell>
        </row>
        <row r="74746">
          <cell r="O74746" t="str">
            <v/>
          </cell>
        </row>
        <row r="74747">
          <cell r="O74747" t="str">
            <v/>
          </cell>
        </row>
        <row r="74748">
          <cell r="O74748" t="str">
            <v/>
          </cell>
        </row>
        <row r="74749">
          <cell r="O74749" t="str">
            <v/>
          </cell>
        </row>
        <row r="74750">
          <cell r="O74750" t="str">
            <v/>
          </cell>
        </row>
        <row r="74751">
          <cell r="O74751" t="str">
            <v/>
          </cell>
        </row>
        <row r="74752">
          <cell r="O74752" t="str">
            <v/>
          </cell>
        </row>
        <row r="74753">
          <cell r="O74753" t="str">
            <v/>
          </cell>
        </row>
        <row r="74754">
          <cell r="O74754" t="str">
            <v/>
          </cell>
        </row>
        <row r="74755">
          <cell r="O74755" t="str">
            <v/>
          </cell>
        </row>
        <row r="74756">
          <cell r="O74756" t="str">
            <v/>
          </cell>
        </row>
        <row r="74757">
          <cell r="O74757" t="str">
            <v/>
          </cell>
        </row>
        <row r="74758">
          <cell r="O74758" t="str">
            <v/>
          </cell>
        </row>
        <row r="74759">
          <cell r="O74759" t="str">
            <v/>
          </cell>
        </row>
        <row r="74760">
          <cell r="O74760" t="str">
            <v/>
          </cell>
        </row>
        <row r="74761">
          <cell r="O74761" t="str">
            <v/>
          </cell>
        </row>
        <row r="74762">
          <cell r="O74762" t="str">
            <v/>
          </cell>
        </row>
        <row r="74763">
          <cell r="O74763" t="str">
            <v/>
          </cell>
        </row>
        <row r="74764">
          <cell r="O74764" t="str">
            <v/>
          </cell>
        </row>
        <row r="74765">
          <cell r="O74765" t="str">
            <v/>
          </cell>
        </row>
        <row r="74766">
          <cell r="O74766" t="str">
            <v/>
          </cell>
        </row>
        <row r="74767">
          <cell r="O74767" t="str">
            <v/>
          </cell>
        </row>
        <row r="74768">
          <cell r="O74768" t="str">
            <v/>
          </cell>
        </row>
        <row r="74769">
          <cell r="O74769" t="str">
            <v/>
          </cell>
        </row>
        <row r="74770">
          <cell r="O74770" t="str">
            <v/>
          </cell>
        </row>
        <row r="74771">
          <cell r="O74771" t="str">
            <v/>
          </cell>
        </row>
        <row r="74772">
          <cell r="O74772" t="str">
            <v/>
          </cell>
        </row>
        <row r="74773">
          <cell r="O74773" t="str">
            <v/>
          </cell>
        </row>
        <row r="74774">
          <cell r="O74774" t="str">
            <v/>
          </cell>
        </row>
        <row r="74775">
          <cell r="O74775" t="str">
            <v/>
          </cell>
        </row>
        <row r="74776">
          <cell r="O74776" t="str">
            <v/>
          </cell>
        </row>
        <row r="74777">
          <cell r="O74777" t="str">
            <v/>
          </cell>
        </row>
        <row r="74778">
          <cell r="O74778" t="str">
            <v/>
          </cell>
        </row>
        <row r="74779">
          <cell r="O74779" t="str">
            <v/>
          </cell>
        </row>
        <row r="74780">
          <cell r="O74780" t="str">
            <v/>
          </cell>
        </row>
        <row r="74781">
          <cell r="O74781" t="str">
            <v/>
          </cell>
        </row>
        <row r="74782">
          <cell r="O74782" t="str">
            <v/>
          </cell>
        </row>
        <row r="74783">
          <cell r="O74783" t="str">
            <v/>
          </cell>
        </row>
        <row r="74784">
          <cell r="O74784" t="str">
            <v/>
          </cell>
        </row>
        <row r="74785">
          <cell r="O74785" t="str">
            <v/>
          </cell>
        </row>
        <row r="74786">
          <cell r="O74786" t="str">
            <v/>
          </cell>
        </row>
        <row r="74787">
          <cell r="O74787" t="str">
            <v/>
          </cell>
        </row>
        <row r="74788">
          <cell r="O74788" t="str">
            <v/>
          </cell>
        </row>
        <row r="74789">
          <cell r="O74789" t="str">
            <v/>
          </cell>
        </row>
        <row r="74790">
          <cell r="O74790" t="str">
            <v/>
          </cell>
        </row>
        <row r="74791">
          <cell r="O74791" t="str">
            <v/>
          </cell>
        </row>
        <row r="74792">
          <cell r="O74792" t="str">
            <v/>
          </cell>
        </row>
        <row r="74793">
          <cell r="O74793" t="str">
            <v/>
          </cell>
        </row>
        <row r="74794">
          <cell r="O74794" t="str">
            <v/>
          </cell>
        </row>
        <row r="74795">
          <cell r="O74795" t="str">
            <v/>
          </cell>
        </row>
        <row r="74796">
          <cell r="O74796" t="str">
            <v/>
          </cell>
        </row>
        <row r="74797">
          <cell r="O74797" t="str">
            <v/>
          </cell>
        </row>
        <row r="74798">
          <cell r="O74798" t="str">
            <v/>
          </cell>
        </row>
        <row r="74799">
          <cell r="O74799" t="str">
            <v/>
          </cell>
        </row>
        <row r="74800">
          <cell r="O74800" t="str">
            <v/>
          </cell>
        </row>
        <row r="74801">
          <cell r="O74801" t="str">
            <v/>
          </cell>
        </row>
        <row r="74802">
          <cell r="O74802" t="str">
            <v/>
          </cell>
        </row>
        <row r="74803">
          <cell r="O74803" t="str">
            <v/>
          </cell>
        </row>
        <row r="74804">
          <cell r="O74804" t="str">
            <v/>
          </cell>
        </row>
        <row r="74805">
          <cell r="O74805" t="str">
            <v/>
          </cell>
        </row>
        <row r="74806">
          <cell r="O74806" t="str">
            <v/>
          </cell>
        </row>
        <row r="74807">
          <cell r="O74807" t="str">
            <v/>
          </cell>
        </row>
        <row r="74808">
          <cell r="O74808" t="str">
            <v/>
          </cell>
        </row>
        <row r="74809">
          <cell r="O74809" t="str">
            <v/>
          </cell>
        </row>
        <row r="74810">
          <cell r="O74810" t="str">
            <v/>
          </cell>
        </row>
        <row r="74811">
          <cell r="O74811" t="str">
            <v/>
          </cell>
        </row>
        <row r="74812">
          <cell r="O74812" t="str">
            <v/>
          </cell>
        </row>
        <row r="74813">
          <cell r="O74813" t="str">
            <v/>
          </cell>
        </row>
        <row r="74814">
          <cell r="O74814" t="str">
            <v/>
          </cell>
        </row>
        <row r="74815">
          <cell r="O74815" t="str">
            <v/>
          </cell>
        </row>
        <row r="74816">
          <cell r="O74816" t="str">
            <v/>
          </cell>
        </row>
        <row r="74817">
          <cell r="O74817" t="str">
            <v/>
          </cell>
        </row>
        <row r="74818">
          <cell r="O74818" t="str">
            <v/>
          </cell>
        </row>
        <row r="74819">
          <cell r="O74819" t="str">
            <v/>
          </cell>
        </row>
        <row r="74820">
          <cell r="O74820" t="str">
            <v/>
          </cell>
        </row>
        <row r="74821">
          <cell r="O74821" t="str">
            <v/>
          </cell>
        </row>
        <row r="74822">
          <cell r="O74822" t="str">
            <v/>
          </cell>
        </row>
        <row r="74823">
          <cell r="O74823" t="str">
            <v/>
          </cell>
        </row>
        <row r="74824">
          <cell r="O74824" t="str">
            <v/>
          </cell>
        </row>
        <row r="74825">
          <cell r="O74825" t="str">
            <v/>
          </cell>
        </row>
        <row r="74826">
          <cell r="O74826" t="str">
            <v/>
          </cell>
        </row>
        <row r="74827">
          <cell r="O74827" t="str">
            <v/>
          </cell>
        </row>
        <row r="74828">
          <cell r="O74828" t="str">
            <v/>
          </cell>
        </row>
        <row r="74829">
          <cell r="O74829" t="str">
            <v/>
          </cell>
        </row>
        <row r="74830">
          <cell r="O74830" t="str">
            <v/>
          </cell>
        </row>
        <row r="74831">
          <cell r="O74831" t="str">
            <v/>
          </cell>
        </row>
        <row r="74832">
          <cell r="O74832" t="str">
            <v/>
          </cell>
        </row>
        <row r="74833">
          <cell r="O74833" t="str">
            <v/>
          </cell>
        </row>
        <row r="74834">
          <cell r="O74834" t="str">
            <v/>
          </cell>
        </row>
        <row r="74835">
          <cell r="O74835" t="str">
            <v/>
          </cell>
        </row>
        <row r="74836">
          <cell r="O74836" t="str">
            <v/>
          </cell>
        </row>
        <row r="74837">
          <cell r="O74837" t="str">
            <v/>
          </cell>
        </row>
        <row r="74838">
          <cell r="O74838" t="str">
            <v/>
          </cell>
        </row>
        <row r="74839">
          <cell r="O74839" t="str">
            <v/>
          </cell>
        </row>
        <row r="74840">
          <cell r="O74840" t="str">
            <v/>
          </cell>
        </row>
        <row r="74841">
          <cell r="O74841" t="str">
            <v/>
          </cell>
        </row>
        <row r="74842">
          <cell r="O74842" t="str">
            <v/>
          </cell>
        </row>
        <row r="74843">
          <cell r="O74843" t="str">
            <v/>
          </cell>
        </row>
        <row r="74844">
          <cell r="O74844" t="str">
            <v/>
          </cell>
        </row>
        <row r="74845">
          <cell r="O74845" t="str">
            <v/>
          </cell>
        </row>
        <row r="74846">
          <cell r="O74846" t="str">
            <v/>
          </cell>
        </row>
        <row r="74847">
          <cell r="O74847" t="str">
            <v/>
          </cell>
        </row>
        <row r="74848">
          <cell r="O74848" t="str">
            <v/>
          </cell>
        </row>
        <row r="74849">
          <cell r="O74849" t="str">
            <v/>
          </cell>
        </row>
        <row r="74850">
          <cell r="O74850" t="str">
            <v/>
          </cell>
        </row>
        <row r="74851">
          <cell r="O74851" t="str">
            <v/>
          </cell>
        </row>
        <row r="74852">
          <cell r="O74852" t="str">
            <v/>
          </cell>
        </row>
        <row r="74853">
          <cell r="O74853" t="str">
            <v/>
          </cell>
        </row>
        <row r="74854">
          <cell r="O74854" t="str">
            <v/>
          </cell>
        </row>
        <row r="74855">
          <cell r="O74855" t="str">
            <v/>
          </cell>
        </row>
        <row r="74856">
          <cell r="O74856" t="str">
            <v/>
          </cell>
        </row>
        <row r="74857">
          <cell r="O74857" t="str">
            <v/>
          </cell>
        </row>
        <row r="74858">
          <cell r="O74858" t="str">
            <v/>
          </cell>
        </row>
        <row r="74859">
          <cell r="O74859" t="str">
            <v/>
          </cell>
        </row>
        <row r="74860">
          <cell r="O74860" t="str">
            <v/>
          </cell>
        </row>
        <row r="74861">
          <cell r="O74861" t="str">
            <v/>
          </cell>
        </row>
        <row r="74862">
          <cell r="O74862" t="str">
            <v/>
          </cell>
        </row>
        <row r="74863">
          <cell r="O74863" t="str">
            <v/>
          </cell>
        </row>
        <row r="74864">
          <cell r="O74864" t="str">
            <v/>
          </cell>
        </row>
        <row r="74865">
          <cell r="O74865" t="str">
            <v/>
          </cell>
        </row>
        <row r="74866">
          <cell r="O74866" t="str">
            <v/>
          </cell>
        </row>
        <row r="74867">
          <cell r="O74867" t="str">
            <v/>
          </cell>
        </row>
        <row r="74868">
          <cell r="O74868" t="str">
            <v/>
          </cell>
        </row>
        <row r="74869">
          <cell r="O74869" t="str">
            <v/>
          </cell>
        </row>
        <row r="74870">
          <cell r="O74870" t="str">
            <v/>
          </cell>
        </row>
        <row r="74871">
          <cell r="O74871" t="str">
            <v/>
          </cell>
        </row>
        <row r="74872">
          <cell r="O74872" t="str">
            <v/>
          </cell>
        </row>
        <row r="74873">
          <cell r="O74873" t="str">
            <v/>
          </cell>
        </row>
        <row r="74874">
          <cell r="O74874" t="str">
            <v/>
          </cell>
        </row>
        <row r="74875">
          <cell r="O74875" t="str">
            <v/>
          </cell>
        </row>
        <row r="74876">
          <cell r="O74876" t="str">
            <v/>
          </cell>
        </row>
        <row r="74877">
          <cell r="O74877" t="str">
            <v/>
          </cell>
        </row>
        <row r="74878">
          <cell r="O74878" t="str">
            <v/>
          </cell>
        </row>
        <row r="74879">
          <cell r="O74879" t="str">
            <v/>
          </cell>
        </row>
        <row r="74880">
          <cell r="O74880" t="str">
            <v/>
          </cell>
        </row>
        <row r="74881">
          <cell r="O74881" t="str">
            <v/>
          </cell>
        </row>
        <row r="74882">
          <cell r="O74882" t="str">
            <v/>
          </cell>
        </row>
        <row r="74883">
          <cell r="O74883" t="str">
            <v/>
          </cell>
        </row>
        <row r="74884">
          <cell r="O74884" t="str">
            <v/>
          </cell>
        </row>
        <row r="74885">
          <cell r="O74885" t="str">
            <v/>
          </cell>
        </row>
        <row r="74886">
          <cell r="O74886" t="str">
            <v/>
          </cell>
        </row>
        <row r="74887">
          <cell r="O74887" t="str">
            <v/>
          </cell>
        </row>
        <row r="74888">
          <cell r="O74888" t="str">
            <v/>
          </cell>
        </row>
        <row r="74889">
          <cell r="O74889" t="str">
            <v/>
          </cell>
        </row>
        <row r="74890">
          <cell r="O74890" t="str">
            <v/>
          </cell>
        </row>
        <row r="74891">
          <cell r="O74891" t="str">
            <v/>
          </cell>
        </row>
        <row r="74892">
          <cell r="O74892" t="str">
            <v/>
          </cell>
        </row>
        <row r="74893">
          <cell r="O74893" t="str">
            <v/>
          </cell>
        </row>
        <row r="74894">
          <cell r="O74894" t="str">
            <v/>
          </cell>
        </row>
        <row r="74895">
          <cell r="O74895" t="str">
            <v/>
          </cell>
        </row>
        <row r="74896">
          <cell r="O74896" t="str">
            <v/>
          </cell>
        </row>
        <row r="74897">
          <cell r="O74897" t="str">
            <v/>
          </cell>
        </row>
        <row r="74898">
          <cell r="O74898" t="str">
            <v/>
          </cell>
        </row>
        <row r="74899">
          <cell r="O74899" t="str">
            <v/>
          </cell>
        </row>
        <row r="74900">
          <cell r="O74900" t="str">
            <v/>
          </cell>
        </row>
        <row r="74901">
          <cell r="O74901" t="str">
            <v/>
          </cell>
        </row>
        <row r="74902">
          <cell r="O74902" t="str">
            <v/>
          </cell>
        </row>
        <row r="74903">
          <cell r="O74903" t="str">
            <v/>
          </cell>
        </row>
        <row r="74904">
          <cell r="O74904" t="str">
            <v/>
          </cell>
        </row>
        <row r="74905">
          <cell r="O74905" t="str">
            <v/>
          </cell>
        </row>
        <row r="74906">
          <cell r="O74906" t="str">
            <v/>
          </cell>
        </row>
        <row r="74907">
          <cell r="O74907" t="str">
            <v/>
          </cell>
        </row>
        <row r="74908">
          <cell r="O74908" t="str">
            <v/>
          </cell>
        </row>
        <row r="74909">
          <cell r="O74909" t="str">
            <v/>
          </cell>
        </row>
        <row r="74910">
          <cell r="O74910" t="str">
            <v/>
          </cell>
        </row>
        <row r="74911">
          <cell r="O74911" t="str">
            <v/>
          </cell>
        </row>
        <row r="74912">
          <cell r="O74912" t="str">
            <v/>
          </cell>
        </row>
        <row r="74913">
          <cell r="O74913" t="str">
            <v/>
          </cell>
        </row>
        <row r="74914">
          <cell r="O74914" t="str">
            <v/>
          </cell>
        </row>
        <row r="74915">
          <cell r="O74915" t="str">
            <v/>
          </cell>
        </row>
        <row r="74916">
          <cell r="O74916" t="str">
            <v/>
          </cell>
        </row>
        <row r="74917">
          <cell r="O74917" t="str">
            <v/>
          </cell>
        </row>
        <row r="74918">
          <cell r="O74918" t="str">
            <v/>
          </cell>
        </row>
        <row r="74919">
          <cell r="O74919" t="str">
            <v/>
          </cell>
        </row>
        <row r="74920">
          <cell r="O74920" t="str">
            <v/>
          </cell>
        </row>
        <row r="74921">
          <cell r="O74921" t="str">
            <v/>
          </cell>
        </row>
        <row r="74922">
          <cell r="O74922" t="str">
            <v/>
          </cell>
        </row>
        <row r="74923">
          <cell r="O74923" t="str">
            <v/>
          </cell>
        </row>
        <row r="74924">
          <cell r="O74924" t="str">
            <v/>
          </cell>
        </row>
        <row r="74925">
          <cell r="O74925" t="str">
            <v/>
          </cell>
        </row>
        <row r="74926">
          <cell r="O74926" t="str">
            <v/>
          </cell>
        </row>
        <row r="74927">
          <cell r="O74927" t="str">
            <v/>
          </cell>
        </row>
        <row r="74928">
          <cell r="O74928" t="str">
            <v/>
          </cell>
        </row>
        <row r="74929">
          <cell r="O74929" t="str">
            <v/>
          </cell>
        </row>
        <row r="74930">
          <cell r="O74930" t="str">
            <v/>
          </cell>
        </row>
        <row r="74931">
          <cell r="O74931" t="str">
            <v/>
          </cell>
        </row>
        <row r="74932">
          <cell r="O74932" t="str">
            <v/>
          </cell>
        </row>
        <row r="74933">
          <cell r="O74933" t="str">
            <v/>
          </cell>
        </row>
        <row r="74934">
          <cell r="O74934" t="str">
            <v/>
          </cell>
        </row>
        <row r="74935">
          <cell r="O74935" t="str">
            <v/>
          </cell>
        </row>
        <row r="74936">
          <cell r="O74936" t="str">
            <v/>
          </cell>
        </row>
        <row r="74937">
          <cell r="O74937" t="str">
            <v/>
          </cell>
        </row>
        <row r="74938">
          <cell r="O74938" t="str">
            <v/>
          </cell>
        </row>
        <row r="74939">
          <cell r="O74939" t="str">
            <v/>
          </cell>
        </row>
        <row r="74940">
          <cell r="O74940" t="str">
            <v/>
          </cell>
        </row>
        <row r="74941">
          <cell r="O74941" t="str">
            <v/>
          </cell>
        </row>
        <row r="74942">
          <cell r="O74942" t="str">
            <v/>
          </cell>
        </row>
        <row r="74943">
          <cell r="O74943" t="str">
            <v/>
          </cell>
        </row>
        <row r="74944">
          <cell r="O74944" t="str">
            <v/>
          </cell>
        </row>
        <row r="74945">
          <cell r="O74945" t="str">
            <v/>
          </cell>
        </row>
        <row r="74946">
          <cell r="O74946" t="str">
            <v/>
          </cell>
        </row>
        <row r="74947">
          <cell r="O74947" t="str">
            <v/>
          </cell>
        </row>
        <row r="74948">
          <cell r="O74948" t="str">
            <v/>
          </cell>
        </row>
        <row r="74949">
          <cell r="O74949" t="str">
            <v/>
          </cell>
        </row>
        <row r="74950">
          <cell r="O74950" t="str">
            <v/>
          </cell>
        </row>
        <row r="74951">
          <cell r="O74951" t="str">
            <v/>
          </cell>
        </row>
        <row r="74952">
          <cell r="O74952" t="str">
            <v/>
          </cell>
        </row>
        <row r="74953">
          <cell r="O74953" t="str">
            <v/>
          </cell>
        </row>
        <row r="74954">
          <cell r="O74954" t="str">
            <v/>
          </cell>
        </row>
        <row r="74955">
          <cell r="O74955" t="str">
            <v/>
          </cell>
        </row>
        <row r="74956">
          <cell r="O74956" t="str">
            <v/>
          </cell>
        </row>
        <row r="74957">
          <cell r="O74957" t="str">
            <v/>
          </cell>
        </row>
        <row r="74958">
          <cell r="O74958" t="str">
            <v/>
          </cell>
        </row>
        <row r="74959">
          <cell r="O74959" t="str">
            <v/>
          </cell>
        </row>
        <row r="74960">
          <cell r="O74960" t="str">
            <v/>
          </cell>
        </row>
        <row r="74961">
          <cell r="O74961" t="str">
            <v/>
          </cell>
        </row>
        <row r="74962">
          <cell r="O74962" t="str">
            <v/>
          </cell>
        </row>
        <row r="74963">
          <cell r="O74963" t="str">
            <v/>
          </cell>
        </row>
        <row r="74964">
          <cell r="O74964" t="str">
            <v/>
          </cell>
        </row>
        <row r="74965">
          <cell r="O74965" t="str">
            <v/>
          </cell>
        </row>
        <row r="74966">
          <cell r="O74966" t="str">
            <v/>
          </cell>
        </row>
        <row r="74967">
          <cell r="O74967" t="str">
            <v/>
          </cell>
        </row>
        <row r="74968">
          <cell r="O74968" t="str">
            <v/>
          </cell>
        </row>
        <row r="74969">
          <cell r="O74969" t="str">
            <v/>
          </cell>
        </row>
        <row r="74970">
          <cell r="O74970" t="str">
            <v/>
          </cell>
        </row>
        <row r="74971">
          <cell r="O74971" t="str">
            <v/>
          </cell>
        </row>
        <row r="74972">
          <cell r="O74972" t="str">
            <v/>
          </cell>
        </row>
        <row r="74973">
          <cell r="O74973" t="str">
            <v/>
          </cell>
        </row>
        <row r="74974">
          <cell r="O74974" t="str">
            <v/>
          </cell>
        </row>
        <row r="74975">
          <cell r="O74975" t="str">
            <v/>
          </cell>
        </row>
        <row r="74976">
          <cell r="O74976" t="str">
            <v/>
          </cell>
        </row>
        <row r="74977">
          <cell r="O74977" t="str">
            <v/>
          </cell>
        </row>
        <row r="74978">
          <cell r="O74978" t="str">
            <v/>
          </cell>
        </row>
        <row r="74979">
          <cell r="O74979" t="str">
            <v/>
          </cell>
        </row>
        <row r="74980">
          <cell r="O74980" t="str">
            <v/>
          </cell>
        </row>
        <row r="74981">
          <cell r="O74981" t="str">
            <v/>
          </cell>
        </row>
        <row r="74982">
          <cell r="O74982" t="str">
            <v/>
          </cell>
        </row>
        <row r="74983">
          <cell r="O74983" t="str">
            <v/>
          </cell>
        </row>
        <row r="74984">
          <cell r="O74984" t="str">
            <v/>
          </cell>
        </row>
        <row r="74985">
          <cell r="O74985" t="str">
            <v/>
          </cell>
        </row>
        <row r="74986">
          <cell r="O74986" t="str">
            <v/>
          </cell>
        </row>
        <row r="74987">
          <cell r="O74987" t="str">
            <v/>
          </cell>
        </row>
        <row r="74988">
          <cell r="O74988" t="str">
            <v/>
          </cell>
        </row>
        <row r="74989">
          <cell r="O74989" t="str">
            <v/>
          </cell>
        </row>
        <row r="74990">
          <cell r="O74990" t="str">
            <v/>
          </cell>
        </row>
        <row r="74991">
          <cell r="O74991" t="str">
            <v/>
          </cell>
        </row>
        <row r="74992">
          <cell r="O74992" t="str">
            <v/>
          </cell>
        </row>
        <row r="74993">
          <cell r="O74993" t="str">
            <v/>
          </cell>
        </row>
        <row r="74994">
          <cell r="O74994" t="str">
            <v/>
          </cell>
        </row>
        <row r="74995">
          <cell r="O74995" t="str">
            <v/>
          </cell>
        </row>
        <row r="74996">
          <cell r="O74996" t="str">
            <v/>
          </cell>
        </row>
        <row r="74997">
          <cell r="O74997" t="str">
            <v/>
          </cell>
        </row>
        <row r="74998">
          <cell r="O74998" t="str">
            <v/>
          </cell>
        </row>
        <row r="74999">
          <cell r="O74999" t="str">
            <v/>
          </cell>
        </row>
        <row r="75000">
          <cell r="O75000" t="str">
            <v/>
          </cell>
        </row>
        <row r="75001">
          <cell r="O75001" t="str">
            <v/>
          </cell>
        </row>
        <row r="75002">
          <cell r="O75002" t="str">
            <v/>
          </cell>
        </row>
        <row r="75003">
          <cell r="O75003" t="str">
            <v/>
          </cell>
        </row>
        <row r="75004">
          <cell r="O75004" t="str">
            <v/>
          </cell>
        </row>
        <row r="75005">
          <cell r="O75005" t="str">
            <v/>
          </cell>
        </row>
        <row r="75006">
          <cell r="O75006" t="str">
            <v/>
          </cell>
        </row>
        <row r="75007">
          <cell r="O75007" t="str">
            <v/>
          </cell>
        </row>
        <row r="75008">
          <cell r="O75008" t="str">
            <v/>
          </cell>
        </row>
        <row r="75009">
          <cell r="O75009" t="str">
            <v/>
          </cell>
        </row>
        <row r="75010">
          <cell r="O75010" t="str">
            <v/>
          </cell>
        </row>
        <row r="75011">
          <cell r="O75011" t="str">
            <v/>
          </cell>
        </row>
        <row r="75012">
          <cell r="O75012" t="str">
            <v/>
          </cell>
        </row>
        <row r="75013">
          <cell r="O75013" t="str">
            <v/>
          </cell>
        </row>
        <row r="75014">
          <cell r="O75014" t="str">
            <v/>
          </cell>
        </row>
        <row r="75015">
          <cell r="O75015" t="str">
            <v/>
          </cell>
        </row>
        <row r="75016">
          <cell r="O75016" t="str">
            <v/>
          </cell>
        </row>
        <row r="75017">
          <cell r="O75017" t="str">
            <v/>
          </cell>
        </row>
        <row r="75018">
          <cell r="O75018" t="str">
            <v/>
          </cell>
        </row>
        <row r="75019">
          <cell r="O75019" t="str">
            <v/>
          </cell>
        </row>
        <row r="75020">
          <cell r="O75020" t="str">
            <v/>
          </cell>
        </row>
        <row r="75021">
          <cell r="O75021" t="str">
            <v/>
          </cell>
        </row>
        <row r="75022">
          <cell r="O75022" t="str">
            <v/>
          </cell>
        </row>
        <row r="75023">
          <cell r="O75023" t="str">
            <v/>
          </cell>
        </row>
        <row r="75024">
          <cell r="O75024" t="str">
            <v/>
          </cell>
        </row>
        <row r="75025">
          <cell r="O75025" t="str">
            <v/>
          </cell>
        </row>
        <row r="75026">
          <cell r="O75026" t="str">
            <v/>
          </cell>
        </row>
        <row r="75027">
          <cell r="O75027" t="str">
            <v/>
          </cell>
        </row>
        <row r="75028">
          <cell r="O75028" t="str">
            <v/>
          </cell>
        </row>
        <row r="75029">
          <cell r="O75029" t="str">
            <v/>
          </cell>
        </row>
        <row r="75030">
          <cell r="O75030" t="str">
            <v/>
          </cell>
        </row>
        <row r="75031">
          <cell r="O75031" t="str">
            <v/>
          </cell>
        </row>
        <row r="75032">
          <cell r="O75032" t="str">
            <v/>
          </cell>
        </row>
        <row r="75033">
          <cell r="O75033" t="str">
            <v/>
          </cell>
        </row>
        <row r="75034">
          <cell r="O75034" t="str">
            <v/>
          </cell>
        </row>
        <row r="75035">
          <cell r="O75035" t="str">
            <v/>
          </cell>
        </row>
        <row r="75036">
          <cell r="O75036" t="str">
            <v/>
          </cell>
        </row>
        <row r="75037">
          <cell r="O75037" t="str">
            <v/>
          </cell>
        </row>
        <row r="75038">
          <cell r="O75038" t="str">
            <v/>
          </cell>
        </row>
        <row r="75039">
          <cell r="O75039" t="str">
            <v/>
          </cell>
        </row>
        <row r="75040">
          <cell r="O75040" t="str">
            <v/>
          </cell>
        </row>
        <row r="75041">
          <cell r="O75041" t="str">
            <v/>
          </cell>
        </row>
        <row r="75042">
          <cell r="O75042" t="str">
            <v/>
          </cell>
        </row>
        <row r="75043">
          <cell r="O75043" t="str">
            <v/>
          </cell>
        </row>
        <row r="75044">
          <cell r="O75044" t="str">
            <v/>
          </cell>
        </row>
        <row r="75045">
          <cell r="O75045" t="str">
            <v/>
          </cell>
        </row>
        <row r="75046">
          <cell r="O75046" t="str">
            <v/>
          </cell>
        </row>
        <row r="75047">
          <cell r="O75047" t="str">
            <v/>
          </cell>
        </row>
        <row r="75048">
          <cell r="O75048" t="str">
            <v/>
          </cell>
        </row>
        <row r="75049">
          <cell r="O75049" t="str">
            <v/>
          </cell>
        </row>
        <row r="75050">
          <cell r="O75050" t="str">
            <v/>
          </cell>
        </row>
        <row r="75051">
          <cell r="O75051" t="str">
            <v/>
          </cell>
        </row>
        <row r="75052">
          <cell r="O75052" t="str">
            <v/>
          </cell>
        </row>
        <row r="75053">
          <cell r="O75053" t="str">
            <v/>
          </cell>
        </row>
        <row r="75054">
          <cell r="O75054" t="str">
            <v/>
          </cell>
        </row>
        <row r="75055">
          <cell r="O75055" t="str">
            <v/>
          </cell>
        </row>
        <row r="75056">
          <cell r="O75056" t="str">
            <v/>
          </cell>
        </row>
        <row r="75057">
          <cell r="O75057" t="str">
            <v/>
          </cell>
        </row>
        <row r="75058">
          <cell r="O75058" t="str">
            <v/>
          </cell>
        </row>
        <row r="75059">
          <cell r="O75059" t="str">
            <v/>
          </cell>
        </row>
        <row r="75060">
          <cell r="O75060" t="str">
            <v/>
          </cell>
        </row>
        <row r="75061">
          <cell r="O75061" t="str">
            <v/>
          </cell>
        </row>
        <row r="75062">
          <cell r="O75062" t="str">
            <v/>
          </cell>
        </row>
        <row r="75063">
          <cell r="O75063" t="str">
            <v/>
          </cell>
        </row>
        <row r="75064">
          <cell r="O75064" t="str">
            <v/>
          </cell>
        </row>
        <row r="75065">
          <cell r="O75065" t="str">
            <v/>
          </cell>
        </row>
        <row r="75066">
          <cell r="O75066" t="str">
            <v/>
          </cell>
        </row>
        <row r="75067">
          <cell r="O75067" t="str">
            <v/>
          </cell>
        </row>
        <row r="75068">
          <cell r="O75068" t="str">
            <v/>
          </cell>
        </row>
        <row r="75069">
          <cell r="O75069" t="str">
            <v/>
          </cell>
        </row>
        <row r="75070">
          <cell r="O75070" t="str">
            <v/>
          </cell>
        </row>
        <row r="75071">
          <cell r="O75071" t="str">
            <v/>
          </cell>
        </row>
        <row r="75072">
          <cell r="O75072" t="str">
            <v/>
          </cell>
        </row>
        <row r="75073">
          <cell r="O75073" t="str">
            <v/>
          </cell>
        </row>
        <row r="75074">
          <cell r="O75074" t="str">
            <v/>
          </cell>
        </row>
        <row r="75075">
          <cell r="O75075" t="str">
            <v/>
          </cell>
        </row>
        <row r="75076">
          <cell r="O75076" t="str">
            <v/>
          </cell>
        </row>
        <row r="75077">
          <cell r="O75077" t="str">
            <v/>
          </cell>
        </row>
        <row r="75078">
          <cell r="O75078" t="str">
            <v/>
          </cell>
        </row>
        <row r="75079">
          <cell r="O75079" t="str">
            <v/>
          </cell>
        </row>
        <row r="75080">
          <cell r="O75080" t="str">
            <v/>
          </cell>
        </row>
        <row r="75081">
          <cell r="O75081" t="str">
            <v/>
          </cell>
        </row>
        <row r="75082">
          <cell r="O75082" t="str">
            <v/>
          </cell>
        </row>
        <row r="75083">
          <cell r="O75083" t="str">
            <v/>
          </cell>
        </row>
        <row r="75084">
          <cell r="O75084" t="str">
            <v/>
          </cell>
        </row>
        <row r="75085">
          <cell r="O75085" t="str">
            <v/>
          </cell>
        </row>
        <row r="75086">
          <cell r="O75086" t="str">
            <v/>
          </cell>
        </row>
        <row r="75087">
          <cell r="O75087" t="str">
            <v/>
          </cell>
        </row>
        <row r="75088">
          <cell r="O75088" t="str">
            <v/>
          </cell>
        </row>
        <row r="75089">
          <cell r="O75089" t="str">
            <v/>
          </cell>
        </row>
        <row r="75090">
          <cell r="O75090" t="str">
            <v/>
          </cell>
        </row>
        <row r="75091">
          <cell r="O75091" t="str">
            <v/>
          </cell>
        </row>
        <row r="75092">
          <cell r="O75092" t="str">
            <v/>
          </cell>
        </row>
        <row r="75093">
          <cell r="O75093" t="str">
            <v/>
          </cell>
        </row>
        <row r="75094">
          <cell r="O75094" t="str">
            <v/>
          </cell>
        </row>
        <row r="75095">
          <cell r="O75095" t="str">
            <v/>
          </cell>
        </row>
        <row r="75096">
          <cell r="O75096" t="str">
            <v/>
          </cell>
        </row>
        <row r="75097">
          <cell r="O75097" t="str">
            <v/>
          </cell>
        </row>
        <row r="75098">
          <cell r="O75098" t="str">
            <v/>
          </cell>
        </row>
        <row r="75099">
          <cell r="O75099" t="str">
            <v/>
          </cell>
        </row>
        <row r="75100">
          <cell r="O75100" t="str">
            <v/>
          </cell>
        </row>
        <row r="75101">
          <cell r="O75101" t="str">
            <v/>
          </cell>
        </row>
        <row r="75102">
          <cell r="O75102" t="str">
            <v/>
          </cell>
        </row>
        <row r="75103">
          <cell r="O75103" t="str">
            <v/>
          </cell>
        </row>
        <row r="75104">
          <cell r="O75104" t="str">
            <v/>
          </cell>
        </row>
        <row r="75105">
          <cell r="O75105" t="str">
            <v/>
          </cell>
        </row>
        <row r="75106">
          <cell r="O75106" t="str">
            <v/>
          </cell>
        </row>
        <row r="75107">
          <cell r="O75107" t="str">
            <v/>
          </cell>
        </row>
        <row r="75108">
          <cell r="O75108" t="str">
            <v/>
          </cell>
        </row>
        <row r="75109">
          <cell r="O75109" t="str">
            <v/>
          </cell>
        </row>
        <row r="75110">
          <cell r="O75110" t="str">
            <v/>
          </cell>
        </row>
        <row r="75111">
          <cell r="O75111" t="str">
            <v/>
          </cell>
        </row>
        <row r="75112">
          <cell r="O75112" t="str">
            <v/>
          </cell>
        </row>
        <row r="75113">
          <cell r="O75113" t="str">
            <v/>
          </cell>
        </row>
        <row r="75114">
          <cell r="O75114" t="str">
            <v/>
          </cell>
        </row>
        <row r="75115">
          <cell r="O75115" t="str">
            <v/>
          </cell>
        </row>
        <row r="75116">
          <cell r="O75116" t="str">
            <v/>
          </cell>
        </row>
        <row r="75117">
          <cell r="O75117" t="str">
            <v/>
          </cell>
        </row>
        <row r="75118">
          <cell r="O75118" t="str">
            <v/>
          </cell>
        </row>
        <row r="75119">
          <cell r="O75119" t="str">
            <v/>
          </cell>
        </row>
        <row r="75120">
          <cell r="O75120" t="str">
            <v/>
          </cell>
        </row>
        <row r="75121">
          <cell r="O75121" t="str">
            <v/>
          </cell>
        </row>
        <row r="75122">
          <cell r="O75122" t="str">
            <v/>
          </cell>
        </row>
        <row r="75123">
          <cell r="O75123" t="str">
            <v/>
          </cell>
        </row>
        <row r="75124">
          <cell r="O75124" t="str">
            <v/>
          </cell>
        </row>
        <row r="75125">
          <cell r="O75125" t="str">
            <v/>
          </cell>
        </row>
        <row r="75126">
          <cell r="O75126" t="str">
            <v/>
          </cell>
        </row>
        <row r="75127">
          <cell r="O75127" t="str">
            <v/>
          </cell>
        </row>
        <row r="75128">
          <cell r="O75128" t="str">
            <v/>
          </cell>
        </row>
        <row r="75129">
          <cell r="O75129" t="str">
            <v/>
          </cell>
        </row>
        <row r="75130">
          <cell r="O75130" t="str">
            <v/>
          </cell>
        </row>
        <row r="75131">
          <cell r="O75131" t="str">
            <v/>
          </cell>
        </row>
        <row r="75132">
          <cell r="O75132" t="str">
            <v/>
          </cell>
        </row>
        <row r="75133">
          <cell r="O75133" t="str">
            <v/>
          </cell>
        </row>
        <row r="75134">
          <cell r="O75134" t="str">
            <v/>
          </cell>
        </row>
        <row r="75135">
          <cell r="O75135" t="str">
            <v/>
          </cell>
        </row>
        <row r="75136">
          <cell r="O75136" t="str">
            <v/>
          </cell>
        </row>
        <row r="75137">
          <cell r="O75137" t="str">
            <v/>
          </cell>
        </row>
        <row r="75138">
          <cell r="O75138" t="str">
            <v/>
          </cell>
        </row>
        <row r="75139">
          <cell r="O75139" t="str">
            <v/>
          </cell>
        </row>
        <row r="75140">
          <cell r="O75140" t="str">
            <v/>
          </cell>
        </row>
        <row r="75141">
          <cell r="O75141" t="str">
            <v/>
          </cell>
        </row>
        <row r="75142">
          <cell r="O75142" t="str">
            <v/>
          </cell>
        </row>
        <row r="75143">
          <cell r="O75143" t="str">
            <v/>
          </cell>
        </row>
        <row r="75144">
          <cell r="O75144" t="str">
            <v/>
          </cell>
        </row>
        <row r="75145">
          <cell r="O75145" t="str">
            <v/>
          </cell>
        </row>
        <row r="75146">
          <cell r="O75146" t="str">
            <v/>
          </cell>
        </row>
        <row r="75147">
          <cell r="O75147" t="str">
            <v/>
          </cell>
        </row>
        <row r="75148">
          <cell r="O75148" t="str">
            <v/>
          </cell>
        </row>
        <row r="75149">
          <cell r="O75149" t="str">
            <v/>
          </cell>
        </row>
        <row r="75150">
          <cell r="O75150" t="str">
            <v/>
          </cell>
        </row>
        <row r="75151">
          <cell r="O75151" t="str">
            <v/>
          </cell>
        </row>
        <row r="75152">
          <cell r="O75152" t="str">
            <v/>
          </cell>
        </row>
        <row r="75153">
          <cell r="O75153" t="str">
            <v/>
          </cell>
        </row>
        <row r="75154">
          <cell r="O75154" t="str">
            <v/>
          </cell>
        </row>
        <row r="75155">
          <cell r="O75155" t="str">
            <v/>
          </cell>
        </row>
        <row r="75156">
          <cell r="O75156" t="str">
            <v/>
          </cell>
        </row>
        <row r="75157">
          <cell r="O75157" t="str">
            <v/>
          </cell>
        </row>
        <row r="75158">
          <cell r="O75158" t="str">
            <v/>
          </cell>
        </row>
        <row r="75159">
          <cell r="O75159" t="str">
            <v/>
          </cell>
        </row>
        <row r="75160">
          <cell r="O75160" t="str">
            <v/>
          </cell>
        </row>
        <row r="75161">
          <cell r="O75161" t="str">
            <v/>
          </cell>
        </row>
        <row r="75162">
          <cell r="O75162" t="str">
            <v/>
          </cell>
        </row>
        <row r="75163">
          <cell r="O75163" t="str">
            <v/>
          </cell>
        </row>
        <row r="75164">
          <cell r="O75164" t="str">
            <v/>
          </cell>
        </row>
        <row r="75165">
          <cell r="O75165" t="str">
            <v/>
          </cell>
        </row>
        <row r="75166">
          <cell r="O75166" t="str">
            <v/>
          </cell>
        </row>
        <row r="75167">
          <cell r="O75167" t="str">
            <v/>
          </cell>
        </row>
        <row r="75168">
          <cell r="O75168" t="str">
            <v/>
          </cell>
        </row>
        <row r="75169">
          <cell r="O75169" t="str">
            <v/>
          </cell>
        </row>
        <row r="75170">
          <cell r="O75170" t="str">
            <v/>
          </cell>
        </row>
        <row r="75171">
          <cell r="O75171" t="str">
            <v/>
          </cell>
        </row>
        <row r="75172">
          <cell r="O75172" t="str">
            <v/>
          </cell>
        </row>
        <row r="75173">
          <cell r="O75173" t="str">
            <v/>
          </cell>
        </row>
        <row r="75174">
          <cell r="O75174" t="str">
            <v/>
          </cell>
        </row>
        <row r="75175">
          <cell r="O75175" t="str">
            <v/>
          </cell>
        </row>
        <row r="75176">
          <cell r="O75176" t="str">
            <v/>
          </cell>
        </row>
        <row r="75177">
          <cell r="O75177" t="str">
            <v/>
          </cell>
        </row>
        <row r="75178">
          <cell r="O75178" t="str">
            <v/>
          </cell>
        </row>
        <row r="75179">
          <cell r="O75179" t="str">
            <v/>
          </cell>
        </row>
        <row r="75180">
          <cell r="O75180" t="str">
            <v/>
          </cell>
        </row>
        <row r="75181">
          <cell r="O75181" t="str">
            <v/>
          </cell>
        </row>
        <row r="75182">
          <cell r="O75182" t="str">
            <v/>
          </cell>
        </row>
        <row r="75183">
          <cell r="O75183" t="str">
            <v/>
          </cell>
        </row>
        <row r="75184">
          <cell r="O75184" t="str">
            <v/>
          </cell>
        </row>
        <row r="75185">
          <cell r="O75185" t="str">
            <v/>
          </cell>
        </row>
        <row r="75186">
          <cell r="O75186" t="str">
            <v/>
          </cell>
        </row>
        <row r="75187">
          <cell r="O75187" t="str">
            <v/>
          </cell>
        </row>
        <row r="75188">
          <cell r="O75188" t="str">
            <v/>
          </cell>
        </row>
        <row r="75189">
          <cell r="O75189" t="str">
            <v/>
          </cell>
        </row>
        <row r="75190">
          <cell r="O75190" t="str">
            <v/>
          </cell>
        </row>
        <row r="75191">
          <cell r="O75191" t="str">
            <v/>
          </cell>
        </row>
        <row r="75192">
          <cell r="O75192" t="str">
            <v/>
          </cell>
        </row>
        <row r="75193">
          <cell r="O75193" t="str">
            <v/>
          </cell>
        </row>
        <row r="75194">
          <cell r="O75194" t="str">
            <v/>
          </cell>
        </row>
        <row r="75195">
          <cell r="O75195" t="str">
            <v/>
          </cell>
        </row>
        <row r="75196">
          <cell r="O75196" t="str">
            <v/>
          </cell>
        </row>
        <row r="75197">
          <cell r="O75197" t="str">
            <v/>
          </cell>
        </row>
        <row r="75198">
          <cell r="O75198" t="str">
            <v/>
          </cell>
        </row>
        <row r="75199">
          <cell r="O75199" t="str">
            <v/>
          </cell>
        </row>
        <row r="75200">
          <cell r="O75200" t="str">
            <v/>
          </cell>
        </row>
        <row r="75201">
          <cell r="O75201" t="str">
            <v/>
          </cell>
        </row>
        <row r="75202">
          <cell r="O75202" t="str">
            <v/>
          </cell>
        </row>
        <row r="75203">
          <cell r="O75203" t="str">
            <v/>
          </cell>
        </row>
        <row r="75204">
          <cell r="O75204" t="str">
            <v/>
          </cell>
        </row>
        <row r="75205">
          <cell r="O75205" t="str">
            <v/>
          </cell>
        </row>
        <row r="75206">
          <cell r="O75206" t="str">
            <v/>
          </cell>
        </row>
        <row r="75207">
          <cell r="O75207" t="str">
            <v/>
          </cell>
        </row>
        <row r="75208">
          <cell r="O75208" t="str">
            <v/>
          </cell>
        </row>
        <row r="75209">
          <cell r="O75209" t="str">
            <v/>
          </cell>
        </row>
        <row r="75210">
          <cell r="O75210" t="str">
            <v/>
          </cell>
        </row>
        <row r="75211">
          <cell r="O75211" t="str">
            <v/>
          </cell>
        </row>
        <row r="75212">
          <cell r="O75212" t="str">
            <v/>
          </cell>
        </row>
        <row r="75213">
          <cell r="O75213" t="str">
            <v/>
          </cell>
        </row>
        <row r="75214">
          <cell r="O75214" t="str">
            <v/>
          </cell>
        </row>
        <row r="75215">
          <cell r="O75215" t="str">
            <v/>
          </cell>
        </row>
        <row r="75216">
          <cell r="O75216" t="str">
            <v/>
          </cell>
        </row>
        <row r="75217">
          <cell r="O75217" t="str">
            <v/>
          </cell>
        </row>
        <row r="75218">
          <cell r="O75218" t="str">
            <v/>
          </cell>
        </row>
        <row r="75219">
          <cell r="O75219" t="str">
            <v/>
          </cell>
        </row>
        <row r="75220">
          <cell r="O75220" t="str">
            <v/>
          </cell>
        </row>
        <row r="75221">
          <cell r="O75221" t="str">
            <v/>
          </cell>
        </row>
        <row r="75222">
          <cell r="O75222" t="str">
            <v/>
          </cell>
        </row>
        <row r="75223">
          <cell r="O75223" t="str">
            <v/>
          </cell>
        </row>
        <row r="75224">
          <cell r="O75224" t="str">
            <v/>
          </cell>
        </row>
        <row r="75225">
          <cell r="O75225" t="str">
            <v/>
          </cell>
        </row>
        <row r="75226">
          <cell r="O75226" t="str">
            <v/>
          </cell>
        </row>
        <row r="75227">
          <cell r="O75227" t="str">
            <v/>
          </cell>
        </row>
        <row r="75228">
          <cell r="O75228" t="str">
            <v/>
          </cell>
        </row>
        <row r="75229">
          <cell r="O75229" t="str">
            <v/>
          </cell>
        </row>
        <row r="75230">
          <cell r="O75230" t="str">
            <v/>
          </cell>
        </row>
        <row r="75231">
          <cell r="O75231" t="str">
            <v/>
          </cell>
        </row>
        <row r="75232">
          <cell r="O75232" t="str">
            <v/>
          </cell>
        </row>
        <row r="75233">
          <cell r="O75233" t="str">
            <v/>
          </cell>
        </row>
        <row r="75234">
          <cell r="O75234" t="str">
            <v/>
          </cell>
        </row>
        <row r="75235">
          <cell r="O75235" t="str">
            <v/>
          </cell>
        </row>
        <row r="75236">
          <cell r="O75236" t="str">
            <v/>
          </cell>
        </row>
        <row r="75237">
          <cell r="O75237" t="str">
            <v/>
          </cell>
        </row>
        <row r="75238">
          <cell r="O75238" t="str">
            <v/>
          </cell>
        </row>
        <row r="75239">
          <cell r="O75239" t="str">
            <v/>
          </cell>
        </row>
        <row r="75240">
          <cell r="O75240" t="str">
            <v/>
          </cell>
        </row>
        <row r="75241">
          <cell r="O75241" t="str">
            <v/>
          </cell>
        </row>
        <row r="75242">
          <cell r="O75242" t="str">
            <v/>
          </cell>
        </row>
        <row r="75243">
          <cell r="O75243" t="str">
            <v/>
          </cell>
        </row>
        <row r="75244">
          <cell r="O75244" t="str">
            <v/>
          </cell>
        </row>
        <row r="75245">
          <cell r="O75245" t="str">
            <v/>
          </cell>
        </row>
        <row r="75246">
          <cell r="O75246" t="str">
            <v/>
          </cell>
        </row>
        <row r="75247">
          <cell r="O75247" t="str">
            <v/>
          </cell>
        </row>
        <row r="75248">
          <cell r="O75248" t="str">
            <v/>
          </cell>
        </row>
        <row r="75249">
          <cell r="O75249" t="str">
            <v/>
          </cell>
        </row>
        <row r="75250">
          <cell r="O75250" t="str">
            <v/>
          </cell>
        </row>
        <row r="75251">
          <cell r="O75251" t="str">
            <v/>
          </cell>
        </row>
        <row r="75252">
          <cell r="O75252" t="str">
            <v/>
          </cell>
        </row>
        <row r="75253">
          <cell r="O75253" t="str">
            <v/>
          </cell>
        </row>
        <row r="75254">
          <cell r="O75254" t="str">
            <v/>
          </cell>
        </row>
        <row r="75255">
          <cell r="O75255" t="str">
            <v/>
          </cell>
        </row>
        <row r="75256">
          <cell r="O75256" t="str">
            <v/>
          </cell>
        </row>
        <row r="75257">
          <cell r="O75257" t="str">
            <v/>
          </cell>
        </row>
        <row r="75258">
          <cell r="O75258" t="str">
            <v/>
          </cell>
        </row>
        <row r="75259">
          <cell r="O75259" t="str">
            <v/>
          </cell>
        </row>
        <row r="75260">
          <cell r="O75260" t="str">
            <v/>
          </cell>
        </row>
        <row r="75261">
          <cell r="O75261" t="str">
            <v/>
          </cell>
        </row>
        <row r="75262">
          <cell r="O75262" t="str">
            <v/>
          </cell>
        </row>
        <row r="75263">
          <cell r="O75263" t="str">
            <v/>
          </cell>
        </row>
        <row r="75264">
          <cell r="O75264" t="str">
            <v/>
          </cell>
        </row>
        <row r="75265">
          <cell r="O75265" t="str">
            <v/>
          </cell>
        </row>
        <row r="75266">
          <cell r="O75266" t="str">
            <v/>
          </cell>
        </row>
        <row r="75267">
          <cell r="O75267" t="str">
            <v/>
          </cell>
        </row>
        <row r="75268">
          <cell r="O75268" t="str">
            <v/>
          </cell>
        </row>
        <row r="75269">
          <cell r="O75269" t="str">
            <v/>
          </cell>
        </row>
        <row r="75270">
          <cell r="O75270" t="str">
            <v/>
          </cell>
        </row>
        <row r="75271">
          <cell r="O75271" t="str">
            <v/>
          </cell>
        </row>
        <row r="75272">
          <cell r="O75272" t="str">
            <v/>
          </cell>
        </row>
        <row r="75273">
          <cell r="O75273" t="str">
            <v/>
          </cell>
        </row>
        <row r="75274">
          <cell r="O75274" t="str">
            <v/>
          </cell>
        </row>
        <row r="75275">
          <cell r="O75275" t="str">
            <v/>
          </cell>
        </row>
        <row r="75276">
          <cell r="O75276" t="str">
            <v/>
          </cell>
        </row>
        <row r="75277">
          <cell r="O75277" t="str">
            <v/>
          </cell>
        </row>
        <row r="75278">
          <cell r="O75278" t="str">
            <v/>
          </cell>
        </row>
        <row r="75279">
          <cell r="O75279" t="str">
            <v/>
          </cell>
        </row>
        <row r="75280">
          <cell r="O75280" t="str">
            <v/>
          </cell>
        </row>
        <row r="75281">
          <cell r="O75281" t="str">
            <v/>
          </cell>
        </row>
        <row r="75282">
          <cell r="O75282" t="str">
            <v/>
          </cell>
        </row>
        <row r="75283">
          <cell r="O75283" t="str">
            <v/>
          </cell>
        </row>
        <row r="75284">
          <cell r="O75284" t="str">
            <v/>
          </cell>
        </row>
        <row r="75285">
          <cell r="O75285" t="str">
            <v/>
          </cell>
        </row>
        <row r="75286">
          <cell r="O75286" t="str">
            <v/>
          </cell>
        </row>
        <row r="75287">
          <cell r="O75287" t="str">
            <v/>
          </cell>
        </row>
        <row r="75288">
          <cell r="O75288" t="str">
            <v/>
          </cell>
        </row>
        <row r="75289">
          <cell r="O75289" t="str">
            <v/>
          </cell>
        </row>
        <row r="75290">
          <cell r="O75290" t="str">
            <v/>
          </cell>
        </row>
        <row r="75291">
          <cell r="O75291" t="str">
            <v/>
          </cell>
        </row>
        <row r="75292">
          <cell r="O75292" t="str">
            <v/>
          </cell>
        </row>
        <row r="75293">
          <cell r="O75293" t="str">
            <v/>
          </cell>
        </row>
        <row r="75294">
          <cell r="O75294" t="str">
            <v/>
          </cell>
        </row>
        <row r="75295">
          <cell r="O75295" t="str">
            <v/>
          </cell>
        </row>
        <row r="75296">
          <cell r="O75296" t="str">
            <v/>
          </cell>
        </row>
        <row r="75297">
          <cell r="O75297" t="str">
            <v/>
          </cell>
        </row>
        <row r="75298">
          <cell r="O75298" t="str">
            <v/>
          </cell>
        </row>
        <row r="75299">
          <cell r="O75299" t="str">
            <v/>
          </cell>
        </row>
        <row r="75300">
          <cell r="O75300" t="str">
            <v/>
          </cell>
        </row>
        <row r="75301">
          <cell r="O75301" t="str">
            <v/>
          </cell>
        </row>
        <row r="75302">
          <cell r="O75302" t="str">
            <v/>
          </cell>
        </row>
        <row r="75303">
          <cell r="O75303" t="str">
            <v/>
          </cell>
        </row>
        <row r="75304">
          <cell r="O75304" t="str">
            <v/>
          </cell>
        </row>
        <row r="75305">
          <cell r="O75305" t="str">
            <v/>
          </cell>
        </row>
        <row r="75306">
          <cell r="O75306" t="str">
            <v/>
          </cell>
        </row>
        <row r="75307">
          <cell r="O75307" t="str">
            <v/>
          </cell>
        </row>
        <row r="75308">
          <cell r="O75308" t="str">
            <v/>
          </cell>
        </row>
        <row r="75309">
          <cell r="O75309" t="str">
            <v/>
          </cell>
        </row>
        <row r="75310">
          <cell r="O75310" t="str">
            <v/>
          </cell>
        </row>
        <row r="75311">
          <cell r="O75311" t="str">
            <v/>
          </cell>
        </row>
        <row r="75312">
          <cell r="O75312" t="str">
            <v/>
          </cell>
        </row>
        <row r="75313">
          <cell r="O75313" t="str">
            <v/>
          </cell>
        </row>
        <row r="75314">
          <cell r="O75314" t="str">
            <v/>
          </cell>
        </row>
        <row r="75315">
          <cell r="O75315" t="str">
            <v/>
          </cell>
        </row>
        <row r="75316">
          <cell r="O75316" t="str">
            <v/>
          </cell>
        </row>
        <row r="75317">
          <cell r="O75317" t="str">
            <v/>
          </cell>
        </row>
        <row r="75318">
          <cell r="O75318" t="str">
            <v/>
          </cell>
        </row>
        <row r="75319">
          <cell r="O75319" t="str">
            <v/>
          </cell>
        </row>
        <row r="75320">
          <cell r="O75320" t="str">
            <v/>
          </cell>
        </row>
        <row r="75321">
          <cell r="O75321" t="str">
            <v/>
          </cell>
        </row>
        <row r="75322">
          <cell r="O75322" t="str">
            <v/>
          </cell>
        </row>
        <row r="75323">
          <cell r="O75323" t="str">
            <v/>
          </cell>
        </row>
        <row r="75324">
          <cell r="O75324" t="str">
            <v/>
          </cell>
        </row>
        <row r="75325">
          <cell r="O75325" t="str">
            <v/>
          </cell>
        </row>
        <row r="75326">
          <cell r="O75326" t="str">
            <v/>
          </cell>
        </row>
        <row r="75327">
          <cell r="O75327" t="str">
            <v/>
          </cell>
        </row>
        <row r="75328">
          <cell r="O75328" t="str">
            <v/>
          </cell>
        </row>
        <row r="75329">
          <cell r="O75329" t="str">
            <v/>
          </cell>
        </row>
        <row r="75330">
          <cell r="O75330" t="str">
            <v/>
          </cell>
        </row>
        <row r="75331">
          <cell r="O75331" t="str">
            <v/>
          </cell>
        </row>
        <row r="75332">
          <cell r="O75332" t="str">
            <v/>
          </cell>
        </row>
        <row r="75333">
          <cell r="O75333" t="str">
            <v/>
          </cell>
        </row>
        <row r="75334">
          <cell r="O75334" t="str">
            <v/>
          </cell>
        </row>
        <row r="75335">
          <cell r="O75335" t="str">
            <v/>
          </cell>
        </row>
        <row r="75336">
          <cell r="O75336" t="str">
            <v/>
          </cell>
        </row>
        <row r="75337">
          <cell r="O75337" t="str">
            <v/>
          </cell>
        </row>
        <row r="75338">
          <cell r="O75338" t="str">
            <v/>
          </cell>
        </row>
        <row r="75339">
          <cell r="O75339" t="str">
            <v/>
          </cell>
        </row>
        <row r="75340">
          <cell r="O75340" t="str">
            <v/>
          </cell>
        </row>
        <row r="75341">
          <cell r="O75341" t="str">
            <v/>
          </cell>
        </row>
        <row r="75342">
          <cell r="O75342" t="str">
            <v/>
          </cell>
        </row>
        <row r="75343">
          <cell r="O75343" t="str">
            <v/>
          </cell>
        </row>
        <row r="75344">
          <cell r="O75344" t="str">
            <v/>
          </cell>
        </row>
        <row r="75345">
          <cell r="O75345" t="str">
            <v/>
          </cell>
        </row>
        <row r="75346">
          <cell r="O75346" t="str">
            <v/>
          </cell>
        </row>
        <row r="75347">
          <cell r="O75347" t="str">
            <v/>
          </cell>
        </row>
        <row r="75348">
          <cell r="O75348" t="str">
            <v/>
          </cell>
        </row>
        <row r="75349">
          <cell r="O75349" t="str">
            <v/>
          </cell>
        </row>
        <row r="75350">
          <cell r="O75350" t="str">
            <v/>
          </cell>
        </row>
        <row r="75351">
          <cell r="O75351" t="str">
            <v/>
          </cell>
        </row>
        <row r="75352">
          <cell r="O75352" t="str">
            <v/>
          </cell>
        </row>
        <row r="75353">
          <cell r="O75353" t="str">
            <v/>
          </cell>
        </row>
        <row r="75354">
          <cell r="O75354" t="str">
            <v/>
          </cell>
        </row>
        <row r="75355">
          <cell r="O75355" t="str">
            <v/>
          </cell>
        </row>
        <row r="75356">
          <cell r="O75356" t="str">
            <v/>
          </cell>
        </row>
        <row r="75357">
          <cell r="O75357" t="str">
            <v/>
          </cell>
        </row>
        <row r="75358">
          <cell r="O75358" t="str">
            <v/>
          </cell>
        </row>
        <row r="75359">
          <cell r="O75359" t="str">
            <v/>
          </cell>
        </row>
        <row r="75360">
          <cell r="O75360" t="str">
            <v/>
          </cell>
        </row>
        <row r="75361">
          <cell r="O75361" t="str">
            <v/>
          </cell>
        </row>
        <row r="75362">
          <cell r="O75362" t="str">
            <v/>
          </cell>
        </row>
        <row r="75363">
          <cell r="O75363" t="str">
            <v/>
          </cell>
        </row>
        <row r="75364">
          <cell r="O75364" t="str">
            <v/>
          </cell>
        </row>
        <row r="75365">
          <cell r="O75365" t="str">
            <v/>
          </cell>
        </row>
        <row r="75366">
          <cell r="O75366" t="str">
            <v/>
          </cell>
        </row>
        <row r="75367">
          <cell r="O75367" t="str">
            <v/>
          </cell>
        </row>
        <row r="75368">
          <cell r="O75368" t="str">
            <v/>
          </cell>
        </row>
        <row r="75369">
          <cell r="O75369" t="str">
            <v/>
          </cell>
        </row>
        <row r="75370">
          <cell r="O75370" t="str">
            <v/>
          </cell>
        </row>
        <row r="75371">
          <cell r="O75371" t="str">
            <v/>
          </cell>
        </row>
        <row r="75372">
          <cell r="O75372" t="str">
            <v/>
          </cell>
        </row>
        <row r="75373">
          <cell r="O75373" t="str">
            <v/>
          </cell>
        </row>
        <row r="75374">
          <cell r="O75374" t="str">
            <v/>
          </cell>
        </row>
        <row r="75375">
          <cell r="O75375" t="str">
            <v/>
          </cell>
        </row>
        <row r="75376">
          <cell r="O75376" t="str">
            <v/>
          </cell>
        </row>
        <row r="75377">
          <cell r="O75377" t="str">
            <v/>
          </cell>
        </row>
        <row r="75378">
          <cell r="O75378" t="str">
            <v/>
          </cell>
        </row>
        <row r="75379">
          <cell r="O75379" t="str">
            <v/>
          </cell>
        </row>
        <row r="75380">
          <cell r="O75380" t="str">
            <v/>
          </cell>
        </row>
        <row r="75381">
          <cell r="O75381" t="str">
            <v/>
          </cell>
        </row>
        <row r="75382">
          <cell r="O75382" t="str">
            <v/>
          </cell>
        </row>
        <row r="75383">
          <cell r="O75383" t="str">
            <v/>
          </cell>
        </row>
        <row r="75384">
          <cell r="O75384" t="str">
            <v/>
          </cell>
        </row>
        <row r="75385">
          <cell r="O75385" t="str">
            <v/>
          </cell>
        </row>
        <row r="75386">
          <cell r="O75386" t="str">
            <v/>
          </cell>
        </row>
        <row r="75387">
          <cell r="O75387" t="str">
            <v/>
          </cell>
        </row>
        <row r="75388">
          <cell r="O75388" t="str">
            <v/>
          </cell>
        </row>
        <row r="75389">
          <cell r="O75389" t="str">
            <v/>
          </cell>
        </row>
        <row r="75390">
          <cell r="O75390" t="str">
            <v/>
          </cell>
        </row>
        <row r="75391">
          <cell r="O75391" t="str">
            <v/>
          </cell>
        </row>
        <row r="75392">
          <cell r="O75392" t="str">
            <v/>
          </cell>
        </row>
        <row r="75393">
          <cell r="O75393" t="str">
            <v/>
          </cell>
        </row>
        <row r="75394">
          <cell r="O75394" t="str">
            <v/>
          </cell>
        </row>
        <row r="75395">
          <cell r="O75395" t="str">
            <v/>
          </cell>
        </row>
        <row r="75396">
          <cell r="O75396" t="str">
            <v/>
          </cell>
        </row>
        <row r="75397">
          <cell r="O75397" t="str">
            <v/>
          </cell>
        </row>
        <row r="75398">
          <cell r="O75398" t="str">
            <v/>
          </cell>
        </row>
        <row r="75399">
          <cell r="O75399" t="str">
            <v/>
          </cell>
        </row>
        <row r="75400">
          <cell r="O75400" t="str">
            <v/>
          </cell>
        </row>
        <row r="75401">
          <cell r="O75401" t="str">
            <v/>
          </cell>
        </row>
        <row r="75402">
          <cell r="O75402" t="str">
            <v/>
          </cell>
        </row>
        <row r="75403">
          <cell r="O75403" t="str">
            <v/>
          </cell>
        </row>
        <row r="75404">
          <cell r="O75404" t="str">
            <v/>
          </cell>
        </row>
        <row r="75405">
          <cell r="O75405" t="str">
            <v/>
          </cell>
        </row>
        <row r="75406">
          <cell r="O75406" t="str">
            <v/>
          </cell>
        </row>
        <row r="75407">
          <cell r="O75407" t="str">
            <v/>
          </cell>
        </row>
        <row r="75408">
          <cell r="O75408" t="str">
            <v/>
          </cell>
        </row>
        <row r="75409">
          <cell r="O75409" t="str">
            <v/>
          </cell>
        </row>
        <row r="75410">
          <cell r="O75410" t="str">
            <v/>
          </cell>
        </row>
        <row r="75411">
          <cell r="O75411" t="str">
            <v/>
          </cell>
        </row>
        <row r="75412">
          <cell r="O75412" t="str">
            <v/>
          </cell>
        </row>
        <row r="75413">
          <cell r="O75413" t="str">
            <v/>
          </cell>
        </row>
        <row r="75414">
          <cell r="O75414" t="str">
            <v/>
          </cell>
        </row>
        <row r="75415">
          <cell r="O75415" t="str">
            <v/>
          </cell>
        </row>
        <row r="75416">
          <cell r="O75416" t="str">
            <v/>
          </cell>
        </row>
        <row r="75417">
          <cell r="O75417" t="str">
            <v/>
          </cell>
        </row>
        <row r="75418">
          <cell r="O75418" t="str">
            <v/>
          </cell>
        </row>
        <row r="75419">
          <cell r="O75419" t="str">
            <v/>
          </cell>
        </row>
        <row r="75420">
          <cell r="O75420" t="str">
            <v/>
          </cell>
        </row>
        <row r="75421">
          <cell r="O75421" t="str">
            <v/>
          </cell>
        </row>
        <row r="75422">
          <cell r="O75422" t="str">
            <v/>
          </cell>
        </row>
        <row r="75423">
          <cell r="O75423" t="str">
            <v/>
          </cell>
        </row>
        <row r="75424">
          <cell r="O75424" t="str">
            <v/>
          </cell>
        </row>
        <row r="75425">
          <cell r="O75425" t="str">
            <v/>
          </cell>
        </row>
        <row r="75426">
          <cell r="O75426" t="str">
            <v/>
          </cell>
        </row>
        <row r="75427">
          <cell r="O75427" t="str">
            <v/>
          </cell>
        </row>
        <row r="75428">
          <cell r="O75428" t="str">
            <v/>
          </cell>
        </row>
        <row r="75429">
          <cell r="O75429" t="str">
            <v/>
          </cell>
        </row>
        <row r="75430">
          <cell r="O75430" t="str">
            <v/>
          </cell>
        </row>
        <row r="75431">
          <cell r="O75431" t="str">
            <v/>
          </cell>
        </row>
        <row r="75432">
          <cell r="O75432" t="str">
            <v/>
          </cell>
        </row>
        <row r="75433">
          <cell r="O75433" t="str">
            <v/>
          </cell>
        </row>
        <row r="75434">
          <cell r="O75434" t="str">
            <v/>
          </cell>
        </row>
        <row r="75435">
          <cell r="O75435" t="str">
            <v/>
          </cell>
        </row>
        <row r="75436">
          <cell r="O75436" t="str">
            <v/>
          </cell>
        </row>
        <row r="75437">
          <cell r="O75437" t="str">
            <v/>
          </cell>
        </row>
        <row r="75438">
          <cell r="O75438" t="str">
            <v/>
          </cell>
        </row>
        <row r="75439">
          <cell r="O75439" t="str">
            <v/>
          </cell>
        </row>
        <row r="75440">
          <cell r="O75440" t="str">
            <v/>
          </cell>
        </row>
        <row r="75441">
          <cell r="O75441" t="str">
            <v/>
          </cell>
        </row>
        <row r="75442">
          <cell r="O75442" t="str">
            <v/>
          </cell>
        </row>
        <row r="75443">
          <cell r="O75443" t="str">
            <v/>
          </cell>
        </row>
        <row r="75444">
          <cell r="O75444" t="str">
            <v/>
          </cell>
        </row>
        <row r="75445">
          <cell r="O75445" t="str">
            <v/>
          </cell>
        </row>
        <row r="75446">
          <cell r="O75446" t="str">
            <v/>
          </cell>
        </row>
        <row r="75447">
          <cell r="O75447" t="str">
            <v/>
          </cell>
        </row>
        <row r="75448">
          <cell r="O75448" t="str">
            <v/>
          </cell>
        </row>
        <row r="75449">
          <cell r="O75449" t="str">
            <v/>
          </cell>
        </row>
        <row r="75450">
          <cell r="O75450" t="str">
            <v/>
          </cell>
        </row>
        <row r="75451">
          <cell r="O75451" t="str">
            <v/>
          </cell>
        </row>
        <row r="75452">
          <cell r="O75452" t="str">
            <v/>
          </cell>
        </row>
        <row r="75453">
          <cell r="O75453" t="str">
            <v/>
          </cell>
        </row>
        <row r="75454">
          <cell r="O75454" t="str">
            <v/>
          </cell>
        </row>
        <row r="75455">
          <cell r="O75455" t="str">
            <v/>
          </cell>
        </row>
        <row r="75456">
          <cell r="O75456" t="str">
            <v/>
          </cell>
        </row>
        <row r="75457">
          <cell r="O75457" t="str">
            <v/>
          </cell>
        </row>
        <row r="75458">
          <cell r="O75458" t="str">
            <v/>
          </cell>
        </row>
        <row r="75459">
          <cell r="O75459" t="str">
            <v/>
          </cell>
        </row>
        <row r="75460">
          <cell r="O75460" t="str">
            <v/>
          </cell>
        </row>
        <row r="75461">
          <cell r="O75461" t="str">
            <v/>
          </cell>
        </row>
        <row r="75462">
          <cell r="O75462" t="str">
            <v/>
          </cell>
        </row>
        <row r="75463">
          <cell r="O75463" t="str">
            <v/>
          </cell>
        </row>
        <row r="75464">
          <cell r="O75464" t="str">
            <v/>
          </cell>
        </row>
        <row r="75465">
          <cell r="O75465" t="str">
            <v/>
          </cell>
        </row>
        <row r="75466">
          <cell r="O75466" t="str">
            <v/>
          </cell>
        </row>
        <row r="75467">
          <cell r="O75467" t="str">
            <v/>
          </cell>
        </row>
        <row r="75468">
          <cell r="O75468" t="str">
            <v/>
          </cell>
        </row>
        <row r="75469">
          <cell r="O75469" t="str">
            <v/>
          </cell>
        </row>
        <row r="75470">
          <cell r="O75470" t="str">
            <v/>
          </cell>
        </row>
        <row r="75471">
          <cell r="O75471" t="str">
            <v/>
          </cell>
        </row>
        <row r="75472">
          <cell r="O75472" t="str">
            <v/>
          </cell>
        </row>
        <row r="75473">
          <cell r="O75473" t="str">
            <v/>
          </cell>
        </row>
        <row r="75474">
          <cell r="O75474" t="str">
            <v/>
          </cell>
        </row>
        <row r="75475">
          <cell r="O75475" t="str">
            <v/>
          </cell>
        </row>
        <row r="75476">
          <cell r="O75476" t="str">
            <v/>
          </cell>
        </row>
        <row r="75477">
          <cell r="O75477" t="str">
            <v/>
          </cell>
        </row>
        <row r="75478">
          <cell r="O75478" t="str">
            <v/>
          </cell>
        </row>
        <row r="75479">
          <cell r="O75479" t="str">
            <v/>
          </cell>
        </row>
        <row r="75480">
          <cell r="O75480" t="str">
            <v/>
          </cell>
        </row>
        <row r="75481">
          <cell r="O75481" t="str">
            <v/>
          </cell>
        </row>
        <row r="75482">
          <cell r="O75482" t="str">
            <v/>
          </cell>
        </row>
        <row r="75483">
          <cell r="O75483" t="str">
            <v/>
          </cell>
        </row>
        <row r="75484">
          <cell r="O75484" t="str">
            <v/>
          </cell>
        </row>
        <row r="75485">
          <cell r="O75485" t="str">
            <v/>
          </cell>
        </row>
        <row r="75486">
          <cell r="O75486" t="str">
            <v/>
          </cell>
        </row>
        <row r="75487">
          <cell r="O75487" t="str">
            <v/>
          </cell>
        </row>
        <row r="75488">
          <cell r="O75488" t="str">
            <v/>
          </cell>
        </row>
        <row r="75489">
          <cell r="O75489" t="str">
            <v/>
          </cell>
        </row>
        <row r="75490">
          <cell r="O75490" t="str">
            <v/>
          </cell>
        </row>
        <row r="75491">
          <cell r="O75491" t="str">
            <v/>
          </cell>
        </row>
        <row r="75492">
          <cell r="O75492" t="str">
            <v/>
          </cell>
        </row>
        <row r="75493">
          <cell r="O75493" t="str">
            <v/>
          </cell>
        </row>
        <row r="75494">
          <cell r="O75494" t="str">
            <v/>
          </cell>
        </row>
        <row r="75495">
          <cell r="O75495" t="str">
            <v/>
          </cell>
        </row>
        <row r="75496">
          <cell r="O75496" t="str">
            <v/>
          </cell>
        </row>
        <row r="75497">
          <cell r="O75497" t="str">
            <v/>
          </cell>
        </row>
        <row r="75498">
          <cell r="O75498" t="str">
            <v/>
          </cell>
        </row>
        <row r="75499">
          <cell r="O75499" t="str">
            <v/>
          </cell>
        </row>
        <row r="75500">
          <cell r="O75500" t="str">
            <v/>
          </cell>
        </row>
        <row r="75501">
          <cell r="O75501" t="str">
            <v/>
          </cell>
        </row>
        <row r="75502">
          <cell r="O75502" t="str">
            <v/>
          </cell>
        </row>
        <row r="75503">
          <cell r="O75503" t="str">
            <v/>
          </cell>
        </row>
        <row r="75504">
          <cell r="O75504" t="str">
            <v/>
          </cell>
        </row>
        <row r="75505">
          <cell r="O75505" t="str">
            <v/>
          </cell>
        </row>
        <row r="75506">
          <cell r="O75506" t="str">
            <v/>
          </cell>
        </row>
        <row r="75507">
          <cell r="O75507" t="str">
            <v/>
          </cell>
        </row>
        <row r="75508">
          <cell r="O75508" t="str">
            <v/>
          </cell>
        </row>
        <row r="75509">
          <cell r="O75509" t="str">
            <v/>
          </cell>
        </row>
        <row r="75510">
          <cell r="O75510" t="str">
            <v/>
          </cell>
        </row>
        <row r="75511">
          <cell r="O75511" t="str">
            <v/>
          </cell>
        </row>
        <row r="75512">
          <cell r="O75512" t="str">
            <v/>
          </cell>
        </row>
        <row r="75513">
          <cell r="O75513" t="str">
            <v/>
          </cell>
        </row>
        <row r="75514">
          <cell r="O75514" t="str">
            <v/>
          </cell>
        </row>
        <row r="75515">
          <cell r="O75515" t="str">
            <v/>
          </cell>
        </row>
        <row r="75516">
          <cell r="O75516" t="str">
            <v/>
          </cell>
        </row>
        <row r="75517">
          <cell r="O75517" t="str">
            <v/>
          </cell>
        </row>
        <row r="75518">
          <cell r="O75518" t="str">
            <v/>
          </cell>
        </row>
        <row r="75519">
          <cell r="O75519" t="str">
            <v/>
          </cell>
        </row>
        <row r="75520">
          <cell r="O75520" t="str">
            <v/>
          </cell>
        </row>
        <row r="75521">
          <cell r="O75521" t="str">
            <v/>
          </cell>
        </row>
        <row r="75522">
          <cell r="O75522" t="str">
            <v/>
          </cell>
        </row>
        <row r="75523">
          <cell r="O75523" t="str">
            <v/>
          </cell>
        </row>
        <row r="75524">
          <cell r="O75524" t="str">
            <v/>
          </cell>
        </row>
        <row r="75525">
          <cell r="O75525" t="str">
            <v/>
          </cell>
        </row>
        <row r="75526">
          <cell r="O75526" t="str">
            <v/>
          </cell>
        </row>
        <row r="75527">
          <cell r="O75527" t="str">
            <v/>
          </cell>
        </row>
        <row r="75528">
          <cell r="O75528" t="str">
            <v/>
          </cell>
        </row>
        <row r="75529">
          <cell r="O75529" t="str">
            <v/>
          </cell>
        </row>
        <row r="75530">
          <cell r="O75530" t="str">
            <v/>
          </cell>
        </row>
        <row r="75531">
          <cell r="O75531" t="str">
            <v/>
          </cell>
        </row>
        <row r="75532">
          <cell r="O75532" t="str">
            <v/>
          </cell>
        </row>
        <row r="75533">
          <cell r="O75533" t="str">
            <v/>
          </cell>
        </row>
        <row r="75534">
          <cell r="O75534" t="str">
            <v/>
          </cell>
        </row>
        <row r="75535">
          <cell r="O75535" t="str">
            <v/>
          </cell>
        </row>
        <row r="75536">
          <cell r="O75536" t="str">
            <v/>
          </cell>
        </row>
        <row r="75537">
          <cell r="O75537" t="str">
            <v/>
          </cell>
        </row>
        <row r="75538">
          <cell r="O75538" t="str">
            <v/>
          </cell>
        </row>
        <row r="75539">
          <cell r="O75539" t="str">
            <v/>
          </cell>
        </row>
        <row r="75540">
          <cell r="O75540" t="str">
            <v/>
          </cell>
        </row>
        <row r="75541">
          <cell r="O75541" t="str">
            <v/>
          </cell>
        </row>
        <row r="75542">
          <cell r="O75542" t="str">
            <v/>
          </cell>
        </row>
        <row r="75543">
          <cell r="O75543" t="str">
            <v/>
          </cell>
        </row>
        <row r="75544">
          <cell r="O75544" t="str">
            <v/>
          </cell>
        </row>
        <row r="75545">
          <cell r="O75545" t="str">
            <v/>
          </cell>
        </row>
        <row r="75546">
          <cell r="O75546" t="str">
            <v/>
          </cell>
        </row>
        <row r="75547">
          <cell r="O75547" t="str">
            <v/>
          </cell>
        </row>
        <row r="75548">
          <cell r="O75548" t="str">
            <v/>
          </cell>
        </row>
        <row r="75549">
          <cell r="O75549" t="str">
            <v/>
          </cell>
        </row>
        <row r="75550">
          <cell r="O75550" t="str">
            <v/>
          </cell>
        </row>
        <row r="75551">
          <cell r="O75551" t="str">
            <v/>
          </cell>
        </row>
        <row r="75552">
          <cell r="O75552" t="str">
            <v/>
          </cell>
        </row>
        <row r="75553">
          <cell r="O75553" t="str">
            <v/>
          </cell>
        </row>
        <row r="75554">
          <cell r="O75554" t="str">
            <v/>
          </cell>
        </row>
        <row r="75555">
          <cell r="O75555" t="str">
            <v/>
          </cell>
        </row>
        <row r="75556">
          <cell r="O75556" t="str">
            <v/>
          </cell>
        </row>
        <row r="75557">
          <cell r="O75557" t="str">
            <v/>
          </cell>
        </row>
        <row r="75558">
          <cell r="O75558" t="str">
            <v/>
          </cell>
        </row>
        <row r="75559">
          <cell r="O75559" t="str">
            <v/>
          </cell>
        </row>
        <row r="75560">
          <cell r="O75560" t="str">
            <v/>
          </cell>
        </row>
        <row r="75561">
          <cell r="O75561" t="str">
            <v/>
          </cell>
        </row>
        <row r="75562">
          <cell r="O75562" t="str">
            <v/>
          </cell>
        </row>
        <row r="75563">
          <cell r="O75563" t="str">
            <v/>
          </cell>
        </row>
        <row r="75564">
          <cell r="O75564" t="str">
            <v/>
          </cell>
        </row>
        <row r="75565">
          <cell r="O75565" t="str">
            <v/>
          </cell>
        </row>
        <row r="75566">
          <cell r="O75566" t="str">
            <v/>
          </cell>
        </row>
        <row r="75567">
          <cell r="O75567" t="str">
            <v/>
          </cell>
        </row>
        <row r="75568">
          <cell r="O75568" t="str">
            <v/>
          </cell>
        </row>
        <row r="75569">
          <cell r="O75569" t="str">
            <v/>
          </cell>
        </row>
        <row r="75570">
          <cell r="O75570" t="str">
            <v/>
          </cell>
        </row>
        <row r="75571">
          <cell r="O75571" t="str">
            <v/>
          </cell>
        </row>
        <row r="75572">
          <cell r="O75572" t="str">
            <v/>
          </cell>
        </row>
        <row r="75573">
          <cell r="O75573" t="str">
            <v/>
          </cell>
        </row>
        <row r="75574">
          <cell r="O75574" t="str">
            <v/>
          </cell>
        </row>
        <row r="75575">
          <cell r="O75575" t="str">
            <v/>
          </cell>
        </row>
        <row r="75576">
          <cell r="O75576" t="str">
            <v/>
          </cell>
        </row>
        <row r="75577">
          <cell r="O75577" t="str">
            <v/>
          </cell>
        </row>
        <row r="75578">
          <cell r="O75578" t="str">
            <v/>
          </cell>
        </row>
        <row r="75579">
          <cell r="O75579" t="str">
            <v/>
          </cell>
        </row>
        <row r="75580">
          <cell r="O75580" t="str">
            <v/>
          </cell>
        </row>
        <row r="75581">
          <cell r="O75581" t="str">
            <v/>
          </cell>
        </row>
        <row r="75582">
          <cell r="O75582" t="str">
            <v/>
          </cell>
        </row>
        <row r="75583">
          <cell r="O75583" t="str">
            <v/>
          </cell>
        </row>
        <row r="75584">
          <cell r="O75584" t="str">
            <v/>
          </cell>
        </row>
        <row r="75585">
          <cell r="O75585" t="str">
            <v/>
          </cell>
        </row>
        <row r="75586">
          <cell r="O75586" t="str">
            <v/>
          </cell>
        </row>
        <row r="75587">
          <cell r="O75587" t="str">
            <v/>
          </cell>
        </row>
        <row r="75588">
          <cell r="O75588" t="str">
            <v/>
          </cell>
        </row>
        <row r="75589">
          <cell r="O75589" t="str">
            <v/>
          </cell>
        </row>
        <row r="75590">
          <cell r="O75590" t="str">
            <v/>
          </cell>
        </row>
        <row r="75591">
          <cell r="O75591" t="str">
            <v/>
          </cell>
        </row>
        <row r="75592">
          <cell r="O75592" t="str">
            <v/>
          </cell>
        </row>
        <row r="75593">
          <cell r="O75593" t="str">
            <v/>
          </cell>
        </row>
        <row r="75594">
          <cell r="O75594" t="str">
            <v/>
          </cell>
        </row>
        <row r="75595">
          <cell r="O75595" t="str">
            <v/>
          </cell>
        </row>
        <row r="75596">
          <cell r="O75596" t="str">
            <v/>
          </cell>
        </row>
        <row r="75597">
          <cell r="O75597" t="str">
            <v/>
          </cell>
        </row>
        <row r="75598">
          <cell r="O75598" t="str">
            <v/>
          </cell>
        </row>
        <row r="75599">
          <cell r="O75599" t="str">
            <v/>
          </cell>
        </row>
        <row r="75600">
          <cell r="O75600" t="str">
            <v/>
          </cell>
        </row>
        <row r="75601">
          <cell r="O75601" t="str">
            <v/>
          </cell>
        </row>
        <row r="75602">
          <cell r="O75602" t="str">
            <v/>
          </cell>
        </row>
        <row r="75603">
          <cell r="O75603" t="str">
            <v/>
          </cell>
        </row>
        <row r="75604">
          <cell r="O75604" t="str">
            <v/>
          </cell>
        </row>
        <row r="75605">
          <cell r="O75605" t="str">
            <v/>
          </cell>
        </row>
        <row r="75606">
          <cell r="O75606" t="str">
            <v/>
          </cell>
        </row>
        <row r="75607">
          <cell r="O75607" t="str">
            <v/>
          </cell>
        </row>
        <row r="75608">
          <cell r="O75608" t="str">
            <v/>
          </cell>
        </row>
        <row r="75609">
          <cell r="O75609" t="str">
            <v/>
          </cell>
        </row>
        <row r="75610">
          <cell r="O75610" t="str">
            <v/>
          </cell>
        </row>
        <row r="75611">
          <cell r="O75611" t="str">
            <v/>
          </cell>
        </row>
        <row r="75612">
          <cell r="O75612" t="str">
            <v/>
          </cell>
        </row>
        <row r="75613">
          <cell r="O75613" t="str">
            <v/>
          </cell>
        </row>
        <row r="75614">
          <cell r="O75614" t="str">
            <v/>
          </cell>
        </row>
        <row r="75615">
          <cell r="O75615" t="str">
            <v/>
          </cell>
        </row>
        <row r="75616">
          <cell r="O75616" t="str">
            <v/>
          </cell>
        </row>
        <row r="75617">
          <cell r="O75617" t="str">
            <v/>
          </cell>
        </row>
        <row r="75618">
          <cell r="O75618" t="str">
            <v/>
          </cell>
        </row>
        <row r="75619">
          <cell r="O75619" t="str">
            <v/>
          </cell>
        </row>
        <row r="75620">
          <cell r="O75620" t="str">
            <v/>
          </cell>
        </row>
        <row r="75621">
          <cell r="O75621" t="str">
            <v/>
          </cell>
        </row>
        <row r="75622">
          <cell r="O75622" t="str">
            <v/>
          </cell>
        </row>
        <row r="75623">
          <cell r="O75623" t="str">
            <v/>
          </cell>
        </row>
        <row r="75624">
          <cell r="O75624" t="str">
            <v/>
          </cell>
        </row>
        <row r="75625">
          <cell r="O75625" t="str">
            <v/>
          </cell>
        </row>
        <row r="75626">
          <cell r="O75626" t="str">
            <v/>
          </cell>
        </row>
        <row r="75627">
          <cell r="O75627" t="str">
            <v/>
          </cell>
        </row>
        <row r="75628">
          <cell r="O75628" t="str">
            <v/>
          </cell>
        </row>
        <row r="75629">
          <cell r="O75629" t="str">
            <v/>
          </cell>
        </row>
        <row r="75630">
          <cell r="O75630" t="str">
            <v/>
          </cell>
        </row>
        <row r="75631">
          <cell r="O75631" t="str">
            <v/>
          </cell>
        </row>
        <row r="75632">
          <cell r="O75632" t="str">
            <v/>
          </cell>
        </row>
        <row r="75633">
          <cell r="O75633" t="str">
            <v/>
          </cell>
        </row>
        <row r="75634">
          <cell r="O75634" t="str">
            <v/>
          </cell>
        </row>
        <row r="75635">
          <cell r="O75635" t="str">
            <v/>
          </cell>
        </row>
        <row r="75636">
          <cell r="O75636" t="str">
            <v/>
          </cell>
        </row>
        <row r="75637">
          <cell r="O75637" t="str">
            <v/>
          </cell>
        </row>
        <row r="75638">
          <cell r="O75638" t="str">
            <v/>
          </cell>
        </row>
        <row r="75639">
          <cell r="O75639" t="str">
            <v/>
          </cell>
        </row>
        <row r="75640">
          <cell r="O75640" t="str">
            <v/>
          </cell>
        </row>
        <row r="75641">
          <cell r="O75641" t="str">
            <v/>
          </cell>
        </row>
        <row r="75642">
          <cell r="O75642" t="str">
            <v/>
          </cell>
        </row>
        <row r="75643">
          <cell r="O75643" t="str">
            <v/>
          </cell>
        </row>
        <row r="75644">
          <cell r="O75644" t="str">
            <v/>
          </cell>
        </row>
        <row r="75645">
          <cell r="O75645" t="str">
            <v/>
          </cell>
        </row>
        <row r="75646">
          <cell r="O75646" t="str">
            <v/>
          </cell>
        </row>
        <row r="75647">
          <cell r="O75647" t="str">
            <v/>
          </cell>
        </row>
        <row r="75648">
          <cell r="O75648" t="str">
            <v/>
          </cell>
        </row>
        <row r="75649">
          <cell r="O75649" t="str">
            <v/>
          </cell>
        </row>
        <row r="75650">
          <cell r="O75650" t="str">
            <v/>
          </cell>
        </row>
        <row r="75651">
          <cell r="O75651" t="str">
            <v/>
          </cell>
        </row>
        <row r="75652">
          <cell r="O75652" t="str">
            <v/>
          </cell>
        </row>
        <row r="75653">
          <cell r="O75653" t="str">
            <v/>
          </cell>
        </row>
        <row r="75654">
          <cell r="O75654" t="str">
            <v/>
          </cell>
        </row>
        <row r="75655">
          <cell r="O75655" t="str">
            <v/>
          </cell>
        </row>
        <row r="75656">
          <cell r="O75656" t="str">
            <v/>
          </cell>
        </row>
        <row r="75657">
          <cell r="O75657" t="str">
            <v/>
          </cell>
        </row>
        <row r="75658">
          <cell r="O75658" t="str">
            <v/>
          </cell>
        </row>
        <row r="75659">
          <cell r="O75659" t="str">
            <v/>
          </cell>
        </row>
        <row r="75660">
          <cell r="O75660" t="str">
            <v/>
          </cell>
        </row>
        <row r="75661">
          <cell r="O75661" t="str">
            <v/>
          </cell>
        </row>
        <row r="75662">
          <cell r="O75662" t="str">
            <v/>
          </cell>
        </row>
        <row r="75663">
          <cell r="O75663" t="str">
            <v/>
          </cell>
        </row>
        <row r="75664">
          <cell r="O75664" t="str">
            <v/>
          </cell>
        </row>
        <row r="75665">
          <cell r="O75665" t="str">
            <v/>
          </cell>
        </row>
        <row r="75666">
          <cell r="O75666" t="str">
            <v/>
          </cell>
        </row>
        <row r="75667">
          <cell r="O75667" t="str">
            <v/>
          </cell>
        </row>
        <row r="75668">
          <cell r="O75668" t="str">
            <v/>
          </cell>
        </row>
        <row r="75669">
          <cell r="O75669" t="str">
            <v/>
          </cell>
        </row>
        <row r="75670">
          <cell r="O75670" t="str">
            <v/>
          </cell>
        </row>
        <row r="75671">
          <cell r="O75671" t="str">
            <v/>
          </cell>
        </row>
        <row r="75672">
          <cell r="O75672" t="str">
            <v/>
          </cell>
        </row>
        <row r="75673">
          <cell r="O75673" t="str">
            <v/>
          </cell>
        </row>
        <row r="75674">
          <cell r="O75674" t="str">
            <v/>
          </cell>
        </row>
        <row r="75675">
          <cell r="O75675" t="str">
            <v/>
          </cell>
        </row>
        <row r="75676">
          <cell r="O75676" t="str">
            <v/>
          </cell>
        </row>
        <row r="75677">
          <cell r="O75677" t="str">
            <v/>
          </cell>
        </row>
        <row r="75678">
          <cell r="O75678" t="str">
            <v/>
          </cell>
        </row>
        <row r="75679">
          <cell r="O75679" t="str">
            <v/>
          </cell>
        </row>
        <row r="75680">
          <cell r="O75680" t="str">
            <v/>
          </cell>
        </row>
        <row r="75681">
          <cell r="O75681" t="str">
            <v/>
          </cell>
        </row>
        <row r="75682">
          <cell r="O75682" t="str">
            <v/>
          </cell>
        </row>
        <row r="75683">
          <cell r="O75683" t="str">
            <v/>
          </cell>
        </row>
        <row r="75684">
          <cell r="O75684" t="str">
            <v/>
          </cell>
        </row>
        <row r="75685">
          <cell r="O75685" t="str">
            <v/>
          </cell>
        </row>
        <row r="75686">
          <cell r="O75686" t="str">
            <v/>
          </cell>
        </row>
        <row r="75687">
          <cell r="O75687" t="str">
            <v/>
          </cell>
        </row>
        <row r="75688">
          <cell r="O75688" t="str">
            <v/>
          </cell>
        </row>
        <row r="75689">
          <cell r="O75689" t="str">
            <v/>
          </cell>
        </row>
        <row r="75690">
          <cell r="O75690" t="str">
            <v/>
          </cell>
        </row>
        <row r="75691">
          <cell r="O75691" t="str">
            <v/>
          </cell>
        </row>
        <row r="75692">
          <cell r="O75692" t="str">
            <v/>
          </cell>
        </row>
        <row r="75693">
          <cell r="O75693" t="str">
            <v/>
          </cell>
        </row>
        <row r="75694">
          <cell r="O75694" t="str">
            <v/>
          </cell>
        </row>
        <row r="75695">
          <cell r="O75695" t="str">
            <v/>
          </cell>
        </row>
        <row r="75696">
          <cell r="O75696" t="str">
            <v/>
          </cell>
        </row>
        <row r="75697">
          <cell r="O75697" t="str">
            <v/>
          </cell>
        </row>
        <row r="75698">
          <cell r="O75698" t="str">
            <v/>
          </cell>
        </row>
        <row r="75699">
          <cell r="O75699" t="str">
            <v/>
          </cell>
        </row>
        <row r="75700">
          <cell r="O75700" t="str">
            <v/>
          </cell>
        </row>
        <row r="75701">
          <cell r="O75701" t="str">
            <v/>
          </cell>
        </row>
        <row r="75702">
          <cell r="O75702" t="str">
            <v/>
          </cell>
        </row>
        <row r="75703">
          <cell r="O75703" t="str">
            <v/>
          </cell>
        </row>
        <row r="75704">
          <cell r="O75704" t="str">
            <v/>
          </cell>
        </row>
        <row r="75705">
          <cell r="O75705" t="str">
            <v/>
          </cell>
        </row>
        <row r="75706">
          <cell r="O75706" t="str">
            <v/>
          </cell>
        </row>
        <row r="75707">
          <cell r="O75707" t="str">
            <v/>
          </cell>
        </row>
        <row r="75708">
          <cell r="O75708" t="str">
            <v/>
          </cell>
        </row>
        <row r="75709">
          <cell r="O75709" t="str">
            <v/>
          </cell>
        </row>
        <row r="75710">
          <cell r="O75710" t="str">
            <v/>
          </cell>
        </row>
        <row r="75711">
          <cell r="O75711" t="str">
            <v/>
          </cell>
        </row>
        <row r="75712">
          <cell r="O75712" t="str">
            <v/>
          </cell>
        </row>
        <row r="75713">
          <cell r="O75713" t="str">
            <v/>
          </cell>
        </row>
        <row r="75714">
          <cell r="O75714" t="str">
            <v/>
          </cell>
        </row>
        <row r="75715">
          <cell r="O75715" t="str">
            <v/>
          </cell>
        </row>
        <row r="75716">
          <cell r="O75716" t="str">
            <v/>
          </cell>
        </row>
        <row r="75717">
          <cell r="O75717" t="str">
            <v/>
          </cell>
        </row>
        <row r="75718">
          <cell r="O75718" t="str">
            <v/>
          </cell>
        </row>
        <row r="75719">
          <cell r="O75719" t="str">
            <v/>
          </cell>
        </row>
        <row r="75720">
          <cell r="O75720" t="str">
            <v/>
          </cell>
        </row>
        <row r="75721">
          <cell r="O75721" t="str">
            <v/>
          </cell>
        </row>
        <row r="75722">
          <cell r="O75722" t="str">
            <v/>
          </cell>
        </row>
        <row r="75723">
          <cell r="O75723" t="str">
            <v/>
          </cell>
        </row>
        <row r="75724">
          <cell r="O75724" t="str">
            <v/>
          </cell>
        </row>
        <row r="75725">
          <cell r="O75725" t="str">
            <v/>
          </cell>
        </row>
        <row r="75726">
          <cell r="O75726" t="str">
            <v/>
          </cell>
        </row>
        <row r="75727">
          <cell r="O75727" t="str">
            <v/>
          </cell>
        </row>
        <row r="75728">
          <cell r="O75728" t="str">
            <v/>
          </cell>
        </row>
        <row r="75729">
          <cell r="O75729" t="str">
            <v/>
          </cell>
        </row>
        <row r="75730">
          <cell r="O75730" t="str">
            <v/>
          </cell>
        </row>
        <row r="75731">
          <cell r="O75731" t="str">
            <v/>
          </cell>
        </row>
        <row r="75732">
          <cell r="O75732" t="str">
            <v/>
          </cell>
        </row>
        <row r="75733">
          <cell r="O75733" t="str">
            <v/>
          </cell>
        </row>
        <row r="75734">
          <cell r="O75734" t="str">
            <v/>
          </cell>
        </row>
        <row r="75735">
          <cell r="O75735" t="str">
            <v/>
          </cell>
        </row>
        <row r="75736">
          <cell r="O75736" t="str">
            <v/>
          </cell>
        </row>
        <row r="75737">
          <cell r="O75737" t="str">
            <v/>
          </cell>
        </row>
        <row r="75738">
          <cell r="O75738" t="str">
            <v/>
          </cell>
        </row>
        <row r="75739">
          <cell r="O75739" t="str">
            <v/>
          </cell>
        </row>
        <row r="75740">
          <cell r="O75740" t="str">
            <v/>
          </cell>
        </row>
        <row r="75741">
          <cell r="O75741" t="str">
            <v/>
          </cell>
        </row>
        <row r="75742">
          <cell r="O75742" t="str">
            <v/>
          </cell>
        </row>
        <row r="75743">
          <cell r="O75743" t="str">
            <v/>
          </cell>
        </row>
        <row r="75744">
          <cell r="O75744" t="str">
            <v/>
          </cell>
        </row>
        <row r="75745">
          <cell r="O75745" t="str">
            <v/>
          </cell>
        </row>
        <row r="75746">
          <cell r="O75746" t="str">
            <v/>
          </cell>
        </row>
        <row r="75747">
          <cell r="O75747" t="str">
            <v/>
          </cell>
        </row>
        <row r="75748">
          <cell r="O75748" t="str">
            <v/>
          </cell>
        </row>
        <row r="75749">
          <cell r="O75749" t="str">
            <v/>
          </cell>
        </row>
        <row r="75750">
          <cell r="O75750" t="str">
            <v/>
          </cell>
        </row>
        <row r="75751">
          <cell r="O75751" t="str">
            <v/>
          </cell>
        </row>
        <row r="75752">
          <cell r="O75752" t="str">
            <v/>
          </cell>
        </row>
        <row r="75753">
          <cell r="O75753" t="str">
            <v/>
          </cell>
        </row>
        <row r="75754">
          <cell r="O75754" t="str">
            <v/>
          </cell>
        </row>
        <row r="75755">
          <cell r="O75755" t="str">
            <v/>
          </cell>
        </row>
        <row r="75756">
          <cell r="O75756" t="str">
            <v/>
          </cell>
        </row>
        <row r="75757">
          <cell r="O75757" t="str">
            <v/>
          </cell>
        </row>
        <row r="75758">
          <cell r="O75758" t="str">
            <v/>
          </cell>
        </row>
        <row r="75759">
          <cell r="O75759" t="str">
            <v/>
          </cell>
        </row>
        <row r="75760">
          <cell r="O75760" t="str">
            <v/>
          </cell>
        </row>
        <row r="75761">
          <cell r="O75761" t="str">
            <v/>
          </cell>
        </row>
        <row r="75762">
          <cell r="O75762" t="str">
            <v/>
          </cell>
        </row>
        <row r="75763">
          <cell r="O75763" t="str">
            <v/>
          </cell>
        </row>
        <row r="75764">
          <cell r="O75764" t="str">
            <v/>
          </cell>
        </row>
        <row r="75765">
          <cell r="O75765" t="str">
            <v/>
          </cell>
        </row>
        <row r="75766">
          <cell r="O75766" t="str">
            <v/>
          </cell>
        </row>
        <row r="75767">
          <cell r="O75767" t="str">
            <v/>
          </cell>
        </row>
        <row r="75768">
          <cell r="O75768" t="str">
            <v/>
          </cell>
        </row>
        <row r="75769">
          <cell r="O75769" t="str">
            <v/>
          </cell>
        </row>
        <row r="75770">
          <cell r="O75770" t="str">
            <v/>
          </cell>
        </row>
        <row r="75771">
          <cell r="O75771" t="str">
            <v/>
          </cell>
        </row>
        <row r="75772">
          <cell r="O75772" t="str">
            <v/>
          </cell>
        </row>
        <row r="75773">
          <cell r="O75773" t="str">
            <v/>
          </cell>
        </row>
        <row r="75774">
          <cell r="O75774" t="str">
            <v/>
          </cell>
        </row>
        <row r="75775">
          <cell r="O75775" t="str">
            <v/>
          </cell>
        </row>
        <row r="75776">
          <cell r="O75776" t="str">
            <v/>
          </cell>
        </row>
        <row r="75777">
          <cell r="O75777" t="str">
            <v/>
          </cell>
        </row>
        <row r="75778">
          <cell r="O75778" t="str">
            <v/>
          </cell>
        </row>
        <row r="75779">
          <cell r="O75779" t="str">
            <v/>
          </cell>
        </row>
        <row r="75780">
          <cell r="O75780" t="str">
            <v/>
          </cell>
        </row>
        <row r="75781">
          <cell r="O75781" t="str">
            <v/>
          </cell>
        </row>
        <row r="75782">
          <cell r="O75782" t="str">
            <v/>
          </cell>
        </row>
        <row r="75783">
          <cell r="O75783" t="str">
            <v/>
          </cell>
        </row>
        <row r="75784">
          <cell r="O75784" t="str">
            <v/>
          </cell>
        </row>
        <row r="75785">
          <cell r="O75785" t="str">
            <v/>
          </cell>
        </row>
        <row r="75786">
          <cell r="O75786" t="str">
            <v/>
          </cell>
        </row>
        <row r="75787">
          <cell r="O75787" t="str">
            <v/>
          </cell>
        </row>
        <row r="75788">
          <cell r="O75788" t="str">
            <v/>
          </cell>
        </row>
        <row r="75789">
          <cell r="O75789" t="str">
            <v/>
          </cell>
        </row>
        <row r="75790">
          <cell r="O75790" t="str">
            <v/>
          </cell>
        </row>
        <row r="75791">
          <cell r="O75791" t="str">
            <v/>
          </cell>
        </row>
        <row r="75792">
          <cell r="O75792" t="str">
            <v/>
          </cell>
        </row>
        <row r="75793">
          <cell r="O75793" t="str">
            <v/>
          </cell>
        </row>
        <row r="75794">
          <cell r="O75794" t="str">
            <v/>
          </cell>
        </row>
        <row r="75795">
          <cell r="O75795" t="str">
            <v/>
          </cell>
        </row>
        <row r="75796">
          <cell r="O75796" t="str">
            <v/>
          </cell>
        </row>
        <row r="75797">
          <cell r="O75797" t="str">
            <v/>
          </cell>
        </row>
        <row r="75798">
          <cell r="O75798" t="str">
            <v/>
          </cell>
        </row>
        <row r="75799">
          <cell r="O75799" t="str">
            <v/>
          </cell>
        </row>
        <row r="75800">
          <cell r="O75800" t="str">
            <v/>
          </cell>
        </row>
        <row r="75801">
          <cell r="O75801" t="str">
            <v/>
          </cell>
        </row>
        <row r="75802">
          <cell r="O75802" t="str">
            <v/>
          </cell>
        </row>
        <row r="75803">
          <cell r="O75803" t="str">
            <v/>
          </cell>
        </row>
        <row r="75804">
          <cell r="O75804" t="str">
            <v/>
          </cell>
        </row>
        <row r="75805">
          <cell r="O75805" t="str">
            <v/>
          </cell>
        </row>
        <row r="75806">
          <cell r="O75806" t="str">
            <v/>
          </cell>
        </row>
        <row r="75807">
          <cell r="O75807" t="str">
            <v/>
          </cell>
        </row>
        <row r="75808">
          <cell r="O75808" t="str">
            <v/>
          </cell>
        </row>
        <row r="75809">
          <cell r="O75809" t="str">
            <v/>
          </cell>
        </row>
        <row r="75810">
          <cell r="O75810" t="str">
            <v/>
          </cell>
        </row>
        <row r="75811">
          <cell r="O75811" t="str">
            <v/>
          </cell>
        </row>
        <row r="75812">
          <cell r="O75812" t="str">
            <v/>
          </cell>
        </row>
        <row r="75813">
          <cell r="O75813" t="str">
            <v/>
          </cell>
        </row>
        <row r="75814">
          <cell r="O75814" t="str">
            <v/>
          </cell>
        </row>
        <row r="75815">
          <cell r="O75815" t="str">
            <v/>
          </cell>
        </row>
        <row r="75816">
          <cell r="O75816" t="str">
            <v/>
          </cell>
        </row>
        <row r="75817">
          <cell r="O75817" t="str">
            <v/>
          </cell>
        </row>
        <row r="75818">
          <cell r="O75818" t="str">
            <v/>
          </cell>
        </row>
        <row r="75819">
          <cell r="O75819" t="str">
            <v/>
          </cell>
        </row>
        <row r="75820">
          <cell r="O75820" t="str">
            <v/>
          </cell>
        </row>
        <row r="75821">
          <cell r="O75821" t="str">
            <v/>
          </cell>
        </row>
        <row r="75822">
          <cell r="O75822" t="str">
            <v/>
          </cell>
        </row>
        <row r="75823">
          <cell r="O75823" t="str">
            <v/>
          </cell>
        </row>
        <row r="75824">
          <cell r="O75824" t="str">
            <v/>
          </cell>
        </row>
        <row r="75825">
          <cell r="O75825" t="str">
            <v/>
          </cell>
        </row>
        <row r="75826">
          <cell r="O75826" t="str">
            <v/>
          </cell>
        </row>
        <row r="75827">
          <cell r="O75827" t="str">
            <v/>
          </cell>
        </row>
        <row r="75828">
          <cell r="O75828" t="str">
            <v/>
          </cell>
        </row>
        <row r="75829">
          <cell r="O75829" t="str">
            <v/>
          </cell>
        </row>
        <row r="75830">
          <cell r="O75830" t="str">
            <v/>
          </cell>
        </row>
        <row r="75831">
          <cell r="O75831" t="str">
            <v/>
          </cell>
        </row>
        <row r="75832">
          <cell r="O75832" t="str">
            <v/>
          </cell>
        </row>
        <row r="75833">
          <cell r="O75833" t="str">
            <v/>
          </cell>
        </row>
        <row r="75834">
          <cell r="O75834" t="str">
            <v/>
          </cell>
        </row>
        <row r="75835">
          <cell r="O75835" t="str">
            <v/>
          </cell>
        </row>
        <row r="75836">
          <cell r="O75836" t="str">
            <v/>
          </cell>
        </row>
        <row r="75837">
          <cell r="O75837" t="str">
            <v/>
          </cell>
        </row>
        <row r="75838">
          <cell r="O75838" t="str">
            <v/>
          </cell>
        </row>
        <row r="75839">
          <cell r="O75839" t="str">
            <v/>
          </cell>
        </row>
        <row r="75840">
          <cell r="O75840" t="str">
            <v/>
          </cell>
        </row>
        <row r="75841">
          <cell r="O75841" t="str">
            <v/>
          </cell>
        </row>
        <row r="75842">
          <cell r="O75842" t="str">
            <v/>
          </cell>
        </row>
        <row r="75843">
          <cell r="O75843" t="str">
            <v/>
          </cell>
        </row>
        <row r="75844">
          <cell r="O75844" t="str">
            <v/>
          </cell>
        </row>
        <row r="75845">
          <cell r="O75845" t="str">
            <v/>
          </cell>
        </row>
        <row r="75846">
          <cell r="O75846" t="str">
            <v/>
          </cell>
        </row>
        <row r="75847">
          <cell r="O75847" t="str">
            <v/>
          </cell>
        </row>
        <row r="75848">
          <cell r="O75848" t="str">
            <v/>
          </cell>
        </row>
        <row r="75849">
          <cell r="O75849" t="str">
            <v/>
          </cell>
        </row>
        <row r="75850">
          <cell r="O75850" t="str">
            <v/>
          </cell>
        </row>
        <row r="75851">
          <cell r="O75851" t="str">
            <v/>
          </cell>
        </row>
        <row r="75852">
          <cell r="O75852" t="str">
            <v/>
          </cell>
        </row>
        <row r="75853">
          <cell r="O75853" t="str">
            <v/>
          </cell>
        </row>
        <row r="75854">
          <cell r="O75854" t="str">
            <v/>
          </cell>
        </row>
        <row r="75855">
          <cell r="O75855" t="str">
            <v/>
          </cell>
        </row>
        <row r="75856">
          <cell r="O75856" t="str">
            <v/>
          </cell>
        </row>
        <row r="75857">
          <cell r="O75857" t="str">
            <v/>
          </cell>
        </row>
        <row r="75858">
          <cell r="O75858" t="str">
            <v/>
          </cell>
        </row>
        <row r="75859">
          <cell r="O75859" t="str">
            <v/>
          </cell>
        </row>
        <row r="75860">
          <cell r="O75860" t="str">
            <v/>
          </cell>
        </row>
        <row r="75861">
          <cell r="O75861" t="str">
            <v/>
          </cell>
        </row>
        <row r="75862">
          <cell r="O75862" t="str">
            <v/>
          </cell>
        </row>
        <row r="75863">
          <cell r="O75863" t="str">
            <v/>
          </cell>
        </row>
        <row r="75864">
          <cell r="O75864" t="str">
            <v/>
          </cell>
        </row>
        <row r="75865">
          <cell r="O75865" t="str">
            <v/>
          </cell>
        </row>
        <row r="75866">
          <cell r="O75866" t="str">
            <v/>
          </cell>
        </row>
        <row r="75867">
          <cell r="O75867" t="str">
            <v/>
          </cell>
        </row>
        <row r="75868">
          <cell r="O75868" t="str">
            <v/>
          </cell>
        </row>
        <row r="75869">
          <cell r="O75869" t="str">
            <v/>
          </cell>
        </row>
        <row r="75870">
          <cell r="O75870" t="str">
            <v/>
          </cell>
        </row>
        <row r="75871">
          <cell r="O75871" t="str">
            <v/>
          </cell>
        </row>
        <row r="75872">
          <cell r="O75872" t="str">
            <v/>
          </cell>
        </row>
        <row r="75873">
          <cell r="O75873" t="str">
            <v/>
          </cell>
        </row>
        <row r="75874">
          <cell r="O75874" t="str">
            <v/>
          </cell>
        </row>
        <row r="75875">
          <cell r="O75875" t="str">
            <v/>
          </cell>
        </row>
        <row r="75876">
          <cell r="O75876" t="str">
            <v/>
          </cell>
        </row>
        <row r="75877">
          <cell r="O75877" t="str">
            <v/>
          </cell>
        </row>
        <row r="75878">
          <cell r="O75878" t="str">
            <v/>
          </cell>
        </row>
        <row r="75879">
          <cell r="O75879" t="str">
            <v/>
          </cell>
        </row>
        <row r="75880">
          <cell r="O75880" t="str">
            <v/>
          </cell>
        </row>
        <row r="75881">
          <cell r="O75881" t="str">
            <v/>
          </cell>
        </row>
        <row r="75882">
          <cell r="O75882" t="str">
            <v/>
          </cell>
        </row>
        <row r="75883">
          <cell r="O75883" t="str">
            <v/>
          </cell>
        </row>
        <row r="75884">
          <cell r="O75884" t="str">
            <v/>
          </cell>
        </row>
        <row r="75885">
          <cell r="O75885" t="str">
            <v/>
          </cell>
        </row>
        <row r="75886">
          <cell r="O75886" t="str">
            <v/>
          </cell>
        </row>
        <row r="75887">
          <cell r="O75887" t="str">
            <v/>
          </cell>
        </row>
        <row r="75888">
          <cell r="O75888" t="str">
            <v/>
          </cell>
        </row>
        <row r="75889">
          <cell r="O75889" t="str">
            <v/>
          </cell>
        </row>
        <row r="75890">
          <cell r="O75890" t="str">
            <v/>
          </cell>
        </row>
        <row r="75891">
          <cell r="O75891" t="str">
            <v/>
          </cell>
        </row>
        <row r="75892">
          <cell r="O75892" t="str">
            <v/>
          </cell>
        </row>
        <row r="75893">
          <cell r="O75893" t="str">
            <v/>
          </cell>
        </row>
        <row r="75894">
          <cell r="O75894" t="str">
            <v/>
          </cell>
        </row>
        <row r="75895">
          <cell r="O75895" t="str">
            <v/>
          </cell>
        </row>
        <row r="75896">
          <cell r="O75896" t="str">
            <v/>
          </cell>
        </row>
        <row r="75897">
          <cell r="O75897" t="str">
            <v/>
          </cell>
        </row>
        <row r="75898">
          <cell r="O75898" t="str">
            <v/>
          </cell>
        </row>
        <row r="75899">
          <cell r="O75899" t="str">
            <v/>
          </cell>
        </row>
        <row r="75900">
          <cell r="O75900" t="str">
            <v/>
          </cell>
        </row>
        <row r="75901">
          <cell r="O75901" t="str">
            <v/>
          </cell>
        </row>
        <row r="75902">
          <cell r="O75902" t="str">
            <v/>
          </cell>
        </row>
        <row r="75903">
          <cell r="O75903" t="str">
            <v/>
          </cell>
        </row>
        <row r="75904">
          <cell r="O75904" t="str">
            <v/>
          </cell>
        </row>
        <row r="75905">
          <cell r="O75905" t="str">
            <v/>
          </cell>
        </row>
        <row r="75906">
          <cell r="O75906" t="str">
            <v/>
          </cell>
        </row>
        <row r="75907">
          <cell r="O75907" t="str">
            <v/>
          </cell>
        </row>
        <row r="75908">
          <cell r="O75908" t="str">
            <v/>
          </cell>
        </row>
        <row r="75909">
          <cell r="O75909" t="str">
            <v/>
          </cell>
        </row>
        <row r="75910">
          <cell r="O75910" t="str">
            <v/>
          </cell>
        </row>
        <row r="75911">
          <cell r="O75911" t="str">
            <v/>
          </cell>
        </row>
        <row r="75912">
          <cell r="O75912" t="str">
            <v/>
          </cell>
        </row>
        <row r="75913">
          <cell r="O75913" t="str">
            <v/>
          </cell>
        </row>
        <row r="75914">
          <cell r="O75914" t="str">
            <v/>
          </cell>
        </row>
        <row r="75915">
          <cell r="O75915" t="str">
            <v/>
          </cell>
        </row>
        <row r="75916">
          <cell r="O75916" t="str">
            <v/>
          </cell>
        </row>
        <row r="75917">
          <cell r="O75917" t="str">
            <v/>
          </cell>
        </row>
        <row r="75918">
          <cell r="O75918" t="str">
            <v/>
          </cell>
        </row>
        <row r="75919">
          <cell r="O75919" t="str">
            <v/>
          </cell>
        </row>
        <row r="75920">
          <cell r="O75920" t="str">
            <v/>
          </cell>
        </row>
        <row r="75921">
          <cell r="O75921" t="str">
            <v/>
          </cell>
        </row>
        <row r="75922">
          <cell r="O75922" t="str">
            <v/>
          </cell>
        </row>
        <row r="75923">
          <cell r="O75923" t="str">
            <v/>
          </cell>
        </row>
        <row r="75924">
          <cell r="O75924" t="str">
            <v/>
          </cell>
        </row>
        <row r="75925">
          <cell r="O75925" t="str">
            <v/>
          </cell>
        </row>
        <row r="75926">
          <cell r="O75926" t="str">
            <v/>
          </cell>
        </row>
        <row r="75927">
          <cell r="O75927" t="str">
            <v/>
          </cell>
        </row>
        <row r="75928">
          <cell r="O75928" t="str">
            <v/>
          </cell>
        </row>
        <row r="75929">
          <cell r="O75929" t="str">
            <v/>
          </cell>
        </row>
        <row r="75930">
          <cell r="O75930" t="str">
            <v/>
          </cell>
        </row>
        <row r="75931">
          <cell r="O75931" t="str">
            <v/>
          </cell>
        </row>
        <row r="75932">
          <cell r="O75932" t="str">
            <v/>
          </cell>
        </row>
        <row r="75933">
          <cell r="O75933" t="str">
            <v/>
          </cell>
        </row>
        <row r="75934">
          <cell r="O75934" t="str">
            <v/>
          </cell>
        </row>
        <row r="75935">
          <cell r="O75935" t="str">
            <v/>
          </cell>
        </row>
        <row r="75936">
          <cell r="O75936" t="str">
            <v/>
          </cell>
        </row>
        <row r="75937">
          <cell r="O75937" t="str">
            <v/>
          </cell>
        </row>
        <row r="75938">
          <cell r="O75938" t="str">
            <v/>
          </cell>
        </row>
        <row r="75939">
          <cell r="O75939" t="str">
            <v/>
          </cell>
        </row>
        <row r="75940">
          <cell r="O75940" t="str">
            <v/>
          </cell>
        </row>
        <row r="75941">
          <cell r="O75941" t="str">
            <v/>
          </cell>
        </row>
        <row r="75942">
          <cell r="O75942" t="str">
            <v/>
          </cell>
        </row>
        <row r="75943">
          <cell r="O75943" t="str">
            <v/>
          </cell>
        </row>
        <row r="75944">
          <cell r="O75944" t="str">
            <v/>
          </cell>
        </row>
        <row r="75945">
          <cell r="O75945" t="str">
            <v/>
          </cell>
        </row>
        <row r="75946">
          <cell r="O75946" t="str">
            <v/>
          </cell>
        </row>
        <row r="75947">
          <cell r="O75947" t="str">
            <v/>
          </cell>
        </row>
        <row r="75948">
          <cell r="O75948" t="str">
            <v/>
          </cell>
        </row>
        <row r="75949">
          <cell r="O75949" t="str">
            <v/>
          </cell>
        </row>
        <row r="75950">
          <cell r="O75950" t="str">
            <v/>
          </cell>
        </row>
        <row r="75951">
          <cell r="O75951" t="str">
            <v/>
          </cell>
        </row>
        <row r="75952">
          <cell r="O75952" t="str">
            <v/>
          </cell>
        </row>
        <row r="75953">
          <cell r="O75953" t="str">
            <v/>
          </cell>
        </row>
        <row r="75954">
          <cell r="O75954" t="str">
            <v/>
          </cell>
        </row>
        <row r="75955">
          <cell r="O75955" t="str">
            <v/>
          </cell>
        </row>
        <row r="75956">
          <cell r="O75956" t="str">
            <v/>
          </cell>
        </row>
        <row r="75957">
          <cell r="O75957" t="str">
            <v/>
          </cell>
        </row>
        <row r="75958">
          <cell r="O75958" t="str">
            <v/>
          </cell>
        </row>
        <row r="75959">
          <cell r="O75959" t="str">
            <v/>
          </cell>
        </row>
        <row r="75960">
          <cell r="O75960" t="str">
            <v/>
          </cell>
        </row>
        <row r="75961">
          <cell r="O75961" t="str">
            <v/>
          </cell>
        </row>
        <row r="75962">
          <cell r="O75962" t="str">
            <v/>
          </cell>
        </row>
        <row r="75963">
          <cell r="O75963" t="str">
            <v/>
          </cell>
        </row>
        <row r="75964">
          <cell r="O75964" t="str">
            <v/>
          </cell>
        </row>
        <row r="75965">
          <cell r="O75965" t="str">
            <v/>
          </cell>
        </row>
        <row r="75966">
          <cell r="O75966" t="str">
            <v/>
          </cell>
        </row>
        <row r="75967">
          <cell r="O75967" t="str">
            <v/>
          </cell>
        </row>
        <row r="75968">
          <cell r="O75968" t="str">
            <v/>
          </cell>
        </row>
        <row r="75969">
          <cell r="O75969" t="str">
            <v/>
          </cell>
        </row>
        <row r="75970">
          <cell r="O75970" t="str">
            <v/>
          </cell>
        </row>
        <row r="75971">
          <cell r="O75971" t="str">
            <v/>
          </cell>
        </row>
        <row r="75972">
          <cell r="O75972" t="str">
            <v/>
          </cell>
        </row>
        <row r="75973">
          <cell r="O75973" t="str">
            <v/>
          </cell>
        </row>
        <row r="75974">
          <cell r="O75974" t="str">
            <v/>
          </cell>
        </row>
        <row r="75975">
          <cell r="O75975" t="str">
            <v/>
          </cell>
        </row>
        <row r="75976">
          <cell r="O75976" t="str">
            <v/>
          </cell>
        </row>
        <row r="75977">
          <cell r="O75977" t="str">
            <v/>
          </cell>
        </row>
        <row r="75978">
          <cell r="O75978" t="str">
            <v/>
          </cell>
        </row>
        <row r="75979">
          <cell r="O75979" t="str">
            <v/>
          </cell>
        </row>
        <row r="75980">
          <cell r="O75980" t="str">
            <v/>
          </cell>
        </row>
        <row r="75981">
          <cell r="O75981" t="str">
            <v/>
          </cell>
        </row>
        <row r="75982">
          <cell r="O75982" t="str">
            <v/>
          </cell>
        </row>
        <row r="75983">
          <cell r="O75983" t="str">
            <v/>
          </cell>
        </row>
        <row r="75984">
          <cell r="O75984" t="str">
            <v/>
          </cell>
        </row>
        <row r="75985">
          <cell r="O75985" t="str">
            <v/>
          </cell>
        </row>
        <row r="75986">
          <cell r="O75986" t="str">
            <v/>
          </cell>
        </row>
        <row r="75987">
          <cell r="O75987" t="str">
            <v/>
          </cell>
        </row>
        <row r="75988">
          <cell r="O75988" t="str">
            <v/>
          </cell>
        </row>
        <row r="75989">
          <cell r="O75989" t="str">
            <v/>
          </cell>
        </row>
        <row r="75990">
          <cell r="O75990" t="str">
            <v/>
          </cell>
        </row>
        <row r="75991">
          <cell r="O75991" t="str">
            <v/>
          </cell>
        </row>
        <row r="75992">
          <cell r="O75992" t="str">
            <v/>
          </cell>
        </row>
        <row r="75993">
          <cell r="O75993" t="str">
            <v/>
          </cell>
        </row>
        <row r="75994">
          <cell r="O75994" t="str">
            <v/>
          </cell>
        </row>
        <row r="75995">
          <cell r="O75995" t="str">
            <v/>
          </cell>
        </row>
        <row r="75996">
          <cell r="O75996" t="str">
            <v/>
          </cell>
        </row>
        <row r="75997">
          <cell r="O75997" t="str">
            <v/>
          </cell>
        </row>
        <row r="75998">
          <cell r="O75998" t="str">
            <v/>
          </cell>
        </row>
        <row r="75999">
          <cell r="O75999" t="str">
            <v/>
          </cell>
        </row>
        <row r="76000">
          <cell r="O76000" t="str">
            <v/>
          </cell>
        </row>
        <row r="76001">
          <cell r="O76001" t="str">
            <v/>
          </cell>
        </row>
        <row r="76002">
          <cell r="O76002" t="str">
            <v/>
          </cell>
        </row>
        <row r="76003">
          <cell r="O76003" t="str">
            <v/>
          </cell>
        </row>
        <row r="76004">
          <cell r="O76004" t="str">
            <v/>
          </cell>
        </row>
        <row r="76005">
          <cell r="O76005" t="str">
            <v/>
          </cell>
        </row>
        <row r="76006">
          <cell r="O76006" t="str">
            <v/>
          </cell>
        </row>
        <row r="76007">
          <cell r="O76007" t="str">
            <v/>
          </cell>
        </row>
        <row r="76008">
          <cell r="O76008" t="str">
            <v/>
          </cell>
        </row>
        <row r="76009">
          <cell r="O76009" t="str">
            <v/>
          </cell>
        </row>
        <row r="76010">
          <cell r="O76010" t="str">
            <v/>
          </cell>
        </row>
        <row r="76011">
          <cell r="O76011" t="str">
            <v/>
          </cell>
        </row>
        <row r="76012">
          <cell r="O76012" t="str">
            <v/>
          </cell>
        </row>
        <row r="76013">
          <cell r="O76013" t="str">
            <v/>
          </cell>
        </row>
        <row r="76014">
          <cell r="O76014" t="str">
            <v/>
          </cell>
        </row>
        <row r="76015">
          <cell r="O76015" t="str">
            <v/>
          </cell>
        </row>
        <row r="76016">
          <cell r="O76016" t="str">
            <v/>
          </cell>
        </row>
        <row r="76017">
          <cell r="O76017" t="str">
            <v/>
          </cell>
        </row>
        <row r="76018">
          <cell r="O76018" t="str">
            <v/>
          </cell>
        </row>
        <row r="76019">
          <cell r="O76019" t="str">
            <v/>
          </cell>
        </row>
        <row r="76020">
          <cell r="O76020" t="str">
            <v/>
          </cell>
        </row>
        <row r="76021">
          <cell r="O76021" t="str">
            <v/>
          </cell>
        </row>
        <row r="76022">
          <cell r="O76022" t="str">
            <v/>
          </cell>
        </row>
        <row r="76023">
          <cell r="O76023" t="str">
            <v/>
          </cell>
        </row>
        <row r="76024">
          <cell r="O76024" t="str">
            <v/>
          </cell>
        </row>
        <row r="76025">
          <cell r="O76025" t="str">
            <v/>
          </cell>
        </row>
        <row r="76026">
          <cell r="O76026" t="str">
            <v/>
          </cell>
        </row>
        <row r="76027">
          <cell r="O76027" t="str">
            <v/>
          </cell>
        </row>
        <row r="76028">
          <cell r="O76028" t="str">
            <v/>
          </cell>
        </row>
        <row r="76029">
          <cell r="O76029" t="str">
            <v/>
          </cell>
        </row>
        <row r="76030">
          <cell r="O76030" t="str">
            <v/>
          </cell>
        </row>
        <row r="76031">
          <cell r="O76031" t="str">
            <v/>
          </cell>
        </row>
        <row r="76032">
          <cell r="O76032" t="str">
            <v/>
          </cell>
        </row>
        <row r="76033">
          <cell r="O76033" t="str">
            <v/>
          </cell>
        </row>
        <row r="76034">
          <cell r="O76034" t="str">
            <v/>
          </cell>
        </row>
        <row r="76035">
          <cell r="O76035" t="str">
            <v/>
          </cell>
        </row>
        <row r="76036">
          <cell r="O76036" t="str">
            <v/>
          </cell>
        </row>
        <row r="76037">
          <cell r="O76037" t="str">
            <v/>
          </cell>
        </row>
        <row r="76038">
          <cell r="O76038" t="str">
            <v/>
          </cell>
        </row>
        <row r="76039">
          <cell r="O76039" t="str">
            <v/>
          </cell>
        </row>
        <row r="76040">
          <cell r="O76040" t="str">
            <v/>
          </cell>
        </row>
        <row r="76041">
          <cell r="O76041" t="str">
            <v/>
          </cell>
        </row>
        <row r="76042">
          <cell r="O76042" t="str">
            <v/>
          </cell>
        </row>
        <row r="76043">
          <cell r="O76043" t="str">
            <v/>
          </cell>
        </row>
        <row r="76044">
          <cell r="O76044" t="str">
            <v/>
          </cell>
        </row>
        <row r="76045">
          <cell r="O76045" t="str">
            <v/>
          </cell>
        </row>
        <row r="76046">
          <cell r="O76046" t="str">
            <v/>
          </cell>
        </row>
        <row r="76047">
          <cell r="O76047" t="str">
            <v/>
          </cell>
        </row>
        <row r="76048">
          <cell r="O76048" t="str">
            <v/>
          </cell>
        </row>
        <row r="76049">
          <cell r="O76049" t="str">
            <v/>
          </cell>
        </row>
        <row r="76050">
          <cell r="O76050" t="str">
            <v/>
          </cell>
        </row>
        <row r="76051">
          <cell r="O76051" t="str">
            <v/>
          </cell>
        </row>
        <row r="76052">
          <cell r="O76052" t="str">
            <v/>
          </cell>
        </row>
        <row r="76053">
          <cell r="O76053" t="str">
            <v/>
          </cell>
        </row>
        <row r="76054">
          <cell r="O76054" t="str">
            <v/>
          </cell>
        </row>
        <row r="76055">
          <cell r="O76055" t="str">
            <v/>
          </cell>
        </row>
        <row r="76056">
          <cell r="O76056" t="str">
            <v/>
          </cell>
        </row>
        <row r="76057">
          <cell r="O76057" t="str">
            <v/>
          </cell>
        </row>
        <row r="76058">
          <cell r="O76058" t="str">
            <v/>
          </cell>
        </row>
        <row r="76059">
          <cell r="O76059" t="str">
            <v/>
          </cell>
        </row>
        <row r="76060">
          <cell r="O76060" t="str">
            <v/>
          </cell>
        </row>
        <row r="76061">
          <cell r="O76061" t="str">
            <v/>
          </cell>
        </row>
        <row r="76062">
          <cell r="O76062" t="str">
            <v/>
          </cell>
        </row>
        <row r="76063">
          <cell r="O76063" t="str">
            <v/>
          </cell>
        </row>
        <row r="76064">
          <cell r="O76064" t="str">
            <v/>
          </cell>
        </row>
        <row r="76065">
          <cell r="O76065" t="str">
            <v/>
          </cell>
        </row>
        <row r="76066">
          <cell r="O76066" t="str">
            <v/>
          </cell>
        </row>
        <row r="76067">
          <cell r="O76067" t="str">
            <v/>
          </cell>
        </row>
        <row r="76068">
          <cell r="O76068" t="str">
            <v/>
          </cell>
        </row>
        <row r="76069">
          <cell r="O76069" t="str">
            <v/>
          </cell>
        </row>
        <row r="76070">
          <cell r="O76070" t="str">
            <v/>
          </cell>
        </row>
        <row r="76071">
          <cell r="O76071" t="str">
            <v/>
          </cell>
        </row>
        <row r="76072">
          <cell r="O76072" t="str">
            <v/>
          </cell>
        </row>
        <row r="76073">
          <cell r="O76073" t="str">
            <v/>
          </cell>
        </row>
        <row r="76074">
          <cell r="O76074" t="str">
            <v/>
          </cell>
        </row>
        <row r="76075">
          <cell r="O76075" t="str">
            <v/>
          </cell>
        </row>
        <row r="76076">
          <cell r="O76076" t="str">
            <v/>
          </cell>
        </row>
        <row r="76077">
          <cell r="O76077" t="str">
            <v/>
          </cell>
        </row>
        <row r="76078">
          <cell r="O76078" t="str">
            <v/>
          </cell>
        </row>
        <row r="76079">
          <cell r="O76079" t="str">
            <v/>
          </cell>
        </row>
        <row r="76080">
          <cell r="O76080" t="str">
            <v/>
          </cell>
        </row>
        <row r="76081">
          <cell r="O76081" t="str">
            <v/>
          </cell>
        </row>
        <row r="76082">
          <cell r="O76082" t="str">
            <v/>
          </cell>
        </row>
        <row r="76083">
          <cell r="O76083" t="str">
            <v/>
          </cell>
        </row>
        <row r="76084">
          <cell r="O76084" t="str">
            <v/>
          </cell>
        </row>
        <row r="76085">
          <cell r="O76085" t="str">
            <v/>
          </cell>
        </row>
        <row r="76086">
          <cell r="O76086" t="str">
            <v/>
          </cell>
        </row>
        <row r="76087">
          <cell r="O76087" t="str">
            <v/>
          </cell>
        </row>
        <row r="76088">
          <cell r="O76088" t="str">
            <v/>
          </cell>
        </row>
        <row r="76089">
          <cell r="O76089" t="str">
            <v/>
          </cell>
        </row>
        <row r="76090">
          <cell r="O76090" t="str">
            <v/>
          </cell>
        </row>
        <row r="76091">
          <cell r="O76091" t="str">
            <v/>
          </cell>
        </row>
        <row r="76092">
          <cell r="O76092" t="str">
            <v/>
          </cell>
        </row>
        <row r="76093">
          <cell r="O76093" t="str">
            <v/>
          </cell>
        </row>
        <row r="76094">
          <cell r="O76094" t="str">
            <v/>
          </cell>
        </row>
        <row r="76095">
          <cell r="O76095" t="str">
            <v/>
          </cell>
        </row>
        <row r="76096">
          <cell r="O76096" t="str">
            <v/>
          </cell>
        </row>
        <row r="76097">
          <cell r="O76097" t="str">
            <v/>
          </cell>
        </row>
        <row r="76098">
          <cell r="O76098" t="str">
            <v/>
          </cell>
        </row>
        <row r="76099">
          <cell r="O76099" t="str">
            <v/>
          </cell>
        </row>
        <row r="76100">
          <cell r="O76100" t="str">
            <v/>
          </cell>
        </row>
        <row r="76101">
          <cell r="O76101" t="str">
            <v/>
          </cell>
        </row>
        <row r="76102">
          <cell r="O76102" t="str">
            <v/>
          </cell>
        </row>
        <row r="76103">
          <cell r="O76103" t="str">
            <v/>
          </cell>
        </row>
        <row r="76104">
          <cell r="O76104" t="str">
            <v/>
          </cell>
        </row>
        <row r="76105">
          <cell r="O76105" t="str">
            <v/>
          </cell>
        </row>
        <row r="76106">
          <cell r="O76106" t="str">
            <v/>
          </cell>
        </row>
        <row r="76107">
          <cell r="O76107" t="str">
            <v/>
          </cell>
        </row>
        <row r="76108">
          <cell r="O76108" t="str">
            <v/>
          </cell>
        </row>
        <row r="76109">
          <cell r="O76109" t="str">
            <v/>
          </cell>
        </row>
        <row r="76110">
          <cell r="O76110" t="str">
            <v/>
          </cell>
        </row>
        <row r="76111">
          <cell r="O76111" t="str">
            <v/>
          </cell>
        </row>
        <row r="76112">
          <cell r="O76112" t="str">
            <v/>
          </cell>
        </row>
        <row r="76113">
          <cell r="O76113" t="str">
            <v/>
          </cell>
        </row>
        <row r="76114">
          <cell r="O76114" t="str">
            <v/>
          </cell>
        </row>
        <row r="76115">
          <cell r="O76115" t="str">
            <v/>
          </cell>
        </row>
        <row r="76116">
          <cell r="O76116" t="str">
            <v/>
          </cell>
        </row>
        <row r="76117">
          <cell r="O76117" t="str">
            <v/>
          </cell>
        </row>
        <row r="76118">
          <cell r="O76118" t="str">
            <v/>
          </cell>
        </row>
        <row r="76119">
          <cell r="O76119" t="str">
            <v/>
          </cell>
        </row>
        <row r="76120">
          <cell r="O76120" t="str">
            <v/>
          </cell>
        </row>
        <row r="76121">
          <cell r="O76121" t="str">
            <v/>
          </cell>
        </row>
        <row r="76122">
          <cell r="O76122" t="str">
            <v/>
          </cell>
        </row>
        <row r="76123">
          <cell r="O76123" t="str">
            <v/>
          </cell>
        </row>
        <row r="76124">
          <cell r="O76124" t="str">
            <v/>
          </cell>
        </row>
        <row r="76125">
          <cell r="O76125" t="str">
            <v/>
          </cell>
        </row>
        <row r="76126">
          <cell r="O76126" t="str">
            <v/>
          </cell>
        </row>
        <row r="76127">
          <cell r="O76127" t="str">
            <v/>
          </cell>
        </row>
        <row r="76128">
          <cell r="O76128" t="str">
            <v/>
          </cell>
        </row>
        <row r="76129">
          <cell r="O76129" t="str">
            <v/>
          </cell>
        </row>
        <row r="76130">
          <cell r="O76130" t="str">
            <v/>
          </cell>
        </row>
        <row r="76131">
          <cell r="O76131" t="str">
            <v/>
          </cell>
        </row>
        <row r="76132">
          <cell r="O76132" t="str">
            <v/>
          </cell>
        </row>
        <row r="76133">
          <cell r="O76133" t="str">
            <v/>
          </cell>
        </row>
        <row r="76134">
          <cell r="O76134" t="str">
            <v/>
          </cell>
        </row>
        <row r="76135">
          <cell r="O76135" t="str">
            <v/>
          </cell>
        </row>
        <row r="76136">
          <cell r="O76136" t="str">
            <v/>
          </cell>
        </row>
        <row r="76137">
          <cell r="O76137" t="str">
            <v/>
          </cell>
        </row>
        <row r="76138">
          <cell r="O76138" t="str">
            <v/>
          </cell>
        </row>
        <row r="76139">
          <cell r="O76139" t="str">
            <v/>
          </cell>
        </row>
        <row r="76140">
          <cell r="O76140" t="str">
            <v/>
          </cell>
        </row>
        <row r="76141">
          <cell r="O76141" t="str">
            <v/>
          </cell>
        </row>
        <row r="76142">
          <cell r="O76142" t="str">
            <v/>
          </cell>
        </row>
        <row r="76143">
          <cell r="O76143" t="str">
            <v/>
          </cell>
        </row>
        <row r="76144">
          <cell r="O76144" t="str">
            <v/>
          </cell>
        </row>
        <row r="76145">
          <cell r="O76145" t="str">
            <v/>
          </cell>
        </row>
        <row r="76146">
          <cell r="O76146" t="str">
            <v/>
          </cell>
        </row>
        <row r="76147">
          <cell r="O76147" t="str">
            <v/>
          </cell>
        </row>
        <row r="76148">
          <cell r="O76148" t="str">
            <v/>
          </cell>
        </row>
        <row r="76149">
          <cell r="O76149" t="str">
            <v/>
          </cell>
        </row>
        <row r="76150">
          <cell r="O76150" t="str">
            <v/>
          </cell>
        </row>
        <row r="76151">
          <cell r="O76151" t="str">
            <v/>
          </cell>
        </row>
        <row r="76152">
          <cell r="O76152" t="str">
            <v/>
          </cell>
        </row>
        <row r="76153">
          <cell r="O76153" t="str">
            <v/>
          </cell>
        </row>
        <row r="76154">
          <cell r="O76154" t="str">
            <v/>
          </cell>
        </row>
        <row r="76155">
          <cell r="O76155" t="str">
            <v/>
          </cell>
        </row>
        <row r="76156">
          <cell r="O76156" t="str">
            <v/>
          </cell>
        </row>
        <row r="76157">
          <cell r="O76157" t="str">
            <v/>
          </cell>
        </row>
        <row r="76158">
          <cell r="O76158" t="str">
            <v/>
          </cell>
        </row>
        <row r="76159">
          <cell r="O76159" t="str">
            <v/>
          </cell>
        </row>
        <row r="76160">
          <cell r="O76160" t="str">
            <v/>
          </cell>
        </row>
        <row r="76161">
          <cell r="O76161" t="str">
            <v/>
          </cell>
        </row>
        <row r="76162">
          <cell r="O76162" t="str">
            <v/>
          </cell>
        </row>
        <row r="76163">
          <cell r="O76163" t="str">
            <v/>
          </cell>
        </row>
        <row r="76164">
          <cell r="O76164" t="str">
            <v/>
          </cell>
        </row>
        <row r="76165">
          <cell r="O76165" t="str">
            <v/>
          </cell>
        </row>
        <row r="76166">
          <cell r="O76166" t="str">
            <v/>
          </cell>
        </row>
        <row r="76167">
          <cell r="O76167" t="str">
            <v/>
          </cell>
        </row>
        <row r="76168">
          <cell r="O76168" t="str">
            <v/>
          </cell>
        </row>
        <row r="76169">
          <cell r="O76169" t="str">
            <v/>
          </cell>
        </row>
        <row r="76170">
          <cell r="O76170" t="str">
            <v/>
          </cell>
        </row>
        <row r="76171">
          <cell r="O76171" t="str">
            <v/>
          </cell>
        </row>
        <row r="76172">
          <cell r="O76172" t="str">
            <v/>
          </cell>
        </row>
        <row r="76173">
          <cell r="O76173" t="str">
            <v/>
          </cell>
        </row>
        <row r="76174">
          <cell r="O76174" t="str">
            <v/>
          </cell>
        </row>
        <row r="76175">
          <cell r="O76175" t="str">
            <v/>
          </cell>
        </row>
        <row r="76176">
          <cell r="O76176" t="str">
            <v/>
          </cell>
        </row>
        <row r="76177">
          <cell r="O76177" t="str">
            <v/>
          </cell>
        </row>
        <row r="76178">
          <cell r="O76178" t="str">
            <v/>
          </cell>
        </row>
        <row r="76179">
          <cell r="O76179" t="str">
            <v/>
          </cell>
        </row>
        <row r="76180">
          <cell r="O76180" t="str">
            <v/>
          </cell>
        </row>
        <row r="76181">
          <cell r="O76181" t="str">
            <v/>
          </cell>
        </row>
        <row r="76182">
          <cell r="O76182" t="str">
            <v/>
          </cell>
        </row>
        <row r="76183">
          <cell r="O76183" t="str">
            <v/>
          </cell>
        </row>
        <row r="76184">
          <cell r="O76184" t="str">
            <v/>
          </cell>
        </row>
        <row r="76185">
          <cell r="O76185" t="str">
            <v/>
          </cell>
        </row>
        <row r="76186">
          <cell r="O76186" t="str">
            <v/>
          </cell>
        </row>
        <row r="76187">
          <cell r="O76187" t="str">
            <v/>
          </cell>
        </row>
        <row r="76188">
          <cell r="O76188" t="str">
            <v/>
          </cell>
        </row>
        <row r="76189">
          <cell r="O76189" t="str">
            <v/>
          </cell>
        </row>
        <row r="76190">
          <cell r="O76190" t="str">
            <v/>
          </cell>
        </row>
        <row r="76191">
          <cell r="O76191" t="str">
            <v/>
          </cell>
        </row>
        <row r="76192">
          <cell r="O76192" t="str">
            <v/>
          </cell>
        </row>
        <row r="76193">
          <cell r="O76193" t="str">
            <v/>
          </cell>
        </row>
        <row r="76194">
          <cell r="O76194" t="str">
            <v/>
          </cell>
        </row>
        <row r="76195">
          <cell r="O76195" t="str">
            <v/>
          </cell>
        </row>
        <row r="76196">
          <cell r="O76196" t="str">
            <v/>
          </cell>
        </row>
        <row r="76197">
          <cell r="O76197" t="str">
            <v/>
          </cell>
        </row>
        <row r="76198">
          <cell r="O76198" t="str">
            <v/>
          </cell>
        </row>
        <row r="76199">
          <cell r="O76199" t="str">
            <v/>
          </cell>
        </row>
        <row r="76200">
          <cell r="O76200" t="str">
            <v/>
          </cell>
        </row>
        <row r="76201">
          <cell r="O76201" t="str">
            <v/>
          </cell>
        </row>
        <row r="76202">
          <cell r="O76202" t="str">
            <v/>
          </cell>
        </row>
        <row r="76203">
          <cell r="O76203" t="str">
            <v/>
          </cell>
        </row>
        <row r="76204">
          <cell r="O76204" t="str">
            <v/>
          </cell>
        </row>
        <row r="76205">
          <cell r="O76205" t="str">
            <v/>
          </cell>
        </row>
        <row r="76206">
          <cell r="O76206" t="str">
            <v/>
          </cell>
        </row>
        <row r="76207">
          <cell r="O76207" t="str">
            <v/>
          </cell>
        </row>
        <row r="76208">
          <cell r="O76208" t="str">
            <v/>
          </cell>
        </row>
        <row r="76209">
          <cell r="O76209" t="str">
            <v/>
          </cell>
        </row>
        <row r="76210">
          <cell r="O76210" t="str">
            <v/>
          </cell>
        </row>
        <row r="76211">
          <cell r="O76211" t="str">
            <v/>
          </cell>
        </row>
        <row r="76212">
          <cell r="O76212" t="str">
            <v/>
          </cell>
        </row>
        <row r="76213">
          <cell r="O76213" t="str">
            <v/>
          </cell>
        </row>
        <row r="76214">
          <cell r="O76214" t="str">
            <v/>
          </cell>
        </row>
        <row r="76215">
          <cell r="O76215" t="str">
            <v/>
          </cell>
        </row>
        <row r="76216">
          <cell r="O76216" t="str">
            <v/>
          </cell>
        </row>
        <row r="76217">
          <cell r="O76217" t="str">
            <v/>
          </cell>
        </row>
        <row r="76218">
          <cell r="O76218" t="str">
            <v/>
          </cell>
        </row>
        <row r="76219">
          <cell r="O76219" t="str">
            <v/>
          </cell>
        </row>
        <row r="76220">
          <cell r="O76220" t="str">
            <v/>
          </cell>
        </row>
        <row r="76221">
          <cell r="O76221" t="str">
            <v/>
          </cell>
        </row>
        <row r="76222">
          <cell r="O76222" t="str">
            <v/>
          </cell>
        </row>
        <row r="76223">
          <cell r="O76223" t="str">
            <v/>
          </cell>
        </row>
        <row r="76224">
          <cell r="O76224" t="str">
            <v/>
          </cell>
        </row>
        <row r="76225">
          <cell r="O76225" t="str">
            <v/>
          </cell>
        </row>
        <row r="76226">
          <cell r="O76226" t="str">
            <v/>
          </cell>
        </row>
        <row r="76227">
          <cell r="O76227" t="str">
            <v/>
          </cell>
        </row>
        <row r="76228">
          <cell r="O76228" t="str">
            <v/>
          </cell>
        </row>
        <row r="76229">
          <cell r="O76229" t="str">
            <v/>
          </cell>
        </row>
        <row r="76230">
          <cell r="O76230" t="str">
            <v/>
          </cell>
        </row>
        <row r="76231">
          <cell r="O76231" t="str">
            <v/>
          </cell>
        </row>
        <row r="76232">
          <cell r="O76232" t="str">
            <v/>
          </cell>
        </row>
        <row r="76233">
          <cell r="O76233" t="str">
            <v/>
          </cell>
        </row>
        <row r="76234">
          <cell r="O76234" t="str">
            <v/>
          </cell>
        </row>
        <row r="76235">
          <cell r="O76235" t="str">
            <v/>
          </cell>
        </row>
        <row r="76236">
          <cell r="O76236" t="str">
            <v/>
          </cell>
        </row>
        <row r="76237">
          <cell r="O76237" t="str">
            <v/>
          </cell>
        </row>
        <row r="76238">
          <cell r="O76238" t="str">
            <v/>
          </cell>
        </row>
        <row r="76239">
          <cell r="O76239" t="str">
            <v/>
          </cell>
        </row>
        <row r="76240">
          <cell r="O76240" t="str">
            <v/>
          </cell>
        </row>
        <row r="76241">
          <cell r="O76241" t="str">
            <v/>
          </cell>
        </row>
        <row r="76242">
          <cell r="O76242" t="str">
            <v/>
          </cell>
        </row>
        <row r="76243">
          <cell r="O76243" t="str">
            <v/>
          </cell>
        </row>
        <row r="76244">
          <cell r="O76244" t="str">
            <v/>
          </cell>
        </row>
        <row r="76245">
          <cell r="O76245" t="str">
            <v/>
          </cell>
        </row>
        <row r="76246">
          <cell r="O76246" t="str">
            <v/>
          </cell>
        </row>
        <row r="76247">
          <cell r="O76247" t="str">
            <v/>
          </cell>
        </row>
        <row r="76248">
          <cell r="O76248" t="str">
            <v/>
          </cell>
        </row>
        <row r="76249">
          <cell r="O76249" t="str">
            <v/>
          </cell>
        </row>
        <row r="76250">
          <cell r="O76250" t="str">
            <v/>
          </cell>
        </row>
        <row r="76251">
          <cell r="O76251" t="str">
            <v/>
          </cell>
        </row>
        <row r="76252">
          <cell r="O76252" t="str">
            <v/>
          </cell>
        </row>
        <row r="76253">
          <cell r="O76253" t="str">
            <v/>
          </cell>
        </row>
        <row r="76254">
          <cell r="O76254" t="str">
            <v/>
          </cell>
        </row>
        <row r="76255">
          <cell r="O76255" t="str">
            <v/>
          </cell>
        </row>
        <row r="76256">
          <cell r="O76256" t="str">
            <v/>
          </cell>
        </row>
        <row r="76257">
          <cell r="O76257" t="str">
            <v/>
          </cell>
        </row>
        <row r="76258">
          <cell r="O76258" t="str">
            <v/>
          </cell>
        </row>
        <row r="76259">
          <cell r="O76259" t="str">
            <v/>
          </cell>
        </row>
        <row r="76260">
          <cell r="O76260" t="str">
            <v/>
          </cell>
        </row>
        <row r="76261">
          <cell r="O76261" t="str">
            <v/>
          </cell>
        </row>
        <row r="76262">
          <cell r="O76262" t="str">
            <v/>
          </cell>
        </row>
        <row r="76263">
          <cell r="O76263" t="str">
            <v/>
          </cell>
        </row>
        <row r="76264">
          <cell r="O76264" t="str">
            <v/>
          </cell>
        </row>
        <row r="76265">
          <cell r="O76265" t="str">
            <v/>
          </cell>
        </row>
        <row r="76266">
          <cell r="O76266" t="str">
            <v/>
          </cell>
        </row>
        <row r="76267">
          <cell r="O76267" t="str">
            <v/>
          </cell>
        </row>
        <row r="76268">
          <cell r="O76268" t="str">
            <v/>
          </cell>
        </row>
        <row r="76269">
          <cell r="O76269" t="str">
            <v/>
          </cell>
        </row>
        <row r="76270">
          <cell r="O76270" t="str">
            <v/>
          </cell>
        </row>
        <row r="76271">
          <cell r="O76271" t="str">
            <v/>
          </cell>
        </row>
        <row r="76272">
          <cell r="O76272" t="str">
            <v/>
          </cell>
        </row>
        <row r="76273">
          <cell r="O76273" t="str">
            <v/>
          </cell>
        </row>
        <row r="76274">
          <cell r="O76274" t="str">
            <v/>
          </cell>
        </row>
        <row r="76275">
          <cell r="O76275" t="str">
            <v/>
          </cell>
        </row>
        <row r="76276">
          <cell r="O76276" t="str">
            <v/>
          </cell>
        </row>
        <row r="76277">
          <cell r="O76277" t="str">
            <v/>
          </cell>
        </row>
        <row r="76278">
          <cell r="O76278" t="str">
            <v/>
          </cell>
        </row>
        <row r="76279">
          <cell r="O76279" t="str">
            <v/>
          </cell>
        </row>
        <row r="76280">
          <cell r="O76280" t="str">
            <v/>
          </cell>
        </row>
        <row r="76281">
          <cell r="O76281" t="str">
            <v/>
          </cell>
        </row>
        <row r="76282">
          <cell r="O76282" t="str">
            <v/>
          </cell>
        </row>
        <row r="76283">
          <cell r="O76283" t="str">
            <v/>
          </cell>
        </row>
        <row r="76284">
          <cell r="O76284" t="str">
            <v/>
          </cell>
        </row>
        <row r="76285">
          <cell r="O76285" t="str">
            <v/>
          </cell>
        </row>
        <row r="76286">
          <cell r="O76286" t="str">
            <v/>
          </cell>
        </row>
        <row r="76287">
          <cell r="O76287" t="str">
            <v/>
          </cell>
        </row>
        <row r="76288">
          <cell r="O76288" t="str">
            <v/>
          </cell>
        </row>
        <row r="76289">
          <cell r="O76289" t="str">
            <v/>
          </cell>
        </row>
        <row r="76290">
          <cell r="O76290" t="str">
            <v/>
          </cell>
        </row>
        <row r="76291">
          <cell r="O76291" t="str">
            <v/>
          </cell>
        </row>
        <row r="76292">
          <cell r="O76292" t="str">
            <v/>
          </cell>
        </row>
        <row r="76293">
          <cell r="O76293" t="str">
            <v/>
          </cell>
        </row>
        <row r="76294">
          <cell r="O76294" t="str">
            <v/>
          </cell>
        </row>
        <row r="76295">
          <cell r="O76295" t="str">
            <v/>
          </cell>
        </row>
        <row r="76296">
          <cell r="O76296" t="str">
            <v/>
          </cell>
        </row>
        <row r="76297">
          <cell r="O76297" t="str">
            <v/>
          </cell>
        </row>
        <row r="76298">
          <cell r="O76298" t="str">
            <v/>
          </cell>
        </row>
        <row r="76299">
          <cell r="O76299" t="str">
            <v/>
          </cell>
        </row>
        <row r="76300">
          <cell r="O76300" t="str">
            <v/>
          </cell>
        </row>
        <row r="76301">
          <cell r="O76301" t="str">
            <v/>
          </cell>
        </row>
        <row r="76302">
          <cell r="O76302" t="str">
            <v/>
          </cell>
        </row>
        <row r="76303">
          <cell r="O76303" t="str">
            <v/>
          </cell>
        </row>
        <row r="76304">
          <cell r="O76304" t="str">
            <v/>
          </cell>
        </row>
        <row r="76305">
          <cell r="O76305" t="str">
            <v/>
          </cell>
        </row>
        <row r="76306">
          <cell r="O76306" t="str">
            <v/>
          </cell>
        </row>
        <row r="76307">
          <cell r="O76307" t="str">
            <v/>
          </cell>
        </row>
        <row r="76308">
          <cell r="O76308" t="str">
            <v/>
          </cell>
        </row>
        <row r="76309">
          <cell r="O76309" t="str">
            <v/>
          </cell>
        </row>
        <row r="76310">
          <cell r="O76310" t="str">
            <v/>
          </cell>
        </row>
        <row r="76311">
          <cell r="O76311" t="str">
            <v/>
          </cell>
        </row>
        <row r="76312">
          <cell r="O76312" t="str">
            <v/>
          </cell>
        </row>
        <row r="76313">
          <cell r="O76313" t="str">
            <v/>
          </cell>
        </row>
        <row r="76314">
          <cell r="O76314" t="str">
            <v/>
          </cell>
        </row>
        <row r="76315">
          <cell r="O76315" t="str">
            <v/>
          </cell>
        </row>
        <row r="76316">
          <cell r="O76316" t="str">
            <v/>
          </cell>
        </row>
        <row r="76317">
          <cell r="O76317" t="str">
            <v/>
          </cell>
        </row>
        <row r="76318">
          <cell r="O76318" t="str">
            <v/>
          </cell>
        </row>
        <row r="76319">
          <cell r="O76319" t="str">
            <v/>
          </cell>
        </row>
        <row r="76320">
          <cell r="O76320" t="str">
            <v/>
          </cell>
        </row>
        <row r="76321">
          <cell r="O76321" t="str">
            <v/>
          </cell>
        </row>
        <row r="76322">
          <cell r="O76322" t="str">
            <v/>
          </cell>
        </row>
        <row r="76323">
          <cell r="O76323" t="str">
            <v/>
          </cell>
        </row>
        <row r="76324">
          <cell r="O76324" t="str">
            <v/>
          </cell>
        </row>
        <row r="76325">
          <cell r="O76325" t="str">
            <v/>
          </cell>
        </row>
        <row r="76326">
          <cell r="O76326" t="str">
            <v/>
          </cell>
        </row>
        <row r="76327">
          <cell r="O76327" t="str">
            <v/>
          </cell>
        </row>
        <row r="76328">
          <cell r="O76328" t="str">
            <v/>
          </cell>
        </row>
        <row r="76329">
          <cell r="O76329" t="str">
            <v/>
          </cell>
        </row>
        <row r="76330">
          <cell r="O76330" t="str">
            <v/>
          </cell>
        </row>
        <row r="76331">
          <cell r="O76331" t="str">
            <v/>
          </cell>
        </row>
        <row r="76332">
          <cell r="O76332" t="str">
            <v/>
          </cell>
        </row>
        <row r="76333">
          <cell r="O76333" t="str">
            <v/>
          </cell>
        </row>
        <row r="76334">
          <cell r="O76334" t="str">
            <v/>
          </cell>
        </row>
        <row r="76335">
          <cell r="O76335" t="str">
            <v/>
          </cell>
        </row>
        <row r="76336">
          <cell r="O76336" t="str">
            <v/>
          </cell>
        </row>
        <row r="76337">
          <cell r="O76337" t="str">
            <v/>
          </cell>
        </row>
        <row r="76338">
          <cell r="O76338" t="str">
            <v/>
          </cell>
        </row>
        <row r="76339">
          <cell r="O76339" t="str">
            <v/>
          </cell>
        </row>
        <row r="76340">
          <cell r="O76340" t="str">
            <v/>
          </cell>
        </row>
        <row r="76341">
          <cell r="O76341" t="str">
            <v/>
          </cell>
        </row>
        <row r="76342">
          <cell r="O76342" t="str">
            <v/>
          </cell>
        </row>
        <row r="76343">
          <cell r="O76343" t="str">
            <v/>
          </cell>
        </row>
        <row r="76344">
          <cell r="O76344" t="str">
            <v/>
          </cell>
        </row>
        <row r="76345">
          <cell r="O76345" t="str">
            <v/>
          </cell>
        </row>
        <row r="76346">
          <cell r="O76346" t="str">
            <v/>
          </cell>
        </row>
        <row r="76347">
          <cell r="O76347" t="str">
            <v/>
          </cell>
        </row>
        <row r="76348">
          <cell r="O76348" t="str">
            <v/>
          </cell>
        </row>
        <row r="76349">
          <cell r="O76349" t="str">
            <v/>
          </cell>
        </row>
        <row r="76350">
          <cell r="O76350" t="str">
            <v/>
          </cell>
        </row>
        <row r="76351">
          <cell r="O76351" t="str">
            <v/>
          </cell>
        </row>
        <row r="76352">
          <cell r="O76352" t="str">
            <v/>
          </cell>
        </row>
        <row r="76353">
          <cell r="O76353" t="str">
            <v/>
          </cell>
        </row>
        <row r="76354">
          <cell r="O76354" t="str">
            <v/>
          </cell>
        </row>
        <row r="76355">
          <cell r="O76355" t="str">
            <v/>
          </cell>
        </row>
        <row r="76356">
          <cell r="O76356" t="str">
            <v/>
          </cell>
        </row>
        <row r="76357">
          <cell r="O76357" t="str">
            <v/>
          </cell>
        </row>
        <row r="76358">
          <cell r="O76358" t="str">
            <v/>
          </cell>
        </row>
        <row r="76359">
          <cell r="O76359" t="str">
            <v/>
          </cell>
        </row>
        <row r="76360">
          <cell r="O76360" t="str">
            <v/>
          </cell>
        </row>
        <row r="76361">
          <cell r="O76361" t="str">
            <v/>
          </cell>
        </row>
        <row r="76362">
          <cell r="O76362" t="str">
            <v/>
          </cell>
        </row>
        <row r="76363">
          <cell r="O76363" t="str">
            <v/>
          </cell>
        </row>
        <row r="76364">
          <cell r="O76364" t="str">
            <v/>
          </cell>
        </row>
        <row r="76365">
          <cell r="O76365" t="str">
            <v/>
          </cell>
        </row>
        <row r="76366">
          <cell r="O76366" t="str">
            <v/>
          </cell>
        </row>
        <row r="76367">
          <cell r="O76367" t="str">
            <v/>
          </cell>
        </row>
        <row r="76368">
          <cell r="O76368" t="str">
            <v/>
          </cell>
        </row>
        <row r="76369">
          <cell r="O76369" t="str">
            <v/>
          </cell>
        </row>
        <row r="76370">
          <cell r="O76370" t="str">
            <v/>
          </cell>
        </row>
        <row r="76371">
          <cell r="O76371" t="str">
            <v/>
          </cell>
        </row>
        <row r="76372">
          <cell r="O76372" t="str">
            <v/>
          </cell>
        </row>
        <row r="76373">
          <cell r="O76373" t="str">
            <v/>
          </cell>
        </row>
        <row r="76374">
          <cell r="O76374" t="str">
            <v/>
          </cell>
        </row>
        <row r="76375">
          <cell r="O76375" t="str">
            <v/>
          </cell>
        </row>
        <row r="76376">
          <cell r="O76376" t="str">
            <v/>
          </cell>
        </row>
        <row r="76377">
          <cell r="O76377" t="str">
            <v/>
          </cell>
        </row>
        <row r="76378">
          <cell r="O76378" t="str">
            <v/>
          </cell>
        </row>
        <row r="76379">
          <cell r="O76379" t="str">
            <v/>
          </cell>
        </row>
        <row r="76380">
          <cell r="O76380" t="str">
            <v/>
          </cell>
        </row>
        <row r="76381">
          <cell r="O76381" t="str">
            <v/>
          </cell>
        </row>
        <row r="76382">
          <cell r="O76382" t="str">
            <v/>
          </cell>
        </row>
        <row r="76383">
          <cell r="O76383" t="str">
            <v/>
          </cell>
        </row>
        <row r="76384">
          <cell r="O76384" t="str">
            <v/>
          </cell>
        </row>
        <row r="76385">
          <cell r="O76385" t="str">
            <v/>
          </cell>
        </row>
        <row r="76386">
          <cell r="O76386" t="str">
            <v/>
          </cell>
        </row>
        <row r="76387">
          <cell r="O76387" t="str">
            <v/>
          </cell>
        </row>
        <row r="76388">
          <cell r="O76388" t="str">
            <v/>
          </cell>
        </row>
        <row r="76389">
          <cell r="O76389" t="str">
            <v/>
          </cell>
        </row>
        <row r="76390">
          <cell r="O76390" t="str">
            <v/>
          </cell>
        </row>
        <row r="76391">
          <cell r="O76391" t="str">
            <v/>
          </cell>
        </row>
        <row r="76392">
          <cell r="O76392" t="str">
            <v/>
          </cell>
        </row>
        <row r="76393">
          <cell r="O76393" t="str">
            <v/>
          </cell>
        </row>
        <row r="76394">
          <cell r="O76394" t="str">
            <v/>
          </cell>
        </row>
        <row r="76395">
          <cell r="O76395" t="str">
            <v/>
          </cell>
        </row>
        <row r="76396">
          <cell r="O76396" t="str">
            <v/>
          </cell>
        </row>
        <row r="76397">
          <cell r="O76397" t="str">
            <v/>
          </cell>
        </row>
        <row r="76398">
          <cell r="O76398" t="str">
            <v/>
          </cell>
        </row>
        <row r="76399">
          <cell r="O76399" t="str">
            <v/>
          </cell>
        </row>
        <row r="76400">
          <cell r="O76400" t="str">
            <v/>
          </cell>
        </row>
        <row r="76401">
          <cell r="O76401" t="str">
            <v/>
          </cell>
        </row>
        <row r="76402">
          <cell r="O76402" t="str">
            <v/>
          </cell>
        </row>
        <row r="76403">
          <cell r="O76403" t="str">
            <v/>
          </cell>
        </row>
        <row r="76404">
          <cell r="O76404" t="str">
            <v/>
          </cell>
        </row>
        <row r="76405">
          <cell r="O76405" t="str">
            <v/>
          </cell>
        </row>
        <row r="76406">
          <cell r="O76406" t="str">
            <v/>
          </cell>
        </row>
        <row r="76407">
          <cell r="O76407" t="str">
            <v/>
          </cell>
        </row>
        <row r="76408">
          <cell r="O76408" t="str">
            <v/>
          </cell>
        </row>
        <row r="76409">
          <cell r="O76409" t="str">
            <v/>
          </cell>
        </row>
        <row r="76410">
          <cell r="O76410" t="str">
            <v/>
          </cell>
        </row>
        <row r="76411">
          <cell r="O76411" t="str">
            <v/>
          </cell>
        </row>
        <row r="76412">
          <cell r="O76412" t="str">
            <v/>
          </cell>
        </row>
        <row r="76413">
          <cell r="O76413" t="str">
            <v/>
          </cell>
        </row>
        <row r="76414">
          <cell r="O76414" t="str">
            <v/>
          </cell>
        </row>
        <row r="76415">
          <cell r="O76415" t="str">
            <v/>
          </cell>
        </row>
        <row r="76416">
          <cell r="O76416" t="str">
            <v/>
          </cell>
        </row>
        <row r="76417">
          <cell r="O76417" t="str">
            <v/>
          </cell>
        </row>
        <row r="76418">
          <cell r="O76418" t="str">
            <v/>
          </cell>
        </row>
        <row r="76419">
          <cell r="O76419" t="str">
            <v/>
          </cell>
        </row>
        <row r="76420">
          <cell r="O76420" t="str">
            <v/>
          </cell>
        </row>
        <row r="76421">
          <cell r="O76421" t="str">
            <v/>
          </cell>
        </row>
        <row r="76422">
          <cell r="O76422" t="str">
            <v/>
          </cell>
        </row>
        <row r="76423">
          <cell r="O76423" t="str">
            <v/>
          </cell>
        </row>
        <row r="76424">
          <cell r="O76424" t="str">
            <v/>
          </cell>
        </row>
        <row r="76425">
          <cell r="O76425" t="str">
            <v/>
          </cell>
        </row>
        <row r="76426">
          <cell r="O76426" t="str">
            <v/>
          </cell>
        </row>
        <row r="76427">
          <cell r="O76427" t="str">
            <v/>
          </cell>
        </row>
        <row r="76428">
          <cell r="O76428" t="str">
            <v/>
          </cell>
        </row>
        <row r="76429">
          <cell r="O76429" t="str">
            <v/>
          </cell>
        </row>
        <row r="76430">
          <cell r="O76430" t="str">
            <v/>
          </cell>
        </row>
        <row r="76431">
          <cell r="O76431" t="str">
            <v/>
          </cell>
        </row>
        <row r="76432">
          <cell r="O76432" t="str">
            <v/>
          </cell>
        </row>
        <row r="76433">
          <cell r="O76433" t="str">
            <v/>
          </cell>
        </row>
        <row r="76434">
          <cell r="O76434" t="str">
            <v/>
          </cell>
        </row>
        <row r="76435">
          <cell r="O76435" t="str">
            <v/>
          </cell>
        </row>
        <row r="76436">
          <cell r="O76436" t="str">
            <v/>
          </cell>
        </row>
        <row r="76437">
          <cell r="O76437" t="str">
            <v/>
          </cell>
        </row>
        <row r="76438">
          <cell r="O76438" t="str">
            <v/>
          </cell>
        </row>
        <row r="76439">
          <cell r="O76439" t="str">
            <v/>
          </cell>
        </row>
        <row r="76440">
          <cell r="O76440" t="str">
            <v/>
          </cell>
        </row>
        <row r="76441">
          <cell r="O76441" t="str">
            <v/>
          </cell>
        </row>
        <row r="76442">
          <cell r="O76442" t="str">
            <v/>
          </cell>
        </row>
        <row r="76443">
          <cell r="O76443" t="str">
            <v/>
          </cell>
        </row>
        <row r="76444">
          <cell r="O76444" t="str">
            <v/>
          </cell>
        </row>
        <row r="76445">
          <cell r="O76445" t="str">
            <v/>
          </cell>
        </row>
        <row r="76446">
          <cell r="O76446" t="str">
            <v/>
          </cell>
        </row>
        <row r="76447">
          <cell r="O76447" t="str">
            <v/>
          </cell>
        </row>
        <row r="76448">
          <cell r="O76448" t="str">
            <v/>
          </cell>
        </row>
        <row r="76449">
          <cell r="O76449" t="str">
            <v/>
          </cell>
        </row>
        <row r="76450">
          <cell r="O76450" t="str">
            <v/>
          </cell>
        </row>
        <row r="76451">
          <cell r="O76451" t="str">
            <v/>
          </cell>
        </row>
        <row r="76452">
          <cell r="O76452" t="str">
            <v/>
          </cell>
        </row>
        <row r="76453">
          <cell r="O76453" t="str">
            <v/>
          </cell>
        </row>
        <row r="76454">
          <cell r="O76454" t="str">
            <v/>
          </cell>
        </row>
        <row r="76455">
          <cell r="O76455" t="str">
            <v/>
          </cell>
        </row>
        <row r="76456">
          <cell r="O76456" t="str">
            <v/>
          </cell>
        </row>
        <row r="76457">
          <cell r="O76457" t="str">
            <v/>
          </cell>
        </row>
        <row r="76458">
          <cell r="O76458" t="str">
            <v/>
          </cell>
        </row>
        <row r="76459">
          <cell r="O76459" t="str">
            <v/>
          </cell>
        </row>
        <row r="76460">
          <cell r="O76460" t="str">
            <v/>
          </cell>
        </row>
        <row r="76461">
          <cell r="O76461" t="str">
            <v/>
          </cell>
        </row>
        <row r="76462">
          <cell r="O76462" t="str">
            <v/>
          </cell>
        </row>
        <row r="76463">
          <cell r="O76463" t="str">
            <v/>
          </cell>
        </row>
        <row r="76464">
          <cell r="O76464" t="str">
            <v/>
          </cell>
        </row>
        <row r="76465">
          <cell r="O76465" t="str">
            <v/>
          </cell>
        </row>
        <row r="76466">
          <cell r="O76466" t="str">
            <v/>
          </cell>
        </row>
        <row r="76467">
          <cell r="O76467" t="str">
            <v/>
          </cell>
        </row>
        <row r="76468">
          <cell r="O76468" t="str">
            <v/>
          </cell>
        </row>
        <row r="76469">
          <cell r="O76469" t="str">
            <v/>
          </cell>
        </row>
        <row r="76470">
          <cell r="O76470" t="str">
            <v/>
          </cell>
        </row>
        <row r="76471">
          <cell r="O76471" t="str">
            <v/>
          </cell>
        </row>
        <row r="76472">
          <cell r="O76472" t="str">
            <v/>
          </cell>
        </row>
        <row r="76473">
          <cell r="O76473" t="str">
            <v/>
          </cell>
        </row>
        <row r="76474">
          <cell r="O76474" t="str">
            <v/>
          </cell>
        </row>
        <row r="76475">
          <cell r="O76475" t="str">
            <v/>
          </cell>
        </row>
        <row r="76476">
          <cell r="O76476" t="str">
            <v/>
          </cell>
        </row>
        <row r="76477">
          <cell r="O76477" t="str">
            <v/>
          </cell>
        </row>
        <row r="76478">
          <cell r="O76478" t="str">
            <v/>
          </cell>
        </row>
        <row r="76479">
          <cell r="O76479" t="str">
            <v/>
          </cell>
        </row>
        <row r="76480">
          <cell r="O76480" t="str">
            <v/>
          </cell>
        </row>
        <row r="76481">
          <cell r="O76481" t="str">
            <v/>
          </cell>
        </row>
        <row r="76482">
          <cell r="O76482" t="str">
            <v/>
          </cell>
        </row>
        <row r="76483">
          <cell r="O76483" t="str">
            <v/>
          </cell>
        </row>
        <row r="76484">
          <cell r="O76484" t="str">
            <v/>
          </cell>
        </row>
        <row r="76485">
          <cell r="O76485" t="str">
            <v/>
          </cell>
        </row>
        <row r="76486">
          <cell r="O76486" t="str">
            <v/>
          </cell>
        </row>
        <row r="76487">
          <cell r="O76487" t="str">
            <v/>
          </cell>
        </row>
        <row r="76488">
          <cell r="O76488" t="str">
            <v/>
          </cell>
        </row>
        <row r="76489">
          <cell r="O76489" t="str">
            <v/>
          </cell>
        </row>
        <row r="76490">
          <cell r="O76490" t="str">
            <v/>
          </cell>
        </row>
        <row r="76491">
          <cell r="O76491" t="str">
            <v/>
          </cell>
        </row>
        <row r="76492">
          <cell r="O76492" t="str">
            <v/>
          </cell>
        </row>
        <row r="76493">
          <cell r="O76493" t="str">
            <v/>
          </cell>
        </row>
        <row r="76494">
          <cell r="O76494" t="str">
            <v/>
          </cell>
        </row>
        <row r="76495">
          <cell r="O76495" t="str">
            <v/>
          </cell>
        </row>
        <row r="76496">
          <cell r="O76496" t="str">
            <v/>
          </cell>
        </row>
        <row r="76497">
          <cell r="O76497" t="str">
            <v/>
          </cell>
        </row>
        <row r="76498">
          <cell r="O76498" t="str">
            <v/>
          </cell>
        </row>
        <row r="76499">
          <cell r="O76499" t="str">
            <v/>
          </cell>
        </row>
        <row r="76500">
          <cell r="O76500" t="str">
            <v/>
          </cell>
        </row>
        <row r="76501">
          <cell r="O76501" t="str">
            <v/>
          </cell>
        </row>
        <row r="76502">
          <cell r="O76502" t="str">
            <v/>
          </cell>
        </row>
        <row r="76503">
          <cell r="O76503" t="str">
            <v/>
          </cell>
        </row>
        <row r="76504">
          <cell r="O76504" t="str">
            <v/>
          </cell>
        </row>
        <row r="76505">
          <cell r="O76505" t="str">
            <v/>
          </cell>
        </row>
        <row r="76506">
          <cell r="O76506" t="str">
            <v/>
          </cell>
        </row>
        <row r="76507">
          <cell r="O76507" t="str">
            <v/>
          </cell>
        </row>
        <row r="76508">
          <cell r="O76508" t="str">
            <v/>
          </cell>
        </row>
        <row r="76509">
          <cell r="O76509" t="str">
            <v/>
          </cell>
        </row>
        <row r="76510">
          <cell r="O76510" t="str">
            <v/>
          </cell>
        </row>
        <row r="76511">
          <cell r="O76511" t="str">
            <v/>
          </cell>
        </row>
        <row r="76512">
          <cell r="O76512" t="str">
            <v/>
          </cell>
        </row>
        <row r="76513">
          <cell r="O76513" t="str">
            <v/>
          </cell>
        </row>
        <row r="76514">
          <cell r="O76514" t="str">
            <v/>
          </cell>
        </row>
        <row r="76515">
          <cell r="O76515" t="str">
            <v/>
          </cell>
        </row>
        <row r="76516">
          <cell r="O76516" t="str">
            <v/>
          </cell>
        </row>
        <row r="76517">
          <cell r="O76517" t="str">
            <v/>
          </cell>
        </row>
        <row r="76518">
          <cell r="O76518" t="str">
            <v/>
          </cell>
        </row>
        <row r="76519">
          <cell r="O76519" t="str">
            <v/>
          </cell>
        </row>
        <row r="76520">
          <cell r="O76520" t="str">
            <v/>
          </cell>
        </row>
        <row r="76521">
          <cell r="O76521" t="str">
            <v/>
          </cell>
        </row>
        <row r="76522">
          <cell r="O76522" t="str">
            <v/>
          </cell>
        </row>
        <row r="76523">
          <cell r="O76523" t="str">
            <v/>
          </cell>
        </row>
        <row r="76524">
          <cell r="O76524" t="str">
            <v/>
          </cell>
        </row>
        <row r="76525">
          <cell r="O76525" t="str">
            <v/>
          </cell>
        </row>
        <row r="76526">
          <cell r="O76526" t="str">
            <v/>
          </cell>
        </row>
        <row r="76527">
          <cell r="O76527" t="str">
            <v/>
          </cell>
        </row>
        <row r="76528">
          <cell r="O76528" t="str">
            <v/>
          </cell>
        </row>
        <row r="76529">
          <cell r="O76529" t="str">
            <v/>
          </cell>
        </row>
        <row r="76530">
          <cell r="O76530" t="str">
            <v/>
          </cell>
        </row>
        <row r="76531">
          <cell r="O76531" t="str">
            <v/>
          </cell>
        </row>
        <row r="76532">
          <cell r="O76532" t="str">
            <v/>
          </cell>
        </row>
        <row r="76533">
          <cell r="O76533" t="str">
            <v/>
          </cell>
        </row>
        <row r="76534">
          <cell r="O76534" t="str">
            <v/>
          </cell>
        </row>
        <row r="76535">
          <cell r="O76535" t="str">
            <v/>
          </cell>
        </row>
        <row r="76536">
          <cell r="O76536" t="str">
            <v/>
          </cell>
        </row>
        <row r="76537">
          <cell r="O76537" t="str">
            <v/>
          </cell>
        </row>
        <row r="76538">
          <cell r="O76538" t="str">
            <v/>
          </cell>
        </row>
        <row r="76539">
          <cell r="O76539" t="str">
            <v/>
          </cell>
        </row>
        <row r="76540">
          <cell r="O76540" t="str">
            <v/>
          </cell>
        </row>
        <row r="76541">
          <cell r="O76541" t="str">
            <v/>
          </cell>
        </row>
        <row r="76542">
          <cell r="O76542" t="str">
            <v/>
          </cell>
        </row>
        <row r="76543">
          <cell r="O76543" t="str">
            <v/>
          </cell>
        </row>
        <row r="76544">
          <cell r="O76544" t="str">
            <v/>
          </cell>
        </row>
        <row r="76545">
          <cell r="O76545" t="str">
            <v/>
          </cell>
        </row>
        <row r="76546">
          <cell r="O76546" t="str">
            <v/>
          </cell>
        </row>
        <row r="76547">
          <cell r="O76547" t="str">
            <v/>
          </cell>
        </row>
        <row r="76548">
          <cell r="O76548" t="str">
            <v/>
          </cell>
        </row>
        <row r="76549">
          <cell r="O76549" t="str">
            <v/>
          </cell>
        </row>
        <row r="76550">
          <cell r="O76550" t="str">
            <v/>
          </cell>
        </row>
        <row r="76551">
          <cell r="O76551" t="str">
            <v/>
          </cell>
        </row>
        <row r="76552">
          <cell r="O76552" t="str">
            <v/>
          </cell>
        </row>
        <row r="76553">
          <cell r="O76553" t="str">
            <v/>
          </cell>
        </row>
        <row r="76554">
          <cell r="O76554" t="str">
            <v/>
          </cell>
        </row>
        <row r="76555">
          <cell r="O76555" t="str">
            <v/>
          </cell>
        </row>
        <row r="76556">
          <cell r="O76556" t="str">
            <v/>
          </cell>
        </row>
        <row r="76557">
          <cell r="O76557" t="str">
            <v/>
          </cell>
        </row>
        <row r="76558">
          <cell r="O76558" t="str">
            <v/>
          </cell>
        </row>
        <row r="76559">
          <cell r="O76559" t="str">
            <v/>
          </cell>
        </row>
        <row r="76560">
          <cell r="O76560" t="str">
            <v/>
          </cell>
        </row>
        <row r="76561">
          <cell r="O76561" t="str">
            <v/>
          </cell>
        </row>
        <row r="76562">
          <cell r="O76562" t="str">
            <v/>
          </cell>
        </row>
        <row r="76563">
          <cell r="O76563" t="str">
            <v/>
          </cell>
        </row>
        <row r="76564">
          <cell r="O76564" t="str">
            <v/>
          </cell>
        </row>
        <row r="76565">
          <cell r="O76565" t="str">
            <v/>
          </cell>
        </row>
        <row r="76566">
          <cell r="O76566" t="str">
            <v/>
          </cell>
        </row>
        <row r="76567">
          <cell r="O76567" t="str">
            <v/>
          </cell>
        </row>
        <row r="76568">
          <cell r="O76568" t="str">
            <v/>
          </cell>
        </row>
        <row r="76569">
          <cell r="O76569" t="str">
            <v/>
          </cell>
        </row>
        <row r="76570">
          <cell r="O76570" t="str">
            <v/>
          </cell>
        </row>
        <row r="76571">
          <cell r="O76571" t="str">
            <v/>
          </cell>
        </row>
        <row r="76572">
          <cell r="O76572" t="str">
            <v/>
          </cell>
        </row>
        <row r="76573">
          <cell r="O76573" t="str">
            <v/>
          </cell>
        </row>
        <row r="76574">
          <cell r="O76574" t="str">
            <v/>
          </cell>
        </row>
        <row r="76575">
          <cell r="O76575" t="str">
            <v/>
          </cell>
        </row>
        <row r="76576">
          <cell r="O76576" t="str">
            <v/>
          </cell>
        </row>
        <row r="76577">
          <cell r="O76577" t="str">
            <v/>
          </cell>
        </row>
        <row r="76578">
          <cell r="O76578" t="str">
            <v/>
          </cell>
        </row>
        <row r="76579">
          <cell r="O76579" t="str">
            <v/>
          </cell>
        </row>
        <row r="76580">
          <cell r="O76580" t="str">
            <v/>
          </cell>
        </row>
        <row r="76581">
          <cell r="O76581" t="str">
            <v/>
          </cell>
        </row>
        <row r="76582">
          <cell r="O76582" t="str">
            <v/>
          </cell>
        </row>
        <row r="76583">
          <cell r="O76583" t="str">
            <v/>
          </cell>
        </row>
        <row r="76584">
          <cell r="O76584" t="str">
            <v/>
          </cell>
        </row>
        <row r="76585">
          <cell r="O76585" t="str">
            <v/>
          </cell>
        </row>
        <row r="76586">
          <cell r="O76586" t="str">
            <v/>
          </cell>
        </row>
        <row r="76587">
          <cell r="O76587" t="str">
            <v/>
          </cell>
        </row>
        <row r="76588">
          <cell r="O76588" t="str">
            <v/>
          </cell>
        </row>
        <row r="76589">
          <cell r="O76589" t="str">
            <v/>
          </cell>
        </row>
        <row r="76590">
          <cell r="O76590" t="str">
            <v/>
          </cell>
        </row>
        <row r="76591">
          <cell r="O76591" t="str">
            <v/>
          </cell>
        </row>
        <row r="76592">
          <cell r="O76592" t="str">
            <v/>
          </cell>
        </row>
        <row r="76593">
          <cell r="O76593" t="str">
            <v/>
          </cell>
        </row>
        <row r="76594">
          <cell r="O76594" t="str">
            <v/>
          </cell>
        </row>
        <row r="76595">
          <cell r="O76595" t="str">
            <v/>
          </cell>
        </row>
        <row r="76596">
          <cell r="O76596" t="str">
            <v/>
          </cell>
        </row>
        <row r="76597">
          <cell r="O76597" t="str">
            <v/>
          </cell>
        </row>
        <row r="76598">
          <cell r="O76598" t="str">
            <v/>
          </cell>
        </row>
        <row r="76599">
          <cell r="O76599" t="str">
            <v/>
          </cell>
        </row>
        <row r="76600">
          <cell r="O76600" t="str">
            <v/>
          </cell>
        </row>
        <row r="76601">
          <cell r="O76601" t="str">
            <v/>
          </cell>
        </row>
        <row r="76602">
          <cell r="O76602" t="str">
            <v/>
          </cell>
        </row>
        <row r="76603">
          <cell r="O76603" t="str">
            <v/>
          </cell>
        </row>
        <row r="76604">
          <cell r="O76604" t="str">
            <v/>
          </cell>
        </row>
        <row r="76605">
          <cell r="O76605" t="str">
            <v/>
          </cell>
        </row>
        <row r="76606">
          <cell r="O76606" t="str">
            <v/>
          </cell>
        </row>
        <row r="76607">
          <cell r="O76607" t="str">
            <v/>
          </cell>
        </row>
        <row r="76608">
          <cell r="O76608" t="str">
            <v/>
          </cell>
        </row>
        <row r="76609">
          <cell r="O76609" t="str">
            <v/>
          </cell>
        </row>
        <row r="76610">
          <cell r="O76610" t="str">
            <v/>
          </cell>
        </row>
        <row r="76611">
          <cell r="O76611" t="str">
            <v/>
          </cell>
        </row>
        <row r="76612">
          <cell r="O76612" t="str">
            <v/>
          </cell>
        </row>
        <row r="76613">
          <cell r="O76613" t="str">
            <v/>
          </cell>
        </row>
        <row r="76614">
          <cell r="O76614" t="str">
            <v/>
          </cell>
        </row>
        <row r="76615">
          <cell r="O76615" t="str">
            <v/>
          </cell>
        </row>
        <row r="76616">
          <cell r="O76616" t="str">
            <v/>
          </cell>
        </row>
        <row r="76617">
          <cell r="O76617" t="str">
            <v/>
          </cell>
        </row>
        <row r="76618">
          <cell r="O76618" t="str">
            <v/>
          </cell>
        </row>
        <row r="76619">
          <cell r="O76619" t="str">
            <v/>
          </cell>
        </row>
        <row r="76620">
          <cell r="O76620" t="str">
            <v/>
          </cell>
        </row>
        <row r="76621">
          <cell r="O76621" t="str">
            <v/>
          </cell>
        </row>
        <row r="76622">
          <cell r="O76622" t="str">
            <v/>
          </cell>
        </row>
        <row r="76623">
          <cell r="O76623" t="str">
            <v/>
          </cell>
        </row>
        <row r="76624">
          <cell r="O76624" t="str">
            <v/>
          </cell>
        </row>
        <row r="76625">
          <cell r="O76625" t="str">
            <v/>
          </cell>
        </row>
        <row r="76626">
          <cell r="O76626" t="str">
            <v/>
          </cell>
        </row>
        <row r="76627">
          <cell r="O76627" t="str">
            <v/>
          </cell>
        </row>
        <row r="76628">
          <cell r="O76628" t="str">
            <v/>
          </cell>
        </row>
        <row r="76629">
          <cell r="O76629" t="str">
            <v/>
          </cell>
        </row>
        <row r="76630">
          <cell r="O76630" t="str">
            <v/>
          </cell>
        </row>
        <row r="76631">
          <cell r="O76631" t="str">
            <v/>
          </cell>
        </row>
        <row r="76632">
          <cell r="O76632" t="str">
            <v/>
          </cell>
        </row>
        <row r="76633">
          <cell r="O76633" t="str">
            <v/>
          </cell>
        </row>
        <row r="76634">
          <cell r="O76634" t="str">
            <v/>
          </cell>
        </row>
        <row r="76635">
          <cell r="O76635" t="str">
            <v/>
          </cell>
        </row>
        <row r="76636">
          <cell r="O76636" t="str">
            <v/>
          </cell>
        </row>
        <row r="76637">
          <cell r="O76637" t="str">
            <v/>
          </cell>
        </row>
        <row r="76638">
          <cell r="O76638" t="str">
            <v/>
          </cell>
        </row>
        <row r="76639">
          <cell r="O76639" t="str">
            <v/>
          </cell>
        </row>
        <row r="76640">
          <cell r="O76640" t="str">
            <v/>
          </cell>
        </row>
        <row r="76641">
          <cell r="O76641" t="str">
            <v/>
          </cell>
        </row>
        <row r="76642">
          <cell r="O76642" t="str">
            <v/>
          </cell>
        </row>
        <row r="76643">
          <cell r="O76643" t="str">
            <v/>
          </cell>
        </row>
        <row r="76644">
          <cell r="O76644" t="str">
            <v/>
          </cell>
        </row>
        <row r="76645">
          <cell r="O76645" t="str">
            <v/>
          </cell>
        </row>
        <row r="76646">
          <cell r="O76646" t="str">
            <v/>
          </cell>
        </row>
        <row r="76647">
          <cell r="O76647" t="str">
            <v/>
          </cell>
        </row>
        <row r="76648">
          <cell r="O76648" t="str">
            <v/>
          </cell>
        </row>
        <row r="76649">
          <cell r="O76649" t="str">
            <v/>
          </cell>
        </row>
        <row r="76650">
          <cell r="O76650" t="str">
            <v/>
          </cell>
        </row>
        <row r="76651">
          <cell r="O76651" t="str">
            <v/>
          </cell>
        </row>
        <row r="76652">
          <cell r="O76652" t="str">
            <v/>
          </cell>
        </row>
        <row r="76653">
          <cell r="O76653" t="str">
            <v/>
          </cell>
        </row>
        <row r="76654">
          <cell r="O76654" t="str">
            <v/>
          </cell>
        </row>
        <row r="76655">
          <cell r="O76655" t="str">
            <v/>
          </cell>
        </row>
        <row r="76656">
          <cell r="O76656" t="str">
            <v/>
          </cell>
        </row>
        <row r="76657">
          <cell r="O76657" t="str">
            <v/>
          </cell>
        </row>
        <row r="76658">
          <cell r="O76658" t="str">
            <v/>
          </cell>
        </row>
        <row r="76659">
          <cell r="O76659" t="str">
            <v/>
          </cell>
        </row>
        <row r="76660">
          <cell r="O76660" t="str">
            <v/>
          </cell>
        </row>
        <row r="76661">
          <cell r="O76661" t="str">
            <v/>
          </cell>
        </row>
        <row r="76662">
          <cell r="O76662" t="str">
            <v/>
          </cell>
        </row>
        <row r="76663">
          <cell r="O76663" t="str">
            <v/>
          </cell>
        </row>
        <row r="76664">
          <cell r="O76664" t="str">
            <v/>
          </cell>
        </row>
        <row r="76665">
          <cell r="O76665" t="str">
            <v/>
          </cell>
        </row>
        <row r="76666">
          <cell r="O76666" t="str">
            <v/>
          </cell>
        </row>
        <row r="76667">
          <cell r="O76667" t="str">
            <v/>
          </cell>
        </row>
        <row r="76668">
          <cell r="O76668" t="str">
            <v/>
          </cell>
        </row>
        <row r="76669">
          <cell r="O76669" t="str">
            <v/>
          </cell>
        </row>
        <row r="76670">
          <cell r="O76670" t="str">
            <v/>
          </cell>
        </row>
        <row r="76671">
          <cell r="O76671" t="str">
            <v/>
          </cell>
        </row>
        <row r="76672">
          <cell r="O76672" t="str">
            <v/>
          </cell>
        </row>
        <row r="76673">
          <cell r="O76673" t="str">
            <v/>
          </cell>
        </row>
        <row r="76674">
          <cell r="O76674" t="str">
            <v/>
          </cell>
        </row>
        <row r="76675">
          <cell r="O76675" t="str">
            <v/>
          </cell>
        </row>
        <row r="76676">
          <cell r="O76676" t="str">
            <v/>
          </cell>
        </row>
        <row r="76677">
          <cell r="O76677" t="str">
            <v/>
          </cell>
        </row>
        <row r="76678">
          <cell r="O76678" t="str">
            <v/>
          </cell>
        </row>
        <row r="76679">
          <cell r="O76679" t="str">
            <v/>
          </cell>
        </row>
        <row r="76680">
          <cell r="O76680" t="str">
            <v/>
          </cell>
        </row>
        <row r="76681">
          <cell r="O76681" t="str">
            <v/>
          </cell>
        </row>
        <row r="76682">
          <cell r="O76682" t="str">
            <v/>
          </cell>
        </row>
        <row r="76683">
          <cell r="O76683" t="str">
            <v/>
          </cell>
        </row>
        <row r="76684">
          <cell r="O76684" t="str">
            <v/>
          </cell>
        </row>
        <row r="76685">
          <cell r="O76685" t="str">
            <v/>
          </cell>
        </row>
        <row r="76686">
          <cell r="O76686" t="str">
            <v/>
          </cell>
        </row>
        <row r="76687">
          <cell r="O76687" t="str">
            <v/>
          </cell>
        </row>
        <row r="76688">
          <cell r="O76688" t="str">
            <v/>
          </cell>
        </row>
        <row r="76689">
          <cell r="O76689" t="str">
            <v/>
          </cell>
        </row>
        <row r="76690">
          <cell r="O76690" t="str">
            <v/>
          </cell>
        </row>
        <row r="76691">
          <cell r="O76691" t="str">
            <v/>
          </cell>
        </row>
        <row r="76692">
          <cell r="O76692" t="str">
            <v/>
          </cell>
        </row>
        <row r="76693">
          <cell r="O76693" t="str">
            <v/>
          </cell>
        </row>
        <row r="76694">
          <cell r="O76694" t="str">
            <v/>
          </cell>
        </row>
        <row r="76695">
          <cell r="O76695" t="str">
            <v/>
          </cell>
        </row>
        <row r="76696">
          <cell r="O76696" t="str">
            <v/>
          </cell>
        </row>
        <row r="76697">
          <cell r="O76697" t="str">
            <v/>
          </cell>
        </row>
        <row r="76698">
          <cell r="O76698" t="str">
            <v/>
          </cell>
        </row>
        <row r="76699">
          <cell r="O76699" t="str">
            <v/>
          </cell>
        </row>
        <row r="76700">
          <cell r="O76700" t="str">
            <v/>
          </cell>
        </row>
        <row r="76701">
          <cell r="O76701" t="str">
            <v/>
          </cell>
        </row>
        <row r="76702">
          <cell r="O76702" t="str">
            <v/>
          </cell>
        </row>
        <row r="76703">
          <cell r="O76703" t="str">
            <v/>
          </cell>
        </row>
        <row r="76704">
          <cell r="O76704" t="str">
            <v/>
          </cell>
        </row>
        <row r="76705">
          <cell r="O76705" t="str">
            <v/>
          </cell>
        </row>
        <row r="76706">
          <cell r="O76706" t="str">
            <v/>
          </cell>
        </row>
        <row r="76707">
          <cell r="O76707" t="str">
            <v/>
          </cell>
        </row>
        <row r="76708">
          <cell r="O76708" t="str">
            <v/>
          </cell>
        </row>
        <row r="76709">
          <cell r="O76709" t="str">
            <v/>
          </cell>
        </row>
        <row r="76710">
          <cell r="O76710" t="str">
            <v/>
          </cell>
        </row>
        <row r="76711">
          <cell r="O76711" t="str">
            <v/>
          </cell>
        </row>
        <row r="76712">
          <cell r="O76712" t="str">
            <v/>
          </cell>
        </row>
        <row r="76713">
          <cell r="O76713" t="str">
            <v/>
          </cell>
        </row>
        <row r="76714">
          <cell r="O76714" t="str">
            <v/>
          </cell>
        </row>
        <row r="76715">
          <cell r="O76715" t="str">
            <v/>
          </cell>
        </row>
        <row r="76716">
          <cell r="O76716" t="str">
            <v/>
          </cell>
        </row>
        <row r="76717">
          <cell r="O76717" t="str">
            <v/>
          </cell>
        </row>
        <row r="76718">
          <cell r="O76718" t="str">
            <v/>
          </cell>
        </row>
        <row r="76719">
          <cell r="O76719" t="str">
            <v/>
          </cell>
        </row>
        <row r="76720">
          <cell r="O76720" t="str">
            <v/>
          </cell>
        </row>
        <row r="76721">
          <cell r="O76721" t="str">
            <v/>
          </cell>
        </row>
        <row r="76722">
          <cell r="O76722" t="str">
            <v/>
          </cell>
        </row>
        <row r="76723">
          <cell r="O76723" t="str">
            <v/>
          </cell>
        </row>
        <row r="76724">
          <cell r="O76724" t="str">
            <v/>
          </cell>
        </row>
        <row r="76725">
          <cell r="O76725" t="str">
            <v/>
          </cell>
        </row>
        <row r="76726">
          <cell r="O76726" t="str">
            <v/>
          </cell>
        </row>
        <row r="76727">
          <cell r="O76727" t="str">
            <v/>
          </cell>
        </row>
        <row r="76728">
          <cell r="O76728" t="str">
            <v/>
          </cell>
        </row>
        <row r="76729">
          <cell r="O76729" t="str">
            <v/>
          </cell>
        </row>
        <row r="76730">
          <cell r="O76730" t="str">
            <v/>
          </cell>
        </row>
        <row r="76731">
          <cell r="O76731" t="str">
            <v/>
          </cell>
        </row>
        <row r="76732">
          <cell r="O76732" t="str">
            <v/>
          </cell>
        </row>
        <row r="76733">
          <cell r="O76733" t="str">
            <v/>
          </cell>
        </row>
        <row r="76734">
          <cell r="O76734" t="str">
            <v/>
          </cell>
        </row>
        <row r="76735">
          <cell r="O76735" t="str">
            <v/>
          </cell>
        </row>
        <row r="76736">
          <cell r="O76736" t="str">
            <v/>
          </cell>
        </row>
        <row r="76737">
          <cell r="O76737" t="str">
            <v/>
          </cell>
        </row>
        <row r="76738">
          <cell r="O76738" t="str">
            <v/>
          </cell>
        </row>
        <row r="76739">
          <cell r="O76739" t="str">
            <v/>
          </cell>
        </row>
        <row r="76740">
          <cell r="O76740" t="str">
            <v/>
          </cell>
        </row>
        <row r="76741">
          <cell r="O76741" t="str">
            <v/>
          </cell>
        </row>
        <row r="76742">
          <cell r="O76742" t="str">
            <v/>
          </cell>
        </row>
        <row r="76743">
          <cell r="O76743" t="str">
            <v/>
          </cell>
        </row>
        <row r="76744">
          <cell r="O76744" t="str">
            <v/>
          </cell>
        </row>
        <row r="76745">
          <cell r="O76745" t="str">
            <v/>
          </cell>
        </row>
        <row r="76746">
          <cell r="O76746" t="str">
            <v/>
          </cell>
        </row>
        <row r="76747">
          <cell r="O76747" t="str">
            <v/>
          </cell>
        </row>
        <row r="76748">
          <cell r="O76748" t="str">
            <v/>
          </cell>
        </row>
        <row r="76749">
          <cell r="O76749" t="str">
            <v/>
          </cell>
        </row>
        <row r="76750">
          <cell r="O76750" t="str">
            <v/>
          </cell>
        </row>
        <row r="76751">
          <cell r="O76751" t="str">
            <v/>
          </cell>
        </row>
        <row r="76752">
          <cell r="O76752" t="str">
            <v/>
          </cell>
        </row>
        <row r="76753">
          <cell r="O76753" t="str">
            <v/>
          </cell>
        </row>
        <row r="76754">
          <cell r="O76754" t="str">
            <v/>
          </cell>
        </row>
        <row r="76755">
          <cell r="O76755" t="str">
            <v/>
          </cell>
        </row>
        <row r="76756">
          <cell r="O76756" t="str">
            <v/>
          </cell>
        </row>
        <row r="76757">
          <cell r="O76757" t="str">
            <v/>
          </cell>
        </row>
        <row r="76758">
          <cell r="O76758" t="str">
            <v/>
          </cell>
        </row>
        <row r="76759">
          <cell r="O76759" t="str">
            <v/>
          </cell>
        </row>
        <row r="76760">
          <cell r="O76760" t="str">
            <v/>
          </cell>
        </row>
        <row r="76761">
          <cell r="O76761" t="str">
            <v/>
          </cell>
        </row>
        <row r="76762">
          <cell r="O76762" t="str">
            <v/>
          </cell>
        </row>
        <row r="76763">
          <cell r="O76763" t="str">
            <v/>
          </cell>
        </row>
        <row r="76764">
          <cell r="O76764" t="str">
            <v/>
          </cell>
        </row>
        <row r="76765">
          <cell r="O76765" t="str">
            <v/>
          </cell>
        </row>
        <row r="76766">
          <cell r="O76766" t="str">
            <v/>
          </cell>
        </row>
        <row r="76767">
          <cell r="O76767" t="str">
            <v/>
          </cell>
        </row>
        <row r="76768">
          <cell r="O76768" t="str">
            <v/>
          </cell>
        </row>
        <row r="76769">
          <cell r="O76769" t="str">
            <v/>
          </cell>
        </row>
        <row r="76770">
          <cell r="O76770" t="str">
            <v/>
          </cell>
        </row>
        <row r="76771">
          <cell r="O76771" t="str">
            <v/>
          </cell>
        </row>
        <row r="76772">
          <cell r="O76772" t="str">
            <v/>
          </cell>
        </row>
        <row r="76773">
          <cell r="O76773" t="str">
            <v/>
          </cell>
        </row>
        <row r="76774">
          <cell r="O76774" t="str">
            <v/>
          </cell>
        </row>
        <row r="76775">
          <cell r="O76775" t="str">
            <v/>
          </cell>
        </row>
        <row r="76776">
          <cell r="O76776" t="str">
            <v/>
          </cell>
        </row>
        <row r="76777">
          <cell r="O76777" t="str">
            <v/>
          </cell>
        </row>
        <row r="76778">
          <cell r="O76778" t="str">
            <v/>
          </cell>
        </row>
        <row r="76779">
          <cell r="O76779" t="str">
            <v/>
          </cell>
        </row>
        <row r="76780">
          <cell r="O76780" t="str">
            <v/>
          </cell>
        </row>
        <row r="76781">
          <cell r="O76781" t="str">
            <v/>
          </cell>
        </row>
        <row r="76782">
          <cell r="O76782" t="str">
            <v/>
          </cell>
        </row>
        <row r="76783">
          <cell r="O76783" t="str">
            <v/>
          </cell>
        </row>
        <row r="76784">
          <cell r="O76784" t="str">
            <v/>
          </cell>
        </row>
        <row r="76785">
          <cell r="O76785" t="str">
            <v/>
          </cell>
        </row>
        <row r="76786">
          <cell r="O76786" t="str">
            <v/>
          </cell>
        </row>
        <row r="76787">
          <cell r="O76787" t="str">
            <v/>
          </cell>
        </row>
        <row r="76788">
          <cell r="O76788" t="str">
            <v/>
          </cell>
        </row>
        <row r="76789">
          <cell r="O76789" t="str">
            <v/>
          </cell>
        </row>
        <row r="76790">
          <cell r="O76790" t="str">
            <v/>
          </cell>
        </row>
        <row r="76791">
          <cell r="O76791" t="str">
            <v/>
          </cell>
        </row>
        <row r="76792">
          <cell r="O76792" t="str">
            <v/>
          </cell>
        </row>
        <row r="76793">
          <cell r="O76793" t="str">
            <v/>
          </cell>
        </row>
        <row r="76794">
          <cell r="O76794" t="str">
            <v/>
          </cell>
        </row>
        <row r="76795">
          <cell r="O76795" t="str">
            <v/>
          </cell>
        </row>
        <row r="76796">
          <cell r="O76796" t="str">
            <v/>
          </cell>
        </row>
        <row r="76797">
          <cell r="O76797" t="str">
            <v/>
          </cell>
        </row>
        <row r="76798">
          <cell r="O76798" t="str">
            <v/>
          </cell>
        </row>
        <row r="76799">
          <cell r="O76799" t="str">
            <v/>
          </cell>
        </row>
        <row r="76800">
          <cell r="O76800" t="str">
            <v/>
          </cell>
        </row>
        <row r="76801">
          <cell r="O76801" t="str">
            <v/>
          </cell>
        </row>
        <row r="76802">
          <cell r="O76802" t="str">
            <v/>
          </cell>
        </row>
        <row r="76803">
          <cell r="O76803" t="str">
            <v/>
          </cell>
        </row>
        <row r="76804">
          <cell r="O76804" t="str">
            <v/>
          </cell>
        </row>
        <row r="76805">
          <cell r="O76805" t="str">
            <v/>
          </cell>
        </row>
        <row r="76806">
          <cell r="O76806" t="str">
            <v/>
          </cell>
        </row>
        <row r="76807">
          <cell r="O76807" t="str">
            <v/>
          </cell>
        </row>
        <row r="76808">
          <cell r="O76808" t="str">
            <v/>
          </cell>
        </row>
        <row r="76809">
          <cell r="O76809" t="str">
            <v/>
          </cell>
        </row>
        <row r="76810">
          <cell r="O76810" t="str">
            <v/>
          </cell>
        </row>
        <row r="76811">
          <cell r="O76811" t="str">
            <v/>
          </cell>
        </row>
        <row r="76812">
          <cell r="O76812" t="str">
            <v/>
          </cell>
        </row>
        <row r="76813">
          <cell r="O76813" t="str">
            <v/>
          </cell>
        </row>
        <row r="76814">
          <cell r="O76814" t="str">
            <v/>
          </cell>
        </row>
        <row r="76815">
          <cell r="O76815" t="str">
            <v/>
          </cell>
        </row>
        <row r="76816">
          <cell r="O76816" t="str">
            <v/>
          </cell>
        </row>
        <row r="76817">
          <cell r="O76817" t="str">
            <v/>
          </cell>
        </row>
        <row r="76818">
          <cell r="O76818" t="str">
            <v/>
          </cell>
        </row>
        <row r="76819">
          <cell r="O76819" t="str">
            <v/>
          </cell>
        </row>
        <row r="76820">
          <cell r="O76820" t="str">
            <v/>
          </cell>
        </row>
        <row r="76821">
          <cell r="O76821" t="str">
            <v/>
          </cell>
        </row>
        <row r="76822">
          <cell r="O76822" t="str">
            <v/>
          </cell>
        </row>
        <row r="76823">
          <cell r="O76823" t="str">
            <v/>
          </cell>
        </row>
        <row r="76824">
          <cell r="O76824" t="str">
            <v/>
          </cell>
        </row>
        <row r="76825">
          <cell r="O76825" t="str">
            <v/>
          </cell>
        </row>
        <row r="76826">
          <cell r="O76826" t="str">
            <v/>
          </cell>
        </row>
        <row r="76827">
          <cell r="O76827" t="str">
            <v/>
          </cell>
        </row>
        <row r="76828">
          <cell r="O76828" t="str">
            <v/>
          </cell>
        </row>
        <row r="76829">
          <cell r="O76829" t="str">
            <v/>
          </cell>
        </row>
        <row r="76830">
          <cell r="O76830" t="str">
            <v/>
          </cell>
        </row>
        <row r="76831">
          <cell r="O76831" t="str">
            <v/>
          </cell>
        </row>
        <row r="76832">
          <cell r="O76832" t="str">
            <v/>
          </cell>
        </row>
        <row r="76833">
          <cell r="O76833" t="str">
            <v/>
          </cell>
        </row>
        <row r="76834">
          <cell r="O76834" t="str">
            <v/>
          </cell>
        </row>
        <row r="76835">
          <cell r="O76835" t="str">
            <v/>
          </cell>
        </row>
        <row r="76836">
          <cell r="O76836" t="str">
            <v/>
          </cell>
        </row>
        <row r="76837">
          <cell r="O76837" t="str">
            <v/>
          </cell>
        </row>
        <row r="76838">
          <cell r="O76838" t="str">
            <v/>
          </cell>
        </row>
        <row r="76839">
          <cell r="O76839" t="str">
            <v/>
          </cell>
        </row>
        <row r="76840">
          <cell r="O76840" t="str">
            <v/>
          </cell>
        </row>
        <row r="76841">
          <cell r="O76841" t="str">
            <v/>
          </cell>
        </row>
        <row r="76842">
          <cell r="O76842" t="str">
            <v/>
          </cell>
        </row>
        <row r="76843">
          <cell r="O76843" t="str">
            <v/>
          </cell>
        </row>
        <row r="76844">
          <cell r="O76844" t="str">
            <v/>
          </cell>
        </row>
        <row r="76845">
          <cell r="O76845" t="str">
            <v/>
          </cell>
        </row>
        <row r="76846">
          <cell r="O76846" t="str">
            <v/>
          </cell>
        </row>
        <row r="76847">
          <cell r="O76847" t="str">
            <v/>
          </cell>
        </row>
        <row r="76848">
          <cell r="O76848" t="str">
            <v/>
          </cell>
        </row>
        <row r="76849">
          <cell r="O76849" t="str">
            <v/>
          </cell>
        </row>
        <row r="76850">
          <cell r="O76850" t="str">
            <v/>
          </cell>
        </row>
        <row r="76851">
          <cell r="O76851" t="str">
            <v/>
          </cell>
        </row>
        <row r="76852">
          <cell r="O76852" t="str">
            <v/>
          </cell>
        </row>
        <row r="76853">
          <cell r="O76853" t="str">
            <v/>
          </cell>
        </row>
        <row r="76854">
          <cell r="O76854" t="str">
            <v/>
          </cell>
        </row>
        <row r="76855">
          <cell r="O76855" t="str">
            <v/>
          </cell>
        </row>
        <row r="76856">
          <cell r="O76856" t="str">
            <v/>
          </cell>
        </row>
        <row r="76857">
          <cell r="O76857" t="str">
            <v/>
          </cell>
        </row>
        <row r="76858">
          <cell r="O76858" t="str">
            <v/>
          </cell>
        </row>
        <row r="76859">
          <cell r="O76859" t="str">
            <v/>
          </cell>
        </row>
        <row r="76860">
          <cell r="O76860" t="str">
            <v/>
          </cell>
        </row>
        <row r="76861">
          <cell r="O76861" t="str">
            <v/>
          </cell>
        </row>
        <row r="76862">
          <cell r="O76862" t="str">
            <v/>
          </cell>
        </row>
        <row r="76863">
          <cell r="O76863" t="str">
            <v/>
          </cell>
        </row>
        <row r="76864">
          <cell r="O76864" t="str">
            <v/>
          </cell>
        </row>
        <row r="76865">
          <cell r="O76865" t="str">
            <v/>
          </cell>
        </row>
        <row r="76866">
          <cell r="O76866" t="str">
            <v/>
          </cell>
        </row>
        <row r="76867">
          <cell r="O76867" t="str">
            <v/>
          </cell>
        </row>
        <row r="76868">
          <cell r="O76868" t="str">
            <v/>
          </cell>
        </row>
        <row r="76869">
          <cell r="O76869" t="str">
            <v/>
          </cell>
        </row>
        <row r="76870">
          <cell r="O76870" t="str">
            <v/>
          </cell>
        </row>
        <row r="76871">
          <cell r="O76871" t="str">
            <v/>
          </cell>
        </row>
        <row r="76872">
          <cell r="O76872" t="str">
            <v/>
          </cell>
        </row>
        <row r="76873">
          <cell r="O76873" t="str">
            <v/>
          </cell>
        </row>
        <row r="76874">
          <cell r="O76874" t="str">
            <v/>
          </cell>
        </row>
        <row r="76875">
          <cell r="O76875" t="str">
            <v/>
          </cell>
        </row>
        <row r="76876">
          <cell r="O76876" t="str">
            <v/>
          </cell>
        </row>
        <row r="76877">
          <cell r="O76877" t="str">
            <v/>
          </cell>
        </row>
        <row r="76878">
          <cell r="O76878" t="str">
            <v/>
          </cell>
        </row>
        <row r="76879">
          <cell r="O76879" t="str">
            <v/>
          </cell>
        </row>
        <row r="76880">
          <cell r="O76880" t="str">
            <v/>
          </cell>
        </row>
        <row r="76881">
          <cell r="O76881" t="str">
            <v/>
          </cell>
        </row>
        <row r="76882">
          <cell r="O76882" t="str">
            <v/>
          </cell>
        </row>
        <row r="76883">
          <cell r="O76883" t="str">
            <v/>
          </cell>
        </row>
        <row r="76884">
          <cell r="O76884" t="str">
            <v/>
          </cell>
        </row>
        <row r="76885">
          <cell r="O76885" t="str">
            <v/>
          </cell>
        </row>
        <row r="76886">
          <cell r="O76886" t="str">
            <v/>
          </cell>
        </row>
        <row r="76887">
          <cell r="O76887" t="str">
            <v/>
          </cell>
        </row>
        <row r="76888">
          <cell r="O76888" t="str">
            <v/>
          </cell>
        </row>
        <row r="76889">
          <cell r="O76889" t="str">
            <v/>
          </cell>
        </row>
        <row r="76890">
          <cell r="O76890" t="str">
            <v/>
          </cell>
        </row>
        <row r="76891">
          <cell r="O76891" t="str">
            <v/>
          </cell>
        </row>
        <row r="76892">
          <cell r="O76892" t="str">
            <v/>
          </cell>
        </row>
        <row r="76893">
          <cell r="O76893" t="str">
            <v/>
          </cell>
        </row>
        <row r="76894">
          <cell r="O76894" t="str">
            <v/>
          </cell>
        </row>
        <row r="76895">
          <cell r="O76895" t="str">
            <v/>
          </cell>
        </row>
        <row r="76896">
          <cell r="O76896" t="str">
            <v/>
          </cell>
        </row>
        <row r="76897">
          <cell r="O76897" t="str">
            <v/>
          </cell>
        </row>
        <row r="76898">
          <cell r="O76898" t="str">
            <v/>
          </cell>
        </row>
        <row r="76899">
          <cell r="O76899" t="str">
            <v/>
          </cell>
        </row>
        <row r="76900">
          <cell r="O76900" t="str">
            <v/>
          </cell>
        </row>
        <row r="76901">
          <cell r="O76901" t="str">
            <v/>
          </cell>
        </row>
        <row r="76902">
          <cell r="O76902" t="str">
            <v/>
          </cell>
        </row>
        <row r="76903">
          <cell r="O76903" t="str">
            <v/>
          </cell>
        </row>
        <row r="76904">
          <cell r="O76904" t="str">
            <v/>
          </cell>
        </row>
        <row r="76905">
          <cell r="O76905" t="str">
            <v/>
          </cell>
        </row>
        <row r="76906">
          <cell r="O76906" t="str">
            <v/>
          </cell>
        </row>
        <row r="76907">
          <cell r="O76907" t="str">
            <v/>
          </cell>
        </row>
        <row r="76908">
          <cell r="O76908" t="str">
            <v/>
          </cell>
        </row>
        <row r="76909">
          <cell r="O76909" t="str">
            <v/>
          </cell>
        </row>
        <row r="76910">
          <cell r="O76910" t="str">
            <v/>
          </cell>
        </row>
        <row r="76911">
          <cell r="O76911" t="str">
            <v/>
          </cell>
        </row>
        <row r="76912">
          <cell r="O76912" t="str">
            <v/>
          </cell>
        </row>
        <row r="76913">
          <cell r="O76913" t="str">
            <v/>
          </cell>
        </row>
        <row r="76914">
          <cell r="O76914" t="str">
            <v/>
          </cell>
        </row>
        <row r="76915">
          <cell r="O76915" t="str">
            <v/>
          </cell>
        </row>
        <row r="76916">
          <cell r="O76916" t="str">
            <v/>
          </cell>
        </row>
        <row r="76917">
          <cell r="O76917" t="str">
            <v/>
          </cell>
        </row>
        <row r="76918">
          <cell r="O76918" t="str">
            <v/>
          </cell>
        </row>
        <row r="76919">
          <cell r="O76919" t="str">
            <v/>
          </cell>
        </row>
        <row r="76920">
          <cell r="O76920" t="str">
            <v/>
          </cell>
        </row>
        <row r="76921">
          <cell r="O76921" t="str">
            <v/>
          </cell>
        </row>
        <row r="76922">
          <cell r="O76922" t="str">
            <v/>
          </cell>
        </row>
        <row r="76923">
          <cell r="O76923" t="str">
            <v/>
          </cell>
        </row>
        <row r="76924">
          <cell r="O76924" t="str">
            <v/>
          </cell>
        </row>
        <row r="76925">
          <cell r="O76925" t="str">
            <v/>
          </cell>
        </row>
        <row r="76926">
          <cell r="O76926" t="str">
            <v/>
          </cell>
        </row>
        <row r="76927">
          <cell r="O76927" t="str">
            <v/>
          </cell>
        </row>
        <row r="76928">
          <cell r="O76928" t="str">
            <v/>
          </cell>
        </row>
        <row r="76929">
          <cell r="O76929" t="str">
            <v/>
          </cell>
        </row>
        <row r="76930">
          <cell r="O76930" t="str">
            <v/>
          </cell>
        </row>
        <row r="76931">
          <cell r="O76931" t="str">
            <v/>
          </cell>
        </row>
        <row r="76932">
          <cell r="O76932" t="str">
            <v/>
          </cell>
        </row>
        <row r="76933">
          <cell r="O76933" t="str">
            <v/>
          </cell>
        </row>
        <row r="76934">
          <cell r="O76934" t="str">
            <v/>
          </cell>
        </row>
        <row r="76935">
          <cell r="O76935" t="str">
            <v/>
          </cell>
        </row>
        <row r="76936">
          <cell r="O76936" t="str">
            <v/>
          </cell>
        </row>
        <row r="76937">
          <cell r="O76937" t="str">
            <v/>
          </cell>
        </row>
        <row r="76938">
          <cell r="O76938" t="str">
            <v/>
          </cell>
        </row>
        <row r="76939">
          <cell r="O76939" t="str">
            <v/>
          </cell>
        </row>
        <row r="76940">
          <cell r="O76940" t="str">
            <v/>
          </cell>
        </row>
        <row r="76941">
          <cell r="O76941" t="str">
            <v/>
          </cell>
        </row>
        <row r="76942">
          <cell r="O76942" t="str">
            <v/>
          </cell>
        </row>
        <row r="76943">
          <cell r="O76943" t="str">
            <v/>
          </cell>
        </row>
        <row r="76944">
          <cell r="O76944" t="str">
            <v/>
          </cell>
        </row>
        <row r="76945">
          <cell r="O76945" t="str">
            <v/>
          </cell>
        </row>
        <row r="76946">
          <cell r="O76946" t="str">
            <v/>
          </cell>
        </row>
        <row r="76947">
          <cell r="O76947" t="str">
            <v/>
          </cell>
        </row>
        <row r="76948">
          <cell r="O76948" t="str">
            <v/>
          </cell>
        </row>
        <row r="76949">
          <cell r="O76949" t="str">
            <v/>
          </cell>
        </row>
        <row r="76950">
          <cell r="O76950" t="str">
            <v/>
          </cell>
        </row>
        <row r="76951">
          <cell r="O76951" t="str">
            <v/>
          </cell>
        </row>
        <row r="76952">
          <cell r="O76952" t="str">
            <v/>
          </cell>
        </row>
        <row r="76953">
          <cell r="O76953" t="str">
            <v/>
          </cell>
        </row>
        <row r="76954">
          <cell r="O76954" t="str">
            <v/>
          </cell>
        </row>
        <row r="76955">
          <cell r="O76955" t="str">
            <v/>
          </cell>
        </row>
        <row r="76956">
          <cell r="O76956" t="str">
            <v/>
          </cell>
        </row>
        <row r="76957">
          <cell r="O76957" t="str">
            <v/>
          </cell>
        </row>
        <row r="76958">
          <cell r="O76958" t="str">
            <v/>
          </cell>
        </row>
        <row r="76959">
          <cell r="O76959" t="str">
            <v/>
          </cell>
        </row>
        <row r="76960">
          <cell r="O76960" t="str">
            <v/>
          </cell>
        </row>
        <row r="76961">
          <cell r="O76961" t="str">
            <v/>
          </cell>
        </row>
        <row r="76962">
          <cell r="O76962" t="str">
            <v/>
          </cell>
        </row>
        <row r="76963">
          <cell r="O76963" t="str">
            <v/>
          </cell>
        </row>
        <row r="76964">
          <cell r="O76964" t="str">
            <v/>
          </cell>
        </row>
        <row r="76965">
          <cell r="O76965" t="str">
            <v/>
          </cell>
        </row>
        <row r="76966">
          <cell r="O76966" t="str">
            <v/>
          </cell>
        </row>
        <row r="76967">
          <cell r="O76967" t="str">
            <v/>
          </cell>
        </row>
        <row r="76968">
          <cell r="O76968" t="str">
            <v/>
          </cell>
        </row>
        <row r="76969">
          <cell r="O76969" t="str">
            <v/>
          </cell>
        </row>
        <row r="76970">
          <cell r="O76970" t="str">
            <v/>
          </cell>
        </row>
        <row r="76971">
          <cell r="O76971" t="str">
            <v/>
          </cell>
        </row>
        <row r="76972">
          <cell r="O76972" t="str">
            <v/>
          </cell>
        </row>
        <row r="76973">
          <cell r="O76973" t="str">
            <v/>
          </cell>
        </row>
        <row r="76974">
          <cell r="O76974" t="str">
            <v/>
          </cell>
        </row>
        <row r="76975">
          <cell r="O76975" t="str">
            <v/>
          </cell>
        </row>
        <row r="76976">
          <cell r="O76976" t="str">
            <v/>
          </cell>
        </row>
        <row r="76977">
          <cell r="O76977" t="str">
            <v/>
          </cell>
        </row>
        <row r="76978">
          <cell r="O76978" t="str">
            <v/>
          </cell>
        </row>
        <row r="76979">
          <cell r="O76979" t="str">
            <v/>
          </cell>
        </row>
        <row r="76980">
          <cell r="O76980" t="str">
            <v/>
          </cell>
        </row>
        <row r="76981">
          <cell r="O76981" t="str">
            <v/>
          </cell>
        </row>
        <row r="76982">
          <cell r="O76982" t="str">
            <v/>
          </cell>
        </row>
        <row r="76983">
          <cell r="O76983" t="str">
            <v/>
          </cell>
        </row>
        <row r="76984">
          <cell r="O76984" t="str">
            <v/>
          </cell>
        </row>
        <row r="76985">
          <cell r="O76985" t="str">
            <v/>
          </cell>
        </row>
        <row r="76986">
          <cell r="O76986" t="str">
            <v/>
          </cell>
        </row>
        <row r="76987">
          <cell r="O76987" t="str">
            <v/>
          </cell>
        </row>
        <row r="76988">
          <cell r="O76988" t="str">
            <v/>
          </cell>
        </row>
        <row r="76989">
          <cell r="O76989" t="str">
            <v/>
          </cell>
        </row>
        <row r="76990">
          <cell r="O76990" t="str">
            <v/>
          </cell>
        </row>
        <row r="76991">
          <cell r="O76991" t="str">
            <v/>
          </cell>
        </row>
        <row r="76992">
          <cell r="O76992" t="str">
            <v/>
          </cell>
        </row>
        <row r="76993">
          <cell r="O76993" t="str">
            <v/>
          </cell>
        </row>
        <row r="76994">
          <cell r="O76994" t="str">
            <v/>
          </cell>
        </row>
        <row r="76995">
          <cell r="O76995" t="str">
            <v/>
          </cell>
        </row>
        <row r="76996">
          <cell r="O76996" t="str">
            <v/>
          </cell>
        </row>
        <row r="76997">
          <cell r="O76997" t="str">
            <v/>
          </cell>
        </row>
        <row r="76998">
          <cell r="O76998" t="str">
            <v/>
          </cell>
        </row>
        <row r="76999">
          <cell r="O76999" t="str">
            <v/>
          </cell>
        </row>
        <row r="77000">
          <cell r="O77000" t="str">
            <v/>
          </cell>
        </row>
        <row r="77001">
          <cell r="O77001" t="str">
            <v/>
          </cell>
        </row>
        <row r="77002">
          <cell r="O77002" t="str">
            <v/>
          </cell>
        </row>
        <row r="77003">
          <cell r="O77003" t="str">
            <v/>
          </cell>
        </row>
        <row r="77004">
          <cell r="O77004" t="str">
            <v/>
          </cell>
        </row>
        <row r="77005">
          <cell r="O77005" t="str">
            <v/>
          </cell>
        </row>
        <row r="77006">
          <cell r="O77006" t="str">
            <v/>
          </cell>
        </row>
        <row r="77007">
          <cell r="O77007" t="str">
            <v/>
          </cell>
        </row>
        <row r="77008">
          <cell r="O77008" t="str">
            <v/>
          </cell>
        </row>
        <row r="77009">
          <cell r="O77009" t="str">
            <v/>
          </cell>
        </row>
        <row r="77010">
          <cell r="O77010" t="str">
            <v/>
          </cell>
        </row>
        <row r="77011">
          <cell r="O77011" t="str">
            <v/>
          </cell>
        </row>
        <row r="77012">
          <cell r="O77012" t="str">
            <v/>
          </cell>
        </row>
        <row r="77013">
          <cell r="O77013" t="str">
            <v/>
          </cell>
        </row>
        <row r="77014">
          <cell r="O77014" t="str">
            <v/>
          </cell>
        </row>
        <row r="77015">
          <cell r="O77015" t="str">
            <v/>
          </cell>
        </row>
        <row r="77016">
          <cell r="O77016" t="str">
            <v/>
          </cell>
        </row>
        <row r="77017">
          <cell r="O77017" t="str">
            <v/>
          </cell>
        </row>
        <row r="77018">
          <cell r="O77018" t="str">
            <v/>
          </cell>
        </row>
        <row r="77019">
          <cell r="O77019" t="str">
            <v/>
          </cell>
        </row>
        <row r="77020">
          <cell r="O77020" t="str">
            <v/>
          </cell>
        </row>
        <row r="77021">
          <cell r="O77021" t="str">
            <v/>
          </cell>
        </row>
        <row r="77022">
          <cell r="O77022" t="str">
            <v/>
          </cell>
        </row>
        <row r="77023">
          <cell r="O77023" t="str">
            <v/>
          </cell>
        </row>
        <row r="77024">
          <cell r="O77024" t="str">
            <v/>
          </cell>
        </row>
        <row r="77025">
          <cell r="O77025" t="str">
            <v/>
          </cell>
        </row>
        <row r="77026">
          <cell r="O77026" t="str">
            <v/>
          </cell>
        </row>
        <row r="77027">
          <cell r="O77027" t="str">
            <v/>
          </cell>
        </row>
        <row r="77028">
          <cell r="O77028" t="str">
            <v/>
          </cell>
        </row>
        <row r="77029">
          <cell r="O77029" t="str">
            <v/>
          </cell>
        </row>
        <row r="77030">
          <cell r="O77030" t="str">
            <v/>
          </cell>
        </row>
        <row r="77031">
          <cell r="O77031" t="str">
            <v/>
          </cell>
        </row>
        <row r="77032">
          <cell r="O77032" t="str">
            <v/>
          </cell>
        </row>
        <row r="77033">
          <cell r="O77033" t="str">
            <v/>
          </cell>
        </row>
        <row r="77034">
          <cell r="O77034" t="str">
            <v/>
          </cell>
        </row>
        <row r="77035">
          <cell r="O77035" t="str">
            <v/>
          </cell>
        </row>
        <row r="77036">
          <cell r="O77036" t="str">
            <v/>
          </cell>
        </row>
        <row r="77037">
          <cell r="O77037" t="str">
            <v/>
          </cell>
        </row>
        <row r="77038">
          <cell r="O77038" t="str">
            <v/>
          </cell>
        </row>
        <row r="77039">
          <cell r="O77039" t="str">
            <v/>
          </cell>
        </row>
        <row r="77040">
          <cell r="O77040" t="str">
            <v/>
          </cell>
        </row>
        <row r="77041">
          <cell r="O77041" t="str">
            <v/>
          </cell>
        </row>
        <row r="77042">
          <cell r="O77042" t="str">
            <v/>
          </cell>
        </row>
        <row r="77043">
          <cell r="O77043" t="str">
            <v/>
          </cell>
        </row>
        <row r="77044">
          <cell r="O77044" t="str">
            <v/>
          </cell>
        </row>
        <row r="77045">
          <cell r="O77045" t="str">
            <v/>
          </cell>
        </row>
        <row r="77046">
          <cell r="O77046" t="str">
            <v/>
          </cell>
        </row>
        <row r="77047">
          <cell r="O77047" t="str">
            <v/>
          </cell>
        </row>
        <row r="77048">
          <cell r="O77048" t="str">
            <v/>
          </cell>
        </row>
        <row r="77049">
          <cell r="O77049" t="str">
            <v/>
          </cell>
        </row>
        <row r="77050">
          <cell r="O77050" t="str">
            <v/>
          </cell>
        </row>
        <row r="77051">
          <cell r="O77051" t="str">
            <v/>
          </cell>
        </row>
        <row r="77052">
          <cell r="O77052" t="str">
            <v/>
          </cell>
        </row>
        <row r="77053">
          <cell r="O77053" t="str">
            <v/>
          </cell>
        </row>
        <row r="77054">
          <cell r="O77054" t="str">
            <v/>
          </cell>
        </row>
        <row r="77055">
          <cell r="O77055" t="str">
            <v/>
          </cell>
        </row>
        <row r="77056">
          <cell r="O77056" t="str">
            <v/>
          </cell>
        </row>
        <row r="77057">
          <cell r="O77057" t="str">
            <v/>
          </cell>
        </row>
        <row r="77058">
          <cell r="O77058" t="str">
            <v/>
          </cell>
        </row>
        <row r="77059">
          <cell r="O77059" t="str">
            <v/>
          </cell>
        </row>
        <row r="77060">
          <cell r="O77060" t="str">
            <v/>
          </cell>
        </row>
        <row r="77061">
          <cell r="O77061" t="str">
            <v/>
          </cell>
        </row>
        <row r="77062">
          <cell r="O77062" t="str">
            <v/>
          </cell>
        </row>
        <row r="77063">
          <cell r="O77063" t="str">
            <v/>
          </cell>
        </row>
        <row r="77064">
          <cell r="O77064" t="str">
            <v/>
          </cell>
        </row>
        <row r="77065">
          <cell r="O77065" t="str">
            <v/>
          </cell>
        </row>
        <row r="77066">
          <cell r="O77066" t="str">
            <v/>
          </cell>
        </row>
        <row r="77067">
          <cell r="O77067" t="str">
            <v/>
          </cell>
        </row>
        <row r="77068">
          <cell r="O77068" t="str">
            <v/>
          </cell>
        </row>
        <row r="77069">
          <cell r="O77069" t="str">
            <v/>
          </cell>
        </row>
        <row r="77070">
          <cell r="O77070" t="str">
            <v/>
          </cell>
        </row>
        <row r="77071">
          <cell r="O77071" t="str">
            <v/>
          </cell>
        </row>
        <row r="77072">
          <cell r="O77072" t="str">
            <v/>
          </cell>
        </row>
        <row r="77073">
          <cell r="O77073" t="str">
            <v/>
          </cell>
        </row>
        <row r="77074">
          <cell r="O77074" t="str">
            <v/>
          </cell>
        </row>
        <row r="77075">
          <cell r="O77075" t="str">
            <v/>
          </cell>
        </row>
        <row r="77076">
          <cell r="O77076" t="str">
            <v/>
          </cell>
        </row>
        <row r="77077">
          <cell r="O77077" t="str">
            <v/>
          </cell>
        </row>
        <row r="77078">
          <cell r="O77078" t="str">
            <v/>
          </cell>
        </row>
        <row r="77079">
          <cell r="O77079" t="str">
            <v/>
          </cell>
        </row>
        <row r="77080">
          <cell r="O77080" t="str">
            <v/>
          </cell>
        </row>
        <row r="77081">
          <cell r="O77081" t="str">
            <v/>
          </cell>
        </row>
        <row r="77082">
          <cell r="O77082" t="str">
            <v/>
          </cell>
        </row>
        <row r="77083">
          <cell r="O77083" t="str">
            <v/>
          </cell>
        </row>
        <row r="77084">
          <cell r="O77084" t="str">
            <v/>
          </cell>
        </row>
        <row r="77085">
          <cell r="O77085" t="str">
            <v/>
          </cell>
        </row>
        <row r="77086">
          <cell r="O77086" t="str">
            <v/>
          </cell>
        </row>
        <row r="77087">
          <cell r="O77087" t="str">
            <v/>
          </cell>
        </row>
        <row r="77088">
          <cell r="O77088" t="str">
            <v/>
          </cell>
        </row>
        <row r="77089">
          <cell r="O77089" t="str">
            <v/>
          </cell>
        </row>
        <row r="77090">
          <cell r="O77090" t="str">
            <v/>
          </cell>
        </row>
        <row r="77091">
          <cell r="O77091" t="str">
            <v/>
          </cell>
        </row>
        <row r="77092">
          <cell r="O77092" t="str">
            <v/>
          </cell>
        </row>
        <row r="77093">
          <cell r="O77093" t="str">
            <v/>
          </cell>
        </row>
        <row r="77094">
          <cell r="O77094" t="str">
            <v/>
          </cell>
        </row>
        <row r="77095">
          <cell r="O77095" t="str">
            <v/>
          </cell>
        </row>
        <row r="77096">
          <cell r="O77096" t="str">
            <v/>
          </cell>
        </row>
        <row r="77097">
          <cell r="O77097" t="str">
            <v/>
          </cell>
        </row>
        <row r="77098">
          <cell r="O77098" t="str">
            <v/>
          </cell>
        </row>
        <row r="77099">
          <cell r="O77099" t="str">
            <v/>
          </cell>
        </row>
        <row r="77100">
          <cell r="O77100" t="str">
            <v/>
          </cell>
        </row>
        <row r="77101">
          <cell r="O77101" t="str">
            <v/>
          </cell>
        </row>
        <row r="77102">
          <cell r="O77102" t="str">
            <v/>
          </cell>
        </row>
        <row r="77103">
          <cell r="O77103" t="str">
            <v/>
          </cell>
        </row>
        <row r="77104">
          <cell r="O77104" t="str">
            <v/>
          </cell>
        </row>
        <row r="77105">
          <cell r="O77105" t="str">
            <v/>
          </cell>
        </row>
        <row r="77106">
          <cell r="O77106" t="str">
            <v/>
          </cell>
        </row>
        <row r="77107">
          <cell r="O77107" t="str">
            <v/>
          </cell>
        </row>
        <row r="77108">
          <cell r="O77108" t="str">
            <v/>
          </cell>
        </row>
        <row r="77109">
          <cell r="O77109" t="str">
            <v/>
          </cell>
        </row>
        <row r="77110">
          <cell r="O77110" t="str">
            <v/>
          </cell>
        </row>
        <row r="77111">
          <cell r="O77111" t="str">
            <v/>
          </cell>
        </row>
        <row r="77112">
          <cell r="O77112" t="str">
            <v/>
          </cell>
        </row>
        <row r="77113">
          <cell r="O77113" t="str">
            <v/>
          </cell>
        </row>
        <row r="77114">
          <cell r="O77114" t="str">
            <v/>
          </cell>
        </row>
        <row r="77115">
          <cell r="O77115" t="str">
            <v/>
          </cell>
        </row>
        <row r="77116">
          <cell r="O77116" t="str">
            <v/>
          </cell>
        </row>
        <row r="77117">
          <cell r="O77117" t="str">
            <v/>
          </cell>
        </row>
        <row r="77118">
          <cell r="O77118" t="str">
            <v/>
          </cell>
        </row>
        <row r="77119">
          <cell r="O77119" t="str">
            <v/>
          </cell>
        </row>
        <row r="77120">
          <cell r="O77120" t="str">
            <v/>
          </cell>
        </row>
        <row r="77121">
          <cell r="O77121" t="str">
            <v/>
          </cell>
        </row>
        <row r="77122">
          <cell r="O77122" t="str">
            <v/>
          </cell>
        </row>
        <row r="77123">
          <cell r="O77123" t="str">
            <v/>
          </cell>
        </row>
        <row r="77124">
          <cell r="O77124" t="str">
            <v/>
          </cell>
        </row>
        <row r="77125">
          <cell r="O77125" t="str">
            <v/>
          </cell>
        </row>
        <row r="77126">
          <cell r="O77126" t="str">
            <v/>
          </cell>
        </row>
        <row r="77127">
          <cell r="O77127" t="str">
            <v/>
          </cell>
        </row>
        <row r="77128">
          <cell r="O77128" t="str">
            <v/>
          </cell>
        </row>
        <row r="77129">
          <cell r="O77129" t="str">
            <v/>
          </cell>
        </row>
        <row r="77130">
          <cell r="O77130" t="str">
            <v/>
          </cell>
        </row>
        <row r="77131">
          <cell r="O77131" t="str">
            <v/>
          </cell>
        </row>
        <row r="77132">
          <cell r="O77132" t="str">
            <v/>
          </cell>
        </row>
        <row r="77133">
          <cell r="O77133" t="str">
            <v/>
          </cell>
        </row>
        <row r="77134">
          <cell r="O77134" t="str">
            <v/>
          </cell>
        </row>
        <row r="77135">
          <cell r="O77135" t="str">
            <v/>
          </cell>
        </row>
        <row r="77136">
          <cell r="O77136" t="str">
            <v/>
          </cell>
        </row>
        <row r="77137">
          <cell r="O77137" t="str">
            <v/>
          </cell>
        </row>
        <row r="77138">
          <cell r="O77138" t="str">
            <v/>
          </cell>
        </row>
        <row r="77139">
          <cell r="O77139" t="str">
            <v/>
          </cell>
        </row>
        <row r="77140">
          <cell r="O77140" t="str">
            <v/>
          </cell>
        </row>
        <row r="77141">
          <cell r="O77141" t="str">
            <v/>
          </cell>
        </row>
        <row r="77142">
          <cell r="O77142" t="str">
            <v/>
          </cell>
        </row>
        <row r="77143">
          <cell r="O77143" t="str">
            <v/>
          </cell>
        </row>
        <row r="77144">
          <cell r="O77144" t="str">
            <v/>
          </cell>
        </row>
        <row r="77145">
          <cell r="O77145" t="str">
            <v/>
          </cell>
        </row>
        <row r="77146">
          <cell r="O77146" t="str">
            <v/>
          </cell>
        </row>
        <row r="77147">
          <cell r="O77147" t="str">
            <v/>
          </cell>
        </row>
        <row r="77148">
          <cell r="O77148" t="str">
            <v/>
          </cell>
        </row>
        <row r="77149">
          <cell r="O77149" t="str">
            <v/>
          </cell>
        </row>
        <row r="77150">
          <cell r="O77150" t="str">
            <v/>
          </cell>
        </row>
        <row r="77151">
          <cell r="O77151" t="str">
            <v/>
          </cell>
        </row>
        <row r="77152">
          <cell r="O77152" t="str">
            <v/>
          </cell>
        </row>
        <row r="77153">
          <cell r="O77153" t="str">
            <v/>
          </cell>
        </row>
        <row r="77154">
          <cell r="O77154" t="str">
            <v/>
          </cell>
        </row>
        <row r="77155">
          <cell r="O77155" t="str">
            <v/>
          </cell>
        </row>
        <row r="77156">
          <cell r="O77156" t="str">
            <v/>
          </cell>
        </row>
        <row r="77157">
          <cell r="O77157" t="str">
            <v/>
          </cell>
        </row>
        <row r="77158">
          <cell r="O77158" t="str">
            <v/>
          </cell>
        </row>
        <row r="77159">
          <cell r="O77159" t="str">
            <v/>
          </cell>
        </row>
        <row r="77160">
          <cell r="O77160" t="str">
            <v/>
          </cell>
        </row>
        <row r="77161">
          <cell r="O77161" t="str">
            <v/>
          </cell>
        </row>
        <row r="77162">
          <cell r="O77162" t="str">
            <v/>
          </cell>
        </row>
        <row r="77163">
          <cell r="O77163" t="str">
            <v/>
          </cell>
        </row>
        <row r="77164">
          <cell r="O77164" t="str">
            <v/>
          </cell>
        </row>
        <row r="77165">
          <cell r="O77165" t="str">
            <v/>
          </cell>
        </row>
        <row r="77166">
          <cell r="O77166" t="str">
            <v/>
          </cell>
        </row>
        <row r="77167">
          <cell r="O77167" t="str">
            <v/>
          </cell>
        </row>
        <row r="77168">
          <cell r="O77168" t="str">
            <v/>
          </cell>
        </row>
        <row r="77169">
          <cell r="O77169" t="str">
            <v/>
          </cell>
        </row>
        <row r="77170">
          <cell r="O77170" t="str">
            <v/>
          </cell>
        </row>
        <row r="77171">
          <cell r="O77171" t="str">
            <v/>
          </cell>
        </row>
        <row r="77172">
          <cell r="O77172" t="str">
            <v/>
          </cell>
        </row>
        <row r="77173">
          <cell r="O77173" t="str">
            <v/>
          </cell>
        </row>
        <row r="77174">
          <cell r="O77174" t="str">
            <v/>
          </cell>
        </row>
        <row r="77175">
          <cell r="O77175" t="str">
            <v/>
          </cell>
        </row>
        <row r="77176">
          <cell r="O77176" t="str">
            <v/>
          </cell>
        </row>
        <row r="77177">
          <cell r="O77177" t="str">
            <v/>
          </cell>
        </row>
        <row r="77178">
          <cell r="O77178" t="str">
            <v/>
          </cell>
        </row>
        <row r="77179">
          <cell r="O77179" t="str">
            <v/>
          </cell>
        </row>
        <row r="77180">
          <cell r="O77180" t="str">
            <v/>
          </cell>
        </row>
        <row r="77181">
          <cell r="O77181" t="str">
            <v/>
          </cell>
        </row>
        <row r="77182">
          <cell r="O77182" t="str">
            <v/>
          </cell>
        </row>
        <row r="77183">
          <cell r="O77183" t="str">
            <v/>
          </cell>
        </row>
        <row r="77184">
          <cell r="O77184" t="str">
            <v/>
          </cell>
        </row>
        <row r="77185">
          <cell r="O77185" t="str">
            <v/>
          </cell>
        </row>
        <row r="77186">
          <cell r="O77186" t="str">
            <v/>
          </cell>
        </row>
        <row r="77187">
          <cell r="O77187" t="str">
            <v/>
          </cell>
        </row>
        <row r="77188">
          <cell r="O77188" t="str">
            <v/>
          </cell>
        </row>
        <row r="77189">
          <cell r="O77189" t="str">
            <v/>
          </cell>
        </row>
        <row r="77190">
          <cell r="O77190" t="str">
            <v/>
          </cell>
        </row>
        <row r="77191">
          <cell r="O77191" t="str">
            <v/>
          </cell>
        </row>
        <row r="77192">
          <cell r="O77192" t="str">
            <v/>
          </cell>
        </row>
        <row r="77193">
          <cell r="O77193" t="str">
            <v/>
          </cell>
        </row>
        <row r="77194">
          <cell r="O77194" t="str">
            <v/>
          </cell>
        </row>
        <row r="77195">
          <cell r="O77195" t="str">
            <v/>
          </cell>
        </row>
        <row r="77196">
          <cell r="O77196" t="str">
            <v/>
          </cell>
        </row>
        <row r="77197">
          <cell r="O77197" t="str">
            <v/>
          </cell>
        </row>
        <row r="77198">
          <cell r="O77198" t="str">
            <v/>
          </cell>
        </row>
        <row r="77199">
          <cell r="O77199" t="str">
            <v/>
          </cell>
        </row>
        <row r="77200">
          <cell r="O77200" t="str">
            <v/>
          </cell>
        </row>
        <row r="77201">
          <cell r="O77201" t="str">
            <v/>
          </cell>
        </row>
        <row r="77202">
          <cell r="O77202" t="str">
            <v/>
          </cell>
        </row>
        <row r="77203">
          <cell r="O77203" t="str">
            <v/>
          </cell>
        </row>
        <row r="77204">
          <cell r="O77204" t="str">
            <v/>
          </cell>
        </row>
        <row r="77205">
          <cell r="O77205" t="str">
            <v/>
          </cell>
        </row>
        <row r="77206">
          <cell r="O77206" t="str">
            <v/>
          </cell>
        </row>
        <row r="77207">
          <cell r="O77207" t="str">
            <v/>
          </cell>
        </row>
        <row r="77208">
          <cell r="O77208" t="str">
            <v/>
          </cell>
        </row>
        <row r="77209">
          <cell r="O77209" t="str">
            <v/>
          </cell>
        </row>
        <row r="77210">
          <cell r="O77210" t="str">
            <v/>
          </cell>
        </row>
        <row r="77211">
          <cell r="O77211" t="str">
            <v/>
          </cell>
        </row>
        <row r="77212">
          <cell r="O77212" t="str">
            <v/>
          </cell>
        </row>
        <row r="77213">
          <cell r="O77213" t="str">
            <v/>
          </cell>
        </row>
        <row r="77214">
          <cell r="O77214" t="str">
            <v/>
          </cell>
        </row>
        <row r="77215">
          <cell r="O77215" t="str">
            <v/>
          </cell>
        </row>
        <row r="77216">
          <cell r="O77216" t="str">
            <v/>
          </cell>
        </row>
        <row r="77217">
          <cell r="O77217" t="str">
            <v/>
          </cell>
        </row>
        <row r="77218">
          <cell r="O77218" t="str">
            <v/>
          </cell>
        </row>
        <row r="77219">
          <cell r="O77219" t="str">
            <v/>
          </cell>
        </row>
        <row r="77220">
          <cell r="O77220" t="str">
            <v/>
          </cell>
        </row>
        <row r="77221">
          <cell r="O77221" t="str">
            <v/>
          </cell>
        </row>
        <row r="77222">
          <cell r="O77222" t="str">
            <v/>
          </cell>
        </row>
        <row r="77223">
          <cell r="O77223" t="str">
            <v/>
          </cell>
        </row>
        <row r="77224">
          <cell r="O77224" t="str">
            <v/>
          </cell>
        </row>
        <row r="77225">
          <cell r="O77225" t="str">
            <v/>
          </cell>
        </row>
        <row r="77226">
          <cell r="O77226" t="str">
            <v/>
          </cell>
        </row>
        <row r="77227">
          <cell r="O77227" t="str">
            <v/>
          </cell>
        </row>
        <row r="77228">
          <cell r="O77228" t="str">
            <v/>
          </cell>
        </row>
        <row r="77229">
          <cell r="O77229" t="str">
            <v/>
          </cell>
        </row>
        <row r="77230">
          <cell r="O77230" t="str">
            <v/>
          </cell>
        </row>
        <row r="77231">
          <cell r="O77231" t="str">
            <v/>
          </cell>
        </row>
        <row r="77232">
          <cell r="O77232" t="str">
            <v/>
          </cell>
        </row>
        <row r="77233">
          <cell r="O77233" t="str">
            <v/>
          </cell>
        </row>
        <row r="77234">
          <cell r="O77234" t="str">
            <v/>
          </cell>
        </row>
        <row r="77235">
          <cell r="O77235" t="str">
            <v/>
          </cell>
        </row>
        <row r="77236">
          <cell r="O77236" t="str">
            <v/>
          </cell>
        </row>
        <row r="77237">
          <cell r="O77237" t="str">
            <v/>
          </cell>
        </row>
        <row r="77238">
          <cell r="O77238" t="str">
            <v/>
          </cell>
        </row>
        <row r="77239">
          <cell r="O77239" t="str">
            <v/>
          </cell>
        </row>
        <row r="77240">
          <cell r="O77240" t="str">
            <v/>
          </cell>
        </row>
        <row r="77241">
          <cell r="O77241" t="str">
            <v/>
          </cell>
        </row>
        <row r="77242">
          <cell r="O77242" t="str">
            <v/>
          </cell>
        </row>
        <row r="77243">
          <cell r="O77243" t="str">
            <v/>
          </cell>
        </row>
        <row r="77244">
          <cell r="O77244" t="str">
            <v/>
          </cell>
        </row>
        <row r="77245">
          <cell r="O77245" t="str">
            <v/>
          </cell>
        </row>
        <row r="77246">
          <cell r="O77246" t="str">
            <v/>
          </cell>
        </row>
        <row r="77247">
          <cell r="O77247" t="str">
            <v/>
          </cell>
        </row>
        <row r="77248">
          <cell r="O77248" t="str">
            <v/>
          </cell>
        </row>
        <row r="77249">
          <cell r="O77249" t="str">
            <v/>
          </cell>
        </row>
        <row r="77250">
          <cell r="O77250" t="str">
            <v/>
          </cell>
        </row>
        <row r="77251">
          <cell r="O77251" t="str">
            <v/>
          </cell>
        </row>
        <row r="77252">
          <cell r="O77252" t="str">
            <v/>
          </cell>
        </row>
        <row r="77253">
          <cell r="O77253" t="str">
            <v/>
          </cell>
        </row>
        <row r="77254">
          <cell r="O77254" t="str">
            <v/>
          </cell>
        </row>
        <row r="77255">
          <cell r="O77255" t="str">
            <v/>
          </cell>
        </row>
        <row r="77256">
          <cell r="O77256" t="str">
            <v/>
          </cell>
        </row>
        <row r="77257">
          <cell r="O77257" t="str">
            <v/>
          </cell>
        </row>
        <row r="77258">
          <cell r="O77258" t="str">
            <v/>
          </cell>
        </row>
        <row r="77259">
          <cell r="O77259" t="str">
            <v/>
          </cell>
        </row>
        <row r="77260">
          <cell r="O77260" t="str">
            <v/>
          </cell>
        </row>
        <row r="77261">
          <cell r="O77261" t="str">
            <v/>
          </cell>
        </row>
        <row r="77262">
          <cell r="O77262" t="str">
            <v/>
          </cell>
        </row>
        <row r="77263">
          <cell r="O77263" t="str">
            <v/>
          </cell>
        </row>
        <row r="77264">
          <cell r="O77264" t="str">
            <v/>
          </cell>
        </row>
        <row r="77265">
          <cell r="O77265" t="str">
            <v/>
          </cell>
        </row>
        <row r="77266">
          <cell r="O77266" t="str">
            <v/>
          </cell>
        </row>
        <row r="77267">
          <cell r="O77267" t="str">
            <v/>
          </cell>
        </row>
        <row r="77268">
          <cell r="O77268" t="str">
            <v/>
          </cell>
        </row>
        <row r="77269">
          <cell r="O77269" t="str">
            <v/>
          </cell>
        </row>
        <row r="77270">
          <cell r="O77270" t="str">
            <v/>
          </cell>
        </row>
        <row r="77271">
          <cell r="O77271" t="str">
            <v/>
          </cell>
        </row>
        <row r="77272">
          <cell r="O77272" t="str">
            <v/>
          </cell>
        </row>
        <row r="77273">
          <cell r="O77273" t="str">
            <v/>
          </cell>
        </row>
        <row r="77274">
          <cell r="O77274" t="str">
            <v/>
          </cell>
        </row>
        <row r="77275">
          <cell r="O77275" t="str">
            <v/>
          </cell>
        </row>
        <row r="77276">
          <cell r="O77276" t="str">
            <v/>
          </cell>
        </row>
        <row r="77277">
          <cell r="O77277" t="str">
            <v/>
          </cell>
        </row>
        <row r="77278">
          <cell r="O77278" t="str">
            <v/>
          </cell>
        </row>
        <row r="77279">
          <cell r="O77279" t="str">
            <v/>
          </cell>
        </row>
        <row r="77280">
          <cell r="O77280" t="str">
            <v/>
          </cell>
        </row>
        <row r="77281">
          <cell r="O77281" t="str">
            <v/>
          </cell>
        </row>
        <row r="77282">
          <cell r="O77282" t="str">
            <v/>
          </cell>
        </row>
        <row r="77283">
          <cell r="O77283" t="str">
            <v/>
          </cell>
        </row>
        <row r="77284">
          <cell r="O77284" t="str">
            <v/>
          </cell>
        </row>
        <row r="77285">
          <cell r="O77285" t="str">
            <v/>
          </cell>
        </row>
        <row r="77286">
          <cell r="O77286" t="str">
            <v/>
          </cell>
        </row>
        <row r="77287">
          <cell r="O77287" t="str">
            <v/>
          </cell>
        </row>
        <row r="77288">
          <cell r="O77288" t="str">
            <v/>
          </cell>
        </row>
        <row r="77289">
          <cell r="O77289" t="str">
            <v/>
          </cell>
        </row>
        <row r="77290">
          <cell r="O77290" t="str">
            <v/>
          </cell>
        </row>
        <row r="77291">
          <cell r="O77291" t="str">
            <v/>
          </cell>
        </row>
        <row r="77292">
          <cell r="O77292" t="str">
            <v/>
          </cell>
        </row>
        <row r="77293">
          <cell r="O77293" t="str">
            <v/>
          </cell>
        </row>
        <row r="77294">
          <cell r="O77294" t="str">
            <v/>
          </cell>
        </row>
        <row r="77295">
          <cell r="O77295" t="str">
            <v/>
          </cell>
        </row>
        <row r="77296">
          <cell r="O77296" t="str">
            <v/>
          </cell>
        </row>
        <row r="77297">
          <cell r="O77297" t="str">
            <v/>
          </cell>
        </row>
        <row r="77298">
          <cell r="O77298" t="str">
            <v/>
          </cell>
        </row>
        <row r="77299">
          <cell r="O77299" t="str">
            <v/>
          </cell>
        </row>
        <row r="77300">
          <cell r="O77300" t="str">
            <v/>
          </cell>
        </row>
        <row r="77301">
          <cell r="O77301" t="str">
            <v/>
          </cell>
        </row>
        <row r="77302">
          <cell r="O77302" t="str">
            <v/>
          </cell>
        </row>
        <row r="77303">
          <cell r="O77303" t="str">
            <v/>
          </cell>
        </row>
        <row r="77304">
          <cell r="O77304" t="str">
            <v/>
          </cell>
        </row>
        <row r="77305">
          <cell r="O77305" t="str">
            <v/>
          </cell>
        </row>
        <row r="77306">
          <cell r="O77306" t="str">
            <v/>
          </cell>
        </row>
        <row r="77307">
          <cell r="O77307" t="str">
            <v/>
          </cell>
        </row>
        <row r="77308">
          <cell r="O77308" t="str">
            <v/>
          </cell>
        </row>
        <row r="77309">
          <cell r="O77309" t="str">
            <v/>
          </cell>
        </row>
        <row r="77310">
          <cell r="O77310" t="str">
            <v/>
          </cell>
        </row>
        <row r="77311">
          <cell r="O77311" t="str">
            <v/>
          </cell>
        </row>
        <row r="77312">
          <cell r="O77312" t="str">
            <v/>
          </cell>
        </row>
        <row r="77313">
          <cell r="O77313" t="str">
            <v/>
          </cell>
        </row>
        <row r="77314">
          <cell r="O77314" t="str">
            <v/>
          </cell>
        </row>
        <row r="77315">
          <cell r="O77315" t="str">
            <v/>
          </cell>
        </row>
        <row r="77316">
          <cell r="O77316" t="str">
            <v/>
          </cell>
        </row>
        <row r="77317">
          <cell r="O77317" t="str">
            <v/>
          </cell>
        </row>
        <row r="77318">
          <cell r="O77318" t="str">
            <v/>
          </cell>
        </row>
        <row r="77319">
          <cell r="O77319" t="str">
            <v/>
          </cell>
        </row>
        <row r="77320">
          <cell r="O77320" t="str">
            <v/>
          </cell>
        </row>
        <row r="77321">
          <cell r="O77321" t="str">
            <v/>
          </cell>
        </row>
        <row r="77322">
          <cell r="O77322" t="str">
            <v/>
          </cell>
        </row>
        <row r="77323">
          <cell r="O77323" t="str">
            <v/>
          </cell>
        </row>
        <row r="77324">
          <cell r="O77324" t="str">
            <v/>
          </cell>
        </row>
        <row r="77325">
          <cell r="O77325" t="str">
            <v/>
          </cell>
        </row>
        <row r="77326">
          <cell r="O77326" t="str">
            <v/>
          </cell>
        </row>
        <row r="77327">
          <cell r="O77327" t="str">
            <v/>
          </cell>
        </row>
        <row r="77328">
          <cell r="O77328" t="str">
            <v/>
          </cell>
        </row>
        <row r="77329">
          <cell r="O77329" t="str">
            <v/>
          </cell>
        </row>
        <row r="77330">
          <cell r="O77330" t="str">
            <v/>
          </cell>
        </row>
        <row r="77331">
          <cell r="O77331" t="str">
            <v/>
          </cell>
        </row>
        <row r="77332">
          <cell r="O77332" t="str">
            <v/>
          </cell>
        </row>
        <row r="77333">
          <cell r="O77333" t="str">
            <v/>
          </cell>
        </row>
        <row r="77334">
          <cell r="O77334" t="str">
            <v/>
          </cell>
        </row>
        <row r="77335">
          <cell r="O77335" t="str">
            <v/>
          </cell>
        </row>
        <row r="77336">
          <cell r="O77336" t="str">
            <v/>
          </cell>
        </row>
        <row r="77337">
          <cell r="O77337" t="str">
            <v/>
          </cell>
        </row>
        <row r="77338">
          <cell r="O77338" t="str">
            <v/>
          </cell>
        </row>
        <row r="77339">
          <cell r="O77339" t="str">
            <v/>
          </cell>
        </row>
        <row r="77340">
          <cell r="O77340" t="str">
            <v/>
          </cell>
        </row>
        <row r="77341">
          <cell r="O77341" t="str">
            <v/>
          </cell>
        </row>
        <row r="77342">
          <cell r="O77342" t="str">
            <v/>
          </cell>
        </row>
        <row r="77343">
          <cell r="O77343" t="str">
            <v/>
          </cell>
        </row>
        <row r="77344">
          <cell r="O77344" t="str">
            <v/>
          </cell>
        </row>
        <row r="77345">
          <cell r="O77345" t="str">
            <v/>
          </cell>
        </row>
        <row r="77346">
          <cell r="O77346" t="str">
            <v/>
          </cell>
        </row>
        <row r="77347">
          <cell r="O77347" t="str">
            <v/>
          </cell>
        </row>
        <row r="77348">
          <cell r="O77348" t="str">
            <v/>
          </cell>
        </row>
        <row r="77349">
          <cell r="O77349" t="str">
            <v/>
          </cell>
        </row>
        <row r="77350">
          <cell r="O77350" t="str">
            <v/>
          </cell>
        </row>
        <row r="77351">
          <cell r="O77351" t="str">
            <v/>
          </cell>
        </row>
        <row r="77352">
          <cell r="O77352" t="str">
            <v/>
          </cell>
        </row>
        <row r="77353">
          <cell r="O77353" t="str">
            <v/>
          </cell>
        </row>
        <row r="77354">
          <cell r="O77354" t="str">
            <v/>
          </cell>
        </row>
        <row r="77355">
          <cell r="O77355" t="str">
            <v/>
          </cell>
        </row>
        <row r="77356">
          <cell r="O77356" t="str">
            <v/>
          </cell>
        </row>
        <row r="77357">
          <cell r="O77357" t="str">
            <v/>
          </cell>
        </row>
        <row r="77358">
          <cell r="O77358" t="str">
            <v/>
          </cell>
        </row>
        <row r="77359">
          <cell r="O77359" t="str">
            <v/>
          </cell>
        </row>
        <row r="77360">
          <cell r="O77360" t="str">
            <v/>
          </cell>
        </row>
        <row r="77361">
          <cell r="O77361" t="str">
            <v/>
          </cell>
        </row>
        <row r="77362">
          <cell r="O77362" t="str">
            <v/>
          </cell>
        </row>
        <row r="77363">
          <cell r="O77363" t="str">
            <v/>
          </cell>
        </row>
        <row r="77364">
          <cell r="O77364" t="str">
            <v/>
          </cell>
        </row>
        <row r="77365">
          <cell r="O77365" t="str">
            <v/>
          </cell>
        </row>
        <row r="77366">
          <cell r="O77366" t="str">
            <v/>
          </cell>
        </row>
        <row r="77367">
          <cell r="O77367" t="str">
            <v/>
          </cell>
        </row>
        <row r="77368">
          <cell r="O77368" t="str">
            <v/>
          </cell>
        </row>
        <row r="77369">
          <cell r="O77369" t="str">
            <v/>
          </cell>
        </row>
        <row r="77370">
          <cell r="O77370" t="str">
            <v/>
          </cell>
        </row>
        <row r="77371">
          <cell r="O77371" t="str">
            <v/>
          </cell>
        </row>
        <row r="77372">
          <cell r="O77372" t="str">
            <v/>
          </cell>
        </row>
        <row r="77373">
          <cell r="O77373" t="str">
            <v/>
          </cell>
        </row>
        <row r="77374">
          <cell r="O77374" t="str">
            <v/>
          </cell>
        </row>
        <row r="77375">
          <cell r="O77375" t="str">
            <v/>
          </cell>
        </row>
        <row r="77376">
          <cell r="O77376" t="str">
            <v/>
          </cell>
        </row>
        <row r="77377">
          <cell r="O77377" t="str">
            <v/>
          </cell>
        </row>
        <row r="77378">
          <cell r="O77378" t="str">
            <v/>
          </cell>
        </row>
        <row r="77379">
          <cell r="O77379" t="str">
            <v/>
          </cell>
        </row>
        <row r="77380">
          <cell r="O77380" t="str">
            <v/>
          </cell>
        </row>
        <row r="77381">
          <cell r="O77381" t="str">
            <v/>
          </cell>
        </row>
        <row r="77382">
          <cell r="O77382" t="str">
            <v/>
          </cell>
        </row>
        <row r="77383">
          <cell r="O77383" t="str">
            <v/>
          </cell>
        </row>
        <row r="77384">
          <cell r="O77384" t="str">
            <v/>
          </cell>
        </row>
        <row r="77385">
          <cell r="O77385" t="str">
            <v/>
          </cell>
        </row>
        <row r="77386">
          <cell r="O77386" t="str">
            <v/>
          </cell>
        </row>
        <row r="77387">
          <cell r="O77387" t="str">
            <v/>
          </cell>
        </row>
        <row r="77388">
          <cell r="O77388" t="str">
            <v/>
          </cell>
        </row>
        <row r="77389">
          <cell r="O77389" t="str">
            <v/>
          </cell>
        </row>
        <row r="77390">
          <cell r="O77390" t="str">
            <v/>
          </cell>
        </row>
        <row r="77391">
          <cell r="O77391" t="str">
            <v/>
          </cell>
        </row>
        <row r="77392">
          <cell r="O77392" t="str">
            <v/>
          </cell>
        </row>
        <row r="77393">
          <cell r="O77393" t="str">
            <v/>
          </cell>
        </row>
        <row r="77394">
          <cell r="O77394" t="str">
            <v/>
          </cell>
        </row>
        <row r="77395">
          <cell r="O77395" t="str">
            <v/>
          </cell>
        </row>
        <row r="77396">
          <cell r="O77396" t="str">
            <v/>
          </cell>
        </row>
        <row r="77397">
          <cell r="O77397" t="str">
            <v/>
          </cell>
        </row>
        <row r="77398">
          <cell r="O77398" t="str">
            <v/>
          </cell>
        </row>
        <row r="77399">
          <cell r="O77399" t="str">
            <v/>
          </cell>
        </row>
        <row r="77400">
          <cell r="O77400" t="str">
            <v/>
          </cell>
        </row>
        <row r="77401">
          <cell r="O77401" t="str">
            <v/>
          </cell>
        </row>
        <row r="77402">
          <cell r="O77402" t="str">
            <v/>
          </cell>
        </row>
        <row r="77403">
          <cell r="O77403" t="str">
            <v/>
          </cell>
        </row>
        <row r="77404">
          <cell r="O77404" t="str">
            <v/>
          </cell>
        </row>
        <row r="77405">
          <cell r="O77405" t="str">
            <v/>
          </cell>
        </row>
        <row r="77406">
          <cell r="O77406" t="str">
            <v/>
          </cell>
        </row>
        <row r="77407">
          <cell r="O77407" t="str">
            <v/>
          </cell>
        </row>
        <row r="77408">
          <cell r="O77408" t="str">
            <v/>
          </cell>
        </row>
        <row r="77409">
          <cell r="O77409" t="str">
            <v/>
          </cell>
        </row>
        <row r="77410">
          <cell r="O77410" t="str">
            <v/>
          </cell>
        </row>
        <row r="77411">
          <cell r="O77411" t="str">
            <v/>
          </cell>
        </row>
        <row r="77412">
          <cell r="O77412" t="str">
            <v/>
          </cell>
        </row>
        <row r="77413">
          <cell r="O77413" t="str">
            <v/>
          </cell>
        </row>
        <row r="77414">
          <cell r="O77414" t="str">
            <v/>
          </cell>
        </row>
        <row r="77415">
          <cell r="O77415" t="str">
            <v/>
          </cell>
        </row>
        <row r="77416">
          <cell r="O77416" t="str">
            <v/>
          </cell>
        </row>
        <row r="77417">
          <cell r="O77417" t="str">
            <v/>
          </cell>
        </row>
        <row r="77418">
          <cell r="O77418" t="str">
            <v/>
          </cell>
        </row>
        <row r="77419">
          <cell r="O77419" t="str">
            <v/>
          </cell>
        </row>
        <row r="77420">
          <cell r="O77420" t="str">
            <v/>
          </cell>
        </row>
        <row r="77421">
          <cell r="O77421" t="str">
            <v/>
          </cell>
        </row>
        <row r="77422">
          <cell r="O77422" t="str">
            <v/>
          </cell>
        </row>
        <row r="77423">
          <cell r="O77423" t="str">
            <v/>
          </cell>
        </row>
        <row r="77424">
          <cell r="O77424" t="str">
            <v/>
          </cell>
        </row>
        <row r="77425">
          <cell r="O77425" t="str">
            <v/>
          </cell>
        </row>
        <row r="77426">
          <cell r="O77426" t="str">
            <v/>
          </cell>
        </row>
        <row r="77427">
          <cell r="O77427" t="str">
            <v/>
          </cell>
        </row>
        <row r="77428">
          <cell r="O77428" t="str">
            <v/>
          </cell>
        </row>
        <row r="77429">
          <cell r="O77429" t="str">
            <v/>
          </cell>
        </row>
        <row r="77430">
          <cell r="O77430" t="str">
            <v/>
          </cell>
        </row>
        <row r="77431">
          <cell r="O77431" t="str">
            <v/>
          </cell>
        </row>
        <row r="77432">
          <cell r="O77432" t="str">
            <v/>
          </cell>
        </row>
        <row r="77433">
          <cell r="O77433" t="str">
            <v/>
          </cell>
        </row>
        <row r="77434">
          <cell r="O77434" t="str">
            <v/>
          </cell>
        </row>
        <row r="77435">
          <cell r="O77435" t="str">
            <v/>
          </cell>
        </row>
        <row r="77436">
          <cell r="O77436" t="str">
            <v/>
          </cell>
        </row>
        <row r="77437">
          <cell r="O77437" t="str">
            <v/>
          </cell>
        </row>
        <row r="77438">
          <cell r="O77438" t="str">
            <v/>
          </cell>
        </row>
        <row r="77439">
          <cell r="O77439" t="str">
            <v/>
          </cell>
        </row>
        <row r="77440">
          <cell r="O77440" t="str">
            <v/>
          </cell>
        </row>
        <row r="77441">
          <cell r="O77441" t="str">
            <v/>
          </cell>
        </row>
        <row r="77442">
          <cell r="O77442" t="str">
            <v/>
          </cell>
        </row>
        <row r="77443">
          <cell r="O77443" t="str">
            <v/>
          </cell>
        </row>
        <row r="77444">
          <cell r="O77444" t="str">
            <v/>
          </cell>
        </row>
        <row r="77445">
          <cell r="O77445" t="str">
            <v/>
          </cell>
        </row>
        <row r="77446">
          <cell r="O77446" t="str">
            <v/>
          </cell>
        </row>
        <row r="77447">
          <cell r="O77447" t="str">
            <v/>
          </cell>
        </row>
        <row r="77448">
          <cell r="O77448" t="str">
            <v/>
          </cell>
        </row>
        <row r="77449">
          <cell r="O77449" t="str">
            <v/>
          </cell>
        </row>
        <row r="77450">
          <cell r="O77450" t="str">
            <v/>
          </cell>
        </row>
        <row r="77451">
          <cell r="O77451" t="str">
            <v/>
          </cell>
        </row>
        <row r="77452">
          <cell r="O77452" t="str">
            <v/>
          </cell>
        </row>
        <row r="77453">
          <cell r="O77453" t="str">
            <v/>
          </cell>
        </row>
        <row r="77454">
          <cell r="O77454" t="str">
            <v/>
          </cell>
        </row>
        <row r="77455">
          <cell r="O77455" t="str">
            <v/>
          </cell>
        </row>
        <row r="77456">
          <cell r="O77456" t="str">
            <v/>
          </cell>
        </row>
        <row r="77457">
          <cell r="O77457" t="str">
            <v/>
          </cell>
        </row>
        <row r="77458">
          <cell r="O77458" t="str">
            <v/>
          </cell>
        </row>
        <row r="77459">
          <cell r="O77459" t="str">
            <v/>
          </cell>
        </row>
        <row r="77460">
          <cell r="O77460" t="str">
            <v/>
          </cell>
        </row>
        <row r="77461">
          <cell r="O77461" t="str">
            <v/>
          </cell>
        </row>
        <row r="77462">
          <cell r="O77462" t="str">
            <v/>
          </cell>
        </row>
        <row r="77463">
          <cell r="O77463" t="str">
            <v/>
          </cell>
        </row>
        <row r="77464">
          <cell r="O77464" t="str">
            <v/>
          </cell>
        </row>
        <row r="77465">
          <cell r="O77465" t="str">
            <v/>
          </cell>
        </row>
        <row r="77466">
          <cell r="O77466" t="str">
            <v/>
          </cell>
        </row>
        <row r="77467">
          <cell r="O77467" t="str">
            <v/>
          </cell>
        </row>
        <row r="77468">
          <cell r="O77468" t="str">
            <v/>
          </cell>
        </row>
        <row r="77469">
          <cell r="O77469" t="str">
            <v/>
          </cell>
        </row>
        <row r="77470">
          <cell r="O77470" t="str">
            <v/>
          </cell>
        </row>
        <row r="77471">
          <cell r="O77471" t="str">
            <v/>
          </cell>
        </row>
        <row r="77472">
          <cell r="O77472" t="str">
            <v/>
          </cell>
        </row>
        <row r="77473">
          <cell r="O77473" t="str">
            <v/>
          </cell>
        </row>
        <row r="77474">
          <cell r="O77474" t="str">
            <v/>
          </cell>
        </row>
        <row r="77475">
          <cell r="O77475" t="str">
            <v/>
          </cell>
        </row>
        <row r="77476">
          <cell r="O77476" t="str">
            <v/>
          </cell>
        </row>
        <row r="77477">
          <cell r="O77477" t="str">
            <v/>
          </cell>
        </row>
        <row r="77478">
          <cell r="O77478" t="str">
            <v/>
          </cell>
        </row>
        <row r="77479">
          <cell r="O77479" t="str">
            <v/>
          </cell>
        </row>
        <row r="77480">
          <cell r="O77480" t="str">
            <v/>
          </cell>
        </row>
        <row r="77481">
          <cell r="O77481" t="str">
            <v/>
          </cell>
        </row>
        <row r="77482">
          <cell r="O77482" t="str">
            <v/>
          </cell>
        </row>
        <row r="77483">
          <cell r="O77483" t="str">
            <v/>
          </cell>
        </row>
        <row r="77484">
          <cell r="O77484" t="str">
            <v/>
          </cell>
        </row>
        <row r="77485">
          <cell r="O77485" t="str">
            <v/>
          </cell>
        </row>
        <row r="77486">
          <cell r="O77486" t="str">
            <v/>
          </cell>
        </row>
        <row r="77487">
          <cell r="O77487" t="str">
            <v/>
          </cell>
        </row>
        <row r="77488">
          <cell r="O77488" t="str">
            <v/>
          </cell>
        </row>
        <row r="77489">
          <cell r="O77489" t="str">
            <v/>
          </cell>
        </row>
        <row r="77490">
          <cell r="O77490" t="str">
            <v/>
          </cell>
        </row>
        <row r="77491">
          <cell r="O77491" t="str">
            <v/>
          </cell>
        </row>
        <row r="77492">
          <cell r="O77492" t="str">
            <v/>
          </cell>
        </row>
        <row r="77493">
          <cell r="O77493" t="str">
            <v/>
          </cell>
        </row>
        <row r="77494">
          <cell r="O77494" t="str">
            <v/>
          </cell>
        </row>
        <row r="77495">
          <cell r="O77495" t="str">
            <v/>
          </cell>
        </row>
        <row r="77496">
          <cell r="O77496" t="str">
            <v/>
          </cell>
        </row>
        <row r="77497">
          <cell r="O77497" t="str">
            <v/>
          </cell>
        </row>
        <row r="77498">
          <cell r="O77498" t="str">
            <v/>
          </cell>
        </row>
        <row r="77499">
          <cell r="O77499" t="str">
            <v/>
          </cell>
        </row>
        <row r="77500">
          <cell r="O77500" t="str">
            <v/>
          </cell>
        </row>
        <row r="77501">
          <cell r="O77501" t="str">
            <v/>
          </cell>
        </row>
        <row r="77502">
          <cell r="O77502" t="str">
            <v/>
          </cell>
        </row>
        <row r="77503">
          <cell r="O77503" t="str">
            <v/>
          </cell>
        </row>
        <row r="77504">
          <cell r="O77504" t="str">
            <v/>
          </cell>
        </row>
        <row r="77505">
          <cell r="O77505" t="str">
            <v/>
          </cell>
        </row>
        <row r="77506">
          <cell r="O77506" t="str">
            <v/>
          </cell>
        </row>
        <row r="77507">
          <cell r="O77507" t="str">
            <v/>
          </cell>
        </row>
        <row r="77508">
          <cell r="O77508" t="str">
            <v/>
          </cell>
        </row>
        <row r="77509">
          <cell r="O77509" t="str">
            <v/>
          </cell>
        </row>
        <row r="77510">
          <cell r="O77510" t="str">
            <v/>
          </cell>
        </row>
        <row r="77511">
          <cell r="O77511" t="str">
            <v/>
          </cell>
        </row>
        <row r="77512">
          <cell r="O77512" t="str">
            <v/>
          </cell>
        </row>
        <row r="77513">
          <cell r="O77513" t="str">
            <v/>
          </cell>
        </row>
        <row r="77514">
          <cell r="O77514" t="str">
            <v/>
          </cell>
        </row>
        <row r="77515">
          <cell r="O77515" t="str">
            <v/>
          </cell>
        </row>
        <row r="77516">
          <cell r="O77516" t="str">
            <v/>
          </cell>
        </row>
        <row r="77517">
          <cell r="O77517" t="str">
            <v/>
          </cell>
        </row>
        <row r="77518">
          <cell r="O77518" t="str">
            <v/>
          </cell>
        </row>
        <row r="77519">
          <cell r="O77519" t="str">
            <v/>
          </cell>
        </row>
        <row r="77520">
          <cell r="O77520" t="str">
            <v/>
          </cell>
        </row>
        <row r="77521">
          <cell r="O77521" t="str">
            <v/>
          </cell>
        </row>
        <row r="77522">
          <cell r="O77522" t="str">
            <v/>
          </cell>
        </row>
        <row r="77523">
          <cell r="O77523" t="str">
            <v/>
          </cell>
        </row>
        <row r="77524">
          <cell r="O77524" t="str">
            <v/>
          </cell>
        </row>
        <row r="77525">
          <cell r="O77525" t="str">
            <v/>
          </cell>
        </row>
        <row r="77526">
          <cell r="O77526" t="str">
            <v/>
          </cell>
        </row>
        <row r="77527">
          <cell r="O77527" t="str">
            <v/>
          </cell>
        </row>
        <row r="77528">
          <cell r="O77528" t="str">
            <v/>
          </cell>
        </row>
        <row r="77529">
          <cell r="O77529" t="str">
            <v/>
          </cell>
        </row>
        <row r="77530">
          <cell r="O77530" t="str">
            <v/>
          </cell>
        </row>
        <row r="77531">
          <cell r="O77531" t="str">
            <v/>
          </cell>
        </row>
        <row r="77532">
          <cell r="O77532" t="str">
            <v/>
          </cell>
        </row>
        <row r="77533">
          <cell r="O77533" t="str">
            <v/>
          </cell>
        </row>
        <row r="77534">
          <cell r="O77534" t="str">
            <v/>
          </cell>
        </row>
        <row r="77535">
          <cell r="O77535" t="str">
            <v/>
          </cell>
        </row>
        <row r="77536">
          <cell r="O77536" t="str">
            <v/>
          </cell>
        </row>
        <row r="77537">
          <cell r="O77537" t="str">
            <v/>
          </cell>
        </row>
        <row r="77538">
          <cell r="O77538" t="str">
            <v/>
          </cell>
        </row>
        <row r="77539">
          <cell r="O77539" t="str">
            <v/>
          </cell>
        </row>
        <row r="77540">
          <cell r="O77540" t="str">
            <v/>
          </cell>
        </row>
        <row r="77541">
          <cell r="O77541" t="str">
            <v/>
          </cell>
        </row>
        <row r="77542">
          <cell r="O77542" t="str">
            <v/>
          </cell>
        </row>
        <row r="77543">
          <cell r="O77543" t="str">
            <v/>
          </cell>
        </row>
        <row r="77544">
          <cell r="O77544" t="str">
            <v/>
          </cell>
        </row>
        <row r="77545">
          <cell r="O77545" t="str">
            <v/>
          </cell>
        </row>
        <row r="77546">
          <cell r="O77546" t="str">
            <v/>
          </cell>
        </row>
        <row r="77547">
          <cell r="O77547" t="str">
            <v/>
          </cell>
        </row>
        <row r="77548">
          <cell r="O77548" t="str">
            <v/>
          </cell>
        </row>
        <row r="77549">
          <cell r="O77549" t="str">
            <v/>
          </cell>
        </row>
        <row r="77550">
          <cell r="O77550" t="str">
            <v/>
          </cell>
        </row>
        <row r="77551">
          <cell r="O77551" t="str">
            <v/>
          </cell>
        </row>
        <row r="77552">
          <cell r="O77552" t="str">
            <v/>
          </cell>
        </row>
        <row r="77553">
          <cell r="O77553" t="str">
            <v/>
          </cell>
        </row>
        <row r="77554">
          <cell r="O77554" t="str">
            <v/>
          </cell>
        </row>
        <row r="77555">
          <cell r="O77555" t="str">
            <v/>
          </cell>
        </row>
        <row r="77556">
          <cell r="O77556" t="str">
            <v/>
          </cell>
        </row>
        <row r="77557">
          <cell r="O77557" t="str">
            <v/>
          </cell>
        </row>
        <row r="77558">
          <cell r="O77558" t="str">
            <v/>
          </cell>
        </row>
        <row r="77559">
          <cell r="O77559" t="str">
            <v/>
          </cell>
        </row>
        <row r="77560">
          <cell r="O77560" t="str">
            <v/>
          </cell>
        </row>
        <row r="77561">
          <cell r="O77561" t="str">
            <v/>
          </cell>
        </row>
        <row r="77562">
          <cell r="O77562" t="str">
            <v/>
          </cell>
        </row>
        <row r="77563">
          <cell r="O77563" t="str">
            <v/>
          </cell>
        </row>
        <row r="77564">
          <cell r="O77564" t="str">
            <v/>
          </cell>
        </row>
        <row r="77565">
          <cell r="O77565" t="str">
            <v/>
          </cell>
        </row>
        <row r="77566">
          <cell r="O77566" t="str">
            <v/>
          </cell>
        </row>
        <row r="77567">
          <cell r="O77567" t="str">
            <v/>
          </cell>
        </row>
        <row r="77568">
          <cell r="O77568" t="str">
            <v/>
          </cell>
        </row>
        <row r="77569">
          <cell r="O77569" t="str">
            <v/>
          </cell>
        </row>
        <row r="77570">
          <cell r="O77570" t="str">
            <v/>
          </cell>
        </row>
        <row r="77571">
          <cell r="O77571" t="str">
            <v/>
          </cell>
        </row>
        <row r="77572">
          <cell r="O77572" t="str">
            <v/>
          </cell>
        </row>
        <row r="77573">
          <cell r="O77573" t="str">
            <v/>
          </cell>
        </row>
        <row r="77574">
          <cell r="O77574" t="str">
            <v/>
          </cell>
        </row>
        <row r="77575">
          <cell r="O77575" t="str">
            <v/>
          </cell>
        </row>
        <row r="77576">
          <cell r="O77576" t="str">
            <v/>
          </cell>
        </row>
        <row r="77577">
          <cell r="O77577" t="str">
            <v/>
          </cell>
        </row>
        <row r="77578">
          <cell r="O77578" t="str">
            <v/>
          </cell>
        </row>
        <row r="77579">
          <cell r="O77579" t="str">
            <v/>
          </cell>
        </row>
        <row r="77580">
          <cell r="O77580" t="str">
            <v/>
          </cell>
        </row>
        <row r="77581">
          <cell r="O77581" t="str">
            <v/>
          </cell>
        </row>
        <row r="77582">
          <cell r="O77582" t="str">
            <v/>
          </cell>
        </row>
        <row r="77583">
          <cell r="O77583" t="str">
            <v/>
          </cell>
        </row>
        <row r="77584">
          <cell r="O77584" t="str">
            <v/>
          </cell>
        </row>
        <row r="77585">
          <cell r="O77585" t="str">
            <v/>
          </cell>
        </row>
        <row r="77586">
          <cell r="O77586" t="str">
            <v/>
          </cell>
        </row>
        <row r="77587">
          <cell r="O77587" t="str">
            <v/>
          </cell>
        </row>
        <row r="77588">
          <cell r="O77588" t="str">
            <v/>
          </cell>
        </row>
        <row r="77589">
          <cell r="O77589" t="str">
            <v/>
          </cell>
        </row>
        <row r="77590">
          <cell r="O77590" t="str">
            <v/>
          </cell>
        </row>
        <row r="77591">
          <cell r="O77591" t="str">
            <v/>
          </cell>
        </row>
        <row r="77592">
          <cell r="O77592" t="str">
            <v/>
          </cell>
        </row>
        <row r="77593">
          <cell r="O77593" t="str">
            <v/>
          </cell>
        </row>
        <row r="77594">
          <cell r="O77594" t="str">
            <v/>
          </cell>
        </row>
        <row r="77595">
          <cell r="O77595" t="str">
            <v/>
          </cell>
        </row>
        <row r="77596">
          <cell r="O77596" t="str">
            <v/>
          </cell>
        </row>
        <row r="77597">
          <cell r="O77597" t="str">
            <v/>
          </cell>
        </row>
        <row r="77598">
          <cell r="O77598" t="str">
            <v/>
          </cell>
        </row>
        <row r="77599">
          <cell r="O77599" t="str">
            <v/>
          </cell>
        </row>
        <row r="77600">
          <cell r="O77600" t="str">
            <v/>
          </cell>
        </row>
        <row r="77601">
          <cell r="O77601" t="str">
            <v/>
          </cell>
        </row>
        <row r="77602">
          <cell r="O77602" t="str">
            <v/>
          </cell>
        </row>
        <row r="77603">
          <cell r="O77603" t="str">
            <v/>
          </cell>
        </row>
        <row r="77604">
          <cell r="O77604" t="str">
            <v/>
          </cell>
        </row>
        <row r="77605">
          <cell r="O77605" t="str">
            <v/>
          </cell>
        </row>
        <row r="77606">
          <cell r="O77606" t="str">
            <v/>
          </cell>
        </row>
        <row r="77607">
          <cell r="O77607" t="str">
            <v/>
          </cell>
        </row>
        <row r="77608">
          <cell r="O77608" t="str">
            <v/>
          </cell>
        </row>
        <row r="77609">
          <cell r="O77609" t="str">
            <v/>
          </cell>
        </row>
        <row r="77610">
          <cell r="O77610" t="str">
            <v/>
          </cell>
        </row>
        <row r="77611">
          <cell r="O77611" t="str">
            <v/>
          </cell>
        </row>
        <row r="77612">
          <cell r="O77612" t="str">
            <v/>
          </cell>
        </row>
        <row r="77613">
          <cell r="O77613" t="str">
            <v/>
          </cell>
        </row>
        <row r="77614">
          <cell r="O77614" t="str">
            <v/>
          </cell>
        </row>
        <row r="77615">
          <cell r="O77615" t="str">
            <v/>
          </cell>
        </row>
        <row r="77616">
          <cell r="O77616" t="str">
            <v/>
          </cell>
        </row>
        <row r="77617">
          <cell r="O77617" t="str">
            <v/>
          </cell>
        </row>
        <row r="77618">
          <cell r="O77618" t="str">
            <v/>
          </cell>
        </row>
        <row r="77619">
          <cell r="O77619" t="str">
            <v/>
          </cell>
        </row>
        <row r="77620">
          <cell r="O77620" t="str">
            <v/>
          </cell>
        </row>
        <row r="77621">
          <cell r="O77621" t="str">
            <v/>
          </cell>
        </row>
        <row r="77622">
          <cell r="O77622" t="str">
            <v/>
          </cell>
        </row>
        <row r="77623">
          <cell r="O77623" t="str">
            <v/>
          </cell>
        </row>
        <row r="77624">
          <cell r="O77624" t="str">
            <v/>
          </cell>
        </row>
        <row r="77625">
          <cell r="O77625" t="str">
            <v/>
          </cell>
        </row>
        <row r="77626">
          <cell r="O77626" t="str">
            <v/>
          </cell>
        </row>
        <row r="77627">
          <cell r="O77627" t="str">
            <v/>
          </cell>
        </row>
        <row r="77628">
          <cell r="O77628" t="str">
            <v/>
          </cell>
        </row>
        <row r="77629">
          <cell r="O77629" t="str">
            <v/>
          </cell>
        </row>
        <row r="77630">
          <cell r="O77630" t="str">
            <v/>
          </cell>
        </row>
        <row r="77631">
          <cell r="O77631" t="str">
            <v/>
          </cell>
        </row>
        <row r="77632">
          <cell r="O77632" t="str">
            <v/>
          </cell>
        </row>
        <row r="77633">
          <cell r="O77633" t="str">
            <v/>
          </cell>
        </row>
        <row r="77634">
          <cell r="O77634" t="str">
            <v/>
          </cell>
        </row>
        <row r="77635">
          <cell r="O77635" t="str">
            <v/>
          </cell>
        </row>
        <row r="77636">
          <cell r="O77636" t="str">
            <v/>
          </cell>
        </row>
        <row r="77637">
          <cell r="O77637" t="str">
            <v/>
          </cell>
        </row>
        <row r="77638">
          <cell r="O77638" t="str">
            <v/>
          </cell>
        </row>
        <row r="77639">
          <cell r="O77639" t="str">
            <v/>
          </cell>
        </row>
        <row r="77640">
          <cell r="O77640" t="str">
            <v/>
          </cell>
        </row>
        <row r="77641">
          <cell r="O77641" t="str">
            <v/>
          </cell>
        </row>
        <row r="77642">
          <cell r="O77642" t="str">
            <v/>
          </cell>
        </row>
        <row r="77643">
          <cell r="O77643" t="str">
            <v/>
          </cell>
        </row>
        <row r="77644">
          <cell r="O77644" t="str">
            <v/>
          </cell>
        </row>
        <row r="77645">
          <cell r="O77645" t="str">
            <v/>
          </cell>
        </row>
        <row r="77646">
          <cell r="O77646" t="str">
            <v/>
          </cell>
        </row>
        <row r="77647">
          <cell r="O77647" t="str">
            <v/>
          </cell>
        </row>
        <row r="77648">
          <cell r="O77648" t="str">
            <v/>
          </cell>
        </row>
        <row r="77649">
          <cell r="O77649" t="str">
            <v/>
          </cell>
        </row>
        <row r="77650">
          <cell r="O77650" t="str">
            <v/>
          </cell>
        </row>
        <row r="77651">
          <cell r="O77651" t="str">
            <v/>
          </cell>
        </row>
        <row r="77652">
          <cell r="O77652" t="str">
            <v/>
          </cell>
        </row>
        <row r="77653">
          <cell r="O77653" t="str">
            <v/>
          </cell>
        </row>
        <row r="77654">
          <cell r="O77654" t="str">
            <v/>
          </cell>
        </row>
        <row r="77655">
          <cell r="O77655" t="str">
            <v/>
          </cell>
        </row>
        <row r="77656">
          <cell r="O77656" t="str">
            <v/>
          </cell>
        </row>
        <row r="77657">
          <cell r="O77657" t="str">
            <v/>
          </cell>
        </row>
        <row r="77658">
          <cell r="O77658" t="str">
            <v/>
          </cell>
        </row>
        <row r="77659">
          <cell r="O77659" t="str">
            <v/>
          </cell>
        </row>
        <row r="77660">
          <cell r="O77660" t="str">
            <v/>
          </cell>
        </row>
        <row r="77661">
          <cell r="O77661" t="str">
            <v/>
          </cell>
        </row>
        <row r="77662">
          <cell r="O77662" t="str">
            <v/>
          </cell>
        </row>
        <row r="77663">
          <cell r="O77663" t="str">
            <v/>
          </cell>
        </row>
        <row r="77664">
          <cell r="O77664" t="str">
            <v/>
          </cell>
        </row>
        <row r="77665">
          <cell r="O77665" t="str">
            <v/>
          </cell>
        </row>
        <row r="77666">
          <cell r="O77666" t="str">
            <v/>
          </cell>
        </row>
        <row r="77667">
          <cell r="O77667" t="str">
            <v/>
          </cell>
        </row>
        <row r="77668">
          <cell r="O77668" t="str">
            <v/>
          </cell>
        </row>
        <row r="77669">
          <cell r="O77669" t="str">
            <v/>
          </cell>
        </row>
        <row r="77670">
          <cell r="O77670" t="str">
            <v/>
          </cell>
        </row>
        <row r="77671">
          <cell r="O77671" t="str">
            <v/>
          </cell>
        </row>
        <row r="77672">
          <cell r="O77672" t="str">
            <v/>
          </cell>
        </row>
        <row r="77673">
          <cell r="O77673" t="str">
            <v/>
          </cell>
        </row>
        <row r="77674">
          <cell r="O77674" t="str">
            <v/>
          </cell>
        </row>
        <row r="77675">
          <cell r="O77675" t="str">
            <v/>
          </cell>
        </row>
        <row r="77676">
          <cell r="O77676" t="str">
            <v/>
          </cell>
        </row>
        <row r="77677">
          <cell r="O77677" t="str">
            <v/>
          </cell>
        </row>
        <row r="77678">
          <cell r="O77678" t="str">
            <v/>
          </cell>
        </row>
        <row r="77679">
          <cell r="O77679" t="str">
            <v/>
          </cell>
        </row>
        <row r="77680">
          <cell r="O77680" t="str">
            <v/>
          </cell>
        </row>
        <row r="77681">
          <cell r="O77681" t="str">
            <v/>
          </cell>
        </row>
        <row r="77682">
          <cell r="O77682" t="str">
            <v/>
          </cell>
        </row>
        <row r="77683">
          <cell r="O77683" t="str">
            <v/>
          </cell>
        </row>
        <row r="77684">
          <cell r="O77684" t="str">
            <v/>
          </cell>
        </row>
        <row r="77685">
          <cell r="O77685" t="str">
            <v/>
          </cell>
        </row>
        <row r="77686">
          <cell r="O77686" t="str">
            <v/>
          </cell>
        </row>
        <row r="77687">
          <cell r="O77687" t="str">
            <v/>
          </cell>
        </row>
        <row r="77688">
          <cell r="O77688" t="str">
            <v/>
          </cell>
        </row>
        <row r="77689">
          <cell r="O77689" t="str">
            <v/>
          </cell>
        </row>
        <row r="77690">
          <cell r="O77690" t="str">
            <v/>
          </cell>
        </row>
        <row r="77691">
          <cell r="O77691" t="str">
            <v/>
          </cell>
        </row>
        <row r="77692">
          <cell r="O77692" t="str">
            <v/>
          </cell>
        </row>
        <row r="77693">
          <cell r="O77693" t="str">
            <v/>
          </cell>
        </row>
        <row r="77694">
          <cell r="O77694" t="str">
            <v/>
          </cell>
        </row>
        <row r="77695">
          <cell r="O77695" t="str">
            <v/>
          </cell>
        </row>
        <row r="77696">
          <cell r="O77696" t="str">
            <v/>
          </cell>
        </row>
        <row r="77697">
          <cell r="O77697" t="str">
            <v/>
          </cell>
        </row>
        <row r="77698">
          <cell r="O77698" t="str">
            <v/>
          </cell>
        </row>
        <row r="77699">
          <cell r="O77699" t="str">
            <v/>
          </cell>
        </row>
        <row r="77700">
          <cell r="O77700" t="str">
            <v/>
          </cell>
        </row>
        <row r="77701">
          <cell r="O77701" t="str">
            <v/>
          </cell>
        </row>
        <row r="77702">
          <cell r="O77702" t="str">
            <v/>
          </cell>
        </row>
        <row r="77703">
          <cell r="O77703" t="str">
            <v/>
          </cell>
        </row>
        <row r="77704">
          <cell r="O77704" t="str">
            <v/>
          </cell>
        </row>
        <row r="77705">
          <cell r="O77705" t="str">
            <v/>
          </cell>
        </row>
        <row r="77706">
          <cell r="O77706" t="str">
            <v/>
          </cell>
        </row>
        <row r="77707">
          <cell r="O77707" t="str">
            <v/>
          </cell>
        </row>
        <row r="77708">
          <cell r="O77708" t="str">
            <v/>
          </cell>
        </row>
        <row r="77709">
          <cell r="O77709" t="str">
            <v/>
          </cell>
        </row>
        <row r="77710">
          <cell r="O77710" t="str">
            <v/>
          </cell>
        </row>
        <row r="77711">
          <cell r="O77711" t="str">
            <v/>
          </cell>
        </row>
        <row r="77712">
          <cell r="O77712" t="str">
            <v/>
          </cell>
        </row>
        <row r="77713">
          <cell r="O77713" t="str">
            <v/>
          </cell>
        </row>
        <row r="77714">
          <cell r="O77714" t="str">
            <v/>
          </cell>
        </row>
        <row r="77715">
          <cell r="O77715" t="str">
            <v/>
          </cell>
        </row>
        <row r="77716">
          <cell r="O77716" t="str">
            <v/>
          </cell>
        </row>
        <row r="77717">
          <cell r="O77717" t="str">
            <v/>
          </cell>
        </row>
        <row r="77718">
          <cell r="O77718" t="str">
            <v/>
          </cell>
        </row>
        <row r="77719">
          <cell r="O77719" t="str">
            <v/>
          </cell>
        </row>
        <row r="77720">
          <cell r="O77720" t="str">
            <v/>
          </cell>
        </row>
        <row r="77721">
          <cell r="O77721" t="str">
            <v/>
          </cell>
        </row>
        <row r="77722">
          <cell r="O77722" t="str">
            <v/>
          </cell>
        </row>
        <row r="77723">
          <cell r="O77723" t="str">
            <v/>
          </cell>
        </row>
        <row r="77724">
          <cell r="O77724" t="str">
            <v/>
          </cell>
        </row>
        <row r="77725">
          <cell r="O77725" t="str">
            <v/>
          </cell>
        </row>
        <row r="77726">
          <cell r="O77726" t="str">
            <v/>
          </cell>
        </row>
        <row r="77727">
          <cell r="O77727" t="str">
            <v/>
          </cell>
        </row>
        <row r="77728">
          <cell r="O77728" t="str">
            <v/>
          </cell>
        </row>
        <row r="77729">
          <cell r="O77729" t="str">
            <v/>
          </cell>
        </row>
        <row r="77730">
          <cell r="O77730" t="str">
            <v/>
          </cell>
        </row>
        <row r="77731">
          <cell r="O77731" t="str">
            <v/>
          </cell>
        </row>
        <row r="77732">
          <cell r="O77732" t="str">
            <v/>
          </cell>
        </row>
        <row r="77733">
          <cell r="O77733" t="str">
            <v/>
          </cell>
        </row>
        <row r="77734">
          <cell r="O77734" t="str">
            <v/>
          </cell>
        </row>
        <row r="77735">
          <cell r="O77735" t="str">
            <v/>
          </cell>
        </row>
        <row r="77736">
          <cell r="O77736" t="str">
            <v/>
          </cell>
        </row>
        <row r="77737">
          <cell r="O77737" t="str">
            <v/>
          </cell>
        </row>
        <row r="77738">
          <cell r="O77738" t="str">
            <v/>
          </cell>
        </row>
        <row r="77739">
          <cell r="O77739" t="str">
            <v/>
          </cell>
        </row>
        <row r="77740">
          <cell r="O77740" t="str">
            <v/>
          </cell>
        </row>
        <row r="77741">
          <cell r="O77741" t="str">
            <v/>
          </cell>
        </row>
        <row r="77742">
          <cell r="O77742" t="str">
            <v/>
          </cell>
        </row>
        <row r="77743">
          <cell r="O77743" t="str">
            <v/>
          </cell>
        </row>
        <row r="77744">
          <cell r="O77744" t="str">
            <v/>
          </cell>
        </row>
        <row r="77745">
          <cell r="O77745" t="str">
            <v/>
          </cell>
        </row>
        <row r="77746">
          <cell r="O77746" t="str">
            <v/>
          </cell>
        </row>
        <row r="77747">
          <cell r="O77747" t="str">
            <v/>
          </cell>
        </row>
        <row r="77748">
          <cell r="O77748" t="str">
            <v/>
          </cell>
        </row>
        <row r="77749">
          <cell r="O77749" t="str">
            <v/>
          </cell>
        </row>
        <row r="77750">
          <cell r="O77750" t="str">
            <v/>
          </cell>
        </row>
        <row r="77751">
          <cell r="O77751" t="str">
            <v/>
          </cell>
        </row>
        <row r="77752">
          <cell r="O77752" t="str">
            <v/>
          </cell>
        </row>
        <row r="77753">
          <cell r="O77753" t="str">
            <v/>
          </cell>
        </row>
        <row r="77754">
          <cell r="O77754" t="str">
            <v/>
          </cell>
        </row>
        <row r="77755">
          <cell r="O77755" t="str">
            <v/>
          </cell>
        </row>
        <row r="77756">
          <cell r="O77756" t="str">
            <v/>
          </cell>
        </row>
        <row r="77757">
          <cell r="O77757" t="str">
            <v/>
          </cell>
        </row>
        <row r="77758">
          <cell r="O77758" t="str">
            <v/>
          </cell>
        </row>
        <row r="77759">
          <cell r="O77759" t="str">
            <v/>
          </cell>
        </row>
        <row r="77760">
          <cell r="O77760" t="str">
            <v/>
          </cell>
        </row>
        <row r="77761">
          <cell r="O77761" t="str">
            <v/>
          </cell>
        </row>
        <row r="77762">
          <cell r="O77762" t="str">
            <v/>
          </cell>
        </row>
        <row r="77763">
          <cell r="O77763" t="str">
            <v/>
          </cell>
        </row>
        <row r="77764">
          <cell r="O77764" t="str">
            <v/>
          </cell>
        </row>
        <row r="77765">
          <cell r="O77765" t="str">
            <v/>
          </cell>
        </row>
        <row r="77766">
          <cell r="O77766" t="str">
            <v/>
          </cell>
        </row>
        <row r="77767">
          <cell r="O77767" t="str">
            <v/>
          </cell>
        </row>
        <row r="77768">
          <cell r="O77768" t="str">
            <v/>
          </cell>
        </row>
        <row r="77769">
          <cell r="O77769" t="str">
            <v/>
          </cell>
        </row>
        <row r="77770">
          <cell r="O77770" t="str">
            <v/>
          </cell>
        </row>
        <row r="77771">
          <cell r="O77771" t="str">
            <v/>
          </cell>
        </row>
        <row r="77772">
          <cell r="O77772" t="str">
            <v/>
          </cell>
        </row>
        <row r="77773">
          <cell r="O77773" t="str">
            <v/>
          </cell>
        </row>
        <row r="77774">
          <cell r="O77774" t="str">
            <v/>
          </cell>
        </row>
        <row r="77775">
          <cell r="O77775" t="str">
            <v/>
          </cell>
        </row>
        <row r="77776">
          <cell r="O77776" t="str">
            <v/>
          </cell>
        </row>
        <row r="77777">
          <cell r="O77777" t="str">
            <v/>
          </cell>
        </row>
        <row r="77778">
          <cell r="O77778" t="str">
            <v/>
          </cell>
        </row>
        <row r="77779">
          <cell r="O77779" t="str">
            <v/>
          </cell>
        </row>
        <row r="77780">
          <cell r="O77780" t="str">
            <v/>
          </cell>
        </row>
        <row r="77781">
          <cell r="O77781" t="str">
            <v/>
          </cell>
        </row>
        <row r="77782">
          <cell r="O77782" t="str">
            <v/>
          </cell>
        </row>
        <row r="77783">
          <cell r="O77783" t="str">
            <v/>
          </cell>
        </row>
        <row r="77784">
          <cell r="O77784" t="str">
            <v/>
          </cell>
        </row>
        <row r="77785">
          <cell r="O77785" t="str">
            <v/>
          </cell>
        </row>
        <row r="77786">
          <cell r="O77786" t="str">
            <v/>
          </cell>
        </row>
        <row r="77787">
          <cell r="O77787" t="str">
            <v/>
          </cell>
        </row>
        <row r="77788">
          <cell r="O77788" t="str">
            <v/>
          </cell>
        </row>
        <row r="77789">
          <cell r="O77789" t="str">
            <v/>
          </cell>
        </row>
        <row r="77790">
          <cell r="O77790" t="str">
            <v/>
          </cell>
        </row>
        <row r="77791">
          <cell r="O77791" t="str">
            <v/>
          </cell>
        </row>
        <row r="77792">
          <cell r="O77792" t="str">
            <v/>
          </cell>
        </row>
        <row r="77793">
          <cell r="O77793" t="str">
            <v/>
          </cell>
        </row>
        <row r="77794">
          <cell r="O77794" t="str">
            <v/>
          </cell>
        </row>
        <row r="77795">
          <cell r="O77795" t="str">
            <v/>
          </cell>
        </row>
        <row r="77796">
          <cell r="O77796" t="str">
            <v/>
          </cell>
        </row>
        <row r="77797">
          <cell r="O77797" t="str">
            <v/>
          </cell>
        </row>
        <row r="77798">
          <cell r="O77798" t="str">
            <v/>
          </cell>
        </row>
        <row r="77799">
          <cell r="O77799" t="str">
            <v/>
          </cell>
        </row>
        <row r="77800">
          <cell r="O77800" t="str">
            <v/>
          </cell>
        </row>
        <row r="77801">
          <cell r="O77801" t="str">
            <v/>
          </cell>
        </row>
        <row r="77802">
          <cell r="O77802" t="str">
            <v/>
          </cell>
        </row>
        <row r="77803">
          <cell r="O77803" t="str">
            <v/>
          </cell>
        </row>
        <row r="77804">
          <cell r="O77804" t="str">
            <v/>
          </cell>
        </row>
        <row r="77805">
          <cell r="O77805" t="str">
            <v/>
          </cell>
        </row>
        <row r="77806">
          <cell r="O77806" t="str">
            <v/>
          </cell>
        </row>
        <row r="77807">
          <cell r="O77807" t="str">
            <v/>
          </cell>
        </row>
        <row r="77808">
          <cell r="O77808" t="str">
            <v/>
          </cell>
        </row>
        <row r="77809">
          <cell r="O77809" t="str">
            <v/>
          </cell>
        </row>
        <row r="77810">
          <cell r="O77810" t="str">
            <v/>
          </cell>
        </row>
        <row r="77811">
          <cell r="O77811" t="str">
            <v/>
          </cell>
        </row>
        <row r="77812">
          <cell r="O77812" t="str">
            <v/>
          </cell>
        </row>
        <row r="77813">
          <cell r="O77813" t="str">
            <v/>
          </cell>
        </row>
        <row r="77814">
          <cell r="O77814" t="str">
            <v/>
          </cell>
        </row>
        <row r="77815">
          <cell r="O77815" t="str">
            <v/>
          </cell>
        </row>
        <row r="77816">
          <cell r="O77816" t="str">
            <v/>
          </cell>
        </row>
        <row r="77817">
          <cell r="O77817" t="str">
            <v/>
          </cell>
        </row>
        <row r="77818">
          <cell r="O77818" t="str">
            <v/>
          </cell>
        </row>
        <row r="77819">
          <cell r="O77819" t="str">
            <v/>
          </cell>
        </row>
        <row r="77820">
          <cell r="O77820" t="str">
            <v/>
          </cell>
        </row>
        <row r="77821">
          <cell r="O77821" t="str">
            <v/>
          </cell>
        </row>
        <row r="77822">
          <cell r="O77822" t="str">
            <v/>
          </cell>
        </row>
        <row r="77823">
          <cell r="O77823" t="str">
            <v/>
          </cell>
        </row>
        <row r="77824">
          <cell r="O77824" t="str">
            <v/>
          </cell>
        </row>
        <row r="77825">
          <cell r="O77825" t="str">
            <v/>
          </cell>
        </row>
        <row r="77826">
          <cell r="O77826" t="str">
            <v/>
          </cell>
        </row>
        <row r="77827">
          <cell r="O77827" t="str">
            <v/>
          </cell>
        </row>
        <row r="77828">
          <cell r="O77828" t="str">
            <v/>
          </cell>
        </row>
        <row r="77829">
          <cell r="O77829" t="str">
            <v/>
          </cell>
        </row>
        <row r="77830">
          <cell r="O77830" t="str">
            <v/>
          </cell>
        </row>
        <row r="77831">
          <cell r="O77831" t="str">
            <v/>
          </cell>
        </row>
        <row r="77832">
          <cell r="O77832" t="str">
            <v/>
          </cell>
        </row>
        <row r="77833">
          <cell r="O77833" t="str">
            <v/>
          </cell>
        </row>
        <row r="77834">
          <cell r="O77834" t="str">
            <v/>
          </cell>
        </row>
        <row r="77835">
          <cell r="O77835" t="str">
            <v/>
          </cell>
        </row>
        <row r="77836">
          <cell r="O77836" t="str">
            <v/>
          </cell>
        </row>
        <row r="77837">
          <cell r="O77837" t="str">
            <v/>
          </cell>
        </row>
        <row r="77838">
          <cell r="O77838" t="str">
            <v/>
          </cell>
        </row>
        <row r="77839">
          <cell r="O77839" t="str">
            <v/>
          </cell>
        </row>
        <row r="77840">
          <cell r="O77840" t="str">
            <v/>
          </cell>
        </row>
        <row r="77841">
          <cell r="O77841" t="str">
            <v/>
          </cell>
        </row>
        <row r="77842">
          <cell r="O77842" t="str">
            <v/>
          </cell>
        </row>
        <row r="77843">
          <cell r="O77843" t="str">
            <v/>
          </cell>
        </row>
        <row r="77844">
          <cell r="O77844" t="str">
            <v/>
          </cell>
        </row>
        <row r="77845">
          <cell r="O77845" t="str">
            <v/>
          </cell>
        </row>
        <row r="77846">
          <cell r="O77846" t="str">
            <v/>
          </cell>
        </row>
        <row r="77847">
          <cell r="O77847" t="str">
            <v/>
          </cell>
        </row>
        <row r="77848">
          <cell r="O77848" t="str">
            <v/>
          </cell>
        </row>
        <row r="77849">
          <cell r="O77849" t="str">
            <v/>
          </cell>
        </row>
        <row r="77850">
          <cell r="O77850" t="str">
            <v/>
          </cell>
        </row>
        <row r="77851">
          <cell r="O77851" t="str">
            <v/>
          </cell>
        </row>
        <row r="77852">
          <cell r="O77852" t="str">
            <v/>
          </cell>
        </row>
        <row r="77853">
          <cell r="O77853" t="str">
            <v/>
          </cell>
        </row>
        <row r="77854">
          <cell r="O77854" t="str">
            <v/>
          </cell>
        </row>
        <row r="77855">
          <cell r="O77855" t="str">
            <v/>
          </cell>
        </row>
        <row r="77856">
          <cell r="O77856" t="str">
            <v/>
          </cell>
        </row>
        <row r="77857">
          <cell r="O77857" t="str">
            <v/>
          </cell>
        </row>
        <row r="77858">
          <cell r="O77858" t="str">
            <v/>
          </cell>
        </row>
        <row r="77859">
          <cell r="O77859" t="str">
            <v/>
          </cell>
        </row>
        <row r="77860">
          <cell r="O77860" t="str">
            <v/>
          </cell>
        </row>
        <row r="77861">
          <cell r="O77861" t="str">
            <v/>
          </cell>
        </row>
        <row r="77862">
          <cell r="O77862" t="str">
            <v/>
          </cell>
        </row>
        <row r="77863">
          <cell r="O77863" t="str">
            <v/>
          </cell>
        </row>
        <row r="77864">
          <cell r="O77864" t="str">
            <v/>
          </cell>
        </row>
        <row r="77865">
          <cell r="O77865" t="str">
            <v/>
          </cell>
        </row>
        <row r="77866">
          <cell r="O77866" t="str">
            <v/>
          </cell>
        </row>
        <row r="77867">
          <cell r="O77867" t="str">
            <v/>
          </cell>
        </row>
        <row r="77868">
          <cell r="O77868" t="str">
            <v/>
          </cell>
        </row>
        <row r="77869">
          <cell r="O77869" t="str">
            <v/>
          </cell>
        </row>
        <row r="77870">
          <cell r="O77870" t="str">
            <v/>
          </cell>
        </row>
        <row r="77871">
          <cell r="O77871" t="str">
            <v/>
          </cell>
        </row>
        <row r="77872">
          <cell r="O77872" t="str">
            <v/>
          </cell>
        </row>
        <row r="77873">
          <cell r="O77873" t="str">
            <v/>
          </cell>
        </row>
        <row r="77874">
          <cell r="O77874" t="str">
            <v/>
          </cell>
        </row>
        <row r="77875">
          <cell r="O77875" t="str">
            <v/>
          </cell>
        </row>
        <row r="77876">
          <cell r="O77876" t="str">
            <v/>
          </cell>
        </row>
        <row r="77877">
          <cell r="O77877" t="str">
            <v/>
          </cell>
        </row>
        <row r="77878">
          <cell r="O77878" t="str">
            <v/>
          </cell>
        </row>
        <row r="77879">
          <cell r="O77879" t="str">
            <v/>
          </cell>
        </row>
        <row r="77880">
          <cell r="O77880" t="str">
            <v/>
          </cell>
        </row>
        <row r="77881">
          <cell r="O77881" t="str">
            <v/>
          </cell>
        </row>
        <row r="77882">
          <cell r="O77882" t="str">
            <v/>
          </cell>
        </row>
        <row r="77883">
          <cell r="O77883" t="str">
            <v/>
          </cell>
        </row>
        <row r="77884">
          <cell r="O77884" t="str">
            <v/>
          </cell>
        </row>
        <row r="77885">
          <cell r="O77885" t="str">
            <v/>
          </cell>
        </row>
        <row r="77886">
          <cell r="O77886" t="str">
            <v/>
          </cell>
        </row>
        <row r="77887">
          <cell r="O77887" t="str">
            <v/>
          </cell>
        </row>
        <row r="77888">
          <cell r="O77888" t="str">
            <v/>
          </cell>
        </row>
        <row r="77889">
          <cell r="O77889" t="str">
            <v/>
          </cell>
        </row>
        <row r="77890">
          <cell r="O77890" t="str">
            <v/>
          </cell>
        </row>
        <row r="77891">
          <cell r="O77891" t="str">
            <v/>
          </cell>
        </row>
        <row r="77892">
          <cell r="O77892" t="str">
            <v/>
          </cell>
        </row>
        <row r="77893">
          <cell r="O77893" t="str">
            <v/>
          </cell>
        </row>
        <row r="77894">
          <cell r="O77894" t="str">
            <v/>
          </cell>
        </row>
        <row r="77895">
          <cell r="O77895" t="str">
            <v/>
          </cell>
        </row>
        <row r="77896">
          <cell r="O77896" t="str">
            <v/>
          </cell>
        </row>
        <row r="77897">
          <cell r="O77897" t="str">
            <v/>
          </cell>
        </row>
        <row r="77898">
          <cell r="O77898" t="str">
            <v/>
          </cell>
        </row>
        <row r="77899">
          <cell r="O77899" t="str">
            <v/>
          </cell>
        </row>
        <row r="77900">
          <cell r="O77900" t="str">
            <v/>
          </cell>
        </row>
        <row r="77901">
          <cell r="O77901" t="str">
            <v/>
          </cell>
        </row>
        <row r="77902">
          <cell r="O77902" t="str">
            <v/>
          </cell>
        </row>
        <row r="77903">
          <cell r="O77903" t="str">
            <v/>
          </cell>
        </row>
        <row r="77904">
          <cell r="O77904" t="str">
            <v/>
          </cell>
        </row>
        <row r="77905">
          <cell r="O77905" t="str">
            <v/>
          </cell>
        </row>
        <row r="77906">
          <cell r="O77906" t="str">
            <v/>
          </cell>
        </row>
        <row r="77907">
          <cell r="O77907" t="str">
            <v/>
          </cell>
        </row>
        <row r="77908">
          <cell r="O77908" t="str">
            <v/>
          </cell>
        </row>
        <row r="77909">
          <cell r="O77909" t="str">
            <v/>
          </cell>
        </row>
        <row r="77910">
          <cell r="O77910" t="str">
            <v/>
          </cell>
        </row>
        <row r="77911">
          <cell r="O77911" t="str">
            <v/>
          </cell>
        </row>
        <row r="77912">
          <cell r="O77912" t="str">
            <v/>
          </cell>
        </row>
        <row r="77913">
          <cell r="O77913" t="str">
            <v/>
          </cell>
        </row>
        <row r="77914">
          <cell r="O77914" t="str">
            <v/>
          </cell>
        </row>
        <row r="77915">
          <cell r="O77915" t="str">
            <v/>
          </cell>
        </row>
        <row r="77916">
          <cell r="O77916" t="str">
            <v/>
          </cell>
        </row>
        <row r="77917">
          <cell r="O77917" t="str">
            <v/>
          </cell>
        </row>
        <row r="77918">
          <cell r="O77918" t="str">
            <v/>
          </cell>
        </row>
        <row r="77919">
          <cell r="O77919" t="str">
            <v/>
          </cell>
        </row>
        <row r="77920">
          <cell r="O77920" t="str">
            <v/>
          </cell>
        </row>
        <row r="77921">
          <cell r="O77921" t="str">
            <v/>
          </cell>
        </row>
        <row r="77922">
          <cell r="O77922" t="str">
            <v/>
          </cell>
        </row>
        <row r="77923">
          <cell r="O77923" t="str">
            <v/>
          </cell>
        </row>
        <row r="77924">
          <cell r="O77924" t="str">
            <v/>
          </cell>
        </row>
        <row r="77925">
          <cell r="O77925" t="str">
            <v/>
          </cell>
        </row>
        <row r="77926">
          <cell r="O77926" t="str">
            <v/>
          </cell>
        </row>
        <row r="77927">
          <cell r="O77927" t="str">
            <v/>
          </cell>
        </row>
        <row r="77928">
          <cell r="O77928" t="str">
            <v/>
          </cell>
        </row>
        <row r="77929">
          <cell r="O77929" t="str">
            <v/>
          </cell>
        </row>
        <row r="77930">
          <cell r="O77930" t="str">
            <v/>
          </cell>
        </row>
        <row r="77931">
          <cell r="O77931" t="str">
            <v/>
          </cell>
        </row>
        <row r="77932">
          <cell r="O77932" t="str">
            <v/>
          </cell>
        </row>
        <row r="77933">
          <cell r="O77933" t="str">
            <v/>
          </cell>
        </row>
        <row r="77934">
          <cell r="O77934" t="str">
            <v/>
          </cell>
        </row>
        <row r="77935">
          <cell r="O77935" t="str">
            <v/>
          </cell>
        </row>
        <row r="77936">
          <cell r="O77936" t="str">
            <v/>
          </cell>
        </row>
        <row r="77937">
          <cell r="O77937" t="str">
            <v/>
          </cell>
        </row>
        <row r="77938">
          <cell r="O77938" t="str">
            <v/>
          </cell>
        </row>
        <row r="77939">
          <cell r="O77939" t="str">
            <v/>
          </cell>
        </row>
        <row r="77940">
          <cell r="O77940" t="str">
            <v/>
          </cell>
        </row>
        <row r="77941">
          <cell r="O77941" t="str">
            <v/>
          </cell>
        </row>
        <row r="77942">
          <cell r="O77942" t="str">
            <v/>
          </cell>
        </row>
        <row r="77943">
          <cell r="O77943" t="str">
            <v/>
          </cell>
        </row>
        <row r="77944">
          <cell r="O77944" t="str">
            <v/>
          </cell>
        </row>
        <row r="77945">
          <cell r="O77945" t="str">
            <v/>
          </cell>
        </row>
        <row r="77946">
          <cell r="O77946" t="str">
            <v/>
          </cell>
        </row>
        <row r="77947">
          <cell r="O77947" t="str">
            <v/>
          </cell>
        </row>
        <row r="77948">
          <cell r="O77948" t="str">
            <v/>
          </cell>
        </row>
        <row r="77949">
          <cell r="O77949" t="str">
            <v/>
          </cell>
        </row>
        <row r="77950">
          <cell r="O77950" t="str">
            <v/>
          </cell>
        </row>
        <row r="77951">
          <cell r="O77951" t="str">
            <v/>
          </cell>
        </row>
        <row r="77952">
          <cell r="O77952" t="str">
            <v/>
          </cell>
        </row>
        <row r="77953">
          <cell r="O77953" t="str">
            <v/>
          </cell>
        </row>
        <row r="77954">
          <cell r="O77954" t="str">
            <v/>
          </cell>
        </row>
        <row r="77955">
          <cell r="O77955" t="str">
            <v/>
          </cell>
        </row>
        <row r="77956">
          <cell r="O77956" t="str">
            <v/>
          </cell>
        </row>
        <row r="77957">
          <cell r="O77957" t="str">
            <v/>
          </cell>
        </row>
        <row r="77958">
          <cell r="O77958" t="str">
            <v/>
          </cell>
        </row>
        <row r="77959">
          <cell r="O77959" t="str">
            <v/>
          </cell>
        </row>
        <row r="77960">
          <cell r="O77960" t="str">
            <v/>
          </cell>
        </row>
        <row r="77961">
          <cell r="O77961" t="str">
            <v/>
          </cell>
        </row>
        <row r="77962">
          <cell r="O77962" t="str">
            <v/>
          </cell>
        </row>
        <row r="77963">
          <cell r="O77963" t="str">
            <v/>
          </cell>
        </row>
        <row r="77964">
          <cell r="O77964" t="str">
            <v/>
          </cell>
        </row>
        <row r="77965">
          <cell r="O77965" t="str">
            <v/>
          </cell>
        </row>
        <row r="77966">
          <cell r="O77966" t="str">
            <v/>
          </cell>
        </row>
        <row r="77967">
          <cell r="O77967" t="str">
            <v/>
          </cell>
        </row>
        <row r="77968">
          <cell r="O77968" t="str">
            <v/>
          </cell>
        </row>
        <row r="77969">
          <cell r="O77969" t="str">
            <v/>
          </cell>
        </row>
        <row r="77970">
          <cell r="O77970" t="str">
            <v/>
          </cell>
        </row>
        <row r="77971">
          <cell r="O77971" t="str">
            <v/>
          </cell>
        </row>
        <row r="77972">
          <cell r="O77972" t="str">
            <v/>
          </cell>
        </row>
        <row r="77973">
          <cell r="O77973" t="str">
            <v/>
          </cell>
        </row>
        <row r="77974">
          <cell r="O77974" t="str">
            <v/>
          </cell>
        </row>
        <row r="77975">
          <cell r="O77975" t="str">
            <v/>
          </cell>
        </row>
        <row r="77976">
          <cell r="O77976" t="str">
            <v/>
          </cell>
        </row>
        <row r="77977">
          <cell r="O77977" t="str">
            <v/>
          </cell>
        </row>
        <row r="77978">
          <cell r="O77978" t="str">
            <v/>
          </cell>
        </row>
        <row r="77979">
          <cell r="O77979" t="str">
            <v/>
          </cell>
        </row>
        <row r="77980">
          <cell r="O77980" t="str">
            <v/>
          </cell>
        </row>
        <row r="77981">
          <cell r="O77981" t="str">
            <v/>
          </cell>
        </row>
        <row r="77982">
          <cell r="O77982" t="str">
            <v/>
          </cell>
        </row>
        <row r="77983">
          <cell r="O77983" t="str">
            <v/>
          </cell>
        </row>
        <row r="77984">
          <cell r="O77984" t="str">
            <v/>
          </cell>
        </row>
        <row r="77985">
          <cell r="O77985" t="str">
            <v/>
          </cell>
        </row>
        <row r="77986">
          <cell r="O77986" t="str">
            <v/>
          </cell>
        </row>
        <row r="77987">
          <cell r="O77987" t="str">
            <v/>
          </cell>
        </row>
        <row r="77988">
          <cell r="O77988" t="str">
            <v/>
          </cell>
        </row>
        <row r="77989">
          <cell r="O77989" t="str">
            <v/>
          </cell>
        </row>
        <row r="77990">
          <cell r="O77990" t="str">
            <v/>
          </cell>
        </row>
        <row r="77991">
          <cell r="O77991" t="str">
            <v/>
          </cell>
        </row>
        <row r="77992">
          <cell r="O77992" t="str">
            <v/>
          </cell>
        </row>
        <row r="77993">
          <cell r="O77993" t="str">
            <v/>
          </cell>
        </row>
        <row r="77994">
          <cell r="O77994" t="str">
            <v/>
          </cell>
        </row>
        <row r="77995">
          <cell r="O77995" t="str">
            <v/>
          </cell>
        </row>
        <row r="77996">
          <cell r="O77996" t="str">
            <v/>
          </cell>
        </row>
        <row r="77997">
          <cell r="O77997" t="str">
            <v/>
          </cell>
        </row>
        <row r="77998">
          <cell r="O77998" t="str">
            <v/>
          </cell>
        </row>
        <row r="77999">
          <cell r="O77999" t="str">
            <v/>
          </cell>
        </row>
        <row r="78000">
          <cell r="O78000" t="str">
            <v/>
          </cell>
        </row>
        <row r="78001">
          <cell r="O78001" t="str">
            <v/>
          </cell>
        </row>
        <row r="78002">
          <cell r="O78002" t="str">
            <v/>
          </cell>
        </row>
        <row r="78003">
          <cell r="O78003" t="str">
            <v/>
          </cell>
        </row>
        <row r="78004">
          <cell r="O78004" t="str">
            <v/>
          </cell>
        </row>
        <row r="78005">
          <cell r="O78005" t="str">
            <v/>
          </cell>
        </row>
        <row r="78006">
          <cell r="O78006" t="str">
            <v/>
          </cell>
        </row>
        <row r="78007">
          <cell r="O78007" t="str">
            <v/>
          </cell>
        </row>
        <row r="78008">
          <cell r="O78008" t="str">
            <v/>
          </cell>
        </row>
        <row r="78009">
          <cell r="O78009" t="str">
            <v/>
          </cell>
        </row>
        <row r="78010">
          <cell r="O78010" t="str">
            <v/>
          </cell>
        </row>
        <row r="78011">
          <cell r="O78011" t="str">
            <v/>
          </cell>
        </row>
        <row r="78012">
          <cell r="O78012" t="str">
            <v/>
          </cell>
        </row>
        <row r="78013">
          <cell r="O78013" t="str">
            <v/>
          </cell>
        </row>
        <row r="78014">
          <cell r="O78014" t="str">
            <v/>
          </cell>
        </row>
        <row r="78015">
          <cell r="O78015" t="str">
            <v/>
          </cell>
        </row>
        <row r="78016">
          <cell r="O78016" t="str">
            <v/>
          </cell>
        </row>
        <row r="78017">
          <cell r="O78017" t="str">
            <v/>
          </cell>
        </row>
        <row r="78018">
          <cell r="O78018" t="str">
            <v/>
          </cell>
        </row>
        <row r="78019">
          <cell r="O78019" t="str">
            <v/>
          </cell>
        </row>
        <row r="78020">
          <cell r="O78020" t="str">
            <v/>
          </cell>
        </row>
        <row r="78021">
          <cell r="O78021" t="str">
            <v/>
          </cell>
        </row>
        <row r="78022">
          <cell r="O78022" t="str">
            <v/>
          </cell>
        </row>
        <row r="78023">
          <cell r="O78023" t="str">
            <v/>
          </cell>
        </row>
        <row r="78024">
          <cell r="O78024" t="str">
            <v/>
          </cell>
        </row>
        <row r="78025">
          <cell r="O78025" t="str">
            <v/>
          </cell>
        </row>
        <row r="78026">
          <cell r="O78026" t="str">
            <v/>
          </cell>
        </row>
        <row r="78027">
          <cell r="O78027" t="str">
            <v/>
          </cell>
        </row>
        <row r="78028">
          <cell r="O78028" t="str">
            <v/>
          </cell>
        </row>
        <row r="78029">
          <cell r="O78029" t="str">
            <v/>
          </cell>
        </row>
        <row r="78030">
          <cell r="O78030" t="str">
            <v/>
          </cell>
        </row>
        <row r="78031">
          <cell r="O78031" t="str">
            <v/>
          </cell>
        </row>
        <row r="78032">
          <cell r="O78032" t="str">
            <v/>
          </cell>
        </row>
        <row r="78033">
          <cell r="O78033" t="str">
            <v/>
          </cell>
        </row>
        <row r="78034">
          <cell r="O78034" t="str">
            <v/>
          </cell>
        </row>
        <row r="78035">
          <cell r="O78035" t="str">
            <v/>
          </cell>
        </row>
        <row r="78036">
          <cell r="O78036" t="str">
            <v/>
          </cell>
        </row>
        <row r="78037">
          <cell r="O78037" t="str">
            <v/>
          </cell>
        </row>
        <row r="78038">
          <cell r="O78038" t="str">
            <v/>
          </cell>
        </row>
        <row r="78039">
          <cell r="O78039" t="str">
            <v/>
          </cell>
        </row>
        <row r="78040">
          <cell r="O78040" t="str">
            <v/>
          </cell>
        </row>
        <row r="78041">
          <cell r="O78041" t="str">
            <v/>
          </cell>
        </row>
        <row r="78042">
          <cell r="O78042" t="str">
            <v/>
          </cell>
        </row>
        <row r="78043">
          <cell r="O78043" t="str">
            <v/>
          </cell>
        </row>
        <row r="78044">
          <cell r="O78044" t="str">
            <v/>
          </cell>
        </row>
        <row r="78045">
          <cell r="O78045" t="str">
            <v/>
          </cell>
        </row>
        <row r="78046">
          <cell r="O78046" t="str">
            <v/>
          </cell>
        </row>
        <row r="78047">
          <cell r="O78047" t="str">
            <v/>
          </cell>
        </row>
        <row r="78048">
          <cell r="O78048" t="str">
            <v/>
          </cell>
        </row>
        <row r="78049">
          <cell r="O78049" t="str">
            <v/>
          </cell>
        </row>
        <row r="78050">
          <cell r="O78050" t="str">
            <v/>
          </cell>
        </row>
        <row r="78051">
          <cell r="O78051" t="str">
            <v/>
          </cell>
        </row>
        <row r="78052">
          <cell r="O78052" t="str">
            <v/>
          </cell>
        </row>
        <row r="78053">
          <cell r="O78053" t="str">
            <v/>
          </cell>
        </row>
        <row r="78054">
          <cell r="O78054" t="str">
            <v/>
          </cell>
        </row>
        <row r="78055">
          <cell r="O78055" t="str">
            <v/>
          </cell>
        </row>
        <row r="78056">
          <cell r="O78056" t="str">
            <v/>
          </cell>
        </row>
        <row r="78057">
          <cell r="O78057" t="str">
            <v/>
          </cell>
        </row>
        <row r="78058">
          <cell r="O78058" t="str">
            <v/>
          </cell>
        </row>
        <row r="78059">
          <cell r="O78059" t="str">
            <v/>
          </cell>
        </row>
        <row r="78060">
          <cell r="O78060" t="str">
            <v/>
          </cell>
        </row>
        <row r="78061">
          <cell r="O78061" t="str">
            <v/>
          </cell>
        </row>
        <row r="78062">
          <cell r="O78062" t="str">
            <v/>
          </cell>
        </row>
        <row r="78063">
          <cell r="O78063" t="str">
            <v/>
          </cell>
        </row>
        <row r="78064">
          <cell r="O78064" t="str">
            <v/>
          </cell>
        </row>
        <row r="78065">
          <cell r="O78065" t="str">
            <v/>
          </cell>
        </row>
        <row r="78066">
          <cell r="O78066" t="str">
            <v/>
          </cell>
        </row>
        <row r="78067">
          <cell r="O78067" t="str">
            <v/>
          </cell>
        </row>
        <row r="78068">
          <cell r="O78068" t="str">
            <v/>
          </cell>
        </row>
        <row r="78069">
          <cell r="O78069" t="str">
            <v/>
          </cell>
        </row>
        <row r="78070">
          <cell r="O78070" t="str">
            <v/>
          </cell>
        </row>
        <row r="78071">
          <cell r="O78071" t="str">
            <v/>
          </cell>
        </row>
        <row r="78072">
          <cell r="O78072" t="str">
            <v/>
          </cell>
        </row>
        <row r="78073">
          <cell r="O78073" t="str">
            <v/>
          </cell>
        </row>
        <row r="78074">
          <cell r="O78074" t="str">
            <v/>
          </cell>
        </row>
        <row r="78075">
          <cell r="O78075" t="str">
            <v/>
          </cell>
        </row>
        <row r="78076">
          <cell r="O78076" t="str">
            <v/>
          </cell>
        </row>
        <row r="78077">
          <cell r="O78077" t="str">
            <v/>
          </cell>
        </row>
        <row r="78078">
          <cell r="O78078" t="str">
            <v/>
          </cell>
        </row>
        <row r="78079">
          <cell r="O78079" t="str">
            <v/>
          </cell>
        </row>
        <row r="78080">
          <cell r="O78080" t="str">
            <v/>
          </cell>
        </row>
        <row r="78081">
          <cell r="O78081" t="str">
            <v/>
          </cell>
        </row>
        <row r="78082">
          <cell r="O78082" t="str">
            <v/>
          </cell>
        </row>
        <row r="78083">
          <cell r="O78083" t="str">
            <v/>
          </cell>
        </row>
        <row r="78084">
          <cell r="O78084" t="str">
            <v/>
          </cell>
        </row>
        <row r="78085">
          <cell r="O78085" t="str">
            <v/>
          </cell>
        </row>
        <row r="78086">
          <cell r="O78086" t="str">
            <v/>
          </cell>
        </row>
        <row r="78087">
          <cell r="O78087" t="str">
            <v/>
          </cell>
        </row>
        <row r="78088">
          <cell r="O78088" t="str">
            <v/>
          </cell>
        </row>
        <row r="78089">
          <cell r="O78089" t="str">
            <v/>
          </cell>
        </row>
        <row r="78090">
          <cell r="O78090" t="str">
            <v/>
          </cell>
        </row>
        <row r="78091">
          <cell r="O78091" t="str">
            <v/>
          </cell>
        </row>
        <row r="78092">
          <cell r="O78092" t="str">
            <v/>
          </cell>
        </row>
        <row r="78093">
          <cell r="O78093" t="str">
            <v/>
          </cell>
        </row>
        <row r="78094">
          <cell r="O78094" t="str">
            <v/>
          </cell>
        </row>
        <row r="78095">
          <cell r="O78095" t="str">
            <v/>
          </cell>
        </row>
        <row r="78096">
          <cell r="O78096" t="str">
            <v/>
          </cell>
        </row>
        <row r="78097">
          <cell r="O78097" t="str">
            <v/>
          </cell>
        </row>
        <row r="78098">
          <cell r="O78098" t="str">
            <v/>
          </cell>
        </row>
        <row r="78099">
          <cell r="O78099" t="str">
            <v/>
          </cell>
        </row>
        <row r="78100">
          <cell r="O78100" t="str">
            <v/>
          </cell>
        </row>
        <row r="78101">
          <cell r="O78101" t="str">
            <v/>
          </cell>
        </row>
        <row r="78102">
          <cell r="O78102" t="str">
            <v/>
          </cell>
        </row>
        <row r="78103">
          <cell r="O78103" t="str">
            <v/>
          </cell>
        </row>
        <row r="78104">
          <cell r="O78104" t="str">
            <v/>
          </cell>
        </row>
        <row r="78105">
          <cell r="O78105" t="str">
            <v/>
          </cell>
        </row>
        <row r="78106">
          <cell r="O78106" t="str">
            <v/>
          </cell>
        </row>
        <row r="78107">
          <cell r="O78107" t="str">
            <v/>
          </cell>
        </row>
        <row r="78108">
          <cell r="O78108" t="str">
            <v/>
          </cell>
        </row>
        <row r="78109">
          <cell r="O78109" t="str">
            <v/>
          </cell>
        </row>
        <row r="78110">
          <cell r="O78110" t="str">
            <v/>
          </cell>
        </row>
        <row r="78111">
          <cell r="O78111" t="str">
            <v/>
          </cell>
        </row>
        <row r="78112">
          <cell r="O78112" t="str">
            <v/>
          </cell>
        </row>
        <row r="78113">
          <cell r="O78113" t="str">
            <v/>
          </cell>
        </row>
        <row r="78114">
          <cell r="O78114" t="str">
            <v/>
          </cell>
        </row>
        <row r="78115">
          <cell r="O78115" t="str">
            <v/>
          </cell>
        </row>
        <row r="78116">
          <cell r="O78116" t="str">
            <v/>
          </cell>
        </row>
        <row r="78117">
          <cell r="O78117" t="str">
            <v/>
          </cell>
        </row>
        <row r="78118">
          <cell r="O78118" t="str">
            <v/>
          </cell>
        </row>
        <row r="78119">
          <cell r="O78119" t="str">
            <v/>
          </cell>
        </row>
        <row r="78120">
          <cell r="O78120" t="str">
            <v/>
          </cell>
        </row>
        <row r="78121">
          <cell r="O78121" t="str">
            <v/>
          </cell>
        </row>
        <row r="78122">
          <cell r="O78122" t="str">
            <v/>
          </cell>
        </row>
        <row r="78123">
          <cell r="O78123" t="str">
            <v/>
          </cell>
        </row>
        <row r="78124">
          <cell r="O78124" t="str">
            <v/>
          </cell>
        </row>
        <row r="78125">
          <cell r="O78125" t="str">
            <v/>
          </cell>
        </row>
        <row r="78126">
          <cell r="O78126" t="str">
            <v/>
          </cell>
        </row>
        <row r="78127">
          <cell r="O78127" t="str">
            <v/>
          </cell>
        </row>
        <row r="78128">
          <cell r="O78128" t="str">
            <v/>
          </cell>
        </row>
        <row r="78129">
          <cell r="O78129" t="str">
            <v/>
          </cell>
        </row>
        <row r="78130">
          <cell r="O78130" t="str">
            <v/>
          </cell>
        </row>
        <row r="78131">
          <cell r="O78131" t="str">
            <v/>
          </cell>
        </row>
        <row r="78132">
          <cell r="O78132" t="str">
            <v/>
          </cell>
        </row>
        <row r="78133">
          <cell r="O78133" t="str">
            <v/>
          </cell>
        </row>
        <row r="78134">
          <cell r="O78134" t="str">
            <v/>
          </cell>
        </row>
        <row r="78135">
          <cell r="O78135" t="str">
            <v/>
          </cell>
        </row>
        <row r="78136">
          <cell r="O78136" t="str">
            <v/>
          </cell>
        </row>
        <row r="78137">
          <cell r="O78137" t="str">
            <v/>
          </cell>
        </row>
        <row r="78138">
          <cell r="O78138" t="str">
            <v/>
          </cell>
        </row>
        <row r="78139">
          <cell r="O78139" t="str">
            <v/>
          </cell>
        </row>
        <row r="78140">
          <cell r="O78140" t="str">
            <v/>
          </cell>
        </row>
        <row r="78141">
          <cell r="O78141" t="str">
            <v/>
          </cell>
        </row>
        <row r="78142">
          <cell r="O78142" t="str">
            <v/>
          </cell>
        </row>
        <row r="78143">
          <cell r="O78143" t="str">
            <v/>
          </cell>
        </row>
        <row r="78144">
          <cell r="O78144" t="str">
            <v/>
          </cell>
        </row>
        <row r="78145">
          <cell r="O78145" t="str">
            <v/>
          </cell>
        </row>
        <row r="78146">
          <cell r="O78146" t="str">
            <v/>
          </cell>
        </row>
        <row r="78147">
          <cell r="O78147" t="str">
            <v/>
          </cell>
        </row>
        <row r="78148">
          <cell r="O78148" t="str">
            <v/>
          </cell>
        </row>
        <row r="78149">
          <cell r="O78149" t="str">
            <v/>
          </cell>
        </row>
        <row r="78150">
          <cell r="O78150" t="str">
            <v/>
          </cell>
        </row>
        <row r="78151">
          <cell r="O78151" t="str">
            <v/>
          </cell>
        </row>
        <row r="78152">
          <cell r="O78152" t="str">
            <v/>
          </cell>
        </row>
        <row r="78153">
          <cell r="O78153" t="str">
            <v/>
          </cell>
        </row>
        <row r="78154">
          <cell r="O78154" t="str">
            <v/>
          </cell>
        </row>
        <row r="78155">
          <cell r="O78155" t="str">
            <v/>
          </cell>
        </row>
        <row r="78156">
          <cell r="O78156" t="str">
            <v/>
          </cell>
        </row>
        <row r="78157">
          <cell r="O78157" t="str">
            <v/>
          </cell>
        </row>
        <row r="78158">
          <cell r="O78158" t="str">
            <v/>
          </cell>
        </row>
        <row r="78159">
          <cell r="O78159" t="str">
            <v/>
          </cell>
        </row>
        <row r="78160">
          <cell r="O78160" t="str">
            <v/>
          </cell>
        </row>
        <row r="78161">
          <cell r="O78161" t="str">
            <v/>
          </cell>
        </row>
        <row r="78162">
          <cell r="O78162" t="str">
            <v/>
          </cell>
        </row>
        <row r="78163">
          <cell r="O78163" t="str">
            <v/>
          </cell>
        </row>
        <row r="78164">
          <cell r="O78164" t="str">
            <v/>
          </cell>
        </row>
        <row r="78165">
          <cell r="O78165" t="str">
            <v/>
          </cell>
        </row>
        <row r="78166">
          <cell r="O78166" t="str">
            <v/>
          </cell>
        </row>
        <row r="78167">
          <cell r="O78167" t="str">
            <v/>
          </cell>
        </row>
        <row r="78168">
          <cell r="O78168" t="str">
            <v/>
          </cell>
        </row>
        <row r="78169">
          <cell r="O78169" t="str">
            <v/>
          </cell>
        </row>
        <row r="78170">
          <cell r="O78170" t="str">
            <v/>
          </cell>
        </row>
        <row r="78171">
          <cell r="O78171" t="str">
            <v/>
          </cell>
        </row>
        <row r="78172">
          <cell r="O78172" t="str">
            <v/>
          </cell>
        </row>
        <row r="78173">
          <cell r="O78173" t="str">
            <v/>
          </cell>
        </row>
        <row r="78174">
          <cell r="O78174" t="str">
            <v/>
          </cell>
        </row>
        <row r="78175">
          <cell r="O78175" t="str">
            <v/>
          </cell>
        </row>
        <row r="78176">
          <cell r="O78176" t="str">
            <v/>
          </cell>
        </row>
        <row r="78177">
          <cell r="O78177" t="str">
            <v/>
          </cell>
        </row>
        <row r="78178">
          <cell r="O78178" t="str">
            <v/>
          </cell>
        </row>
        <row r="78179">
          <cell r="O78179" t="str">
            <v/>
          </cell>
        </row>
        <row r="78180">
          <cell r="O78180" t="str">
            <v/>
          </cell>
        </row>
        <row r="78181">
          <cell r="O78181" t="str">
            <v/>
          </cell>
        </row>
        <row r="78182">
          <cell r="O78182" t="str">
            <v/>
          </cell>
        </row>
        <row r="78183">
          <cell r="O78183" t="str">
            <v/>
          </cell>
        </row>
        <row r="78184">
          <cell r="O78184" t="str">
            <v/>
          </cell>
        </row>
        <row r="78185">
          <cell r="O78185" t="str">
            <v/>
          </cell>
        </row>
        <row r="78186">
          <cell r="O78186" t="str">
            <v/>
          </cell>
        </row>
        <row r="78187">
          <cell r="O78187" t="str">
            <v/>
          </cell>
        </row>
        <row r="78188">
          <cell r="O78188" t="str">
            <v/>
          </cell>
        </row>
        <row r="78189">
          <cell r="O78189" t="str">
            <v/>
          </cell>
        </row>
        <row r="78190">
          <cell r="O78190" t="str">
            <v/>
          </cell>
        </row>
        <row r="78191">
          <cell r="O78191" t="str">
            <v/>
          </cell>
        </row>
        <row r="78192">
          <cell r="O78192" t="str">
            <v/>
          </cell>
        </row>
        <row r="78193">
          <cell r="O78193" t="str">
            <v/>
          </cell>
        </row>
        <row r="78194">
          <cell r="O78194" t="str">
            <v/>
          </cell>
        </row>
        <row r="78195">
          <cell r="O78195" t="str">
            <v/>
          </cell>
        </row>
        <row r="78196">
          <cell r="O78196" t="str">
            <v/>
          </cell>
        </row>
        <row r="78197">
          <cell r="O78197" t="str">
            <v/>
          </cell>
        </row>
        <row r="78198">
          <cell r="O78198" t="str">
            <v/>
          </cell>
        </row>
        <row r="78199">
          <cell r="O78199" t="str">
            <v/>
          </cell>
        </row>
        <row r="78200">
          <cell r="O78200" t="str">
            <v/>
          </cell>
        </row>
        <row r="78201">
          <cell r="O78201" t="str">
            <v/>
          </cell>
        </row>
        <row r="78202">
          <cell r="O78202" t="str">
            <v/>
          </cell>
        </row>
        <row r="78203">
          <cell r="O78203" t="str">
            <v/>
          </cell>
        </row>
        <row r="78204">
          <cell r="O78204" t="str">
            <v/>
          </cell>
        </row>
        <row r="78205">
          <cell r="O78205" t="str">
            <v/>
          </cell>
        </row>
        <row r="78206">
          <cell r="O78206" t="str">
            <v/>
          </cell>
        </row>
        <row r="78207">
          <cell r="O78207" t="str">
            <v/>
          </cell>
        </row>
        <row r="78208">
          <cell r="O78208" t="str">
            <v/>
          </cell>
        </row>
        <row r="78209">
          <cell r="O78209" t="str">
            <v/>
          </cell>
        </row>
        <row r="78210">
          <cell r="O78210" t="str">
            <v/>
          </cell>
        </row>
        <row r="78211">
          <cell r="O78211" t="str">
            <v/>
          </cell>
        </row>
        <row r="78212">
          <cell r="O78212" t="str">
            <v/>
          </cell>
        </row>
        <row r="78213">
          <cell r="O78213" t="str">
            <v/>
          </cell>
        </row>
        <row r="78214">
          <cell r="O78214" t="str">
            <v/>
          </cell>
        </row>
        <row r="78215">
          <cell r="O78215" t="str">
            <v/>
          </cell>
        </row>
        <row r="78216">
          <cell r="O78216" t="str">
            <v/>
          </cell>
        </row>
        <row r="78217">
          <cell r="O78217" t="str">
            <v/>
          </cell>
        </row>
        <row r="78218">
          <cell r="O78218" t="str">
            <v/>
          </cell>
        </row>
        <row r="78219">
          <cell r="O78219" t="str">
            <v/>
          </cell>
        </row>
        <row r="78220">
          <cell r="O78220" t="str">
            <v/>
          </cell>
        </row>
        <row r="78221">
          <cell r="O78221" t="str">
            <v/>
          </cell>
        </row>
        <row r="78222">
          <cell r="O78222" t="str">
            <v/>
          </cell>
        </row>
        <row r="78223">
          <cell r="O78223" t="str">
            <v/>
          </cell>
        </row>
        <row r="78224">
          <cell r="O78224" t="str">
            <v/>
          </cell>
        </row>
        <row r="78225">
          <cell r="O78225" t="str">
            <v/>
          </cell>
        </row>
        <row r="78226">
          <cell r="O78226" t="str">
            <v/>
          </cell>
        </row>
        <row r="78227">
          <cell r="O78227" t="str">
            <v/>
          </cell>
        </row>
        <row r="78228">
          <cell r="O78228" t="str">
            <v/>
          </cell>
        </row>
        <row r="78229">
          <cell r="O78229" t="str">
            <v/>
          </cell>
        </row>
        <row r="78230">
          <cell r="O78230" t="str">
            <v/>
          </cell>
        </row>
        <row r="78231">
          <cell r="O78231" t="str">
            <v/>
          </cell>
        </row>
        <row r="78232">
          <cell r="O78232" t="str">
            <v/>
          </cell>
        </row>
        <row r="78233">
          <cell r="O78233" t="str">
            <v/>
          </cell>
        </row>
        <row r="78234">
          <cell r="O78234" t="str">
            <v/>
          </cell>
        </row>
        <row r="78235">
          <cell r="O78235" t="str">
            <v/>
          </cell>
        </row>
        <row r="78236">
          <cell r="O78236" t="str">
            <v/>
          </cell>
        </row>
        <row r="78237">
          <cell r="O78237" t="str">
            <v/>
          </cell>
        </row>
        <row r="78238">
          <cell r="O78238" t="str">
            <v/>
          </cell>
        </row>
        <row r="78239">
          <cell r="O78239" t="str">
            <v/>
          </cell>
        </row>
        <row r="78240">
          <cell r="O78240" t="str">
            <v/>
          </cell>
        </row>
        <row r="78241">
          <cell r="O78241" t="str">
            <v/>
          </cell>
        </row>
        <row r="78242">
          <cell r="O78242" t="str">
            <v/>
          </cell>
        </row>
        <row r="78243">
          <cell r="O78243" t="str">
            <v/>
          </cell>
        </row>
        <row r="78244">
          <cell r="O78244" t="str">
            <v/>
          </cell>
        </row>
        <row r="78245">
          <cell r="O78245" t="str">
            <v/>
          </cell>
        </row>
        <row r="78246">
          <cell r="O78246" t="str">
            <v/>
          </cell>
        </row>
        <row r="78247">
          <cell r="O78247" t="str">
            <v/>
          </cell>
        </row>
        <row r="78248">
          <cell r="O78248" t="str">
            <v/>
          </cell>
        </row>
        <row r="78249">
          <cell r="O78249" t="str">
            <v/>
          </cell>
        </row>
        <row r="78250">
          <cell r="O78250" t="str">
            <v/>
          </cell>
        </row>
        <row r="78251">
          <cell r="O78251" t="str">
            <v/>
          </cell>
        </row>
        <row r="78252">
          <cell r="O78252" t="str">
            <v/>
          </cell>
        </row>
        <row r="78253">
          <cell r="O78253" t="str">
            <v/>
          </cell>
        </row>
        <row r="78254">
          <cell r="O78254" t="str">
            <v/>
          </cell>
        </row>
        <row r="78255">
          <cell r="O78255" t="str">
            <v/>
          </cell>
        </row>
        <row r="78256">
          <cell r="O78256" t="str">
            <v/>
          </cell>
        </row>
        <row r="78257">
          <cell r="O78257" t="str">
            <v/>
          </cell>
        </row>
        <row r="78258">
          <cell r="O78258" t="str">
            <v/>
          </cell>
        </row>
        <row r="78259">
          <cell r="O78259" t="str">
            <v/>
          </cell>
        </row>
        <row r="78260">
          <cell r="O78260" t="str">
            <v/>
          </cell>
        </row>
        <row r="78261">
          <cell r="O78261" t="str">
            <v/>
          </cell>
        </row>
        <row r="78262">
          <cell r="O78262" t="str">
            <v/>
          </cell>
        </row>
        <row r="78263">
          <cell r="O78263" t="str">
            <v/>
          </cell>
        </row>
        <row r="78264">
          <cell r="O78264" t="str">
            <v/>
          </cell>
        </row>
        <row r="78265">
          <cell r="O78265" t="str">
            <v/>
          </cell>
        </row>
        <row r="78266">
          <cell r="O78266" t="str">
            <v/>
          </cell>
        </row>
        <row r="78267">
          <cell r="O78267" t="str">
            <v/>
          </cell>
        </row>
        <row r="78268">
          <cell r="O78268" t="str">
            <v/>
          </cell>
        </row>
        <row r="78269">
          <cell r="O78269" t="str">
            <v/>
          </cell>
        </row>
        <row r="78270">
          <cell r="O78270" t="str">
            <v/>
          </cell>
        </row>
        <row r="78271">
          <cell r="O78271" t="str">
            <v/>
          </cell>
        </row>
        <row r="78272">
          <cell r="O78272" t="str">
            <v/>
          </cell>
        </row>
        <row r="78273">
          <cell r="O78273" t="str">
            <v/>
          </cell>
        </row>
        <row r="78274">
          <cell r="O78274" t="str">
            <v/>
          </cell>
        </row>
        <row r="78275">
          <cell r="O78275" t="str">
            <v/>
          </cell>
        </row>
        <row r="78276">
          <cell r="O78276" t="str">
            <v/>
          </cell>
        </row>
        <row r="78277">
          <cell r="O78277" t="str">
            <v/>
          </cell>
        </row>
        <row r="78278">
          <cell r="O78278" t="str">
            <v/>
          </cell>
        </row>
        <row r="78279">
          <cell r="O78279" t="str">
            <v/>
          </cell>
        </row>
        <row r="78280">
          <cell r="O78280" t="str">
            <v/>
          </cell>
        </row>
        <row r="78281">
          <cell r="O78281" t="str">
            <v/>
          </cell>
        </row>
        <row r="78282">
          <cell r="O78282" t="str">
            <v/>
          </cell>
        </row>
        <row r="78283">
          <cell r="O78283" t="str">
            <v/>
          </cell>
        </row>
        <row r="78284">
          <cell r="O78284" t="str">
            <v/>
          </cell>
        </row>
        <row r="78285">
          <cell r="O78285" t="str">
            <v/>
          </cell>
        </row>
        <row r="78286">
          <cell r="O78286" t="str">
            <v/>
          </cell>
        </row>
        <row r="78287">
          <cell r="O78287" t="str">
            <v/>
          </cell>
        </row>
        <row r="78288">
          <cell r="O78288" t="str">
            <v/>
          </cell>
        </row>
        <row r="78289">
          <cell r="O78289" t="str">
            <v/>
          </cell>
        </row>
        <row r="78290">
          <cell r="O78290" t="str">
            <v/>
          </cell>
        </row>
        <row r="78291">
          <cell r="O78291" t="str">
            <v/>
          </cell>
        </row>
        <row r="78292">
          <cell r="O78292" t="str">
            <v/>
          </cell>
        </row>
        <row r="78293">
          <cell r="O78293" t="str">
            <v/>
          </cell>
        </row>
        <row r="78294">
          <cell r="O78294" t="str">
            <v/>
          </cell>
        </row>
        <row r="78295">
          <cell r="O78295" t="str">
            <v/>
          </cell>
        </row>
        <row r="78296">
          <cell r="O78296" t="str">
            <v/>
          </cell>
        </row>
        <row r="78297">
          <cell r="O78297" t="str">
            <v/>
          </cell>
        </row>
        <row r="78298">
          <cell r="O78298" t="str">
            <v/>
          </cell>
        </row>
        <row r="78299">
          <cell r="O78299" t="str">
            <v/>
          </cell>
        </row>
        <row r="78300">
          <cell r="O78300" t="str">
            <v/>
          </cell>
        </row>
        <row r="78301">
          <cell r="O78301" t="str">
            <v/>
          </cell>
        </row>
        <row r="78302">
          <cell r="O78302" t="str">
            <v/>
          </cell>
        </row>
        <row r="78303">
          <cell r="O78303" t="str">
            <v/>
          </cell>
        </row>
        <row r="78304">
          <cell r="O78304" t="str">
            <v/>
          </cell>
        </row>
        <row r="78305">
          <cell r="O78305" t="str">
            <v/>
          </cell>
        </row>
        <row r="78306">
          <cell r="O78306" t="str">
            <v/>
          </cell>
        </row>
        <row r="78307">
          <cell r="O78307" t="str">
            <v/>
          </cell>
        </row>
        <row r="78308">
          <cell r="O78308" t="str">
            <v/>
          </cell>
        </row>
        <row r="78309">
          <cell r="O78309" t="str">
            <v/>
          </cell>
        </row>
        <row r="78310">
          <cell r="O78310" t="str">
            <v/>
          </cell>
        </row>
        <row r="78311">
          <cell r="O78311" t="str">
            <v/>
          </cell>
        </row>
        <row r="78312">
          <cell r="O78312" t="str">
            <v/>
          </cell>
        </row>
        <row r="78313">
          <cell r="O78313" t="str">
            <v/>
          </cell>
        </row>
        <row r="78314">
          <cell r="O78314" t="str">
            <v/>
          </cell>
        </row>
        <row r="78315">
          <cell r="O78315" t="str">
            <v/>
          </cell>
        </row>
        <row r="78316">
          <cell r="O78316" t="str">
            <v/>
          </cell>
        </row>
        <row r="78317">
          <cell r="O78317" t="str">
            <v/>
          </cell>
        </row>
        <row r="78318">
          <cell r="O78318" t="str">
            <v/>
          </cell>
        </row>
        <row r="78319">
          <cell r="O78319" t="str">
            <v/>
          </cell>
        </row>
        <row r="78320">
          <cell r="O78320" t="str">
            <v/>
          </cell>
        </row>
        <row r="78321">
          <cell r="O78321" t="str">
            <v/>
          </cell>
        </row>
        <row r="78322">
          <cell r="O78322" t="str">
            <v/>
          </cell>
        </row>
        <row r="78323">
          <cell r="O78323" t="str">
            <v/>
          </cell>
        </row>
        <row r="78324">
          <cell r="O78324" t="str">
            <v/>
          </cell>
        </row>
        <row r="78325">
          <cell r="O78325" t="str">
            <v/>
          </cell>
        </row>
        <row r="78326">
          <cell r="O78326" t="str">
            <v/>
          </cell>
        </row>
        <row r="78327">
          <cell r="O78327" t="str">
            <v/>
          </cell>
        </row>
        <row r="78328">
          <cell r="O78328" t="str">
            <v/>
          </cell>
        </row>
        <row r="78329">
          <cell r="O78329" t="str">
            <v/>
          </cell>
        </row>
        <row r="78330">
          <cell r="O78330" t="str">
            <v/>
          </cell>
        </row>
        <row r="78331">
          <cell r="O78331" t="str">
            <v/>
          </cell>
        </row>
        <row r="78332">
          <cell r="O78332" t="str">
            <v/>
          </cell>
        </row>
        <row r="78333">
          <cell r="O78333" t="str">
            <v/>
          </cell>
        </row>
        <row r="78334">
          <cell r="O78334" t="str">
            <v/>
          </cell>
        </row>
        <row r="78335">
          <cell r="O78335" t="str">
            <v/>
          </cell>
        </row>
        <row r="78336">
          <cell r="O78336" t="str">
            <v/>
          </cell>
        </row>
        <row r="78337">
          <cell r="O78337" t="str">
            <v/>
          </cell>
        </row>
        <row r="78338">
          <cell r="O78338" t="str">
            <v/>
          </cell>
        </row>
        <row r="78339">
          <cell r="O78339" t="str">
            <v/>
          </cell>
        </row>
        <row r="78340">
          <cell r="O78340" t="str">
            <v/>
          </cell>
        </row>
        <row r="78341">
          <cell r="O78341" t="str">
            <v/>
          </cell>
        </row>
        <row r="78342">
          <cell r="O78342" t="str">
            <v/>
          </cell>
        </row>
        <row r="78343">
          <cell r="O78343" t="str">
            <v/>
          </cell>
        </row>
        <row r="78344">
          <cell r="O78344" t="str">
            <v/>
          </cell>
        </row>
        <row r="78345">
          <cell r="O78345" t="str">
            <v/>
          </cell>
        </row>
        <row r="78346">
          <cell r="O78346" t="str">
            <v/>
          </cell>
        </row>
        <row r="78347">
          <cell r="O78347" t="str">
            <v/>
          </cell>
        </row>
        <row r="78348">
          <cell r="O78348" t="str">
            <v/>
          </cell>
        </row>
        <row r="78349">
          <cell r="O78349" t="str">
            <v/>
          </cell>
        </row>
        <row r="78350">
          <cell r="O78350" t="str">
            <v/>
          </cell>
        </row>
        <row r="78351">
          <cell r="O78351" t="str">
            <v/>
          </cell>
        </row>
        <row r="78352">
          <cell r="O78352" t="str">
            <v/>
          </cell>
        </row>
        <row r="78353">
          <cell r="O78353" t="str">
            <v/>
          </cell>
        </row>
        <row r="78354">
          <cell r="O78354" t="str">
            <v/>
          </cell>
        </row>
        <row r="78355">
          <cell r="O78355" t="str">
            <v/>
          </cell>
        </row>
        <row r="78356">
          <cell r="O78356" t="str">
            <v/>
          </cell>
        </row>
        <row r="78357">
          <cell r="O78357" t="str">
            <v/>
          </cell>
        </row>
        <row r="78358">
          <cell r="O78358" t="str">
            <v/>
          </cell>
        </row>
        <row r="78359">
          <cell r="O78359" t="str">
            <v/>
          </cell>
        </row>
        <row r="78360">
          <cell r="O78360" t="str">
            <v/>
          </cell>
        </row>
        <row r="78361">
          <cell r="O78361" t="str">
            <v/>
          </cell>
        </row>
        <row r="78362">
          <cell r="O78362" t="str">
            <v/>
          </cell>
        </row>
        <row r="78363">
          <cell r="O78363" t="str">
            <v/>
          </cell>
        </row>
        <row r="78364">
          <cell r="O78364" t="str">
            <v/>
          </cell>
        </row>
        <row r="78365">
          <cell r="O78365" t="str">
            <v/>
          </cell>
        </row>
        <row r="78366">
          <cell r="O78366" t="str">
            <v/>
          </cell>
        </row>
        <row r="78367">
          <cell r="O78367" t="str">
            <v/>
          </cell>
        </row>
        <row r="78368">
          <cell r="O78368" t="str">
            <v/>
          </cell>
        </row>
        <row r="78369">
          <cell r="O78369" t="str">
            <v/>
          </cell>
        </row>
        <row r="78370">
          <cell r="O78370" t="str">
            <v/>
          </cell>
        </row>
        <row r="78371">
          <cell r="O78371" t="str">
            <v/>
          </cell>
        </row>
        <row r="78372">
          <cell r="O78372" t="str">
            <v/>
          </cell>
        </row>
        <row r="78373">
          <cell r="O78373" t="str">
            <v/>
          </cell>
        </row>
        <row r="78374">
          <cell r="O78374" t="str">
            <v/>
          </cell>
        </row>
        <row r="78375">
          <cell r="O78375" t="str">
            <v/>
          </cell>
        </row>
        <row r="78376">
          <cell r="O78376" t="str">
            <v/>
          </cell>
        </row>
        <row r="78377">
          <cell r="O78377" t="str">
            <v/>
          </cell>
        </row>
        <row r="78378">
          <cell r="O78378" t="str">
            <v/>
          </cell>
        </row>
        <row r="78379">
          <cell r="O78379" t="str">
            <v/>
          </cell>
        </row>
        <row r="78380">
          <cell r="O78380" t="str">
            <v/>
          </cell>
        </row>
        <row r="78381">
          <cell r="O78381" t="str">
            <v/>
          </cell>
        </row>
        <row r="78382">
          <cell r="O78382" t="str">
            <v/>
          </cell>
        </row>
        <row r="78383">
          <cell r="O78383" t="str">
            <v/>
          </cell>
        </row>
        <row r="78384">
          <cell r="O78384" t="str">
            <v/>
          </cell>
        </row>
        <row r="78385">
          <cell r="O78385" t="str">
            <v/>
          </cell>
        </row>
        <row r="78386">
          <cell r="O78386" t="str">
            <v/>
          </cell>
        </row>
        <row r="78387">
          <cell r="O78387" t="str">
            <v/>
          </cell>
        </row>
        <row r="78388">
          <cell r="O78388" t="str">
            <v/>
          </cell>
        </row>
        <row r="78389">
          <cell r="O78389" t="str">
            <v/>
          </cell>
        </row>
        <row r="78390">
          <cell r="O78390" t="str">
            <v/>
          </cell>
        </row>
        <row r="78391">
          <cell r="O78391" t="str">
            <v/>
          </cell>
        </row>
        <row r="78392">
          <cell r="O78392" t="str">
            <v/>
          </cell>
        </row>
        <row r="78393">
          <cell r="O78393" t="str">
            <v/>
          </cell>
        </row>
        <row r="78394">
          <cell r="O78394" t="str">
            <v/>
          </cell>
        </row>
        <row r="78395">
          <cell r="O78395" t="str">
            <v/>
          </cell>
        </row>
        <row r="78396">
          <cell r="O78396" t="str">
            <v/>
          </cell>
        </row>
        <row r="78397">
          <cell r="O78397" t="str">
            <v/>
          </cell>
        </row>
        <row r="78398">
          <cell r="O78398" t="str">
            <v/>
          </cell>
        </row>
        <row r="78399">
          <cell r="O78399" t="str">
            <v/>
          </cell>
        </row>
        <row r="78400">
          <cell r="O78400" t="str">
            <v/>
          </cell>
        </row>
        <row r="78401">
          <cell r="O78401" t="str">
            <v/>
          </cell>
        </row>
        <row r="78402">
          <cell r="O78402" t="str">
            <v/>
          </cell>
        </row>
        <row r="78403">
          <cell r="O78403" t="str">
            <v/>
          </cell>
        </row>
        <row r="78404">
          <cell r="O78404" t="str">
            <v/>
          </cell>
        </row>
        <row r="78405">
          <cell r="O78405" t="str">
            <v/>
          </cell>
        </row>
        <row r="78406">
          <cell r="O78406" t="str">
            <v/>
          </cell>
        </row>
        <row r="78407">
          <cell r="O78407" t="str">
            <v/>
          </cell>
        </row>
        <row r="78408">
          <cell r="O78408" t="str">
            <v/>
          </cell>
        </row>
        <row r="78409">
          <cell r="O78409" t="str">
            <v/>
          </cell>
        </row>
        <row r="78410">
          <cell r="O78410" t="str">
            <v/>
          </cell>
        </row>
        <row r="78411">
          <cell r="O78411" t="str">
            <v/>
          </cell>
        </row>
        <row r="78412">
          <cell r="O78412" t="str">
            <v/>
          </cell>
        </row>
        <row r="78413">
          <cell r="O78413" t="str">
            <v/>
          </cell>
        </row>
        <row r="78414">
          <cell r="O78414" t="str">
            <v/>
          </cell>
        </row>
        <row r="78415">
          <cell r="O78415" t="str">
            <v/>
          </cell>
        </row>
        <row r="78416">
          <cell r="O78416" t="str">
            <v/>
          </cell>
        </row>
        <row r="78417">
          <cell r="O78417" t="str">
            <v/>
          </cell>
        </row>
        <row r="78418">
          <cell r="O78418" t="str">
            <v/>
          </cell>
        </row>
        <row r="78419">
          <cell r="O78419" t="str">
            <v/>
          </cell>
        </row>
        <row r="78420">
          <cell r="O78420" t="str">
            <v/>
          </cell>
        </row>
        <row r="78421">
          <cell r="O78421" t="str">
            <v/>
          </cell>
        </row>
        <row r="78422">
          <cell r="O78422" t="str">
            <v/>
          </cell>
        </row>
        <row r="78423">
          <cell r="O78423" t="str">
            <v/>
          </cell>
        </row>
        <row r="78424">
          <cell r="O78424" t="str">
            <v/>
          </cell>
        </row>
        <row r="78425">
          <cell r="O78425" t="str">
            <v/>
          </cell>
        </row>
        <row r="78426">
          <cell r="O78426" t="str">
            <v/>
          </cell>
        </row>
        <row r="78427">
          <cell r="O78427" t="str">
            <v/>
          </cell>
        </row>
        <row r="78428">
          <cell r="O78428" t="str">
            <v/>
          </cell>
        </row>
        <row r="78429">
          <cell r="O78429" t="str">
            <v/>
          </cell>
        </row>
        <row r="78430">
          <cell r="O78430" t="str">
            <v/>
          </cell>
        </row>
        <row r="78431">
          <cell r="O78431" t="str">
            <v/>
          </cell>
        </row>
        <row r="78432">
          <cell r="O78432" t="str">
            <v/>
          </cell>
        </row>
        <row r="78433">
          <cell r="O78433" t="str">
            <v/>
          </cell>
        </row>
        <row r="78434">
          <cell r="O78434" t="str">
            <v/>
          </cell>
        </row>
        <row r="78435">
          <cell r="O78435" t="str">
            <v/>
          </cell>
        </row>
        <row r="78436">
          <cell r="O78436" t="str">
            <v/>
          </cell>
        </row>
        <row r="78437">
          <cell r="O78437" t="str">
            <v/>
          </cell>
        </row>
        <row r="78438">
          <cell r="O78438" t="str">
            <v/>
          </cell>
        </row>
        <row r="78439">
          <cell r="O78439" t="str">
            <v/>
          </cell>
        </row>
        <row r="78440">
          <cell r="O78440" t="str">
            <v/>
          </cell>
        </row>
        <row r="78441">
          <cell r="O78441" t="str">
            <v/>
          </cell>
        </row>
        <row r="78442">
          <cell r="O78442" t="str">
            <v/>
          </cell>
        </row>
        <row r="78443">
          <cell r="O78443" t="str">
            <v/>
          </cell>
        </row>
        <row r="78444">
          <cell r="O78444" t="str">
            <v/>
          </cell>
        </row>
        <row r="78445">
          <cell r="O78445" t="str">
            <v/>
          </cell>
        </row>
        <row r="78446">
          <cell r="O78446" t="str">
            <v/>
          </cell>
        </row>
        <row r="78447">
          <cell r="O78447" t="str">
            <v/>
          </cell>
        </row>
        <row r="78448">
          <cell r="O78448" t="str">
            <v/>
          </cell>
        </row>
        <row r="78449">
          <cell r="O78449" t="str">
            <v/>
          </cell>
        </row>
        <row r="78450">
          <cell r="O78450" t="str">
            <v/>
          </cell>
        </row>
        <row r="78451">
          <cell r="O78451" t="str">
            <v/>
          </cell>
        </row>
        <row r="78452">
          <cell r="O78452" t="str">
            <v/>
          </cell>
        </row>
        <row r="78453">
          <cell r="O78453" t="str">
            <v/>
          </cell>
        </row>
        <row r="78454">
          <cell r="O78454" t="str">
            <v/>
          </cell>
        </row>
        <row r="78455">
          <cell r="O78455" t="str">
            <v/>
          </cell>
        </row>
        <row r="78456">
          <cell r="O78456" t="str">
            <v/>
          </cell>
        </row>
        <row r="78457">
          <cell r="O78457" t="str">
            <v/>
          </cell>
        </row>
        <row r="78458">
          <cell r="O78458" t="str">
            <v/>
          </cell>
        </row>
        <row r="78459">
          <cell r="O78459" t="str">
            <v/>
          </cell>
        </row>
        <row r="78460">
          <cell r="O78460" t="str">
            <v/>
          </cell>
        </row>
        <row r="78461">
          <cell r="O78461" t="str">
            <v/>
          </cell>
        </row>
        <row r="78462">
          <cell r="O78462" t="str">
            <v/>
          </cell>
        </row>
        <row r="78463">
          <cell r="O78463" t="str">
            <v/>
          </cell>
        </row>
        <row r="78464">
          <cell r="O78464" t="str">
            <v/>
          </cell>
        </row>
        <row r="78465">
          <cell r="O78465" t="str">
            <v/>
          </cell>
        </row>
        <row r="78466">
          <cell r="O78466" t="str">
            <v/>
          </cell>
        </row>
        <row r="78467">
          <cell r="O78467" t="str">
            <v/>
          </cell>
        </row>
        <row r="78468">
          <cell r="O78468" t="str">
            <v/>
          </cell>
        </row>
        <row r="78469">
          <cell r="O78469" t="str">
            <v/>
          </cell>
        </row>
        <row r="78470">
          <cell r="O78470" t="str">
            <v/>
          </cell>
        </row>
        <row r="78471">
          <cell r="O78471" t="str">
            <v/>
          </cell>
        </row>
        <row r="78472">
          <cell r="O78472" t="str">
            <v/>
          </cell>
        </row>
        <row r="78473">
          <cell r="O78473" t="str">
            <v/>
          </cell>
        </row>
        <row r="78474">
          <cell r="O78474" t="str">
            <v/>
          </cell>
        </row>
        <row r="78475">
          <cell r="O78475" t="str">
            <v/>
          </cell>
        </row>
        <row r="78476">
          <cell r="O78476" t="str">
            <v/>
          </cell>
        </row>
        <row r="78477">
          <cell r="O78477" t="str">
            <v/>
          </cell>
        </row>
        <row r="78478">
          <cell r="O78478" t="str">
            <v/>
          </cell>
        </row>
        <row r="78479">
          <cell r="O78479" t="str">
            <v/>
          </cell>
        </row>
        <row r="78480">
          <cell r="O78480" t="str">
            <v/>
          </cell>
        </row>
        <row r="78481">
          <cell r="O78481" t="str">
            <v/>
          </cell>
        </row>
        <row r="78482">
          <cell r="O78482" t="str">
            <v/>
          </cell>
        </row>
        <row r="78483">
          <cell r="O78483" t="str">
            <v/>
          </cell>
        </row>
        <row r="78484">
          <cell r="O78484" t="str">
            <v/>
          </cell>
        </row>
        <row r="78485">
          <cell r="O78485" t="str">
            <v/>
          </cell>
        </row>
        <row r="78486">
          <cell r="O78486" t="str">
            <v/>
          </cell>
        </row>
        <row r="78487">
          <cell r="O78487" t="str">
            <v/>
          </cell>
        </row>
        <row r="78488">
          <cell r="O78488" t="str">
            <v/>
          </cell>
        </row>
        <row r="78489">
          <cell r="O78489" t="str">
            <v/>
          </cell>
        </row>
        <row r="78490">
          <cell r="O78490" t="str">
            <v/>
          </cell>
        </row>
        <row r="78491">
          <cell r="O78491" t="str">
            <v/>
          </cell>
        </row>
        <row r="78492">
          <cell r="O78492" t="str">
            <v/>
          </cell>
        </row>
        <row r="78493">
          <cell r="O78493" t="str">
            <v/>
          </cell>
        </row>
        <row r="78494">
          <cell r="O78494" t="str">
            <v/>
          </cell>
        </row>
        <row r="78495">
          <cell r="O78495" t="str">
            <v/>
          </cell>
        </row>
        <row r="78496">
          <cell r="O78496" t="str">
            <v/>
          </cell>
        </row>
        <row r="78497">
          <cell r="O78497" t="str">
            <v/>
          </cell>
        </row>
        <row r="78498">
          <cell r="O78498" t="str">
            <v/>
          </cell>
        </row>
        <row r="78499">
          <cell r="O78499" t="str">
            <v/>
          </cell>
        </row>
        <row r="78500">
          <cell r="O78500" t="str">
            <v/>
          </cell>
        </row>
        <row r="78501">
          <cell r="O78501" t="str">
            <v/>
          </cell>
        </row>
        <row r="78502">
          <cell r="O78502" t="str">
            <v/>
          </cell>
        </row>
        <row r="78503">
          <cell r="O78503" t="str">
            <v/>
          </cell>
        </row>
        <row r="78504">
          <cell r="O78504" t="str">
            <v/>
          </cell>
        </row>
        <row r="78505">
          <cell r="O78505" t="str">
            <v/>
          </cell>
        </row>
        <row r="78506">
          <cell r="O78506" t="str">
            <v/>
          </cell>
        </row>
        <row r="78507">
          <cell r="O78507" t="str">
            <v/>
          </cell>
        </row>
        <row r="78508">
          <cell r="O78508" t="str">
            <v/>
          </cell>
        </row>
        <row r="78509">
          <cell r="O78509" t="str">
            <v/>
          </cell>
        </row>
        <row r="78510">
          <cell r="O78510" t="str">
            <v/>
          </cell>
        </row>
        <row r="78511">
          <cell r="O78511" t="str">
            <v/>
          </cell>
        </row>
        <row r="78512">
          <cell r="O78512" t="str">
            <v/>
          </cell>
        </row>
        <row r="78513">
          <cell r="O78513" t="str">
            <v/>
          </cell>
        </row>
        <row r="78514">
          <cell r="O78514" t="str">
            <v/>
          </cell>
        </row>
        <row r="78515">
          <cell r="O78515" t="str">
            <v/>
          </cell>
        </row>
        <row r="78516">
          <cell r="O78516" t="str">
            <v/>
          </cell>
        </row>
        <row r="78517">
          <cell r="O78517" t="str">
            <v/>
          </cell>
        </row>
        <row r="78518">
          <cell r="O78518" t="str">
            <v/>
          </cell>
        </row>
        <row r="78519">
          <cell r="O78519" t="str">
            <v/>
          </cell>
        </row>
        <row r="78520">
          <cell r="O78520" t="str">
            <v/>
          </cell>
        </row>
        <row r="78521">
          <cell r="O78521" t="str">
            <v/>
          </cell>
        </row>
        <row r="78522">
          <cell r="O78522" t="str">
            <v/>
          </cell>
        </row>
        <row r="78523">
          <cell r="O78523" t="str">
            <v/>
          </cell>
        </row>
        <row r="78524">
          <cell r="O78524" t="str">
            <v/>
          </cell>
        </row>
        <row r="78525">
          <cell r="O78525" t="str">
            <v/>
          </cell>
        </row>
        <row r="78526">
          <cell r="O78526" t="str">
            <v/>
          </cell>
        </row>
        <row r="78527">
          <cell r="O78527" t="str">
            <v/>
          </cell>
        </row>
        <row r="78528">
          <cell r="O78528" t="str">
            <v/>
          </cell>
        </row>
        <row r="78529">
          <cell r="O78529" t="str">
            <v/>
          </cell>
        </row>
        <row r="78530">
          <cell r="O78530" t="str">
            <v/>
          </cell>
        </row>
        <row r="78531">
          <cell r="O78531" t="str">
            <v/>
          </cell>
        </row>
        <row r="78532">
          <cell r="O78532" t="str">
            <v/>
          </cell>
        </row>
        <row r="78533">
          <cell r="O78533" t="str">
            <v/>
          </cell>
        </row>
        <row r="78534">
          <cell r="O78534" t="str">
            <v/>
          </cell>
        </row>
        <row r="78535">
          <cell r="O78535" t="str">
            <v/>
          </cell>
        </row>
        <row r="78536">
          <cell r="O78536" t="str">
            <v/>
          </cell>
        </row>
        <row r="78537">
          <cell r="O78537" t="str">
            <v/>
          </cell>
        </row>
        <row r="78538">
          <cell r="O78538" t="str">
            <v/>
          </cell>
        </row>
        <row r="78539">
          <cell r="O78539" t="str">
            <v/>
          </cell>
        </row>
        <row r="78540">
          <cell r="O78540" t="str">
            <v/>
          </cell>
        </row>
        <row r="78541">
          <cell r="O78541" t="str">
            <v/>
          </cell>
        </row>
        <row r="78542">
          <cell r="O78542" t="str">
            <v/>
          </cell>
        </row>
        <row r="78543">
          <cell r="O78543" t="str">
            <v/>
          </cell>
        </row>
        <row r="78544">
          <cell r="O78544" t="str">
            <v/>
          </cell>
        </row>
        <row r="78545">
          <cell r="O78545" t="str">
            <v/>
          </cell>
        </row>
        <row r="78546">
          <cell r="O78546" t="str">
            <v/>
          </cell>
        </row>
        <row r="78547">
          <cell r="O78547" t="str">
            <v/>
          </cell>
        </row>
        <row r="78548">
          <cell r="O78548" t="str">
            <v/>
          </cell>
        </row>
        <row r="78549">
          <cell r="O78549" t="str">
            <v/>
          </cell>
        </row>
        <row r="78550">
          <cell r="O78550" t="str">
            <v/>
          </cell>
        </row>
        <row r="78551">
          <cell r="O78551" t="str">
            <v/>
          </cell>
        </row>
        <row r="78552">
          <cell r="O78552" t="str">
            <v/>
          </cell>
        </row>
        <row r="78553">
          <cell r="O78553" t="str">
            <v/>
          </cell>
        </row>
        <row r="78554">
          <cell r="O78554" t="str">
            <v/>
          </cell>
        </row>
        <row r="78555">
          <cell r="O78555" t="str">
            <v/>
          </cell>
        </row>
        <row r="78556">
          <cell r="O78556" t="str">
            <v/>
          </cell>
        </row>
        <row r="78557">
          <cell r="O78557" t="str">
            <v/>
          </cell>
        </row>
        <row r="78558">
          <cell r="O78558" t="str">
            <v/>
          </cell>
        </row>
        <row r="78559">
          <cell r="O78559" t="str">
            <v/>
          </cell>
        </row>
        <row r="78560">
          <cell r="O78560" t="str">
            <v/>
          </cell>
        </row>
        <row r="78561">
          <cell r="O78561" t="str">
            <v/>
          </cell>
        </row>
        <row r="78562">
          <cell r="O78562" t="str">
            <v/>
          </cell>
        </row>
        <row r="78563">
          <cell r="O78563" t="str">
            <v/>
          </cell>
        </row>
        <row r="78564">
          <cell r="O78564" t="str">
            <v/>
          </cell>
        </row>
        <row r="78565">
          <cell r="O78565" t="str">
            <v/>
          </cell>
        </row>
        <row r="78566">
          <cell r="O78566" t="str">
            <v/>
          </cell>
        </row>
        <row r="78567">
          <cell r="O78567" t="str">
            <v/>
          </cell>
        </row>
        <row r="78568">
          <cell r="O78568" t="str">
            <v/>
          </cell>
        </row>
        <row r="78569">
          <cell r="O78569" t="str">
            <v/>
          </cell>
        </row>
        <row r="78570">
          <cell r="O78570" t="str">
            <v/>
          </cell>
        </row>
        <row r="78571">
          <cell r="O78571" t="str">
            <v/>
          </cell>
        </row>
        <row r="78572">
          <cell r="O78572" t="str">
            <v/>
          </cell>
        </row>
        <row r="78573">
          <cell r="O78573" t="str">
            <v/>
          </cell>
        </row>
        <row r="78574">
          <cell r="O78574" t="str">
            <v/>
          </cell>
        </row>
        <row r="78575">
          <cell r="O78575" t="str">
            <v/>
          </cell>
        </row>
        <row r="78576">
          <cell r="O78576" t="str">
            <v/>
          </cell>
        </row>
        <row r="78577">
          <cell r="O78577" t="str">
            <v/>
          </cell>
        </row>
        <row r="78578">
          <cell r="O78578" t="str">
            <v/>
          </cell>
        </row>
        <row r="78579">
          <cell r="O78579" t="str">
            <v/>
          </cell>
        </row>
        <row r="78580">
          <cell r="O78580" t="str">
            <v/>
          </cell>
        </row>
        <row r="78581">
          <cell r="O78581" t="str">
            <v/>
          </cell>
        </row>
        <row r="78582">
          <cell r="O78582" t="str">
            <v/>
          </cell>
        </row>
        <row r="78583">
          <cell r="O78583" t="str">
            <v/>
          </cell>
        </row>
        <row r="78584">
          <cell r="O78584" t="str">
            <v/>
          </cell>
        </row>
        <row r="78585">
          <cell r="O78585" t="str">
            <v/>
          </cell>
        </row>
        <row r="78586">
          <cell r="O78586" t="str">
            <v/>
          </cell>
        </row>
        <row r="78587">
          <cell r="O78587" t="str">
            <v/>
          </cell>
        </row>
        <row r="78588">
          <cell r="O78588" t="str">
            <v/>
          </cell>
        </row>
        <row r="78589">
          <cell r="O78589" t="str">
            <v/>
          </cell>
        </row>
        <row r="78590">
          <cell r="O78590" t="str">
            <v/>
          </cell>
        </row>
        <row r="78591">
          <cell r="O78591" t="str">
            <v/>
          </cell>
        </row>
        <row r="78592">
          <cell r="O78592" t="str">
            <v/>
          </cell>
        </row>
        <row r="78593">
          <cell r="O78593" t="str">
            <v/>
          </cell>
        </row>
        <row r="78594">
          <cell r="O78594" t="str">
            <v/>
          </cell>
        </row>
        <row r="78595">
          <cell r="O78595" t="str">
            <v/>
          </cell>
        </row>
        <row r="78596">
          <cell r="O78596" t="str">
            <v/>
          </cell>
        </row>
        <row r="78597">
          <cell r="O78597" t="str">
            <v/>
          </cell>
        </row>
        <row r="78598">
          <cell r="O78598" t="str">
            <v/>
          </cell>
        </row>
        <row r="78599">
          <cell r="O78599" t="str">
            <v/>
          </cell>
        </row>
        <row r="78600">
          <cell r="O78600" t="str">
            <v/>
          </cell>
        </row>
        <row r="78601">
          <cell r="O78601" t="str">
            <v/>
          </cell>
        </row>
        <row r="78602">
          <cell r="O78602" t="str">
            <v/>
          </cell>
        </row>
        <row r="78603">
          <cell r="O78603" t="str">
            <v/>
          </cell>
        </row>
        <row r="78604">
          <cell r="O78604" t="str">
            <v/>
          </cell>
        </row>
        <row r="78605">
          <cell r="O78605" t="str">
            <v/>
          </cell>
        </row>
        <row r="78606">
          <cell r="O78606" t="str">
            <v/>
          </cell>
        </row>
        <row r="78607">
          <cell r="O78607" t="str">
            <v/>
          </cell>
        </row>
        <row r="78608">
          <cell r="O78608" t="str">
            <v/>
          </cell>
        </row>
        <row r="78609">
          <cell r="O78609" t="str">
            <v/>
          </cell>
        </row>
        <row r="78610">
          <cell r="O78610" t="str">
            <v/>
          </cell>
        </row>
        <row r="78611">
          <cell r="O78611" t="str">
            <v/>
          </cell>
        </row>
        <row r="78612">
          <cell r="O78612" t="str">
            <v/>
          </cell>
        </row>
        <row r="78613">
          <cell r="O78613" t="str">
            <v/>
          </cell>
        </row>
        <row r="78614">
          <cell r="O78614" t="str">
            <v/>
          </cell>
        </row>
        <row r="78615">
          <cell r="O78615" t="str">
            <v/>
          </cell>
        </row>
        <row r="78616">
          <cell r="O78616" t="str">
            <v/>
          </cell>
        </row>
        <row r="78617">
          <cell r="O78617" t="str">
            <v/>
          </cell>
        </row>
        <row r="78618">
          <cell r="O78618" t="str">
            <v/>
          </cell>
        </row>
        <row r="78619">
          <cell r="O78619" t="str">
            <v/>
          </cell>
        </row>
        <row r="78620">
          <cell r="O78620" t="str">
            <v/>
          </cell>
        </row>
        <row r="78621">
          <cell r="O78621" t="str">
            <v/>
          </cell>
        </row>
        <row r="78622">
          <cell r="O78622" t="str">
            <v/>
          </cell>
        </row>
        <row r="78623">
          <cell r="O78623" t="str">
            <v/>
          </cell>
        </row>
        <row r="78624">
          <cell r="O78624" t="str">
            <v/>
          </cell>
        </row>
        <row r="78625">
          <cell r="O78625" t="str">
            <v/>
          </cell>
        </row>
        <row r="78626">
          <cell r="O78626" t="str">
            <v/>
          </cell>
        </row>
        <row r="78627">
          <cell r="O78627" t="str">
            <v/>
          </cell>
        </row>
        <row r="78628">
          <cell r="O78628" t="str">
            <v/>
          </cell>
        </row>
        <row r="78629">
          <cell r="O78629" t="str">
            <v/>
          </cell>
        </row>
        <row r="78630">
          <cell r="O78630" t="str">
            <v/>
          </cell>
        </row>
        <row r="78631">
          <cell r="O78631" t="str">
            <v/>
          </cell>
        </row>
        <row r="78632">
          <cell r="O78632" t="str">
            <v/>
          </cell>
        </row>
        <row r="78633">
          <cell r="O78633" t="str">
            <v/>
          </cell>
        </row>
        <row r="78634">
          <cell r="O78634" t="str">
            <v/>
          </cell>
        </row>
        <row r="78635">
          <cell r="O78635" t="str">
            <v/>
          </cell>
        </row>
        <row r="78636">
          <cell r="O78636" t="str">
            <v/>
          </cell>
        </row>
        <row r="78637">
          <cell r="O78637" t="str">
            <v/>
          </cell>
        </row>
        <row r="78638">
          <cell r="O78638" t="str">
            <v/>
          </cell>
        </row>
        <row r="78639">
          <cell r="O78639" t="str">
            <v/>
          </cell>
        </row>
        <row r="78640">
          <cell r="O78640" t="str">
            <v/>
          </cell>
        </row>
        <row r="78641">
          <cell r="O78641" t="str">
            <v/>
          </cell>
        </row>
        <row r="78642">
          <cell r="O78642" t="str">
            <v/>
          </cell>
        </row>
        <row r="78643">
          <cell r="O78643" t="str">
            <v/>
          </cell>
        </row>
        <row r="78644">
          <cell r="O78644" t="str">
            <v/>
          </cell>
        </row>
        <row r="78645">
          <cell r="O78645" t="str">
            <v/>
          </cell>
        </row>
        <row r="78646">
          <cell r="O78646" t="str">
            <v/>
          </cell>
        </row>
        <row r="78647">
          <cell r="O78647" t="str">
            <v/>
          </cell>
        </row>
        <row r="78648">
          <cell r="O78648" t="str">
            <v/>
          </cell>
        </row>
        <row r="78649">
          <cell r="O78649" t="str">
            <v/>
          </cell>
        </row>
        <row r="78650">
          <cell r="O78650" t="str">
            <v/>
          </cell>
        </row>
        <row r="78651">
          <cell r="O78651" t="str">
            <v/>
          </cell>
        </row>
        <row r="78652">
          <cell r="O78652" t="str">
            <v/>
          </cell>
        </row>
        <row r="78653">
          <cell r="O78653" t="str">
            <v/>
          </cell>
        </row>
        <row r="78654">
          <cell r="O78654" t="str">
            <v/>
          </cell>
        </row>
        <row r="78655">
          <cell r="O78655" t="str">
            <v/>
          </cell>
        </row>
        <row r="78656">
          <cell r="O78656" t="str">
            <v/>
          </cell>
        </row>
        <row r="78657">
          <cell r="O78657" t="str">
            <v/>
          </cell>
        </row>
        <row r="78658">
          <cell r="O78658" t="str">
            <v/>
          </cell>
        </row>
        <row r="78659">
          <cell r="O78659" t="str">
            <v/>
          </cell>
        </row>
        <row r="78660">
          <cell r="O78660" t="str">
            <v/>
          </cell>
        </row>
        <row r="78661">
          <cell r="O78661" t="str">
            <v/>
          </cell>
        </row>
        <row r="78662">
          <cell r="O78662" t="str">
            <v/>
          </cell>
        </row>
        <row r="78663">
          <cell r="O78663" t="str">
            <v/>
          </cell>
        </row>
        <row r="78664">
          <cell r="O78664" t="str">
            <v/>
          </cell>
        </row>
        <row r="78665">
          <cell r="O78665" t="str">
            <v/>
          </cell>
        </row>
        <row r="78666">
          <cell r="O78666" t="str">
            <v/>
          </cell>
        </row>
        <row r="78667">
          <cell r="O78667" t="str">
            <v/>
          </cell>
        </row>
        <row r="78668">
          <cell r="O78668" t="str">
            <v/>
          </cell>
        </row>
        <row r="78669">
          <cell r="O78669" t="str">
            <v/>
          </cell>
        </row>
        <row r="78670">
          <cell r="O78670" t="str">
            <v/>
          </cell>
        </row>
        <row r="78671">
          <cell r="O78671" t="str">
            <v/>
          </cell>
        </row>
        <row r="78672">
          <cell r="O78672" t="str">
            <v/>
          </cell>
        </row>
        <row r="78673">
          <cell r="O78673" t="str">
            <v/>
          </cell>
        </row>
        <row r="78674">
          <cell r="O78674" t="str">
            <v/>
          </cell>
        </row>
        <row r="78675">
          <cell r="O78675" t="str">
            <v/>
          </cell>
        </row>
        <row r="78676">
          <cell r="O78676" t="str">
            <v/>
          </cell>
        </row>
        <row r="78677">
          <cell r="O78677" t="str">
            <v/>
          </cell>
        </row>
        <row r="78678">
          <cell r="O78678" t="str">
            <v/>
          </cell>
        </row>
        <row r="78679">
          <cell r="O78679" t="str">
            <v/>
          </cell>
        </row>
        <row r="78680">
          <cell r="O78680" t="str">
            <v/>
          </cell>
        </row>
        <row r="78681">
          <cell r="O78681" t="str">
            <v/>
          </cell>
        </row>
        <row r="78682">
          <cell r="O78682" t="str">
            <v/>
          </cell>
        </row>
        <row r="78683">
          <cell r="O78683" t="str">
            <v/>
          </cell>
        </row>
        <row r="78684">
          <cell r="O78684" t="str">
            <v/>
          </cell>
        </row>
        <row r="78685">
          <cell r="O78685" t="str">
            <v/>
          </cell>
        </row>
        <row r="78686">
          <cell r="O78686" t="str">
            <v/>
          </cell>
        </row>
        <row r="78687">
          <cell r="O78687" t="str">
            <v/>
          </cell>
        </row>
        <row r="78688">
          <cell r="O78688" t="str">
            <v/>
          </cell>
        </row>
        <row r="78689">
          <cell r="O78689" t="str">
            <v/>
          </cell>
        </row>
        <row r="78690">
          <cell r="O78690" t="str">
            <v/>
          </cell>
        </row>
        <row r="78691">
          <cell r="O78691" t="str">
            <v/>
          </cell>
        </row>
        <row r="78692">
          <cell r="O78692" t="str">
            <v/>
          </cell>
        </row>
        <row r="78693">
          <cell r="O78693" t="str">
            <v/>
          </cell>
        </row>
        <row r="78694">
          <cell r="O78694" t="str">
            <v/>
          </cell>
        </row>
        <row r="78695">
          <cell r="O78695" t="str">
            <v/>
          </cell>
        </row>
        <row r="78696">
          <cell r="O78696" t="str">
            <v/>
          </cell>
        </row>
        <row r="78697">
          <cell r="O78697" t="str">
            <v/>
          </cell>
        </row>
        <row r="78698">
          <cell r="O78698" t="str">
            <v/>
          </cell>
        </row>
        <row r="78699">
          <cell r="O78699" t="str">
            <v/>
          </cell>
        </row>
        <row r="78700">
          <cell r="O78700" t="str">
            <v/>
          </cell>
        </row>
        <row r="78701">
          <cell r="O78701" t="str">
            <v/>
          </cell>
        </row>
        <row r="78702">
          <cell r="O78702" t="str">
            <v/>
          </cell>
        </row>
        <row r="78703">
          <cell r="O78703" t="str">
            <v/>
          </cell>
        </row>
        <row r="78704">
          <cell r="O78704" t="str">
            <v/>
          </cell>
        </row>
        <row r="78705">
          <cell r="O78705" t="str">
            <v/>
          </cell>
        </row>
        <row r="78706">
          <cell r="O78706" t="str">
            <v/>
          </cell>
        </row>
        <row r="78707">
          <cell r="O78707" t="str">
            <v/>
          </cell>
        </row>
        <row r="78708">
          <cell r="O78708" t="str">
            <v/>
          </cell>
        </row>
        <row r="78709">
          <cell r="O78709" t="str">
            <v/>
          </cell>
        </row>
        <row r="78710">
          <cell r="O78710" t="str">
            <v/>
          </cell>
        </row>
        <row r="78711">
          <cell r="O78711" t="str">
            <v/>
          </cell>
        </row>
        <row r="78712">
          <cell r="O78712" t="str">
            <v/>
          </cell>
        </row>
        <row r="78713">
          <cell r="O78713" t="str">
            <v/>
          </cell>
        </row>
        <row r="78714">
          <cell r="O78714" t="str">
            <v/>
          </cell>
        </row>
        <row r="78715">
          <cell r="O78715" t="str">
            <v/>
          </cell>
        </row>
        <row r="78716">
          <cell r="O78716" t="str">
            <v/>
          </cell>
        </row>
        <row r="78717">
          <cell r="O78717" t="str">
            <v/>
          </cell>
        </row>
        <row r="78718">
          <cell r="O78718" t="str">
            <v/>
          </cell>
        </row>
        <row r="78719">
          <cell r="O78719" t="str">
            <v/>
          </cell>
        </row>
        <row r="78720">
          <cell r="O78720" t="str">
            <v/>
          </cell>
        </row>
        <row r="78721">
          <cell r="O78721" t="str">
            <v/>
          </cell>
        </row>
        <row r="78722">
          <cell r="O78722" t="str">
            <v/>
          </cell>
        </row>
        <row r="78723">
          <cell r="O78723" t="str">
            <v/>
          </cell>
        </row>
        <row r="78724">
          <cell r="O78724" t="str">
            <v/>
          </cell>
        </row>
        <row r="78725">
          <cell r="O78725" t="str">
            <v/>
          </cell>
        </row>
        <row r="78726">
          <cell r="O78726" t="str">
            <v/>
          </cell>
        </row>
        <row r="78727">
          <cell r="O78727" t="str">
            <v/>
          </cell>
        </row>
        <row r="78728">
          <cell r="O78728" t="str">
            <v/>
          </cell>
        </row>
        <row r="78729">
          <cell r="O78729" t="str">
            <v/>
          </cell>
        </row>
        <row r="78730">
          <cell r="O78730" t="str">
            <v/>
          </cell>
        </row>
        <row r="78731">
          <cell r="O78731" t="str">
            <v/>
          </cell>
        </row>
        <row r="78732">
          <cell r="O78732" t="str">
            <v/>
          </cell>
        </row>
        <row r="78733">
          <cell r="O78733" t="str">
            <v/>
          </cell>
        </row>
        <row r="78734">
          <cell r="O78734" t="str">
            <v/>
          </cell>
        </row>
        <row r="78735">
          <cell r="O78735" t="str">
            <v/>
          </cell>
        </row>
        <row r="78736">
          <cell r="O78736" t="str">
            <v/>
          </cell>
        </row>
        <row r="78737">
          <cell r="O78737" t="str">
            <v/>
          </cell>
        </row>
        <row r="78738">
          <cell r="O78738" t="str">
            <v/>
          </cell>
        </row>
        <row r="78739">
          <cell r="O78739" t="str">
            <v/>
          </cell>
        </row>
        <row r="78740">
          <cell r="O78740" t="str">
            <v/>
          </cell>
        </row>
        <row r="78741">
          <cell r="O78741" t="str">
            <v/>
          </cell>
        </row>
        <row r="78742">
          <cell r="O78742" t="str">
            <v/>
          </cell>
        </row>
        <row r="78743">
          <cell r="O78743" t="str">
            <v/>
          </cell>
        </row>
        <row r="78744">
          <cell r="O78744" t="str">
            <v/>
          </cell>
        </row>
        <row r="78745">
          <cell r="O78745" t="str">
            <v/>
          </cell>
        </row>
        <row r="78746">
          <cell r="O78746" t="str">
            <v/>
          </cell>
        </row>
        <row r="78747">
          <cell r="O78747" t="str">
            <v/>
          </cell>
        </row>
        <row r="78748">
          <cell r="O78748" t="str">
            <v/>
          </cell>
        </row>
        <row r="78749">
          <cell r="O78749" t="str">
            <v/>
          </cell>
        </row>
        <row r="78750">
          <cell r="O78750" t="str">
            <v/>
          </cell>
        </row>
        <row r="78751">
          <cell r="O78751" t="str">
            <v/>
          </cell>
        </row>
        <row r="78752">
          <cell r="O78752" t="str">
            <v/>
          </cell>
        </row>
        <row r="78753">
          <cell r="O78753" t="str">
            <v/>
          </cell>
        </row>
        <row r="78754">
          <cell r="O78754" t="str">
            <v/>
          </cell>
        </row>
        <row r="78755">
          <cell r="O78755" t="str">
            <v/>
          </cell>
        </row>
        <row r="78756">
          <cell r="O78756" t="str">
            <v/>
          </cell>
        </row>
        <row r="78757">
          <cell r="O78757" t="str">
            <v/>
          </cell>
        </row>
        <row r="78758">
          <cell r="O78758" t="str">
            <v/>
          </cell>
        </row>
        <row r="78759">
          <cell r="O78759" t="str">
            <v/>
          </cell>
        </row>
        <row r="78760">
          <cell r="O78760" t="str">
            <v/>
          </cell>
        </row>
        <row r="78761">
          <cell r="O78761" t="str">
            <v/>
          </cell>
        </row>
        <row r="78762">
          <cell r="O78762" t="str">
            <v/>
          </cell>
        </row>
        <row r="78763">
          <cell r="O78763" t="str">
            <v/>
          </cell>
        </row>
        <row r="78764">
          <cell r="O78764" t="str">
            <v/>
          </cell>
        </row>
        <row r="78765">
          <cell r="O78765" t="str">
            <v/>
          </cell>
        </row>
        <row r="78766">
          <cell r="O78766" t="str">
            <v/>
          </cell>
        </row>
        <row r="78767">
          <cell r="O78767" t="str">
            <v/>
          </cell>
        </row>
        <row r="78768">
          <cell r="O78768" t="str">
            <v/>
          </cell>
        </row>
        <row r="78769">
          <cell r="O78769" t="str">
            <v/>
          </cell>
        </row>
        <row r="78770">
          <cell r="O78770" t="str">
            <v/>
          </cell>
        </row>
        <row r="78771">
          <cell r="O78771" t="str">
            <v/>
          </cell>
        </row>
        <row r="78772">
          <cell r="O78772" t="str">
            <v/>
          </cell>
        </row>
        <row r="78773">
          <cell r="O78773" t="str">
            <v/>
          </cell>
        </row>
        <row r="78774">
          <cell r="O78774" t="str">
            <v/>
          </cell>
        </row>
        <row r="78775">
          <cell r="O78775" t="str">
            <v/>
          </cell>
        </row>
        <row r="78776">
          <cell r="O78776" t="str">
            <v/>
          </cell>
        </row>
        <row r="78777">
          <cell r="O78777" t="str">
            <v/>
          </cell>
        </row>
        <row r="78778">
          <cell r="O78778" t="str">
            <v/>
          </cell>
        </row>
        <row r="78779">
          <cell r="O78779" t="str">
            <v/>
          </cell>
        </row>
        <row r="78780">
          <cell r="O78780" t="str">
            <v/>
          </cell>
        </row>
        <row r="78781">
          <cell r="O78781" t="str">
            <v/>
          </cell>
        </row>
        <row r="78782">
          <cell r="O78782" t="str">
            <v/>
          </cell>
        </row>
        <row r="78783">
          <cell r="O78783" t="str">
            <v/>
          </cell>
        </row>
        <row r="78784">
          <cell r="O78784" t="str">
            <v/>
          </cell>
        </row>
        <row r="78785">
          <cell r="O78785" t="str">
            <v/>
          </cell>
        </row>
        <row r="78786">
          <cell r="O78786" t="str">
            <v/>
          </cell>
        </row>
        <row r="78787">
          <cell r="O78787" t="str">
            <v/>
          </cell>
        </row>
        <row r="78788">
          <cell r="O78788" t="str">
            <v/>
          </cell>
        </row>
        <row r="78789">
          <cell r="O78789" t="str">
            <v/>
          </cell>
        </row>
        <row r="78790">
          <cell r="O78790" t="str">
            <v/>
          </cell>
        </row>
        <row r="78791">
          <cell r="O78791" t="str">
            <v/>
          </cell>
        </row>
        <row r="78792">
          <cell r="O78792" t="str">
            <v/>
          </cell>
        </row>
        <row r="78793">
          <cell r="O78793" t="str">
            <v/>
          </cell>
        </row>
        <row r="78794">
          <cell r="O78794" t="str">
            <v/>
          </cell>
        </row>
        <row r="78795">
          <cell r="O78795" t="str">
            <v/>
          </cell>
        </row>
        <row r="78796">
          <cell r="O78796" t="str">
            <v/>
          </cell>
        </row>
        <row r="78797">
          <cell r="O78797" t="str">
            <v/>
          </cell>
        </row>
        <row r="78798">
          <cell r="O78798" t="str">
            <v/>
          </cell>
        </row>
        <row r="78799">
          <cell r="O78799" t="str">
            <v/>
          </cell>
        </row>
        <row r="78800">
          <cell r="O78800" t="str">
            <v/>
          </cell>
        </row>
        <row r="78801">
          <cell r="O78801" t="str">
            <v/>
          </cell>
        </row>
        <row r="78802">
          <cell r="O78802" t="str">
            <v/>
          </cell>
        </row>
        <row r="78803">
          <cell r="O78803" t="str">
            <v/>
          </cell>
        </row>
        <row r="78804">
          <cell r="O78804" t="str">
            <v/>
          </cell>
        </row>
        <row r="78805">
          <cell r="O78805" t="str">
            <v/>
          </cell>
        </row>
        <row r="78806">
          <cell r="O78806" t="str">
            <v/>
          </cell>
        </row>
        <row r="78807">
          <cell r="O78807" t="str">
            <v/>
          </cell>
        </row>
        <row r="78808">
          <cell r="O78808" t="str">
            <v/>
          </cell>
        </row>
        <row r="78809">
          <cell r="O78809" t="str">
            <v/>
          </cell>
        </row>
        <row r="78810">
          <cell r="O78810" t="str">
            <v/>
          </cell>
        </row>
        <row r="78811">
          <cell r="O78811" t="str">
            <v/>
          </cell>
        </row>
        <row r="78812">
          <cell r="O78812" t="str">
            <v/>
          </cell>
        </row>
        <row r="78813">
          <cell r="O78813" t="str">
            <v/>
          </cell>
        </row>
        <row r="78814">
          <cell r="O78814" t="str">
            <v/>
          </cell>
        </row>
        <row r="78815">
          <cell r="O78815" t="str">
            <v/>
          </cell>
        </row>
        <row r="78816">
          <cell r="O78816" t="str">
            <v/>
          </cell>
        </row>
        <row r="78817">
          <cell r="O78817" t="str">
            <v/>
          </cell>
        </row>
        <row r="78818">
          <cell r="O78818" t="str">
            <v/>
          </cell>
        </row>
        <row r="78819">
          <cell r="O78819" t="str">
            <v/>
          </cell>
        </row>
        <row r="78820">
          <cell r="O78820" t="str">
            <v/>
          </cell>
        </row>
        <row r="78821">
          <cell r="O78821" t="str">
            <v/>
          </cell>
        </row>
        <row r="78822">
          <cell r="O78822" t="str">
            <v/>
          </cell>
        </row>
        <row r="78823">
          <cell r="O78823" t="str">
            <v/>
          </cell>
        </row>
        <row r="78824">
          <cell r="O78824" t="str">
            <v/>
          </cell>
        </row>
        <row r="78825">
          <cell r="O78825" t="str">
            <v/>
          </cell>
        </row>
        <row r="78826">
          <cell r="O78826" t="str">
            <v/>
          </cell>
        </row>
        <row r="78827">
          <cell r="O78827" t="str">
            <v/>
          </cell>
        </row>
        <row r="78828">
          <cell r="O78828" t="str">
            <v/>
          </cell>
        </row>
        <row r="78829">
          <cell r="O78829" t="str">
            <v/>
          </cell>
        </row>
        <row r="78830">
          <cell r="O78830" t="str">
            <v/>
          </cell>
        </row>
        <row r="78831">
          <cell r="O78831" t="str">
            <v/>
          </cell>
        </row>
        <row r="78832">
          <cell r="O78832" t="str">
            <v/>
          </cell>
        </row>
        <row r="78833">
          <cell r="O78833" t="str">
            <v/>
          </cell>
        </row>
        <row r="78834">
          <cell r="O78834" t="str">
            <v/>
          </cell>
        </row>
        <row r="78835">
          <cell r="O78835" t="str">
            <v/>
          </cell>
        </row>
        <row r="78836">
          <cell r="O78836" t="str">
            <v/>
          </cell>
        </row>
        <row r="78837">
          <cell r="O78837" t="str">
            <v/>
          </cell>
        </row>
        <row r="78838">
          <cell r="O78838" t="str">
            <v/>
          </cell>
        </row>
        <row r="78839">
          <cell r="O78839" t="str">
            <v/>
          </cell>
        </row>
        <row r="78840">
          <cell r="O78840" t="str">
            <v/>
          </cell>
        </row>
        <row r="78841">
          <cell r="O78841" t="str">
            <v/>
          </cell>
        </row>
        <row r="78842">
          <cell r="O78842" t="str">
            <v/>
          </cell>
        </row>
        <row r="78843">
          <cell r="O78843" t="str">
            <v/>
          </cell>
        </row>
        <row r="78844">
          <cell r="O78844" t="str">
            <v/>
          </cell>
        </row>
        <row r="78845">
          <cell r="O78845" t="str">
            <v/>
          </cell>
        </row>
        <row r="78846">
          <cell r="O78846" t="str">
            <v/>
          </cell>
        </row>
        <row r="78847">
          <cell r="O78847" t="str">
            <v/>
          </cell>
        </row>
        <row r="78848">
          <cell r="O78848" t="str">
            <v/>
          </cell>
        </row>
        <row r="78849">
          <cell r="O78849" t="str">
            <v/>
          </cell>
        </row>
        <row r="78850">
          <cell r="O78850" t="str">
            <v/>
          </cell>
        </row>
        <row r="78851">
          <cell r="O78851" t="str">
            <v/>
          </cell>
        </row>
        <row r="78852">
          <cell r="O78852" t="str">
            <v/>
          </cell>
        </row>
        <row r="78853">
          <cell r="O78853" t="str">
            <v/>
          </cell>
        </row>
        <row r="78854">
          <cell r="O78854" t="str">
            <v/>
          </cell>
        </row>
        <row r="78855">
          <cell r="O78855" t="str">
            <v/>
          </cell>
        </row>
        <row r="78856">
          <cell r="O78856" t="str">
            <v/>
          </cell>
        </row>
        <row r="78857">
          <cell r="O78857" t="str">
            <v/>
          </cell>
        </row>
        <row r="78858">
          <cell r="O78858" t="str">
            <v/>
          </cell>
        </row>
        <row r="78859">
          <cell r="O78859" t="str">
            <v/>
          </cell>
        </row>
        <row r="78860">
          <cell r="O78860" t="str">
            <v/>
          </cell>
        </row>
        <row r="78861">
          <cell r="O78861" t="str">
            <v/>
          </cell>
        </row>
        <row r="78862">
          <cell r="O78862" t="str">
            <v/>
          </cell>
        </row>
        <row r="78863">
          <cell r="O78863" t="str">
            <v/>
          </cell>
        </row>
        <row r="78864">
          <cell r="O78864" t="str">
            <v/>
          </cell>
        </row>
        <row r="78865">
          <cell r="O78865" t="str">
            <v/>
          </cell>
        </row>
        <row r="78866">
          <cell r="O78866" t="str">
            <v/>
          </cell>
        </row>
        <row r="78867">
          <cell r="O78867" t="str">
            <v/>
          </cell>
        </row>
        <row r="78868">
          <cell r="O78868" t="str">
            <v/>
          </cell>
        </row>
        <row r="78869">
          <cell r="O78869" t="str">
            <v/>
          </cell>
        </row>
        <row r="78870">
          <cell r="O78870" t="str">
            <v/>
          </cell>
        </row>
        <row r="78871">
          <cell r="O78871" t="str">
            <v/>
          </cell>
        </row>
        <row r="78872">
          <cell r="O78872" t="str">
            <v/>
          </cell>
        </row>
        <row r="78873">
          <cell r="O78873" t="str">
            <v/>
          </cell>
        </row>
        <row r="78874">
          <cell r="O78874" t="str">
            <v/>
          </cell>
        </row>
        <row r="78875">
          <cell r="O78875" t="str">
            <v/>
          </cell>
        </row>
        <row r="78876">
          <cell r="O78876" t="str">
            <v/>
          </cell>
        </row>
        <row r="78877">
          <cell r="O78877" t="str">
            <v/>
          </cell>
        </row>
        <row r="78878">
          <cell r="O78878" t="str">
            <v/>
          </cell>
        </row>
        <row r="78879">
          <cell r="O78879" t="str">
            <v/>
          </cell>
        </row>
        <row r="78880">
          <cell r="O78880" t="str">
            <v/>
          </cell>
        </row>
        <row r="78881">
          <cell r="O78881" t="str">
            <v/>
          </cell>
        </row>
        <row r="78882">
          <cell r="O78882" t="str">
            <v/>
          </cell>
        </row>
        <row r="78883">
          <cell r="O78883" t="str">
            <v/>
          </cell>
        </row>
        <row r="78884">
          <cell r="O78884" t="str">
            <v/>
          </cell>
        </row>
        <row r="78885">
          <cell r="O78885" t="str">
            <v/>
          </cell>
        </row>
        <row r="78886">
          <cell r="O78886" t="str">
            <v/>
          </cell>
        </row>
        <row r="78887">
          <cell r="O78887" t="str">
            <v/>
          </cell>
        </row>
        <row r="78888">
          <cell r="O78888" t="str">
            <v/>
          </cell>
        </row>
        <row r="78889">
          <cell r="O78889" t="str">
            <v/>
          </cell>
        </row>
        <row r="78890">
          <cell r="O78890" t="str">
            <v/>
          </cell>
        </row>
        <row r="78891">
          <cell r="O78891" t="str">
            <v/>
          </cell>
        </row>
        <row r="78892">
          <cell r="O78892" t="str">
            <v/>
          </cell>
        </row>
        <row r="78893">
          <cell r="O78893" t="str">
            <v/>
          </cell>
        </row>
        <row r="78894">
          <cell r="O78894" t="str">
            <v/>
          </cell>
        </row>
        <row r="78895">
          <cell r="O78895" t="str">
            <v/>
          </cell>
        </row>
        <row r="78896">
          <cell r="O78896" t="str">
            <v/>
          </cell>
        </row>
        <row r="78897">
          <cell r="O78897" t="str">
            <v/>
          </cell>
        </row>
        <row r="78898">
          <cell r="O78898" t="str">
            <v/>
          </cell>
        </row>
        <row r="78899">
          <cell r="O78899" t="str">
            <v/>
          </cell>
        </row>
        <row r="78900">
          <cell r="O78900" t="str">
            <v/>
          </cell>
        </row>
        <row r="78901">
          <cell r="O78901" t="str">
            <v/>
          </cell>
        </row>
        <row r="78902">
          <cell r="O78902" t="str">
            <v/>
          </cell>
        </row>
        <row r="78903">
          <cell r="O78903" t="str">
            <v/>
          </cell>
        </row>
        <row r="78904">
          <cell r="O78904" t="str">
            <v/>
          </cell>
        </row>
        <row r="78905">
          <cell r="O78905" t="str">
            <v/>
          </cell>
        </row>
        <row r="78906">
          <cell r="O78906" t="str">
            <v/>
          </cell>
        </row>
        <row r="78907">
          <cell r="O78907" t="str">
            <v/>
          </cell>
        </row>
        <row r="78908">
          <cell r="O78908" t="str">
            <v/>
          </cell>
        </row>
        <row r="78909">
          <cell r="O78909" t="str">
            <v/>
          </cell>
        </row>
        <row r="78910">
          <cell r="O78910" t="str">
            <v/>
          </cell>
        </row>
        <row r="78911">
          <cell r="O78911" t="str">
            <v/>
          </cell>
        </row>
        <row r="78912">
          <cell r="O78912" t="str">
            <v/>
          </cell>
        </row>
        <row r="78913">
          <cell r="O78913" t="str">
            <v/>
          </cell>
        </row>
        <row r="78914">
          <cell r="O78914" t="str">
            <v/>
          </cell>
        </row>
        <row r="78915">
          <cell r="O78915" t="str">
            <v/>
          </cell>
        </row>
        <row r="78916">
          <cell r="O78916" t="str">
            <v/>
          </cell>
        </row>
        <row r="78917">
          <cell r="O78917" t="str">
            <v/>
          </cell>
        </row>
        <row r="78918">
          <cell r="O78918" t="str">
            <v/>
          </cell>
        </row>
        <row r="78919">
          <cell r="O78919" t="str">
            <v/>
          </cell>
        </row>
        <row r="78920">
          <cell r="O78920" t="str">
            <v/>
          </cell>
        </row>
        <row r="78921">
          <cell r="O78921" t="str">
            <v/>
          </cell>
        </row>
        <row r="78922">
          <cell r="O78922" t="str">
            <v/>
          </cell>
        </row>
        <row r="78923">
          <cell r="O78923" t="str">
            <v/>
          </cell>
        </row>
        <row r="78924">
          <cell r="O78924" t="str">
            <v/>
          </cell>
        </row>
        <row r="78925">
          <cell r="O78925" t="str">
            <v/>
          </cell>
        </row>
        <row r="78926">
          <cell r="O78926" t="str">
            <v/>
          </cell>
        </row>
        <row r="78927">
          <cell r="O78927" t="str">
            <v/>
          </cell>
        </row>
        <row r="78928">
          <cell r="O78928" t="str">
            <v/>
          </cell>
        </row>
        <row r="78929">
          <cell r="O78929" t="str">
            <v/>
          </cell>
        </row>
        <row r="78930">
          <cell r="O78930" t="str">
            <v/>
          </cell>
        </row>
        <row r="78931">
          <cell r="O78931" t="str">
            <v/>
          </cell>
        </row>
        <row r="78932">
          <cell r="O78932" t="str">
            <v/>
          </cell>
        </row>
        <row r="78933">
          <cell r="O78933" t="str">
            <v/>
          </cell>
        </row>
        <row r="78934">
          <cell r="O78934" t="str">
            <v/>
          </cell>
        </row>
        <row r="78935">
          <cell r="O78935" t="str">
            <v/>
          </cell>
        </row>
        <row r="78936">
          <cell r="O78936" t="str">
            <v/>
          </cell>
        </row>
        <row r="78937">
          <cell r="O78937" t="str">
            <v/>
          </cell>
        </row>
        <row r="78938">
          <cell r="O78938" t="str">
            <v/>
          </cell>
        </row>
        <row r="78939">
          <cell r="O78939" t="str">
            <v/>
          </cell>
        </row>
        <row r="78940">
          <cell r="O78940" t="str">
            <v/>
          </cell>
        </row>
        <row r="78941">
          <cell r="O78941" t="str">
            <v/>
          </cell>
        </row>
        <row r="78942">
          <cell r="O78942" t="str">
            <v/>
          </cell>
        </row>
        <row r="78943">
          <cell r="O78943" t="str">
            <v/>
          </cell>
        </row>
        <row r="78944">
          <cell r="O78944" t="str">
            <v/>
          </cell>
        </row>
        <row r="78945">
          <cell r="O78945" t="str">
            <v/>
          </cell>
        </row>
        <row r="78946">
          <cell r="O78946" t="str">
            <v/>
          </cell>
        </row>
        <row r="78947">
          <cell r="O78947" t="str">
            <v/>
          </cell>
        </row>
        <row r="78948">
          <cell r="O78948" t="str">
            <v/>
          </cell>
        </row>
        <row r="78949">
          <cell r="O78949" t="str">
            <v/>
          </cell>
        </row>
        <row r="78950">
          <cell r="O78950" t="str">
            <v/>
          </cell>
        </row>
        <row r="78951">
          <cell r="O78951" t="str">
            <v/>
          </cell>
        </row>
        <row r="78952">
          <cell r="O78952" t="str">
            <v/>
          </cell>
        </row>
        <row r="78953">
          <cell r="O78953" t="str">
            <v/>
          </cell>
        </row>
        <row r="78954">
          <cell r="O78954" t="str">
            <v/>
          </cell>
        </row>
        <row r="78955">
          <cell r="O78955" t="str">
            <v/>
          </cell>
        </row>
        <row r="78956">
          <cell r="O78956" t="str">
            <v/>
          </cell>
        </row>
        <row r="78957">
          <cell r="O78957" t="str">
            <v/>
          </cell>
        </row>
        <row r="78958">
          <cell r="O78958" t="str">
            <v/>
          </cell>
        </row>
        <row r="78959">
          <cell r="O78959" t="str">
            <v/>
          </cell>
        </row>
        <row r="78960">
          <cell r="O78960" t="str">
            <v/>
          </cell>
        </row>
        <row r="78961">
          <cell r="O78961" t="str">
            <v/>
          </cell>
        </row>
        <row r="78962">
          <cell r="O78962" t="str">
            <v/>
          </cell>
        </row>
        <row r="78963">
          <cell r="O78963" t="str">
            <v/>
          </cell>
        </row>
        <row r="78964">
          <cell r="O78964" t="str">
            <v/>
          </cell>
        </row>
        <row r="78965">
          <cell r="O78965" t="str">
            <v/>
          </cell>
        </row>
        <row r="78966">
          <cell r="O78966" t="str">
            <v/>
          </cell>
        </row>
        <row r="78967">
          <cell r="O78967" t="str">
            <v/>
          </cell>
        </row>
        <row r="78968">
          <cell r="O78968" t="str">
            <v/>
          </cell>
        </row>
        <row r="78969">
          <cell r="O78969" t="str">
            <v/>
          </cell>
        </row>
        <row r="78970">
          <cell r="O78970" t="str">
            <v/>
          </cell>
        </row>
        <row r="78971">
          <cell r="O78971" t="str">
            <v/>
          </cell>
        </row>
        <row r="78972">
          <cell r="O78972" t="str">
            <v/>
          </cell>
        </row>
        <row r="78973">
          <cell r="O78973" t="str">
            <v/>
          </cell>
        </row>
        <row r="78974">
          <cell r="O78974" t="str">
            <v/>
          </cell>
        </row>
        <row r="78975">
          <cell r="O78975" t="str">
            <v/>
          </cell>
        </row>
        <row r="78976">
          <cell r="O78976" t="str">
            <v/>
          </cell>
        </row>
        <row r="78977">
          <cell r="O78977" t="str">
            <v/>
          </cell>
        </row>
        <row r="78978">
          <cell r="O78978" t="str">
            <v/>
          </cell>
        </row>
        <row r="78979">
          <cell r="O78979" t="str">
            <v/>
          </cell>
        </row>
        <row r="78980">
          <cell r="O78980" t="str">
            <v/>
          </cell>
        </row>
        <row r="78981">
          <cell r="O78981" t="str">
            <v/>
          </cell>
        </row>
        <row r="78982">
          <cell r="O78982" t="str">
            <v/>
          </cell>
        </row>
        <row r="78983">
          <cell r="O78983" t="str">
            <v/>
          </cell>
        </row>
        <row r="78984">
          <cell r="O78984" t="str">
            <v/>
          </cell>
        </row>
        <row r="78985">
          <cell r="O78985" t="str">
            <v/>
          </cell>
        </row>
        <row r="78986">
          <cell r="O78986" t="str">
            <v/>
          </cell>
        </row>
        <row r="78987">
          <cell r="O78987" t="str">
            <v/>
          </cell>
        </row>
        <row r="78988">
          <cell r="O78988" t="str">
            <v/>
          </cell>
        </row>
        <row r="78989">
          <cell r="O78989" t="str">
            <v/>
          </cell>
        </row>
        <row r="78990">
          <cell r="O78990" t="str">
            <v/>
          </cell>
        </row>
        <row r="78991">
          <cell r="O78991" t="str">
            <v/>
          </cell>
        </row>
        <row r="78992">
          <cell r="O78992" t="str">
            <v/>
          </cell>
        </row>
        <row r="78993">
          <cell r="O78993" t="str">
            <v/>
          </cell>
        </row>
        <row r="78994">
          <cell r="O78994" t="str">
            <v/>
          </cell>
        </row>
        <row r="78995">
          <cell r="O78995" t="str">
            <v/>
          </cell>
        </row>
        <row r="78996">
          <cell r="O78996" t="str">
            <v/>
          </cell>
        </row>
        <row r="78997">
          <cell r="O78997" t="str">
            <v/>
          </cell>
        </row>
        <row r="78998">
          <cell r="O78998" t="str">
            <v/>
          </cell>
        </row>
        <row r="78999">
          <cell r="O78999" t="str">
            <v/>
          </cell>
        </row>
        <row r="79000">
          <cell r="O79000" t="str">
            <v/>
          </cell>
        </row>
        <row r="79001">
          <cell r="O79001" t="str">
            <v/>
          </cell>
        </row>
        <row r="79002">
          <cell r="O79002" t="str">
            <v/>
          </cell>
        </row>
        <row r="79003">
          <cell r="O79003" t="str">
            <v/>
          </cell>
        </row>
        <row r="79004">
          <cell r="O79004" t="str">
            <v/>
          </cell>
        </row>
        <row r="79005">
          <cell r="O79005" t="str">
            <v/>
          </cell>
        </row>
        <row r="79006">
          <cell r="O79006" t="str">
            <v/>
          </cell>
        </row>
        <row r="79007">
          <cell r="O79007" t="str">
            <v/>
          </cell>
        </row>
        <row r="79008">
          <cell r="O79008" t="str">
            <v/>
          </cell>
        </row>
        <row r="79009">
          <cell r="O79009" t="str">
            <v/>
          </cell>
        </row>
        <row r="79010">
          <cell r="O79010" t="str">
            <v/>
          </cell>
        </row>
        <row r="79011">
          <cell r="O79011" t="str">
            <v/>
          </cell>
        </row>
        <row r="79012">
          <cell r="O79012" t="str">
            <v/>
          </cell>
        </row>
        <row r="79013">
          <cell r="O79013" t="str">
            <v/>
          </cell>
        </row>
        <row r="79014">
          <cell r="O79014" t="str">
            <v/>
          </cell>
        </row>
        <row r="79015">
          <cell r="O79015" t="str">
            <v/>
          </cell>
        </row>
        <row r="79016">
          <cell r="O79016" t="str">
            <v/>
          </cell>
        </row>
        <row r="79017">
          <cell r="O79017" t="str">
            <v/>
          </cell>
        </row>
        <row r="79018">
          <cell r="O79018" t="str">
            <v/>
          </cell>
        </row>
        <row r="79019">
          <cell r="O79019" t="str">
            <v/>
          </cell>
        </row>
        <row r="79020">
          <cell r="O79020" t="str">
            <v/>
          </cell>
        </row>
        <row r="79021">
          <cell r="O79021" t="str">
            <v/>
          </cell>
        </row>
        <row r="79022">
          <cell r="O79022" t="str">
            <v/>
          </cell>
        </row>
        <row r="79023">
          <cell r="O79023" t="str">
            <v/>
          </cell>
        </row>
        <row r="79024">
          <cell r="O79024" t="str">
            <v/>
          </cell>
        </row>
        <row r="79025">
          <cell r="O79025" t="str">
            <v/>
          </cell>
        </row>
        <row r="79026">
          <cell r="O79026" t="str">
            <v/>
          </cell>
        </row>
        <row r="79027">
          <cell r="O79027" t="str">
            <v/>
          </cell>
        </row>
        <row r="79028">
          <cell r="O79028" t="str">
            <v/>
          </cell>
        </row>
        <row r="79029">
          <cell r="O79029" t="str">
            <v/>
          </cell>
        </row>
        <row r="79030">
          <cell r="O79030" t="str">
            <v/>
          </cell>
        </row>
        <row r="79031">
          <cell r="O79031" t="str">
            <v/>
          </cell>
        </row>
        <row r="79032">
          <cell r="O79032" t="str">
            <v/>
          </cell>
        </row>
        <row r="79033">
          <cell r="O79033" t="str">
            <v/>
          </cell>
        </row>
        <row r="79034">
          <cell r="O79034" t="str">
            <v/>
          </cell>
        </row>
        <row r="79035">
          <cell r="O79035" t="str">
            <v/>
          </cell>
        </row>
        <row r="79036">
          <cell r="O79036" t="str">
            <v/>
          </cell>
        </row>
        <row r="79037">
          <cell r="O79037" t="str">
            <v/>
          </cell>
        </row>
        <row r="79038">
          <cell r="O79038" t="str">
            <v/>
          </cell>
        </row>
        <row r="79039">
          <cell r="O79039" t="str">
            <v/>
          </cell>
        </row>
        <row r="79040">
          <cell r="O79040" t="str">
            <v/>
          </cell>
        </row>
        <row r="79041">
          <cell r="O79041" t="str">
            <v/>
          </cell>
        </row>
        <row r="79042">
          <cell r="O79042" t="str">
            <v/>
          </cell>
        </row>
        <row r="79043">
          <cell r="O79043" t="str">
            <v/>
          </cell>
        </row>
        <row r="79044">
          <cell r="O79044" t="str">
            <v/>
          </cell>
        </row>
        <row r="79045">
          <cell r="O79045" t="str">
            <v/>
          </cell>
        </row>
        <row r="79046">
          <cell r="O79046" t="str">
            <v/>
          </cell>
        </row>
        <row r="79047">
          <cell r="O79047" t="str">
            <v/>
          </cell>
        </row>
        <row r="79048">
          <cell r="O79048" t="str">
            <v/>
          </cell>
        </row>
        <row r="79049">
          <cell r="O79049" t="str">
            <v/>
          </cell>
        </row>
        <row r="79050">
          <cell r="O79050" t="str">
            <v/>
          </cell>
        </row>
        <row r="79051">
          <cell r="O79051" t="str">
            <v/>
          </cell>
        </row>
        <row r="79052">
          <cell r="O79052" t="str">
            <v/>
          </cell>
        </row>
        <row r="79053">
          <cell r="O79053" t="str">
            <v/>
          </cell>
        </row>
        <row r="79054">
          <cell r="O79054" t="str">
            <v/>
          </cell>
        </row>
        <row r="79055">
          <cell r="O79055" t="str">
            <v/>
          </cell>
        </row>
        <row r="79056">
          <cell r="O79056" t="str">
            <v/>
          </cell>
        </row>
        <row r="79057">
          <cell r="O79057" t="str">
            <v/>
          </cell>
        </row>
        <row r="79058">
          <cell r="O79058" t="str">
            <v/>
          </cell>
        </row>
        <row r="79059">
          <cell r="O79059" t="str">
            <v/>
          </cell>
        </row>
        <row r="79060">
          <cell r="O79060" t="str">
            <v/>
          </cell>
        </row>
        <row r="79061">
          <cell r="O79061" t="str">
            <v/>
          </cell>
        </row>
        <row r="79062">
          <cell r="O79062" t="str">
            <v/>
          </cell>
        </row>
        <row r="79063">
          <cell r="O79063" t="str">
            <v/>
          </cell>
        </row>
        <row r="79064">
          <cell r="O79064" t="str">
            <v/>
          </cell>
        </row>
        <row r="79065">
          <cell r="O79065" t="str">
            <v/>
          </cell>
        </row>
        <row r="79066">
          <cell r="O79066" t="str">
            <v/>
          </cell>
        </row>
        <row r="79067">
          <cell r="O79067" t="str">
            <v/>
          </cell>
        </row>
        <row r="79068">
          <cell r="O79068" t="str">
            <v/>
          </cell>
        </row>
        <row r="79069">
          <cell r="O79069" t="str">
            <v/>
          </cell>
        </row>
        <row r="79070">
          <cell r="O79070" t="str">
            <v/>
          </cell>
        </row>
        <row r="79071">
          <cell r="O79071" t="str">
            <v/>
          </cell>
        </row>
        <row r="79072">
          <cell r="O79072" t="str">
            <v/>
          </cell>
        </row>
        <row r="79073">
          <cell r="O79073" t="str">
            <v/>
          </cell>
        </row>
        <row r="79074">
          <cell r="O79074" t="str">
            <v/>
          </cell>
        </row>
        <row r="79075">
          <cell r="O79075" t="str">
            <v/>
          </cell>
        </row>
        <row r="79076">
          <cell r="O79076" t="str">
            <v/>
          </cell>
        </row>
        <row r="79077">
          <cell r="O79077" t="str">
            <v/>
          </cell>
        </row>
        <row r="79078">
          <cell r="O79078" t="str">
            <v/>
          </cell>
        </row>
        <row r="79079">
          <cell r="O79079" t="str">
            <v/>
          </cell>
        </row>
        <row r="79080">
          <cell r="O79080" t="str">
            <v/>
          </cell>
        </row>
        <row r="79081">
          <cell r="O79081" t="str">
            <v/>
          </cell>
        </row>
        <row r="79082">
          <cell r="O79082" t="str">
            <v/>
          </cell>
        </row>
        <row r="79083">
          <cell r="O79083" t="str">
            <v/>
          </cell>
        </row>
        <row r="79084">
          <cell r="O79084" t="str">
            <v/>
          </cell>
        </row>
        <row r="79085">
          <cell r="O79085" t="str">
            <v/>
          </cell>
        </row>
        <row r="79086">
          <cell r="O79086" t="str">
            <v/>
          </cell>
        </row>
        <row r="79087">
          <cell r="O79087" t="str">
            <v/>
          </cell>
        </row>
        <row r="79088">
          <cell r="O79088" t="str">
            <v/>
          </cell>
        </row>
        <row r="79089">
          <cell r="O79089" t="str">
            <v/>
          </cell>
        </row>
        <row r="79090">
          <cell r="O79090" t="str">
            <v/>
          </cell>
        </row>
        <row r="79091">
          <cell r="O79091" t="str">
            <v/>
          </cell>
        </row>
        <row r="79092">
          <cell r="O79092" t="str">
            <v/>
          </cell>
        </row>
        <row r="79093">
          <cell r="O79093" t="str">
            <v/>
          </cell>
        </row>
        <row r="79094">
          <cell r="O79094" t="str">
            <v/>
          </cell>
        </row>
        <row r="79095">
          <cell r="O79095" t="str">
            <v/>
          </cell>
        </row>
        <row r="79096">
          <cell r="O79096" t="str">
            <v/>
          </cell>
        </row>
        <row r="79097">
          <cell r="O79097" t="str">
            <v/>
          </cell>
        </row>
        <row r="79098">
          <cell r="O79098" t="str">
            <v/>
          </cell>
        </row>
        <row r="79099">
          <cell r="O79099" t="str">
            <v/>
          </cell>
        </row>
        <row r="79100">
          <cell r="O79100" t="str">
            <v/>
          </cell>
        </row>
        <row r="79101">
          <cell r="O79101" t="str">
            <v/>
          </cell>
        </row>
        <row r="79102">
          <cell r="O79102" t="str">
            <v/>
          </cell>
        </row>
        <row r="79103">
          <cell r="O79103" t="str">
            <v/>
          </cell>
        </row>
        <row r="79104">
          <cell r="O79104" t="str">
            <v/>
          </cell>
        </row>
        <row r="79105">
          <cell r="O79105" t="str">
            <v/>
          </cell>
        </row>
        <row r="79106">
          <cell r="O79106" t="str">
            <v/>
          </cell>
        </row>
        <row r="79107">
          <cell r="O79107" t="str">
            <v/>
          </cell>
        </row>
        <row r="79108">
          <cell r="O79108" t="str">
            <v/>
          </cell>
        </row>
        <row r="79109">
          <cell r="O79109" t="str">
            <v/>
          </cell>
        </row>
        <row r="79110">
          <cell r="O79110" t="str">
            <v/>
          </cell>
        </row>
        <row r="79111">
          <cell r="O79111" t="str">
            <v/>
          </cell>
        </row>
        <row r="79112">
          <cell r="O79112" t="str">
            <v/>
          </cell>
        </row>
        <row r="79113">
          <cell r="O79113" t="str">
            <v/>
          </cell>
        </row>
        <row r="79114">
          <cell r="O79114" t="str">
            <v/>
          </cell>
        </row>
        <row r="79115">
          <cell r="O79115" t="str">
            <v/>
          </cell>
        </row>
        <row r="79116">
          <cell r="O79116" t="str">
            <v/>
          </cell>
        </row>
        <row r="79117">
          <cell r="O79117" t="str">
            <v/>
          </cell>
        </row>
        <row r="79118">
          <cell r="O79118" t="str">
            <v/>
          </cell>
        </row>
        <row r="79119">
          <cell r="O79119" t="str">
            <v/>
          </cell>
        </row>
        <row r="79120">
          <cell r="O79120" t="str">
            <v/>
          </cell>
        </row>
        <row r="79121">
          <cell r="O79121" t="str">
            <v/>
          </cell>
        </row>
        <row r="79122">
          <cell r="O79122" t="str">
            <v/>
          </cell>
        </row>
        <row r="79123">
          <cell r="O79123" t="str">
            <v/>
          </cell>
        </row>
        <row r="79124">
          <cell r="O79124" t="str">
            <v/>
          </cell>
        </row>
        <row r="79125">
          <cell r="O79125" t="str">
            <v/>
          </cell>
        </row>
        <row r="79126">
          <cell r="O79126" t="str">
            <v/>
          </cell>
        </row>
        <row r="79127">
          <cell r="O79127" t="str">
            <v/>
          </cell>
        </row>
        <row r="79128">
          <cell r="O79128" t="str">
            <v/>
          </cell>
        </row>
        <row r="79129">
          <cell r="O79129" t="str">
            <v/>
          </cell>
        </row>
        <row r="79130">
          <cell r="O79130" t="str">
            <v/>
          </cell>
        </row>
        <row r="79131">
          <cell r="O79131" t="str">
            <v/>
          </cell>
        </row>
        <row r="79132">
          <cell r="O79132" t="str">
            <v/>
          </cell>
        </row>
        <row r="79133">
          <cell r="O79133" t="str">
            <v/>
          </cell>
        </row>
        <row r="79134">
          <cell r="O79134" t="str">
            <v/>
          </cell>
        </row>
        <row r="79135">
          <cell r="O79135" t="str">
            <v/>
          </cell>
        </row>
        <row r="79136">
          <cell r="O79136" t="str">
            <v/>
          </cell>
        </row>
        <row r="79137">
          <cell r="O79137" t="str">
            <v/>
          </cell>
        </row>
        <row r="79138">
          <cell r="O79138" t="str">
            <v/>
          </cell>
        </row>
        <row r="79139">
          <cell r="O79139" t="str">
            <v/>
          </cell>
        </row>
        <row r="79140">
          <cell r="O79140" t="str">
            <v/>
          </cell>
        </row>
        <row r="79141">
          <cell r="O79141" t="str">
            <v/>
          </cell>
        </row>
        <row r="79142">
          <cell r="O79142" t="str">
            <v/>
          </cell>
        </row>
        <row r="79143">
          <cell r="O79143" t="str">
            <v/>
          </cell>
        </row>
        <row r="79144">
          <cell r="O79144" t="str">
            <v/>
          </cell>
        </row>
        <row r="79145">
          <cell r="O79145" t="str">
            <v/>
          </cell>
        </row>
        <row r="79146">
          <cell r="O79146" t="str">
            <v/>
          </cell>
        </row>
        <row r="79147">
          <cell r="O79147" t="str">
            <v/>
          </cell>
        </row>
        <row r="79148">
          <cell r="O79148" t="str">
            <v/>
          </cell>
        </row>
        <row r="79149">
          <cell r="O79149" t="str">
            <v/>
          </cell>
        </row>
        <row r="79150">
          <cell r="O79150" t="str">
            <v/>
          </cell>
        </row>
        <row r="79151">
          <cell r="O79151" t="str">
            <v/>
          </cell>
        </row>
        <row r="79152">
          <cell r="O79152" t="str">
            <v/>
          </cell>
        </row>
        <row r="79153">
          <cell r="O79153" t="str">
            <v/>
          </cell>
        </row>
        <row r="79154">
          <cell r="O79154" t="str">
            <v/>
          </cell>
        </row>
        <row r="79155">
          <cell r="O79155" t="str">
            <v/>
          </cell>
        </row>
        <row r="79156">
          <cell r="O79156" t="str">
            <v/>
          </cell>
        </row>
        <row r="79157">
          <cell r="O79157" t="str">
            <v/>
          </cell>
        </row>
        <row r="79158">
          <cell r="O79158" t="str">
            <v/>
          </cell>
        </row>
        <row r="79159">
          <cell r="O79159" t="str">
            <v/>
          </cell>
        </row>
        <row r="79160">
          <cell r="O79160" t="str">
            <v/>
          </cell>
        </row>
        <row r="79161">
          <cell r="O79161" t="str">
            <v/>
          </cell>
        </row>
        <row r="79162">
          <cell r="O79162" t="str">
            <v/>
          </cell>
        </row>
        <row r="79163">
          <cell r="O79163" t="str">
            <v/>
          </cell>
        </row>
        <row r="79164">
          <cell r="O79164" t="str">
            <v/>
          </cell>
        </row>
        <row r="79165">
          <cell r="O79165" t="str">
            <v/>
          </cell>
        </row>
        <row r="79166">
          <cell r="O79166" t="str">
            <v/>
          </cell>
        </row>
        <row r="79167">
          <cell r="O79167" t="str">
            <v/>
          </cell>
        </row>
        <row r="79168">
          <cell r="O79168" t="str">
            <v/>
          </cell>
        </row>
        <row r="79169">
          <cell r="O79169" t="str">
            <v/>
          </cell>
        </row>
        <row r="79170">
          <cell r="O79170" t="str">
            <v/>
          </cell>
        </row>
        <row r="79171">
          <cell r="O79171" t="str">
            <v/>
          </cell>
        </row>
        <row r="79172">
          <cell r="O79172" t="str">
            <v/>
          </cell>
        </row>
        <row r="79173">
          <cell r="O79173" t="str">
            <v/>
          </cell>
        </row>
        <row r="79174">
          <cell r="O79174" t="str">
            <v/>
          </cell>
        </row>
        <row r="79175">
          <cell r="O79175" t="str">
            <v/>
          </cell>
        </row>
        <row r="79176">
          <cell r="O79176" t="str">
            <v/>
          </cell>
        </row>
        <row r="79177">
          <cell r="O79177" t="str">
            <v/>
          </cell>
        </row>
        <row r="79178">
          <cell r="O79178" t="str">
            <v/>
          </cell>
        </row>
        <row r="79179">
          <cell r="O79179" t="str">
            <v/>
          </cell>
        </row>
        <row r="79180">
          <cell r="O79180" t="str">
            <v/>
          </cell>
        </row>
        <row r="79181">
          <cell r="O79181" t="str">
            <v/>
          </cell>
        </row>
        <row r="79182">
          <cell r="O79182" t="str">
            <v/>
          </cell>
        </row>
        <row r="79183">
          <cell r="O79183" t="str">
            <v/>
          </cell>
        </row>
        <row r="79184">
          <cell r="O79184" t="str">
            <v/>
          </cell>
        </row>
        <row r="79185">
          <cell r="O79185" t="str">
            <v/>
          </cell>
        </row>
        <row r="79186">
          <cell r="O79186" t="str">
            <v/>
          </cell>
        </row>
        <row r="79187">
          <cell r="O79187" t="str">
            <v/>
          </cell>
        </row>
        <row r="79188">
          <cell r="O79188" t="str">
            <v/>
          </cell>
        </row>
        <row r="79189">
          <cell r="O79189" t="str">
            <v/>
          </cell>
        </row>
        <row r="79190">
          <cell r="O79190" t="str">
            <v/>
          </cell>
        </row>
        <row r="79191">
          <cell r="O79191" t="str">
            <v/>
          </cell>
        </row>
        <row r="79192">
          <cell r="O79192" t="str">
            <v/>
          </cell>
        </row>
        <row r="79193">
          <cell r="O79193" t="str">
            <v/>
          </cell>
        </row>
        <row r="79194">
          <cell r="O79194" t="str">
            <v/>
          </cell>
        </row>
        <row r="79195">
          <cell r="O79195" t="str">
            <v/>
          </cell>
        </row>
        <row r="79196">
          <cell r="O79196" t="str">
            <v/>
          </cell>
        </row>
        <row r="79197">
          <cell r="O79197" t="str">
            <v/>
          </cell>
        </row>
        <row r="79198">
          <cell r="O79198" t="str">
            <v/>
          </cell>
        </row>
        <row r="79199">
          <cell r="O79199" t="str">
            <v/>
          </cell>
        </row>
        <row r="79200">
          <cell r="O79200" t="str">
            <v/>
          </cell>
        </row>
        <row r="79201">
          <cell r="O79201" t="str">
            <v/>
          </cell>
        </row>
        <row r="79202">
          <cell r="O79202" t="str">
            <v/>
          </cell>
        </row>
        <row r="79203">
          <cell r="O79203" t="str">
            <v/>
          </cell>
        </row>
        <row r="79204">
          <cell r="O79204" t="str">
            <v/>
          </cell>
        </row>
        <row r="79205">
          <cell r="O79205" t="str">
            <v/>
          </cell>
        </row>
        <row r="79206">
          <cell r="O79206" t="str">
            <v/>
          </cell>
        </row>
        <row r="79207">
          <cell r="O79207" t="str">
            <v/>
          </cell>
        </row>
        <row r="79208">
          <cell r="O79208" t="str">
            <v/>
          </cell>
        </row>
        <row r="79209">
          <cell r="O79209" t="str">
            <v/>
          </cell>
        </row>
        <row r="79210">
          <cell r="O79210" t="str">
            <v/>
          </cell>
        </row>
        <row r="79211">
          <cell r="O79211" t="str">
            <v/>
          </cell>
        </row>
        <row r="79212">
          <cell r="O79212" t="str">
            <v/>
          </cell>
        </row>
        <row r="79213">
          <cell r="O79213" t="str">
            <v/>
          </cell>
        </row>
        <row r="79214">
          <cell r="O79214" t="str">
            <v/>
          </cell>
        </row>
        <row r="79215">
          <cell r="O79215" t="str">
            <v/>
          </cell>
        </row>
        <row r="79216">
          <cell r="O79216" t="str">
            <v/>
          </cell>
        </row>
        <row r="79217">
          <cell r="O79217" t="str">
            <v/>
          </cell>
        </row>
        <row r="79218">
          <cell r="O79218" t="str">
            <v/>
          </cell>
        </row>
        <row r="79219">
          <cell r="O79219" t="str">
            <v/>
          </cell>
        </row>
        <row r="79220">
          <cell r="O79220" t="str">
            <v/>
          </cell>
        </row>
        <row r="79221">
          <cell r="O79221" t="str">
            <v/>
          </cell>
        </row>
        <row r="79222">
          <cell r="O79222" t="str">
            <v/>
          </cell>
        </row>
        <row r="79223">
          <cell r="O79223" t="str">
            <v/>
          </cell>
        </row>
        <row r="79224">
          <cell r="O79224" t="str">
            <v/>
          </cell>
        </row>
        <row r="79225">
          <cell r="O79225" t="str">
            <v/>
          </cell>
        </row>
        <row r="79226">
          <cell r="O79226" t="str">
            <v/>
          </cell>
        </row>
        <row r="79227">
          <cell r="O79227" t="str">
            <v/>
          </cell>
        </row>
        <row r="79228">
          <cell r="O79228" t="str">
            <v/>
          </cell>
        </row>
        <row r="79229">
          <cell r="O79229" t="str">
            <v/>
          </cell>
        </row>
        <row r="79230">
          <cell r="O79230" t="str">
            <v/>
          </cell>
        </row>
        <row r="79231">
          <cell r="O79231" t="str">
            <v/>
          </cell>
        </row>
        <row r="79232">
          <cell r="O79232" t="str">
            <v/>
          </cell>
        </row>
        <row r="79233">
          <cell r="O79233" t="str">
            <v/>
          </cell>
        </row>
        <row r="79234">
          <cell r="O79234" t="str">
            <v/>
          </cell>
        </row>
        <row r="79235">
          <cell r="O79235" t="str">
            <v/>
          </cell>
        </row>
        <row r="79236">
          <cell r="O79236" t="str">
            <v/>
          </cell>
        </row>
        <row r="79237">
          <cell r="O79237" t="str">
            <v/>
          </cell>
        </row>
        <row r="79238">
          <cell r="O79238" t="str">
            <v/>
          </cell>
        </row>
        <row r="79239">
          <cell r="O79239" t="str">
            <v/>
          </cell>
        </row>
        <row r="79240">
          <cell r="O79240" t="str">
            <v/>
          </cell>
        </row>
        <row r="79241">
          <cell r="O79241" t="str">
            <v/>
          </cell>
        </row>
        <row r="79242">
          <cell r="O79242" t="str">
            <v/>
          </cell>
        </row>
        <row r="79243">
          <cell r="O79243" t="str">
            <v/>
          </cell>
        </row>
        <row r="79244">
          <cell r="O79244" t="str">
            <v/>
          </cell>
        </row>
        <row r="79245">
          <cell r="O79245" t="str">
            <v/>
          </cell>
        </row>
        <row r="79246">
          <cell r="O79246" t="str">
            <v/>
          </cell>
        </row>
        <row r="79247">
          <cell r="O79247" t="str">
            <v/>
          </cell>
        </row>
        <row r="79248">
          <cell r="O79248" t="str">
            <v/>
          </cell>
        </row>
        <row r="79249">
          <cell r="O79249" t="str">
            <v/>
          </cell>
        </row>
        <row r="79250">
          <cell r="O79250" t="str">
            <v/>
          </cell>
        </row>
        <row r="79251">
          <cell r="O79251" t="str">
            <v/>
          </cell>
        </row>
        <row r="79252">
          <cell r="O79252" t="str">
            <v/>
          </cell>
        </row>
        <row r="79253">
          <cell r="O79253" t="str">
            <v/>
          </cell>
        </row>
        <row r="79254">
          <cell r="O79254" t="str">
            <v/>
          </cell>
        </row>
        <row r="79255">
          <cell r="O79255" t="str">
            <v/>
          </cell>
        </row>
        <row r="79256">
          <cell r="O79256" t="str">
            <v/>
          </cell>
        </row>
        <row r="79257">
          <cell r="O79257" t="str">
            <v/>
          </cell>
        </row>
        <row r="79258">
          <cell r="O79258" t="str">
            <v/>
          </cell>
        </row>
        <row r="79259">
          <cell r="O79259" t="str">
            <v/>
          </cell>
        </row>
        <row r="79260">
          <cell r="O79260" t="str">
            <v/>
          </cell>
        </row>
        <row r="79261">
          <cell r="O79261" t="str">
            <v/>
          </cell>
        </row>
        <row r="79262">
          <cell r="O79262" t="str">
            <v/>
          </cell>
        </row>
        <row r="79263">
          <cell r="O79263" t="str">
            <v/>
          </cell>
        </row>
        <row r="79264">
          <cell r="O79264" t="str">
            <v/>
          </cell>
        </row>
        <row r="79265">
          <cell r="O79265" t="str">
            <v/>
          </cell>
        </row>
        <row r="79266">
          <cell r="O79266" t="str">
            <v/>
          </cell>
        </row>
        <row r="79267">
          <cell r="O79267" t="str">
            <v/>
          </cell>
        </row>
        <row r="79268">
          <cell r="O79268" t="str">
            <v/>
          </cell>
        </row>
        <row r="79269">
          <cell r="O79269" t="str">
            <v/>
          </cell>
        </row>
        <row r="79270">
          <cell r="O79270" t="str">
            <v/>
          </cell>
        </row>
        <row r="79271">
          <cell r="O79271" t="str">
            <v/>
          </cell>
        </row>
        <row r="79272">
          <cell r="O79272" t="str">
            <v/>
          </cell>
        </row>
        <row r="79273">
          <cell r="O79273" t="str">
            <v/>
          </cell>
        </row>
        <row r="79274">
          <cell r="O79274" t="str">
            <v/>
          </cell>
        </row>
        <row r="79275">
          <cell r="O79275" t="str">
            <v/>
          </cell>
        </row>
        <row r="79276">
          <cell r="O79276" t="str">
            <v/>
          </cell>
        </row>
        <row r="79277">
          <cell r="O79277" t="str">
            <v/>
          </cell>
        </row>
        <row r="79278">
          <cell r="O79278" t="str">
            <v/>
          </cell>
        </row>
        <row r="79279">
          <cell r="O79279" t="str">
            <v/>
          </cell>
        </row>
        <row r="79280">
          <cell r="O79280" t="str">
            <v/>
          </cell>
        </row>
        <row r="79281">
          <cell r="O79281" t="str">
            <v/>
          </cell>
        </row>
        <row r="79282">
          <cell r="O79282" t="str">
            <v/>
          </cell>
        </row>
        <row r="79283">
          <cell r="O79283" t="str">
            <v/>
          </cell>
        </row>
        <row r="79284">
          <cell r="O79284" t="str">
            <v/>
          </cell>
        </row>
        <row r="79285">
          <cell r="O79285" t="str">
            <v/>
          </cell>
        </row>
        <row r="79286">
          <cell r="O79286" t="str">
            <v/>
          </cell>
        </row>
        <row r="79287">
          <cell r="O79287" t="str">
            <v/>
          </cell>
        </row>
        <row r="79288">
          <cell r="O79288" t="str">
            <v/>
          </cell>
        </row>
        <row r="79289">
          <cell r="O79289" t="str">
            <v/>
          </cell>
        </row>
        <row r="79290">
          <cell r="O79290" t="str">
            <v/>
          </cell>
        </row>
        <row r="79291">
          <cell r="O79291" t="str">
            <v/>
          </cell>
        </row>
        <row r="79292">
          <cell r="O79292" t="str">
            <v/>
          </cell>
        </row>
        <row r="79293">
          <cell r="O79293" t="str">
            <v/>
          </cell>
        </row>
        <row r="79294">
          <cell r="O79294" t="str">
            <v/>
          </cell>
        </row>
        <row r="79295">
          <cell r="O79295" t="str">
            <v/>
          </cell>
        </row>
        <row r="79296">
          <cell r="O79296" t="str">
            <v/>
          </cell>
        </row>
        <row r="79297">
          <cell r="O79297" t="str">
            <v/>
          </cell>
        </row>
        <row r="79298">
          <cell r="O79298" t="str">
            <v/>
          </cell>
        </row>
        <row r="79299">
          <cell r="O79299" t="str">
            <v/>
          </cell>
        </row>
        <row r="79300">
          <cell r="O79300" t="str">
            <v/>
          </cell>
        </row>
        <row r="79301">
          <cell r="O79301" t="str">
            <v/>
          </cell>
        </row>
        <row r="79302">
          <cell r="O79302" t="str">
            <v/>
          </cell>
        </row>
        <row r="79303">
          <cell r="O79303" t="str">
            <v/>
          </cell>
        </row>
        <row r="79304">
          <cell r="O79304" t="str">
            <v/>
          </cell>
        </row>
        <row r="79305">
          <cell r="O79305" t="str">
            <v/>
          </cell>
        </row>
        <row r="79306">
          <cell r="O79306" t="str">
            <v/>
          </cell>
        </row>
        <row r="79307">
          <cell r="O79307" t="str">
            <v/>
          </cell>
        </row>
        <row r="79308">
          <cell r="O79308" t="str">
            <v/>
          </cell>
        </row>
        <row r="79309">
          <cell r="O79309" t="str">
            <v/>
          </cell>
        </row>
        <row r="79310">
          <cell r="O79310" t="str">
            <v/>
          </cell>
        </row>
        <row r="79311">
          <cell r="O79311" t="str">
            <v/>
          </cell>
        </row>
        <row r="79312">
          <cell r="O79312" t="str">
            <v/>
          </cell>
        </row>
        <row r="79313">
          <cell r="O79313" t="str">
            <v/>
          </cell>
        </row>
        <row r="79314">
          <cell r="O79314" t="str">
            <v/>
          </cell>
        </row>
        <row r="79315">
          <cell r="O79315" t="str">
            <v/>
          </cell>
        </row>
        <row r="79316">
          <cell r="O79316" t="str">
            <v/>
          </cell>
        </row>
        <row r="79317">
          <cell r="O79317" t="str">
            <v/>
          </cell>
        </row>
        <row r="79318">
          <cell r="O79318" t="str">
            <v/>
          </cell>
        </row>
        <row r="79319">
          <cell r="O79319" t="str">
            <v/>
          </cell>
        </row>
        <row r="79320">
          <cell r="O79320" t="str">
            <v/>
          </cell>
        </row>
        <row r="79321">
          <cell r="O79321" t="str">
            <v/>
          </cell>
        </row>
        <row r="79322">
          <cell r="O79322" t="str">
            <v/>
          </cell>
        </row>
        <row r="79323">
          <cell r="O79323" t="str">
            <v/>
          </cell>
        </row>
        <row r="79324">
          <cell r="O79324" t="str">
            <v/>
          </cell>
        </row>
        <row r="79325">
          <cell r="O79325" t="str">
            <v/>
          </cell>
        </row>
        <row r="79326">
          <cell r="O79326" t="str">
            <v/>
          </cell>
        </row>
        <row r="79327">
          <cell r="O79327" t="str">
            <v/>
          </cell>
        </row>
        <row r="79328">
          <cell r="O79328" t="str">
            <v/>
          </cell>
        </row>
        <row r="79329">
          <cell r="O79329" t="str">
            <v/>
          </cell>
        </row>
        <row r="79330">
          <cell r="O79330" t="str">
            <v/>
          </cell>
        </row>
        <row r="79331">
          <cell r="O79331" t="str">
            <v/>
          </cell>
        </row>
        <row r="79332">
          <cell r="O79332" t="str">
            <v/>
          </cell>
        </row>
        <row r="79333">
          <cell r="O79333" t="str">
            <v/>
          </cell>
        </row>
        <row r="79334">
          <cell r="O79334" t="str">
            <v/>
          </cell>
        </row>
        <row r="79335">
          <cell r="O79335" t="str">
            <v/>
          </cell>
        </row>
        <row r="79336">
          <cell r="O79336" t="str">
            <v/>
          </cell>
        </row>
        <row r="79337">
          <cell r="O79337" t="str">
            <v/>
          </cell>
        </row>
        <row r="79338">
          <cell r="O79338" t="str">
            <v/>
          </cell>
        </row>
        <row r="79339">
          <cell r="O79339" t="str">
            <v/>
          </cell>
        </row>
        <row r="79340">
          <cell r="O79340" t="str">
            <v/>
          </cell>
        </row>
        <row r="79341">
          <cell r="O79341" t="str">
            <v/>
          </cell>
        </row>
        <row r="79342">
          <cell r="O79342" t="str">
            <v/>
          </cell>
        </row>
        <row r="79343">
          <cell r="O79343" t="str">
            <v/>
          </cell>
        </row>
        <row r="79344">
          <cell r="O79344" t="str">
            <v/>
          </cell>
        </row>
        <row r="79345">
          <cell r="O79345" t="str">
            <v/>
          </cell>
        </row>
        <row r="79346">
          <cell r="O79346" t="str">
            <v/>
          </cell>
        </row>
        <row r="79347">
          <cell r="O79347" t="str">
            <v/>
          </cell>
        </row>
        <row r="79348">
          <cell r="O79348" t="str">
            <v/>
          </cell>
        </row>
        <row r="79349">
          <cell r="O79349" t="str">
            <v/>
          </cell>
        </row>
        <row r="79350">
          <cell r="O79350" t="str">
            <v/>
          </cell>
        </row>
        <row r="79351">
          <cell r="O79351" t="str">
            <v/>
          </cell>
        </row>
        <row r="79352">
          <cell r="O79352" t="str">
            <v/>
          </cell>
        </row>
        <row r="79353">
          <cell r="O79353" t="str">
            <v/>
          </cell>
        </row>
        <row r="79354">
          <cell r="O79354" t="str">
            <v/>
          </cell>
        </row>
        <row r="79355">
          <cell r="O79355" t="str">
            <v/>
          </cell>
        </row>
        <row r="79356">
          <cell r="O79356" t="str">
            <v/>
          </cell>
        </row>
        <row r="79357">
          <cell r="O79357" t="str">
            <v/>
          </cell>
        </row>
        <row r="79358">
          <cell r="O79358" t="str">
            <v/>
          </cell>
        </row>
        <row r="79359">
          <cell r="O79359" t="str">
            <v/>
          </cell>
        </row>
        <row r="79360">
          <cell r="O79360" t="str">
            <v/>
          </cell>
        </row>
        <row r="79361">
          <cell r="O79361" t="str">
            <v/>
          </cell>
        </row>
        <row r="79362">
          <cell r="O79362" t="str">
            <v/>
          </cell>
        </row>
        <row r="79363">
          <cell r="O79363" t="str">
            <v/>
          </cell>
        </row>
        <row r="79364">
          <cell r="O79364" t="str">
            <v/>
          </cell>
        </row>
        <row r="79365">
          <cell r="O79365" t="str">
            <v/>
          </cell>
        </row>
        <row r="79366">
          <cell r="O79366" t="str">
            <v/>
          </cell>
        </row>
        <row r="79367">
          <cell r="O79367" t="str">
            <v/>
          </cell>
        </row>
        <row r="79368">
          <cell r="O79368" t="str">
            <v/>
          </cell>
        </row>
        <row r="79369">
          <cell r="O79369" t="str">
            <v/>
          </cell>
        </row>
        <row r="79370">
          <cell r="O79370" t="str">
            <v/>
          </cell>
        </row>
        <row r="79371">
          <cell r="O79371" t="str">
            <v/>
          </cell>
        </row>
        <row r="79372">
          <cell r="O79372" t="str">
            <v/>
          </cell>
        </row>
        <row r="79373">
          <cell r="O79373" t="str">
            <v/>
          </cell>
        </row>
        <row r="79374">
          <cell r="O79374" t="str">
            <v/>
          </cell>
        </row>
        <row r="79375">
          <cell r="O79375" t="str">
            <v/>
          </cell>
        </row>
        <row r="79376">
          <cell r="O79376" t="str">
            <v/>
          </cell>
        </row>
        <row r="79377">
          <cell r="O79377" t="str">
            <v/>
          </cell>
        </row>
        <row r="79378">
          <cell r="O79378" t="str">
            <v/>
          </cell>
        </row>
        <row r="79379">
          <cell r="O79379" t="str">
            <v/>
          </cell>
        </row>
        <row r="79380">
          <cell r="O79380" t="str">
            <v/>
          </cell>
        </row>
        <row r="79381">
          <cell r="O79381" t="str">
            <v/>
          </cell>
        </row>
        <row r="79382">
          <cell r="O79382" t="str">
            <v/>
          </cell>
        </row>
        <row r="79383">
          <cell r="O79383" t="str">
            <v/>
          </cell>
        </row>
        <row r="79384">
          <cell r="O79384" t="str">
            <v/>
          </cell>
        </row>
        <row r="79385">
          <cell r="O79385" t="str">
            <v/>
          </cell>
        </row>
        <row r="79386">
          <cell r="O79386" t="str">
            <v/>
          </cell>
        </row>
        <row r="79387">
          <cell r="O79387" t="str">
            <v/>
          </cell>
        </row>
        <row r="79388">
          <cell r="O79388" t="str">
            <v/>
          </cell>
        </row>
        <row r="79389">
          <cell r="O79389" t="str">
            <v/>
          </cell>
        </row>
        <row r="79390">
          <cell r="O79390" t="str">
            <v/>
          </cell>
        </row>
        <row r="79391">
          <cell r="O79391" t="str">
            <v/>
          </cell>
        </row>
        <row r="79392">
          <cell r="O79392" t="str">
            <v/>
          </cell>
        </row>
        <row r="79393">
          <cell r="O79393" t="str">
            <v/>
          </cell>
        </row>
        <row r="79394">
          <cell r="O79394" t="str">
            <v/>
          </cell>
        </row>
        <row r="79395">
          <cell r="O79395" t="str">
            <v/>
          </cell>
        </row>
        <row r="79396">
          <cell r="O79396" t="str">
            <v/>
          </cell>
        </row>
        <row r="79397">
          <cell r="O79397" t="str">
            <v/>
          </cell>
        </row>
        <row r="79398">
          <cell r="O79398" t="str">
            <v/>
          </cell>
        </row>
        <row r="79399">
          <cell r="O79399" t="str">
            <v/>
          </cell>
        </row>
        <row r="79400">
          <cell r="O79400" t="str">
            <v/>
          </cell>
        </row>
        <row r="79401">
          <cell r="O79401" t="str">
            <v/>
          </cell>
        </row>
        <row r="79402">
          <cell r="O79402" t="str">
            <v/>
          </cell>
        </row>
        <row r="79403">
          <cell r="O79403" t="str">
            <v/>
          </cell>
        </row>
        <row r="79404">
          <cell r="O79404" t="str">
            <v/>
          </cell>
        </row>
        <row r="79405">
          <cell r="O79405" t="str">
            <v/>
          </cell>
        </row>
        <row r="79406">
          <cell r="O79406" t="str">
            <v/>
          </cell>
        </row>
        <row r="79407">
          <cell r="O79407" t="str">
            <v/>
          </cell>
        </row>
        <row r="79408">
          <cell r="O79408" t="str">
            <v/>
          </cell>
        </row>
        <row r="79409">
          <cell r="O79409" t="str">
            <v/>
          </cell>
        </row>
        <row r="79410">
          <cell r="O79410" t="str">
            <v/>
          </cell>
        </row>
        <row r="79411">
          <cell r="O79411" t="str">
            <v/>
          </cell>
        </row>
        <row r="79412">
          <cell r="O79412" t="str">
            <v/>
          </cell>
        </row>
        <row r="79413">
          <cell r="O79413" t="str">
            <v/>
          </cell>
        </row>
        <row r="79414">
          <cell r="O79414" t="str">
            <v/>
          </cell>
        </row>
        <row r="79415">
          <cell r="O79415" t="str">
            <v/>
          </cell>
        </row>
        <row r="79416">
          <cell r="O79416" t="str">
            <v/>
          </cell>
        </row>
        <row r="79417">
          <cell r="O79417" t="str">
            <v/>
          </cell>
        </row>
        <row r="79418">
          <cell r="O79418" t="str">
            <v/>
          </cell>
        </row>
        <row r="79419">
          <cell r="O79419" t="str">
            <v/>
          </cell>
        </row>
        <row r="79420">
          <cell r="O79420" t="str">
            <v/>
          </cell>
        </row>
        <row r="79421">
          <cell r="O79421" t="str">
            <v/>
          </cell>
        </row>
        <row r="79422">
          <cell r="O79422" t="str">
            <v/>
          </cell>
        </row>
        <row r="79423">
          <cell r="O79423" t="str">
            <v/>
          </cell>
        </row>
        <row r="79424">
          <cell r="O79424" t="str">
            <v/>
          </cell>
        </row>
        <row r="79425">
          <cell r="O79425" t="str">
            <v/>
          </cell>
        </row>
        <row r="79426">
          <cell r="O79426" t="str">
            <v/>
          </cell>
        </row>
        <row r="79427">
          <cell r="O79427" t="str">
            <v/>
          </cell>
        </row>
        <row r="79428">
          <cell r="O79428" t="str">
            <v/>
          </cell>
        </row>
        <row r="79429">
          <cell r="O79429" t="str">
            <v/>
          </cell>
        </row>
        <row r="79430">
          <cell r="O79430" t="str">
            <v/>
          </cell>
        </row>
        <row r="79431">
          <cell r="O79431" t="str">
            <v/>
          </cell>
        </row>
        <row r="79432">
          <cell r="O79432" t="str">
            <v/>
          </cell>
        </row>
        <row r="79433">
          <cell r="O79433" t="str">
            <v/>
          </cell>
        </row>
        <row r="79434">
          <cell r="O79434" t="str">
            <v/>
          </cell>
        </row>
        <row r="79435">
          <cell r="O79435" t="str">
            <v/>
          </cell>
        </row>
        <row r="79436">
          <cell r="O79436" t="str">
            <v/>
          </cell>
        </row>
        <row r="79437">
          <cell r="O79437" t="str">
            <v/>
          </cell>
        </row>
        <row r="79438">
          <cell r="O79438" t="str">
            <v/>
          </cell>
        </row>
        <row r="79439">
          <cell r="O79439" t="str">
            <v/>
          </cell>
        </row>
        <row r="79440">
          <cell r="O79440" t="str">
            <v/>
          </cell>
        </row>
        <row r="79441">
          <cell r="O79441" t="str">
            <v/>
          </cell>
        </row>
        <row r="79442">
          <cell r="O79442" t="str">
            <v/>
          </cell>
        </row>
        <row r="79443">
          <cell r="O79443" t="str">
            <v/>
          </cell>
        </row>
        <row r="79444">
          <cell r="O79444" t="str">
            <v/>
          </cell>
        </row>
        <row r="79445">
          <cell r="O79445" t="str">
            <v/>
          </cell>
        </row>
        <row r="79446">
          <cell r="O79446" t="str">
            <v/>
          </cell>
        </row>
        <row r="79447">
          <cell r="O79447" t="str">
            <v/>
          </cell>
        </row>
        <row r="79448">
          <cell r="O79448" t="str">
            <v/>
          </cell>
        </row>
        <row r="79449">
          <cell r="O79449" t="str">
            <v/>
          </cell>
        </row>
        <row r="79450">
          <cell r="O79450" t="str">
            <v/>
          </cell>
        </row>
        <row r="79451">
          <cell r="O79451" t="str">
            <v/>
          </cell>
        </row>
        <row r="79452">
          <cell r="O79452" t="str">
            <v/>
          </cell>
        </row>
        <row r="79453">
          <cell r="O79453" t="str">
            <v/>
          </cell>
        </row>
        <row r="79454">
          <cell r="O79454" t="str">
            <v/>
          </cell>
        </row>
        <row r="79455">
          <cell r="O79455" t="str">
            <v/>
          </cell>
        </row>
        <row r="79456">
          <cell r="O79456" t="str">
            <v/>
          </cell>
        </row>
        <row r="79457">
          <cell r="O79457" t="str">
            <v/>
          </cell>
        </row>
        <row r="79458">
          <cell r="O79458" t="str">
            <v/>
          </cell>
        </row>
        <row r="79459">
          <cell r="O79459" t="str">
            <v/>
          </cell>
        </row>
        <row r="79460">
          <cell r="O79460" t="str">
            <v/>
          </cell>
        </row>
        <row r="79461">
          <cell r="O79461" t="str">
            <v/>
          </cell>
        </row>
        <row r="79462">
          <cell r="O79462" t="str">
            <v/>
          </cell>
        </row>
        <row r="79463">
          <cell r="O79463" t="str">
            <v/>
          </cell>
        </row>
        <row r="79464">
          <cell r="O79464" t="str">
            <v/>
          </cell>
        </row>
        <row r="79465">
          <cell r="O79465" t="str">
            <v/>
          </cell>
        </row>
        <row r="79466">
          <cell r="O79466" t="str">
            <v/>
          </cell>
        </row>
        <row r="79467">
          <cell r="O79467" t="str">
            <v/>
          </cell>
        </row>
        <row r="79468">
          <cell r="O79468" t="str">
            <v/>
          </cell>
        </row>
        <row r="79469">
          <cell r="O79469" t="str">
            <v/>
          </cell>
        </row>
        <row r="79470">
          <cell r="O79470" t="str">
            <v/>
          </cell>
        </row>
        <row r="79471">
          <cell r="O79471" t="str">
            <v/>
          </cell>
        </row>
        <row r="79472">
          <cell r="O79472" t="str">
            <v/>
          </cell>
        </row>
        <row r="79473">
          <cell r="O79473" t="str">
            <v/>
          </cell>
        </row>
        <row r="79474">
          <cell r="O79474" t="str">
            <v/>
          </cell>
        </row>
        <row r="79475">
          <cell r="O79475" t="str">
            <v/>
          </cell>
        </row>
        <row r="79476">
          <cell r="O79476" t="str">
            <v/>
          </cell>
        </row>
        <row r="79477">
          <cell r="O79477" t="str">
            <v/>
          </cell>
        </row>
        <row r="79478">
          <cell r="O79478" t="str">
            <v/>
          </cell>
        </row>
        <row r="79479">
          <cell r="O79479" t="str">
            <v/>
          </cell>
        </row>
        <row r="79480">
          <cell r="O79480" t="str">
            <v/>
          </cell>
        </row>
        <row r="79481">
          <cell r="O79481" t="str">
            <v/>
          </cell>
        </row>
        <row r="79482">
          <cell r="O79482" t="str">
            <v/>
          </cell>
        </row>
        <row r="79483">
          <cell r="O79483" t="str">
            <v/>
          </cell>
        </row>
        <row r="79484">
          <cell r="O79484" t="str">
            <v/>
          </cell>
        </row>
        <row r="79485">
          <cell r="O79485" t="str">
            <v/>
          </cell>
        </row>
        <row r="79486">
          <cell r="O79486" t="str">
            <v/>
          </cell>
        </row>
        <row r="79487">
          <cell r="O79487" t="str">
            <v/>
          </cell>
        </row>
        <row r="79488">
          <cell r="O79488" t="str">
            <v/>
          </cell>
        </row>
        <row r="79489">
          <cell r="O79489" t="str">
            <v/>
          </cell>
        </row>
        <row r="79490">
          <cell r="O79490" t="str">
            <v/>
          </cell>
        </row>
        <row r="79491">
          <cell r="O79491" t="str">
            <v/>
          </cell>
        </row>
        <row r="79492">
          <cell r="O79492" t="str">
            <v/>
          </cell>
        </row>
        <row r="79493">
          <cell r="O79493" t="str">
            <v/>
          </cell>
        </row>
        <row r="79494">
          <cell r="O79494" t="str">
            <v/>
          </cell>
        </row>
        <row r="79495">
          <cell r="O79495" t="str">
            <v/>
          </cell>
        </row>
        <row r="79496">
          <cell r="O79496" t="str">
            <v/>
          </cell>
        </row>
        <row r="79497">
          <cell r="O79497" t="str">
            <v/>
          </cell>
        </row>
        <row r="79498">
          <cell r="O79498" t="str">
            <v/>
          </cell>
        </row>
        <row r="79499">
          <cell r="O79499" t="str">
            <v/>
          </cell>
        </row>
        <row r="79500">
          <cell r="O79500" t="str">
            <v/>
          </cell>
        </row>
        <row r="79501">
          <cell r="O79501" t="str">
            <v/>
          </cell>
        </row>
        <row r="79502">
          <cell r="O79502" t="str">
            <v/>
          </cell>
        </row>
        <row r="79503">
          <cell r="O79503" t="str">
            <v/>
          </cell>
        </row>
        <row r="79504">
          <cell r="O79504" t="str">
            <v/>
          </cell>
        </row>
        <row r="79505">
          <cell r="O79505" t="str">
            <v/>
          </cell>
        </row>
        <row r="79506">
          <cell r="O79506" t="str">
            <v/>
          </cell>
        </row>
        <row r="79507">
          <cell r="O79507" t="str">
            <v/>
          </cell>
        </row>
        <row r="79508">
          <cell r="O79508" t="str">
            <v/>
          </cell>
        </row>
        <row r="79509">
          <cell r="O79509" t="str">
            <v/>
          </cell>
        </row>
        <row r="79510">
          <cell r="O79510" t="str">
            <v/>
          </cell>
        </row>
        <row r="79511">
          <cell r="O79511" t="str">
            <v/>
          </cell>
        </row>
        <row r="79512">
          <cell r="O79512" t="str">
            <v/>
          </cell>
        </row>
        <row r="79513">
          <cell r="O79513" t="str">
            <v/>
          </cell>
        </row>
        <row r="79514">
          <cell r="O79514" t="str">
            <v/>
          </cell>
        </row>
        <row r="79515">
          <cell r="O79515" t="str">
            <v/>
          </cell>
        </row>
        <row r="79516">
          <cell r="O79516" t="str">
            <v/>
          </cell>
        </row>
        <row r="79517">
          <cell r="O79517" t="str">
            <v/>
          </cell>
        </row>
        <row r="79518">
          <cell r="O79518" t="str">
            <v/>
          </cell>
        </row>
        <row r="79519">
          <cell r="O79519" t="str">
            <v/>
          </cell>
        </row>
        <row r="79520">
          <cell r="O79520" t="str">
            <v/>
          </cell>
        </row>
        <row r="79521">
          <cell r="O79521" t="str">
            <v/>
          </cell>
        </row>
        <row r="79522">
          <cell r="O79522" t="str">
            <v/>
          </cell>
        </row>
        <row r="79523">
          <cell r="O79523" t="str">
            <v/>
          </cell>
        </row>
        <row r="79524">
          <cell r="O79524" t="str">
            <v/>
          </cell>
        </row>
        <row r="79525">
          <cell r="O79525" t="str">
            <v/>
          </cell>
        </row>
        <row r="79526">
          <cell r="O79526" t="str">
            <v/>
          </cell>
        </row>
        <row r="79527">
          <cell r="O79527" t="str">
            <v/>
          </cell>
        </row>
        <row r="79528">
          <cell r="O79528" t="str">
            <v/>
          </cell>
        </row>
        <row r="79529">
          <cell r="O79529" t="str">
            <v/>
          </cell>
        </row>
        <row r="79530">
          <cell r="O79530" t="str">
            <v/>
          </cell>
        </row>
        <row r="79531">
          <cell r="O79531" t="str">
            <v/>
          </cell>
        </row>
        <row r="79532">
          <cell r="O79532" t="str">
            <v/>
          </cell>
        </row>
        <row r="79533">
          <cell r="O79533" t="str">
            <v/>
          </cell>
        </row>
        <row r="79534">
          <cell r="O79534" t="str">
            <v/>
          </cell>
        </row>
        <row r="79535">
          <cell r="O79535" t="str">
            <v/>
          </cell>
        </row>
        <row r="79536">
          <cell r="O79536" t="str">
            <v/>
          </cell>
        </row>
        <row r="79537">
          <cell r="O79537" t="str">
            <v/>
          </cell>
        </row>
        <row r="79538">
          <cell r="O79538" t="str">
            <v/>
          </cell>
        </row>
        <row r="79539">
          <cell r="O79539" t="str">
            <v/>
          </cell>
        </row>
        <row r="79540">
          <cell r="O79540" t="str">
            <v/>
          </cell>
        </row>
        <row r="79541">
          <cell r="O79541" t="str">
            <v/>
          </cell>
        </row>
        <row r="79542">
          <cell r="O79542" t="str">
            <v/>
          </cell>
        </row>
        <row r="79543">
          <cell r="O79543" t="str">
            <v/>
          </cell>
        </row>
        <row r="79544">
          <cell r="O79544" t="str">
            <v/>
          </cell>
        </row>
        <row r="79545">
          <cell r="O79545" t="str">
            <v/>
          </cell>
        </row>
        <row r="79546">
          <cell r="O79546" t="str">
            <v/>
          </cell>
        </row>
        <row r="79547">
          <cell r="O79547" t="str">
            <v/>
          </cell>
        </row>
        <row r="79548">
          <cell r="O79548" t="str">
            <v/>
          </cell>
        </row>
        <row r="79549">
          <cell r="O79549" t="str">
            <v/>
          </cell>
        </row>
        <row r="79550">
          <cell r="O79550" t="str">
            <v/>
          </cell>
        </row>
        <row r="79551">
          <cell r="O79551" t="str">
            <v/>
          </cell>
        </row>
        <row r="79552">
          <cell r="O79552" t="str">
            <v/>
          </cell>
        </row>
        <row r="79553">
          <cell r="O79553" t="str">
            <v/>
          </cell>
        </row>
        <row r="79554">
          <cell r="O79554" t="str">
            <v/>
          </cell>
        </row>
        <row r="79555">
          <cell r="O79555" t="str">
            <v/>
          </cell>
        </row>
        <row r="79556">
          <cell r="O79556" t="str">
            <v/>
          </cell>
        </row>
        <row r="79557">
          <cell r="O79557" t="str">
            <v/>
          </cell>
        </row>
        <row r="79558">
          <cell r="O79558" t="str">
            <v/>
          </cell>
        </row>
        <row r="79559">
          <cell r="O79559" t="str">
            <v/>
          </cell>
        </row>
        <row r="79560">
          <cell r="O79560" t="str">
            <v/>
          </cell>
        </row>
        <row r="79561">
          <cell r="O79561" t="str">
            <v/>
          </cell>
        </row>
        <row r="79562">
          <cell r="O79562" t="str">
            <v/>
          </cell>
        </row>
        <row r="79563">
          <cell r="O79563" t="str">
            <v/>
          </cell>
        </row>
        <row r="79564">
          <cell r="O79564" t="str">
            <v/>
          </cell>
        </row>
        <row r="79565">
          <cell r="O79565" t="str">
            <v/>
          </cell>
        </row>
        <row r="79566">
          <cell r="O79566" t="str">
            <v/>
          </cell>
        </row>
        <row r="79567">
          <cell r="O79567" t="str">
            <v/>
          </cell>
        </row>
        <row r="79568">
          <cell r="O79568" t="str">
            <v/>
          </cell>
        </row>
        <row r="79569">
          <cell r="O79569" t="str">
            <v/>
          </cell>
        </row>
        <row r="79570">
          <cell r="O79570" t="str">
            <v/>
          </cell>
        </row>
        <row r="79571">
          <cell r="O79571" t="str">
            <v/>
          </cell>
        </row>
        <row r="79572">
          <cell r="O79572" t="str">
            <v/>
          </cell>
        </row>
        <row r="79573">
          <cell r="O79573" t="str">
            <v/>
          </cell>
        </row>
        <row r="79574">
          <cell r="O79574" t="str">
            <v/>
          </cell>
        </row>
        <row r="79575">
          <cell r="O79575" t="str">
            <v/>
          </cell>
        </row>
        <row r="79576">
          <cell r="O79576" t="str">
            <v/>
          </cell>
        </row>
        <row r="79577">
          <cell r="O79577" t="str">
            <v/>
          </cell>
        </row>
        <row r="79578">
          <cell r="O79578" t="str">
            <v/>
          </cell>
        </row>
        <row r="79579">
          <cell r="O79579" t="str">
            <v/>
          </cell>
        </row>
        <row r="79580">
          <cell r="O79580" t="str">
            <v/>
          </cell>
        </row>
        <row r="79581">
          <cell r="O79581" t="str">
            <v/>
          </cell>
        </row>
        <row r="79582">
          <cell r="O79582" t="str">
            <v/>
          </cell>
        </row>
        <row r="79583">
          <cell r="O79583" t="str">
            <v/>
          </cell>
        </row>
        <row r="79584">
          <cell r="O79584" t="str">
            <v/>
          </cell>
        </row>
        <row r="79585">
          <cell r="O79585" t="str">
            <v/>
          </cell>
        </row>
        <row r="79586">
          <cell r="O79586" t="str">
            <v/>
          </cell>
        </row>
        <row r="79587">
          <cell r="O79587" t="str">
            <v/>
          </cell>
        </row>
        <row r="79588">
          <cell r="O79588" t="str">
            <v/>
          </cell>
        </row>
        <row r="79589">
          <cell r="O79589" t="str">
            <v/>
          </cell>
        </row>
        <row r="79590">
          <cell r="O79590" t="str">
            <v/>
          </cell>
        </row>
        <row r="79591">
          <cell r="O79591" t="str">
            <v/>
          </cell>
        </row>
        <row r="79592">
          <cell r="O79592" t="str">
            <v/>
          </cell>
        </row>
        <row r="79593">
          <cell r="O79593" t="str">
            <v/>
          </cell>
        </row>
        <row r="79594">
          <cell r="O79594" t="str">
            <v/>
          </cell>
        </row>
        <row r="79595">
          <cell r="O79595" t="str">
            <v/>
          </cell>
        </row>
        <row r="79596">
          <cell r="O79596" t="str">
            <v/>
          </cell>
        </row>
        <row r="79597">
          <cell r="O79597" t="str">
            <v/>
          </cell>
        </row>
        <row r="79598">
          <cell r="O79598" t="str">
            <v/>
          </cell>
        </row>
        <row r="79599">
          <cell r="O79599" t="str">
            <v/>
          </cell>
        </row>
        <row r="79600">
          <cell r="O79600" t="str">
            <v/>
          </cell>
        </row>
        <row r="79601">
          <cell r="O79601" t="str">
            <v/>
          </cell>
        </row>
        <row r="79602">
          <cell r="O79602" t="str">
            <v/>
          </cell>
        </row>
        <row r="79603">
          <cell r="O79603" t="str">
            <v/>
          </cell>
        </row>
        <row r="79604">
          <cell r="O79604" t="str">
            <v/>
          </cell>
        </row>
        <row r="79605">
          <cell r="O79605" t="str">
            <v/>
          </cell>
        </row>
        <row r="79606">
          <cell r="O79606" t="str">
            <v/>
          </cell>
        </row>
        <row r="79607">
          <cell r="O79607" t="str">
            <v/>
          </cell>
        </row>
        <row r="79608">
          <cell r="O79608" t="str">
            <v/>
          </cell>
        </row>
        <row r="79609">
          <cell r="O79609" t="str">
            <v/>
          </cell>
        </row>
        <row r="79610">
          <cell r="O79610" t="str">
            <v/>
          </cell>
        </row>
        <row r="79611">
          <cell r="O79611" t="str">
            <v/>
          </cell>
        </row>
        <row r="79612">
          <cell r="O79612" t="str">
            <v/>
          </cell>
        </row>
        <row r="79613">
          <cell r="O79613" t="str">
            <v/>
          </cell>
        </row>
        <row r="79614">
          <cell r="O79614" t="str">
            <v/>
          </cell>
        </row>
        <row r="79615">
          <cell r="O79615" t="str">
            <v/>
          </cell>
        </row>
        <row r="79616">
          <cell r="O79616" t="str">
            <v/>
          </cell>
        </row>
        <row r="79617">
          <cell r="O79617" t="str">
            <v/>
          </cell>
        </row>
        <row r="79618">
          <cell r="O79618" t="str">
            <v/>
          </cell>
        </row>
        <row r="79619">
          <cell r="O79619" t="str">
            <v/>
          </cell>
        </row>
        <row r="79620">
          <cell r="O79620" t="str">
            <v/>
          </cell>
        </row>
        <row r="79621">
          <cell r="O79621" t="str">
            <v/>
          </cell>
        </row>
        <row r="79622">
          <cell r="O79622" t="str">
            <v/>
          </cell>
        </row>
        <row r="79623">
          <cell r="O79623" t="str">
            <v/>
          </cell>
        </row>
        <row r="79624">
          <cell r="O79624" t="str">
            <v/>
          </cell>
        </row>
        <row r="79625">
          <cell r="O79625" t="str">
            <v/>
          </cell>
        </row>
        <row r="79626">
          <cell r="O79626" t="str">
            <v/>
          </cell>
        </row>
        <row r="79627">
          <cell r="O79627" t="str">
            <v/>
          </cell>
        </row>
        <row r="79628">
          <cell r="O79628" t="str">
            <v/>
          </cell>
        </row>
        <row r="79629">
          <cell r="O79629" t="str">
            <v/>
          </cell>
        </row>
        <row r="79630">
          <cell r="O79630" t="str">
            <v/>
          </cell>
        </row>
        <row r="79631">
          <cell r="O79631" t="str">
            <v/>
          </cell>
        </row>
        <row r="79632">
          <cell r="O79632" t="str">
            <v/>
          </cell>
        </row>
        <row r="79633">
          <cell r="O79633" t="str">
            <v/>
          </cell>
        </row>
        <row r="79634">
          <cell r="O79634" t="str">
            <v/>
          </cell>
        </row>
        <row r="79635">
          <cell r="O79635" t="str">
            <v/>
          </cell>
        </row>
        <row r="79636">
          <cell r="O79636" t="str">
            <v/>
          </cell>
        </row>
        <row r="79637">
          <cell r="O79637" t="str">
            <v/>
          </cell>
        </row>
        <row r="79638">
          <cell r="O79638" t="str">
            <v/>
          </cell>
        </row>
        <row r="79639">
          <cell r="O79639" t="str">
            <v/>
          </cell>
        </row>
        <row r="79640">
          <cell r="O79640" t="str">
            <v/>
          </cell>
        </row>
        <row r="79641">
          <cell r="O79641" t="str">
            <v/>
          </cell>
        </row>
        <row r="79642">
          <cell r="O79642" t="str">
            <v/>
          </cell>
        </row>
        <row r="79643">
          <cell r="O79643" t="str">
            <v/>
          </cell>
        </row>
        <row r="79644">
          <cell r="O79644" t="str">
            <v/>
          </cell>
        </row>
        <row r="79645">
          <cell r="O79645" t="str">
            <v/>
          </cell>
        </row>
        <row r="79646">
          <cell r="O79646" t="str">
            <v/>
          </cell>
        </row>
        <row r="79647">
          <cell r="O79647" t="str">
            <v/>
          </cell>
        </row>
        <row r="79648">
          <cell r="O79648" t="str">
            <v/>
          </cell>
        </row>
        <row r="79649">
          <cell r="O79649" t="str">
            <v/>
          </cell>
        </row>
        <row r="79650">
          <cell r="O79650" t="str">
            <v/>
          </cell>
        </row>
        <row r="79651">
          <cell r="O79651" t="str">
            <v/>
          </cell>
        </row>
        <row r="79652">
          <cell r="O79652" t="str">
            <v/>
          </cell>
        </row>
        <row r="79653">
          <cell r="O79653" t="str">
            <v/>
          </cell>
        </row>
        <row r="79654">
          <cell r="O79654" t="str">
            <v/>
          </cell>
        </row>
        <row r="79655">
          <cell r="O79655" t="str">
            <v/>
          </cell>
        </row>
        <row r="79656">
          <cell r="O79656" t="str">
            <v/>
          </cell>
        </row>
        <row r="79657">
          <cell r="O79657" t="str">
            <v/>
          </cell>
        </row>
        <row r="79658">
          <cell r="O79658" t="str">
            <v/>
          </cell>
        </row>
        <row r="79659">
          <cell r="O79659" t="str">
            <v/>
          </cell>
        </row>
        <row r="79660">
          <cell r="O79660" t="str">
            <v/>
          </cell>
        </row>
        <row r="79661">
          <cell r="O79661" t="str">
            <v/>
          </cell>
        </row>
        <row r="79662">
          <cell r="O79662" t="str">
            <v/>
          </cell>
        </row>
        <row r="79663">
          <cell r="O79663" t="str">
            <v/>
          </cell>
        </row>
        <row r="79664">
          <cell r="O79664" t="str">
            <v/>
          </cell>
        </row>
        <row r="79665">
          <cell r="O79665" t="str">
            <v/>
          </cell>
        </row>
        <row r="79666">
          <cell r="O79666" t="str">
            <v/>
          </cell>
        </row>
        <row r="79667">
          <cell r="O79667" t="str">
            <v/>
          </cell>
        </row>
        <row r="79668">
          <cell r="O79668" t="str">
            <v/>
          </cell>
        </row>
        <row r="79669">
          <cell r="O79669" t="str">
            <v/>
          </cell>
        </row>
        <row r="79670">
          <cell r="O79670" t="str">
            <v/>
          </cell>
        </row>
        <row r="79671">
          <cell r="O79671" t="str">
            <v/>
          </cell>
        </row>
        <row r="79672">
          <cell r="O79672" t="str">
            <v/>
          </cell>
        </row>
        <row r="79673">
          <cell r="O79673" t="str">
            <v/>
          </cell>
        </row>
        <row r="79674">
          <cell r="O79674" t="str">
            <v/>
          </cell>
        </row>
        <row r="79675">
          <cell r="O79675" t="str">
            <v/>
          </cell>
        </row>
        <row r="79676">
          <cell r="O79676" t="str">
            <v/>
          </cell>
        </row>
        <row r="79677">
          <cell r="O79677" t="str">
            <v/>
          </cell>
        </row>
        <row r="79678">
          <cell r="O79678" t="str">
            <v/>
          </cell>
        </row>
        <row r="79679">
          <cell r="O79679" t="str">
            <v/>
          </cell>
        </row>
        <row r="79680">
          <cell r="O79680" t="str">
            <v/>
          </cell>
        </row>
        <row r="79681">
          <cell r="O79681" t="str">
            <v/>
          </cell>
        </row>
        <row r="79682">
          <cell r="O79682" t="str">
            <v/>
          </cell>
        </row>
        <row r="79683">
          <cell r="O79683" t="str">
            <v/>
          </cell>
        </row>
        <row r="79684">
          <cell r="O79684" t="str">
            <v/>
          </cell>
        </row>
        <row r="79685">
          <cell r="O79685" t="str">
            <v/>
          </cell>
        </row>
        <row r="79686">
          <cell r="O79686" t="str">
            <v/>
          </cell>
        </row>
        <row r="79687">
          <cell r="O79687" t="str">
            <v/>
          </cell>
        </row>
        <row r="79688">
          <cell r="O79688" t="str">
            <v/>
          </cell>
        </row>
        <row r="79689">
          <cell r="O79689" t="str">
            <v/>
          </cell>
        </row>
        <row r="79690">
          <cell r="O79690" t="str">
            <v/>
          </cell>
        </row>
        <row r="79691">
          <cell r="O79691" t="str">
            <v/>
          </cell>
        </row>
        <row r="79692">
          <cell r="O79692" t="str">
            <v/>
          </cell>
        </row>
        <row r="79693">
          <cell r="O79693" t="str">
            <v/>
          </cell>
        </row>
        <row r="79694">
          <cell r="O79694" t="str">
            <v/>
          </cell>
        </row>
        <row r="79695">
          <cell r="O79695" t="str">
            <v/>
          </cell>
        </row>
        <row r="79696">
          <cell r="O79696" t="str">
            <v/>
          </cell>
        </row>
        <row r="79697">
          <cell r="O79697" t="str">
            <v/>
          </cell>
        </row>
        <row r="79698">
          <cell r="O79698" t="str">
            <v/>
          </cell>
        </row>
        <row r="79699">
          <cell r="O79699" t="str">
            <v/>
          </cell>
        </row>
        <row r="79700">
          <cell r="O79700" t="str">
            <v/>
          </cell>
        </row>
        <row r="79701">
          <cell r="O79701" t="str">
            <v/>
          </cell>
        </row>
        <row r="79702">
          <cell r="O79702" t="str">
            <v/>
          </cell>
        </row>
        <row r="79703">
          <cell r="O79703" t="str">
            <v/>
          </cell>
        </row>
        <row r="79704">
          <cell r="O79704" t="str">
            <v/>
          </cell>
        </row>
        <row r="79705">
          <cell r="O79705" t="str">
            <v/>
          </cell>
        </row>
        <row r="79706">
          <cell r="O79706" t="str">
            <v/>
          </cell>
        </row>
        <row r="79707">
          <cell r="O79707" t="str">
            <v/>
          </cell>
        </row>
        <row r="79708">
          <cell r="O79708" t="str">
            <v/>
          </cell>
        </row>
        <row r="79709">
          <cell r="O79709" t="str">
            <v/>
          </cell>
        </row>
        <row r="79710">
          <cell r="O79710" t="str">
            <v/>
          </cell>
        </row>
        <row r="79711">
          <cell r="O79711" t="str">
            <v/>
          </cell>
        </row>
        <row r="79712">
          <cell r="O79712" t="str">
            <v/>
          </cell>
        </row>
        <row r="79713">
          <cell r="O79713" t="str">
            <v/>
          </cell>
        </row>
        <row r="79714">
          <cell r="O79714" t="str">
            <v/>
          </cell>
        </row>
        <row r="79715">
          <cell r="O79715" t="str">
            <v/>
          </cell>
        </row>
        <row r="79716">
          <cell r="O79716" t="str">
            <v/>
          </cell>
        </row>
        <row r="79717">
          <cell r="O79717" t="str">
            <v/>
          </cell>
        </row>
        <row r="79718">
          <cell r="O79718" t="str">
            <v/>
          </cell>
        </row>
        <row r="79719">
          <cell r="O79719" t="str">
            <v/>
          </cell>
        </row>
        <row r="79720">
          <cell r="O79720" t="str">
            <v/>
          </cell>
        </row>
        <row r="79721">
          <cell r="O79721" t="str">
            <v/>
          </cell>
        </row>
        <row r="79722">
          <cell r="O79722" t="str">
            <v/>
          </cell>
        </row>
        <row r="79723">
          <cell r="O79723" t="str">
            <v/>
          </cell>
        </row>
        <row r="79724">
          <cell r="O79724" t="str">
            <v/>
          </cell>
        </row>
        <row r="79725">
          <cell r="O79725" t="str">
            <v/>
          </cell>
        </row>
        <row r="79726">
          <cell r="O79726" t="str">
            <v/>
          </cell>
        </row>
        <row r="79727">
          <cell r="O79727" t="str">
            <v/>
          </cell>
        </row>
        <row r="79728">
          <cell r="O79728" t="str">
            <v/>
          </cell>
        </row>
        <row r="79729">
          <cell r="O79729" t="str">
            <v/>
          </cell>
        </row>
        <row r="79730">
          <cell r="O79730" t="str">
            <v/>
          </cell>
        </row>
        <row r="79731">
          <cell r="O79731" t="str">
            <v/>
          </cell>
        </row>
        <row r="79732">
          <cell r="O79732" t="str">
            <v/>
          </cell>
        </row>
        <row r="79733">
          <cell r="O79733" t="str">
            <v/>
          </cell>
        </row>
        <row r="79734">
          <cell r="O79734" t="str">
            <v/>
          </cell>
        </row>
        <row r="79735">
          <cell r="O79735" t="str">
            <v/>
          </cell>
        </row>
        <row r="79736">
          <cell r="O79736" t="str">
            <v/>
          </cell>
        </row>
        <row r="79737">
          <cell r="O79737" t="str">
            <v/>
          </cell>
        </row>
        <row r="79738">
          <cell r="O79738" t="str">
            <v/>
          </cell>
        </row>
        <row r="79739">
          <cell r="O79739" t="str">
            <v/>
          </cell>
        </row>
        <row r="79740">
          <cell r="O79740" t="str">
            <v/>
          </cell>
        </row>
        <row r="79741">
          <cell r="O79741" t="str">
            <v/>
          </cell>
        </row>
        <row r="79742">
          <cell r="O79742" t="str">
            <v/>
          </cell>
        </row>
        <row r="79743">
          <cell r="O79743" t="str">
            <v/>
          </cell>
        </row>
        <row r="79744">
          <cell r="O79744" t="str">
            <v/>
          </cell>
        </row>
        <row r="79745">
          <cell r="O79745" t="str">
            <v/>
          </cell>
        </row>
        <row r="79746">
          <cell r="O79746" t="str">
            <v/>
          </cell>
        </row>
        <row r="79747">
          <cell r="O79747" t="str">
            <v/>
          </cell>
        </row>
        <row r="79748">
          <cell r="O79748" t="str">
            <v/>
          </cell>
        </row>
        <row r="79749">
          <cell r="O79749" t="str">
            <v/>
          </cell>
        </row>
        <row r="79750">
          <cell r="O79750" t="str">
            <v/>
          </cell>
        </row>
        <row r="79751">
          <cell r="O79751" t="str">
            <v/>
          </cell>
        </row>
        <row r="79752">
          <cell r="O79752" t="str">
            <v/>
          </cell>
        </row>
        <row r="79753">
          <cell r="O79753" t="str">
            <v/>
          </cell>
        </row>
        <row r="79754">
          <cell r="O79754" t="str">
            <v/>
          </cell>
        </row>
        <row r="79755">
          <cell r="O79755" t="str">
            <v/>
          </cell>
        </row>
        <row r="79756">
          <cell r="O79756" t="str">
            <v/>
          </cell>
        </row>
        <row r="79757">
          <cell r="O79757" t="str">
            <v/>
          </cell>
        </row>
        <row r="79758">
          <cell r="O79758" t="str">
            <v/>
          </cell>
        </row>
        <row r="79759">
          <cell r="O79759" t="str">
            <v/>
          </cell>
        </row>
        <row r="79760">
          <cell r="O79760" t="str">
            <v/>
          </cell>
        </row>
        <row r="79761">
          <cell r="O79761" t="str">
            <v/>
          </cell>
        </row>
        <row r="79762">
          <cell r="O79762" t="str">
            <v/>
          </cell>
        </row>
        <row r="79763">
          <cell r="O79763" t="str">
            <v/>
          </cell>
        </row>
        <row r="79764">
          <cell r="O79764" t="str">
            <v/>
          </cell>
        </row>
        <row r="79765">
          <cell r="O79765" t="str">
            <v/>
          </cell>
        </row>
        <row r="79766">
          <cell r="O79766" t="str">
            <v/>
          </cell>
        </row>
        <row r="79767">
          <cell r="O79767" t="str">
            <v/>
          </cell>
        </row>
        <row r="79768">
          <cell r="O79768" t="str">
            <v/>
          </cell>
        </row>
        <row r="79769">
          <cell r="O79769" t="str">
            <v/>
          </cell>
        </row>
        <row r="79770">
          <cell r="O79770" t="str">
            <v/>
          </cell>
        </row>
        <row r="79771">
          <cell r="O79771" t="str">
            <v/>
          </cell>
        </row>
        <row r="79772">
          <cell r="O79772" t="str">
            <v/>
          </cell>
        </row>
        <row r="79773">
          <cell r="O79773" t="str">
            <v/>
          </cell>
        </row>
        <row r="79774">
          <cell r="O79774" t="str">
            <v/>
          </cell>
        </row>
        <row r="79775">
          <cell r="O79775" t="str">
            <v/>
          </cell>
        </row>
        <row r="79776">
          <cell r="O79776" t="str">
            <v/>
          </cell>
        </row>
        <row r="79777">
          <cell r="O79777" t="str">
            <v/>
          </cell>
        </row>
        <row r="79778">
          <cell r="O79778" t="str">
            <v/>
          </cell>
        </row>
        <row r="79779">
          <cell r="O79779" t="str">
            <v/>
          </cell>
        </row>
        <row r="79780">
          <cell r="O79780" t="str">
            <v/>
          </cell>
        </row>
        <row r="79781">
          <cell r="O79781" t="str">
            <v/>
          </cell>
        </row>
        <row r="79782">
          <cell r="O79782" t="str">
            <v/>
          </cell>
        </row>
        <row r="79783">
          <cell r="O79783" t="str">
            <v/>
          </cell>
        </row>
        <row r="79784">
          <cell r="O79784" t="str">
            <v/>
          </cell>
        </row>
        <row r="79785">
          <cell r="O79785" t="str">
            <v/>
          </cell>
        </row>
        <row r="79786">
          <cell r="O79786" t="str">
            <v/>
          </cell>
        </row>
        <row r="79787">
          <cell r="O79787" t="str">
            <v/>
          </cell>
        </row>
        <row r="79788">
          <cell r="O79788" t="str">
            <v/>
          </cell>
        </row>
        <row r="79789">
          <cell r="O79789" t="str">
            <v/>
          </cell>
        </row>
        <row r="79790">
          <cell r="O79790" t="str">
            <v/>
          </cell>
        </row>
        <row r="79791">
          <cell r="O79791" t="str">
            <v/>
          </cell>
        </row>
        <row r="79792">
          <cell r="O79792" t="str">
            <v/>
          </cell>
        </row>
        <row r="79793">
          <cell r="O79793" t="str">
            <v/>
          </cell>
        </row>
        <row r="79794">
          <cell r="O79794" t="str">
            <v/>
          </cell>
        </row>
        <row r="79795">
          <cell r="O79795" t="str">
            <v/>
          </cell>
        </row>
        <row r="79796">
          <cell r="O79796" t="str">
            <v/>
          </cell>
        </row>
        <row r="79797">
          <cell r="O79797" t="str">
            <v/>
          </cell>
        </row>
        <row r="79798">
          <cell r="O79798" t="str">
            <v/>
          </cell>
        </row>
        <row r="79799">
          <cell r="O79799" t="str">
            <v/>
          </cell>
        </row>
        <row r="79800">
          <cell r="O79800" t="str">
            <v/>
          </cell>
        </row>
        <row r="79801">
          <cell r="O79801" t="str">
            <v/>
          </cell>
        </row>
        <row r="79802">
          <cell r="O79802" t="str">
            <v/>
          </cell>
        </row>
        <row r="79803">
          <cell r="O79803" t="str">
            <v/>
          </cell>
        </row>
        <row r="79804">
          <cell r="O79804" t="str">
            <v/>
          </cell>
        </row>
        <row r="79805">
          <cell r="O79805" t="str">
            <v/>
          </cell>
        </row>
        <row r="79806">
          <cell r="O79806" t="str">
            <v/>
          </cell>
        </row>
        <row r="79807">
          <cell r="O79807" t="str">
            <v/>
          </cell>
        </row>
        <row r="79808">
          <cell r="O79808" t="str">
            <v/>
          </cell>
        </row>
        <row r="79809">
          <cell r="O79809" t="str">
            <v/>
          </cell>
        </row>
        <row r="79810">
          <cell r="O79810" t="str">
            <v/>
          </cell>
        </row>
        <row r="79811">
          <cell r="O79811" t="str">
            <v/>
          </cell>
        </row>
        <row r="79812">
          <cell r="O79812" t="str">
            <v/>
          </cell>
        </row>
        <row r="79813">
          <cell r="O79813" t="str">
            <v/>
          </cell>
        </row>
        <row r="79814">
          <cell r="O79814" t="str">
            <v/>
          </cell>
        </row>
        <row r="79815">
          <cell r="O79815" t="str">
            <v/>
          </cell>
        </row>
        <row r="79816">
          <cell r="O79816" t="str">
            <v/>
          </cell>
        </row>
        <row r="79817">
          <cell r="O79817" t="str">
            <v/>
          </cell>
        </row>
        <row r="79818">
          <cell r="O79818" t="str">
            <v/>
          </cell>
        </row>
        <row r="79819">
          <cell r="O79819" t="str">
            <v/>
          </cell>
        </row>
        <row r="79820">
          <cell r="O79820" t="str">
            <v/>
          </cell>
        </row>
        <row r="79821">
          <cell r="O79821" t="str">
            <v/>
          </cell>
        </row>
        <row r="79822">
          <cell r="O79822" t="str">
            <v/>
          </cell>
        </row>
        <row r="79823">
          <cell r="O79823" t="str">
            <v/>
          </cell>
        </row>
        <row r="79824">
          <cell r="O79824" t="str">
            <v/>
          </cell>
        </row>
        <row r="79825">
          <cell r="O79825" t="str">
            <v/>
          </cell>
        </row>
        <row r="79826">
          <cell r="O79826" t="str">
            <v/>
          </cell>
        </row>
        <row r="79827">
          <cell r="O79827" t="str">
            <v/>
          </cell>
        </row>
        <row r="79828">
          <cell r="O79828" t="str">
            <v/>
          </cell>
        </row>
        <row r="79829">
          <cell r="O79829" t="str">
            <v/>
          </cell>
        </row>
        <row r="79830">
          <cell r="O79830" t="str">
            <v/>
          </cell>
        </row>
        <row r="79831">
          <cell r="O79831" t="str">
            <v/>
          </cell>
        </row>
        <row r="79832">
          <cell r="O79832" t="str">
            <v/>
          </cell>
        </row>
        <row r="79833">
          <cell r="O79833" t="str">
            <v/>
          </cell>
        </row>
        <row r="79834">
          <cell r="O79834" t="str">
            <v/>
          </cell>
        </row>
        <row r="79835">
          <cell r="O79835" t="str">
            <v/>
          </cell>
        </row>
        <row r="79836">
          <cell r="O79836" t="str">
            <v/>
          </cell>
        </row>
        <row r="79837">
          <cell r="O79837" t="str">
            <v/>
          </cell>
        </row>
        <row r="79838">
          <cell r="O79838" t="str">
            <v/>
          </cell>
        </row>
        <row r="79839">
          <cell r="O79839" t="str">
            <v/>
          </cell>
        </row>
        <row r="79840">
          <cell r="O79840" t="str">
            <v/>
          </cell>
        </row>
        <row r="79841">
          <cell r="O79841" t="str">
            <v/>
          </cell>
        </row>
        <row r="79842">
          <cell r="O79842" t="str">
            <v/>
          </cell>
        </row>
        <row r="79843">
          <cell r="O79843" t="str">
            <v/>
          </cell>
        </row>
        <row r="79844">
          <cell r="O79844" t="str">
            <v/>
          </cell>
        </row>
        <row r="79845">
          <cell r="O79845" t="str">
            <v/>
          </cell>
        </row>
        <row r="79846">
          <cell r="O79846" t="str">
            <v/>
          </cell>
        </row>
        <row r="79847">
          <cell r="O79847" t="str">
            <v/>
          </cell>
        </row>
        <row r="79848">
          <cell r="O79848" t="str">
            <v/>
          </cell>
        </row>
        <row r="79849">
          <cell r="O79849" t="str">
            <v/>
          </cell>
        </row>
        <row r="79850">
          <cell r="O79850" t="str">
            <v/>
          </cell>
        </row>
        <row r="79851">
          <cell r="O79851" t="str">
            <v/>
          </cell>
        </row>
        <row r="79852">
          <cell r="O79852" t="str">
            <v/>
          </cell>
        </row>
        <row r="79853">
          <cell r="O79853" t="str">
            <v/>
          </cell>
        </row>
        <row r="79854">
          <cell r="O79854" t="str">
            <v/>
          </cell>
        </row>
        <row r="79855">
          <cell r="O79855" t="str">
            <v/>
          </cell>
        </row>
        <row r="79856">
          <cell r="O79856" t="str">
            <v/>
          </cell>
        </row>
        <row r="79857">
          <cell r="O79857" t="str">
            <v/>
          </cell>
        </row>
        <row r="79858">
          <cell r="O79858" t="str">
            <v/>
          </cell>
        </row>
        <row r="79859">
          <cell r="O79859" t="str">
            <v/>
          </cell>
        </row>
        <row r="79860">
          <cell r="O79860" t="str">
            <v/>
          </cell>
        </row>
        <row r="79861">
          <cell r="O79861" t="str">
            <v/>
          </cell>
        </row>
        <row r="79862">
          <cell r="O79862" t="str">
            <v/>
          </cell>
        </row>
        <row r="79863">
          <cell r="O79863" t="str">
            <v/>
          </cell>
        </row>
        <row r="79864">
          <cell r="O79864" t="str">
            <v/>
          </cell>
        </row>
        <row r="79865">
          <cell r="O79865" t="str">
            <v/>
          </cell>
        </row>
        <row r="79866">
          <cell r="O79866" t="str">
            <v/>
          </cell>
        </row>
        <row r="79867">
          <cell r="O79867" t="str">
            <v/>
          </cell>
        </row>
        <row r="79868">
          <cell r="O79868" t="str">
            <v/>
          </cell>
        </row>
        <row r="79869">
          <cell r="O79869" t="str">
            <v/>
          </cell>
        </row>
        <row r="79870">
          <cell r="O79870" t="str">
            <v/>
          </cell>
        </row>
        <row r="79871">
          <cell r="O79871" t="str">
            <v/>
          </cell>
        </row>
        <row r="79872">
          <cell r="O79872" t="str">
            <v/>
          </cell>
        </row>
        <row r="79873">
          <cell r="O79873" t="str">
            <v/>
          </cell>
        </row>
        <row r="79874">
          <cell r="O79874" t="str">
            <v/>
          </cell>
        </row>
        <row r="79875">
          <cell r="O79875" t="str">
            <v/>
          </cell>
        </row>
        <row r="79876">
          <cell r="O79876" t="str">
            <v/>
          </cell>
        </row>
        <row r="79877">
          <cell r="O79877" t="str">
            <v/>
          </cell>
        </row>
        <row r="79878">
          <cell r="O79878" t="str">
            <v/>
          </cell>
        </row>
        <row r="79879">
          <cell r="O79879" t="str">
            <v/>
          </cell>
        </row>
        <row r="79880">
          <cell r="O79880" t="str">
            <v/>
          </cell>
        </row>
        <row r="79881">
          <cell r="O79881" t="str">
            <v/>
          </cell>
        </row>
        <row r="79882">
          <cell r="O79882" t="str">
            <v/>
          </cell>
        </row>
        <row r="79883">
          <cell r="O79883" t="str">
            <v/>
          </cell>
        </row>
        <row r="79884">
          <cell r="O79884" t="str">
            <v/>
          </cell>
        </row>
        <row r="79885">
          <cell r="O79885" t="str">
            <v/>
          </cell>
        </row>
        <row r="79886">
          <cell r="O79886" t="str">
            <v/>
          </cell>
        </row>
        <row r="79887">
          <cell r="O79887" t="str">
            <v/>
          </cell>
        </row>
        <row r="79888">
          <cell r="O79888" t="str">
            <v/>
          </cell>
        </row>
        <row r="79889">
          <cell r="O79889" t="str">
            <v/>
          </cell>
        </row>
        <row r="79890">
          <cell r="O79890" t="str">
            <v/>
          </cell>
        </row>
        <row r="79891">
          <cell r="O79891" t="str">
            <v/>
          </cell>
        </row>
        <row r="79892">
          <cell r="O79892" t="str">
            <v/>
          </cell>
        </row>
        <row r="79893">
          <cell r="O79893" t="str">
            <v/>
          </cell>
        </row>
        <row r="79894">
          <cell r="O79894" t="str">
            <v/>
          </cell>
        </row>
        <row r="79895">
          <cell r="O79895" t="str">
            <v/>
          </cell>
        </row>
        <row r="79896">
          <cell r="O79896" t="str">
            <v/>
          </cell>
        </row>
        <row r="79897">
          <cell r="O79897" t="str">
            <v/>
          </cell>
        </row>
        <row r="79898">
          <cell r="O79898" t="str">
            <v/>
          </cell>
        </row>
        <row r="79899">
          <cell r="O79899" t="str">
            <v/>
          </cell>
        </row>
        <row r="79900">
          <cell r="O79900" t="str">
            <v/>
          </cell>
        </row>
        <row r="79901">
          <cell r="O79901" t="str">
            <v/>
          </cell>
        </row>
        <row r="79902">
          <cell r="O79902" t="str">
            <v/>
          </cell>
        </row>
        <row r="79903">
          <cell r="O79903" t="str">
            <v/>
          </cell>
        </row>
        <row r="79904">
          <cell r="O79904" t="str">
            <v/>
          </cell>
        </row>
        <row r="79905">
          <cell r="O79905" t="str">
            <v/>
          </cell>
        </row>
        <row r="79906">
          <cell r="O79906" t="str">
            <v/>
          </cell>
        </row>
        <row r="79907">
          <cell r="O79907" t="str">
            <v/>
          </cell>
        </row>
        <row r="79908">
          <cell r="O79908" t="str">
            <v/>
          </cell>
        </row>
        <row r="79909">
          <cell r="O79909" t="str">
            <v/>
          </cell>
        </row>
        <row r="79910">
          <cell r="O79910" t="str">
            <v/>
          </cell>
        </row>
        <row r="79911">
          <cell r="O79911" t="str">
            <v/>
          </cell>
        </row>
        <row r="79912">
          <cell r="O79912" t="str">
            <v/>
          </cell>
        </row>
        <row r="79913">
          <cell r="O79913" t="str">
            <v/>
          </cell>
        </row>
        <row r="79914">
          <cell r="O79914" t="str">
            <v/>
          </cell>
        </row>
        <row r="79915">
          <cell r="O79915" t="str">
            <v/>
          </cell>
        </row>
        <row r="79916">
          <cell r="O79916" t="str">
            <v/>
          </cell>
        </row>
        <row r="79917">
          <cell r="O79917" t="str">
            <v/>
          </cell>
        </row>
        <row r="79918">
          <cell r="O79918" t="str">
            <v/>
          </cell>
        </row>
        <row r="79919">
          <cell r="O79919" t="str">
            <v/>
          </cell>
        </row>
        <row r="79920">
          <cell r="O79920" t="str">
            <v/>
          </cell>
        </row>
        <row r="79921">
          <cell r="O79921" t="str">
            <v/>
          </cell>
        </row>
        <row r="79922">
          <cell r="O79922" t="str">
            <v/>
          </cell>
        </row>
        <row r="79923">
          <cell r="O79923" t="str">
            <v/>
          </cell>
        </row>
        <row r="79924">
          <cell r="O79924" t="str">
            <v/>
          </cell>
        </row>
        <row r="79925">
          <cell r="O79925" t="str">
            <v/>
          </cell>
        </row>
        <row r="79926">
          <cell r="O79926" t="str">
            <v/>
          </cell>
        </row>
        <row r="79927">
          <cell r="O79927" t="str">
            <v/>
          </cell>
        </row>
        <row r="79928">
          <cell r="O79928" t="str">
            <v/>
          </cell>
        </row>
        <row r="79929">
          <cell r="O79929" t="str">
            <v/>
          </cell>
        </row>
        <row r="79930">
          <cell r="O79930" t="str">
            <v/>
          </cell>
        </row>
        <row r="79931">
          <cell r="O79931" t="str">
            <v/>
          </cell>
        </row>
        <row r="79932">
          <cell r="O79932" t="str">
            <v/>
          </cell>
        </row>
        <row r="79933">
          <cell r="O79933" t="str">
            <v/>
          </cell>
        </row>
        <row r="79934">
          <cell r="O79934" t="str">
            <v/>
          </cell>
        </row>
        <row r="79935">
          <cell r="O79935" t="str">
            <v/>
          </cell>
        </row>
        <row r="79936">
          <cell r="O79936" t="str">
            <v/>
          </cell>
        </row>
        <row r="79937">
          <cell r="O79937" t="str">
            <v/>
          </cell>
        </row>
        <row r="79938">
          <cell r="O79938" t="str">
            <v/>
          </cell>
        </row>
        <row r="79939">
          <cell r="O79939" t="str">
            <v/>
          </cell>
        </row>
        <row r="79940">
          <cell r="O79940" t="str">
            <v/>
          </cell>
        </row>
        <row r="79941">
          <cell r="O79941" t="str">
            <v/>
          </cell>
        </row>
        <row r="79942">
          <cell r="O79942" t="str">
            <v/>
          </cell>
        </row>
        <row r="79943">
          <cell r="O79943" t="str">
            <v/>
          </cell>
        </row>
        <row r="79944">
          <cell r="O79944" t="str">
            <v/>
          </cell>
        </row>
        <row r="79945">
          <cell r="O79945" t="str">
            <v/>
          </cell>
        </row>
        <row r="79946">
          <cell r="O79946" t="str">
            <v/>
          </cell>
        </row>
        <row r="79947">
          <cell r="O79947" t="str">
            <v/>
          </cell>
        </row>
        <row r="79948">
          <cell r="O79948" t="str">
            <v/>
          </cell>
        </row>
        <row r="79949">
          <cell r="O79949" t="str">
            <v/>
          </cell>
        </row>
        <row r="79950">
          <cell r="O79950" t="str">
            <v/>
          </cell>
        </row>
        <row r="79951">
          <cell r="O79951" t="str">
            <v/>
          </cell>
        </row>
        <row r="79952">
          <cell r="O79952" t="str">
            <v/>
          </cell>
        </row>
        <row r="79953">
          <cell r="O79953" t="str">
            <v/>
          </cell>
        </row>
        <row r="79954">
          <cell r="O79954" t="str">
            <v/>
          </cell>
        </row>
        <row r="79955">
          <cell r="O79955" t="str">
            <v/>
          </cell>
        </row>
        <row r="79956">
          <cell r="O79956" t="str">
            <v/>
          </cell>
        </row>
        <row r="79957">
          <cell r="O79957" t="str">
            <v/>
          </cell>
        </row>
        <row r="79958">
          <cell r="O79958" t="str">
            <v/>
          </cell>
        </row>
        <row r="79959">
          <cell r="O79959" t="str">
            <v/>
          </cell>
        </row>
        <row r="79960">
          <cell r="O79960" t="str">
            <v/>
          </cell>
        </row>
        <row r="79961">
          <cell r="O79961" t="str">
            <v/>
          </cell>
        </row>
        <row r="79962">
          <cell r="O79962" t="str">
            <v/>
          </cell>
        </row>
        <row r="79963">
          <cell r="O79963" t="str">
            <v/>
          </cell>
        </row>
        <row r="79964">
          <cell r="O79964" t="str">
            <v/>
          </cell>
        </row>
        <row r="79965">
          <cell r="O79965" t="str">
            <v/>
          </cell>
        </row>
        <row r="79966">
          <cell r="O79966" t="str">
            <v/>
          </cell>
        </row>
      </sheetData>
      <sheetData sheetId="2">
        <row r="1">
          <cell r="G1" t="str">
            <v>Cuadro</v>
          </cell>
          <cell r="H1" t="str">
            <v>Técnico Superior</v>
          </cell>
          <cell r="I1" t="str">
            <v>Técnico Medio</v>
          </cell>
          <cell r="J1" t="str">
            <v>Técnico Básico</v>
          </cell>
          <cell r="K1" t="str">
            <v>Administrativo</v>
          </cell>
          <cell r="L1" t="str">
            <v>Operario</v>
          </cell>
          <cell r="M1" t="str">
            <v>Servicio</v>
          </cell>
        </row>
        <row r="5">
          <cell r="A5" t="str">
            <v>Médico</v>
          </cell>
        </row>
        <row r="6">
          <cell r="A6" t="str">
            <v>Estomatólogo</v>
          </cell>
        </row>
        <row r="7">
          <cell r="A7" t="str">
            <v>Lic. Enfermería</v>
          </cell>
        </row>
        <row r="8">
          <cell r="A8" t="str">
            <v>Lic. en Tecnología de la Salud</v>
          </cell>
        </row>
        <row r="9">
          <cell r="A9" t="str">
            <v>Otros Licenciados de la Salud</v>
          </cell>
        </row>
        <row r="10">
          <cell r="A10" t="str">
            <v>Psicólogo de la Salud</v>
          </cell>
        </row>
        <row r="12">
          <cell r="A12" t="str">
            <v>Técnico Superior de Ciclo Corto</v>
          </cell>
        </row>
        <row r="13">
          <cell r="A13" t="str">
            <v>Otros Profesionales y Especialidades</v>
          </cell>
        </row>
        <row r="14">
          <cell r="A14" t="str">
            <v>Enfermería</v>
          </cell>
        </row>
        <row r="15">
          <cell r="A15" t="str">
            <v>Técnico Formado Salud</v>
          </cell>
        </row>
        <row r="16">
          <cell r="A16" t="str">
            <v>Técnico No Formado Salud</v>
          </cell>
        </row>
        <row r="17">
          <cell r="A17" t="str">
            <v>Otros No Técnicos</v>
          </cell>
        </row>
      </sheetData>
      <sheetData sheetId="3" refreshError="1"/>
      <sheetData sheetId="4" refreshError="1"/>
      <sheetData sheetId="5">
        <row r="1">
          <cell r="A1" t="str">
            <v>CodUdad</v>
          </cell>
          <cell r="B1" t="str">
            <v>CodMcpio</v>
          </cell>
          <cell r="C1" t="str">
            <v>Abrev</v>
          </cell>
          <cell r="D1" t="str">
            <v>Nombre Unidad RTS</v>
          </cell>
          <cell r="E1" t="str">
            <v>Tipo de Unidad</v>
          </cell>
          <cell r="F1" t="str">
            <v>Municipio</v>
          </cell>
          <cell r="G1" t="str">
            <v>Provincia</v>
          </cell>
          <cell r="H1" t="str">
            <v>Entidad</v>
          </cell>
          <cell r="I1" t="str">
            <v>Orden</v>
          </cell>
        </row>
        <row r="2">
          <cell r="B2" t="str">
            <v>RC</v>
          </cell>
        </row>
        <row r="3">
          <cell r="B3" t="str">
            <v>RC</v>
          </cell>
        </row>
        <row r="4">
          <cell r="B4" t="str">
            <v>RC</v>
          </cell>
        </row>
        <row r="5">
          <cell r="B5" t="str">
            <v>RC</v>
          </cell>
        </row>
        <row r="6">
          <cell r="B6" t="str">
            <v>RC</v>
          </cell>
        </row>
        <row r="7">
          <cell r="B7" t="str">
            <v>CC</v>
          </cell>
        </row>
        <row r="8">
          <cell r="B8" t="str">
            <v>CC</v>
          </cell>
        </row>
        <row r="9">
          <cell r="B9" t="str">
            <v>CC</v>
          </cell>
        </row>
        <row r="10">
          <cell r="B10" t="str">
            <v>CC</v>
          </cell>
        </row>
        <row r="11">
          <cell r="B11" t="str">
            <v>CC</v>
          </cell>
        </row>
        <row r="12">
          <cell r="B12" t="str">
            <v>JI</v>
          </cell>
        </row>
        <row r="13">
          <cell r="B13" t="str">
            <v>JI</v>
          </cell>
        </row>
        <row r="14">
          <cell r="B14" t="str">
            <v>JI</v>
          </cell>
        </row>
        <row r="15">
          <cell r="B15" t="str">
            <v>JI</v>
          </cell>
        </row>
        <row r="16">
          <cell r="B16" t="str">
            <v>JI</v>
          </cell>
        </row>
        <row r="17">
          <cell r="B17" t="str">
            <v>JI</v>
          </cell>
        </row>
        <row r="18">
          <cell r="B18" t="str">
            <v>BY</v>
          </cell>
        </row>
        <row r="19">
          <cell r="B19" t="str">
            <v>BY</v>
          </cell>
        </row>
        <row r="20">
          <cell r="B20" t="str">
            <v>BY</v>
          </cell>
        </row>
        <row r="21">
          <cell r="B21" t="str">
            <v>BY</v>
          </cell>
        </row>
        <row r="22">
          <cell r="B22" t="str">
            <v>BY</v>
          </cell>
        </row>
        <row r="23">
          <cell r="B23" t="str">
            <v>BY</v>
          </cell>
        </row>
        <row r="24">
          <cell r="B24" t="str">
            <v>BY</v>
          </cell>
        </row>
        <row r="25">
          <cell r="B25" t="str">
            <v>BY</v>
          </cell>
        </row>
        <row r="26">
          <cell r="B26" t="str">
            <v>BY</v>
          </cell>
        </row>
        <row r="27">
          <cell r="B27" t="str">
            <v>BY</v>
          </cell>
        </row>
        <row r="28">
          <cell r="B28" t="str">
            <v>BY</v>
          </cell>
        </row>
        <row r="29">
          <cell r="B29" t="str">
            <v>BY</v>
          </cell>
        </row>
        <row r="30">
          <cell r="B30" t="str">
            <v>BY</v>
          </cell>
        </row>
        <row r="31">
          <cell r="B31" t="str">
            <v>BY</v>
          </cell>
        </row>
        <row r="32">
          <cell r="B32" t="str">
            <v>BY</v>
          </cell>
        </row>
        <row r="33">
          <cell r="B33" t="str">
            <v>BY</v>
          </cell>
        </row>
        <row r="34">
          <cell r="B34" t="str">
            <v>BY</v>
          </cell>
        </row>
        <row r="35">
          <cell r="B35" t="str">
            <v>BY</v>
          </cell>
        </row>
        <row r="36">
          <cell r="B36" t="str">
            <v>BY</v>
          </cell>
        </row>
        <row r="37">
          <cell r="B37" t="str">
            <v>BY</v>
          </cell>
        </row>
        <row r="38">
          <cell r="B38" t="str">
            <v>BY</v>
          </cell>
        </row>
        <row r="39">
          <cell r="B39" t="str">
            <v>YR</v>
          </cell>
        </row>
        <row r="40">
          <cell r="B40" t="str">
            <v>YR</v>
          </cell>
        </row>
        <row r="41">
          <cell r="B41" t="str">
            <v>YR</v>
          </cell>
        </row>
        <row r="42">
          <cell r="B42" t="str">
            <v>YR</v>
          </cell>
        </row>
        <row r="43">
          <cell r="B43" t="str">
            <v>YR</v>
          </cell>
        </row>
        <row r="44">
          <cell r="B44" t="str">
            <v>YR</v>
          </cell>
        </row>
        <row r="45">
          <cell r="B45" t="str">
            <v>MZ</v>
          </cell>
        </row>
        <row r="46">
          <cell r="B46" t="str">
            <v>MZ</v>
          </cell>
        </row>
        <row r="47">
          <cell r="B47" t="str">
            <v>MZ</v>
          </cell>
        </row>
        <row r="48">
          <cell r="B48" t="str">
            <v>MZ</v>
          </cell>
        </row>
        <row r="49">
          <cell r="B49" t="str">
            <v>MZ</v>
          </cell>
        </row>
        <row r="50">
          <cell r="B50" t="str">
            <v>MZ</v>
          </cell>
        </row>
        <row r="51">
          <cell r="B51" t="str">
            <v>MZ</v>
          </cell>
        </row>
        <row r="52">
          <cell r="B52" t="str">
            <v>MZ</v>
          </cell>
        </row>
        <row r="53">
          <cell r="B53" t="str">
            <v>MZ</v>
          </cell>
        </row>
        <row r="54">
          <cell r="B54" t="str">
            <v>MZ</v>
          </cell>
        </row>
        <row r="55">
          <cell r="B55" t="str">
            <v>MZ</v>
          </cell>
        </row>
        <row r="56">
          <cell r="B56" t="str">
            <v>MZ</v>
          </cell>
        </row>
        <row r="57">
          <cell r="B57" t="str">
            <v>MZ</v>
          </cell>
        </row>
        <row r="58">
          <cell r="B58" t="str">
            <v>MZ</v>
          </cell>
        </row>
        <row r="59">
          <cell r="B59" t="str">
            <v>MZ</v>
          </cell>
        </row>
        <row r="60">
          <cell r="B60" t="str">
            <v>MZ</v>
          </cell>
        </row>
        <row r="61">
          <cell r="B61" t="str">
            <v>CP</v>
          </cell>
        </row>
        <row r="62">
          <cell r="B62" t="str">
            <v>CP</v>
          </cell>
        </row>
        <row r="63">
          <cell r="B63" t="str">
            <v>CP</v>
          </cell>
        </row>
        <row r="64">
          <cell r="B64" t="str">
            <v>CP</v>
          </cell>
        </row>
        <row r="65">
          <cell r="B65" t="str">
            <v>CP</v>
          </cell>
        </row>
        <row r="66">
          <cell r="B66" t="str">
            <v>CP</v>
          </cell>
        </row>
        <row r="67">
          <cell r="B67" t="str">
            <v>CP</v>
          </cell>
        </row>
        <row r="68">
          <cell r="B68" t="str">
            <v>ML</v>
          </cell>
        </row>
        <row r="69">
          <cell r="B69" t="str">
            <v>ML</v>
          </cell>
        </row>
        <row r="70">
          <cell r="B70" t="str">
            <v>ML</v>
          </cell>
        </row>
        <row r="71">
          <cell r="B71" t="str">
            <v>ML</v>
          </cell>
        </row>
        <row r="72">
          <cell r="B72" t="str">
            <v>ML</v>
          </cell>
        </row>
        <row r="73">
          <cell r="B73" t="str">
            <v>NI</v>
          </cell>
        </row>
        <row r="74">
          <cell r="B74" t="str">
            <v>NI</v>
          </cell>
        </row>
        <row r="75">
          <cell r="B75" t="str">
            <v>NI</v>
          </cell>
        </row>
        <row r="76">
          <cell r="B76" t="str">
            <v>NI</v>
          </cell>
        </row>
        <row r="77">
          <cell r="B77" t="str">
            <v>NI</v>
          </cell>
        </row>
        <row r="78">
          <cell r="B78" t="str">
            <v>NI</v>
          </cell>
        </row>
        <row r="79">
          <cell r="B79" t="str">
            <v>PI</v>
          </cell>
        </row>
        <row r="80">
          <cell r="B80" t="str">
            <v>PI</v>
          </cell>
        </row>
        <row r="81">
          <cell r="B81" t="str">
            <v>PI</v>
          </cell>
        </row>
        <row r="82">
          <cell r="B82" t="str">
            <v>PI</v>
          </cell>
        </row>
        <row r="83">
          <cell r="B83" t="str">
            <v>BM</v>
          </cell>
        </row>
        <row r="84">
          <cell r="B84" t="str">
            <v>BM</v>
          </cell>
        </row>
        <row r="85">
          <cell r="B85" t="str">
            <v>BM</v>
          </cell>
        </row>
        <row r="86">
          <cell r="B86" t="str">
            <v>BM</v>
          </cell>
        </row>
        <row r="87">
          <cell r="B87" t="str">
            <v>BM</v>
          </cell>
        </row>
        <row r="88">
          <cell r="B88" t="str">
            <v>BM</v>
          </cell>
        </row>
        <row r="89">
          <cell r="B89" t="str">
            <v>BA</v>
          </cell>
        </row>
        <row r="90">
          <cell r="B90" t="str">
            <v>BA</v>
          </cell>
        </row>
        <row r="91">
          <cell r="B91" t="str">
            <v>BA</v>
          </cell>
        </row>
        <row r="92">
          <cell r="B92" t="str">
            <v>BA</v>
          </cell>
        </row>
        <row r="93">
          <cell r="B93" t="str">
            <v>GU</v>
          </cell>
        </row>
        <row r="94">
          <cell r="B94" t="str">
            <v>GU</v>
          </cell>
        </row>
        <row r="95">
          <cell r="B95" t="str">
            <v>GU</v>
          </cell>
        </row>
        <row r="96">
          <cell r="B96" t="str">
            <v>GU</v>
          </cell>
        </row>
        <row r="97">
          <cell r="B97" t="str">
            <v>GU</v>
          </cell>
        </row>
        <row r="98">
          <cell r="B98" t="str">
            <v/>
          </cell>
        </row>
        <row r="99">
          <cell r="B99" t="str">
            <v/>
          </cell>
        </row>
        <row r="100">
          <cell r="B100" t="str">
            <v/>
          </cell>
        </row>
        <row r="101">
          <cell r="B101" t="str">
            <v/>
          </cell>
        </row>
        <row r="102">
          <cell r="B102" t="str">
            <v/>
          </cell>
        </row>
        <row r="103">
          <cell r="B103" t="str">
            <v/>
          </cell>
        </row>
        <row r="104">
          <cell r="B104" t="str">
            <v/>
          </cell>
        </row>
        <row r="105">
          <cell r="B105" t="str">
            <v/>
          </cell>
        </row>
        <row r="106">
          <cell r="B106" t="str">
            <v/>
          </cell>
        </row>
        <row r="107">
          <cell r="B107" t="str">
            <v/>
          </cell>
        </row>
        <row r="108">
          <cell r="B108" t="str">
            <v/>
          </cell>
        </row>
        <row r="109">
          <cell r="B109" t="str">
            <v/>
          </cell>
        </row>
        <row r="110">
          <cell r="B110" t="str">
            <v/>
          </cell>
        </row>
        <row r="111">
          <cell r="B111" t="str">
            <v/>
          </cell>
        </row>
        <row r="112">
          <cell r="B112" t="str">
            <v/>
          </cell>
        </row>
        <row r="113">
          <cell r="B113" t="str">
            <v/>
          </cell>
        </row>
        <row r="114">
          <cell r="B114" t="str">
            <v/>
          </cell>
        </row>
        <row r="115">
          <cell r="B115" t="str">
            <v/>
          </cell>
        </row>
        <row r="116">
          <cell r="B116" t="str">
            <v/>
          </cell>
        </row>
        <row r="117">
          <cell r="B117" t="str">
            <v/>
          </cell>
        </row>
        <row r="118">
          <cell r="B118" t="str">
            <v/>
          </cell>
        </row>
        <row r="119">
          <cell r="B119" t="str">
            <v/>
          </cell>
        </row>
        <row r="120">
          <cell r="B120" t="str">
            <v/>
          </cell>
        </row>
        <row r="121">
          <cell r="B121" t="str">
            <v/>
          </cell>
        </row>
        <row r="122">
          <cell r="B122" t="str">
            <v/>
          </cell>
        </row>
        <row r="123">
          <cell r="B123" t="str">
            <v/>
          </cell>
        </row>
        <row r="124">
          <cell r="B124" t="str">
            <v/>
          </cell>
        </row>
        <row r="125">
          <cell r="B125" t="str">
            <v/>
          </cell>
        </row>
        <row r="126">
          <cell r="B126" t="str">
            <v/>
          </cell>
        </row>
        <row r="127">
          <cell r="B127" t="str">
            <v/>
          </cell>
        </row>
        <row r="128">
          <cell r="B128" t="str">
            <v/>
          </cell>
        </row>
        <row r="129">
          <cell r="B129" t="str">
            <v/>
          </cell>
        </row>
        <row r="130">
          <cell r="B130" t="str">
            <v/>
          </cell>
        </row>
        <row r="131">
          <cell r="B131" t="str">
            <v/>
          </cell>
        </row>
        <row r="132">
          <cell r="B132" t="str">
            <v/>
          </cell>
        </row>
        <row r="133">
          <cell r="B133" t="str">
            <v/>
          </cell>
        </row>
        <row r="134">
          <cell r="B134" t="str">
            <v/>
          </cell>
        </row>
        <row r="135">
          <cell r="B135" t="str">
            <v/>
          </cell>
        </row>
        <row r="136">
          <cell r="B136" t="str">
            <v/>
          </cell>
        </row>
        <row r="137">
          <cell r="B137" t="str">
            <v/>
          </cell>
        </row>
        <row r="138">
          <cell r="B138" t="str">
            <v/>
          </cell>
        </row>
        <row r="139">
          <cell r="B139" t="str">
            <v/>
          </cell>
        </row>
        <row r="140">
          <cell r="B140" t="str">
            <v/>
          </cell>
        </row>
        <row r="141">
          <cell r="B141" t="str">
            <v/>
          </cell>
        </row>
        <row r="142">
          <cell r="B142" t="str">
            <v/>
          </cell>
        </row>
        <row r="143">
          <cell r="B143" t="str">
            <v/>
          </cell>
        </row>
        <row r="144">
          <cell r="B144" t="str">
            <v/>
          </cell>
        </row>
        <row r="145">
          <cell r="B145" t="str">
            <v/>
          </cell>
        </row>
        <row r="146">
          <cell r="B146" t="str">
            <v/>
          </cell>
        </row>
        <row r="147">
          <cell r="B147" t="str">
            <v/>
          </cell>
        </row>
        <row r="148">
          <cell r="B148" t="str">
            <v/>
          </cell>
        </row>
        <row r="149">
          <cell r="B149" t="str">
            <v/>
          </cell>
        </row>
        <row r="150">
          <cell r="B150" t="str">
            <v/>
          </cell>
        </row>
        <row r="151">
          <cell r="B151" t="str">
            <v/>
          </cell>
        </row>
        <row r="152">
          <cell r="B152" t="str">
            <v/>
          </cell>
        </row>
        <row r="153">
          <cell r="B153" t="str">
            <v/>
          </cell>
        </row>
        <row r="154">
          <cell r="B154" t="str">
            <v/>
          </cell>
        </row>
        <row r="155">
          <cell r="B155" t="str">
            <v/>
          </cell>
        </row>
        <row r="156">
          <cell r="B156" t="str">
            <v/>
          </cell>
        </row>
        <row r="157">
          <cell r="B157" t="str">
            <v/>
          </cell>
        </row>
        <row r="158">
          <cell r="B158" t="str">
            <v/>
          </cell>
        </row>
        <row r="159">
          <cell r="B159" t="str">
            <v/>
          </cell>
        </row>
        <row r="160">
          <cell r="B160" t="str">
            <v/>
          </cell>
        </row>
        <row r="161">
          <cell r="B161" t="str">
            <v/>
          </cell>
        </row>
        <row r="162">
          <cell r="B162" t="str">
            <v/>
          </cell>
        </row>
        <row r="163">
          <cell r="B163" t="str">
            <v/>
          </cell>
        </row>
        <row r="164">
          <cell r="B164" t="str">
            <v/>
          </cell>
        </row>
        <row r="165">
          <cell r="B165" t="str">
            <v/>
          </cell>
        </row>
        <row r="166">
          <cell r="B166" t="str">
            <v/>
          </cell>
        </row>
        <row r="167">
          <cell r="B167" t="str">
            <v/>
          </cell>
        </row>
        <row r="168">
          <cell r="B168" t="str">
            <v/>
          </cell>
        </row>
        <row r="169">
          <cell r="B169" t="str">
            <v/>
          </cell>
        </row>
        <row r="170">
          <cell r="B170" t="str">
            <v/>
          </cell>
        </row>
        <row r="171">
          <cell r="B171" t="str">
            <v/>
          </cell>
        </row>
        <row r="172">
          <cell r="B172" t="str">
            <v/>
          </cell>
        </row>
        <row r="173">
          <cell r="B173" t="str">
            <v/>
          </cell>
        </row>
        <row r="174">
          <cell r="B174" t="str">
            <v/>
          </cell>
        </row>
        <row r="175">
          <cell r="B175" t="str">
            <v/>
          </cell>
        </row>
        <row r="176">
          <cell r="B176" t="str">
            <v/>
          </cell>
        </row>
        <row r="177">
          <cell r="B177" t="str">
            <v/>
          </cell>
        </row>
        <row r="178">
          <cell r="B178" t="str">
            <v/>
          </cell>
        </row>
        <row r="179">
          <cell r="B179" t="str">
            <v/>
          </cell>
        </row>
        <row r="180">
          <cell r="B180" t="str">
            <v/>
          </cell>
        </row>
        <row r="181">
          <cell r="B181" t="str">
            <v/>
          </cell>
        </row>
        <row r="182">
          <cell r="B182" t="str">
            <v/>
          </cell>
        </row>
        <row r="183">
          <cell r="B183" t="str">
            <v/>
          </cell>
        </row>
        <row r="184">
          <cell r="B184" t="str">
            <v/>
          </cell>
        </row>
        <row r="185">
          <cell r="B185" t="str">
            <v/>
          </cell>
        </row>
        <row r="186">
          <cell r="B186" t="str">
            <v/>
          </cell>
        </row>
        <row r="187">
          <cell r="B187" t="str">
            <v/>
          </cell>
        </row>
        <row r="188">
          <cell r="B188" t="str">
            <v/>
          </cell>
        </row>
        <row r="189">
          <cell r="B189" t="str">
            <v/>
          </cell>
        </row>
        <row r="190">
          <cell r="B190" t="str">
            <v/>
          </cell>
        </row>
        <row r="191">
          <cell r="B191" t="str">
            <v/>
          </cell>
        </row>
        <row r="192">
          <cell r="B192" t="str">
            <v/>
          </cell>
        </row>
        <row r="193">
          <cell r="B193" t="str">
            <v/>
          </cell>
        </row>
        <row r="194">
          <cell r="B194" t="str">
            <v/>
          </cell>
        </row>
        <row r="195">
          <cell r="B195" t="str">
            <v/>
          </cell>
        </row>
        <row r="196">
          <cell r="B196" t="str">
            <v/>
          </cell>
        </row>
        <row r="197">
          <cell r="B197" t="str">
            <v/>
          </cell>
        </row>
        <row r="198">
          <cell r="B198" t="str">
            <v/>
          </cell>
        </row>
        <row r="199">
          <cell r="B199" t="str">
            <v/>
          </cell>
        </row>
        <row r="200">
          <cell r="B200" t="str">
            <v/>
          </cell>
        </row>
        <row r="201">
          <cell r="B201" t="str">
            <v/>
          </cell>
        </row>
        <row r="202">
          <cell r="B202" t="str">
            <v/>
          </cell>
        </row>
        <row r="203">
          <cell r="B203" t="str">
            <v/>
          </cell>
        </row>
        <row r="204">
          <cell r="B204" t="str">
            <v/>
          </cell>
        </row>
        <row r="205">
          <cell r="B205" t="str">
            <v/>
          </cell>
        </row>
        <row r="206">
          <cell r="B206" t="str">
            <v/>
          </cell>
        </row>
        <row r="207">
          <cell r="B207" t="str">
            <v/>
          </cell>
        </row>
        <row r="208">
          <cell r="B208" t="str">
            <v/>
          </cell>
        </row>
        <row r="209">
          <cell r="B209" t="str">
            <v/>
          </cell>
        </row>
        <row r="210">
          <cell r="B210" t="str">
            <v/>
          </cell>
        </row>
        <row r="211">
          <cell r="B211" t="str">
            <v/>
          </cell>
        </row>
        <row r="212">
          <cell r="B212" t="str">
            <v/>
          </cell>
        </row>
        <row r="213">
          <cell r="B213" t="str">
            <v/>
          </cell>
        </row>
        <row r="214">
          <cell r="B214" t="str">
            <v/>
          </cell>
        </row>
        <row r="215">
          <cell r="B215" t="str">
            <v/>
          </cell>
        </row>
        <row r="216">
          <cell r="B216" t="str">
            <v/>
          </cell>
        </row>
        <row r="217">
          <cell r="B217" t="str">
            <v/>
          </cell>
        </row>
        <row r="218">
          <cell r="B218" t="str">
            <v/>
          </cell>
        </row>
        <row r="219">
          <cell r="B219" t="str">
            <v/>
          </cell>
        </row>
        <row r="220">
          <cell r="B220" t="str">
            <v/>
          </cell>
        </row>
        <row r="221">
          <cell r="B221" t="str">
            <v/>
          </cell>
        </row>
        <row r="222">
          <cell r="B222" t="str">
            <v/>
          </cell>
        </row>
        <row r="223">
          <cell r="B223" t="str">
            <v/>
          </cell>
        </row>
        <row r="224">
          <cell r="B224" t="str">
            <v/>
          </cell>
        </row>
        <row r="225">
          <cell r="B225" t="str">
            <v/>
          </cell>
        </row>
        <row r="226">
          <cell r="B226" t="str">
            <v/>
          </cell>
        </row>
        <row r="227">
          <cell r="B227" t="str">
            <v/>
          </cell>
        </row>
        <row r="228">
          <cell r="B228" t="str">
            <v/>
          </cell>
        </row>
        <row r="229">
          <cell r="B229" t="str">
            <v/>
          </cell>
        </row>
        <row r="230">
          <cell r="B230" t="str">
            <v/>
          </cell>
        </row>
        <row r="231">
          <cell r="B231" t="str">
            <v/>
          </cell>
        </row>
        <row r="232">
          <cell r="B232" t="str">
            <v/>
          </cell>
        </row>
        <row r="233">
          <cell r="B233" t="str">
            <v/>
          </cell>
        </row>
        <row r="234">
          <cell r="B234" t="str">
            <v/>
          </cell>
        </row>
        <row r="235">
          <cell r="B235" t="str">
            <v/>
          </cell>
        </row>
        <row r="236">
          <cell r="B236" t="str">
            <v/>
          </cell>
        </row>
        <row r="237">
          <cell r="B237" t="str">
            <v/>
          </cell>
        </row>
        <row r="238">
          <cell r="B238" t="str">
            <v/>
          </cell>
        </row>
        <row r="239">
          <cell r="B239" t="str">
            <v/>
          </cell>
        </row>
        <row r="240">
          <cell r="B240" t="str">
            <v/>
          </cell>
        </row>
        <row r="241">
          <cell r="B241" t="str">
            <v/>
          </cell>
        </row>
        <row r="242">
          <cell r="B242" t="str">
            <v/>
          </cell>
        </row>
        <row r="243">
          <cell r="B243" t="str">
            <v/>
          </cell>
        </row>
        <row r="244">
          <cell r="B244" t="str">
            <v/>
          </cell>
        </row>
        <row r="245">
          <cell r="B245" t="str">
            <v/>
          </cell>
        </row>
        <row r="246">
          <cell r="B246" t="str">
            <v/>
          </cell>
        </row>
        <row r="247">
          <cell r="B247" t="str">
            <v/>
          </cell>
        </row>
        <row r="248">
          <cell r="B248" t="str">
            <v/>
          </cell>
        </row>
        <row r="249">
          <cell r="B249" t="str">
            <v/>
          </cell>
        </row>
        <row r="250">
          <cell r="B250" t="str">
            <v/>
          </cell>
        </row>
        <row r="251">
          <cell r="B251" t="str">
            <v/>
          </cell>
        </row>
        <row r="252">
          <cell r="B252" t="str">
            <v/>
          </cell>
        </row>
        <row r="253">
          <cell r="B253" t="str">
            <v/>
          </cell>
        </row>
        <row r="254">
          <cell r="B254" t="str">
            <v/>
          </cell>
        </row>
        <row r="255">
          <cell r="B255" t="str">
            <v/>
          </cell>
        </row>
        <row r="256">
          <cell r="B256" t="str">
            <v/>
          </cell>
        </row>
        <row r="257">
          <cell r="B257" t="str">
            <v/>
          </cell>
        </row>
        <row r="258">
          <cell r="B258" t="str">
            <v/>
          </cell>
        </row>
        <row r="259">
          <cell r="B259" t="str">
            <v/>
          </cell>
        </row>
        <row r="260">
          <cell r="B260" t="str">
            <v/>
          </cell>
        </row>
        <row r="261">
          <cell r="B261" t="str">
            <v/>
          </cell>
        </row>
        <row r="262">
          <cell r="B262" t="str">
            <v/>
          </cell>
        </row>
        <row r="263">
          <cell r="B263" t="str">
            <v/>
          </cell>
        </row>
        <row r="264">
          <cell r="B264" t="str">
            <v/>
          </cell>
        </row>
        <row r="265">
          <cell r="B265" t="str">
            <v/>
          </cell>
        </row>
        <row r="266">
          <cell r="B266" t="str">
            <v/>
          </cell>
        </row>
        <row r="267">
          <cell r="B267" t="str">
            <v/>
          </cell>
        </row>
        <row r="268">
          <cell r="B268" t="str">
            <v/>
          </cell>
        </row>
        <row r="269">
          <cell r="B269" t="str">
            <v/>
          </cell>
        </row>
        <row r="270">
          <cell r="B270" t="str">
            <v/>
          </cell>
        </row>
        <row r="271">
          <cell r="B271" t="str">
            <v/>
          </cell>
        </row>
        <row r="272">
          <cell r="B272" t="str">
            <v/>
          </cell>
        </row>
        <row r="273">
          <cell r="B273" t="str">
            <v/>
          </cell>
        </row>
        <row r="274">
          <cell r="B274" t="str">
            <v/>
          </cell>
        </row>
        <row r="275">
          <cell r="B275" t="str">
            <v/>
          </cell>
        </row>
        <row r="276">
          <cell r="B276" t="str">
            <v/>
          </cell>
        </row>
        <row r="277">
          <cell r="B277" t="str">
            <v/>
          </cell>
        </row>
        <row r="278">
          <cell r="B278" t="str">
            <v/>
          </cell>
        </row>
        <row r="279">
          <cell r="B279" t="str">
            <v/>
          </cell>
        </row>
        <row r="280">
          <cell r="B280" t="str">
            <v/>
          </cell>
        </row>
        <row r="281">
          <cell r="B281" t="str">
            <v/>
          </cell>
        </row>
        <row r="282">
          <cell r="B282" t="str">
            <v/>
          </cell>
        </row>
        <row r="283">
          <cell r="B283" t="str">
            <v/>
          </cell>
        </row>
        <row r="284">
          <cell r="B284" t="str">
            <v/>
          </cell>
        </row>
        <row r="285">
          <cell r="B285" t="str">
            <v/>
          </cell>
        </row>
        <row r="286">
          <cell r="B286" t="str">
            <v/>
          </cell>
        </row>
        <row r="287">
          <cell r="B287" t="str">
            <v/>
          </cell>
        </row>
        <row r="288">
          <cell r="B288" t="str">
            <v/>
          </cell>
        </row>
        <row r="289">
          <cell r="B289" t="str">
            <v/>
          </cell>
        </row>
        <row r="290">
          <cell r="B290" t="str">
            <v/>
          </cell>
        </row>
        <row r="291">
          <cell r="B291" t="str">
            <v/>
          </cell>
        </row>
        <row r="292">
          <cell r="B292" t="str">
            <v/>
          </cell>
        </row>
        <row r="293">
          <cell r="B293" t="str">
            <v/>
          </cell>
        </row>
        <row r="294">
          <cell r="B294" t="str">
            <v/>
          </cell>
        </row>
        <row r="295">
          <cell r="B295" t="str">
            <v/>
          </cell>
        </row>
        <row r="296">
          <cell r="B296" t="str">
            <v/>
          </cell>
        </row>
        <row r="297">
          <cell r="B297" t="str">
            <v/>
          </cell>
        </row>
        <row r="298">
          <cell r="B298" t="str">
            <v/>
          </cell>
        </row>
        <row r="299">
          <cell r="B299" t="str">
            <v/>
          </cell>
        </row>
        <row r="300">
          <cell r="B300" t="str">
            <v/>
          </cell>
        </row>
        <row r="301">
          <cell r="B301" t="str">
            <v/>
          </cell>
        </row>
        <row r="302">
          <cell r="B302" t="str">
            <v/>
          </cell>
        </row>
        <row r="303">
          <cell r="B303" t="str">
            <v/>
          </cell>
        </row>
        <row r="304">
          <cell r="B304" t="str">
            <v/>
          </cell>
        </row>
        <row r="305">
          <cell r="B305" t="str">
            <v/>
          </cell>
        </row>
        <row r="306">
          <cell r="B306" t="str">
            <v/>
          </cell>
        </row>
        <row r="307">
          <cell r="B307" t="str">
            <v/>
          </cell>
        </row>
        <row r="308">
          <cell r="B308" t="str">
            <v/>
          </cell>
        </row>
        <row r="309">
          <cell r="B309" t="str">
            <v/>
          </cell>
        </row>
        <row r="310">
          <cell r="B310" t="str">
            <v/>
          </cell>
        </row>
        <row r="311">
          <cell r="B311" t="str">
            <v/>
          </cell>
        </row>
        <row r="312">
          <cell r="B312" t="str">
            <v/>
          </cell>
        </row>
        <row r="313">
          <cell r="B313" t="str">
            <v/>
          </cell>
        </row>
        <row r="314">
          <cell r="B314" t="str">
            <v/>
          </cell>
        </row>
        <row r="315">
          <cell r="B315" t="str">
            <v/>
          </cell>
        </row>
        <row r="316">
          <cell r="B316" t="str">
            <v/>
          </cell>
        </row>
        <row r="317">
          <cell r="B317" t="str">
            <v/>
          </cell>
        </row>
        <row r="318">
          <cell r="B318" t="str">
            <v/>
          </cell>
        </row>
        <row r="319">
          <cell r="B319" t="str">
            <v/>
          </cell>
        </row>
        <row r="320">
          <cell r="B320" t="str">
            <v/>
          </cell>
        </row>
        <row r="321">
          <cell r="B321" t="str">
            <v/>
          </cell>
        </row>
        <row r="322">
          <cell r="B322" t="str">
            <v/>
          </cell>
        </row>
        <row r="323">
          <cell r="B323" t="str">
            <v/>
          </cell>
        </row>
        <row r="324">
          <cell r="B324" t="str">
            <v/>
          </cell>
        </row>
        <row r="325">
          <cell r="B325" t="str">
            <v/>
          </cell>
        </row>
        <row r="326">
          <cell r="B326" t="str">
            <v/>
          </cell>
        </row>
        <row r="327">
          <cell r="B327" t="str">
            <v/>
          </cell>
        </row>
        <row r="328">
          <cell r="B328" t="str">
            <v/>
          </cell>
        </row>
        <row r="329">
          <cell r="B329" t="str">
            <v/>
          </cell>
        </row>
        <row r="330">
          <cell r="B330" t="str">
            <v/>
          </cell>
        </row>
        <row r="331">
          <cell r="B331" t="str">
            <v/>
          </cell>
        </row>
        <row r="332">
          <cell r="B332" t="str">
            <v/>
          </cell>
        </row>
        <row r="333">
          <cell r="B333" t="str">
            <v/>
          </cell>
        </row>
        <row r="334">
          <cell r="B334" t="str">
            <v/>
          </cell>
        </row>
        <row r="335">
          <cell r="B335" t="str">
            <v/>
          </cell>
        </row>
        <row r="336">
          <cell r="B336" t="str">
            <v/>
          </cell>
        </row>
        <row r="337">
          <cell r="B337" t="str">
            <v/>
          </cell>
        </row>
        <row r="338">
          <cell r="B338" t="str">
            <v/>
          </cell>
        </row>
        <row r="339">
          <cell r="B339" t="str">
            <v/>
          </cell>
        </row>
        <row r="340">
          <cell r="B340" t="str">
            <v/>
          </cell>
        </row>
        <row r="341">
          <cell r="B341" t="str">
            <v/>
          </cell>
        </row>
        <row r="342">
          <cell r="B342" t="str">
            <v/>
          </cell>
        </row>
        <row r="343">
          <cell r="B343" t="str">
            <v/>
          </cell>
        </row>
        <row r="344">
          <cell r="B344" t="str">
            <v/>
          </cell>
        </row>
        <row r="345">
          <cell r="B345" t="str">
            <v/>
          </cell>
        </row>
        <row r="346">
          <cell r="B346" t="str">
            <v/>
          </cell>
        </row>
        <row r="347">
          <cell r="B347" t="str">
            <v/>
          </cell>
        </row>
        <row r="348">
          <cell r="B348" t="str">
            <v/>
          </cell>
        </row>
        <row r="349">
          <cell r="B349" t="str">
            <v/>
          </cell>
        </row>
        <row r="350">
          <cell r="B350" t="str">
            <v/>
          </cell>
        </row>
        <row r="351">
          <cell r="B351" t="str">
            <v/>
          </cell>
        </row>
        <row r="352">
          <cell r="B352" t="str">
            <v/>
          </cell>
        </row>
        <row r="353">
          <cell r="B353" t="str">
            <v/>
          </cell>
        </row>
        <row r="354">
          <cell r="B354" t="str">
            <v/>
          </cell>
        </row>
        <row r="355">
          <cell r="B355" t="str">
            <v/>
          </cell>
        </row>
        <row r="356">
          <cell r="B356" t="str">
            <v/>
          </cell>
        </row>
        <row r="357">
          <cell r="B357" t="str">
            <v/>
          </cell>
        </row>
        <row r="358">
          <cell r="B358" t="str">
            <v/>
          </cell>
        </row>
        <row r="359">
          <cell r="B359" t="str">
            <v/>
          </cell>
        </row>
        <row r="360">
          <cell r="B360" t="str">
            <v/>
          </cell>
        </row>
        <row r="361">
          <cell r="B361" t="str">
            <v/>
          </cell>
        </row>
        <row r="362">
          <cell r="B362" t="str">
            <v/>
          </cell>
        </row>
        <row r="363">
          <cell r="B363" t="str">
            <v/>
          </cell>
        </row>
        <row r="364">
          <cell r="B364" t="str">
            <v/>
          </cell>
        </row>
        <row r="365">
          <cell r="B365" t="str">
            <v/>
          </cell>
        </row>
        <row r="366">
          <cell r="B366" t="str">
            <v/>
          </cell>
        </row>
        <row r="367">
          <cell r="B367" t="str">
            <v/>
          </cell>
        </row>
        <row r="368">
          <cell r="B368" t="str">
            <v/>
          </cell>
        </row>
        <row r="369">
          <cell r="B369" t="str">
            <v/>
          </cell>
        </row>
        <row r="370">
          <cell r="B370" t="str">
            <v/>
          </cell>
        </row>
        <row r="371">
          <cell r="B371" t="str">
            <v/>
          </cell>
        </row>
        <row r="372">
          <cell r="B372" t="str">
            <v/>
          </cell>
        </row>
        <row r="373">
          <cell r="B373" t="str">
            <v/>
          </cell>
        </row>
        <row r="374">
          <cell r="B374" t="str">
            <v/>
          </cell>
        </row>
        <row r="375">
          <cell r="B375" t="str">
            <v/>
          </cell>
        </row>
        <row r="376">
          <cell r="B376" t="str">
            <v/>
          </cell>
        </row>
        <row r="377">
          <cell r="B377" t="str">
            <v/>
          </cell>
        </row>
        <row r="378">
          <cell r="B378" t="str">
            <v/>
          </cell>
        </row>
        <row r="379">
          <cell r="B379" t="str">
            <v/>
          </cell>
        </row>
        <row r="380">
          <cell r="B380" t="str">
            <v/>
          </cell>
        </row>
        <row r="381">
          <cell r="B381" t="str">
            <v/>
          </cell>
        </row>
        <row r="382">
          <cell r="B382" t="str">
            <v/>
          </cell>
        </row>
        <row r="383">
          <cell r="B383" t="str">
            <v/>
          </cell>
        </row>
        <row r="384">
          <cell r="B384" t="str">
            <v/>
          </cell>
        </row>
        <row r="385">
          <cell r="B385" t="str">
            <v/>
          </cell>
        </row>
        <row r="386">
          <cell r="B386" t="str">
            <v/>
          </cell>
        </row>
        <row r="387">
          <cell r="B387" t="str">
            <v/>
          </cell>
        </row>
        <row r="388">
          <cell r="B388" t="str">
            <v/>
          </cell>
        </row>
        <row r="389">
          <cell r="B389" t="str">
            <v/>
          </cell>
        </row>
        <row r="390">
          <cell r="B390" t="str">
            <v/>
          </cell>
        </row>
        <row r="391">
          <cell r="B391" t="str">
            <v/>
          </cell>
        </row>
        <row r="392">
          <cell r="B392" t="str">
            <v/>
          </cell>
        </row>
        <row r="393">
          <cell r="B393" t="str">
            <v/>
          </cell>
        </row>
        <row r="394">
          <cell r="B394" t="str">
            <v/>
          </cell>
        </row>
        <row r="395">
          <cell r="B395" t="str">
            <v/>
          </cell>
        </row>
        <row r="396">
          <cell r="B396" t="str">
            <v/>
          </cell>
        </row>
        <row r="397">
          <cell r="B397" t="str">
            <v/>
          </cell>
        </row>
        <row r="398">
          <cell r="B398" t="str">
            <v/>
          </cell>
        </row>
        <row r="399">
          <cell r="B399" t="str">
            <v/>
          </cell>
        </row>
        <row r="400">
          <cell r="B400" t="str">
            <v/>
          </cell>
        </row>
        <row r="401">
          <cell r="B401" t="str">
            <v/>
          </cell>
        </row>
        <row r="402">
          <cell r="B402" t="str">
            <v/>
          </cell>
        </row>
        <row r="403">
          <cell r="B403" t="str">
            <v/>
          </cell>
        </row>
        <row r="404">
          <cell r="B404" t="str">
            <v/>
          </cell>
        </row>
        <row r="405">
          <cell r="B405" t="str">
            <v/>
          </cell>
        </row>
        <row r="406">
          <cell r="B406" t="str">
            <v/>
          </cell>
        </row>
        <row r="407">
          <cell r="B407" t="str">
            <v/>
          </cell>
        </row>
        <row r="408">
          <cell r="B408" t="str">
            <v/>
          </cell>
        </row>
        <row r="409">
          <cell r="B409" t="str">
            <v/>
          </cell>
        </row>
        <row r="410">
          <cell r="B410" t="str">
            <v/>
          </cell>
        </row>
        <row r="411">
          <cell r="B411" t="str">
            <v/>
          </cell>
        </row>
        <row r="412">
          <cell r="B412" t="str">
            <v/>
          </cell>
        </row>
        <row r="413">
          <cell r="B413" t="str">
            <v/>
          </cell>
        </row>
        <row r="414">
          <cell r="B414" t="str">
            <v/>
          </cell>
        </row>
        <row r="415">
          <cell r="B415" t="str">
            <v/>
          </cell>
        </row>
        <row r="416">
          <cell r="B416" t="str">
            <v/>
          </cell>
        </row>
        <row r="417">
          <cell r="B417" t="str">
            <v/>
          </cell>
        </row>
        <row r="418">
          <cell r="B418" t="str">
            <v/>
          </cell>
        </row>
        <row r="419">
          <cell r="B419" t="str">
            <v/>
          </cell>
        </row>
        <row r="420">
          <cell r="B420" t="str">
            <v/>
          </cell>
        </row>
        <row r="421">
          <cell r="B421" t="str">
            <v/>
          </cell>
        </row>
        <row r="422">
          <cell r="B422" t="str">
            <v/>
          </cell>
        </row>
        <row r="423">
          <cell r="B423" t="str">
            <v/>
          </cell>
        </row>
        <row r="424">
          <cell r="B424" t="str">
            <v/>
          </cell>
        </row>
        <row r="425">
          <cell r="B425" t="str">
            <v/>
          </cell>
        </row>
        <row r="426">
          <cell r="B426" t="str">
            <v/>
          </cell>
        </row>
        <row r="427">
          <cell r="B427" t="str">
            <v/>
          </cell>
        </row>
        <row r="428">
          <cell r="B428" t="str">
            <v/>
          </cell>
        </row>
        <row r="429">
          <cell r="B429" t="str">
            <v/>
          </cell>
        </row>
        <row r="430">
          <cell r="B430" t="str">
            <v/>
          </cell>
        </row>
        <row r="431">
          <cell r="B431" t="str">
            <v/>
          </cell>
        </row>
        <row r="432">
          <cell r="B432" t="str">
            <v/>
          </cell>
        </row>
        <row r="433">
          <cell r="B433" t="str">
            <v/>
          </cell>
        </row>
        <row r="434">
          <cell r="B434" t="str">
            <v/>
          </cell>
        </row>
        <row r="435">
          <cell r="B435" t="str">
            <v/>
          </cell>
        </row>
        <row r="436">
          <cell r="B436" t="str">
            <v/>
          </cell>
        </row>
        <row r="437">
          <cell r="B437" t="str">
            <v/>
          </cell>
        </row>
        <row r="438">
          <cell r="B438" t="str">
            <v/>
          </cell>
        </row>
        <row r="439">
          <cell r="B439" t="str">
            <v/>
          </cell>
        </row>
        <row r="440">
          <cell r="B440" t="str">
            <v/>
          </cell>
        </row>
        <row r="441">
          <cell r="B441" t="str">
            <v/>
          </cell>
        </row>
        <row r="442">
          <cell r="B442" t="str">
            <v/>
          </cell>
        </row>
        <row r="443">
          <cell r="B443" t="str">
            <v/>
          </cell>
        </row>
        <row r="444">
          <cell r="B444" t="str">
            <v/>
          </cell>
        </row>
        <row r="445">
          <cell r="B445" t="str">
            <v/>
          </cell>
        </row>
        <row r="446">
          <cell r="B446" t="str">
            <v/>
          </cell>
        </row>
        <row r="447">
          <cell r="B447" t="str">
            <v/>
          </cell>
        </row>
        <row r="448">
          <cell r="B448" t="str">
            <v/>
          </cell>
        </row>
        <row r="449">
          <cell r="B449" t="str">
            <v/>
          </cell>
        </row>
        <row r="450">
          <cell r="B450" t="str">
            <v/>
          </cell>
        </row>
        <row r="451">
          <cell r="B451" t="str">
            <v/>
          </cell>
        </row>
        <row r="452">
          <cell r="B452" t="str">
            <v/>
          </cell>
        </row>
        <row r="453">
          <cell r="B453" t="str">
            <v/>
          </cell>
        </row>
        <row r="454">
          <cell r="B454" t="str">
            <v/>
          </cell>
        </row>
        <row r="455">
          <cell r="B455" t="str">
            <v/>
          </cell>
        </row>
        <row r="456">
          <cell r="B456" t="str">
            <v/>
          </cell>
        </row>
        <row r="457">
          <cell r="B457" t="str">
            <v/>
          </cell>
        </row>
        <row r="458">
          <cell r="B458" t="str">
            <v/>
          </cell>
        </row>
        <row r="459">
          <cell r="B459" t="str">
            <v/>
          </cell>
        </row>
        <row r="460">
          <cell r="B460" t="str">
            <v/>
          </cell>
        </row>
        <row r="461">
          <cell r="B461" t="str">
            <v/>
          </cell>
        </row>
        <row r="462">
          <cell r="B462" t="str">
            <v/>
          </cell>
        </row>
        <row r="463">
          <cell r="B463" t="str">
            <v/>
          </cell>
        </row>
        <row r="464">
          <cell r="B464" t="str">
            <v/>
          </cell>
        </row>
        <row r="465">
          <cell r="B465" t="str">
            <v/>
          </cell>
        </row>
        <row r="466">
          <cell r="B466" t="str">
            <v/>
          </cell>
        </row>
        <row r="467">
          <cell r="B467" t="str">
            <v/>
          </cell>
        </row>
        <row r="468">
          <cell r="B468" t="str">
            <v/>
          </cell>
        </row>
        <row r="469">
          <cell r="B469" t="str">
            <v/>
          </cell>
        </row>
        <row r="470">
          <cell r="B470" t="str">
            <v/>
          </cell>
        </row>
        <row r="471">
          <cell r="B471" t="str">
            <v/>
          </cell>
        </row>
        <row r="472">
          <cell r="B472" t="str">
            <v/>
          </cell>
        </row>
        <row r="473">
          <cell r="B473" t="str">
            <v/>
          </cell>
        </row>
        <row r="474">
          <cell r="B474" t="str">
            <v/>
          </cell>
        </row>
        <row r="475">
          <cell r="B475" t="str">
            <v/>
          </cell>
        </row>
        <row r="476">
          <cell r="B476" t="str">
            <v/>
          </cell>
        </row>
        <row r="477">
          <cell r="B477" t="str">
            <v/>
          </cell>
        </row>
        <row r="478">
          <cell r="B478" t="str">
            <v/>
          </cell>
        </row>
        <row r="479">
          <cell r="B479" t="str">
            <v/>
          </cell>
        </row>
        <row r="480">
          <cell r="B480" t="str">
            <v/>
          </cell>
        </row>
        <row r="481">
          <cell r="B481" t="str">
            <v/>
          </cell>
        </row>
        <row r="482">
          <cell r="B482" t="str">
            <v/>
          </cell>
        </row>
        <row r="483">
          <cell r="B483" t="str">
            <v/>
          </cell>
        </row>
        <row r="484">
          <cell r="B484" t="str">
            <v/>
          </cell>
        </row>
        <row r="485">
          <cell r="B485" t="str">
            <v/>
          </cell>
        </row>
        <row r="486">
          <cell r="B486" t="str">
            <v/>
          </cell>
        </row>
        <row r="487">
          <cell r="B487" t="str">
            <v/>
          </cell>
        </row>
        <row r="488">
          <cell r="B488" t="str">
            <v/>
          </cell>
        </row>
        <row r="489">
          <cell r="B489" t="str">
            <v/>
          </cell>
        </row>
        <row r="490">
          <cell r="B490" t="str">
            <v/>
          </cell>
        </row>
        <row r="491">
          <cell r="B491" t="str">
            <v/>
          </cell>
        </row>
        <row r="492">
          <cell r="B492" t="str">
            <v/>
          </cell>
        </row>
        <row r="493">
          <cell r="B493" t="str">
            <v/>
          </cell>
        </row>
        <row r="494">
          <cell r="B494" t="str">
            <v/>
          </cell>
        </row>
        <row r="495">
          <cell r="B495" t="str">
            <v/>
          </cell>
        </row>
        <row r="496">
          <cell r="B496" t="str">
            <v/>
          </cell>
        </row>
        <row r="497">
          <cell r="B497" t="str">
            <v/>
          </cell>
        </row>
        <row r="498">
          <cell r="B498" t="str">
            <v/>
          </cell>
        </row>
        <row r="499">
          <cell r="B499" t="str">
            <v/>
          </cell>
        </row>
        <row r="500">
          <cell r="B500" t="str">
            <v/>
          </cell>
        </row>
        <row r="501">
          <cell r="B501" t="str">
            <v/>
          </cell>
        </row>
        <row r="502">
          <cell r="B502" t="str">
            <v/>
          </cell>
        </row>
        <row r="503">
          <cell r="B503" t="str">
            <v/>
          </cell>
        </row>
        <row r="504">
          <cell r="B504" t="str">
            <v/>
          </cell>
        </row>
        <row r="505">
          <cell r="B505" t="str">
            <v/>
          </cell>
        </row>
        <row r="506">
          <cell r="B506" t="str">
            <v/>
          </cell>
        </row>
        <row r="507">
          <cell r="B507" t="str">
            <v/>
          </cell>
        </row>
        <row r="508">
          <cell r="B508" t="str">
            <v/>
          </cell>
        </row>
        <row r="509">
          <cell r="B509" t="str">
            <v/>
          </cell>
        </row>
        <row r="510">
          <cell r="B510" t="str">
            <v/>
          </cell>
        </row>
        <row r="511">
          <cell r="B511" t="str">
            <v/>
          </cell>
        </row>
        <row r="512">
          <cell r="B512" t="str">
            <v/>
          </cell>
        </row>
        <row r="513">
          <cell r="B513" t="str">
            <v/>
          </cell>
        </row>
        <row r="514">
          <cell r="B514" t="str">
            <v/>
          </cell>
        </row>
        <row r="515">
          <cell r="B515" t="str">
            <v/>
          </cell>
        </row>
        <row r="516">
          <cell r="B516" t="str">
            <v/>
          </cell>
        </row>
        <row r="517">
          <cell r="B517" t="str">
            <v/>
          </cell>
        </row>
        <row r="518">
          <cell r="B518" t="str">
            <v/>
          </cell>
        </row>
        <row r="519">
          <cell r="B519" t="str">
            <v/>
          </cell>
        </row>
        <row r="520">
          <cell r="B520" t="str">
            <v/>
          </cell>
        </row>
        <row r="521">
          <cell r="B521" t="str">
            <v/>
          </cell>
        </row>
        <row r="522">
          <cell r="B522" t="str">
            <v/>
          </cell>
        </row>
        <row r="523">
          <cell r="B523" t="str">
            <v/>
          </cell>
        </row>
        <row r="524">
          <cell r="B524" t="str">
            <v/>
          </cell>
        </row>
        <row r="525">
          <cell r="B525" t="str">
            <v/>
          </cell>
        </row>
        <row r="526">
          <cell r="B526" t="str">
            <v/>
          </cell>
        </row>
        <row r="527">
          <cell r="B527" t="str">
            <v/>
          </cell>
        </row>
        <row r="528">
          <cell r="B528" t="str">
            <v/>
          </cell>
        </row>
        <row r="529">
          <cell r="B529" t="str">
            <v/>
          </cell>
        </row>
        <row r="530">
          <cell r="B530" t="str">
            <v/>
          </cell>
        </row>
        <row r="531">
          <cell r="B531" t="str">
            <v/>
          </cell>
        </row>
        <row r="532">
          <cell r="B532" t="str">
            <v/>
          </cell>
        </row>
        <row r="533">
          <cell r="B533" t="str">
            <v/>
          </cell>
        </row>
        <row r="534">
          <cell r="B534" t="str">
            <v/>
          </cell>
        </row>
        <row r="535">
          <cell r="B535" t="str">
            <v/>
          </cell>
        </row>
        <row r="536">
          <cell r="B536" t="str">
            <v/>
          </cell>
        </row>
        <row r="537">
          <cell r="B537" t="str">
            <v/>
          </cell>
        </row>
        <row r="538">
          <cell r="B538" t="str">
            <v/>
          </cell>
        </row>
        <row r="539">
          <cell r="B539" t="str">
            <v/>
          </cell>
        </row>
        <row r="540">
          <cell r="B540" t="str">
            <v/>
          </cell>
        </row>
        <row r="541">
          <cell r="B541" t="str">
            <v/>
          </cell>
        </row>
        <row r="542">
          <cell r="B542" t="str">
            <v/>
          </cell>
        </row>
        <row r="543">
          <cell r="B543" t="str">
            <v/>
          </cell>
        </row>
        <row r="544">
          <cell r="B544" t="str">
            <v/>
          </cell>
        </row>
        <row r="545">
          <cell r="B545" t="str">
            <v/>
          </cell>
        </row>
        <row r="546">
          <cell r="B546" t="str">
            <v/>
          </cell>
        </row>
        <row r="547">
          <cell r="B547" t="str">
            <v/>
          </cell>
        </row>
        <row r="548">
          <cell r="B548" t="str">
            <v/>
          </cell>
        </row>
        <row r="549">
          <cell r="B549" t="str">
            <v/>
          </cell>
        </row>
        <row r="550">
          <cell r="B550" t="str">
            <v/>
          </cell>
        </row>
        <row r="551">
          <cell r="B551" t="str">
            <v/>
          </cell>
        </row>
        <row r="552">
          <cell r="B552" t="str">
            <v/>
          </cell>
        </row>
        <row r="553">
          <cell r="B553" t="str">
            <v/>
          </cell>
        </row>
        <row r="554">
          <cell r="B554" t="str">
            <v/>
          </cell>
        </row>
        <row r="555">
          <cell r="B555" t="str">
            <v/>
          </cell>
        </row>
        <row r="556">
          <cell r="B556" t="str">
            <v/>
          </cell>
        </row>
        <row r="557">
          <cell r="B557" t="str">
            <v/>
          </cell>
        </row>
        <row r="558">
          <cell r="B558" t="str">
            <v/>
          </cell>
        </row>
        <row r="559">
          <cell r="B559" t="str">
            <v/>
          </cell>
        </row>
        <row r="560">
          <cell r="B560" t="str">
            <v/>
          </cell>
        </row>
        <row r="561">
          <cell r="B561" t="str">
            <v/>
          </cell>
        </row>
        <row r="562">
          <cell r="B562" t="str">
            <v/>
          </cell>
        </row>
        <row r="563">
          <cell r="B563" t="str">
            <v/>
          </cell>
        </row>
        <row r="564">
          <cell r="B564" t="str">
            <v/>
          </cell>
        </row>
        <row r="565">
          <cell r="B565" t="str">
            <v/>
          </cell>
        </row>
        <row r="566">
          <cell r="B566" t="str">
            <v/>
          </cell>
        </row>
        <row r="567">
          <cell r="B567" t="str">
            <v/>
          </cell>
        </row>
        <row r="568">
          <cell r="B568" t="str">
            <v/>
          </cell>
        </row>
        <row r="569">
          <cell r="B569" t="str">
            <v/>
          </cell>
        </row>
        <row r="570">
          <cell r="B570" t="str">
            <v/>
          </cell>
        </row>
        <row r="571">
          <cell r="B571" t="str">
            <v/>
          </cell>
        </row>
        <row r="572">
          <cell r="B572" t="str">
            <v/>
          </cell>
        </row>
        <row r="573">
          <cell r="B573" t="str">
            <v/>
          </cell>
        </row>
        <row r="574">
          <cell r="B574" t="str">
            <v/>
          </cell>
        </row>
        <row r="575">
          <cell r="B575" t="str">
            <v/>
          </cell>
        </row>
        <row r="576">
          <cell r="B576" t="str">
            <v/>
          </cell>
        </row>
        <row r="577">
          <cell r="B577" t="str">
            <v/>
          </cell>
        </row>
        <row r="578">
          <cell r="B578" t="str">
            <v/>
          </cell>
        </row>
        <row r="579">
          <cell r="B579" t="str">
            <v/>
          </cell>
        </row>
        <row r="580">
          <cell r="B580" t="str">
            <v/>
          </cell>
        </row>
        <row r="581">
          <cell r="B581" t="str">
            <v/>
          </cell>
        </row>
        <row r="582">
          <cell r="B582" t="str">
            <v/>
          </cell>
        </row>
        <row r="583">
          <cell r="B583" t="str">
            <v/>
          </cell>
        </row>
        <row r="584">
          <cell r="B584" t="str">
            <v/>
          </cell>
        </row>
        <row r="585">
          <cell r="B585" t="str">
            <v/>
          </cell>
        </row>
        <row r="586">
          <cell r="B586" t="str">
            <v/>
          </cell>
        </row>
        <row r="587">
          <cell r="B587" t="str">
            <v/>
          </cell>
        </row>
        <row r="588">
          <cell r="B588" t="str">
            <v/>
          </cell>
        </row>
        <row r="589">
          <cell r="B589" t="str">
            <v/>
          </cell>
        </row>
        <row r="590">
          <cell r="B590" t="str">
            <v/>
          </cell>
        </row>
        <row r="591">
          <cell r="B591" t="str">
            <v/>
          </cell>
        </row>
        <row r="592">
          <cell r="B592" t="str">
            <v/>
          </cell>
        </row>
        <row r="593">
          <cell r="B593" t="str">
            <v/>
          </cell>
        </row>
        <row r="594">
          <cell r="B594" t="str">
            <v/>
          </cell>
        </row>
        <row r="595">
          <cell r="B595" t="str">
            <v/>
          </cell>
        </row>
        <row r="596">
          <cell r="B596" t="str">
            <v/>
          </cell>
        </row>
        <row r="597">
          <cell r="B597" t="str">
            <v/>
          </cell>
        </row>
        <row r="598">
          <cell r="B598" t="str">
            <v/>
          </cell>
        </row>
        <row r="599">
          <cell r="B599" t="str">
            <v/>
          </cell>
        </row>
        <row r="600">
          <cell r="B600" t="str">
            <v/>
          </cell>
        </row>
        <row r="601">
          <cell r="B601" t="str">
            <v/>
          </cell>
        </row>
        <row r="602">
          <cell r="B602" t="str">
            <v/>
          </cell>
        </row>
        <row r="603">
          <cell r="B603" t="str">
            <v/>
          </cell>
        </row>
        <row r="604">
          <cell r="B604" t="str">
            <v/>
          </cell>
        </row>
        <row r="605">
          <cell r="B605" t="str">
            <v/>
          </cell>
        </row>
        <row r="606">
          <cell r="B606" t="str">
            <v/>
          </cell>
        </row>
        <row r="607">
          <cell r="B607" t="str">
            <v/>
          </cell>
        </row>
        <row r="608">
          <cell r="B608" t="str">
            <v/>
          </cell>
        </row>
        <row r="609">
          <cell r="B609" t="str">
            <v/>
          </cell>
        </row>
        <row r="610">
          <cell r="B610" t="str">
            <v/>
          </cell>
        </row>
        <row r="611">
          <cell r="B611" t="str">
            <v/>
          </cell>
        </row>
        <row r="612">
          <cell r="B612" t="str">
            <v/>
          </cell>
        </row>
        <row r="613">
          <cell r="B613" t="str">
            <v/>
          </cell>
        </row>
        <row r="614">
          <cell r="B614" t="str">
            <v/>
          </cell>
        </row>
        <row r="615">
          <cell r="B615" t="str">
            <v/>
          </cell>
        </row>
        <row r="616">
          <cell r="B616" t="str">
            <v/>
          </cell>
        </row>
        <row r="617">
          <cell r="B617" t="str">
            <v/>
          </cell>
        </row>
        <row r="618">
          <cell r="B618" t="str">
            <v/>
          </cell>
        </row>
        <row r="619">
          <cell r="B619" t="str">
            <v/>
          </cell>
        </row>
        <row r="620">
          <cell r="B620" t="str">
            <v/>
          </cell>
        </row>
        <row r="621">
          <cell r="B621" t="str">
            <v/>
          </cell>
        </row>
        <row r="622">
          <cell r="B622" t="str">
            <v/>
          </cell>
        </row>
        <row r="623">
          <cell r="B623" t="str">
            <v/>
          </cell>
        </row>
        <row r="624">
          <cell r="B624" t="str">
            <v/>
          </cell>
        </row>
        <row r="625">
          <cell r="B625" t="str">
            <v/>
          </cell>
        </row>
        <row r="626">
          <cell r="B626" t="str">
            <v/>
          </cell>
        </row>
        <row r="627">
          <cell r="B627" t="str">
            <v/>
          </cell>
        </row>
        <row r="628">
          <cell r="B628" t="str">
            <v/>
          </cell>
        </row>
        <row r="629">
          <cell r="B629" t="str">
            <v/>
          </cell>
        </row>
        <row r="630">
          <cell r="B630" t="str">
            <v/>
          </cell>
        </row>
        <row r="631">
          <cell r="B631" t="str">
            <v/>
          </cell>
        </row>
        <row r="632">
          <cell r="B632" t="str">
            <v/>
          </cell>
        </row>
        <row r="633">
          <cell r="B633" t="str">
            <v/>
          </cell>
        </row>
        <row r="634">
          <cell r="B634" t="str">
            <v/>
          </cell>
        </row>
        <row r="635">
          <cell r="B635" t="str">
            <v/>
          </cell>
        </row>
        <row r="636">
          <cell r="B636" t="str">
            <v/>
          </cell>
        </row>
        <row r="637">
          <cell r="B637" t="str">
            <v/>
          </cell>
        </row>
        <row r="638">
          <cell r="B638" t="str">
            <v/>
          </cell>
        </row>
        <row r="639">
          <cell r="B639" t="str">
            <v/>
          </cell>
        </row>
        <row r="640">
          <cell r="B640" t="str">
            <v/>
          </cell>
        </row>
        <row r="641">
          <cell r="B641" t="str">
            <v/>
          </cell>
        </row>
        <row r="642">
          <cell r="B642" t="str">
            <v/>
          </cell>
        </row>
        <row r="643">
          <cell r="B643" t="str">
            <v/>
          </cell>
        </row>
        <row r="644">
          <cell r="B644" t="str">
            <v/>
          </cell>
        </row>
        <row r="645">
          <cell r="B645" t="str">
            <v/>
          </cell>
        </row>
        <row r="646">
          <cell r="B646" t="str">
            <v/>
          </cell>
        </row>
        <row r="647">
          <cell r="B647" t="str">
            <v/>
          </cell>
        </row>
        <row r="648">
          <cell r="B648" t="str">
            <v/>
          </cell>
        </row>
        <row r="649">
          <cell r="B649" t="str">
            <v/>
          </cell>
        </row>
        <row r="650">
          <cell r="B650" t="str">
            <v/>
          </cell>
        </row>
        <row r="651">
          <cell r="B651" t="str">
            <v/>
          </cell>
        </row>
        <row r="652">
          <cell r="B652" t="str">
            <v/>
          </cell>
        </row>
        <row r="653">
          <cell r="B653" t="str">
            <v/>
          </cell>
        </row>
        <row r="654">
          <cell r="B654" t="str">
            <v/>
          </cell>
        </row>
        <row r="655">
          <cell r="B655" t="str">
            <v/>
          </cell>
        </row>
        <row r="656">
          <cell r="B656" t="str">
            <v/>
          </cell>
        </row>
        <row r="657">
          <cell r="B657" t="str">
            <v/>
          </cell>
        </row>
        <row r="658">
          <cell r="B658" t="str">
            <v/>
          </cell>
        </row>
        <row r="659">
          <cell r="B659" t="str">
            <v/>
          </cell>
        </row>
        <row r="660">
          <cell r="B660" t="str">
            <v/>
          </cell>
        </row>
        <row r="661">
          <cell r="B661" t="str">
            <v/>
          </cell>
        </row>
        <row r="662">
          <cell r="B662" t="str">
            <v/>
          </cell>
        </row>
        <row r="663">
          <cell r="B663" t="str">
            <v/>
          </cell>
        </row>
        <row r="664">
          <cell r="B664" t="str">
            <v/>
          </cell>
        </row>
        <row r="665">
          <cell r="B665" t="str">
            <v/>
          </cell>
        </row>
        <row r="666">
          <cell r="B666" t="str">
            <v/>
          </cell>
        </row>
        <row r="667">
          <cell r="B667" t="str">
            <v/>
          </cell>
        </row>
        <row r="668">
          <cell r="B668" t="str">
            <v/>
          </cell>
        </row>
        <row r="669">
          <cell r="B669" t="str">
            <v/>
          </cell>
        </row>
        <row r="670">
          <cell r="B670" t="str">
            <v/>
          </cell>
        </row>
        <row r="671">
          <cell r="B671" t="str">
            <v/>
          </cell>
        </row>
        <row r="672">
          <cell r="B672" t="str">
            <v/>
          </cell>
        </row>
        <row r="673">
          <cell r="B673" t="str">
            <v/>
          </cell>
        </row>
        <row r="674">
          <cell r="B674" t="str">
            <v/>
          </cell>
        </row>
        <row r="675">
          <cell r="B675" t="str">
            <v/>
          </cell>
        </row>
        <row r="676">
          <cell r="B676" t="str">
            <v/>
          </cell>
        </row>
        <row r="677">
          <cell r="B677" t="str">
            <v/>
          </cell>
        </row>
        <row r="678">
          <cell r="B678" t="str">
            <v/>
          </cell>
        </row>
        <row r="679">
          <cell r="B679" t="str">
            <v/>
          </cell>
        </row>
        <row r="680">
          <cell r="B680" t="str">
            <v/>
          </cell>
        </row>
        <row r="681">
          <cell r="B681" t="str">
            <v/>
          </cell>
        </row>
        <row r="682">
          <cell r="B682" t="str">
            <v/>
          </cell>
        </row>
        <row r="683">
          <cell r="B683" t="str">
            <v/>
          </cell>
        </row>
        <row r="684">
          <cell r="B684" t="str">
            <v/>
          </cell>
        </row>
        <row r="685">
          <cell r="B685" t="str">
            <v/>
          </cell>
        </row>
        <row r="686">
          <cell r="B686" t="str">
            <v/>
          </cell>
        </row>
        <row r="687">
          <cell r="B687" t="str">
            <v/>
          </cell>
        </row>
        <row r="688">
          <cell r="B688" t="str">
            <v/>
          </cell>
        </row>
        <row r="689">
          <cell r="B689" t="str">
            <v/>
          </cell>
        </row>
        <row r="690">
          <cell r="B690" t="str">
            <v/>
          </cell>
        </row>
        <row r="691">
          <cell r="B691" t="str">
            <v/>
          </cell>
        </row>
        <row r="692">
          <cell r="B692" t="str">
            <v/>
          </cell>
        </row>
        <row r="693">
          <cell r="B693" t="str">
            <v/>
          </cell>
        </row>
        <row r="694">
          <cell r="B694" t="str">
            <v/>
          </cell>
        </row>
        <row r="695">
          <cell r="B695" t="str">
            <v/>
          </cell>
        </row>
        <row r="696">
          <cell r="B696" t="str">
            <v/>
          </cell>
        </row>
        <row r="697">
          <cell r="B697" t="str">
            <v/>
          </cell>
        </row>
        <row r="698">
          <cell r="B698" t="str">
            <v/>
          </cell>
        </row>
        <row r="699">
          <cell r="B699" t="str">
            <v/>
          </cell>
        </row>
        <row r="700">
          <cell r="B700" t="str">
            <v/>
          </cell>
        </row>
        <row r="701">
          <cell r="B701" t="str">
            <v/>
          </cell>
        </row>
        <row r="702">
          <cell r="B702" t="str">
            <v/>
          </cell>
        </row>
        <row r="703">
          <cell r="B703" t="str">
            <v/>
          </cell>
        </row>
        <row r="704">
          <cell r="B704" t="str">
            <v/>
          </cell>
        </row>
        <row r="705">
          <cell r="B705" t="str">
            <v/>
          </cell>
        </row>
        <row r="706">
          <cell r="B706" t="str">
            <v/>
          </cell>
        </row>
        <row r="707">
          <cell r="B707" t="str">
            <v/>
          </cell>
        </row>
        <row r="708">
          <cell r="B708" t="str">
            <v/>
          </cell>
        </row>
        <row r="709">
          <cell r="B709" t="str">
            <v/>
          </cell>
        </row>
        <row r="710">
          <cell r="B710" t="str">
            <v/>
          </cell>
        </row>
        <row r="711">
          <cell r="B711" t="str">
            <v/>
          </cell>
        </row>
        <row r="712">
          <cell r="B712" t="str">
            <v/>
          </cell>
        </row>
        <row r="713">
          <cell r="B713" t="str">
            <v/>
          </cell>
        </row>
        <row r="714">
          <cell r="B714" t="str">
            <v/>
          </cell>
        </row>
        <row r="715">
          <cell r="B715" t="str">
            <v/>
          </cell>
        </row>
        <row r="716">
          <cell r="B716" t="str">
            <v/>
          </cell>
        </row>
        <row r="717">
          <cell r="B717" t="str">
            <v/>
          </cell>
        </row>
        <row r="718">
          <cell r="B718" t="str">
            <v/>
          </cell>
        </row>
        <row r="719">
          <cell r="B719" t="str">
            <v/>
          </cell>
        </row>
        <row r="720">
          <cell r="B720" t="str">
            <v/>
          </cell>
        </row>
        <row r="721">
          <cell r="B721" t="str">
            <v/>
          </cell>
        </row>
        <row r="722">
          <cell r="B722" t="str">
            <v/>
          </cell>
        </row>
        <row r="723">
          <cell r="B723" t="str">
            <v/>
          </cell>
        </row>
        <row r="724">
          <cell r="B724" t="str">
            <v/>
          </cell>
        </row>
        <row r="725">
          <cell r="B725" t="str">
            <v/>
          </cell>
        </row>
        <row r="726">
          <cell r="B726" t="str">
            <v/>
          </cell>
        </row>
        <row r="727">
          <cell r="B727" t="str">
            <v/>
          </cell>
        </row>
        <row r="728">
          <cell r="B728" t="str">
            <v/>
          </cell>
        </row>
        <row r="729">
          <cell r="B729" t="str">
            <v/>
          </cell>
        </row>
        <row r="730">
          <cell r="B730" t="str">
            <v/>
          </cell>
        </row>
        <row r="731">
          <cell r="B731" t="str">
            <v/>
          </cell>
        </row>
        <row r="732">
          <cell r="B732" t="str">
            <v/>
          </cell>
        </row>
        <row r="733">
          <cell r="B733" t="str">
            <v/>
          </cell>
        </row>
        <row r="734">
          <cell r="B734" t="str">
            <v/>
          </cell>
        </row>
        <row r="735">
          <cell r="B735" t="str">
            <v/>
          </cell>
        </row>
        <row r="736">
          <cell r="B736" t="str">
            <v/>
          </cell>
        </row>
        <row r="737">
          <cell r="B737" t="str">
            <v/>
          </cell>
        </row>
        <row r="738">
          <cell r="B738" t="str">
            <v/>
          </cell>
        </row>
        <row r="739">
          <cell r="B739" t="str">
            <v/>
          </cell>
        </row>
        <row r="740">
          <cell r="B740" t="str">
            <v/>
          </cell>
        </row>
        <row r="741">
          <cell r="B741" t="str">
            <v/>
          </cell>
        </row>
        <row r="742">
          <cell r="B742" t="str">
            <v/>
          </cell>
        </row>
        <row r="743">
          <cell r="B743" t="str">
            <v/>
          </cell>
        </row>
        <row r="744">
          <cell r="B744" t="str">
            <v/>
          </cell>
        </row>
        <row r="745">
          <cell r="B745" t="str">
            <v/>
          </cell>
        </row>
        <row r="746">
          <cell r="B746" t="str">
            <v/>
          </cell>
        </row>
        <row r="747">
          <cell r="B747" t="str">
            <v/>
          </cell>
        </row>
        <row r="748">
          <cell r="B748" t="str">
            <v/>
          </cell>
        </row>
        <row r="749">
          <cell r="B749" t="str">
            <v/>
          </cell>
        </row>
        <row r="750">
          <cell r="B750" t="str">
            <v/>
          </cell>
        </row>
        <row r="751">
          <cell r="B751" t="str">
            <v/>
          </cell>
        </row>
        <row r="752">
          <cell r="B752" t="str">
            <v/>
          </cell>
        </row>
        <row r="753">
          <cell r="B753" t="str">
            <v/>
          </cell>
        </row>
        <row r="754">
          <cell r="B754" t="str">
            <v/>
          </cell>
        </row>
        <row r="755">
          <cell r="B755" t="str">
            <v/>
          </cell>
        </row>
        <row r="756">
          <cell r="B756" t="str">
            <v/>
          </cell>
        </row>
        <row r="757">
          <cell r="B757" t="str">
            <v/>
          </cell>
        </row>
        <row r="758">
          <cell r="B758" t="str">
            <v/>
          </cell>
        </row>
        <row r="759">
          <cell r="B759" t="str">
            <v/>
          </cell>
        </row>
        <row r="760">
          <cell r="B760" t="str">
            <v/>
          </cell>
        </row>
        <row r="761">
          <cell r="B761" t="str">
            <v/>
          </cell>
        </row>
        <row r="762">
          <cell r="B762" t="str">
            <v/>
          </cell>
        </row>
        <row r="763">
          <cell r="B763" t="str">
            <v/>
          </cell>
        </row>
        <row r="764">
          <cell r="B764" t="str">
            <v/>
          </cell>
        </row>
        <row r="765">
          <cell r="B765" t="str">
            <v/>
          </cell>
        </row>
        <row r="766">
          <cell r="B766" t="str">
            <v/>
          </cell>
        </row>
        <row r="767">
          <cell r="B767" t="str">
            <v/>
          </cell>
        </row>
        <row r="768">
          <cell r="B768" t="str">
            <v/>
          </cell>
        </row>
        <row r="769">
          <cell r="B769" t="str">
            <v/>
          </cell>
        </row>
        <row r="770">
          <cell r="B770" t="str">
            <v/>
          </cell>
        </row>
        <row r="771">
          <cell r="B771" t="str">
            <v/>
          </cell>
        </row>
        <row r="772">
          <cell r="B772" t="str">
            <v/>
          </cell>
        </row>
        <row r="773">
          <cell r="B773" t="str">
            <v/>
          </cell>
        </row>
        <row r="774">
          <cell r="B774" t="str">
            <v/>
          </cell>
        </row>
        <row r="775">
          <cell r="B775" t="str">
            <v/>
          </cell>
        </row>
        <row r="776">
          <cell r="B776" t="str">
            <v/>
          </cell>
        </row>
        <row r="777">
          <cell r="B777" t="str">
            <v/>
          </cell>
        </row>
        <row r="778">
          <cell r="B778" t="str">
            <v/>
          </cell>
        </row>
        <row r="779">
          <cell r="B779" t="str">
            <v/>
          </cell>
        </row>
        <row r="780">
          <cell r="B780" t="str">
            <v/>
          </cell>
        </row>
        <row r="781">
          <cell r="B781" t="str">
            <v/>
          </cell>
        </row>
        <row r="782">
          <cell r="B782" t="str">
            <v/>
          </cell>
        </row>
        <row r="783">
          <cell r="B783" t="str">
            <v/>
          </cell>
        </row>
        <row r="784">
          <cell r="B784" t="str">
            <v/>
          </cell>
        </row>
        <row r="785">
          <cell r="B785" t="str">
            <v/>
          </cell>
        </row>
        <row r="786">
          <cell r="B786" t="str">
            <v/>
          </cell>
        </row>
        <row r="787">
          <cell r="B787" t="str">
            <v/>
          </cell>
        </row>
        <row r="788">
          <cell r="B788" t="str">
            <v/>
          </cell>
        </row>
        <row r="789">
          <cell r="B789" t="str">
            <v/>
          </cell>
        </row>
        <row r="790">
          <cell r="B790" t="str">
            <v/>
          </cell>
        </row>
        <row r="791">
          <cell r="B791" t="str">
            <v/>
          </cell>
        </row>
        <row r="792">
          <cell r="B792" t="str">
            <v/>
          </cell>
        </row>
        <row r="793">
          <cell r="B793" t="str">
            <v/>
          </cell>
        </row>
        <row r="794">
          <cell r="B794" t="str">
            <v/>
          </cell>
        </row>
        <row r="795">
          <cell r="B795" t="str">
            <v/>
          </cell>
        </row>
        <row r="796">
          <cell r="B796" t="str">
            <v/>
          </cell>
        </row>
        <row r="797">
          <cell r="B797" t="str">
            <v/>
          </cell>
        </row>
        <row r="798">
          <cell r="B798" t="str">
            <v/>
          </cell>
        </row>
        <row r="799">
          <cell r="B799" t="str">
            <v/>
          </cell>
        </row>
        <row r="800">
          <cell r="B800" t="str">
            <v/>
          </cell>
        </row>
        <row r="801">
          <cell r="B801" t="str">
            <v/>
          </cell>
        </row>
        <row r="802">
          <cell r="B802" t="str">
            <v/>
          </cell>
        </row>
        <row r="803">
          <cell r="B803" t="str">
            <v/>
          </cell>
        </row>
        <row r="804">
          <cell r="B804" t="str">
            <v/>
          </cell>
        </row>
        <row r="805">
          <cell r="B805" t="str">
            <v/>
          </cell>
        </row>
        <row r="806">
          <cell r="B806" t="str">
            <v/>
          </cell>
        </row>
        <row r="807">
          <cell r="B807" t="str">
            <v/>
          </cell>
        </row>
        <row r="808">
          <cell r="B808" t="str">
            <v/>
          </cell>
        </row>
        <row r="809">
          <cell r="B809" t="str">
            <v/>
          </cell>
        </row>
        <row r="810">
          <cell r="B810" t="str">
            <v/>
          </cell>
        </row>
        <row r="811">
          <cell r="B811" t="str">
            <v/>
          </cell>
        </row>
        <row r="812">
          <cell r="B812" t="str">
            <v/>
          </cell>
        </row>
        <row r="813">
          <cell r="B813" t="str">
            <v/>
          </cell>
        </row>
        <row r="814">
          <cell r="B814" t="str">
            <v/>
          </cell>
        </row>
        <row r="815">
          <cell r="B815" t="str">
            <v/>
          </cell>
        </row>
        <row r="816">
          <cell r="B816" t="str">
            <v/>
          </cell>
        </row>
        <row r="817">
          <cell r="B817" t="str">
            <v/>
          </cell>
        </row>
        <row r="818">
          <cell r="B818" t="str">
            <v/>
          </cell>
        </row>
        <row r="819">
          <cell r="B819" t="str">
            <v/>
          </cell>
        </row>
        <row r="820">
          <cell r="B820" t="str">
            <v/>
          </cell>
        </row>
        <row r="821">
          <cell r="B821" t="str">
            <v/>
          </cell>
        </row>
        <row r="822">
          <cell r="B822" t="str">
            <v/>
          </cell>
        </row>
        <row r="823">
          <cell r="B823" t="str">
            <v/>
          </cell>
        </row>
        <row r="824">
          <cell r="B824" t="str">
            <v/>
          </cell>
        </row>
        <row r="825">
          <cell r="B825" t="str">
            <v/>
          </cell>
        </row>
        <row r="826">
          <cell r="B826" t="str">
            <v/>
          </cell>
        </row>
        <row r="827">
          <cell r="B827" t="str">
            <v/>
          </cell>
        </row>
        <row r="828">
          <cell r="B828" t="str">
            <v/>
          </cell>
        </row>
        <row r="829">
          <cell r="B829" t="str">
            <v/>
          </cell>
        </row>
        <row r="830">
          <cell r="B830" t="str">
            <v/>
          </cell>
        </row>
        <row r="831">
          <cell r="B831" t="str">
            <v/>
          </cell>
        </row>
        <row r="832">
          <cell r="B832" t="str">
            <v/>
          </cell>
        </row>
        <row r="833">
          <cell r="B833" t="str">
            <v/>
          </cell>
        </row>
        <row r="834">
          <cell r="B834" t="str">
            <v/>
          </cell>
        </row>
        <row r="835">
          <cell r="B835" t="str">
            <v/>
          </cell>
        </row>
        <row r="836">
          <cell r="B836" t="str">
            <v/>
          </cell>
        </row>
        <row r="837">
          <cell r="B837" t="str">
            <v/>
          </cell>
        </row>
        <row r="838">
          <cell r="B838" t="str">
            <v/>
          </cell>
        </row>
        <row r="839">
          <cell r="B839" t="str">
            <v/>
          </cell>
        </row>
        <row r="840">
          <cell r="B840" t="str">
            <v/>
          </cell>
        </row>
        <row r="841">
          <cell r="B841" t="str">
            <v/>
          </cell>
        </row>
        <row r="842">
          <cell r="B842" t="str">
            <v/>
          </cell>
        </row>
        <row r="843">
          <cell r="B843" t="str">
            <v/>
          </cell>
        </row>
        <row r="844">
          <cell r="B844" t="str">
            <v/>
          </cell>
        </row>
        <row r="845">
          <cell r="B845" t="str">
            <v/>
          </cell>
        </row>
        <row r="846">
          <cell r="B846" t="str">
            <v/>
          </cell>
        </row>
        <row r="847">
          <cell r="B847" t="str">
            <v/>
          </cell>
        </row>
        <row r="848">
          <cell r="B848" t="str">
            <v/>
          </cell>
        </row>
        <row r="849">
          <cell r="B849" t="str">
            <v/>
          </cell>
        </row>
        <row r="850">
          <cell r="B850" t="str">
            <v/>
          </cell>
        </row>
        <row r="851">
          <cell r="B851" t="str">
            <v/>
          </cell>
        </row>
        <row r="852">
          <cell r="B852" t="str">
            <v/>
          </cell>
        </row>
        <row r="853">
          <cell r="B853" t="str">
            <v/>
          </cell>
        </row>
        <row r="854">
          <cell r="B854" t="str">
            <v/>
          </cell>
        </row>
        <row r="855">
          <cell r="B855" t="str">
            <v/>
          </cell>
        </row>
        <row r="856">
          <cell r="B856" t="str">
            <v/>
          </cell>
        </row>
        <row r="857">
          <cell r="B857" t="str">
            <v/>
          </cell>
        </row>
        <row r="858">
          <cell r="B858" t="str">
            <v/>
          </cell>
        </row>
        <row r="859">
          <cell r="B859" t="str">
            <v/>
          </cell>
        </row>
        <row r="860">
          <cell r="B860" t="str">
            <v/>
          </cell>
        </row>
        <row r="861">
          <cell r="B861" t="str">
            <v/>
          </cell>
        </row>
        <row r="862">
          <cell r="B862" t="str">
            <v/>
          </cell>
        </row>
        <row r="863">
          <cell r="B863" t="str">
            <v/>
          </cell>
        </row>
        <row r="864">
          <cell r="B864" t="str">
            <v/>
          </cell>
        </row>
        <row r="865">
          <cell r="B865" t="str">
            <v/>
          </cell>
        </row>
        <row r="866">
          <cell r="B866" t="str">
            <v/>
          </cell>
        </row>
        <row r="867">
          <cell r="B867" t="str">
            <v/>
          </cell>
        </row>
        <row r="868">
          <cell r="B868" t="str">
            <v/>
          </cell>
        </row>
        <row r="869">
          <cell r="B869" t="str">
            <v/>
          </cell>
        </row>
        <row r="870">
          <cell r="B870" t="str">
            <v/>
          </cell>
        </row>
        <row r="871">
          <cell r="B871" t="str">
            <v/>
          </cell>
        </row>
        <row r="872">
          <cell r="B872" t="str">
            <v/>
          </cell>
        </row>
        <row r="873">
          <cell r="B873" t="str">
            <v/>
          </cell>
        </row>
        <row r="874">
          <cell r="B874" t="str">
            <v/>
          </cell>
        </row>
        <row r="875">
          <cell r="B875" t="str">
            <v/>
          </cell>
        </row>
        <row r="876">
          <cell r="B876" t="str">
            <v/>
          </cell>
        </row>
        <row r="877">
          <cell r="B877" t="str">
            <v/>
          </cell>
        </row>
        <row r="878">
          <cell r="B878" t="str">
            <v/>
          </cell>
        </row>
        <row r="879">
          <cell r="B879" t="str">
            <v/>
          </cell>
        </row>
        <row r="880">
          <cell r="B880" t="str">
            <v/>
          </cell>
        </row>
        <row r="881">
          <cell r="B881" t="str">
            <v/>
          </cell>
        </row>
        <row r="882">
          <cell r="B882" t="str">
            <v/>
          </cell>
        </row>
        <row r="883">
          <cell r="B883" t="str">
            <v/>
          </cell>
        </row>
        <row r="884">
          <cell r="B884" t="str">
            <v/>
          </cell>
        </row>
        <row r="885">
          <cell r="B885" t="str">
            <v/>
          </cell>
        </row>
        <row r="886">
          <cell r="B886" t="str">
            <v/>
          </cell>
        </row>
        <row r="887">
          <cell r="B887" t="str">
            <v/>
          </cell>
        </row>
        <row r="888">
          <cell r="B888" t="str">
            <v/>
          </cell>
        </row>
        <row r="889">
          <cell r="B889" t="str">
            <v/>
          </cell>
        </row>
        <row r="890">
          <cell r="B890" t="str">
            <v/>
          </cell>
        </row>
        <row r="891">
          <cell r="B891" t="str">
            <v/>
          </cell>
        </row>
        <row r="892">
          <cell r="B892" t="str">
            <v/>
          </cell>
        </row>
        <row r="893">
          <cell r="B893" t="str">
            <v/>
          </cell>
        </row>
        <row r="894">
          <cell r="B894" t="str">
            <v/>
          </cell>
        </row>
        <row r="895">
          <cell r="B895" t="str">
            <v/>
          </cell>
        </row>
        <row r="896">
          <cell r="B896" t="str">
            <v/>
          </cell>
        </row>
        <row r="897">
          <cell r="B897" t="str">
            <v/>
          </cell>
        </row>
        <row r="898">
          <cell r="B898" t="str">
            <v/>
          </cell>
        </row>
        <row r="899">
          <cell r="B899" t="str">
            <v/>
          </cell>
        </row>
        <row r="900">
          <cell r="B900" t="str">
            <v/>
          </cell>
        </row>
        <row r="901">
          <cell r="B901" t="str">
            <v/>
          </cell>
        </row>
        <row r="902">
          <cell r="B902" t="str">
            <v/>
          </cell>
        </row>
        <row r="903">
          <cell r="B903" t="str">
            <v/>
          </cell>
        </row>
        <row r="904">
          <cell r="B904" t="str">
            <v/>
          </cell>
        </row>
        <row r="905">
          <cell r="B905" t="str">
            <v/>
          </cell>
        </row>
        <row r="906">
          <cell r="B906" t="str">
            <v/>
          </cell>
        </row>
        <row r="907">
          <cell r="B907" t="str">
            <v/>
          </cell>
        </row>
        <row r="908">
          <cell r="B908" t="str">
            <v/>
          </cell>
        </row>
        <row r="909">
          <cell r="B909" t="str">
            <v/>
          </cell>
        </row>
        <row r="910">
          <cell r="B910" t="str">
            <v/>
          </cell>
        </row>
        <row r="911">
          <cell r="B911" t="str">
            <v/>
          </cell>
        </row>
        <row r="912">
          <cell r="B912" t="str">
            <v/>
          </cell>
        </row>
        <row r="913">
          <cell r="B913" t="str">
            <v/>
          </cell>
        </row>
        <row r="914">
          <cell r="B914" t="str">
            <v/>
          </cell>
        </row>
        <row r="915">
          <cell r="B915" t="str">
            <v/>
          </cell>
        </row>
        <row r="916">
          <cell r="B916" t="str">
            <v/>
          </cell>
        </row>
        <row r="917">
          <cell r="B917" t="str">
            <v/>
          </cell>
        </row>
        <row r="918">
          <cell r="B918" t="str">
            <v/>
          </cell>
        </row>
        <row r="919">
          <cell r="B919" t="str">
            <v/>
          </cell>
        </row>
        <row r="920">
          <cell r="B920" t="str">
            <v/>
          </cell>
        </row>
        <row r="921">
          <cell r="B921" t="str">
            <v/>
          </cell>
        </row>
        <row r="922">
          <cell r="B922" t="str">
            <v/>
          </cell>
        </row>
        <row r="923">
          <cell r="B923" t="str">
            <v/>
          </cell>
        </row>
        <row r="924">
          <cell r="B924" t="str">
            <v/>
          </cell>
        </row>
        <row r="925">
          <cell r="B925" t="str">
            <v/>
          </cell>
        </row>
        <row r="926">
          <cell r="B926" t="str">
            <v/>
          </cell>
        </row>
        <row r="927">
          <cell r="B927" t="str">
            <v/>
          </cell>
        </row>
        <row r="928">
          <cell r="B928" t="str">
            <v/>
          </cell>
        </row>
        <row r="929">
          <cell r="B929" t="str">
            <v/>
          </cell>
        </row>
        <row r="930">
          <cell r="B930" t="str">
            <v/>
          </cell>
        </row>
        <row r="931">
          <cell r="B931" t="str">
            <v/>
          </cell>
        </row>
        <row r="932">
          <cell r="B932" t="str">
            <v/>
          </cell>
        </row>
        <row r="933">
          <cell r="B933" t="str">
            <v/>
          </cell>
        </row>
        <row r="934">
          <cell r="B934" t="str">
            <v/>
          </cell>
        </row>
        <row r="935">
          <cell r="B935" t="str">
            <v/>
          </cell>
        </row>
        <row r="936">
          <cell r="B936" t="str">
            <v/>
          </cell>
        </row>
        <row r="937">
          <cell r="B937" t="str">
            <v/>
          </cell>
        </row>
        <row r="938">
          <cell r="B938" t="str">
            <v/>
          </cell>
        </row>
        <row r="939">
          <cell r="B939" t="str">
            <v/>
          </cell>
        </row>
        <row r="940">
          <cell r="B940" t="str">
            <v/>
          </cell>
        </row>
        <row r="941">
          <cell r="B941" t="str">
            <v/>
          </cell>
        </row>
        <row r="942">
          <cell r="B942" t="str">
            <v/>
          </cell>
        </row>
        <row r="943">
          <cell r="B943" t="str">
            <v/>
          </cell>
        </row>
        <row r="944">
          <cell r="B944" t="str">
            <v/>
          </cell>
        </row>
        <row r="945">
          <cell r="B945" t="str">
            <v/>
          </cell>
        </row>
        <row r="946">
          <cell r="B946" t="str">
            <v/>
          </cell>
        </row>
        <row r="947">
          <cell r="B947" t="str">
            <v/>
          </cell>
        </row>
        <row r="948">
          <cell r="B948" t="str">
            <v/>
          </cell>
        </row>
        <row r="949">
          <cell r="B949" t="str">
            <v/>
          </cell>
        </row>
        <row r="950">
          <cell r="B950" t="str">
            <v/>
          </cell>
        </row>
        <row r="951">
          <cell r="B951" t="str">
            <v/>
          </cell>
        </row>
        <row r="952">
          <cell r="B952" t="str">
            <v/>
          </cell>
        </row>
        <row r="953">
          <cell r="B953" t="str">
            <v/>
          </cell>
        </row>
        <row r="954">
          <cell r="B954" t="str">
            <v/>
          </cell>
        </row>
        <row r="955">
          <cell r="B955" t="str">
            <v/>
          </cell>
        </row>
        <row r="956">
          <cell r="B956" t="str">
            <v/>
          </cell>
        </row>
        <row r="957">
          <cell r="B957" t="str">
            <v/>
          </cell>
        </row>
        <row r="958">
          <cell r="B958" t="str">
            <v/>
          </cell>
        </row>
        <row r="959">
          <cell r="B959" t="str">
            <v/>
          </cell>
        </row>
        <row r="960">
          <cell r="B960" t="str">
            <v/>
          </cell>
        </row>
        <row r="961">
          <cell r="B961" t="str">
            <v/>
          </cell>
        </row>
        <row r="962">
          <cell r="B962" t="str">
            <v/>
          </cell>
        </row>
        <row r="963">
          <cell r="B963" t="str">
            <v/>
          </cell>
        </row>
        <row r="964">
          <cell r="B964" t="str">
            <v/>
          </cell>
        </row>
        <row r="965">
          <cell r="B965" t="str">
            <v/>
          </cell>
        </row>
        <row r="966">
          <cell r="B966" t="str">
            <v/>
          </cell>
        </row>
        <row r="967">
          <cell r="B967" t="str">
            <v/>
          </cell>
        </row>
        <row r="968">
          <cell r="B968" t="str">
            <v/>
          </cell>
        </row>
        <row r="969">
          <cell r="B969" t="str">
            <v/>
          </cell>
        </row>
        <row r="970">
          <cell r="B970" t="str">
            <v/>
          </cell>
        </row>
        <row r="971">
          <cell r="B971" t="str">
            <v/>
          </cell>
        </row>
        <row r="972">
          <cell r="B972" t="str">
            <v/>
          </cell>
        </row>
        <row r="973">
          <cell r="B973" t="str">
            <v/>
          </cell>
        </row>
        <row r="974">
          <cell r="B974" t="str">
            <v/>
          </cell>
        </row>
        <row r="975">
          <cell r="B975" t="str">
            <v/>
          </cell>
        </row>
        <row r="976">
          <cell r="B976" t="str">
            <v/>
          </cell>
        </row>
        <row r="977">
          <cell r="B977" t="str">
            <v/>
          </cell>
        </row>
        <row r="978">
          <cell r="B978" t="str">
            <v/>
          </cell>
        </row>
        <row r="979">
          <cell r="B979" t="str">
            <v/>
          </cell>
        </row>
        <row r="980">
          <cell r="B980" t="str">
            <v/>
          </cell>
        </row>
        <row r="981">
          <cell r="B981" t="str">
            <v/>
          </cell>
        </row>
        <row r="982">
          <cell r="B982" t="str">
            <v/>
          </cell>
        </row>
        <row r="983">
          <cell r="B983" t="str">
            <v/>
          </cell>
        </row>
        <row r="984">
          <cell r="B984" t="str">
            <v/>
          </cell>
        </row>
        <row r="985">
          <cell r="B985" t="str">
            <v/>
          </cell>
        </row>
        <row r="986">
          <cell r="B986" t="str">
            <v/>
          </cell>
        </row>
        <row r="987">
          <cell r="B987" t="str">
            <v/>
          </cell>
        </row>
        <row r="988">
          <cell r="B988" t="str">
            <v/>
          </cell>
        </row>
        <row r="989">
          <cell r="B989" t="str">
            <v/>
          </cell>
        </row>
        <row r="990">
          <cell r="B990" t="str">
            <v/>
          </cell>
        </row>
        <row r="991">
          <cell r="B991" t="str">
            <v/>
          </cell>
        </row>
        <row r="992">
          <cell r="B992" t="str">
            <v/>
          </cell>
        </row>
        <row r="993">
          <cell r="B993" t="str">
            <v/>
          </cell>
        </row>
        <row r="994">
          <cell r="B994" t="str">
            <v/>
          </cell>
        </row>
        <row r="995">
          <cell r="B995" t="str">
            <v/>
          </cell>
        </row>
        <row r="996">
          <cell r="B996" t="str">
            <v/>
          </cell>
        </row>
        <row r="997">
          <cell r="B997" t="str">
            <v/>
          </cell>
        </row>
        <row r="998">
          <cell r="B998" t="str">
            <v/>
          </cell>
        </row>
        <row r="999">
          <cell r="B999" t="str">
            <v/>
          </cell>
        </row>
        <row r="1000">
          <cell r="B1000" t="str">
            <v/>
          </cell>
        </row>
        <row r="1001">
          <cell r="B1001" t="str">
            <v/>
          </cell>
        </row>
        <row r="1002">
          <cell r="B1002" t="str">
            <v/>
          </cell>
        </row>
        <row r="1003">
          <cell r="B1003" t="str">
            <v/>
          </cell>
        </row>
        <row r="1004">
          <cell r="B1004" t="str">
            <v/>
          </cell>
        </row>
        <row r="1005">
          <cell r="B1005" t="str">
            <v/>
          </cell>
        </row>
        <row r="1006">
          <cell r="B1006" t="str">
            <v/>
          </cell>
        </row>
        <row r="1007">
          <cell r="B1007" t="str">
            <v/>
          </cell>
        </row>
        <row r="1008">
          <cell r="B1008" t="str">
            <v/>
          </cell>
        </row>
        <row r="1009">
          <cell r="B1009" t="str">
            <v/>
          </cell>
        </row>
        <row r="1010">
          <cell r="B1010" t="str">
            <v/>
          </cell>
        </row>
        <row r="1011">
          <cell r="B1011" t="str">
            <v/>
          </cell>
        </row>
        <row r="1012">
          <cell r="B1012" t="str">
            <v/>
          </cell>
        </row>
        <row r="1013">
          <cell r="B1013" t="str">
            <v/>
          </cell>
        </row>
        <row r="1014">
          <cell r="B1014" t="str">
            <v/>
          </cell>
        </row>
        <row r="1015">
          <cell r="B1015" t="str">
            <v/>
          </cell>
        </row>
        <row r="1016">
          <cell r="B1016" t="str">
            <v/>
          </cell>
        </row>
        <row r="1017">
          <cell r="B1017" t="str">
            <v/>
          </cell>
        </row>
        <row r="1018">
          <cell r="B1018" t="str">
            <v/>
          </cell>
        </row>
        <row r="1019">
          <cell r="B1019" t="str">
            <v/>
          </cell>
        </row>
        <row r="1020">
          <cell r="B1020" t="str">
            <v/>
          </cell>
        </row>
        <row r="1021">
          <cell r="B1021" t="str">
            <v/>
          </cell>
        </row>
        <row r="1022">
          <cell r="B1022" t="str">
            <v/>
          </cell>
        </row>
        <row r="1023">
          <cell r="B1023" t="str">
            <v/>
          </cell>
        </row>
        <row r="1024">
          <cell r="B1024" t="str">
            <v/>
          </cell>
        </row>
        <row r="1025">
          <cell r="B1025" t="str">
            <v/>
          </cell>
        </row>
        <row r="1026">
          <cell r="B1026" t="str">
            <v/>
          </cell>
        </row>
        <row r="1027">
          <cell r="B1027" t="str">
            <v/>
          </cell>
        </row>
        <row r="1028">
          <cell r="B1028" t="str">
            <v/>
          </cell>
        </row>
        <row r="1029">
          <cell r="B1029" t="str">
            <v/>
          </cell>
        </row>
        <row r="1030">
          <cell r="B1030" t="str">
            <v/>
          </cell>
        </row>
        <row r="1031">
          <cell r="B1031" t="str">
            <v/>
          </cell>
        </row>
        <row r="1032">
          <cell r="B1032" t="str">
            <v/>
          </cell>
        </row>
        <row r="1033">
          <cell r="B1033" t="str">
            <v/>
          </cell>
        </row>
        <row r="1034">
          <cell r="B1034" t="str">
            <v/>
          </cell>
        </row>
        <row r="1035">
          <cell r="B1035" t="str">
            <v/>
          </cell>
        </row>
        <row r="1036">
          <cell r="B1036" t="str">
            <v/>
          </cell>
        </row>
        <row r="1037">
          <cell r="B1037" t="str">
            <v/>
          </cell>
        </row>
        <row r="1038">
          <cell r="B1038" t="str">
            <v/>
          </cell>
        </row>
        <row r="1039">
          <cell r="B1039" t="str">
            <v/>
          </cell>
        </row>
        <row r="1040">
          <cell r="B1040" t="str">
            <v/>
          </cell>
        </row>
        <row r="1041">
          <cell r="B1041" t="str">
            <v/>
          </cell>
        </row>
        <row r="1042">
          <cell r="B1042" t="str">
            <v/>
          </cell>
        </row>
        <row r="1043">
          <cell r="B1043" t="str">
            <v/>
          </cell>
        </row>
        <row r="1044">
          <cell r="B1044" t="str">
            <v/>
          </cell>
        </row>
        <row r="1045">
          <cell r="B1045" t="str">
            <v/>
          </cell>
        </row>
        <row r="1046">
          <cell r="B1046" t="str">
            <v/>
          </cell>
        </row>
        <row r="1047">
          <cell r="B1047" t="str">
            <v/>
          </cell>
        </row>
        <row r="1048">
          <cell r="B1048" t="str">
            <v/>
          </cell>
        </row>
        <row r="1049">
          <cell r="B1049" t="str">
            <v/>
          </cell>
        </row>
        <row r="1050">
          <cell r="B1050" t="str">
            <v/>
          </cell>
        </row>
        <row r="1051">
          <cell r="B1051" t="str">
            <v/>
          </cell>
        </row>
        <row r="1052">
          <cell r="B1052" t="str">
            <v/>
          </cell>
        </row>
        <row r="1053">
          <cell r="B1053" t="str">
            <v/>
          </cell>
        </row>
        <row r="1054">
          <cell r="B1054" t="str">
            <v/>
          </cell>
        </row>
        <row r="1055">
          <cell r="B1055" t="str">
            <v/>
          </cell>
        </row>
        <row r="1056">
          <cell r="B1056" t="str">
            <v/>
          </cell>
        </row>
        <row r="1057">
          <cell r="B1057" t="str">
            <v/>
          </cell>
        </row>
        <row r="1058">
          <cell r="B1058" t="str">
            <v/>
          </cell>
        </row>
        <row r="1059">
          <cell r="B1059" t="str">
            <v/>
          </cell>
        </row>
        <row r="1060">
          <cell r="B1060" t="str">
            <v/>
          </cell>
        </row>
        <row r="1061">
          <cell r="B1061" t="str">
            <v/>
          </cell>
        </row>
        <row r="1062">
          <cell r="B1062" t="str">
            <v/>
          </cell>
        </row>
        <row r="1063">
          <cell r="B1063" t="str">
            <v/>
          </cell>
        </row>
        <row r="1064">
          <cell r="B1064" t="str">
            <v/>
          </cell>
        </row>
        <row r="1065">
          <cell r="B1065" t="str">
            <v/>
          </cell>
        </row>
        <row r="1066">
          <cell r="B1066" t="str">
            <v/>
          </cell>
        </row>
        <row r="1067">
          <cell r="B1067" t="str">
            <v/>
          </cell>
        </row>
        <row r="1068">
          <cell r="B1068" t="str">
            <v/>
          </cell>
        </row>
        <row r="1069">
          <cell r="B1069" t="str">
            <v/>
          </cell>
        </row>
        <row r="1070">
          <cell r="B1070" t="str">
            <v/>
          </cell>
        </row>
        <row r="1071">
          <cell r="B1071" t="str">
            <v/>
          </cell>
        </row>
        <row r="1072">
          <cell r="B1072" t="str">
            <v/>
          </cell>
        </row>
        <row r="1073">
          <cell r="B1073" t="str">
            <v/>
          </cell>
        </row>
        <row r="1074">
          <cell r="B1074" t="str">
            <v/>
          </cell>
        </row>
        <row r="1075">
          <cell r="B1075" t="str">
            <v/>
          </cell>
        </row>
        <row r="1076">
          <cell r="B1076" t="str">
            <v/>
          </cell>
        </row>
        <row r="1077">
          <cell r="B1077" t="str">
            <v/>
          </cell>
        </row>
        <row r="1078">
          <cell r="B1078" t="str">
            <v/>
          </cell>
        </row>
        <row r="1079">
          <cell r="B1079" t="str">
            <v/>
          </cell>
        </row>
        <row r="1080">
          <cell r="B1080" t="str">
            <v/>
          </cell>
        </row>
        <row r="1081">
          <cell r="B1081" t="str">
            <v/>
          </cell>
        </row>
        <row r="1082">
          <cell r="B1082" t="str">
            <v/>
          </cell>
        </row>
        <row r="1083">
          <cell r="B1083" t="str">
            <v/>
          </cell>
        </row>
        <row r="1084">
          <cell r="B1084" t="str">
            <v/>
          </cell>
        </row>
        <row r="1085">
          <cell r="B1085" t="str">
            <v/>
          </cell>
        </row>
        <row r="1086">
          <cell r="B1086" t="str">
            <v/>
          </cell>
        </row>
        <row r="1087">
          <cell r="B1087" t="str">
            <v/>
          </cell>
        </row>
        <row r="1088">
          <cell r="B1088" t="str">
            <v/>
          </cell>
        </row>
        <row r="1089">
          <cell r="B1089" t="str">
            <v/>
          </cell>
        </row>
        <row r="1090">
          <cell r="B1090" t="str">
            <v/>
          </cell>
        </row>
        <row r="1091">
          <cell r="B1091" t="str">
            <v/>
          </cell>
        </row>
        <row r="1092">
          <cell r="B1092" t="str">
            <v/>
          </cell>
        </row>
        <row r="1093">
          <cell r="B1093" t="str">
            <v/>
          </cell>
        </row>
        <row r="1094">
          <cell r="B1094" t="str">
            <v/>
          </cell>
        </row>
        <row r="1095">
          <cell r="B1095" t="str">
            <v/>
          </cell>
        </row>
        <row r="1096">
          <cell r="B1096" t="str">
            <v/>
          </cell>
        </row>
        <row r="1097">
          <cell r="B1097" t="str">
            <v/>
          </cell>
        </row>
        <row r="1098">
          <cell r="B1098" t="str">
            <v/>
          </cell>
        </row>
        <row r="1099">
          <cell r="B1099" t="str">
            <v/>
          </cell>
        </row>
        <row r="1100">
          <cell r="B1100" t="str">
            <v/>
          </cell>
        </row>
        <row r="1101">
          <cell r="B1101" t="str">
            <v/>
          </cell>
        </row>
        <row r="1102">
          <cell r="B1102" t="str">
            <v/>
          </cell>
        </row>
        <row r="1103">
          <cell r="B1103" t="str">
            <v/>
          </cell>
        </row>
        <row r="1104">
          <cell r="B1104" t="str">
            <v/>
          </cell>
        </row>
        <row r="1105">
          <cell r="B1105" t="str">
            <v/>
          </cell>
        </row>
        <row r="1106">
          <cell r="B1106" t="str">
            <v/>
          </cell>
        </row>
        <row r="1107">
          <cell r="B1107" t="str">
            <v/>
          </cell>
        </row>
        <row r="1108">
          <cell r="B1108" t="str">
            <v/>
          </cell>
        </row>
        <row r="1109">
          <cell r="B1109" t="str">
            <v/>
          </cell>
        </row>
        <row r="1110">
          <cell r="B1110" t="str">
            <v/>
          </cell>
        </row>
        <row r="1111">
          <cell r="B1111" t="str">
            <v/>
          </cell>
        </row>
        <row r="1112">
          <cell r="B1112" t="str">
            <v/>
          </cell>
        </row>
        <row r="1113">
          <cell r="B1113" t="str">
            <v/>
          </cell>
        </row>
        <row r="1114">
          <cell r="B1114" t="str">
            <v/>
          </cell>
        </row>
        <row r="1115">
          <cell r="B1115" t="str">
            <v/>
          </cell>
        </row>
        <row r="1116">
          <cell r="B1116" t="str">
            <v/>
          </cell>
        </row>
        <row r="1117">
          <cell r="B1117" t="str">
            <v/>
          </cell>
        </row>
        <row r="1118">
          <cell r="B1118" t="str">
            <v/>
          </cell>
        </row>
        <row r="1119">
          <cell r="B1119" t="str">
            <v/>
          </cell>
        </row>
        <row r="1120">
          <cell r="B1120" t="str">
            <v/>
          </cell>
        </row>
        <row r="1121">
          <cell r="B1121" t="str">
            <v/>
          </cell>
        </row>
        <row r="1122">
          <cell r="B1122" t="str">
            <v/>
          </cell>
        </row>
        <row r="1123">
          <cell r="B1123" t="str">
            <v/>
          </cell>
        </row>
        <row r="1124">
          <cell r="B1124" t="str">
            <v/>
          </cell>
        </row>
        <row r="1125">
          <cell r="B1125" t="str">
            <v/>
          </cell>
        </row>
        <row r="1126">
          <cell r="B1126" t="str">
            <v/>
          </cell>
        </row>
        <row r="1127">
          <cell r="B1127" t="str">
            <v/>
          </cell>
        </row>
        <row r="1128">
          <cell r="B1128" t="str">
            <v/>
          </cell>
        </row>
        <row r="1129">
          <cell r="B1129" t="str">
            <v/>
          </cell>
        </row>
        <row r="1130">
          <cell r="B1130" t="str">
            <v/>
          </cell>
        </row>
        <row r="1131">
          <cell r="B1131" t="str">
            <v/>
          </cell>
        </row>
        <row r="1132">
          <cell r="B1132" t="str">
            <v/>
          </cell>
        </row>
        <row r="1133">
          <cell r="B1133" t="str">
            <v/>
          </cell>
        </row>
        <row r="1134">
          <cell r="B1134" t="str">
            <v/>
          </cell>
        </row>
        <row r="1135">
          <cell r="B1135" t="str">
            <v/>
          </cell>
        </row>
        <row r="1136">
          <cell r="B1136" t="str">
            <v/>
          </cell>
        </row>
        <row r="1137">
          <cell r="B1137" t="str">
            <v/>
          </cell>
        </row>
        <row r="1138">
          <cell r="B1138" t="str">
            <v/>
          </cell>
        </row>
        <row r="1139">
          <cell r="B1139" t="str">
            <v/>
          </cell>
        </row>
        <row r="1140">
          <cell r="B1140" t="str">
            <v/>
          </cell>
        </row>
        <row r="1141">
          <cell r="B1141" t="str">
            <v/>
          </cell>
        </row>
        <row r="1142">
          <cell r="B1142" t="str">
            <v/>
          </cell>
        </row>
        <row r="1143">
          <cell r="B1143" t="str">
            <v/>
          </cell>
        </row>
        <row r="1144">
          <cell r="B1144" t="str">
            <v/>
          </cell>
        </row>
        <row r="1145">
          <cell r="B1145" t="str">
            <v/>
          </cell>
        </row>
        <row r="1146">
          <cell r="B1146" t="str">
            <v/>
          </cell>
        </row>
        <row r="1147">
          <cell r="B1147" t="str">
            <v/>
          </cell>
        </row>
        <row r="1148">
          <cell r="B1148" t="str">
            <v/>
          </cell>
        </row>
        <row r="1149">
          <cell r="B1149" t="str">
            <v/>
          </cell>
        </row>
        <row r="1150">
          <cell r="B1150" t="str">
            <v/>
          </cell>
        </row>
        <row r="1151">
          <cell r="B1151" t="str">
            <v/>
          </cell>
        </row>
        <row r="1152">
          <cell r="B1152" t="str">
            <v/>
          </cell>
        </row>
        <row r="1153">
          <cell r="B1153" t="str">
            <v/>
          </cell>
        </row>
        <row r="1154">
          <cell r="B1154" t="str">
            <v/>
          </cell>
        </row>
        <row r="1155">
          <cell r="B1155" t="str">
            <v/>
          </cell>
        </row>
        <row r="1156">
          <cell r="B1156" t="str">
            <v/>
          </cell>
        </row>
        <row r="1157">
          <cell r="B1157" t="str">
            <v/>
          </cell>
        </row>
        <row r="1158">
          <cell r="B1158" t="str">
            <v/>
          </cell>
        </row>
        <row r="1159">
          <cell r="B1159" t="str">
            <v/>
          </cell>
        </row>
        <row r="1160">
          <cell r="B1160" t="str">
            <v/>
          </cell>
        </row>
        <row r="1161">
          <cell r="B1161" t="str">
            <v/>
          </cell>
        </row>
        <row r="1162">
          <cell r="B1162" t="str">
            <v/>
          </cell>
        </row>
        <row r="1163">
          <cell r="B1163" t="str">
            <v/>
          </cell>
        </row>
        <row r="1164">
          <cell r="B1164" t="str">
            <v/>
          </cell>
        </row>
        <row r="1165">
          <cell r="B1165" t="str">
            <v/>
          </cell>
        </row>
        <row r="1166">
          <cell r="B1166" t="str">
            <v/>
          </cell>
        </row>
        <row r="1167">
          <cell r="B1167" t="str">
            <v/>
          </cell>
        </row>
        <row r="1168">
          <cell r="B1168" t="str">
            <v/>
          </cell>
        </row>
        <row r="1169">
          <cell r="B1169" t="str">
            <v/>
          </cell>
        </row>
        <row r="1170">
          <cell r="B1170" t="str">
            <v/>
          </cell>
        </row>
        <row r="1171">
          <cell r="B1171" t="str">
            <v/>
          </cell>
        </row>
        <row r="1172">
          <cell r="B1172" t="str">
            <v/>
          </cell>
        </row>
        <row r="1173">
          <cell r="B1173" t="str">
            <v/>
          </cell>
        </row>
        <row r="1174">
          <cell r="B1174" t="str">
            <v/>
          </cell>
        </row>
        <row r="1175">
          <cell r="B1175" t="str">
            <v/>
          </cell>
        </row>
        <row r="1176">
          <cell r="B1176" t="str">
            <v/>
          </cell>
        </row>
        <row r="1177">
          <cell r="B1177" t="str">
            <v/>
          </cell>
        </row>
        <row r="1178">
          <cell r="B1178" t="str">
            <v/>
          </cell>
        </row>
        <row r="1179">
          <cell r="B1179" t="str">
            <v/>
          </cell>
        </row>
        <row r="1180">
          <cell r="B1180" t="str">
            <v/>
          </cell>
        </row>
        <row r="1181">
          <cell r="B1181" t="str">
            <v/>
          </cell>
        </row>
        <row r="1182">
          <cell r="B1182" t="str">
            <v/>
          </cell>
        </row>
        <row r="1183">
          <cell r="B1183" t="str">
            <v/>
          </cell>
        </row>
        <row r="1184">
          <cell r="B1184" t="str">
            <v/>
          </cell>
        </row>
        <row r="1185">
          <cell r="B1185" t="str">
            <v/>
          </cell>
        </row>
        <row r="1186">
          <cell r="B1186" t="str">
            <v/>
          </cell>
        </row>
        <row r="1187">
          <cell r="B1187" t="str">
            <v/>
          </cell>
        </row>
        <row r="1188">
          <cell r="B1188" t="str">
            <v/>
          </cell>
        </row>
        <row r="1189">
          <cell r="B1189" t="str">
            <v/>
          </cell>
        </row>
        <row r="1190">
          <cell r="B1190" t="str">
            <v/>
          </cell>
        </row>
        <row r="1191">
          <cell r="B1191" t="str">
            <v/>
          </cell>
        </row>
        <row r="1192">
          <cell r="B1192" t="str">
            <v/>
          </cell>
        </row>
        <row r="1193">
          <cell r="B1193" t="str">
            <v/>
          </cell>
        </row>
        <row r="1194">
          <cell r="B1194" t="str">
            <v/>
          </cell>
        </row>
        <row r="1195">
          <cell r="B1195" t="str">
            <v/>
          </cell>
        </row>
        <row r="1196">
          <cell r="B1196" t="str">
            <v/>
          </cell>
        </row>
        <row r="1197">
          <cell r="B1197" t="str">
            <v/>
          </cell>
        </row>
        <row r="1198">
          <cell r="B1198" t="str">
            <v/>
          </cell>
        </row>
        <row r="1199">
          <cell r="B1199" t="str">
            <v/>
          </cell>
        </row>
        <row r="1200">
          <cell r="B1200" t="str">
            <v/>
          </cell>
        </row>
        <row r="1201">
          <cell r="B1201" t="str">
            <v/>
          </cell>
        </row>
        <row r="1202">
          <cell r="B1202" t="str">
            <v/>
          </cell>
        </row>
        <row r="1203">
          <cell r="B1203" t="str">
            <v/>
          </cell>
        </row>
        <row r="1204">
          <cell r="B1204" t="str">
            <v/>
          </cell>
        </row>
        <row r="1205">
          <cell r="B1205" t="str">
            <v/>
          </cell>
        </row>
        <row r="1206">
          <cell r="B1206" t="str">
            <v/>
          </cell>
        </row>
        <row r="1207">
          <cell r="B1207" t="str">
            <v/>
          </cell>
        </row>
        <row r="1208">
          <cell r="B1208" t="str">
            <v/>
          </cell>
        </row>
        <row r="1209">
          <cell r="B1209" t="str">
            <v/>
          </cell>
        </row>
        <row r="1210">
          <cell r="B1210" t="str">
            <v/>
          </cell>
        </row>
        <row r="1211">
          <cell r="B1211" t="str">
            <v/>
          </cell>
        </row>
        <row r="1212">
          <cell r="B1212" t="str">
            <v/>
          </cell>
        </row>
        <row r="1213">
          <cell r="B1213" t="str">
            <v/>
          </cell>
        </row>
        <row r="1214">
          <cell r="B1214" t="str">
            <v/>
          </cell>
        </row>
        <row r="1215">
          <cell r="B1215" t="str">
            <v/>
          </cell>
        </row>
        <row r="1216">
          <cell r="B1216" t="str">
            <v/>
          </cell>
        </row>
        <row r="1217">
          <cell r="B1217" t="str">
            <v/>
          </cell>
        </row>
        <row r="1218">
          <cell r="B1218" t="str">
            <v/>
          </cell>
        </row>
        <row r="1219">
          <cell r="B1219" t="str">
            <v/>
          </cell>
        </row>
        <row r="1220">
          <cell r="B1220" t="str">
            <v/>
          </cell>
        </row>
        <row r="1221">
          <cell r="B1221" t="str">
            <v/>
          </cell>
        </row>
        <row r="1222">
          <cell r="B1222" t="str">
            <v/>
          </cell>
        </row>
        <row r="1223">
          <cell r="B1223" t="str">
            <v/>
          </cell>
        </row>
        <row r="1224">
          <cell r="B1224" t="str">
            <v/>
          </cell>
        </row>
        <row r="1225">
          <cell r="B1225" t="str">
            <v/>
          </cell>
        </row>
        <row r="1226">
          <cell r="B1226" t="str">
            <v/>
          </cell>
        </row>
        <row r="1227">
          <cell r="B1227" t="str">
            <v/>
          </cell>
        </row>
        <row r="1228">
          <cell r="B1228" t="str">
            <v/>
          </cell>
        </row>
        <row r="1229">
          <cell r="B1229" t="str">
            <v/>
          </cell>
        </row>
        <row r="1230">
          <cell r="B1230" t="str">
            <v/>
          </cell>
        </row>
        <row r="1231">
          <cell r="B1231" t="str">
            <v/>
          </cell>
        </row>
        <row r="1232">
          <cell r="B1232" t="str">
            <v/>
          </cell>
        </row>
        <row r="1233">
          <cell r="B1233" t="str">
            <v/>
          </cell>
        </row>
        <row r="1234">
          <cell r="B1234" t="str">
            <v/>
          </cell>
        </row>
        <row r="1235">
          <cell r="B1235" t="str">
            <v/>
          </cell>
        </row>
        <row r="1236">
          <cell r="B1236" t="str">
            <v/>
          </cell>
        </row>
        <row r="1237">
          <cell r="B1237" t="str">
            <v/>
          </cell>
        </row>
        <row r="1238">
          <cell r="B1238" t="str">
            <v/>
          </cell>
        </row>
        <row r="1239">
          <cell r="B1239" t="str">
            <v/>
          </cell>
        </row>
        <row r="1240">
          <cell r="B1240" t="str">
            <v/>
          </cell>
        </row>
        <row r="1241">
          <cell r="B1241" t="str">
            <v/>
          </cell>
        </row>
        <row r="1242">
          <cell r="B1242" t="str">
            <v/>
          </cell>
        </row>
        <row r="1243">
          <cell r="B1243" t="str">
            <v/>
          </cell>
        </row>
        <row r="1244">
          <cell r="B1244" t="str">
            <v/>
          </cell>
        </row>
        <row r="1245">
          <cell r="B1245" t="str">
            <v/>
          </cell>
        </row>
        <row r="1246">
          <cell r="B1246" t="str">
            <v/>
          </cell>
        </row>
        <row r="1247">
          <cell r="B1247" t="str">
            <v/>
          </cell>
        </row>
        <row r="1248">
          <cell r="B1248" t="str">
            <v/>
          </cell>
        </row>
        <row r="1249">
          <cell r="B1249" t="str">
            <v/>
          </cell>
        </row>
        <row r="1250">
          <cell r="B1250" t="str">
            <v/>
          </cell>
        </row>
        <row r="1251">
          <cell r="B1251" t="str">
            <v/>
          </cell>
        </row>
        <row r="1252">
          <cell r="B1252" t="str">
            <v/>
          </cell>
        </row>
        <row r="1253">
          <cell r="B1253" t="str">
            <v/>
          </cell>
        </row>
        <row r="1254">
          <cell r="B1254" t="str">
            <v/>
          </cell>
        </row>
        <row r="1255">
          <cell r="B1255" t="str">
            <v/>
          </cell>
        </row>
        <row r="1256">
          <cell r="B1256" t="str">
            <v/>
          </cell>
        </row>
        <row r="1257">
          <cell r="B1257" t="str">
            <v/>
          </cell>
        </row>
        <row r="1258">
          <cell r="B1258" t="str">
            <v/>
          </cell>
        </row>
        <row r="1259">
          <cell r="B1259" t="str">
            <v/>
          </cell>
        </row>
        <row r="1260">
          <cell r="B1260" t="str">
            <v/>
          </cell>
        </row>
        <row r="1261">
          <cell r="B1261" t="str">
            <v/>
          </cell>
        </row>
        <row r="1262">
          <cell r="B1262" t="str">
            <v/>
          </cell>
        </row>
        <row r="1263">
          <cell r="B1263" t="str">
            <v/>
          </cell>
        </row>
        <row r="1264">
          <cell r="B1264" t="str">
            <v/>
          </cell>
        </row>
        <row r="1265">
          <cell r="B1265" t="str">
            <v/>
          </cell>
        </row>
        <row r="1266">
          <cell r="B1266" t="str">
            <v/>
          </cell>
        </row>
        <row r="1267">
          <cell r="B1267" t="str">
            <v/>
          </cell>
        </row>
        <row r="1268">
          <cell r="B1268" t="str">
            <v/>
          </cell>
        </row>
        <row r="1269">
          <cell r="B1269" t="str">
            <v/>
          </cell>
        </row>
        <row r="1270">
          <cell r="B1270" t="str">
            <v/>
          </cell>
        </row>
        <row r="1271">
          <cell r="B1271" t="str">
            <v/>
          </cell>
        </row>
        <row r="1272">
          <cell r="B1272" t="str">
            <v/>
          </cell>
        </row>
        <row r="1273">
          <cell r="B1273" t="str">
            <v/>
          </cell>
        </row>
        <row r="1274">
          <cell r="B1274" t="str">
            <v/>
          </cell>
        </row>
        <row r="1275">
          <cell r="B1275" t="str">
            <v/>
          </cell>
        </row>
        <row r="1276">
          <cell r="B1276" t="str">
            <v/>
          </cell>
        </row>
        <row r="1277">
          <cell r="B1277" t="str">
            <v/>
          </cell>
        </row>
        <row r="1278">
          <cell r="B1278" t="str">
            <v/>
          </cell>
        </row>
        <row r="1279">
          <cell r="B1279" t="str">
            <v/>
          </cell>
        </row>
        <row r="1280">
          <cell r="B1280" t="str">
            <v/>
          </cell>
        </row>
        <row r="1281">
          <cell r="B1281" t="str">
            <v/>
          </cell>
        </row>
        <row r="1282">
          <cell r="B1282" t="str">
            <v/>
          </cell>
        </row>
        <row r="1283">
          <cell r="B1283" t="str">
            <v/>
          </cell>
        </row>
        <row r="1284">
          <cell r="B1284" t="str">
            <v/>
          </cell>
        </row>
        <row r="1285">
          <cell r="B1285" t="str">
            <v/>
          </cell>
        </row>
        <row r="1286">
          <cell r="B1286" t="str">
            <v/>
          </cell>
        </row>
        <row r="1287">
          <cell r="B1287" t="str">
            <v/>
          </cell>
        </row>
        <row r="1288">
          <cell r="B1288" t="str">
            <v/>
          </cell>
        </row>
        <row r="1289">
          <cell r="B1289" t="str">
            <v/>
          </cell>
        </row>
        <row r="1290">
          <cell r="B1290" t="str">
            <v/>
          </cell>
        </row>
        <row r="1291">
          <cell r="B1291" t="str">
            <v/>
          </cell>
        </row>
        <row r="1292">
          <cell r="B1292" t="str">
            <v/>
          </cell>
        </row>
        <row r="1293">
          <cell r="B1293" t="str">
            <v/>
          </cell>
        </row>
        <row r="1294">
          <cell r="B1294" t="str">
            <v/>
          </cell>
        </row>
        <row r="1295">
          <cell r="B1295" t="str">
            <v/>
          </cell>
        </row>
        <row r="1296">
          <cell r="B1296" t="str">
            <v/>
          </cell>
        </row>
        <row r="1297">
          <cell r="B1297" t="str">
            <v/>
          </cell>
        </row>
        <row r="1298">
          <cell r="B1298" t="str">
            <v/>
          </cell>
        </row>
        <row r="1299">
          <cell r="B1299" t="str">
            <v/>
          </cell>
        </row>
        <row r="1300">
          <cell r="B1300" t="str">
            <v/>
          </cell>
        </row>
        <row r="1301">
          <cell r="B1301" t="str">
            <v/>
          </cell>
        </row>
        <row r="1302">
          <cell r="B1302" t="str">
            <v/>
          </cell>
        </row>
        <row r="1303">
          <cell r="B1303" t="str">
            <v/>
          </cell>
        </row>
        <row r="1304">
          <cell r="B1304" t="str">
            <v/>
          </cell>
        </row>
        <row r="1305">
          <cell r="B1305" t="str">
            <v/>
          </cell>
        </row>
        <row r="1306">
          <cell r="B1306" t="str">
            <v/>
          </cell>
        </row>
        <row r="1307">
          <cell r="B1307" t="str">
            <v/>
          </cell>
        </row>
        <row r="1308">
          <cell r="B1308" t="str">
            <v/>
          </cell>
        </row>
        <row r="1309">
          <cell r="B1309" t="str">
            <v/>
          </cell>
        </row>
        <row r="1310">
          <cell r="B1310" t="str">
            <v/>
          </cell>
        </row>
        <row r="1311">
          <cell r="B1311" t="str">
            <v/>
          </cell>
        </row>
        <row r="1312">
          <cell r="B1312" t="str">
            <v/>
          </cell>
        </row>
        <row r="1313">
          <cell r="B1313" t="str">
            <v/>
          </cell>
        </row>
        <row r="1314">
          <cell r="B1314" t="str">
            <v/>
          </cell>
        </row>
        <row r="1315">
          <cell r="B1315" t="str">
            <v/>
          </cell>
        </row>
        <row r="1316">
          <cell r="B1316" t="str">
            <v/>
          </cell>
        </row>
        <row r="1317">
          <cell r="B1317" t="str">
            <v/>
          </cell>
        </row>
        <row r="1318">
          <cell r="B1318" t="str">
            <v/>
          </cell>
        </row>
        <row r="1319">
          <cell r="B1319" t="str">
            <v/>
          </cell>
        </row>
        <row r="1320">
          <cell r="B1320" t="str">
            <v/>
          </cell>
        </row>
        <row r="1321">
          <cell r="B1321" t="str">
            <v/>
          </cell>
        </row>
        <row r="1322">
          <cell r="B1322" t="str">
            <v/>
          </cell>
        </row>
        <row r="1323">
          <cell r="B1323" t="str">
            <v/>
          </cell>
        </row>
        <row r="1324">
          <cell r="B1324" t="str">
            <v/>
          </cell>
        </row>
        <row r="1325">
          <cell r="B1325" t="str">
            <v/>
          </cell>
        </row>
        <row r="1326">
          <cell r="B1326" t="str">
            <v/>
          </cell>
        </row>
        <row r="1327">
          <cell r="B1327" t="str">
            <v/>
          </cell>
        </row>
        <row r="1328">
          <cell r="B1328" t="str">
            <v/>
          </cell>
        </row>
        <row r="1329">
          <cell r="B1329" t="str">
            <v/>
          </cell>
        </row>
        <row r="1330">
          <cell r="B1330" t="str">
            <v/>
          </cell>
        </row>
        <row r="1331">
          <cell r="B1331" t="str">
            <v/>
          </cell>
        </row>
        <row r="1332">
          <cell r="B1332" t="str">
            <v/>
          </cell>
        </row>
        <row r="1333">
          <cell r="B1333" t="str">
            <v/>
          </cell>
        </row>
        <row r="1334">
          <cell r="B1334" t="str">
            <v/>
          </cell>
        </row>
        <row r="1335">
          <cell r="B1335" t="str">
            <v/>
          </cell>
        </row>
        <row r="1336">
          <cell r="B1336" t="str">
            <v/>
          </cell>
        </row>
        <row r="1337">
          <cell r="B1337" t="str">
            <v/>
          </cell>
        </row>
        <row r="1338">
          <cell r="B1338" t="str">
            <v/>
          </cell>
        </row>
        <row r="1339">
          <cell r="B1339" t="str">
            <v/>
          </cell>
        </row>
        <row r="1340">
          <cell r="B1340" t="str">
            <v/>
          </cell>
        </row>
        <row r="1341">
          <cell r="B1341" t="str">
            <v/>
          </cell>
        </row>
        <row r="1342">
          <cell r="B1342" t="str">
            <v/>
          </cell>
        </row>
        <row r="1343">
          <cell r="B1343" t="str">
            <v/>
          </cell>
        </row>
        <row r="1344">
          <cell r="B1344" t="str">
            <v/>
          </cell>
        </row>
        <row r="1345">
          <cell r="B1345" t="str">
            <v/>
          </cell>
        </row>
        <row r="1346">
          <cell r="B1346" t="str">
            <v/>
          </cell>
        </row>
        <row r="1347">
          <cell r="B1347" t="str">
            <v/>
          </cell>
        </row>
        <row r="1348">
          <cell r="B1348" t="str">
            <v/>
          </cell>
        </row>
        <row r="1349">
          <cell r="B1349" t="str">
            <v/>
          </cell>
        </row>
        <row r="1350">
          <cell r="B1350" t="str">
            <v/>
          </cell>
        </row>
        <row r="1351">
          <cell r="B1351" t="str">
            <v/>
          </cell>
        </row>
        <row r="1352">
          <cell r="B1352" t="str">
            <v/>
          </cell>
        </row>
        <row r="1353">
          <cell r="B1353" t="str">
            <v/>
          </cell>
        </row>
        <row r="1354">
          <cell r="B1354" t="str">
            <v/>
          </cell>
        </row>
        <row r="1355">
          <cell r="B1355" t="str">
            <v/>
          </cell>
        </row>
        <row r="1356">
          <cell r="B1356" t="str">
            <v/>
          </cell>
        </row>
        <row r="1357">
          <cell r="B1357" t="str">
            <v/>
          </cell>
        </row>
        <row r="1358">
          <cell r="B1358" t="str">
            <v/>
          </cell>
        </row>
        <row r="1359">
          <cell r="B1359" t="str">
            <v/>
          </cell>
        </row>
        <row r="1360">
          <cell r="B1360" t="str">
            <v/>
          </cell>
        </row>
        <row r="1361">
          <cell r="B1361" t="str">
            <v/>
          </cell>
        </row>
        <row r="1362">
          <cell r="B1362" t="str">
            <v/>
          </cell>
        </row>
        <row r="1363">
          <cell r="B1363" t="str">
            <v/>
          </cell>
        </row>
        <row r="1364">
          <cell r="B1364" t="str">
            <v/>
          </cell>
        </row>
        <row r="1365">
          <cell r="B1365" t="str">
            <v/>
          </cell>
        </row>
        <row r="1366">
          <cell r="B1366" t="str">
            <v/>
          </cell>
        </row>
        <row r="1367">
          <cell r="B1367" t="str">
            <v/>
          </cell>
        </row>
        <row r="1368">
          <cell r="B1368" t="str">
            <v/>
          </cell>
        </row>
        <row r="1369">
          <cell r="B1369" t="str">
            <v/>
          </cell>
        </row>
        <row r="1370">
          <cell r="B1370" t="str">
            <v/>
          </cell>
        </row>
        <row r="1371">
          <cell r="B1371" t="str">
            <v/>
          </cell>
        </row>
        <row r="1372">
          <cell r="B1372" t="str">
            <v/>
          </cell>
        </row>
        <row r="1373">
          <cell r="B1373" t="str">
            <v/>
          </cell>
        </row>
        <row r="1374">
          <cell r="B1374" t="str">
            <v/>
          </cell>
        </row>
        <row r="1375">
          <cell r="B1375" t="str">
            <v/>
          </cell>
        </row>
        <row r="1376">
          <cell r="B1376" t="str">
            <v/>
          </cell>
        </row>
        <row r="1377">
          <cell r="B1377" t="str">
            <v/>
          </cell>
        </row>
        <row r="1378">
          <cell r="B1378" t="str">
            <v/>
          </cell>
        </row>
        <row r="1379">
          <cell r="B1379" t="str">
            <v/>
          </cell>
        </row>
        <row r="1380">
          <cell r="B1380" t="str">
            <v/>
          </cell>
        </row>
        <row r="1381">
          <cell r="B1381" t="str">
            <v/>
          </cell>
        </row>
        <row r="1382">
          <cell r="B1382" t="str">
            <v/>
          </cell>
        </row>
        <row r="1383">
          <cell r="B1383" t="str">
            <v/>
          </cell>
        </row>
        <row r="1384">
          <cell r="B1384" t="str">
            <v/>
          </cell>
        </row>
        <row r="1385">
          <cell r="B1385" t="str">
            <v/>
          </cell>
        </row>
        <row r="1386">
          <cell r="B1386" t="str">
            <v/>
          </cell>
        </row>
        <row r="1387">
          <cell r="B1387" t="str">
            <v/>
          </cell>
        </row>
        <row r="1388">
          <cell r="B1388" t="str">
            <v/>
          </cell>
        </row>
        <row r="1389">
          <cell r="B1389" t="str">
            <v/>
          </cell>
        </row>
        <row r="1390">
          <cell r="B1390" t="str">
            <v/>
          </cell>
        </row>
        <row r="1391">
          <cell r="B1391" t="str">
            <v/>
          </cell>
        </row>
        <row r="1392">
          <cell r="B1392" t="str">
            <v/>
          </cell>
        </row>
        <row r="1393">
          <cell r="B1393" t="str">
            <v/>
          </cell>
        </row>
        <row r="1394">
          <cell r="B1394" t="str">
            <v/>
          </cell>
        </row>
        <row r="1395">
          <cell r="B1395" t="str">
            <v/>
          </cell>
        </row>
        <row r="1396">
          <cell r="B1396" t="str">
            <v/>
          </cell>
        </row>
        <row r="1397">
          <cell r="B1397" t="str">
            <v/>
          </cell>
        </row>
        <row r="1398">
          <cell r="B1398" t="str">
            <v/>
          </cell>
        </row>
        <row r="1399">
          <cell r="B1399" t="str">
            <v/>
          </cell>
        </row>
        <row r="1400">
          <cell r="B1400" t="str">
            <v/>
          </cell>
        </row>
        <row r="1401">
          <cell r="B1401" t="str">
            <v/>
          </cell>
        </row>
        <row r="1402">
          <cell r="B1402" t="str">
            <v/>
          </cell>
        </row>
        <row r="1403">
          <cell r="B1403" t="str">
            <v/>
          </cell>
        </row>
        <row r="1404">
          <cell r="B1404" t="str">
            <v/>
          </cell>
        </row>
        <row r="1405">
          <cell r="B1405" t="str">
            <v/>
          </cell>
        </row>
        <row r="1406">
          <cell r="B1406" t="str">
            <v/>
          </cell>
        </row>
        <row r="1407">
          <cell r="B1407" t="str">
            <v/>
          </cell>
        </row>
        <row r="1408">
          <cell r="B1408" t="str">
            <v/>
          </cell>
        </row>
        <row r="1409">
          <cell r="B1409" t="str">
            <v/>
          </cell>
        </row>
        <row r="1410">
          <cell r="B1410" t="str">
            <v/>
          </cell>
        </row>
        <row r="1411">
          <cell r="B1411" t="str">
            <v/>
          </cell>
        </row>
        <row r="1412">
          <cell r="B1412" t="str">
            <v/>
          </cell>
        </row>
        <row r="1413">
          <cell r="B1413" t="str">
            <v/>
          </cell>
        </row>
        <row r="1414">
          <cell r="B1414" t="str">
            <v/>
          </cell>
        </row>
        <row r="1415">
          <cell r="B1415" t="str">
            <v/>
          </cell>
        </row>
        <row r="1416">
          <cell r="B1416" t="str">
            <v/>
          </cell>
        </row>
        <row r="1417">
          <cell r="B1417" t="str">
            <v/>
          </cell>
        </row>
        <row r="1418">
          <cell r="B1418" t="str">
            <v/>
          </cell>
        </row>
        <row r="1419">
          <cell r="B1419" t="str">
            <v/>
          </cell>
        </row>
        <row r="1420">
          <cell r="B1420" t="str">
            <v/>
          </cell>
        </row>
        <row r="1421">
          <cell r="B1421" t="str">
            <v/>
          </cell>
        </row>
        <row r="1422">
          <cell r="B1422" t="str">
            <v/>
          </cell>
        </row>
        <row r="1423">
          <cell r="B1423" t="str">
            <v/>
          </cell>
        </row>
        <row r="1424">
          <cell r="B1424" t="str">
            <v/>
          </cell>
        </row>
        <row r="1425">
          <cell r="B1425" t="str">
            <v/>
          </cell>
        </row>
        <row r="1426">
          <cell r="B1426" t="str">
            <v/>
          </cell>
        </row>
        <row r="1427">
          <cell r="B1427" t="str">
            <v/>
          </cell>
        </row>
        <row r="1428">
          <cell r="B1428" t="str">
            <v/>
          </cell>
        </row>
        <row r="1429">
          <cell r="B1429" t="str">
            <v/>
          </cell>
        </row>
        <row r="1430">
          <cell r="B1430" t="str">
            <v/>
          </cell>
        </row>
        <row r="1431">
          <cell r="B1431" t="str">
            <v/>
          </cell>
        </row>
        <row r="1432">
          <cell r="B1432" t="str">
            <v/>
          </cell>
        </row>
        <row r="1433">
          <cell r="B1433" t="str">
            <v/>
          </cell>
        </row>
        <row r="1434">
          <cell r="B1434" t="str">
            <v/>
          </cell>
        </row>
        <row r="1435">
          <cell r="B1435" t="str">
            <v/>
          </cell>
        </row>
        <row r="1436">
          <cell r="B1436" t="str">
            <v/>
          </cell>
        </row>
        <row r="1437">
          <cell r="B1437" t="str">
            <v/>
          </cell>
        </row>
        <row r="1438">
          <cell r="B1438" t="str">
            <v/>
          </cell>
        </row>
        <row r="1439">
          <cell r="B1439" t="str">
            <v/>
          </cell>
        </row>
        <row r="1440">
          <cell r="B1440" t="str">
            <v/>
          </cell>
        </row>
        <row r="1441">
          <cell r="B1441" t="str">
            <v/>
          </cell>
        </row>
        <row r="1442">
          <cell r="B1442" t="str">
            <v/>
          </cell>
        </row>
        <row r="1443">
          <cell r="B1443" t="str">
            <v/>
          </cell>
        </row>
        <row r="1444">
          <cell r="B1444" t="str">
            <v/>
          </cell>
        </row>
        <row r="1445">
          <cell r="B1445" t="str">
            <v/>
          </cell>
        </row>
        <row r="1446">
          <cell r="B1446" t="str">
            <v/>
          </cell>
        </row>
        <row r="1447">
          <cell r="B1447" t="str">
            <v/>
          </cell>
        </row>
        <row r="1448">
          <cell r="B1448" t="str">
            <v/>
          </cell>
        </row>
        <row r="1449">
          <cell r="B1449" t="str">
            <v/>
          </cell>
        </row>
        <row r="1450">
          <cell r="B1450" t="str">
            <v/>
          </cell>
        </row>
        <row r="1451">
          <cell r="B1451" t="str">
            <v/>
          </cell>
        </row>
        <row r="1452">
          <cell r="B1452" t="str">
            <v/>
          </cell>
        </row>
        <row r="1453">
          <cell r="B1453" t="str">
            <v/>
          </cell>
        </row>
        <row r="1454">
          <cell r="B1454" t="str">
            <v/>
          </cell>
        </row>
        <row r="1455">
          <cell r="B1455" t="str">
            <v/>
          </cell>
        </row>
        <row r="1456">
          <cell r="B1456" t="str">
            <v/>
          </cell>
        </row>
        <row r="1457">
          <cell r="B1457" t="str">
            <v/>
          </cell>
        </row>
        <row r="1458">
          <cell r="B1458" t="str">
            <v/>
          </cell>
        </row>
        <row r="1459">
          <cell r="B1459" t="str">
            <v/>
          </cell>
        </row>
        <row r="1460">
          <cell r="B1460" t="str">
            <v/>
          </cell>
        </row>
        <row r="1461">
          <cell r="B1461" t="str">
            <v/>
          </cell>
        </row>
        <row r="1462">
          <cell r="B1462" t="str">
            <v/>
          </cell>
        </row>
        <row r="1463">
          <cell r="B1463" t="str">
            <v/>
          </cell>
        </row>
        <row r="1464">
          <cell r="B1464" t="str">
            <v/>
          </cell>
        </row>
        <row r="1465">
          <cell r="B1465" t="str">
            <v/>
          </cell>
        </row>
        <row r="1466">
          <cell r="B1466" t="str">
            <v/>
          </cell>
        </row>
        <row r="1467">
          <cell r="B1467" t="str">
            <v/>
          </cell>
        </row>
        <row r="1468">
          <cell r="B1468" t="str">
            <v/>
          </cell>
        </row>
        <row r="1469">
          <cell r="B1469" t="str">
            <v/>
          </cell>
        </row>
        <row r="1470">
          <cell r="B1470" t="str">
            <v/>
          </cell>
        </row>
        <row r="1471">
          <cell r="B1471" t="str">
            <v/>
          </cell>
        </row>
        <row r="1472">
          <cell r="B1472" t="str">
            <v/>
          </cell>
        </row>
        <row r="1473">
          <cell r="B1473" t="str">
            <v/>
          </cell>
        </row>
        <row r="1474">
          <cell r="B1474" t="str">
            <v/>
          </cell>
        </row>
        <row r="1475">
          <cell r="B1475" t="str">
            <v/>
          </cell>
        </row>
        <row r="1476">
          <cell r="B1476" t="str">
            <v/>
          </cell>
        </row>
        <row r="1477">
          <cell r="B1477" t="str">
            <v/>
          </cell>
        </row>
        <row r="1478">
          <cell r="B1478" t="str">
            <v/>
          </cell>
        </row>
        <row r="1479">
          <cell r="B1479" t="str">
            <v/>
          </cell>
        </row>
        <row r="1480">
          <cell r="B1480" t="str">
            <v/>
          </cell>
        </row>
        <row r="1481">
          <cell r="B1481" t="str">
            <v/>
          </cell>
        </row>
        <row r="1482">
          <cell r="B1482" t="str">
            <v/>
          </cell>
        </row>
        <row r="1483">
          <cell r="B1483" t="str">
            <v/>
          </cell>
        </row>
        <row r="1484">
          <cell r="B1484" t="str">
            <v/>
          </cell>
        </row>
        <row r="1485">
          <cell r="B1485" t="str">
            <v/>
          </cell>
        </row>
        <row r="1486">
          <cell r="B1486" t="str">
            <v/>
          </cell>
        </row>
        <row r="1487">
          <cell r="B1487" t="str">
            <v/>
          </cell>
        </row>
        <row r="1488">
          <cell r="B1488" t="str">
            <v/>
          </cell>
        </row>
        <row r="1489">
          <cell r="B1489" t="str">
            <v/>
          </cell>
        </row>
        <row r="1490">
          <cell r="B1490" t="str">
            <v/>
          </cell>
        </row>
        <row r="1491">
          <cell r="B1491" t="str">
            <v/>
          </cell>
        </row>
        <row r="1492">
          <cell r="B1492" t="str">
            <v/>
          </cell>
        </row>
        <row r="1493">
          <cell r="B1493" t="str">
            <v/>
          </cell>
        </row>
        <row r="1494">
          <cell r="B1494" t="str">
            <v/>
          </cell>
        </row>
        <row r="1495">
          <cell r="B1495" t="str">
            <v/>
          </cell>
        </row>
        <row r="1496">
          <cell r="B1496" t="str">
            <v/>
          </cell>
        </row>
        <row r="1497">
          <cell r="B1497" t="str">
            <v/>
          </cell>
        </row>
        <row r="1498">
          <cell r="B1498" t="str">
            <v/>
          </cell>
        </row>
        <row r="1499">
          <cell r="B1499" t="str">
            <v/>
          </cell>
        </row>
        <row r="1500">
          <cell r="B1500" t="str">
            <v/>
          </cell>
        </row>
        <row r="1501">
          <cell r="B1501" t="str">
            <v/>
          </cell>
        </row>
        <row r="1502">
          <cell r="B1502" t="str">
            <v/>
          </cell>
        </row>
        <row r="1503">
          <cell r="B1503" t="str">
            <v/>
          </cell>
        </row>
        <row r="1504">
          <cell r="B1504" t="str">
            <v/>
          </cell>
        </row>
        <row r="1505">
          <cell r="B1505" t="str">
            <v/>
          </cell>
        </row>
        <row r="1506">
          <cell r="B1506" t="str">
            <v/>
          </cell>
        </row>
        <row r="1507">
          <cell r="B1507" t="str">
            <v/>
          </cell>
        </row>
        <row r="1508">
          <cell r="B1508" t="str">
            <v/>
          </cell>
        </row>
        <row r="1509">
          <cell r="B1509" t="str">
            <v/>
          </cell>
        </row>
        <row r="1510">
          <cell r="B1510" t="str">
            <v/>
          </cell>
        </row>
        <row r="1511">
          <cell r="B1511" t="str">
            <v/>
          </cell>
        </row>
        <row r="1512">
          <cell r="B1512" t="str">
            <v/>
          </cell>
        </row>
        <row r="1513">
          <cell r="B1513" t="str">
            <v/>
          </cell>
        </row>
        <row r="1514">
          <cell r="B1514" t="str">
            <v/>
          </cell>
        </row>
        <row r="1515">
          <cell r="B1515" t="str">
            <v/>
          </cell>
        </row>
        <row r="1516">
          <cell r="B1516" t="str">
            <v/>
          </cell>
        </row>
        <row r="1517">
          <cell r="B1517" t="str">
            <v/>
          </cell>
        </row>
        <row r="1518">
          <cell r="B1518" t="str">
            <v/>
          </cell>
        </row>
        <row r="1519">
          <cell r="B1519" t="str">
            <v/>
          </cell>
        </row>
        <row r="1520">
          <cell r="B1520" t="str">
            <v/>
          </cell>
        </row>
        <row r="1521">
          <cell r="B1521" t="str">
            <v/>
          </cell>
        </row>
        <row r="1522">
          <cell r="B1522" t="str">
            <v/>
          </cell>
        </row>
        <row r="1523">
          <cell r="B1523" t="str">
            <v/>
          </cell>
        </row>
        <row r="1524">
          <cell r="B1524" t="str">
            <v/>
          </cell>
        </row>
        <row r="1525">
          <cell r="B1525" t="str">
            <v/>
          </cell>
        </row>
        <row r="1526">
          <cell r="B1526" t="str">
            <v/>
          </cell>
        </row>
        <row r="1527">
          <cell r="B1527" t="str">
            <v/>
          </cell>
        </row>
        <row r="1528">
          <cell r="B1528" t="str">
            <v/>
          </cell>
        </row>
        <row r="1529">
          <cell r="B1529" t="str">
            <v/>
          </cell>
        </row>
        <row r="1530">
          <cell r="B1530" t="str">
            <v/>
          </cell>
        </row>
        <row r="1531">
          <cell r="B1531" t="str">
            <v/>
          </cell>
        </row>
        <row r="1532">
          <cell r="B1532" t="str">
            <v/>
          </cell>
        </row>
        <row r="1533">
          <cell r="B1533" t="str">
            <v/>
          </cell>
        </row>
        <row r="1534">
          <cell r="B1534" t="str">
            <v/>
          </cell>
        </row>
        <row r="1535">
          <cell r="B1535" t="str">
            <v/>
          </cell>
        </row>
        <row r="1536">
          <cell r="B1536" t="str">
            <v/>
          </cell>
        </row>
        <row r="1537">
          <cell r="B1537" t="str">
            <v/>
          </cell>
        </row>
        <row r="1538">
          <cell r="B1538" t="str">
            <v/>
          </cell>
        </row>
        <row r="1539">
          <cell r="B1539" t="str">
            <v/>
          </cell>
        </row>
        <row r="1540">
          <cell r="B1540" t="str">
            <v/>
          </cell>
        </row>
        <row r="1541">
          <cell r="B1541" t="str">
            <v/>
          </cell>
        </row>
        <row r="1542">
          <cell r="B1542" t="str">
            <v/>
          </cell>
        </row>
        <row r="1543">
          <cell r="B1543" t="str">
            <v/>
          </cell>
        </row>
        <row r="1544">
          <cell r="B1544" t="str">
            <v/>
          </cell>
        </row>
        <row r="1545">
          <cell r="B1545" t="str">
            <v/>
          </cell>
        </row>
        <row r="1546">
          <cell r="B1546" t="str">
            <v/>
          </cell>
        </row>
        <row r="1547">
          <cell r="B1547" t="str">
            <v/>
          </cell>
        </row>
        <row r="1548">
          <cell r="B1548" t="str">
            <v/>
          </cell>
        </row>
        <row r="1549">
          <cell r="B1549" t="str">
            <v/>
          </cell>
        </row>
        <row r="1550">
          <cell r="B1550" t="str">
            <v/>
          </cell>
        </row>
        <row r="1551">
          <cell r="B1551" t="str">
            <v/>
          </cell>
        </row>
        <row r="1552">
          <cell r="B1552" t="str">
            <v/>
          </cell>
        </row>
        <row r="1553">
          <cell r="B1553" t="str">
            <v/>
          </cell>
        </row>
        <row r="1554">
          <cell r="B1554" t="str">
            <v/>
          </cell>
        </row>
        <row r="1555">
          <cell r="B1555" t="str">
            <v/>
          </cell>
        </row>
        <row r="1556">
          <cell r="B1556" t="str">
            <v/>
          </cell>
        </row>
        <row r="1557">
          <cell r="B1557" t="str">
            <v/>
          </cell>
        </row>
        <row r="1558">
          <cell r="B1558" t="str">
            <v/>
          </cell>
        </row>
        <row r="1559">
          <cell r="B1559" t="str">
            <v/>
          </cell>
        </row>
        <row r="1560">
          <cell r="B1560" t="str">
            <v/>
          </cell>
        </row>
        <row r="1561">
          <cell r="B1561" t="str">
            <v/>
          </cell>
        </row>
        <row r="1562">
          <cell r="B1562" t="str">
            <v/>
          </cell>
        </row>
        <row r="1563">
          <cell r="B1563" t="str">
            <v/>
          </cell>
        </row>
        <row r="1564">
          <cell r="B1564" t="str">
            <v/>
          </cell>
        </row>
        <row r="1565">
          <cell r="B1565" t="str">
            <v/>
          </cell>
        </row>
        <row r="1566">
          <cell r="B1566" t="str">
            <v/>
          </cell>
        </row>
        <row r="1567">
          <cell r="B1567" t="str">
            <v/>
          </cell>
        </row>
        <row r="1568">
          <cell r="B1568" t="str">
            <v/>
          </cell>
        </row>
        <row r="1569">
          <cell r="B1569" t="str">
            <v/>
          </cell>
        </row>
        <row r="1570">
          <cell r="B1570" t="str">
            <v/>
          </cell>
        </row>
        <row r="1571">
          <cell r="B1571" t="str">
            <v/>
          </cell>
        </row>
        <row r="1572">
          <cell r="B1572" t="str">
            <v/>
          </cell>
        </row>
        <row r="1573">
          <cell r="B1573" t="str">
            <v/>
          </cell>
        </row>
        <row r="1574">
          <cell r="B1574" t="str">
            <v/>
          </cell>
        </row>
        <row r="1575">
          <cell r="B1575" t="str">
            <v/>
          </cell>
        </row>
        <row r="1576">
          <cell r="B1576" t="str">
            <v/>
          </cell>
        </row>
        <row r="1577">
          <cell r="B1577" t="str">
            <v/>
          </cell>
        </row>
        <row r="1578">
          <cell r="B1578" t="str">
            <v/>
          </cell>
        </row>
        <row r="1579">
          <cell r="B1579" t="str">
            <v/>
          </cell>
        </row>
        <row r="1580">
          <cell r="B1580" t="str">
            <v/>
          </cell>
        </row>
        <row r="1581">
          <cell r="B1581" t="str">
            <v/>
          </cell>
        </row>
        <row r="1582">
          <cell r="B1582" t="str">
            <v/>
          </cell>
        </row>
        <row r="1583">
          <cell r="B1583" t="str">
            <v/>
          </cell>
        </row>
        <row r="1584">
          <cell r="B1584" t="str">
            <v/>
          </cell>
        </row>
        <row r="1585">
          <cell r="B1585" t="str">
            <v/>
          </cell>
        </row>
        <row r="1586">
          <cell r="B1586" t="str">
            <v/>
          </cell>
        </row>
        <row r="1587">
          <cell r="B1587" t="str">
            <v/>
          </cell>
        </row>
        <row r="1588">
          <cell r="B1588" t="str">
            <v/>
          </cell>
        </row>
        <row r="1589">
          <cell r="B1589" t="str">
            <v/>
          </cell>
        </row>
        <row r="1590">
          <cell r="B1590" t="str">
            <v/>
          </cell>
        </row>
        <row r="1591">
          <cell r="B1591" t="str">
            <v/>
          </cell>
        </row>
        <row r="1592">
          <cell r="B1592" t="str">
            <v/>
          </cell>
        </row>
        <row r="1593">
          <cell r="B1593" t="str">
            <v/>
          </cell>
        </row>
        <row r="1594">
          <cell r="B1594" t="str">
            <v/>
          </cell>
        </row>
        <row r="1595">
          <cell r="B1595" t="str">
            <v/>
          </cell>
        </row>
        <row r="1596">
          <cell r="B1596" t="str">
            <v/>
          </cell>
        </row>
        <row r="1597">
          <cell r="B1597" t="str">
            <v/>
          </cell>
        </row>
        <row r="1598">
          <cell r="B1598" t="str">
            <v/>
          </cell>
        </row>
        <row r="1599">
          <cell r="B1599" t="str">
            <v/>
          </cell>
        </row>
        <row r="1600">
          <cell r="B1600" t="str">
            <v/>
          </cell>
        </row>
        <row r="1601">
          <cell r="B1601" t="str">
            <v/>
          </cell>
        </row>
        <row r="1602">
          <cell r="B1602" t="str">
            <v/>
          </cell>
        </row>
        <row r="1603">
          <cell r="B1603" t="str">
            <v/>
          </cell>
        </row>
        <row r="1604">
          <cell r="B1604" t="str">
            <v/>
          </cell>
        </row>
        <row r="1605">
          <cell r="B1605" t="str">
            <v/>
          </cell>
        </row>
        <row r="1606">
          <cell r="B1606" t="str">
            <v/>
          </cell>
        </row>
        <row r="1607">
          <cell r="B1607" t="str">
            <v/>
          </cell>
        </row>
        <row r="1608">
          <cell r="B1608" t="str">
            <v/>
          </cell>
        </row>
        <row r="1609">
          <cell r="B1609" t="str">
            <v/>
          </cell>
        </row>
        <row r="1610">
          <cell r="B1610" t="str">
            <v/>
          </cell>
        </row>
        <row r="1611">
          <cell r="B1611" t="str">
            <v/>
          </cell>
        </row>
        <row r="1612">
          <cell r="B1612" t="str">
            <v/>
          </cell>
        </row>
        <row r="1613">
          <cell r="B1613" t="str">
            <v/>
          </cell>
        </row>
        <row r="1614">
          <cell r="B1614" t="str">
            <v/>
          </cell>
        </row>
        <row r="1615">
          <cell r="B1615" t="str">
            <v/>
          </cell>
        </row>
        <row r="1616">
          <cell r="B1616" t="str">
            <v/>
          </cell>
        </row>
        <row r="1617">
          <cell r="B1617" t="str">
            <v/>
          </cell>
        </row>
        <row r="1618">
          <cell r="B1618" t="str">
            <v/>
          </cell>
        </row>
        <row r="1619">
          <cell r="B1619" t="str">
            <v/>
          </cell>
        </row>
        <row r="1620">
          <cell r="B1620" t="str">
            <v/>
          </cell>
        </row>
        <row r="1621">
          <cell r="B1621" t="str">
            <v/>
          </cell>
        </row>
        <row r="1622">
          <cell r="B1622" t="str">
            <v/>
          </cell>
        </row>
        <row r="1623">
          <cell r="B1623" t="str">
            <v/>
          </cell>
        </row>
        <row r="1624">
          <cell r="B1624" t="str">
            <v/>
          </cell>
        </row>
        <row r="1625">
          <cell r="B1625" t="str">
            <v/>
          </cell>
        </row>
        <row r="1626">
          <cell r="B1626" t="str">
            <v/>
          </cell>
        </row>
        <row r="1627">
          <cell r="B1627" t="str">
            <v/>
          </cell>
        </row>
        <row r="1628">
          <cell r="B1628" t="str">
            <v/>
          </cell>
        </row>
        <row r="1629">
          <cell r="B1629" t="str">
            <v/>
          </cell>
        </row>
        <row r="1630">
          <cell r="B1630" t="str">
            <v/>
          </cell>
        </row>
        <row r="1631">
          <cell r="B1631" t="str">
            <v/>
          </cell>
        </row>
        <row r="1632">
          <cell r="B1632" t="str">
            <v/>
          </cell>
        </row>
        <row r="1633">
          <cell r="B1633" t="str">
            <v/>
          </cell>
        </row>
        <row r="1634">
          <cell r="B1634" t="str">
            <v/>
          </cell>
        </row>
        <row r="1635">
          <cell r="B1635" t="str">
            <v/>
          </cell>
        </row>
        <row r="1636">
          <cell r="B1636" t="str">
            <v/>
          </cell>
        </row>
        <row r="1637">
          <cell r="B1637" t="str">
            <v/>
          </cell>
        </row>
        <row r="1638">
          <cell r="B1638" t="str">
            <v/>
          </cell>
        </row>
        <row r="1639">
          <cell r="B1639" t="str">
            <v/>
          </cell>
        </row>
        <row r="1640">
          <cell r="B1640" t="str">
            <v/>
          </cell>
        </row>
        <row r="1641">
          <cell r="B1641" t="str">
            <v/>
          </cell>
        </row>
        <row r="1642">
          <cell r="B1642" t="str">
            <v/>
          </cell>
        </row>
        <row r="1643">
          <cell r="B1643" t="str">
            <v/>
          </cell>
        </row>
        <row r="1644">
          <cell r="B1644" t="str">
            <v/>
          </cell>
        </row>
        <row r="1645">
          <cell r="B1645" t="str">
            <v/>
          </cell>
        </row>
        <row r="1646">
          <cell r="B1646" t="str">
            <v/>
          </cell>
        </row>
        <row r="1647">
          <cell r="B1647" t="str">
            <v/>
          </cell>
        </row>
        <row r="1648">
          <cell r="B1648" t="str">
            <v/>
          </cell>
        </row>
        <row r="1649">
          <cell r="B1649" t="str">
            <v/>
          </cell>
        </row>
        <row r="1650">
          <cell r="B1650" t="str">
            <v/>
          </cell>
        </row>
        <row r="1651">
          <cell r="B1651" t="str">
            <v/>
          </cell>
        </row>
        <row r="1652">
          <cell r="B1652" t="str">
            <v/>
          </cell>
        </row>
        <row r="1653">
          <cell r="B1653" t="str">
            <v/>
          </cell>
        </row>
        <row r="1654">
          <cell r="B1654" t="str">
            <v/>
          </cell>
        </row>
        <row r="1655">
          <cell r="B1655" t="str">
            <v/>
          </cell>
        </row>
        <row r="1656">
          <cell r="B1656" t="str">
            <v/>
          </cell>
        </row>
        <row r="1657">
          <cell r="B1657" t="str">
            <v/>
          </cell>
        </row>
        <row r="1658">
          <cell r="B1658" t="str">
            <v/>
          </cell>
        </row>
        <row r="1659">
          <cell r="B1659" t="str">
            <v/>
          </cell>
        </row>
        <row r="1660">
          <cell r="B1660" t="str">
            <v/>
          </cell>
        </row>
        <row r="1661">
          <cell r="B1661" t="str">
            <v/>
          </cell>
        </row>
        <row r="1662">
          <cell r="B1662" t="str">
            <v/>
          </cell>
        </row>
        <row r="1663">
          <cell r="B1663" t="str">
            <v/>
          </cell>
        </row>
        <row r="1664">
          <cell r="B1664" t="str">
            <v/>
          </cell>
        </row>
        <row r="1665">
          <cell r="B1665" t="str">
            <v/>
          </cell>
        </row>
        <row r="1666">
          <cell r="B1666" t="str">
            <v/>
          </cell>
        </row>
        <row r="1667">
          <cell r="B1667" t="str">
            <v/>
          </cell>
        </row>
        <row r="1668">
          <cell r="B1668" t="str">
            <v/>
          </cell>
        </row>
        <row r="1669">
          <cell r="B1669" t="str">
            <v/>
          </cell>
        </row>
        <row r="1670">
          <cell r="B1670" t="str">
            <v/>
          </cell>
        </row>
        <row r="1671">
          <cell r="B1671" t="str">
            <v/>
          </cell>
        </row>
        <row r="1672">
          <cell r="B1672" t="str">
            <v/>
          </cell>
        </row>
        <row r="1673">
          <cell r="B1673" t="str">
            <v/>
          </cell>
        </row>
        <row r="1674">
          <cell r="B1674" t="str">
            <v/>
          </cell>
        </row>
        <row r="1675">
          <cell r="B1675" t="str">
            <v/>
          </cell>
        </row>
        <row r="1676">
          <cell r="B1676" t="str">
            <v/>
          </cell>
        </row>
        <row r="1677">
          <cell r="B1677" t="str">
            <v/>
          </cell>
        </row>
        <row r="1678">
          <cell r="B1678" t="str">
            <v/>
          </cell>
        </row>
        <row r="1679">
          <cell r="B1679" t="str">
            <v/>
          </cell>
        </row>
        <row r="1680">
          <cell r="B1680" t="str">
            <v/>
          </cell>
        </row>
        <row r="1681">
          <cell r="B1681" t="str">
            <v/>
          </cell>
        </row>
        <row r="1682">
          <cell r="B1682" t="str">
            <v/>
          </cell>
        </row>
        <row r="1683">
          <cell r="B1683" t="str">
            <v/>
          </cell>
        </row>
        <row r="1684">
          <cell r="B1684" t="str">
            <v/>
          </cell>
        </row>
        <row r="1685">
          <cell r="B1685" t="str">
            <v/>
          </cell>
        </row>
        <row r="1686">
          <cell r="B1686" t="str">
            <v/>
          </cell>
        </row>
        <row r="1687">
          <cell r="B1687" t="str">
            <v/>
          </cell>
        </row>
        <row r="1688">
          <cell r="B1688" t="str">
            <v/>
          </cell>
        </row>
        <row r="1689">
          <cell r="B1689" t="str">
            <v/>
          </cell>
        </row>
        <row r="1690">
          <cell r="B1690" t="str">
            <v/>
          </cell>
        </row>
        <row r="1691">
          <cell r="B1691" t="str">
            <v/>
          </cell>
        </row>
        <row r="1692">
          <cell r="B1692" t="str">
            <v/>
          </cell>
        </row>
        <row r="1693">
          <cell r="B1693" t="str">
            <v/>
          </cell>
        </row>
        <row r="1694">
          <cell r="B1694" t="str">
            <v/>
          </cell>
        </row>
        <row r="1695">
          <cell r="B1695" t="str">
            <v/>
          </cell>
        </row>
        <row r="1696">
          <cell r="B1696" t="str">
            <v/>
          </cell>
        </row>
        <row r="1697">
          <cell r="B1697" t="str">
            <v/>
          </cell>
        </row>
        <row r="1698">
          <cell r="B1698" t="str">
            <v/>
          </cell>
        </row>
        <row r="1699">
          <cell r="B1699" t="str">
            <v/>
          </cell>
        </row>
        <row r="1700">
          <cell r="B1700" t="str">
            <v/>
          </cell>
        </row>
        <row r="1701">
          <cell r="B1701" t="str">
            <v/>
          </cell>
        </row>
        <row r="1702">
          <cell r="B1702" t="str">
            <v/>
          </cell>
        </row>
        <row r="1703">
          <cell r="B1703" t="str">
            <v/>
          </cell>
        </row>
        <row r="1704">
          <cell r="B1704" t="str">
            <v/>
          </cell>
        </row>
        <row r="1705">
          <cell r="B1705" t="str">
            <v/>
          </cell>
        </row>
        <row r="1706">
          <cell r="B1706" t="str">
            <v/>
          </cell>
        </row>
        <row r="1707">
          <cell r="B1707" t="str">
            <v/>
          </cell>
        </row>
        <row r="1708">
          <cell r="B1708" t="str">
            <v/>
          </cell>
        </row>
        <row r="1709">
          <cell r="B1709" t="str">
            <v/>
          </cell>
        </row>
        <row r="1710">
          <cell r="B1710" t="str">
            <v/>
          </cell>
        </row>
        <row r="1711">
          <cell r="B1711" t="str">
            <v/>
          </cell>
        </row>
        <row r="1712">
          <cell r="B1712" t="str">
            <v/>
          </cell>
        </row>
        <row r="1713">
          <cell r="B1713" t="str">
            <v/>
          </cell>
        </row>
        <row r="1714">
          <cell r="B1714" t="str">
            <v/>
          </cell>
        </row>
        <row r="1715">
          <cell r="B1715" t="str">
            <v/>
          </cell>
        </row>
        <row r="1716">
          <cell r="B1716" t="str">
            <v/>
          </cell>
        </row>
        <row r="1717">
          <cell r="B1717" t="str">
            <v/>
          </cell>
        </row>
        <row r="1718">
          <cell r="B1718" t="str">
            <v/>
          </cell>
        </row>
        <row r="1719">
          <cell r="B1719" t="str">
            <v/>
          </cell>
        </row>
        <row r="1720">
          <cell r="B1720" t="str">
            <v/>
          </cell>
        </row>
        <row r="1721">
          <cell r="B1721" t="str">
            <v/>
          </cell>
        </row>
        <row r="1722">
          <cell r="B1722" t="str">
            <v/>
          </cell>
        </row>
        <row r="1723">
          <cell r="B1723" t="str">
            <v/>
          </cell>
        </row>
        <row r="1724">
          <cell r="B1724" t="str">
            <v/>
          </cell>
        </row>
        <row r="1725">
          <cell r="B1725" t="str">
            <v/>
          </cell>
        </row>
        <row r="1726">
          <cell r="B1726" t="str">
            <v/>
          </cell>
        </row>
        <row r="1727">
          <cell r="B1727" t="str">
            <v/>
          </cell>
        </row>
        <row r="1728">
          <cell r="B1728" t="str">
            <v/>
          </cell>
        </row>
        <row r="1729">
          <cell r="B1729" t="str">
            <v/>
          </cell>
        </row>
        <row r="1730">
          <cell r="B1730" t="str">
            <v/>
          </cell>
        </row>
        <row r="1731">
          <cell r="B1731" t="str">
            <v/>
          </cell>
        </row>
        <row r="1732">
          <cell r="B1732" t="str">
            <v/>
          </cell>
        </row>
        <row r="1733">
          <cell r="B1733" t="str">
            <v/>
          </cell>
        </row>
        <row r="1734">
          <cell r="B1734" t="str">
            <v/>
          </cell>
        </row>
        <row r="1735">
          <cell r="B1735" t="str">
            <v/>
          </cell>
        </row>
        <row r="1736">
          <cell r="B1736" t="str">
            <v/>
          </cell>
        </row>
        <row r="1737">
          <cell r="B1737" t="str">
            <v/>
          </cell>
        </row>
        <row r="1738">
          <cell r="B1738" t="str">
            <v/>
          </cell>
        </row>
        <row r="1739">
          <cell r="B1739" t="str">
            <v/>
          </cell>
        </row>
        <row r="1740">
          <cell r="B1740" t="str">
            <v/>
          </cell>
        </row>
        <row r="1741">
          <cell r="B1741" t="str">
            <v/>
          </cell>
        </row>
        <row r="1742">
          <cell r="B1742" t="str">
            <v/>
          </cell>
        </row>
        <row r="1743">
          <cell r="B1743" t="str">
            <v/>
          </cell>
        </row>
        <row r="1744">
          <cell r="B1744" t="str">
            <v/>
          </cell>
        </row>
        <row r="1745">
          <cell r="B1745" t="str">
            <v/>
          </cell>
        </row>
        <row r="1746">
          <cell r="B1746" t="str">
            <v/>
          </cell>
        </row>
        <row r="1747">
          <cell r="B1747" t="str">
            <v/>
          </cell>
        </row>
        <row r="1748">
          <cell r="B1748" t="str">
            <v/>
          </cell>
        </row>
        <row r="1749">
          <cell r="B1749" t="str">
            <v/>
          </cell>
        </row>
        <row r="1750">
          <cell r="B1750" t="str">
            <v/>
          </cell>
        </row>
        <row r="1751">
          <cell r="B1751" t="str">
            <v/>
          </cell>
        </row>
        <row r="1752">
          <cell r="B1752" t="str">
            <v/>
          </cell>
        </row>
        <row r="1753">
          <cell r="B1753" t="str">
            <v/>
          </cell>
        </row>
        <row r="1754">
          <cell r="B1754" t="str">
            <v/>
          </cell>
        </row>
        <row r="1755">
          <cell r="B1755" t="str">
            <v/>
          </cell>
        </row>
        <row r="1756">
          <cell r="B1756" t="str">
            <v/>
          </cell>
        </row>
        <row r="1757">
          <cell r="B1757" t="str">
            <v/>
          </cell>
        </row>
        <row r="1758">
          <cell r="B1758" t="str">
            <v/>
          </cell>
        </row>
        <row r="1759">
          <cell r="B1759" t="str">
            <v/>
          </cell>
        </row>
        <row r="1760">
          <cell r="B1760" t="str">
            <v/>
          </cell>
        </row>
        <row r="1761">
          <cell r="B1761" t="str">
            <v/>
          </cell>
        </row>
        <row r="1762">
          <cell r="B1762" t="str">
            <v/>
          </cell>
        </row>
        <row r="1763">
          <cell r="B1763" t="str">
            <v/>
          </cell>
        </row>
        <row r="1764">
          <cell r="B1764" t="str">
            <v/>
          </cell>
        </row>
        <row r="1765">
          <cell r="B1765" t="str">
            <v/>
          </cell>
        </row>
        <row r="1766">
          <cell r="B1766" t="str">
            <v/>
          </cell>
        </row>
        <row r="1767">
          <cell r="B1767" t="str">
            <v/>
          </cell>
        </row>
        <row r="1768">
          <cell r="B1768" t="str">
            <v/>
          </cell>
        </row>
        <row r="1769">
          <cell r="B1769" t="str">
            <v/>
          </cell>
        </row>
        <row r="1770">
          <cell r="B1770" t="str">
            <v/>
          </cell>
        </row>
        <row r="1771">
          <cell r="B1771" t="str">
            <v/>
          </cell>
        </row>
        <row r="1772">
          <cell r="B1772" t="str">
            <v/>
          </cell>
        </row>
        <row r="1773">
          <cell r="B1773" t="str">
            <v/>
          </cell>
        </row>
        <row r="1774">
          <cell r="B1774" t="str">
            <v/>
          </cell>
        </row>
        <row r="1775">
          <cell r="B1775" t="str">
            <v/>
          </cell>
        </row>
        <row r="1776">
          <cell r="B1776" t="str">
            <v/>
          </cell>
        </row>
        <row r="1777">
          <cell r="B1777" t="str">
            <v/>
          </cell>
        </row>
        <row r="1778">
          <cell r="B1778" t="str">
            <v/>
          </cell>
        </row>
        <row r="1779">
          <cell r="B1779" t="str">
            <v/>
          </cell>
        </row>
        <row r="1780">
          <cell r="B1780" t="str">
            <v/>
          </cell>
        </row>
        <row r="1781">
          <cell r="B1781" t="str">
            <v/>
          </cell>
        </row>
        <row r="1782">
          <cell r="B1782" t="str">
            <v/>
          </cell>
        </row>
        <row r="1783">
          <cell r="B1783" t="str">
            <v/>
          </cell>
        </row>
        <row r="1784">
          <cell r="B1784" t="str">
            <v/>
          </cell>
        </row>
        <row r="1785">
          <cell r="B1785" t="str">
            <v/>
          </cell>
        </row>
        <row r="1786">
          <cell r="B1786" t="str">
            <v/>
          </cell>
        </row>
        <row r="1787">
          <cell r="B1787" t="str">
            <v/>
          </cell>
        </row>
        <row r="1788">
          <cell r="B1788" t="str">
            <v/>
          </cell>
        </row>
        <row r="1789">
          <cell r="B1789" t="str">
            <v/>
          </cell>
        </row>
        <row r="1790">
          <cell r="B1790" t="str">
            <v/>
          </cell>
        </row>
        <row r="1791">
          <cell r="B1791" t="str">
            <v/>
          </cell>
        </row>
        <row r="1792">
          <cell r="B1792" t="str">
            <v/>
          </cell>
        </row>
        <row r="1793">
          <cell r="B1793" t="str">
            <v/>
          </cell>
        </row>
        <row r="1794">
          <cell r="B1794" t="str">
            <v/>
          </cell>
        </row>
        <row r="1795">
          <cell r="B1795" t="str">
            <v/>
          </cell>
        </row>
        <row r="1796">
          <cell r="B1796" t="str">
            <v/>
          </cell>
        </row>
        <row r="1797">
          <cell r="B1797" t="str">
            <v/>
          </cell>
        </row>
        <row r="1798">
          <cell r="B1798" t="str">
            <v/>
          </cell>
        </row>
        <row r="1799">
          <cell r="B1799" t="str">
            <v/>
          </cell>
        </row>
        <row r="1800">
          <cell r="B1800" t="str">
            <v/>
          </cell>
        </row>
        <row r="1801">
          <cell r="B1801" t="str">
            <v/>
          </cell>
        </row>
        <row r="1802">
          <cell r="B1802" t="str">
            <v/>
          </cell>
        </row>
        <row r="1803">
          <cell r="B1803" t="str">
            <v/>
          </cell>
        </row>
        <row r="1804">
          <cell r="B1804" t="str">
            <v/>
          </cell>
        </row>
        <row r="1805">
          <cell r="B1805" t="str">
            <v/>
          </cell>
        </row>
        <row r="1806">
          <cell r="B1806" t="str">
            <v/>
          </cell>
        </row>
        <row r="1807">
          <cell r="B1807" t="str">
            <v/>
          </cell>
        </row>
        <row r="1808">
          <cell r="B1808" t="str">
            <v/>
          </cell>
        </row>
        <row r="1809">
          <cell r="B1809" t="str">
            <v/>
          </cell>
        </row>
        <row r="1810">
          <cell r="B1810" t="str">
            <v/>
          </cell>
        </row>
        <row r="1811">
          <cell r="B1811" t="str">
            <v/>
          </cell>
        </row>
        <row r="1812">
          <cell r="B1812" t="str">
            <v/>
          </cell>
        </row>
        <row r="1813">
          <cell r="B1813" t="str">
            <v/>
          </cell>
        </row>
        <row r="1814">
          <cell r="B1814" t="str">
            <v/>
          </cell>
        </row>
        <row r="1815">
          <cell r="B1815" t="str">
            <v/>
          </cell>
        </row>
        <row r="1816">
          <cell r="B1816" t="str">
            <v/>
          </cell>
        </row>
        <row r="1817">
          <cell r="B1817" t="str">
            <v/>
          </cell>
        </row>
        <row r="1818">
          <cell r="B1818" t="str">
            <v/>
          </cell>
        </row>
        <row r="1819">
          <cell r="B1819" t="str">
            <v/>
          </cell>
        </row>
        <row r="1820">
          <cell r="B1820" t="str">
            <v/>
          </cell>
        </row>
        <row r="1821">
          <cell r="B1821" t="str">
            <v/>
          </cell>
        </row>
        <row r="1822">
          <cell r="B1822" t="str">
            <v/>
          </cell>
        </row>
        <row r="1823">
          <cell r="B1823" t="str">
            <v/>
          </cell>
        </row>
        <row r="1824">
          <cell r="B1824" t="str">
            <v/>
          </cell>
        </row>
        <row r="1825">
          <cell r="B1825" t="str">
            <v/>
          </cell>
        </row>
        <row r="1826">
          <cell r="B1826" t="str">
            <v/>
          </cell>
        </row>
        <row r="1827">
          <cell r="B1827" t="str">
            <v/>
          </cell>
        </row>
        <row r="1828">
          <cell r="B1828" t="str">
            <v/>
          </cell>
        </row>
        <row r="1829">
          <cell r="B1829" t="str">
            <v/>
          </cell>
        </row>
        <row r="1830">
          <cell r="B1830" t="str">
            <v/>
          </cell>
        </row>
        <row r="1831">
          <cell r="B1831" t="str">
            <v/>
          </cell>
        </row>
        <row r="1832">
          <cell r="B1832" t="str">
            <v/>
          </cell>
        </row>
        <row r="1833">
          <cell r="B1833" t="str">
            <v/>
          </cell>
        </row>
        <row r="1834">
          <cell r="B1834" t="str">
            <v/>
          </cell>
        </row>
        <row r="1835">
          <cell r="B1835" t="str">
            <v/>
          </cell>
        </row>
        <row r="1836">
          <cell r="B1836" t="str">
            <v/>
          </cell>
        </row>
        <row r="1837">
          <cell r="B1837" t="str">
            <v/>
          </cell>
        </row>
        <row r="1838">
          <cell r="B1838" t="str">
            <v/>
          </cell>
        </row>
        <row r="1839">
          <cell r="B1839" t="str">
            <v/>
          </cell>
        </row>
        <row r="1840">
          <cell r="B1840" t="str">
            <v/>
          </cell>
        </row>
        <row r="1841">
          <cell r="B1841" t="str">
            <v/>
          </cell>
        </row>
        <row r="1842">
          <cell r="B1842" t="str">
            <v/>
          </cell>
        </row>
        <row r="1843">
          <cell r="B1843" t="str">
            <v/>
          </cell>
        </row>
        <row r="1844">
          <cell r="B1844" t="str">
            <v/>
          </cell>
        </row>
        <row r="1845">
          <cell r="B1845" t="str">
            <v/>
          </cell>
        </row>
        <row r="1846">
          <cell r="B1846" t="str">
            <v/>
          </cell>
        </row>
        <row r="1847">
          <cell r="B1847" t="str">
            <v/>
          </cell>
        </row>
        <row r="1848">
          <cell r="B1848" t="str">
            <v/>
          </cell>
        </row>
        <row r="1849">
          <cell r="B1849" t="str">
            <v/>
          </cell>
        </row>
        <row r="1850">
          <cell r="B1850" t="str">
            <v/>
          </cell>
        </row>
        <row r="1851">
          <cell r="B1851" t="str">
            <v/>
          </cell>
        </row>
        <row r="1852">
          <cell r="B1852" t="str">
            <v/>
          </cell>
        </row>
        <row r="1853">
          <cell r="B1853" t="str">
            <v/>
          </cell>
        </row>
        <row r="1854">
          <cell r="B1854" t="str">
            <v/>
          </cell>
        </row>
        <row r="1855">
          <cell r="B1855" t="str">
            <v/>
          </cell>
        </row>
        <row r="1856">
          <cell r="B1856" t="str">
            <v/>
          </cell>
        </row>
        <row r="1857">
          <cell r="B1857" t="str">
            <v/>
          </cell>
        </row>
        <row r="1858">
          <cell r="B1858" t="str">
            <v/>
          </cell>
        </row>
        <row r="1859">
          <cell r="B1859" t="str">
            <v/>
          </cell>
        </row>
        <row r="1860">
          <cell r="B1860" t="str">
            <v/>
          </cell>
        </row>
        <row r="1861">
          <cell r="B1861" t="str">
            <v/>
          </cell>
        </row>
        <row r="1862">
          <cell r="B1862" t="str">
            <v/>
          </cell>
        </row>
        <row r="1863">
          <cell r="B1863" t="str">
            <v/>
          </cell>
        </row>
        <row r="1864">
          <cell r="B1864" t="str">
            <v/>
          </cell>
        </row>
        <row r="1865">
          <cell r="B1865" t="str">
            <v/>
          </cell>
        </row>
        <row r="1866">
          <cell r="B1866" t="str">
            <v/>
          </cell>
        </row>
        <row r="1867">
          <cell r="B1867" t="str">
            <v/>
          </cell>
        </row>
        <row r="1868">
          <cell r="B1868" t="str">
            <v/>
          </cell>
        </row>
        <row r="1869">
          <cell r="B1869" t="str">
            <v/>
          </cell>
        </row>
        <row r="1870">
          <cell r="B1870" t="str">
            <v/>
          </cell>
        </row>
        <row r="1871">
          <cell r="B1871" t="str">
            <v/>
          </cell>
        </row>
        <row r="1872">
          <cell r="B1872" t="str">
            <v/>
          </cell>
        </row>
        <row r="1873">
          <cell r="B1873" t="str">
            <v/>
          </cell>
        </row>
        <row r="1874">
          <cell r="B1874" t="str">
            <v/>
          </cell>
        </row>
        <row r="1875">
          <cell r="B1875" t="str">
            <v/>
          </cell>
        </row>
        <row r="1876">
          <cell r="B1876" t="str">
            <v/>
          </cell>
        </row>
        <row r="1877">
          <cell r="B1877" t="str">
            <v/>
          </cell>
        </row>
        <row r="1878">
          <cell r="B1878" t="str">
            <v/>
          </cell>
        </row>
        <row r="1879">
          <cell r="B1879" t="str">
            <v/>
          </cell>
        </row>
        <row r="1880">
          <cell r="B1880" t="str">
            <v/>
          </cell>
        </row>
        <row r="1881">
          <cell r="B1881" t="str">
            <v/>
          </cell>
        </row>
        <row r="1882">
          <cell r="B1882" t="str">
            <v/>
          </cell>
        </row>
        <row r="1883">
          <cell r="B1883" t="str">
            <v/>
          </cell>
        </row>
        <row r="1884">
          <cell r="B1884" t="str">
            <v/>
          </cell>
        </row>
        <row r="1885">
          <cell r="B1885" t="str">
            <v/>
          </cell>
        </row>
        <row r="1886">
          <cell r="B1886" t="str">
            <v/>
          </cell>
        </row>
        <row r="1887">
          <cell r="B1887" t="str">
            <v/>
          </cell>
        </row>
        <row r="1888">
          <cell r="B1888" t="str">
            <v/>
          </cell>
        </row>
        <row r="1889">
          <cell r="B1889" t="str">
            <v/>
          </cell>
        </row>
        <row r="1890">
          <cell r="B1890" t="str">
            <v/>
          </cell>
        </row>
        <row r="1891">
          <cell r="B1891" t="str">
            <v/>
          </cell>
        </row>
        <row r="1892">
          <cell r="B1892" t="str">
            <v/>
          </cell>
        </row>
        <row r="1893">
          <cell r="B1893" t="str">
            <v/>
          </cell>
        </row>
        <row r="1894">
          <cell r="B1894" t="str">
            <v/>
          </cell>
        </row>
        <row r="1895">
          <cell r="B1895" t="str">
            <v/>
          </cell>
        </row>
        <row r="1896">
          <cell r="B1896" t="str">
            <v/>
          </cell>
        </row>
        <row r="1897">
          <cell r="B1897" t="str">
            <v/>
          </cell>
        </row>
        <row r="1898">
          <cell r="B1898" t="str">
            <v/>
          </cell>
        </row>
        <row r="1899">
          <cell r="B1899" t="str">
            <v/>
          </cell>
        </row>
        <row r="1900">
          <cell r="B1900" t="str">
            <v/>
          </cell>
        </row>
        <row r="1901">
          <cell r="B1901" t="str">
            <v/>
          </cell>
        </row>
        <row r="1902">
          <cell r="B1902" t="str">
            <v/>
          </cell>
        </row>
        <row r="1903">
          <cell r="B1903" t="str">
            <v/>
          </cell>
        </row>
        <row r="1904">
          <cell r="B1904" t="str">
            <v/>
          </cell>
        </row>
        <row r="1905">
          <cell r="B1905" t="str">
            <v/>
          </cell>
        </row>
        <row r="1906">
          <cell r="B1906" t="str">
            <v/>
          </cell>
        </row>
        <row r="1907">
          <cell r="B1907" t="str">
            <v/>
          </cell>
        </row>
        <row r="1908">
          <cell r="B1908" t="str">
            <v/>
          </cell>
        </row>
        <row r="1909">
          <cell r="B1909" t="str">
            <v/>
          </cell>
        </row>
        <row r="1910">
          <cell r="B1910" t="str">
            <v/>
          </cell>
        </row>
        <row r="1911">
          <cell r="B1911" t="str">
            <v/>
          </cell>
        </row>
        <row r="1912">
          <cell r="B1912" t="str">
            <v/>
          </cell>
        </row>
        <row r="1913">
          <cell r="B1913" t="str">
            <v/>
          </cell>
        </row>
        <row r="1914">
          <cell r="B1914" t="str">
            <v/>
          </cell>
        </row>
        <row r="1915">
          <cell r="B1915" t="str">
            <v/>
          </cell>
        </row>
        <row r="1916">
          <cell r="B1916" t="str">
            <v/>
          </cell>
        </row>
        <row r="1917">
          <cell r="B1917" t="str">
            <v/>
          </cell>
        </row>
        <row r="1918">
          <cell r="B1918" t="str">
            <v/>
          </cell>
        </row>
        <row r="1919">
          <cell r="B1919" t="str">
            <v/>
          </cell>
        </row>
        <row r="1920">
          <cell r="B1920" t="str">
            <v/>
          </cell>
        </row>
        <row r="1921">
          <cell r="B1921" t="str">
            <v/>
          </cell>
        </row>
        <row r="1922">
          <cell r="B1922" t="str">
            <v/>
          </cell>
        </row>
        <row r="1923">
          <cell r="B1923" t="str">
            <v/>
          </cell>
        </row>
        <row r="1924">
          <cell r="B1924" t="str">
            <v/>
          </cell>
        </row>
        <row r="1925">
          <cell r="B1925" t="str">
            <v/>
          </cell>
        </row>
        <row r="1926">
          <cell r="B1926" t="str">
            <v/>
          </cell>
        </row>
        <row r="1927">
          <cell r="B1927" t="str">
            <v/>
          </cell>
        </row>
        <row r="1928">
          <cell r="B1928" t="str">
            <v/>
          </cell>
        </row>
        <row r="1929">
          <cell r="B1929" t="str">
            <v/>
          </cell>
        </row>
        <row r="1930">
          <cell r="B1930" t="str">
            <v/>
          </cell>
        </row>
        <row r="1931">
          <cell r="B1931" t="str">
            <v/>
          </cell>
        </row>
        <row r="1932">
          <cell r="B1932" t="str">
            <v/>
          </cell>
        </row>
        <row r="1933">
          <cell r="B1933" t="str">
            <v/>
          </cell>
        </row>
        <row r="1934">
          <cell r="B1934" t="str">
            <v/>
          </cell>
        </row>
        <row r="1935">
          <cell r="B1935" t="str">
            <v/>
          </cell>
        </row>
        <row r="1936">
          <cell r="B1936" t="str">
            <v/>
          </cell>
        </row>
        <row r="1937">
          <cell r="B1937" t="str">
            <v/>
          </cell>
        </row>
        <row r="1938">
          <cell r="B1938" t="str">
            <v/>
          </cell>
        </row>
        <row r="1939">
          <cell r="B1939" t="str">
            <v/>
          </cell>
        </row>
        <row r="1940">
          <cell r="B1940" t="str">
            <v/>
          </cell>
        </row>
        <row r="1941">
          <cell r="B1941" t="str">
            <v/>
          </cell>
        </row>
        <row r="1942">
          <cell r="B1942" t="str">
            <v/>
          </cell>
        </row>
        <row r="1943">
          <cell r="B1943" t="str">
            <v/>
          </cell>
        </row>
        <row r="1944">
          <cell r="B1944" t="str">
            <v/>
          </cell>
        </row>
        <row r="1945">
          <cell r="B1945" t="str">
            <v/>
          </cell>
        </row>
        <row r="1946">
          <cell r="B1946" t="str">
            <v/>
          </cell>
        </row>
        <row r="1947">
          <cell r="B1947" t="str">
            <v/>
          </cell>
        </row>
        <row r="1948">
          <cell r="B1948" t="str">
            <v/>
          </cell>
        </row>
        <row r="1949">
          <cell r="B1949" t="str">
            <v/>
          </cell>
        </row>
        <row r="1950">
          <cell r="B1950" t="str">
            <v/>
          </cell>
        </row>
        <row r="1951">
          <cell r="B1951" t="str">
            <v/>
          </cell>
        </row>
        <row r="1952">
          <cell r="B1952" t="str">
            <v/>
          </cell>
        </row>
        <row r="1953">
          <cell r="B1953" t="str">
            <v/>
          </cell>
        </row>
        <row r="1954">
          <cell r="B1954" t="str">
            <v/>
          </cell>
        </row>
        <row r="1955">
          <cell r="B1955" t="str">
            <v/>
          </cell>
        </row>
        <row r="1956">
          <cell r="B1956" t="str">
            <v/>
          </cell>
        </row>
        <row r="1957">
          <cell r="B1957" t="str">
            <v/>
          </cell>
        </row>
        <row r="1958">
          <cell r="B1958" t="str">
            <v/>
          </cell>
        </row>
        <row r="1959">
          <cell r="B1959" t="str">
            <v/>
          </cell>
        </row>
        <row r="1960">
          <cell r="B1960" t="str">
            <v/>
          </cell>
        </row>
        <row r="1961">
          <cell r="B1961" t="str">
            <v/>
          </cell>
        </row>
        <row r="1962">
          <cell r="B1962" t="str">
            <v/>
          </cell>
        </row>
        <row r="1963">
          <cell r="B1963" t="str">
            <v/>
          </cell>
        </row>
        <row r="1964">
          <cell r="B1964" t="str">
            <v/>
          </cell>
        </row>
        <row r="1965">
          <cell r="B1965" t="str">
            <v/>
          </cell>
        </row>
        <row r="1966">
          <cell r="B1966" t="str">
            <v/>
          </cell>
        </row>
        <row r="1967">
          <cell r="B1967" t="str">
            <v/>
          </cell>
        </row>
        <row r="1968">
          <cell r="B1968" t="str">
            <v/>
          </cell>
        </row>
        <row r="1969">
          <cell r="B1969" t="str">
            <v/>
          </cell>
        </row>
        <row r="1970">
          <cell r="B1970" t="str">
            <v/>
          </cell>
        </row>
        <row r="1971">
          <cell r="B1971" t="str">
            <v/>
          </cell>
        </row>
        <row r="1972">
          <cell r="B1972" t="str">
            <v/>
          </cell>
        </row>
        <row r="1973">
          <cell r="B1973" t="str">
            <v/>
          </cell>
        </row>
        <row r="1974">
          <cell r="B1974" t="str">
            <v/>
          </cell>
        </row>
        <row r="1975">
          <cell r="B1975" t="str">
            <v/>
          </cell>
        </row>
        <row r="1976">
          <cell r="B1976" t="str">
            <v/>
          </cell>
        </row>
        <row r="1977">
          <cell r="B1977" t="str">
            <v/>
          </cell>
        </row>
        <row r="1978">
          <cell r="B1978" t="str">
            <v/>
          </cell>
        </row>
        <row r="1979">
          <cell r="B1979" t="str">
            <v/>
          </cell>
        </row>
        <row r="1980">
          <cell r="B1980" t="str">
            <v/>
          </cell>
        </row>
        <row r="1981">
          <cell r="B1981" t="str">
            <v/>
          </cell>
        </row>
        <row r="1982">
          <cell r="B1982" t="str">
            <v/>
          </cell>
        </row>
        <row r="1983">
          <cell r="B1983" t="str">
            <v/>
          </cell>
        </row>
        <row r="1984">
          <cell r="B1984" t="str">
            <v/>
          </cell>
        </row>
        <row r="1985">
          <cell r="B1985" t="str">
            <v/>
          </cell>
        </row>
        <row r="1986">
          <cell r="B1986" t="str">
            <v/>
          </cell>
        </row>
        <row r="1987">
          <cell r="B1987" t="str">
            <v/>
          </cell>
        </row>
        <row r="1988">
          <cell r="B1988" t="str">
            <v/>
          </cell>
        </row>
        <row r="1989">
          <cell r="B1989" t="str">
            <v/>
          </cell>
        </row>
        <row r="1990">
          <cell r="B1990" t="str">
            <v/>
          </cell>
        </row>
        <row r="1991">
          <cell r="B1991" t="str">
            <v/>
          </cell>
        </row>
        <row r="1992">
          <cell r="B1992" t="str">
            <v/>
          </cell>
        </row>
        <row r="1993">
          <cell r="B1993" t="str">
            <v/>
          </cell>
        </row>
        <row r="1994">
          <cell r="B1994" t="str">
            <v/>
          </cell>
        </row>
        <row r="1995">
          <cell r="B1995" t="str">
            <v/>
          </cell>
        </row>
        <row r="1996">
          <cell r="B1996" t="str">
            <v/>
          </cell>
        </row>
        <row r="1997">
          <cell r="B1997" t="str">
            <v/>
          </cell>
        </row>
        <row r="1998">
          <cell r="B1998" t="str">
            <v/>
          </cell>
        </row>
        <row r="1999">
          <cell r="B1999" t="str">
            <v/>
          </cell>
        </row>
        <row r="2000">
          <cell r="B2000" t="str">
            <v/>
          </cell>
        </row>
        <row r="2001">
          <cell r="B2001" t="str">
            <v/>
          </cell>
        </row>
        <row r="2002">
          <cell r="B2002" t="str">
            <v/>
          </cell>
        </row>
        <row r="2003">
          <cell r="B2003" t="str">
            <v/>
          </cell>
        </row>
        <row r="2004">
          <cell r="B2004" t="str">
            <v/>
          </cell>
        </row>
        <row r="2005">
          <cell r="B2005" t="str">
            <v/>
          </cell>
        </row>
        <row r="2006">
          <cell r="B2006" t="str">
            <v/>
          </cell>
        </row>
        <row r="2007">
          <cell r="B2007" t="str">
            <v/>
          </cell>
        </row>
        <row r="2008">
          <cell r="B2008" t="str">
            <v/>
          </cell>
        </row>
        <row r="2009">
          <cell r="B2009" t="str">
            <v/>
          </cell>
        </row>
        <row r="2010">
          <cell r="B2010" t="str">
            <v/>
          </cell>
        </row>
        <row r="2011">
          <cell r="B2011" t="str">
            <v/>
          </cell>
        </row>
        <row r="2012">
          <cell r="B2012" t="str">
            <v/>
          </cell>
        </row>
        <row r="2013">
          <cell r="B2013" t="str">
            <v/>
          </cell>
        </row>
        <row r="2014">
          <cell r="B2014" t="str">
            <v/>
          </cell>
        </row>
        <row r="2015">
          <cell r="B2015" t="str">
            <v/>
          </cell>
        </row>
        <row r="2016">
          <cell r="B2016" t="str">
            <v/>
          </cell>
        </row>
        <row r="2017">
          <cell r="B2017" t="str">
            <v/>
          </cell>
        </row>
        <row r="2018">
          <cell r="B2018" t="str">
            <v/>
          </cell>
        </row>
        <row r="2019">
          <cell r="B2019" t="str">
            <v/>
          </cell>
        </row>
        <row r="2020">
          <cell r="B2020" t="str">
            <v/>
          </cell>
        </row>
        <row r="2021">
          <cell r="B2021" t="str">
            <v/>
          </cell>
        </row>
        <row r="2022">
          <cell r="B2022" t="str">
            <v/>
          </cell>
        </row>
        <row r="2023">
          <cell r="B2023" t="str">
            <v/>
          </cell>
        </row>
        <row r="2024">
          <cell r="B2024" t="str">
            <v/>
          </cell>
        </row>
        <row r="2025">
          <cell r="B2025" t="str">
            <v/>
          </cell>
        </row>
        <row r="2026">
          <cell r="B2026" t="str">
            <v/>
          </cell>
        </row>
        <row r="2027">
          <cell r="B2027" t="str">
            <v/>
          </cell>
        </row>
        <row r="2028">
          <cell r="B2028" t="str">
            <v/>
          </cell>
        </row>
        <row r="2029">
          <cell r="B2029" t="str">
            <v/>
          </cell>
        </row>
        <row r="2030">
          <cell r="B2030" t="str">
            <v/>
          </cell>
        </row>
        <row r="2031">
          <cell r="B2031" t="str">
            <v/>
          </cell>
        </row>
        <row r="2032">
          <cell r="B2032" t="str">
            <v/>
          </cell>
        </row>
        <row r="2033">
          <cell r="B2033" t="str">
            <v/>
          </cell>
        </row>
        <row r="2034">
          <cell r="B2034" t="str">
            <v/>
          </cell>
        </row>
        <row r="2035">
          <cell r="B2035" t="str">
            <v/>
          </cell>
        </row>
        <row r="2036">
          <cell r="B2036" t="str">
            <v/>
          </cell>
        </row>
        <row r="2037">
          <cell r="B2037" t="str">
            <v/>
          </cell>
        </row>
        <row r="2038">
          <cell r="B2038" t="str">
            <v/>
          </cell>
        </row>
        <row r="2039">
          <cell r="B2039" t="str">
            <v/>
          </cell>
        </row>
        <row r="2040">
          <cell r="B2040" t="str">
            <v/>
          </cell>
        </row>
        <row r="2041">
          <cell r="B2041" t="str">
            <v/>
          </cell>
        </row>
        <row r="2042">
          <cell r="B2042" t="str">
            <v/>
          </cell>
        </row>
        <row r="2043">
          <cell r="B2043" t="str">
            <v/>
          </cell>
        </row>
        <row r="2044">
          <cell r="B2044" t="str">
            <v/>
          </cell>
        </row>
        <row r="2045">
          <cell r="B2045" t="str">
            <v/>
          </cell>
        </row>
        <row r="2046">
          <cell r="B2046" t="str">
            <v/>
          </cell>
        </row>
        <row r="2047">
          <cell r="B2047" t="str">
            <v/>
          </cell>
        </row>
        <row r="2048">
          <cell r="B2048" t="str">
            <v/>
          </cell>
        </row>
        <row r="2049">
          <cell r="B2049" t="str">
            <v/>
          </cell>
        </row>
        <row r="2050">
          <cell r="B2050" t="str">
            <v/>
          </cell>
        </row>
        <row r="2051">
          <cell r="B2051" t="str">
            <v/>
          </cell>
        </row>
        <row r="2052">
          <cell r="B2052" t="str">
            <v/>
          </cell>
        </row>
        <row r="2053">
          <cell r="B2053" t="str">
            <v/>
          </cell>
        </row>
        <row r="2054">
          <cell r="B2054" t="str">
            <v/>
          </cell>
        </row>
        <row r="2055">
          <cell r="B2055" t="str">
            <v/>
          </cell>
        </row>
        <row r="2056">
          <cell r="B2056" t="str">
            <v/>
          </cell>
        </row>
        <row r="2057">
          <cell r="B2057" t="str">
            <v/>
          </cell>
        </row>
        <row r="2058">
          <cell r="B2058" t="str">
            <v/>
          </cell>
        </row>
        <row r="2059">
          <cell r="B2059" t="str">
            <v/>
          </cell>
        </row>
        <row r="2060">
          <cell r="B2060" t="str">
            <v/>
          </cell>
        </row>
        <row r="2061">
          <cell r="B2061" t="str">
            <v/>
          </cell>
        </row>
        <row r="2062">
          <cell r="B2062" t="str">
            <v/>
          </cell>
        </row>
        <row r="2063">
          <cell r="B2063" t="str">
            <v/>
          </cell>
        </row>
        <row r="2064">
          <cell r="B2064" t="str">
            <v/>
          </cell>
        </row>
        <row r="2065">
          <cell r="B2065" t="str">
            <v/>
          </cell>
        </row>
        <row r="2066">
          <cell r="B2066" t="str">
            <v/>
          </cell>
        </row>
        <row r="2067">
          <cell r="B2067" t="str">
            <v/>
          </cell>
        </row>
        <row r="2068">
          <cell r="B2068" t="str">
            <v/>
          </cell>
        </row>
        <row r="2069">
          <cell r="B2069" t="str">
            <v/>
          </cell>
        </row>
        <row r="2070">
          <cell r="B2070" t="str">
            <v/>
          </cell>
        </row>
        <row r="2071">
          <cell r="B2071" t="str">
            <v/>
          </cell>
        </row>
        <row r="2072">
          <cell r="B2072" t="str">
            <v/>
          </cell>
        </row>
        <row r="2073">
          <cell r="B2073" t="str">
            <v/>
          </cell>
        </row>
        <row r="2074">
          <cell r="B2074" t="str">
            <v/>
          </cell>
        </row>
        <row r="2075">
          <cell r="B2075" t="str">
            <v/>
          </cell>
        </row>
        <row r="2076">
          <cell r="B2076" t="str">
            <v/>
          </cell>
        </row>
        <row r="2077">
          <cell r="B2077" t="str">
            <v/>
          </cell>
        </row>
        <row r="2078">
          <cell r="B2078" t="str">
            <v/>
          </cell>
        </row>
        <row r="2079">
          <cell r="B2079" t="str">
            <v/>
          </cell>
        </row>
        <row r="2080">
          <cell r="B2080" t="str">
            <v/>
          </cell>
        </row>
        <row r="2081">
          <cell r="B2081" t="str">
            <v/>
          </cell>
        </row>
        <row r="2082">
          <cell r="B2082" t="str">
            <v/>
          </cell>
        </row>
        <row r="2083">
          <cell r="B2083" t="str">
            <v/>
          </cell>
        </row>
        <row r="2084">
          <cell r="B2084" t="str">
            <v/>
          </cell>
        </row>
        <row r="2085">
          <cell r="B2085" t="str">
            <v/>
          </cell>
        </row>
        <row r="2086">
          <cell r="B2086" t="str">
            <v/>
          </cell>
        </row>
        <row r="2087">
          <cell r="B2087" t="str">
            <v/>
          </cell>
        </row>
        <row r="2088">
          <cell r="B2088" t="str">
            <v/>
          </cell>
        </row>
        <row r="2089">
          <cell r="B2089" t="str">
            <v/>
          </cell>
        </row>
        <row r="2090">
          <cell r="B2090" t="str">
            <v/>
          </cell>
        </row>
        <row r="2091">
          <cell r="B2091" t="str">
            <v/>
          </cell>
        </row>
        <row r="2092">
          <cell r="B2092" t="str">
            <v/>
          </cell>
        </row>
        <row r="2093">
          <cell r="B2093" t="str">
            <v/>
          </cell>
        </row>
        <row r="2094">
          <cell r="B2094" t="str">
            <v/>
          </cell>
        </row>
        <row r="2095">
          <cell r="B2095" t="str">
            <v/>
          </cell>
        </row>
        <row r="2096">
          <cell r="B2096" t="str">
            <v/>
          </cell>
        </row>
        <row r="2097">
          <cell r="B2097" t="str">
            <v/>
          </cell>
        </row>
        <row r="2098">
          <cell r="B2098" t="str">
            <v/>
          </cell>
        </row>
        <row r="2099">
          <cell r="B2099" t="str">
            <v/>
          </cell>
        </row>
        <row r="2100">
          <cell r="B2100" t="str">
            <v/>
          </cell>
        </row>
        <row r="2101">
          <cell r="B2101" t="str">
            <v/>
          </cell>
        </row>
        <row r="2102">
          <cell r="B2102" t="str">
            <v/>
          </cell>
        </row>
        <row r="2103">
          <cell r="B2103" t="str">
            <v/>
          </cell>
        </row>
        <row r="2104">
          <cell r="B2104" t="str">
            <v/>
          </cell>
        </row>
        <row r="2105">
          <cell r="B2105" t="str">
            <v/>
          </cell>
        </row>
        <row r="2106">
          <cell r="B2106" t="str">
            <v/>
          </cell>
        </row>
        <row r="2107">
          <cell r="B2107" t="str">
            <v/>
          </cell>
        </row>
        <row r="2108">
          <cell r="B2108" t="str">
            <v/>
          </cell>
        </row>
        <row r="2109">
          <cell r="B2109" t="str">
            <v/>
          </cell>
        </row>
        <row r="2110">
          <cell r="B2110" t="str">
            <v/>
          </cell>
        </row>
        <row r="2111">
          <cell r="B2111" t="str">
            <v/>
          </cell>
        </row>
        <row r="2112">
          <cell r="B2112" t="str">
            <v/>
          </cell>
        </row>
        <row r="2113">
          <cell r="B2113" t="str">
            <v/>
          </cell>
        </row>
        <row r="2114">
          <cell r="B2114" t="str">
            <v/>
          </cell>
        </row>
        <row r="2115">
          <cell r="B2115" t="str">
            <v/>
          </cell>
        </row>
        <row r="2116">
          <cell r="B2116" t="str">
            <v/>
          </cell>
        </row>
        <row r="2117">
          <cell r="B2117" t="str">
            <v/>
          </cell>
        </row>
        <row r="2118">
          <cell r="B2118" t="str">
            <v/>
          </cell>
        </row>
        <row r="2119">
          <cell r="B2119" t="str">
            <v/>
          </cell>
        </row>
        <row r="2120">
          <cell r="B2120" t="str">
            <v/>
          </cell>
        </row>
        <row r="2121">
          <cell r="B2121" t="str">
            <v/>
          </cell>
        </row>
        <row r="2122">
          <cell r="B2122" t="str">
            <v/>
          </cell>
        </row>
        <row r="2123">
          <cell r="B2123" t="str">
            <v/>
          </cell>
        </row>
        <row r="2124">
          <cell r="B2124" t="str">
            <v/>
          </cell>
        </row>
        <row r="2125">
          <cell r="B2125" t="str">
            <v/>
          </cell>
        </row>
        <row r="2126">
          <cell r="B2126" t="str">
            <v/>
          </cell>
        </row>
        <row r="2127">
          <cell r="B2127" t="str">
            <v/>
          </cell>
        </row>
        <row r="2128">
          <cell r="B2128" t="str">
            <v/>
          </cell>
        </row>
        <row r="2129">
          <cell r="B2129" t="str">
            <v/>
          </cell>
        </row>
        <row r="2130">
          <cell r="B2130" t="str">
            <v/>
          </cell>
        </row>
        <row r="2131">
          <cell r="B2131" t="str">
            <v/>
          </cell>
        </row>
        <row r="2132">
          <cell r="B2132" t="str">
            <v/>
          </cell>
        </row>
        <row r="2133">
          <cell r="B2133" t="str">
            <v/>
          </cell>
        </row>
        <row r="2134">
          <cell r="B2134" t="str">
            <v/>
          </cell>
        </row>
        <row r="2135">
          <cell r="B2135" t="str">
            <v/>
          </cell>
        </row>
        <row r="2136">
          <cell r="B2136" t="str">
            <v/>
          </cell>
        </row>
        <row r="2137">
          <cell r="B2137" t="str">
            <v/>
          </cell>
        </row>
        <row r="2138">
          <cell r="B2138" t="str">
            <v/>
          </cell>
        </row>
        <row r="2139">
          <cell r="B2139" t="str">
            <v/>
          </cell>
        </row>
        <row r="2140">
          <cell r="B2140" t="str">
            <v/>
          </cell>
        </row>
        <row r="2141">
          <cell r="B2141" t="str">
            <v/>
          </cell>
        </row>
        <row r="2142">
          <cell r="B2142" t="str">
            <v/>
          </cell>
        </row>
        <row r="2143">
          <cell r="B2143" t="str">
            <v/>
          </cell>
        </row>
        <row r="2144">
          <cell r="B2144" t="str">
            <v/>
          </cell>
        </row>
        <row r="2145">
          <cell r="B2145" t="str">
            <v/>
          </cell>
        </row>
        <row r="2146">
          <cell r="B2146" t="str">
            <v/>
          </cell>
        </row>
        <row r="2147">
          <cell r="B2147" t="str">
            <v/>
          </cell>
        </row>
        <row r="2148">
          <cell r="B2148" t="str">
            <v/>
          </cell>
        </row>
        <row r="2149">
          <cell r="B2149" t="str">
            <v/>
          </cell>
        </row>
        <row r="2150">
          <cell r="B2150" t="str">
            <v/>
          </cell>
        </row>
        <row r="2151">
          <cell r="B2151" t="str">
            <v/>
          </cell>
        </row>
        <row r="2152">
          <cell r="B2152" t="str">
            <v/>
          </cell>
        </row>
        <row r="2153">
          <cell r="B2153" t="str">
            <v/>
          </cell>
        </row>
        <row r="2154">
          <cell r="B2154" t="str">
            <v/>
          </cell>
        </row>
        <row r="2155">
          <cell r="B2155" t="str">
            <v/>
          </cell>
        </row>
        <row r="2156">
          <cell r="B2156" t="str">
            <v/>
          </cell>
        </row>
        <row r="2157">
          <cell r="B2157" t="str">
            <v/>
          </cell>
        </row>
        <row r="2158">
          <cell r="B2158" t="str">
            <v/>
          </cell>
        </row>
        <row r="2159">
          <cell r="B2159" t="str">
            <v/>
          </cell>
        </row>
        <row r="2160">
          <cell r="B2160" t="str">
            <v/>
          </cell>
        </row>
        <row r="2161">
          <cell r="B2161" t="str">
            <v/>
          </cell>
        </row>
        <row r="2162">
          <cell r="B2162" t="str">
            <v/>
          </cell>
        </row>
        <row r="2163">
          <cell r="B2163" t="str">
            <v/>
          </cell>
        </row>
        <row r="2164">
          <cell r="B2164" t="str">
            <v/>
          </cell>
        </row>
        <row r="2165">
          <cell r="B2165" t="str">
            <v/>
          </cell>
        </row>
        <row r="2166">
          <cell r="B2166" t="str">
            <v/>
          </cell>
        </row>
        <row r="2167">
          <cell r="B2167" t="str">
            <v/>
          </cell>
        </row>
        <row r="2168">
          <cell r="B2168" t="str">
            <v/>
          </cell>
        </row>
        <row r="2169">
          <cell r="B2169" t="str">
            <v/>
          </cell>
        </row>
        <row r="2170">
          <cell r="B2170" t="str">
            <v/>
          </cell>
        </row>
        <row r="2171">
          <cell r="B2171" t="str">
            <v/>
          </cell>
        </row>
        <row r="2172">
          <cell r="B2172" t="str">
            <v/>
          </cell>
        </row>
        <row r="2173">
          <cell r="B2173" t="str">
            <v/>
          </cell>
        </row>
        <row r="2174">
          <cell r="B2174" t="str">
            <v/>
          </cell>
        </row>
        <row r="2175">
          <cell r="B2175" t="str">
            <v/>
          </cell>
        </row>
        <row r="2176">
          <cell r="B2176" t="str">
            <v/>
          </cell>
        </row>
        <row r="2177">
          <cell r="B2177" t="str">
            <v/>
          </cell>
        </row>
        <row r="2178">
          <cell r="B2178" t="str">
            <v/>
          </cell>
        </row>
        <row r="2179">
          <cell r="B2179" t="str">
            <v/>
          </cell>
        </row>
        <row r="2180">
          <cell r="B2180" t="str">
            <v/>
          </cell>
        </row>
        <row r="2181">
          <cell r="B2181" t="str">
            <v/>
          </cell>
        </row>
        <row r="2182">
          <cell r="B2182" t="str">
            <v/>
          </cell>
        </row>
        <row r="2183">
          <cell r="B2183" t="str">
            <v/>
          </cell>
        </row>
        <row r="2184">
          <cell r="B2184" t="str">
            <v/>
          </cell>
        </row>
        <row r="2185">
          <cell r="B2185" t="str">
            <v/>
          </cell>
        </row>
        <row r="2186">
          <cell r="B2186" t="str">
            <v/>
          </cell>
        </row>
        <row r="2187">
          <cell r="B2187" t="str">
            <v/>
          </cell>
        </row>
        <row r="2188">
          <cell r="B2188" t="str">
            <v/>
          </cell>
        </row>
        <row r="2189">
          <cell r="B2189" t="str">
            <v/>
          </cell>
        </row>
        <row r="2190">
          <cell r="B2190" t="str">
            <v/>
          </cell>
        </row>
        <row r="2191">
          <cell r="B2191" t="str">
            <v/>
          </cell>
        </row>
        <row r="2192">
          <cell r="B2192" t="str">
            <v/>
          </cell>
        </row>
        <row r="2193">
          <cell r="B2193" t="str">
            <v/>
          </cell>
        </row>
        <row r="2194">
          <cell r="B2194" t="str">
            <v/>
          </cell>
        </row>
        <row r="2195">
          <cell r="B2195" t="str">
            <v/>
          </cell>
        </row>
        <row r="2196">
          <cell r="B2196" t="str">
            <v/>
          </cell>
        </row>
        <row r="2197">
          <cell r="B2197" t="str">
            <v/>
          </cell>
        </row>
        <row r="2198">
          <cell r="B2198" t="str">
            <v/>
          </cell>
        </row>
        <row r="2199">
          <cell r="B2199" t="str">
            <v/>
          </cell>
        </row>
        <row r="2200">
          <cell r="B2200" t="str">
            <v/>
          </cell>
        </row>
        <row r="2201">
          <cell r="B2201" t="str">
            <v/>
          </cell>
        </row>
        <row r="2202">
          <cell r="B2202" t="str">
            <v/>
          </cell>
        </row>
        <row r="2203">
          <cell r="B2203" t="str">
            <v/>
          </cell>
        </row>
        <row r="2204">
          <cell r="B2204" t="str">
            <v/>
          </cell>
        </row>
        <row r="2205">
          <cell r="B2205" t="str">
            <v/>
          </cell>
        </row>
        <row r="2206">
          <cell r="B2206" t="str">
            <v/>
          </cell>
        </row>
        <row r="2207">
          <cell r="B2207" t="str">
            <v/>
          </cell>
        </row>
        <row r="2208">
          <cell r="B2208" t="str">
            <v/>
          </cell>
        </row>
        <row r="2209">
          <cell r="B2209" t="str">
            <v/>
          </cell>
        </row>
        <row r="2210">
          <cell r="B2210" t="str">
            <v/>
          </cell>
        </row>
        <row r="2211">
          <cell r="B2211" t="str">
            <v/>
          </cell>
        </row>
        <row r="2212">
          <cell r="B2212" t="str">
            <v/>
          </cell>
        </row>
        <row r="2213">
          <cell r="B2213" t="str">
            <v/>
          </cell>
        </row>
        <row r="2214">
          <cell r="B2214" t="str">
            <v/>
          </cell>
        </row>
        <row r="2215">
          <cell r="B2215" t="str">
            <v/>
          </cell>
        </row>
        <row r="2216">
          <cell r="B2216" t="str">
            <v/>
          </cell>
        </row>
        <row r="2217">
          <cell r="B2217" t="str">
            <v/>
          </cell>
        </row>
        <row r="2218">
          <cell r="B2218" t="str">
            <v/>
          </cell>
        </row>
        <row r="2219">
          <cell r="B2219" t="str">
            <v/>
          </cell>
        </row>
        <row r="2220">
          <cell r="B2220" t="str">
            <v/>
          </cell>
        </row>
        <row r="2221">
          <cell r="B2221" t="str">
            <v/>
          </cell>
        </row>
        <row r="2222">
          <cell r="B2222" t="str">
            <v/>
          </cell>
        </row>
        <row r="2223">
          <cell r="B2223" t="str">
            <v/>
          </cell>
        </row>
        <row r="2224">
          <cell r="B2224" t="str">
            <v/>
          </cell>
        </row>
        <row r="2225">
          <cell r="B2225" t="str">
            <v/>
          </cell>
        </row>
        <row r="2226">
          <cell r="B2226" t="str">
            <v/>
          </cell>
        </row>
        <row r="2227">
          <cell r="B2227" t="str">
            <v/>
          </cell>
        </row>
        <row r="2228">
          <cell r="B2228" t="str">
            <v/>
          </cell>
        </row>
        <row r="2229">
          <cell r="B2229" t="str">
            <v/>
          </cell>
        </row>
        <row r="2230">
          <cell r="B2230" t="str">
            <v/>
          </cell>
        </row>
        <row r="2231">
          <cell r="B2231" t="str">
            <v/>
          </cell>
        </row>
        <row r="2232">
          <cell r="B2232" t="str">
            <v/>
          </cell>
        </row>
        <row r="2233">
          <cell r="B2233" t="str">
            <v/>
          </cell>
        </row>
        <row r="2234">
          <cell r="B2234" t="str">
            <v/>
          </cell>
        </row>
        <row r="2235">
          <cell r="B2235" t="str">
            <v/>
          </cell>
        </row>
        <row r="2236">
          <cell r="B2236" t="str">
            <v/>
          </cell>
        </row>
        <row r="2237">
          <cell r="B2237" t="str">
            <v/>
          </cell>
        </row>
        <row r="2238">
          <cell r="B2238" t="str">
            <v/>
          </cell>
        </row>
        <row r="2239">
          <cell r="B2239" t="str">
            <v/>
          </cell>
        </row>
        <row r="2240">
          <cell r="B2240" t="str">
            <v/>
          </cell>
        </row>
        <row r="2241">
          <cell r="B2241" t="str">
            <v/>
          </cell>
        </row>
        <row r="2242">
          <cell r="B2242" t="str">
            <v/>
          </cell>
        </row>
        <row r="2243">
          <cell r="B2243" t="str">
            <v/>
          </cell>
        </row>
        <row r="2244">
          <cell r="B2244" t="str">
            <v/>
          </cell>
        </row>
        <row r="2245">
          <cell r="B2245" t="str">
            <v/>
          </cell>
        </row>
        <row r="2246">
          <cell r="B2246" t="str">
            <v/>
          </cell>
        </row>
        <row r="2247">
          <cell r="B2247" t="str">
            <v/>
          </cell>
        </row>
        <row r="2248">
          <cell r="B2248" t="str">
            <v/>
          </cell>
        </row>
        <row r="2249">
          <cell r="B2249" t="str">
            <v/>
          </cell>
        </row>
        <row r="2250">
          <cell r="B2250" t="str">
            <v/>
          </cell>
        </row>
        <row r="2251">
          <cell r="B2251" t="str">
            <v/>
          </cell>
        </row>
        <row r="2252">
          <cell r="B2252" t="str">
            <v/>
          </cell>
        </row>
        <row r="2253">
          <cell r="B2253" t="str">
            <v/>
          </cell>
        </row>
        <row r="2254">
          <cell r="B2254" t="str">
            <v/>
          </cell>
        </row>
        <row r="2255">
          <cell r="B2255" t="str">
            <v/>
          </cell>
        </row>
        <row r="2256">
          <cell r="B2256" t="str">
            <v/>
          </cell>
        </row>
        <row r="2257">
          <cell r="B2257" t="str">
            <v/>
          </cell>
        </row>
        <row r="2258">
          <cell r="B2258" t="str">
            <v/>
          </cell>
        </row>
        <row r="2259">
          <cell r="B2259" t="str">
            <v/>
          </cell>
        </row>
        <row r="2260">
          <cell r="B2260" t="str">
            <v/>
          </cell>
        </row>
        <row r="2261">
          <cell r="B2261" t="str">
            <v/>
          </cell>
        </row>
        <row r="2262">
          <cell r="B2262" t="str">
            <v/>
          </cell>
        </row>
        <row r="2263">
          <cell r="B2263" t="str">
            <v/>
          </cell>
        </row>
        <row r="2264">
          <cell r="B2264" t="str">
            <v/>
          </cell>
        </row>
        <row r="2265">
          <cell r="B2265" t="str">
            <v/>
          </cell>
        </row>
        <row r="2266">
          <cell r="B2266" t="str">
            <v/>
          </cell>
        </row>
        <row r="2267">
          <cell r="B2267" t="str">
            <v/>
          </cell>
        </row>
        <row r="2268">
          <cell r="B2268" t="str">
            <v/>
          </cell>
        </row>
        <row r="2269">
          <cell r="B2269" t="str">
            <v/>
          </cell>
        </row>
        <row r="2270">
          <cell r="B2270" t="str">
            <v/>
          </cell>
        </row>
        <row r="2271">
          <cell r="B2271" t="str">
            <v/>
          </cell>
        </row>
        <row r="2272">
          <cell r="B2272" t="str">
            <v/>
          </cell>
        </row>
        <row r="2273">
          <cell r="B2273" t="str">
            <v/>
          </cell>
        </row>
        <row r="2274">
          <cell r="B2274" t="str">
            <v/>
          </cell>
        </row>
        <row r="2275">
          <cell r="B2275" t="str">
            <v/>
          </cell>
        </row>
        <row r="2276">
          <cell r="B2276" t="str">
            <v/>
          </cell>
        </row>
        <row r="2277">
          <cell r="B2277" t="str">
            <v/>
          </cell>
        </row>
        <row r="2278">
          <cell r="B2278" t="str">
            <v/>
          </cell>
        </row>
        <row r="2279">
          <cell r="B2279" t="str">
            <v/>
          </cell>
        </row>
        <row r="2280">
          <cell r="B2280" t="str">
            <v/>
          </cell>
        </row>
        <row r="2281">
          <cell r="B2281" t="str">
            <v/>
          </cell>
        </row>
        <row r="2282">
          <cell r="B2282" t="str">
            <v/>
          </cell>
        </row>
        <row r="2283">
          <cell r="B2283" t="str">
            <v/>
          </cell>
        </row>
        <row r="2284">
          <cell r="B2284" t="str">
            <v/>
          </cell>
        </row>
        <row r="2285">
          <cell r="B2285" t="str">
            <v/>
          </cell>
        </row>
        <row r="2286">
          <cell r="B2286" t="str">
            <v/>
          </cell>
        </row>
        <row r="2287">
          <cell r="B2287" t="str">
            <v/>
          </cell>
        </row>
        <row r="2288">
          <cell r="B2288" t="str">
            <v/>
          </cell>
        </row>
        <row r="2289">
          <cell r="B2289" t="str">
            <v/>
          </cell>
        </row>
        <row r="2290">
          <cell r="B2290" t="str">
            <v/>
          </cell>
        </row>
        <row r="2291">
          <cell r="B2291" t="str">
            <v/>
          </cell>
        </row>
        <row r="2292">
          <cell r="B2292" t="str">
            <v/>
          </cell>
        </row>
        <row r="2293">
          <cell r="B2293" t="str">
            <v/>
          </cell>
        </row>
        <row r="2294">
          <cell r="B2294" t="str">
            <v/>
          </cell>
        </row>
        <row r="2295">
          <cell r="B2295" t="str">
            <v/>
          </cell>
        </row>
        <row r="2296">
          <cell r="B2296" t="str">
            <v/>
          </cell>
        </row>
        <row r="2297">
          <cell r="B2297" t="str">
            <v/>
          </cell>
        </row>
        <row r="2298">
          <cell r="B2298" t="str">
            <v/>
          </cell>
        </row>
        <row r="2299">
          <cell r="B2299" t="str">
            <v/>
          </cell>
        </row>
        <row r="2300">
          <cell r="B2300" t="str">
            <v/>
          </cell>
        </row>
        <row r="2301">
          <cell r="B2301" t="str">
            <v/>
          </cell>
        </row>
        <row r="2302">
          <cell r="B2302" t="str">
            <v/>
          </cell>
        </row>
        <row r="2303">
          <cell r="B2303" t="str">
            <v/>
          </cell>
        </row>
        <row r="2304">
          <cell r="B2304" t="str">
            <v/>
          </cell>
        </row>
        <row r="2305">
          <cell r="B2305" t="str">
            <v/>
          </cell>
        </row>
        <row r="2306">
          <cell r="B2306" t="str">
            <v/>
          </cell>
        </row>
        <row r="2307">
          <cell r="B2307" t="str">
            <v/>
          </cell>
        </row>
        <row r="2308">
          <cell r="B2308" t="str">
            <v/>
          </cell>
        </row>
        <row r="2309">
          <cell r="B2309" t="str">
            <v/>
          </cell>
        </row>
        <row r="2310">
          <cell r="B2310" t="str">
            <v/>
          </cell>
        </row>
        <row r="2311">
          <cell r="B2311" t="str">
            <v/>
          </cell>
        </row>
        <row r="2312">
          <cell r="B2312" t="str">
            <v/>
          </cell>
        </row>
        <row r="2313">
          <cell r="B2313" t="str">
            <v/>
          </cell>
        </row>
        <row r="2314">
          <cell r="B2314" t="str">
            <v/>
          </cell>
        </row>
        <row r="2315">
          <cell r="B2315" t="str">
            <v/>
          </cell>
        </row>
        <row r="2316">
          <cell r="B2316" t="str">
            <v/>
          </cell>
        </row>
        <row r="2317">
          <cell r="B2317" t="str">
            <v/>
          </cell>
        </row>
        <row r="2318">
          <cell r="B2318" t="str">
            <v/>
          </cell>
        </row>
        <row r="2319">
          <cell r="B2319" t="str">
            <v/>
          </cell>
        </row>
        <row r="2320">
          <cell r="B2320" t="str">
            <v/>
          </cell>
        </row>
        <row r="2321">
          <cell r="B2321" t="str">
            <v/>
          </cell>
        </row>
        <row r="2322">
          <cell r="B2322" t="str">
            <v/>
          </cell>
        </row>
        <row r="2323">
          <cell r="B2323" t="str">
            <v/>
          </cell>
        </row>
        <row r="2324">
          <cell r="B2324" t="str">
            <v/>
          </cell>
        </row>
        <row r="2325">
          <cell r="B2325" t="str">
            <v/>
          </cell>
        </row>
        <row r="2326">
          <cell r="B2326" t="str">
            <v/>
          </cell>
        </row>
        <row r="2327">
          <cell r="B2327" t="str">
            <v/>
          </cell>
        </row>
        <row r="2328">
          <cell r="B2328" t="str">
            <v/>
          </cell>
        </row>
        <row r="2329">
          <cell r="B2329" t="str">
            <v/>
          </cell>
        </row>
        <row r="2330">
          <cell r="B2330" t="str">
            <v/>
          </cell>
        </row>
        <row r="2331">
          <cell r="B2331" t="str">
            <v/>
          </cell>
        </row>
        <row r="2332">
          <cell r="B2332" t="str">
            <v/>
          </cell>
        </row>
        <row r="2333">
          <cell r="B2333" t="str">
            <v/>
          </cell>
        </row>
        <row r="2334">
          <cell r="B2334" t="str">
            <v/>
          </cell>
        </row>
        <row r="2335">
          <cell r="B2335" t="str">
            <v/>
          </cell>
        </row>
        <row r="2336">
          <cell r="B2336" t="str">
            <v/>
          </cell>
        </row>
        <row r="2337">
          <cell r="B2337" t="str">
            <v/>
          </cell>
        </row>
        <row r="2338">
          <cell r="B2338" t="str">
            <v/>
          </cell>
        </row>
        <row r="2339">
          <cell r="B2339" t="str">
            <v/>
          </cell>
        </row>
        <row r="2340">
          <cell r="B2340" t="str">
            <v/>
          </cell>
        </row>
        <row r="2341">
          <cell r="B2341" t="str">
            <v/>
          </cell>
        </row>
        <row r="2342">
          <cell r="B2342" t="str">
            <v/>
          </cell>
        </row>
        <row r="2343">
          <cell r="B2343" t="str">
            <v/>
          </cell>
        </row>
        <row r="2344">
          <cell r="B2344" t="str">
            <v/>
          </cell>
        </row>
        <row r="2345">
          <cell r="B2345" t="str">
            <v/>
          </cell>
        </row>
        <row r="2346">
          <cell r="B2346" t="str">
            <v/>
          </cell>
        </row>
        <row r="2347">
          <cell r="B2347" t="str">
            <v/>
          </cell>
        </row>
        <row r="2348">
          <cell r="B2348" t="str">
            <v/>
          </cell>
        </row>
        <row r="2349">
          <cell r="B2349" t="str">
            <v/>
          </cell>
        </row>
        <row r="2350">
          <cell r="B2350" t="str">
            <v/>
          </cell>
        </row>
        <row r="2351">
          <cell r="B2351" t="str">
            <v/>
          </cell>
        </row>
        <row r="2352">
          <cell r="B2352" t="str">
            <v/>
          </cell>
        </row>
        <row r="2353">
          <cell r="B2353" t="str">
            <v/>
          </cell>
        </row>
        <row r="2354">
          <cell r="B2354" t="str">
            <v/>
          </cell>
        </row>
        <row r="2355">
          <cell r="B2355" t="str">
            <v/>
          </cell>
        </row>
        <row r="2356">
          <cell r="B2356" t="str">
            <v/>
          </cell>
        </row>
        <row r="2357">
          <cell r="B2357" t="str">
            <v/>
          </cell>
        </row>
        <row r="2358">
          <cell r="B2358" t="str">
            <v/>
          </cell>
        </row>
        <row r="2359">
          <cell r="B2359" t="str">
            <v/>
          </cell>
        </row>
        <row r="2360">
          <cell r="B2360" t="str">
            <v/>
          </cell>
        </row>
        <row r="2361">
          <cell r="B2361" t="str">
            <v/>
          </cell>
        </row>
        <row r="2362">
          <cell r="B2362" t="str">
            <v/>
          </cell>
        </row>
        <row r="2363">
          <cell r="B2363" t="str">
            <v/>
          </cell>
        </row>
        <row r="2364">
          <cell r="B2364" t="str">
            <v/>
          </cell>
        </row>
        <row r="2365">
          <cell r="B2365" t="str">
            <v/>
          </cell>
        </row>
        <row r="2366">
          <cell r="B2366" t="str">
            <v/>
          </cell>
        </row>
        <row r="2367">
          <cell r="B2367" t="str">
            <v/>
          </cell>
        </row>
        <row r="2368">
          <cell r="B2368" t="str">
            <v/>
          </cell>
        </row>
        <row r="2369">
          <cell r="B2369" t="str">
            <v/>
          </cell>
        </row>
        <row r="2370">
          <cell r="B2370" t="str">
            <v/>
          </cell>
        </row>
        <row r="2371">
          <cell r="B2371" t="str">
            <v/>
          </cell>
        </row>
        <row r="2372">
          <cell r="B2372" t="str">
            <v/>
          </cell>
        </row>
        <row r="2373">
          <cell r="B2373" t="str">
            <v/>
          </cell>
        </row>
        <row r="2374">
          <cell r="B2374" t="str">
            <v/>
          </cell>
        </row>
        <row r="2375">
          <cell r="B2375" t="str">
            <v/>
          </cell>
        </row>
        <row r="2376">
          <cell r="B2376" t="str">
            <v/>
          </cell>
        </row>
        <row r="2377">
          <cell r="B2377" t="str">
            <v/>
          </cell>
        </row>
        <row r="2378">
          <cell r="B2378" t="str">
            <v/>
          </cell>
        </row>
        <row r="2379">
          <cell r="B2379" t="str">
            <v/>
          </cell>
        </row>
        <row r="2380">
          <cell r="B2380" t="str">
            <v/>
          </cell>
        </row>
        <row r="2381">
          <cell r="B2381" t="str">
            <v/>
          </cell>
        </row>
        <row r="2382">
          <cell r="B2382" t="str">
            <v/>
          </cell>
        </row>
        <row r="2383">
          <cell r="B2383" t="str">
            <v/>
          </cell>
        </row>
        <row r="2384">
          <cell r="B2384" t="str">
            <v/>
          </cell>
        </row>
        <row r="2385">
          <cell r="B2385" t="str">
            <v/>
          </cell>
        </row>
        <row r="2386">
          <cell r="B2386" t="str">
            <v/>
          </cell>
        </row>
        <row r="2387">
          <cell r="B2387" t="str">
            <v/>
          </cell>
        </row>
        <row r="2388">
          <cell r="B2388" t="str">
            <v/>
          </cell>
        </row>
        <row r="2389">
          <cell r="B2389" t="str">
            <v/>
          </cell>
        </row>
        <row r="2390">
          <cell r="B2390" t="str">
            <v/>
          </cell>
        </row>
        <row r="2391">
          <cell r="B2391" t="str">
            <v/>
          </cell>
        </row>
        <row r="2392">
          <cell r="B2392" t="str">
            <v/>
          </cell>
        </row>
        <row r="2393">
          <cell r="B2393" t="str">
            <v/>
          </cell>
        </row>
        <row r="2394">
          <cell r="B2394" t="str">
            <v/>
          </cell>
        </row>
        <row r="2395">
          <cell r="B2395" t="str">
            <v/>
          </cell>
        </row>
        <row r="2396">
          <cell r="B2396" t="str">
            <v/>
          </cell>
        </row>
        <row r="2397">
          <cell r="B2397" t="str">
            <v/>
          </cell>
        </row>
        <row r="2398">
          <cell r="B2398" t="str">
            <v/>
          </cell>
        </row>
        <row r="2399">
          <cell r="B2399" t="str">
            <v/>
          </cell>
        </row>
        <row r="2400">
          <cell r="B2400" t="str">
            <v/>
          </cell>
        </row>
        <row r="2401">
          <cell r="B2401" t="str">
            <v/>
          </cell>
        </row>
        <row r="2402">
          <cell r="B2402" t="str">
            <v/>
          </cell>
        </row>
        <row r="2403">
          <cell r="B2403" t="str">
            <v/>
          </cell>
        </row>
        <row r="2404">
          <cell r="B2404" t="str">
            <v/>
          </cell>
        </row>
        <row r="2405">
          <cell r="B2405" t="str">
            <v/>
          </cell>
        </row>
        <row r="2406">
          <cell r="B2406" t="str">
            <v/>
          </cell>
        </row>
        <row r="2407">
          <cell r="B2407" t="str">
            <v/>
          </cell>
        </row>
        <row r="2408">
          <cell r="B2408" t="str">
            <v/>
          </cell>
        </row>
        <row r="2409">
          <cell r="B2409" t="str">
            <v/>
          </cell>
        </row>
        <row r="2410">
          <cell r="B2410" t="str">
            <v/>
          </cell>
        </row>
        <row r="2411">
          <cell r="B2411" t="str">
            <v/>
          </cell>
        </row>
        <row r="2412">
          <cell r="B2412" t="str">
            <v/>
          </cell>
        </row>
        <row r="2413">
          <cell r="B2413" t="str">
            <v/>
          </cell>
        </row>
        <row r="2414">
          <cell r="B2414" t="str">
            <v/>
          </cell>
        </row>
        <row r="2415">
          <cell r="B2415" t="str">
            <v/>
          </cell>
        </row>
        <row r="2416">
          <cell r="B2416" t="str">
            <v/>
          </cell>
        </row>
        <row r="2417">
          <cell r="B2417" t="str">
            <v/>
          </cell>
        </row>
        <row r="2418">
          <cell r="B2418" t="str">
            <v/>
          </cell>
        </row>
        <row r="2419">
          <cell r="B2419" t="str">
            <v/>
          </cell>
        </row>
        <row r="2420">
          <cell r="B2420" t="str">
            <v/>
          </cell>
        </row>
        <row r="2421">
          <cell r="B2421" t="str">
            <v/>
          </cell>
        </row>
        <row r="2422">
          <cell r="B2422" t="str">
            <v/>
          </cell>
        </row>
        <row r="2423">
          <cell r="B2423" t="str">
            <v/>
          </cell>
        </row>
        <row r="2424">
          <cell r="B2424" t="str">
            <v/>
          </cell>
        </row>
        <row r="2425">
          <cell r="B2425" t="str">
            <v/>
          </cell>
        </row>
        <row r="2426">
          <cell r="B2426" t="str">
            <v/>
          </cell>
        </row>
        <row r="2427">
          <cell r="B2427" t="str">
            <v/>
          </cell>
        </row>
        <row r="2428">
          <cell r="B2428" t="str">
            <v/>
          </cell>
        </row>
        <row r="2429">
          <cell r="B2429" t="str">
            <v/>
          </cell>
        </row>
        <row r="2430">
          <cell r="B2430" t="str">
            <v/>
          </cell>
        </row>
        <row r="2431">
          <cell r="B2431" t="str">
            <v/>
          </cell>
        </row>
        <row r="2432">
          <cell r="B2432" t="str">
            <v/>
          </cell>
        </row>
        <row r="2433">
          <cell r="B2433" t="str">
            <v/>
          </cell>
        </row>
        <row r="2434">
          <cell r="B2434" t="str">
            <v/>
          </cell>
        </row>
        <row r="2435">
          <cell r="B2435" t="str">
            <v/>
          </cell>
        </row>
        <row r="2436">
          <cell r="B2436" t="str">
            <v/>
          </cell>
        </row>
        <row r="2437">
          <cell r="B2437" t="str">
            <v/>
          </cell>
        </row>
        <row r="2438">
          <cell r="B2438" t="str">
            <v/>
          </cell>
        </row>
        <row r="2439">
          <cell r="B2439" t="str">
            <v/>
          </cell>
        </row>
        <row r="2440">
          <cell r="B2440" t="str">
            <v/>
          </cell>
        </row>
        <row r="2441">
          <cell r="B2441" t="str">
            <v/>
          </cell>
        </row>
        <row r="2442">
          <cell r="B2442" t="str">
            <v/>
          </cell>
        </row>
        <row r="2443">
          <cell r="B2443" t="str">
            <v/>
          </cell>
        </row>
        <row r="2444">
          <cell r="B2444" t="str">
            <v/>
          </cell>
        </row>
        <row r="2445">
          <cell r="B2445" t="str">
            <v/>
          </cell>
        </row>
        <row r="2446">
          <cell r="B2446" t="str">
            <v/>
          </cell>
        </row>
        <row r="2447">
          <cell r="B2447" t="str">
            <v/>
          </cell>
        </row>
        <row r="2448">
          <cell r="B2448" t="str">
            <v/>
          </cell>
        </row>
        <row r="2449">
          <cell r="B2449" t="str">
            <v/>
          </cell>
        </row>
        <row r="2450">
          <cell r="B2450" t="str">
            <v/>
          </cell>
        </row>
        <row r="2451">
          <cell r="B2451" t="str">
            <v/>
          </cell>
        </row>
        <row r="2452">
          <cell r="B2452" t="str">
            <v/>
          </cell>
        </row>
        <row r="2453">
          <cell r="B2453" t="str">
            <v/>
          </cell>
        </row>
        <row r="2454">
          <cell r="B2454" t="str">
            <v/>
          </cell>
        </row>
        <row r="2455">
          <cell r="B2455" t="str">
            <v/>
          </cell>
        </row>
        <row r="2456">
          <cell r="B2456" t="str">
            <v/>
          </cell>
        </row>
        <row r="2457">
          <cell r="B2457" t="str">
            <v/>
          </cell>
        </row>
        <row r="2458">
          <cell r="B2458" t="str">
            <v/>
          </cell>
        </row>
        <row r="2459">
          <cell r="B2459" t="str">
            <v/>
          </cell>
        </row>
        <row r="2460">
          <cell r="B2460" t="str">
            <v/>
          </cell>
        </row>
        <row r="2461">
          <cell r="B2461" t="str">
            <v/>
          </cell>
        </row>
        <row r="2462">
          <cell r="B2462" t="str">
            <v/>
          </cell>
        </row>
        <row r="2463">
          <cell r="B2463" t="str">
            <v/>
          </cell>
        </row>
        <row r="2464">
          <cell r="B2464" t="str">
            <v/>
          </cell>
        </row>
        <row r="2465">
          <cell r="B2465" t="str">
            <v/>
          </cell>
        </row>
        <row r="2466">
          <cell r="B2466" t="str">
            <v/>
          </cell>
        </row>
        <row r="2467">
          <cell r="B2467" t="str">
            <v/>
          </cell>
        </row>
        <row r="2468">
          <cell r="B2468" t="str">
            <v/>
          </cell>
        </row>
        <row r="2469">
          <cell r="B2469" t="str">
            <v/>
          </cell>
        </row>
        <row r="2470">
          <cell r="B2470" t="str">
            <v/>
          </cell>
        </row>
        <row r="2471">
          <cell r="B2471" t="str">
            <v/>
          </cell>
        </row>
        <row r="2472">
          <cell r="B2472" t="str">
            <v/>
          </cell>
        </row>
        <row r="2473">
          <cell r="B2473" t="str">
            <v/>
          </cell>
        </row>
        <row r="2474">
          <cell r="B2474" t="str">
            <v/>
          </cell>
        </row>
        <row r="2475">
          <cell r="B2475" t="str">
            <v/>
          </cell>
        </row>
        <row r="2476">
          <cell r="B2476" t="str">
            <v/>
          </cell>
        </row>
        <row r="2477">
          <cell r="B2477" t="str">
            <v/>
          </cell>
        </row>
        <row r="2478">
          <cell r="B2478" t="str">
            <v/>
          </cell>
        </row>
        <row r="2479">
          <cell r="B2479" t="str">
            <v/>
          </cell>
        </row>
        <row r="2480">
          <cell r="B2480" t="str">
            <v/>
          </cell>
        </row>
        <row r="2481">
          <cell r="B2481" t="str">
            <v/>
          </cell>
        </row>
        <row r="2482">
          <cell r="B2482" t="str">
            <v/>
          </cell>
        </row>
        <row r="2483">
          <cell r="B2483" t="str">
            <v/>
          </cell>
        </row>
        <row r="2484">
          <cell r="B2484" t="str">
            <v/>
          </cell>
        </row>
        <row r="2485">
          <cell r="B2485" t="str">
            <v/>
          </cell>
        </row>
        <row r="2486">
          <cell r="B2486" t="str">
            <v/>
          </cell>
        </row>
        <row r="2487">
          <cell r="B2487" t="str">
            <v/>
          </cell>
        </row>
        <row r="2488">
          <cell r="B2488" t="str">
            <v/>
          </cell>
        </row>
        <row r="2489">
          <cell r="B2489" t="str">
            <v/>
          </cell>
        </row>
        <row r="2490">
          <cell r="B2490" t="str">
            <v/>
          </cell>
        </row>
        <row r="2491">
          <cell r="B2491" t="str">
            <v/>
          </cell>
        </row>
        <row r="2492">
          <cell r="B2492" t="str">
            <v/>
          </cell>
        </row>
        <row r="2493">
          <cell r="B2493" t="str">
            <v/>
          </cell>
        </row>
        <row r="2494">
          <cell r="B2494" t="str">
            <v/>
          </cell>
        </row>
        <row r="2495">
          <cell r="B2495" t="str">
            <v/>
          </cell>
        </row>
        <row r="2496">
          <cell r="B2496" t="str">
            <v/>
          </cell>
        </row>
        <row r="2497">
          <cell r="B2497" t="str">
            <v/>
          </cell>
        </row>
        <row r="2498">
          <cell r="B2498" t="str">
            <v/>
          </cell>
        </row>
        <row r="2499">
          <cell r="B2499" t="str">
            <v/>
          </cell>
        </row>
        <row r="2500">
          <cell r="B2500" t="str">
            <v/>
          </cell>
        </row>
        <row r="2501">
          <cell r="B2501" t="str">
            <v/>
          </cell>
        </row>
        <row r="2502">
          <cell r="B2502" t="str">
            <v/>
          </cell>
        </row>
        <row r="2503">
          <cell r="B2503" t="str">
            <v/>
          </cell>
        </row>
        <row r="2504">
          <cell r="B2504" t="str">
            <v/>
          </cell>
        </row>
        <row r="2505">
          <cell r="B2505" t="str">
            <v/>
          </cell>
        </row>
        <row r="2506">
          <cell r="B2506" t="str">
            <v/>
          </cell>
        </row>
        <row r="2507">
          <cell r="B2507" t="str">
            <v/>
          </cell>
        </row>
        <row r="2508">
          <cell r="B2508" t="str">
            <v/>
          </cell>
        </row>
        <row r="2509">
          <cell r="B2509" t="str">
            <v/>
          </cell>
        </row>
        <row r="2510">
          <cell r="B2510" t="str">
            <v/>
          </cell>
        </row>
        <row r="2511">
          <cell r="B2511" t="str">
            <v/>
          </cell>
        </row>
        <row r="2512">
          <cell r="B2512" t="str">
            <v/>
          </cell>
        </row>
        <row r="2513">
          <cell r="B2513" t="str">
            <v/>
          </cell>
        </row>
        <row r="2514">
          <cell r="B2514" t="str">
            <v/>
          </cell>
        </row>
        <row r="2515">
          <cell r="B2515" t="str">
            <v/>
          </cell>
        </row>
        <row r="2516">
          <cell r="B2516" t="str">
            <v/>
          </cell>
        </row>
        <row r="2517">
          <cell r="B2517" t="str">
            <v/>
          </cell>
        </row>
        <row r="2518">
          <cell r="B2518" t="str">
            <v/>
          </cell>
        </row>
        <row r="2519">
          <cell r="B2519" t="str">
            <v/>
          </cell>
        </row>
        <row r="2520">
          <cell r="B2520" t="str">
            <v/>
          </cell>
        </row>
        <row r="2521">
          <cell r="B2521" t="str">
            <v/>
          </cell>
        </row>
        <row r="2522">
          <cell r="B2522" t="str">
            <v/>
          </cell>
        </row>
        <row r="2523">
          <cell r="B2523" t="str">
            <v/>
          </cell>
        </row>
        <row r="2524">
          <cell r="B2524" t="str">
            <v/>
          </cell>
        </row>
        <row r="2525">
          <cell r="B2525" t="str">
            <v/>
          </cell>
        </row>
        <row r="2526">
          <cell r="B2526" t="str">
            <v/>
          </cell>
        </row>
        <row r="2527">
          <cell r="B2527" t="str">
            <v/>
          </cell>
        </row>
        <row r="2528">
          <cell r="B2528" t="str">
            <v/>
          </cell>
        </row>
        <row r="2529">
          <cell r="B2529" t="str">
            <v/>
          </cell>
        </row>
        <row r="2530">
          <cell r="B2530" t="str">
            <v/>
          </cell>
        </row>
        <row r="2531">
          <cell r="B2531" t="str">
            <v/>
          </cell>
        </row>
        <row r="2532">
          <cell r="B2532" t="str">
            <v/>
          </cell>
        </row>
        <row r="2533">
          <cell r="B2533" t="str">
            <v/>
          </cell>
        </row>
        <row r="2534">
          <cell r="B2534" t="str">
            <v/>
          </cell>
        </row>
        <row r="2535">
          <cell r="B2535" t="str">
            <v/>
          </cell>
        </row>
        <row r="2536">
          <cell r="B2536" t="str">
            <v/>
          </cell>
        </row>
        <row r="2537">
          <cell r="B2537" t="str">
            <v/>
          </cell>
        </row>
        <row r="2538">
          <cell r="B2538" t="str">
            <v/>
          </cell>
        </row>
        <row r="2539">
          <cell r="B2539" t="str">
            <v/>
          </cell>
        </row>
        <row r="2540">
          <cell r="B2540" t="str">
            <v/>
          </cell>
        </row>
        <row r="2541">
          <cell r="B2541" t="str">
            <v/>
          </cell>
        </row>
        <row r="2542">
          <cell r="B2542" t="str">
            <v/>
          </cell>
        </row>
        <row r="2543">
          <cell r="B2543" t="str">
            <v/>
          </cell>
        </row>
        <row r="2544">
          <cell r="B2544" t="str">
            <v/>
          </cell>
        </row>
        <row r="2545">
          <cell r="B2545" t="str">
            <v/>
          </cell>
        </row>
        <row r="2546">
          <cell r="B2546" t="str">
            <v/>
          </cell>
        </row>
        <row r="2547">
          <cell r="B2547" t="str">
            <v/>
          </cell>
        </row>
        <row r="2548">
          <cell r="B2548" t="str">
            <v/>
          </cell>
        </row>
        <row r="2549">
          <cell r="B2549" t="str">
            <v/>
          </cell>
        </row>
        <row r="2550">
          <cell r="B2550" t="str">
            <v/>
          </cell>
        </row>
        <row r="2551">
          <cell r="B2551" t="str">
            <v/>
          </cell>
        </row>
        <row r="2552">
          <cell r="B2552" t="str">
            <v/>
          </cell>
        </row>
        <row r="2553">
          <cell r="B2553" t="str">
            <v/>
          </cell>
        </row>
        <row r="2554">
          <cell r="B2554" t="str">
            <v/>
          </cell>
        </row>
        <row r="2555">
          <cell r="B2555" t="str">
            <v/>
          </cell>
        </row>
        <row r="2556">
          <cell r="B2556" t="str">
            <v/>
          </cell>
        </row>
        <row r="2557">
          <cell r="B2557" t="str">
            <v/>
          </cell>
        </row>
        <row r="2558">
          <cell r="B2558" t="str">
            <v/>
          </cell>
        </row>
        <row r="2559">
          <cell r="B2559" t="str">
            <v/>
          </cell>
        </row>
        <row r="2560">
          <cell r="B2560" t="str">
            <v/>
          </cell>
        </row>
        <row r="2561">
          <cell r="B2561" t="str">
            <v/>
          </cell>
        </row>
        <row r="2562">
          <cell r="B2562" t="str">
            <v/>
          </cell>
        </row>
        <row r="2563">
          <cell r="B2563" t="str">
            <v/>
          </cell>
        </row>
        <row r="2564">
          <cell r="B2564" t="str">
            <v/>
          </cell>
        </row>
        <row r="2565">
          <cell r="B2565" t="str">
            <v/>
          </cell>
        </row>
        <row r="2566">
          <cell r="B2566" t="str">
            <v/>
          </cell>
        </row>
        <row r="2567">
          <cell r="B2567" t="str">
            <v/>
          </cell>
        </row>
        <row r="2568">
          <cell r="B2568" t="str">
            <v/>
          </cell>
        </row>
        <row r="2569">
          <cell r="B2569" t="str">
            <v/>
          </cell>
        </row>
        <row r="2570">
          <cell r="B2570" t="str">
            <v/>
          </cell>
        </row>
        <row r="2571">
          <cell r="B2571" t="str">
            <v/>
          </cell>
        </row>
        <row r="2572">
          <cell r="B2572" t="str">
            <v/>
          </cell>
        </row>
        <row r="2573">
          <cell r="B2573" t="str">
            <v/>
          </cell>
        </row>
        <row r="2574">
          <cell r="B2574" t="str">
            <v/>
          </cell>
        </row>
        <row r="2575">
          <cell r="B2575" t="str">
            <v/>
          </cell>
        </row>
        <row r="2576">
          <cell r="B2576" t="str">
            <v/>
          </cell>
        </row>
        <row r="2577">
          <cell r="B2577" t="str">
            <v/>
          </cell>
        </row>
        <row r="2578">
          <cell r="B2578" t="str">
            <v/>
          </cell>
        </row>
        <row r="2579">
          <cell r="B2579" t="str">
            <v/>
          </cell>
        </row>
        <row r="2580">
          <cell r="B2580" t="str">
            <v/>
          </cell>
        </row>
        <row r="2581">
          <cell r="B2581" t="str">
            <v/>
          </cell>
        </row>
        <row r="2582">
          <cell r="B2582" t="str">
            <v/>
          </cell>
        </row>
        <row r="2583">
          <cell r="B2583" t="str">
            <v/>
          </cell>
        </row>
        <row r="2584">
          <cell r="B2584" t="str">
            <v/>
          </cell>
        </row>
        <row r="2585">
          <cell r="B2585" t="str">
            <v/>
          </cell>
        </row>
        <row r="2586">
          <cell r="B2586" t="str">
            <v/>
          </cell>
        </row>
        <row r="2587">
          <cell r="B2587" t="str">
            <v/>
          </cell>
        </row>
        <row r="2588">
          <cell r="B2588" t="str">
            <v/>
          </cell>
        </row>
        <row r="2589">
          <cell r="B2589" t="str">
            <v/>
          </cell>
        </row>
        <row r="2590">
          <cell r="B2590" t="str">
            <v/>
          </cell>
        </row>
        <row r="2591">
          <cell r="B2591" t="str">
            <v/>
          </cell>
        </row>
        <row r="2592">
          <cell r="B2592" t="str">
            <v/>
          </cell>
        </row>
        <row r="2593">
          <cell r="B2593" t="str">
            <v/>
          </cell>
        </row>
        <row r="2594">
          <cell r="B2594" t="str">
            <v/>
          </cell>
        </row>
        <row r="2595">
          <cell r="B2595" t="str">
            <v/>
          </cell>
        </row>
        <row r="2596">
          <cell r="B2596" t="str">
            <v/>
          </cell>
        </row>
        <row r="2597">
          <cell r="B2597" t="str">
            <v/>
          </cell>
        </row>
        <row r="2598">
          <cell r="B2598" t="str">
            <v/>
          </cell>
        </row>
        <row r="2599">
          <cell r="B2599" t="str">
            <v/>
          </cell>
        </row>
        <row r="2600">
          <cell r="B2600" t="str">
            <v/>
          </cell>
        </row>
        <row r="2601">
          <cell r="B2601" t="str">
            <v/>
          </cell>
        </row>
        <row r="2602">
          <cell r="B2602" t="str">
            <v/>
          </cell>
        </row>
        <row r="2603">
          <cell r="B2603" t="str">
            <v/>
          </cell>
        </row>
        <row r="2604">
          <cell r="B2604" t="str">
            <v/>
          </cell>
        </row>
        <row r="2605">
          <cell r="B2605" t="str">
            <v/>
          </cell>
        </row>
        <row r="2606">
          <cell r="B2606" t="str">
            <v/>
          </cell>
        </row>
        <row r="2607">
          <cell r="B2607" t="str">
            <v/>
          </cell>
        </row>
        <row r="2608">
          <cell r="B2608" t="str">
            <v/>
          </cell>
        </row>
        <row r="2609">
          <cell r="B2609" t="str">
            <v/>
          </cell>
        </row>
        <row r="2610">
          <cell r="B2610" t="str">
            <v/>
          </cell>
        </row>
        <row r="2611">
          <cell r="B2611" t="str">
            <v/>
          </cell>
        </row>
        <row r="2612">
          <cell r="B2612" t="str">
            <v/>
          </cell>
        </row>
        <row r="2613">
          <cell r="B2613" t="str">
            <v/>
          </cell>
        </row>
        <row r="2614">
          <cell r="B2614" t="str">
            <v/>
          </cell>
        </row>
        <row r="2615">
          <cell r="B2615" t="str">
            <v/>
          </cell>
        </row>
        <row r="2616">
          <cell r="B2616" t="str">
            <v/>
          </cell>
        </row>
        <row r="2617">
          <cell r="B2617" t="str">
            <v/>
          </cell>
        </row>
        <row r="2618">
          <cell r="B2618" t="str">
            <v/>
          </cell>
        </row>
        <row r="2619">
          <cell r="B2619" t="str">
            <v/>
          </cell>
        </row>
        <row r="2620">
          <cell r="B2620" t="str">
            <v/>
          </cell>
        </row>
        <row r="2621">
          <cell r="B2621" t="str">
            <v/>
          </cell>
        </row>
        <row r="2622">
          <cell r="B2622" t="str">
            <v/>
          </cell>
        </row>
        <row r="2623">
          <cell r="B2623" t="str">
            <v/>
          </cell>
        </row>
        <row r="2624">
          <cell r="B2624" t="str">
            <v/>
          </cell>
        </row>
        <row r="2625">
          <cell r="B2625" t="str">
            <v/>
          </cell>
        </row>
        <row r="2626">
          <cell r="B2626" t="str">
            <v/>
          </cell>
        </row>
        <row r="2627">
          <cell r="B2627" t="str">
            <v/>
          </cell>
        </row>
        <row r="2628">
          <cell r="B2628" t="str">
            <v/>
          </cell>
        </row>
        <row r="2629">
          <cell r="B2629" t="str">
            <v/>
          </cell>
        </row>
        <row r="2630">
          <cell r="B2630" t="str">
            <v/>
          </cell>
        </row>
        <row r="2631">
          <cell r="B2631" t="str">
            <v/>
          </cell>
        </row>
        <row r="2632">
          <cell r="B2632" t="str">
            <v/>
          </cell>
        </row>
        <row r="2633">
          <cell r="B2633" t="str">
            <v/>
          </cell>
        </row>
        <row r="2634">
          <cell r="B2634" t="str">
            <v/>
          </cell>
        </row>
        <row r="2635">
          <cell r="B2635" t="str">
            <v/>
          </cell>
        </row>
        <row r="2636">
          <cell r="B2636" t="str">
            <v/>
          </cell>
        </row>
        <row r="2637">
          <cell r="B2637" t="str">
            <v/>
          </cell>
        </row>
        <row r="2638">
          <cell r="B2638" t="str">
            <v/>
          </cell>
        </row>
        <row r="2639">
          <cell r="B2639" t="str">
            <v/>
          </cell>
        </row>
        <row r="2640">
          <cell r="B2640" t="str">
            <v/>
          </cell>
        </row>
        <row r="2641">
          <cell r="B2641" t="str">
            <v/>
          </cell>
        </row>
        <row r="2642">
          <cell r="B2642" t="str">
            <v/>
          </cell>
        </row>
        <row r="2643">
          <cell r="B2643" t="str">
            <v/>
          </cell>
        </row>
        <row r="2644">
          <cell r="B2644" t="str">
            <v/>
          </cell>
        </row>
        <row r="2645">
          <cell r="B2645" t="str">
            <v/>
          </cell>
        </row>
        <row r="2646">
          <cell r="B2646" t="str">
            <v/>
          </cell>
        </row>
        <row r="2647">
          <cell r="B2647" t="str">
            <v/>
          </cell>
        </row>
        <row r="2648">
          <cell r="B2648" t="str">
            <v/>
          </cell>
        </row>
        <row r="2649">
          <cell r="B2649" t="str">
            <v/>
          </cell>
        </row>
        <row r="2650">
          <cell r="B2650" t="str">
            <v/>
          </cell>
        </row>
        <row r="2651">
          <cell r="B2651" t="str">
            <v/>
          </cell>
        </row>
        <row r="2652">
          <cell r="B2652" t="str">
            <v/>
          </cell>
        </row>
        <row r="2653">
          <cell r="B2653" t="str">
            <v/>
          </cell>
        </row>
        <row r="2654">
          <cell r="B2654" t="str">
            <v/>
          </cell>
        </row>
        <row r="2655">
          <cell r="B2655" t="str">
            <v/>
          </cell>
        </row>
        <row r="2656">
          <cell r="B2656" t="str">
            <v/>
          </cell>
        </row>
        <row r="2657">
          <cell r="B2657" t="str">
            <v/>
          </cell>
        </row>
        <row r="2658">
          <cell r="B2658" t="str">
            <v/>
          </cell>
        </row>
        <row r="2659">
          <cell r="B2659" t="str">
            <v/>
          </cell>
        </row>
        <row r="2660">
          <cell r="B2660" t="str">
            <v/>
          </cell>
        </row>
        <row r="2661">
          <cell r="B2661" t="str">
            <v/>
          </cell>
        </row>
        <row r="2662">
          <cell r="B2662" t="str">
            <v/>
          </cell>
        </row>
        <row r="2663">
          <cell r="B2663" t="str">
            <v/>
          </cell>
        </row>
        <row r="2664">
          <cell r="B2664" t="str">
            <v/>
          </cell>
        </row>
        <row r="2665">
          <cell r="B2665" t="str">
            <v/>
          </cell>
        </row>
        <row r="2666">
          <cell r="B2666" t="str">
            <v/>
          </cell>
        </row>
        <row r="2667">
          <cell r="B2667" t="str">
            <v/>
          </cell>
        </row>
        <row r="2668">
          <cell r="B2668" t="str">
            <v/>
          </cell>
        </row>
        <row r="2669">
          <cell r="B2669" t="str">
            <v/>
          </cell>
        </row>
        <row r="2670">
          <cell r="B2670" t="str">
            <v/>
          </cell>
        </row>
        <row r="2671">
          <cell r="B2671" t="str">
            <v/>
          </cell>
        </row>
        <row r="2672">
          <cell r="B2672" t="str">
            <v/>
          </cell>
        </row>
        <row r="2673">
          <cell r="B2673" t="str">
            <v/>
          </cell>
        </row>
        <row r="2674">
          <cell r="B2674" t="str">
            <v/>
          </cell>
        </row>
        <row r="2675">
          <cell r="B2675" t="str">
            <v/>
          </cell>
        </row>
        <row r="2676">
          <cell r="B2676" t="str">
            <v/>
          </cell>
        </row>
        <row r="2677">
          <cell r="B2677" t="str">
            <v/>
          </cell>
        </row>
        <row r="2678">
          <cell r="B2678" t="str">
            <v/>
          </cell>
        </row>
        <row r="2679">
          <cell r="B2679" t="str">
            <v/>
          </cell>
        </row>
        <row r="2680">
          <cell r="B2680" t="str">
            <v/>
          </cell>
        </row>
        <row r="2681">
          <cell r="B2681" t="str">
            <v/>
          </cell>
        </row>
        <row r="2682">
          <cell r="B2682" t="str">
            <v/>
          </cell>
        </row>
        <row r="2683">
          <cell r="B2683" t="str">
            <v/>
          </cell>
        </row>
        <row r="2684">
          <cell r="B2684" t="str">
            <v/>
          </cell>
        </row>
        <row r="2685">
          <cell r="B2685" t="str">
            <v/>
          </cell>
        </row>
        <row r="2686">
          <cell r="B2686" t="str">
            <v/>
          </cell>
        </row>
        <row r="2687">
          <cell r="B2687" t="str">
            <v/>
          </cell>
        </row>
        <row r="2688">
          <cell r="B2688" t="str">
            <v/>
          </cell>
        </row>
        <row r="2689">
          <cell r="B2689" t="str">
            <v/>
          </cell>
        </row>
        <row r="2690">
          <cell r="B2690" t="str">
            <v/>
          </cell>
        </row>
        <row r="2691">
          <cell r="B2691" t="str">
            <v/>
          </cell>
        </row>
        <row r="2692">
          <cell r="B2692" t="str">
            <v/>
          </cell>
        </row>
        <row r="2693">
          <cell r="B2693" t="str">
            <v/>
          </cell>
        </row>
        <row r="2694">
          <cell r="B2694" t="str">
            <v/>
          </cell>
        </row>
        <row r="2695">
          <cell r="B2695" t="str">
            <v/>
          </cell>
        </row>
        <row r="2696">
          <cell r="B2696" t="str">
            <v/>
          </cell>
        </row>
        <row r="2697">
          <cell r="B2697" t="str">
            <v/>
          </cell>
        </row>
        <row r="2698">
          <cell r="B2698" t="str">
            <v/>
          </cell>
        </row>
        <row r="2699">
          <cell r="B2699" t="str">
            <v/>
          </cell>
        </row>
        <row r="2700">
          <cell r="B2700" t="str">
            <v/>
          </cell>
        </row>
        <row r="2701">
          <cell r="B2701" t="str">
            <v/>
          </cell>
        </row>
        <row r="2702">
          <cell r="B2702" t="str">
            <v/>
          </cell>
        </row>
        <row r="2703">
          <cell r="B2703" t="str">
            <v/>
          </cell>
        </row>
        <row r="2704">
          <cell r="B2704" t="str">
            <v/>
          </cell>
        </row>
        <row r="2705">
          <cell r="B2705" t="str">
            <v/>
          </cell>
        </row>
        <row r="2706">
          <cell r="B2706" t="str">
            <v/>
          </cell>
        </row>
        <row r="2707">
          <cell r="B2707" t="str">
            <v/>
          </cell>
        </row>
        <row r="2708">
          <cell r="B2708" t="str">
            <v/>
          </cell>
        </row>
        <row r="2709">
          <cell r="B2709" t="str">
            <v/>
          </cell>
        </row>
        <row r="2710">
          <cell r="B2710" t="str">
            <v/>
          </cell>
        </row>
        <row r="2711">
          <cell r="B2711" t="str">
            <v/>
          </cell>
        </row>
        <row r="2712">
          <cell r="B2712" t="str">
            <v/>
          </cell>
        </row>
        <row r="2713">
          <cell r="B2713" t="str">
            <v/>
          </cell>
        </row>
        <row r="2714">
          <cell r="B2714" t="str">
            <v/>
          </cell>
        </row>
        <row r="2715">
          <cell r="B2715" t="str">
            <v/>
          </cell>
        </row>
        <row r="2716">
          <cell r="B2716" t="str">
            <v/>
          </cell>
        </row>
        <row r="2717">
          <cell r="B2717" t="str">
            <v/>
          </cell>
        </row>
        <row r="2718">
          <cell r="B2718" t="str">
            <v/>
          </cell>
        </row>
        <row r="2719">
          <cell r="B2719" t="str">
            <v/>
          </cell>
        </row>
        <row r="2720">
          <cell r="B2720" t="str">
            <v/>
          </cell>
        </row>
        <row r="2721">
          <cell r="B2721" t="str">
            <v/>
          </cell>
        </row>
        <row r="2722">
          <cell r="B2722" t="str">
            <v/>
          </cell>
        </row>
        <row r="2723">
          <cell r="B2723" t="str">
            <v/>
          </cell>
        </row>
        <row r="2724">
          <cell r="B2724" t="str">
            <v/>
          </cell>
        </row>
        <row r="2725">
          <cell r="B2725" t="str">
            <v/>
          </cell>
        </row>
        <row r="2726">
          <cell r="B2726" t="str">
            <v/>
          </cell>
        </row>
        <row r="2727">
          <cell r="B2727" t="str">
            <v/>
          </cell>
        </row>
        <row r="2728">
          <cell r="B2728" t="str">
            <v/>
          </cell>
        </row>
        <row r="2729">
          <cell r="B2729" t="str">
            <v/>
          </cell>
        </row>
        <row r="2730">
          <cell r="B2730" t="str">
            <v/>
          </cell>
        </row>
        <row r="2731">
          <cell r="B2731" t="str">
            <v/>
          </cell>
        </row>
        <row r="2732">
          <cell r="B2732" t="str">
            <v/>
          </cell>
        </row>
        <row r="2733">
          <cell r="B2733" t="str">
            <v/>
          </cell>
        </row>
        <row r="2734">
          <cell r="B2734" t="str">
            <v/>
          </cell>
        </row>
        <row r="2735">
          <cell r="B2735" t="str">
            <v/>
          </cell>
        </row>
        <row r="2736">
          <cell r="B2736" t="str">
            <v/>
          </cell>
        </row>
        <row r="2737">
          <cell r="B2737" t="str">
            <v/>
          </cell>
        </row>
        <row r="2738">
          <cell r="B2738" t="str">
            <v/>
          </cell>
        </row>
        <row r="2739">
          <cell r="B2739" t="str">
            <v/>
          </cell>
        </row>
        <row r="2740">
          <cell r="B2740" t="str">
            <v/>
          </cell>
        </row>
        <row r="2741">
          <cell r="B2741" t="str">
            <v/>
          </cell>
        </row>
        <row r="2742">
          <cell r="B2742" t="str">
            <v/>
          </cell>
        </row>
        <row r="2743">
          <cell r="B2743" t="str">
            <v/>
          </cell>
        </row>
        <row r="2744">
          <cell r="B2744" t="str">
            <v/>
          </cell>
        </row>
        <row r="2745">
          <cell r="B2745" t="str">
            <v/>
          </cell>
        </row>
        <row r="2746">
          <cell r="B2746" t="str">
            <v/>
          </cell>
        </row>
        <row r="2747">
          <cell r="B2747" t="str">
            <v/>
          </cell>
        </row>
        <row r="2748">
          <cell r="B2748" t="str">
            <v/>
          </cell>
        </row>
        <row r="2749">
          <cell r="B2749" t="str">
            <v/>
          </cell>
        </row>
        <row r="2750">
          <cell r="B2750" t="str">
            <v/>
          </cell>
        </row>
        <row r="2751">
          <cell r="B2751" t="str">
            <v/>
          </cell>
        </row>
        <row r="2752">
          <cell r="B2752" t="str">
            <v/>
          </cell>
        </row>
        <row r="2753">
          <cell r="B2753" t="str">
            <v/>
          </cell>
        </row>
        <row r="2754">
          <cell r="B2754" t="str">
            <v/>
          </cell>
        </row>
        <row r="2755">
          <cell r="B2755" t="str">
            <v/>
          </cell>
        </row>
        <row r="2756">
          <cell r="B2756" t="str">
            <v/>
          </cell>
        </row>
        <row r="2757">
          <cell r="B2757" t="str">
            <v/>
          </cell>
        </row>
        <row r="2758">
          <cell r="B2758" t="str">
            <v/>
          </cell>
        </row>
        <row r="2759">
          <cell r="B2759" t="str">
            <v/>
          </cell>
        </row>
        <row r="2760">
          <cell r="B2760" t="str">
            <v/>
          </cell>
        </row>
        <row r="2761">
          <cell r="B2761" t="str">
            <v/>
          </cell>
        </row>
        <row r="2762">
          <cell r="B2762" t="str">
            <v/>
          </cell>
        </row>
        <row r="2763">
          <cell r="B2763" t="str">
            <v/>
          </cell>
        </row>
        <row r="2764">
          <cell r="B2764" t="str">
            <v/>
          </cell>
        </row>
        <row r="2765">
          <cell r="B2765" t="str">
            <v/>
          </cell>
        </row>
        <row r="2766">
          <cell r="B2766" t="str">
            <v/>
          </cell>
        </row>
        <row r="2767">
          <cell r="B2767" t="str">
            <v/>
          </cell>
        </row>
        <row r="2768">
          <cell r="B2768" t="str">
            <v/>
          </cell>
        </row>
        <row r="2769">
          <cell r="B2769" t="str">
            <v/>
          </cell>
        </row>
        <row r="2770">
          <cell r="B2770" t="str">
            <v/>
          </cell>
        </row>
        <row r="2771">
          <cell r="B2771" t="str">
            <v/>
          </cell>
        </row>
        <row r="2772">
          <cell r="B2772" t="str">
            <v/>
          </cell>
        </row>
        <row r="2773">
          <cell r="B2773" t="str">
            <v/>
          </cell>
        </row>
        <row r="2774">
          <cell r="B2774" t="str">
            <v/>
          </cell>
        </row>
        <row r="2775">
          <cell r="B2775" t="str">
            <v/>
          </cell>
        </row>
        <row r="2776">
          <cell r="B2776" t="str">
            <v/>
          </cell>
        </row>
        <row r="2777">
          <cell r="B2777" t="str">
            <v/>
          </cell>
        </row>
        <row r="2778">
          <cell r="B2778" t="str">
            <v/>
          </cell>
        </row>
        <row r="2779">
          <cell r="B2779" t="str">
            <v/>
          </cell>
        </row>
        <row r="2780">
          <cell r="B2780" t="str">
            <v/>
          </cell>
        </row>
        <row r="2781">
          <cell r="B2781" t="str">
            <v/>
          </cell>
        </row>
        <row r="2782">
          <cell r="B2782" t="str">
            <v/>
          </cell>
        </row>
        <row r="2783">
          <cell r="B2783" t="str">
            <v/>
          </cell>
        </row>
        <row r="2784">
          <cell r="B2784" t="str">
            <v/>
          </cell>
        </row>
        <row r="2785">
          <cell r="B2785" t="str">
            <v/>
          </cell>
        </row>
        <row r="2786">
          <cell r="B2786" t="str">
            <v/>
          </cell>
        </row>
        <row r="2787">
          <cell r="B2787" t="str">
            <v/>
          </cell>
        </row>
        <row r="2788">
          <cell r="B2788" t="str">
            <v/>
          </cell>
        </row>
        <row r="2789">
          <cell r="B2789" t="str">
            <v/>
          </cell>
        </row>
        <row r="2790">
          <cell r="B2790" t="str">
            <v/>
          </cell>
        </row>
        <row r="2791">
          <cell r="B2791" t="str">
            <v/>
          </cell>
        </row>
        <row r="2792">
          <cell r="B2792" t="str">
            <v/>
          </cell>
        </row>
        <row r="2793">
          <cell r="B2793" t="str">
            <v/>
          </cell>
        </row>
        <row r="2794">
          <cell r="B2794" t="str">
            <v/>
          </cell>
        </row>
        <row r="2795">
          <cell r="B2795" t="str">
            <v/>
          </cell>
        </row>
        <row r="2796">
          <cell r="B2796" t="str">
            <v/>
          </cell>
        </row>
        <row r="2797">
          <cell r="B2797" t="str">
            <v/>
          </cell>
        </row>
        <row r="2798">
          <cell r="B2798" t="str">
            <v/>
          </cell>
        </row>
        <row r="2799">
          <cell r="B2799" t="str">
            <v/>
          </cell>
        </row>
        <row r="2800">
          <cell r="B2800" t="str">
            <v/>
          </cell>
        </row>
        <row r="2801">
          <cell r="B2801" t="str">
            <v/>
          </cell>
        </row>
        <row r="2802">
          <cell r="B2802" t="str">
            <v/>
          </cell>
        </row>
        <row r="2803">
          <cell r="B2803" t="str">
            <v/>
          </cell>
        </row>
        <row r="2804">
          <cell r="B2804" t="str">
            <v/>
          </cell>
        </row>
        <row r="2805">
          <cell r="B2805" t="str">
            <v/>
          </cell>
        </row>
        <row r="2806">
          <cell r="B2806" t="str">
            <v/>
          </cell>
        </row>
        <row r="2807">
          <cell r="B2807" t="str">
            <v/>
          </cell>
        </row>
        <row r="2808">
          <cell r="B2808" t="str">
            <v/>
          </cell>
        </row>
        <row r="2809">
          <cell r="B2809" t="str">
            <v/>
          </cell>
        </row>
        <row r="2810">
          <cell r="B2810" t="str">
            <v/>
          </cell>
        </row>
        <row r="2811">
          <cell r="B2811" t="str">
            <v/>
          </cell>
        </row>
        <row r="2812">
          <cell r="B2812" t="str">
            <v/>
          </cell>
        </row>
        <row r="2813">
          <cell r="B2813" t="str">
            <v/>
          </cell>
        </row>
        <row r="2814">
          <cell r="B2814" t="str">
            <v/>
          </cell>
        </row>
        <row r="2815">
          <cell r="B2815" t="str">
            <v/>
          </cell>
        </row>
        <row r="2816">
          <cell r="B2816" t="str">
            <v/>
          </cell>
        </row>
        <row r="2817">
          <cell r="B2817" t="str">
            <v/>
          </cell>
        </row>
        <row r="2818">
          <cell r="B2818" t="str">
            <v/>
          </cell>
        </row>
        <row r="2819">
          <cell r="B2819" t="str">
            <v/>
          </cell>
        </row>
        <row r="2820">
          <cell r="B2820" t="str">
            <v/>
          </cell>
        </row>
        <row r="2821">
          <cell r="B2821" t="str">
            <v/>
          </cell>
        </row>
        <row r="2822">
          <cell r="B2822" t="str">
            <v/>
          </cell>
        </row>
        <row r="2823">
          <cell r="B2823" t="str">
            <v/>
          </cell>
        </row>
        <row r="2824">
          <cell r="B2824" t="str">
            <v/>
          </cell>
        </row>
        <row r="2825">
          <cell r="B2825" t="str">
            <v/>
          </cell>
        </row>
        <row r="2826">
          <cell r="B2826" t="str">
            <v/>
          </cell>
        </row>
        <row r="2827">
          <cell r="B2827" t="str">
            <v/>
          </cell>
        </row>
        <row r="2828">
          <cell r="B2828" t="str">
            <v/>
          </cell>
        </row>
        <row r="2829">
          <cell r="B2829" t="str">
            <v/>
          </cell>
        </row>
        <row r="2830">
          <cell r="B2830" t="str">
            <v/>
          </cell>
        </row>
        <row r="2831">
          <cell r="B2831" t="str">
            <v/>
          </cell>
        </row>
        <row r="2832">
          <cell r="B2832" t="str">
            <v/>
          </cell>
        </row>
        <row r="2833">
          <cell r="B2833" t="str">
            <v/>
          </cell>
        </row>
        <row r="2834">
          <cell r="B2834" t="str">
            <v/>
          </cell>
        </row>
        <row r="2835">
          <cell r="B2835" t="str">
            <v/>
          </cell>
        </row>
        <row r="2836">
          <cell r="B2836" t="str">
            <v/>
          </cell>
        </row>
        <row r="2837">
          <cell r="B2837" t="str">
            <v/>
          </cell>
        </row>
        <row r="2838">
          <cell r="B2838" t="str">
            <v/>
          </cell>
        </row>
        <row r="2839">
          <cell r="B2839" t="str">
            <v/>
          </cell>
        </row>
        <row r="2840">
          <cell r="B2840" t="str">
            <v/>
          </cell>
        </row>
        <row r="2841">
          <cell r="B2841" t="str">
            <v/>
          </cell>
        </row>
        <row r="2842">
          <cell r="B2842" t="str">
            <v/>
          </cell>
        </row>
        <row r="2843">
          <cell r="B2843" t="str">
            <v/>
          </cell>
        </row>
        <row r="2844">
          <cell r="B2844" t="str">
            <v/>
          </cell>
        </row>
        <row r="2845">
          <cell r="B2845" t="str">
            <v/>
          </cell>
        </row>
        <row r="2846">
          <cell r="B2846" t="str">
            <v/>
          </cell>
        </row>
        <row r="2847">
          <cell r="B2847" t="str">
            <v/>
          </cell>
        </row>
        <row r="2848">
          <cell r="B2848" t="str">
            <v/>
          </cell>
        </row>
        <row r="2849">
          <cell r="B2849" t="str">
            <v/>
          </cell>
        </row>
        <row r="2850">
          <cell r="B2850" t="str">
            <v/>
          </cell>
        </row>
        <row r="2851">
          <cell r="B2851" t="str">
            <v/>
          </cell>
        </row>
        <row r="2852">
          <cell r="B2852" t="str">
            <v/>
          </cell>
        </row>
        <row r="2853">
          <cell r="B2853" t="str">
            <v/>
          </cell>
        </row>
        <row r="2854">
          <cell r="B2854" t="str">
            <v/>
          </cell>
        </row>
        <row r="2855">
          <cell r="B2855" t="str">
            <v/>
          </cell>
        </row>
        <row r="2856">
          <cell r="B2856" t="str">
            <v/>
          </cell>
        </row>
        <row r="2857">
          <cell r="B2857" t="str">
            <v/>
          </cell>
        </row>
        <row r="2858">
          <cell r="B2858" t="str">
            <v/>
          </cell>
        </row>
        <row r="2859">
          <cell r="B2859" t="str">
            <v/>
          </cell>
        </row>
        <row r="2860">
          <cell r="B2860" t="str">
            <v/>
          </cell>
        </row>
        <row r="2861">
          <cell r="B2861" t="str">
            <v/>
          </cell>
        </row>
        <row r="2862">
          <cell r="B2862" t="str">
            <v/>
          </cell>
        </row>
        <row r="2863">
          <cell r="B2863" t="str">
            <v/>
          </cell>
        </row>
        <row r="2864">
          <cell r="B2864" t="str">
            <v/>
          </cell>
        </row>
        <row r="2865">
          <cell r="B2865" t="str">
            <v/>
          </cell>
        </row>
        <row r="2866">
          <cell r="B2866" t="str">
            <v/>
          </cell>
        </row>
        <row r="2867">
          <cell r="B2867" t="str">
            <v/>
          </cell>
        </row>
        <row r="2868">
          <cell r="B2868" t="str">
            <v/>
          </cell>
        </row>
        <row r="2869">
          <cell r="B2869" t="str">
            <v/>
          </cell>
        </row>
        <row r="2870">
          <cell r="B2870" t="str">
            <v/>
          </cell>
        </row>
        <row r="2871">
          <cell r="B2871" t="str">
            <v/>
          </cell>
        </row>
        <row r="2872">
          <cell r="B2872" t="str">
            <v/>
          </cell>
        </row>
        <row r="2873">
          <cell r="B2873" t="str">
            <v/>
          </cell>
        </row>
        <row r="2874">
          <cell r="B2874" t="str">
            <v/>
          </cell>
        </row>
        <row r="2875">
          <cell r="B2875" t="str">
            <v/>
          </cell>
        </row>
        <row r="2876">
          <cell r="B2876" t="str">
            <v/>
          </cell>
        </row>
        <row r="2877">
          <cell r="B2877" t="str">
            <v/>
          </cell>
        </row>
        <row r="2878">
          <cell r="B2878" t="str">
            <v/>
          </cell>
        </row>
        <row r="2879">
          <cell r="B2879" t="str">
            <v/>
          </cell>
        </row>
        <row r="2880">
          <cell r="B2880" t="str">
            <v/>
          </cell>
        </row>
        <row r="2881">
          <cell r="B2881" t="str">
            <v/>
          </cell>
        </row>
        <row r="2882">
          <cell r="B2882" t="str">
            <v/>
          </cell>
        </row>
        <row r="2883">
          <cell r="B2883" t="str">
            <v/>
          </cell>
        </row>
        <row r="2884">
          <cell r="B2884" t="str">
            <v/>
          </cell>
        </row>
        <row r="2885">
          <cell r="B2885" t="str">
            <v/>
          </cell>
        </row>
        <row r="2886">
          <cell r="B2886" t="str">
            <v/>
          </cell>
        </row>
        <row r="2887">
          <cell r="B2887" t="str">
            <v/>
          </cell>
        </row>
        <row r="2888">
          <cell r="B2888" t="str">
            <v/>
          </cell>
        </row>
        <row r="2889">
          <cell r="B2889" t="str">
            <v/>
          </cell>
        </row>
        <row r="2890">
          <cell r="B2890" t="str">
            <v/>
          </cell>
        </row>
        <row r="2891">
          <cell r="B2891" t="str">
            <v/>
          </cell>
        </row>
        <row r="2892">
          <cell r="B2892" t="str">
            <v/>
          </cell>
        </row>
        <row r="2893">
          <cell r="B2893" t="str">
            <v/>
          </cell>
        </row>
        <row r="2894">
          <cell r="B2894" t="str">
            <v/>
          </cell>
        </row>
        <row r="2895">
          <cell r="B2895" t="str">
            <v/>
          </cell>
        </row>
        <row r="2896">
          <cell r="B2896" t="str">
            <v/>
          </cell>
        </row>
        <row r="2897">
          <cell r="B2897" t="str">
            <v/>
          </cell>
        </row>
        <row r="2898">
          <cell r="B2898" t="str">
            <v/>
          </cell>
        </row>
        <row r="2899">
          <cell r="B2899" t="str">
            <v/>
          </cell>
        </row>
        <row r="2900">
          <cell r="B2900" t="str">
            <v/>
          </cell>
        </row>
        <row r="2901">
          <cell r="B2901" t="str">
            <v/>
          </cell>
        </row>
        <row r="2902">
          <cell r="B2902" t="str">
            <v/>
          </cell>
        </row>
        <row r="2903">
          <cell r="B2903" t="str">
            <v/>
          </cell>
        </row>
        <row r="2904">
          <cell r="B2904" t="str">
            <v/>
          </cell>
        </row>
        <row r="2905">
          <cell r="B2905" t="str">
            <v/>
          </cell>
        </row>
        <row r="2906">
          <cell r="B2906" t="str">
            <v/>
          </cell>
        </row>
        <row r="2907">
          <cell r="B2907" t="str">
            <v/>
          </cell>
        </row>
        <row r="2908">
          <cell r="B2908" t="str">
            <v/>
          </cell>
        </row>
        <row r="2909">
          <cell r="B2909" t="str">
            <v/>
          </cell>
        </row>
        <row r="2910">
          <cell r="B2910" t="str">
            <v/>
          </cell>
        </row>
        <row r="2911">
          <cell r="B2911" t="str">
            <v/>
          </cell>
        </row>
        <row r="2912">
          <cell r="B2912" t="str">
            <v/>
          </cell>
        </row>
        <row r="2913">
          <cell r="B2913" t="str">
            <v/>
          </cell>
        </row>
        <row r="2914">
          <cell r="B2914" t="str">
            <v/>
          </cell>
        </row>
        <row r="2915">
          <cell r="B2915" t="str">
            <v/>
          </cell>
        </row>
        <row r="2916">
          <cell r="B2916" t="str">
            <v/>
          </cell>
        </row>
        <row r="2917">
          <cell r="B2917" t="str">
            <v/>
          </cell>
        </row>
        <row r="2918">
          <cell r="B2918" t="str">
            <v/>
          </cell>
        </row>
        <row r="2919">
          <cell r="B2919" t="str">
            <v/>
          </cell>
        </row>
        <row r="2920">
          <cell r="B2920" t="str">
            <v/>
          </cell>
        </row>
        <row r="2921">
          <cell r="B2921" t="str">
            <v/>
          </cell>
        </row>
        <row r="2922">
          <cell r="B2922" t="str">
            <v/>
          </cell>
        </row>
        <row r="2923">
          <cell r="B2923" t="str">
            <v/>
          </cell>
        </row>
        <row r="2924">
          <cell r="B2924" t="str">
            <v/>
          </cell>
        </row>
        <row r="2925">
          <cell r="B2925" t="str">
            <v/>
          </cell>
        </row>
        <row r="2926">
          <cell r="B2926" t="str">
            <v/>
          </cell>
        </row>
        <row r="2927">
          <cell r="B2927" t="str">
            <v/>
          </cell>
        </row>
        <row r="2928">
          <cell r="B2928" t="str">
            <v/>
          </cell>
        </row>
        <row r="2929">
          <cell r="B2929" t="str">
            <v/>
          </cell>
        </row>
        <row r="2930">
          <cell r="B2930" t="str">
            <v/>
          </cell>
        </row>
        <row r="2931">
          <cell r="B2931" t="str">
            <v/>
          </cell>
        </row>
        <row r="2932">
          <cell r="B2932" t="str">
            <v/>
          </cell>
        </row>
        <row r="2933">
          <cell r="B2933" t="str">
            <v/>
          </cell>
        </row>
        <row r="2934">
          <cell r="B2934" t="str">
            <v/>
          </cell>
        </row>
        <row r="2935">
          <cell r="B2935" t="str">
            <v/>
          </cell>
        </row>
        <row r="2936">
          <cell r="B2936" t="str">
            <v/>
          </cell>
        </row>
        <row r="2937">
          <cell r="B2937" t="str">
            <v/>
          </cell>
        </row>
        <row r="2938">
          <cell r="B2938" t="str">
            <v/>
          </cell>
        </row>
        <row r="2939">
          <cell r="B2939" t="str">
            <v/>
          </cell>
        </row>
        <row r="2940">
          <cell r="B2940" t="str">
            <v/>
          </cell>
        </row>
        <row r="2941">
          <cell r="B2941" t="str">
            <v/>
          </cell>
        </row>
        <row r="2942">
          <cell r="B2942" t="str">
            <v/>
          </cell>
        </row>
        <row r="2943">
          <cell r="B2943" t="str">
            <v/>
          </cell>
        </row>
        <row r="2944">
          <cell r="B2944" t="str">
            <v/>
          </cell>
        </row>
        <row r="2945">
          <cell r="B2945" t="str">
            <v/>
          </cell>
        </row>
        <row r="2946">
          <cell r="B2946" t="str">
            <v/>
          </cell>
        </row>
        <row r="2947">
          <cell r="B2947" t="str">
            <v/>
          </cell>
        </row>
        <row r="2948">
          <cell r="B2948" t="str">
            <v/>
          </cell>
        </row>
        <row r="2949">
          <cell r="B2949" t="str">
            <v/>
          </cell>
        </row>
        <row r="2950">
          <cell r="B2950" t="str">
            <v/>
          </cell>
        </row>
        <row r="2951">
          <cell r="B2951" t="str">
            <v/>
          </cell>
        </row>
        <row r="2952">
          <cell r="B2952" t="str">
            <v/>
          </cell>
        </row>
        <row r="2953">
          <cell r="B2953" t="str">
            <v/>
          </cell>
        </row>
        <row r="2954">
          <cell r="B2954" t="str">
            <v/>
          </cell>
        </row>
        <row r="2955">
          <cell r="B2955" t="str">
            <v/>
          </cell>
        </row>
        <row r="2956">
          <cell r="B2956" t="str">
            <v/>
          </cell>
        </row>
        <row r="2957">
          <cell r="B2957" t="str">
            <v/>
          </cell>
        </row>
        <row r="2958">
          <cell r="B2958" t="str">
            <v/>
          </cell>
        </row>
        <row r="2959">
          <cell r="B2959" t="str">
            <v/>
          </cell>
        </row>
        <row r="2960">
          <cell r="B2960" t="str">
            <v/>
          </cell>
        </row>
        <row r="2961">
          <cell r="B2961" t="str">
            <v/>
          </cell>
        </row>
        <row r="2962">
          <cell r="B2962" t="str">
            <v/>
          </cell>
        </row>
        <row r="2963">
          <cell r="B2963" t="str">
            <v/>
          </cell>
        </row>
        <row r="2964">
          <cell r="B2964" t="str">
            <v/>
          </cell>
        </row>
        <row r="2965">
          <cell r="B2965" t="str">
            <v/>
          </cell>
        </row>
        <row r="2966">
          <cell r="B2966" t="str">
            <v/>
          </cell>
        </row>
        <row r="2967">
          <cell r="B2967" t="str">
            <v/>
          </cell>
        </row>
        <row r="2968">
          <cell r="B2968" t="str">
            <v/>
          </cell>
        </row>
        <row r="2969">
          <cell r="B2969" t="str">
            <v/>
          </cell>
        </row>
        <row r="2970">
          <cell r="B2970" t="str">
            <v/>
          </cell>
        </row>
        <row r="2971">
          <cell r="B2971" t="str">
            <v/>
          </cell>
        </row>
        <row r="2972">
          <cell r="B2972" t="str">
            <v/>
          </cell>
        </row>
        <row r="2973">
          <cell r="B2973" t="str">
            <v/>
          </cell>
        </row>
        <row r="2974">
          <cell r="B2974" t="str">
            <v/>
          </cell>
        </row>
        <row r="2975">
          <cell r="B2975" t="str">
            <v/>
          </cell>
        </row>
        <row r="2976">
          <cell r="B2976" t="str">
            <v/>
          </cell>
        </row>
        <row r="2977">
          <cell r="B2977" t="str">
            <v/>
          </cell>
        </row>
        <row r="2978">
          <cell r="B2978" t="str">
            <v/>
          </cell>
        </row>
        <row r="2979">
          <cell r="B2979" t="str">
            <v/>
          </cell>
        </row>
        <row r="2980">
          <cell r="B2980" t="str">
            <v/>
          </cell>
        </row>
        <row r="2981">
          <cell r="B2981" t="str">
            <v/>
          </cell>
        </row>
        <row r="2982">
          <cell r="B2982" t="str">
            <v/>
          </cell>
        </row>
        <row r="2983">
          <cell r="B2983" t="str">
            <v/>
          </cell>
        </row>
        <row r="2984">
          <cell r="B2984" t="str">
            <v/>
          </cell>
        </row>
        <row r="2985">
          <cell r="B2985" t="str">
            <v/>
          </cell>
        </row>
        <row r="2986">
          <cell r="B2986" t="str">
            <v/>
          </cell>
        </row>
        <row r="2987">
          <cell r="B2987" t="str">
            <v/>
          </cell>
        </row>
        <row r="2988">
          <cell r="B2988" t="str">
            <v/>
          </cell>
        </row>
        <row r="2989">
          <cell r="B2989" t="str">
            <v/>
          </cell>
        </row>
        <row r="2990">
          <cell r="B2990" t="str">
            <v/>
          </cell>
        </row>
        <row r="2991">
          <cell r="B2991" t="str">
            <v/>
          </cell>
        </row>
        <row r="2992">
          <cell r="B2992" t="str">
            <v/>
          </cell>
        </row>
        <row r="2993">
          <cell r="B2993" t="str">
            <v/>
          </cell>
        </row>
        <row r="2994">
          <cell r="B2994" t="str">
            <v/>
          </cell>
        </row>
        <row r="2995">
          <cell r="B2995" t="str">
            <v/>
          </cell>
        </row>
        <row r="2996">
          <cell r="B2996" t="str">
            <v/>
          </cell>
        </row>
        <row r="2997">
          <cell r="B2997" t="str">
            <v/>
          </cell>
        </row>
        <row r="2998">
          <cell r="B2998" t="str">
            <v/>
          </cell>
        </row>
        <row r="2999">
          <cell r="B2999" t="str">
            <v/>
          </cell>
        </row>
        <row r="3000">
          <cell r="B3000" t="str">
            <v/>
          </cell>
        </row>
        <row r="3001">
          <cell r="B3001" t="str">
            <v/>
          </cell>
        </row>
        <row r="3002">
          <cell r="B3002" t="str">
            <v/>
          </cell>
        </row>
        <row r="3003">
          <cell r="B3003" t="str">
            <v/>
          </cell>
        </row>
        <row r="3004">
          <cell r="B3004" t="str">
            <v/>
          </cell>
        </row>
        <row r="3005">
          <cell r="B3005" t="str">
            <v/>
          </cell>
        </row>
        <row r="3006">
          <cell r="B3006" t="str">
            <v/>
          </cell>
        </row>
        <row r="3007">
          <cell r="B3007" t="str">
            <v/>
          </cell>
        </row>
        <row r="3008">
          <cell r="B3008" t="str">
            <v/>
          </cell>
        </row>
        <row r="3009">
          <cell r="B3009" t="str">
            <v/>
          </cell>
        </row>
        <row r="3010">
          <cell r="B3010" t="str">
            <v/>
          </cell>
        </row>
        <row r="3011">
          <cell r="B3011" t="str">
            <v/>
          </cell>
        </row>
        <row r="3012">
          <cell r="B3012" t="str">
            <v/>
          </cell>
        </row>
        <row r="3013">
          <cell r="B3013" t="str">
            <v/>
          </cell>
        </row>
        <row r="3014">
          <cell r="B3014" t="str">
            <v/>
          </cell>
        </row>
        <row r="3015">
          <cell r="B3015" t="str">
            <v/>
          </cell>
        </row>
        <row r="3016">
          <cell r="B3016" t="str">
            <v/>
          </cell>
        </row>
        <row r="3017">
          <cell r="B3017" t="str">
            <v/>
          </cell>
        </row>
        <row r="3018">
          <cell r="B3018" t="str">
            <v/>
          </cell>
        </row>
        <row r="3019">
          <cell r="B3019" t="str">
            <v/>
          </cell>
        </row>
        <row r="3020">
          <cell r="B3020" t="str">
            <v/>
          </cell>
        </row>
        <row r="3021">
          <cell r="B3021" t="str">
            <v/>
          </cell>
        </row>
        <row r="3022">
          <cell r="B3022" t="str">
            <v/>
          </cell>
        </row>
        <row r="3023">
          <cell r="B3023" t="str">
            <v/>
          </cell>
        </row>
        <row r="3024">
          <cell r="B3024" t="str">
            <v/>
          </cell>
        </row>
        <row r="3025">
          <cell r="B3025" t="str">
            <v/>
          </cell>
        </row>
        <row r="3026">
          <cell r="B3026" t="str">
            <v/>
          </cell>
        </row>
        <row r="3027">
          <cell r="B3027" t="str">
            <v/>
          </cell>
        </row>
        <row r="3028">
          <cell r="B3028" t="str">
            <v/>
          </cell>
        </row>
        <row r="3029">
          <cell r="B3029" t="str">
            <v/>
          </cell>
        </row>
        <row r="3030">
          <cell r="B3030" t="str">
            <v/>
          </cell>
        </row>
        <row r="3031">
          <cell r="B3031" t="str">
            <v/>
          </cell>
        </row>
        <row r="3032">
          <cell r="B3032" t="str">
            <v/>
          </cell>
        </row>
        <row r="3033">
          <cell r="B3033" t="str">
            <v/>
          </cell>
        </row>
        <row r="3034">
          <cell r="B3034" t="str">
            <v/>
          </cell>
        </row>
        <row r="3035">
          <cell r="B3035" t="str">
            <v/>
          </cell>
        </row>
        <row r="3036">
          <cell r="B3036" t="str">
            <v/>
          </cell>
        </row>
        <row r="3037">
          <cell r="B3037" t="str">
            <v/>
          </cell>
        </row>
        <row r="3038">
          <cell r="B3038" t="str">
            <v/>
          </cell>
        </row>
        <row r="3039">
          <cell r="B3039" t="str">
            <v/>
          </cell>
        </row>
        <row r="3040">
          <cell r="B3040" t="str">
            <v/>
          </cell>
        </row>
        <row r="3041">
          <cell r="B3041" t="str">
            <v/>
          </cell>
        </row>
        <row r="3042">
          <cell r="B3042" t="str">
            <v/>
          </cell>
        </row>
        <row r="3043">
          <cell r="B3043" t="str">
            <v/>
          </cell>
        </row>
        <row r="3044">
          <cell r="B3044" t="str">
            <v/>
          </cell>
        </row>
        <row r="3045">
          <cell r="B3045" t="str">
            <v/>
          </cell>
        </row>
        <row r="3046">
          <cell r="B3046" t="str">
            <v/>
          </cell>
        </row>
        <row r="3047">
          <cell r="B3047" t="str">
            <v/>
          </cell>
        </row>
        <row r="3048">
          <cell r="B3048" t="str">
            <v/>
          </cell>
        </row>
        <row r="3049">
          <cell r="B3049" t="str">
            <v/>
          </cell>
        </row>
        <row r="3050">
          <cell r="B3050" t="str">
            <v/>
          </cell>
        </row>
        <row r="3051">
          <cell r="B3051" t="str">
            <v/>
          </cell>
        </row>
        <row r="3052">
          <cell r="B3052" t="str">
            <v/>
          </cell>
        </row>
        <row r="3053">
          <cell r="B3053" t="str">
            <v/>
          </cell>
        </row>
        <row r="3054">
          <cell r="B3054" t="str">
            <v/>
          </cell>
        </row>
        <row r="3055">
          <cell r="B3055" t="str">
            <v/>
          </cell>
        </row>
        <row r="3056">
          <cell r="B3056" t="str">
            <v/>
          </cell>
        </row>
        <row r="3057">
          <cell r="B3057" t="str">
            <v/>
          </cell>
        </row>
        <row r="3058">
          <cell r="B3058" t="str">
            <v/>
          </cell>
        </row>
        <row r="3059">
          <cell r="B3059" t="str">
            <v/>
          </cell>
        </row>
        <row r="3060">
          <cell r="B3060" t="str">
            <v/>
          </cell>
        </row>
        <row r="3061">
          <cell r="B3061" t="str">
            <v/>
          </cell>
        </row>
        <row r="3062">
          <cell r="B3062" t="str">
            <v/>
          </cell>
        </row>
        <row r="3063">
          <cell r="B3063" t="str">
            <v/>
          </cell>
        </row>
        <row r="3064">
          <cell r="B3064" t="str">
            <v/>
          </cell>
        </row>
        <row r="3065">
          <cell r="B3065" t="str">
            <v/>
          </cell>
        </row>
        <row r="3066">
          <cell r="B3066" t="str">
            <v/>
          </cell>
        </row>
        <row r="3067">
          <cell r="B3067" t="str">
            <v/>
          </cell>
        </row>
        <row r="3068">
          <cell r="B3068" t="str">
            <v/>
          </cell>
        </row>
        <row r="3069">
          <cell r="B3069" t="str">
            <v/>
          </cell>
        </row>
        <row r="3070">
          <cell r="B3070" t="str">
            <v/>
          </cell>
        </row>
        <row r="3071">
          <cell r="B3071" t="str">
            <v/>
          </cell>
        </row>
        <row r="3072">
          <cell r="B3072" t="str">
            <v/>
          </cell>
        </row>
        <row r="3073">
          <cell r="B3073" t="str">
            <v/>
          </cell>
        </row>
        <row r="3074">
          <cell r="B3074" t="str">
            <v/>
          </cell>
        </row>
        <row r="3075">
          <cell r="B3075" t="str">
            <v/>
          </cell>
        </row>
        <row r="3076">
          <cell r="B3076" t="str">
            <v/>
          </cell>
        </row>
        <row r="3077">
          <cell r="B3077" t="str">
            <v/>
          </cell>
        </row>
        <row r="3078">
          <cell r="B3078" t="str">
            <v/>
          </cell>
        </row>
        <row r="3079">
          <cell r="B3079" t="str">
            <v/>
          </cell>
        </row>
        <row r="3080">
          <cell r="B3080" t="str">
            <v/>
          </cell>
        </row>
        <row r="3081">
          <cell r="B3081" t="str">
            <v/>
          </cell>
        </row>
        <row r="3082">
          <cell r="B3082" t="str">
            <v/>
          </cell>
        </row>
        <row r="3083">
          <cell r="B3083" t="str">
            <v/>
          </cell>
        </row>
        <row r="3084">
          <cell r="B3084" t="str">
            <v/>
          </cell>
        </row>
        <row r="3085">
          <cell r="B3085" t="str">
            <v/>
          </cell>
        </row>
        <row r="3086">
          <cell r="B3086" t="str">
            <v/>
          </cell>
        </row>
        <row r="3087">
          <cell r="B3087" t="str">
            <v/>
          </cell>
        </row>
        <row r="3088">
          <cell r="B3088" t="str">
            <v/>
          </cell>
        </row>
        <row r="3089">
          <cell r="B3089" t="str">
            <v/>
          </cell>
        </row>
        <row r="3090">
          <cell r="B3090" t="str">
            <v/>
          </cell>
        </row>
        <row r="3091">
          <cell r="B3091" t="str">
            <v/>
          </cell>
        </row>
        <row r="3092">
          <cell r="B3092" t="str">
            <v/>
          </cell>
        </row>
        <row r="3093">
          <cell r="B3093" t="str">
            <v/>
          </cell>
        </row>
        <row r="3094">
          <cell r="B3094" t="str">
            <v/>
          </cell>
        </row>
        <row r="3095">
          <cell r="B3095" t="str">
            <v/>
          </cell>
        </row>
        <row r="3096">
          <cell r="B3096" t="str">
            <v/>
          </cell>
        </row>
        <row r="3097">
          <cell r="B3097" t="str">
            <v/>
          </cell>
        </row>
        <row r="3098">
          <cell r="B3098" t="str">
            <v/>
          </cell>
        </row>
        <row r="3099">
          <cell r="B3099" t="str">
            <v/>
          </cell>
        </row>
        <row r="3100">
          <cell r="B3100" t="str">
            <v/>
          </cell>
        </row>
        <row r="3101">
          <cell r="B3101" t="str">
            <v/>
          </cell>
        </row>
        <row r="3102">
          <cell r="B3102" t="str">
            <v/>
          </cell>
        </row>
        <row r="3103">
          <cell r="B3103" t="str">
            <v/>
          </cell>
        </row>
        <row r="3104">
          <cell r="B3104" t="str">
            <v/>
          </cell>
        </row>
        <row r="3105">
          <cell r="B3105" t="str">
            <v/>
          </cell>
        </row>
        <row r="3106">
          <cell r="B3106" t="str">
            <v/>
          </cell>
        </row>
        <row r="3107">
          <cell r="B3107" t="str">
            <v/>
          </cell>
        </row>
        <row r="3108">
          <cell r="B3108" t="str">
            <v/>
          </cell>
        </row>
        <row r="3109">
          <cell r="B3109" t="str">
            <v/>
          </cell>
        </row>
        <row r="3110">
          <cell r="B3110" t="str">
            <v/>
          </cell>
        </row>
        <row r="3111">
          <cell r="B3111" t="str">
            <v/>
          </cell>
        </row>
        <row r="3112">
          <cell r="B3112" t="str">
            <v/>
          </cell>
        </row>
        <row r="3113">
          <cell r="B3113" t="str">
            <v/>
          </cell>
        </row>
        <row r="3114">
          <cell r="B3114" t="str">
            <v/>
          </cell>
        </row>
        <row r="3115">
          <cell r="B3115" t="str">
            <v/>
          </cell>
        </row>
        <row r="3116">
          <cell r="B3116" t="str">
            <v/>
          </cell>
        </row>
        <row r="3117">
          <cell r="B3117" t="str">
            <v/>
          </cell>
        </row>
        <row r="3118">
          <cell r="B3118" t="str">
            <v/>
          </cell>
        </row>
        <row r="3119">
          <cell r="B3119" t="str">
            <v/>
          </cell>
        </row>
        <row r="3120">
          <cell r="B3120" t="str">
            <v/>
          </cell>
        </row>
        <row r="3121">
          <cell r="B3121" t="str">
            <v/>
          </cell>
        </row>
        <row r="3122">
          <cell r="B3122" t="str">
            <v/>
          </cell>
        </row>
        <row r="3123">
          <cell r="B3123" t="str">
            <v/>
          </cell>
        </row>
        <row r="3124">
          <cell r="B3124" t="str">
            <v/>
          </cell>
        </row>
        <row r="3125">
          <cell r="B3125" t="str">
            <v/>
          </cell>
        </row>
        <row r="3126">
          <cell r="B3126" t="str">
            <v/>
          </cell>
        </row>
        <row r="3127">
          <cell r="B3127" t="str">
            <v/>
          </cell>
        </row>
        <row r="3128">
          <cell r="B3128" t="str">
            <v/>
          </cell>
        </row>
        <row r="3129">
          <cell r="B3129" t="str">
            <v/>
          </cell>
        </row>
        <row r="3130">
          <cell r="B3130" t="str">
            <v/>
          </cell>
        </row>
        <row r="3131">
          <cell r="B3131" t="str">
            <v/>
          </cell>
        </row>
        <row r="3132">
          <cell r="B3132" t="str">
            <v/>
          </cell>
        </row>
        <row r="3133">
          <cell r="B3133" t="str">
            <v/>
          </cell>
        </row>
        <row r="3134">
          <cell r="B3134" t="str">
            <v/>
          </cell>
        </row>
        <row r="3135">
          <cell r="B3135" t="str">
            <v/>
          </cell>
        </row>
        <row r="3136">
          <cell r="B3136" t="str">
            <v/>
          </cell>
        </row>
        <row r="3137">
          <cell r="B3137" t="str">
            <v/>
          </cell>
        </row>
        <row r="3138">
          <cell r="B3138" t="str">
            <v/>
          </cell>
        </row>
        <row r="3139">
          <cell r="B3139" t="str">
            <v/>
          </cell>
        </row>
        <row r="3140">
          <cell r="B3140" t="str">
            <v/>
          </cell>
        </row>
        <row r="3141">
          <cell r="B3141" t="str">
            <v/>
          </cell>
        </row>
        <row r="3142">
          <cell r="B3142" t="str">
            <v/>
          </cell>
        </row>
        <row r="3143">
          <cell r="B3143" t="str">
            <v/>
          </cell>
        </row>
        <row r="3144">
          <cell r="B3144" t="str">
            <v/>
          </cell>
        </row>
        <row r="3145">
          <cell r="B3145" t="str">
            <v/>
          </cell>
        </row>
        <row r="3146">
          <cell r="B3146" t="str">
            <v/>
          </cell>
        </row>
        <row r="3147">
          <cell r="B3147" t="str">
            <v/>
          </cell>
        </row>
        <row r="3148">
          <cell r="B3148" t="str">
            <v/>
          </cell>
        </row>
        <row r="3149">
          <cell r="B3149" t="str">
            <v/>
          </cell>
        </row>
        <row r="3150">
          <cell r="B3150" t="str">
            <v/>
          </cell>
        </row>
        <row r="3151">
          <cell r="B3151" t="str">
            <v/>
          </cell>
        </row>
        <row r="3152">
          <cell r="B3152" t="str">
            <v/>
          </cell>
        </row>
        <row r="3153">
          <cell r="B3153" t="str">
            <v/>
          </cell>
        </row>
        <row r="3154">
          <cell r="B3154" t="str">
            <v/>
          </cell>
        </row>
        <row r="3155">
          <cell r="B3155" t="str">
            <v/>
          </cell>
        </row>
        <row r="3156">
          <cell r="B3156" t="str">
            <v/>
          </cell>
        </row>
        <row r="3157">
          <cell r="B3157" t="str">
            <v/>
          </cell>
        </row>
        <row r="3158">
          <cell r="B3158" t="str">
            <v/>
          </cell>
        </row>
        <row r="3159">
          <cell r="B3159" t="str">
            <v/>
          </cell>
        </row>
        <row r="3160">
          <cell r="B3160" t="str">
            <v/>
          </cell>
        </row>
        <row r="3161">
          <cell r="B3161" t="str">
            <v/>
          </cell>
        </row>
        <row r="3162">
          <cell r="B3162" t="str">
            <v/>
          </cell>
        </row>
        <row r="3163">
          <cell r="B3163" t="str">
            <v/>
          </cell>
        </row>
        <row r="3164">
          <cell r="B3164" t="str">
            <v/>
          </cell>
        </row>
        <row r="3165">
          <cell r="B3165" t="str">
            <v/>
          </cell>
        </row>
        <row r="3166">
          <cell r="B3166" t="str">
            <v/>
          </cell>
        </row>
        <row r="3167">
          <cell r="B3167" t="str">
            <v/>
          </cell>
        </row>
        <row r="3168">
          <cell r="B3168" t="str">
            <v/>
          </cell>
        </row>
        <row r="3169">
          <cell r="B3169" t="str">
            <v/>
          </cell>
        </row>
        <row r="3170">
          <cell r="B3170" t="str">
            <v/>
          </cell>
        </row>
        <row r="3171">
          <cell r="B3171" t="str">
            <v/>
          </cell>
        </row>
        <row r="3172">
          <cell r="B3172" t="str">
            <v/>
          </cell>
        </row>
        <row r="3173">
          <cell r="B3173" t="str">
            <v/>
          </cell>
        </row>
        <row r="3174">
          <cell r="B3174" t="str">
            <v/>
          </cell>
        </row>
        <row r="3175">
          <cell r="B3175" t="str">
            <v/>
          </cell>
        </row>
        <row r="3176">
          <cell r="B3176" t="str">
            <v/>
          </cell>
        </row>
        <row r="3177">
          <cell r="B3177" t="str">
            <v/>
          </cell>
        </row>
        <row r="3178">
          <cell r="B3178" t="str">
            <v/>
          </cell>
        </row>
        <row r="3179">
          <cell r="B3179" t="str">
            <v/>
          </cell>
        </row>
        <row r="3180">
          <cell r="B3180" t="str">
            <v/>
          </cell>
        </row>
        <row r="3181">
          <cell r="B3181" t="str">
            <v/>
          </cell>
        </row>
        <row r="3182">
          <cell r="B3182" t="str">
            <v/>
          </cell>
        </row>
        <row r="3183">
          <cell r="B3183" t="str">
            <v/>
          </cell>
        </row>
        <row r="3184">
          <cell r="B3184" t="str">
            <v/>
          </cell>
        </row>
        <row r="3185">
          <cell r="B3185" t="str">
            <v/>
          </cell>
        </row>
        <row r="3186">
          <cell r="B3186" t="str">
            <v/>
          </cell>
        </row>
        <row r="3187">
          <cell r="B3187" t="str">
            <v/>
          </cell>
        </row>
        <row r="3188">
          <cell r="B3188" t="str">
            <v/>
          </cell>
        </row>
        <row r="3189">
          <cell r="B3189" t="str">
            <v/>
          </cell>
        </row>
        <row r="3190">
          <cell r="B3190" t="str">
            <v/>
          </cell>
        </row>
        <row r="3191">
          <cell r="B3191" t="str">
            <v/>
          </cell>
        </row>
        <row r="3192">
          <cell r="B3192" t="str">
            <v/>
          </cell>
        </row>
        <row r="3193">
          <cell r="B3193" t="str">
            <v/>
          </cell>
        </row>
        <row r="3194">
          <cell r="B3194" t="str">
            <v/>
          </cell>
        </row>
        <row r="3195">
          <cell r="B3195" t="str">
            <v/>
          </cell>
        </row>
        <row r="3196">
          <cell r="B3196" t="str">
            <v/>
          </cell>
        </row>
        <row r="3197">
          <cell r="B3197" t="str">
            <v/>
          </cell>
        </row>
        <row r="3198">
          <cell r="B3198" t="str">
            <v/>
          </cell>
        </row>
        <row r="3199">
          <cell r="B3199" t="str">
            <v/>
          </cell>
        </row>
        <row r="3200">
          <cell r="B3200" t="str">
            <v/>
          </cell>
        </row>
        <row r="3201">
          <cell r="B3201" t="str">
            <v/>
          </cell>
        </row>
        <row r="3202">
          <cell r="B3202" t="str">
            <v/>
          </cell>
        </row>
        <row r="3203">
          <cell r="B3203" t="str">
            <v/>
          </cell>
        </row>
        <row r="3204">
          <cell r="B3204" t="str">
            <v/>
          </cell>
        </row>
        <row r="3205">
          <cell r="B3205" t="str">
            <v/>
          </cell>
        </row>
        <row r="3206">
          <cell r="B3206" t="str">
            <v/>
          </cell>
        </row>
        <row r="3207">
          <cell r="B3207" t="str">
            <v/>
          </cell>
        </row>
        <row r="3208">
          <cell r="B3208" t="str">
            <v/>
          </cell>
        </row>
        <row r="3209">
          <cell r="B3209" t="str">
            <v/>
          </cell>
        </row>
        <row r="3210">
          <cell r="B3210" t="str">
            <v/>
          </cell>
        </row>
        <row r="3211">
          <cell r="B3211" t="str">
            <v/>
          </cell>
        </row>
        <row r="3212">
          <cell r="B3212" t="str">
            <v/>
          </cell>
        </row>
        <row r="3213">
          <cell r="B3213" t="str">
            <v/>
          </cell>
        </row>
        <row r="3214">
          <cell r="B3214" t="str">
            <v/>
          </cell>
        </row>
        <row r="3215">
          <cell r="B3215" t="str">
            <v/>
          </cell>
        </row>
        <row r="3216">
          <cell r="B3216" t="str">
            <v/>
          </cell>
        </row>
        <row r="3217">
          <cell r="B3217" t="str">
            <v/>
          </cell>
        </row>
        <row r="3218">
          <cell r="B3218" t="str">
            <v/>
          </cell>
        </row>
        <row r="3219">
          <cell r="B3219" t="str">
            <v/>
          </cell>
        </row>
        <row r="3220">
          <cell r="B3220" t="str">
            <v/>
          </cell>
        </row>
        <row r="3221">
          <cell r="B3221" t="str">
            <v/>
          </cell>
        </row>
        <row r="3222">
          <cell r="B3222" t="str">
            <v/>
          </cell>
        </row>
        <row r="3223">
          <cell r="B3223" t="str">
            <v/>
          </cell>
        </row>
        <row r="3224">
          <cell r="B3224" t="str">
            <v/>
          </cell>
        </row>
        <row r="3225">
          <cell r="B3225" t="str">
            <v/>
          </cell>
        </row>
        <row r="3226">
          <cell r="B3226" t="str">
            <v/>
          </cell>
        </row>
        <row r="3227">
          <cell r="B3227" t="str">
            <v/>
          </cell>
        </row>
        <row r="3228">
          <cell r="B3228" t="str">
            <v/>
          </cell>
        </row>
        <row r="3229">
          <cell r="B3229" t="str">
            <v/>
          </cell>
        </row>
        <row r="3230">
          <cell r="B3230" t="str">
            <v/>
          </cell>
        </row>
        <row r="3231">
          <cell r="B3231" t="str">
            <v/>
          </cell>
        </row>
        <row r="3232">
          <cell r="B3232" t="str">
            <v/>
          </cell>
        </row>
        <row r="3233">
          <cell r="B3233" t="str">
            <v/>
          </cell>
        </row>
        <row r="3234">
          <cell r="B3234" t="str">
            <v/>
          </cell>
        </row>
        <row r="3235">
          <cell r="B3235" t="str">
            <v/>
          </cell>
        </row>
        <row r="3236">
          <cell r="B3236" t="str">
            <v/>
          </cell>
        </row>
        <row r="3237">
          <cell r="B3237" t="str">
            <v/>
          </cell>
        </row>
        <row r="3238">
          <cell r="B3238" t="str">
            <v/>
          </cell>
        </row>
        <row r="3239">
          <cell r="B3239" t="str">
            <v/>
          </cell>
        </row>
        <row r="3240">
          <cell r="B3240" t="str">
            <v/>
          </cell>
        </row>
        <row r="3241">
          <cell r="B3241" t="str">
            <v/>
          </cell>
        </row>
        <row r="3242">
          <cell r="B3242" t="str">
            <v/>
          </cell>
        </row>
        <row r="3243">
          <cell r="B3243" t="str">
            <v/>
          </cell>
        </row>
        <row r="3244">
          <cell r="B3244" t="str">
            <v/>
          </cell>
        </row>
        <row r="3245">
          <cell r="B3245" t="str">
            <v/>
          </cell>
        </row>
        <row r="3246">
          <cell r="B3246" t="str">
            <v/>
          </cell>
        </row>
        <row r="3247">
          <cell r="B3247" t="str">
            <v/>
          </cell>
        </row>
        <row r="3248">
          <cell r="B3248" t="str">
            <v/>
          </cell>
        </row>
        <row r="3249">
          <cell r="B3249" t="str">
            <v/>
          </cell>
        </row>
        <row r="3250">
          <cell r="B3250" t="str">
            <v/>
          </cell>
        </row>
        <row r="3251">
          <cell r="B3251" t="str">
            <v/>
          </cell>
        </row>
        <row r="3252">
          <cell r="B3252" t="str">
            <v/>
          </cell>
        </row>
        <row r="3253">
          <cell r="B3253" t="str">
            <v/>
          </cell>
        </row>
        <row r="3254">
          <cell r="B3254" t="str">
            <v/>
          </cell>
        </row>
        <row r="3255">
          <cell r="B3255" t="str">
            <v/>
          </cell>
        </row>
        <row r="3256">
          <cell r="B3256" t="str">
            <v/>
          </cell>
        </row>
        <row r="3257">
          <cell r="B3257" t="str">
            <v/>
          </cell>
        </row>
        <row r="3258">
          <cell r="B3258" t="str">
            <v/>
          </cell>
        </row>
        <row r="3259">
          <cell r="B3259" t="str">
            <v/>
          </cell>
        </row>
        <row r="3260">
          <cell r="B3260" t="str">
            <v/>
          </cell>
        </row>
        <row r="3261">
          <cell r="B3261" t="str">
            <v/>
          </cell>
        </row>
        <row r="3262">
          <cell r="B3262" t="str">
            <v/>
          </cell>
        </row>
        <row r="3263">
          <cell r="B3263" t="str">
            <v/>
          </cell>
        </row>
        <row r="3264">
          <cell r="B3264" t="str">
            <v/>
          </cell>
        </row>
        <row r="3265">
          <cell r="B3265" t="str">
            <v/>
          </cell>
        </row>
        <row r="3266">
          <cell r="B3266" t="str">
            <v/>
          </cell>
        </row>
        <row r="3267">
          <cell r="B3267" t="str">
            <v/>
          </cell>
        </row>
        <row r="3268">
          <cell r="B3268" t="str">
            <v/>
          </cell>
        </row>
        <row r="3269">
          <cell r="B3269" t="str">
            <v/>
          </cell>
        </row>
        <row r="3270">
          <cell r="B3270" t="str">
            <v/>
          </cell>
        </row>
        <row r="3271">
          <cell r="B3271" t="str">
            <v/>
          </cell>
        </row>
        <row r="3272">
          <cell r="B3272" t="str">
            <v/>
          </cell>
        </row>
        <row r="3273">
          <cell r="B3273" t="str">
            <v/>
          </cell>
        </row>
        <row r="3274">
          <cell r="B3274" t="str">
            <v/>
          </cell>
        </row>
        <row r="3275">
          <cell r="B3275" t="str">
            <v/>
          </cell>
        </row>
        <row r="3276">
          <cell r="B3276" t="str">
            <v/>
          </cell>
        </row>
        <row r="3277">
          <cell r="B3277" t="str">
            <v/>
          </cell>
        </row>
        <row r="3278">
          <cell r="B3278" t="str">
            <v/>
          </cell>
        </row>
        <row r="3279">
          <cell r="B3279" t="str">
            <v/>
          </cell>
        </row>
        <row r="3280">
          <cell r="B3280" t="str">
            <v/>
          </cell>
        </row>
        <row r="3281">
          <cell r="B3281" t="str">
            <v/>
          </cell>
        </row>
        <row r="3282">
          <cell r="B3282" t="str">
            <v/>
          </cell>
        </row>
        <row r="3283">
          <cell r="B3283" t="str">
            <v/>
          </cell>
        </row>
        <row r="3284">
          <cell r="B3284" t="str">
            <v/>
          </cell>
        </row>
        <row r="3285">
          <cell r="B3285" t="str">
            <v/>
          </cell>
        </row>
        <row r="3286">
          <cell r="B3286" t="str">
            <v/>
          </cell>
        </row>
        <row r="3287">
          <cell r="B3287" t="str">
            <v/>
          </cell>
        </row>
        <row r="3288">
          <cell r="B3288" t="str">
            <v/>
          </cell>
        </row>
        <row r="3289">
          <cell r="B3289" t="str">
            <v/>
          </cell>
        </row>
        <row r="3290">
          <cell r="B3290" t="str">
            <v/>
          </cell>
        </row>
        <row r="3291">
          <cell r="B3291" t="str">
            <v/>
          </cell>
        </row>
        <row r="3292">
          <cell r="B3292" t="str">
            <v/>
          </cell>
        </row>
        <row r="3293">
          <cell r="B3293" t="str">
            <v/>
          </cell>
        </row>
        <row r="3294">
          <cell r="B3294" t="str">
            <v/>
          </cell>
        </row>
        <row r="3295">
          <cell r="B3295" t="str">
            <v/>
          </cell>
        </row>
        <row r="3296">
          <cell r="B3296" t="str">
            <v/>
          </cell>
        </row>
        <row r="3297">
          <cell r="B3297" t="str">
            <v/>
          </cell>
        </row>
        <row r="3298">
          <cell r="B3298" t="str">
            <v/>
          </cell>
        </row>
        <row r="3299">
          <cell r="B3299" t="str">
            <v/>
          </cell>
        </row>
        <row r="3300">
          <cell r="B3300" t="str">
            <v/>
          </cell>
        </row>
        <row r="3301">
          <cell r="B3301" t="str">
            <v/>
          </cell>
        </row>
        <row r="3302">
          <cell r="B3302" t="str">
            <v/>
          </cell>
        </row>
        <row r="3303">
          <cell r="B3303" t="str">
            <v/>
          </cell>
        </row>
        <row r="3304">
          <cell r="B3304" t="str">
            <v/>
          </cell>
        </row>
        <row r="3305">
          <cell r="B3305" t="str">
            <v/>
          </cell>
        </row>
        <row r="3306">
          <cell r="B3306" t="str">
            <v/>
          </cell>
        </row>
        <row r="3307">
          <cell r="B3307" t="str">
            <v/>
          </cell>
        </row>
        <row r="3308">
          <cell r="B3308" t="str">
            <v/>
          </cell>
        </row>
        <row r="3309">
          <cell r="B3309" t="str">
            <v/>
          </cell>
        </row>
        <row r="3310">
          <cell r="B3310" t="str">
            <v/>
          </cell>
        </row>
        <row r="3311">
          <cell r="B3311" t="str">
            <v/>
          </cell>
        </row>
        <row r="3312">
          <cell r="B3312" t="str">
            <v/>
          </cell>
        </row>
        <row r="3313">
          <cell r="B3313" t="str">
            <v/>
          </cell>
        </row>
        <row r="3314">
          <cell r="B3314" t="str">
            <v/>
          </cell>
        </row>
        <row r="3315">
          <cell r="B3315" t="str">
            <v/>
          </cell>
        </row>
        <row r="3316">
          <cell r="B3316" t="str">
            <v/>
          </cell>
        </row>
        <row r="3317">
          <cell r="B3317" t="str">
            <v/>
          </cell>
        </row>
        <row r="3318">
          <cell r="B3318" t="str">
            <v/>
          </cell>
        </row>
        <row r="3319">
          <cell r="B3319" t="str">
            <v/>
          </cell>
        </row>
        <row r="3320">
          <cell r="B3320" t="str">
            <v/>
          </cell>
        </row>
        <row r="3321">
          <cell r="B3321" t="str">
            <v/>
          </cell>
        </row>
        <row r="3322">
          <cell r="B3322" t="str">
            <v/>
          </cell>
        </row>
        <row r="3323">
          <cell r="B3323" t="str">
            <v/>
          </cell>
        </row>
        <row r="3324">
          <cell r="B3324" t="str">
            <v/>
          </cell>
        </row>
        <row r="3325">
          <cell r="B3325" t="str">
            <v/>
          </cell>
        </row>
        <row r="3326">
          <cell r="B3326" t="str">
            <v/>
          </cell>
        </row>
        <row r="3327">
          <cell r="B3327" t="str">
            <v/>
          </cell>
        </row>
        <row r="3328">
          <cell r="B3328" t="str">
            <v/>
          </cell>
        </row>
        <row r="3329">
          <cell r="B3329" t="str">
            <v/>
          </cell>
        </row>
        <row r="3330">
          <cell r="B3330" t="str">
            <v/>
          </cell>
        </row>
        <row r="3331">
          <cell r="B3331" t="str">
            <v/>
          </cell>
        </row>
        <row r="3332">
          <cell r="B3332" t="str">
            <v/>
          </cell>
        </row>
        <row r="3333">
          <cell r="B3333" t="str">
            <v/>
          </cell>
        </row>
        <row r="3334">
          <cell r="B3334" t="str">
            <v/>
          </cell>
        </row>
        <row r="3335">
          <cell r="B3335" t="str">
            <v/>
          </cell>
        </row>
        <row r="3336">
          <cell r="B3336" t="str">
            <v/>
          </cell>
        </row>
        <row r="3337">
          <cell r="B3337" t="str">
            <v/>
          </cell>
        </row>
        <row r="3338">
          <cell r="B3338" t="str">
            <v/>
          </cell>
        </row>
        <row r="3339">
          <cell r="B3339" t="str">
            <v/>
          </cell>
        </row>
        <row r="3340">
          <cell r="B3340" t="str">
            <v/>
          </cell>
        </row>
        <row r="3341">
          <cell r="B3341" t="str">
            <v/>
          </cell>
        </row>
        <row r="3342">
          <cell r="B3342" t="str">
            <v/>
          </cell>
        </row>
        <row r="3343">
          <cell r="B3343" t="str">
            <v/>
          </cell>
        </row>
        <row r="3344">
          <cell r="B3344" t="str">
            <v/>
          </cell>
        </row>
        <row r="3345">
          <cell r="B3345" t="str">
            <v/>
          </cell>
        </row>
        <row r="3346">
          <cell r="B3346" t="str">
            <v/>
          </cell>
        </row>
        <row r="3347">
          <cell r="B3347" t="str">
            <v/>
          </cell>
        </row>
        <row r="3348">
          <cell r="B3348" t="str">
            <v/>
          </cell>
        </row>
        <row r="3349">
          <cell r="B3349" t="str">
            <v/>
          </cell>
        </row>
        <row r="3350">
          <cell r="B3350" t="str">
            <v/>
          </cell>
        </row>
        <row r="3351">
          <cell r="B3351" t="str">
            <v/>
          </cell>
        </row>
        <row r="3352">
          <cell r="B3352" t="str">
            <v/>
          </cell>
        </row>
        <row r="3353">
          <cell r="B3353" t="str">
            <v/>
          </cell>
        </row>
        <row r="3354">
          <cell r="B3354" t="str">
            <v/>
          </cell>
        </row>
        <row r="3355">
          <cell r="B3355" t="str">
            <v/>
          </cell>
        </row>
        <row r="3356">
          <cell r="B3356" t="str">
            <v/>
          </cell>
        </row>
        <row r="3357">
          <cell r="B3357" t="str">
            <v/>
          </cell>
        </row>
        <row r="3358">
          <cell r="B3358" t="str">
            <v/>
          </cell>
        </row>
        <row r="3359">
          <cell r="B3359" t="str">
            <v/>
          </cell>
        </row>
        <row r="3360">
          <cell r="B3360" t="str">
            <v/>
          </cell>
        </row>
        <row r="3361">
          <cell r="B3361" t="str">
            <v/>
          </cell>
        </row>
        <row r="3362">
          <cell r="B3362" t="str">
            <v/>
          </cell>
        </row>
        <row r="3363">
          <cell r="B3363" t="str">
            <v/>
          </cell>
        </row>
        <row r="3364">
          <cell r="B3364" t="str">
            <v/>
          </cell>
        </row>
        <row r="3365">
          <cell r="B3365" t="str">
            <v/>
          </cell>
        </row>
        <row r="3366">
          <cell r="B3366" t="str">
            <v/>
          </cell>
        </row>
        <row r="3367">
          <cell r="B3367" t="str">
            <v/>
          </cell>
        </row>
        <row r="3368">
          <cell r="B3368" t="str">
            <v/>
          </cell>
        </row>
        <row r="3369">
          <cell r="B3369" t="str">
            <v/>
          </cell>
        </row>
        <row r="3370">
          <cell r="B3370" t="str">
            <v/>
          </cell>
        </row>
        <row r="3371">
          <cell r="B3371" t="str">
            <v/>
          </cell>
        </row>
        <row r="3372">
          <cell r="B3372" t="str">
            <v/>
          </cell>
        </row>
        <row r="3373">
          <cell r="B3373" t="str">
            <v/>
          </cell>
        </row>
        <row r="3374">
          <cell r="B3374" t="str">
            <v/>
          </cell>
        </row>
        <row r="3375">
          <cell r="B3375" t="str">
            <v/>
          </cell>
        </row>
        <row r="3376">
          <cell r="B3376" t="str">
            <v/>
          </cell>
        </row>
        <row r="3377">
          <cell r="B3377" t="str">
            <v/>
          </cell>
        </row>
        <row r="3378">
          <cell r="B3378" t="str">
            <v/>
          </cell>
        </row>
        <row r="3379">
          <cell r="B3379" t="str">
            <v/>
          </cell>
        </row>
        <row r="3380">
          <cell r="B3380" t="str">
            <v/>
          </cell>
        </row>
        <row r="3381">
          <cell r="B3381" t="str">
            <v/>
          </cell>
        </row>
        <row r="3382">
          <cell r="B3382" t="str">
            <v/>
          </cell>
        </row>
        <row r="3383">
          <cell r="B3383" t="str">
            <v/>
          </cell>
        </row>
        <row r="3384">
          <cell r="B3384" t="str">
            <v/>
          </cell>
        </row>
        <row r="3385">
          <cell r="B3385" t="str">
            <v/>
          </cell>
        </row>
        <row r="3386">
          <cell r="B3386" t="str">
            <v/>
          </cell>
        </row>
        <row r="3387">
          <cell r="B3387" t="str">
            <v/>
          </cell>
        </row>
        <row r="3388">
          <cell r="B3388" t="str">
            <v/>
          </cell>
        </row>
        <row r="3389">
          <cell r="B3389" t="str">
            <v/>
          </cell>
        </row>
        <row r="3390">
          <cell r="B3390" t="str">
            <v/>
          </cell>
        </row>
        <row r="3391">
          <cell r="B3391" t="str">
            <v/>
          </cell>
        </row>
        <row r="3392">
          <cell r="B3392" t="str">
            <v/>
          </cell>
        </row>
        <row r="3393">
          <cell r="B3393" t="str">
            <v/>
          </cell>
        </row>
        <row r="3394">
          <cell r="B3394" t="str">
            <v/>
          </cell>
        </row>
        <row r="3395">
          <cell r="B3395" t="str">
            <v/>
          </cell>
        </row>
        <row r="3396">
          <cell r="B3396" t="str">
            <v/>
          </cell>
        </row>
        <row r="3397">
          <cell r="B3397" t="str">
            <v/>
          </cell>
        </row>
        <row r="3398">
          <cell r="B3398" t="str">
            <v/>
          </cell>
        </row>
        <row r="3399">
          <cell r="B3399" t="str">
            <v/>
          </cell>
        </row>
        <row r="3400">
          <cell r="B3400" t="str">
            <v/>
          </cell>
        </row>
        <row r="3401">
          <cell r="B3401" t="str">
            <v/>
          </cell>
        </row>
        <row r="3402">
          <cell r="B3402" t="str">
            <v/>
          </cell>
        </row>
        <row r="3403">
          <cell r="B3403" t="str">
            <v/>
          </cell>
        </row>
        <row r="3404">
          <cell r="B3404" t="str">
            <v/>
          </cell>
        </row>
        <row r="3405">
          <cell r="B3405" t="str">
            <v/>
          </cell>
        </row>
        <row r="3406">
          <cell r="B3406" t="str">
            <v/>
          </cell>
        </row>
        <row r="3407">
          <cell r="B3407" t="str">
            <v/>
          </cell>
        </row>
        <row r="3408">
          <cell r="B3408" t="str">
            <v/>
          </cell>
        </row>
        <row r="3409">
          <cell r="B3409" t="str">
            <v/>
          </cell>
        </row>
        <row r="3410">
          <cell r="B3410" t="str">
            <v/>
          </cell>
        </row>
        <row r="3411">
          <cell r="B3411" t="str">
            <v/>
          </cell>
        </row>
        <row r="3412">
          <cell r="B3412" t="str">
            <v/>
          </cell>
        </row>
        <row r="3413">
          <cell r="B3413" t="str">
            <v/>
          </cell>
        </row>
        <row r="3414">
          <cell r="B3414" t="str">
            <v/>
          </cell>
        </row>
        <row r="3415">
          <cell r="B3415" t="str">
            <v/>
          </cell>
        </row>
        <row r="3416">
          <cell r="B3416" t="str">
            <v/>
          </cell>
        </row>
        <row r="3417">
          <cell r="B3417" t="str">
            <v/>
          </cell>
        </row>
        <row r="3418">
          <cell r="B3418" t="str">
            <v/>
          </cell>
        </row>
        <row r="3419">
          <cell r="B3419" t="str">
            <v/>
          </cell>
        </row>
        <row r="3420">
          <cell r="B3420" t="str">
            <v/>
          </cell>
        </row>
        <row r="3421">
          <cell r="B3421" t="str">
            <v/>
          </cell>
        </row>
        <row r="3422">
          <cell r="B3422" t="str">
            <v/>
          </cell>
        </row>
        <row r="3423">
          <cell r="B3423" t="str">
            <v/>
          </cell>
        </row>
        <row r="3424">
          <cell r="B3424" t="str">
            <v/>
          </cell>
        </row>
        <row r="3425">
          <cell r="B3425" t="str">
            <v/>
          </cell>
        </row>
        <row r="3426">
          <cell r="B3426" t="str">
            <v/>
          </cell>
        </row>
        <row r="3427">
          <cell r="B3427" t="str">
            <v/>
          </cell>
        </row>
        <row r="3428">
          <cell r="B3428" t="str">
            <v/>
          </cell>
        </row>
        <row r="3429">
          <cell r="B3429" t="str">
            <v/>
          </cell>
        </row>
        <row r="3430">
          <cell r="B3430" t="str">
            <v/>
          </cell>
        </row>
        <row r="3431">
          <cell r="B3431" t="str">
            <v/>
          </cell>
        </row>
        <row r="3432">
          <cell r="B3432" t="str">
            <v/>
          </cell>
        </row>
        <row r="3433">
          <cell r="B3433" t="str">
            <v/>
          </cell>
        </row>
        <row r="3434">
          <cell r="B3434" t="str">
            <v/>
          </cell>
        </row>
        <row r="3435">
          <cell r="B3435" t="str">
            <v/>
          </cell>
        </row>
        <row r="3436">
          <cell r="B3436" t="str">
            <v/>
          </cell>
        </row>
        <row r="3437">
          <cell r="B3437" t="str">
            <v/>
          </cell>
        </row>
        <row r="3438">
          <cell r="B3438" t="str">
            <v/>
          </cell>
        </row>
        <row r="3439">
          <cell r="B3439" t="str">
            <v/>
          </cell>
        </row>
        <row r="3440">
          <cell r="B3440" t="str">
            <v/>
          </cell>
        </row>
        <row r="3441">
          <cell r="B3441" t="str">
            <v/>
          </cell>
        </row>
        <row r="3442">
          <cell r="B3442" t="str">
            <v/>
          </cell>
        </row>
        <row r="3443">
          <cell r="B3443" t="str">
            <v/>
          </cell>
        </row>
        <row r="3444">
          <cell r="B3444" t="str">
            <v/>
          </cell>
        </row>
        <row r="3445">
          <cell r="B3445" t="str">
            <v/>
          </cell>
        </row>
        <row r="3446">
          <cell r="B3446" t="str">
            <v/>
          </cell>
        </row>
        <row r="3447">
          <cell r="B3447" t="str">
            <v/>
          </cell>
        </row>
        <row r="3448">
          <cell r="B3448" t="str">
            <v/>
          </cell>
        </row>
        <row r="3449">
          <cell r="B3449" t="str">
            <v/>
          </cell>
        </row>
        <row r="3450">
          <cell r="B3450" t="str">
            <v/>
          </cell>
        </row>
        <row r="3451">
          <cell r="B3451" t="str">
            <v/>
          </cell>
        </row>
        <row r="3452">
          <cell r="B3452" t="str">
            <v/>
          </cell>
        </row>
        <row r="3453">
          <cell r="B3453" t="str">
            <v/>
          </cell>
        </row>
        <row r="3454">
          <cell r="B3454" t="str">
            <v/>
          </cell>
        </row>
        <row r="3455">
          <cell r="B3455" t="str">
            <v/>
          </cell>
        </row>
        <row r="3456">
          <cell r="B3456" t="str">
            <v/>
          </cell>
        </row>
        <row r="3457">
          <cell r="B3457" t="str">
            <v/>
          </cell>
        </row>
        <row r="3458">
          <cell r="B3458" t="str">
            <v/>
          </cell>
        </row>
        <row r="3459">
          <cell r="B3459" t="str">
            <v/>
          </cell>
        </row>
        <row r="3460">
          <cell r="B3460" t="str">
            <v/>
          </cell>
        </row>
        <row r="3461">
          <cell r="B3461" t="str">
            <v/>
          </cell>
        </row>
        <row r="3462">
          <cell r="B3462" t="str">
            <v/>
          </cell>
        </row>
        <row r="3463">
          <cell r="B3463" t="str">
            <v/>
          </cell>
        </row>
        <row r="3464">
          <cell r="B3464" t="str">
            <v/>
          </cell>
        </row>
        <row r="3465">
          <cell r="B3465" t="str">
            <v/>
          </cell>
        </row>
        <row r="3466">
          <cell r="B3466" t="str">
            <v/>
          </cell>
        </row>
        <row r="3467">
          <cell r="B3467" t="str">
            <v/>
          </cell>
        </row>
        <row r="3468">
          <cell r="B3468" t="str">
            <v/>
          </cell>
        </row>
        <row r="3469">
          <cell r="B3469" t="str">
            <v/>
          </cell>
        </row>
        <row r="3470">
          <cell r="B3470" t="str">
            <v/>
          </cell>
        </row>
        <row r="3471">
          <cell r="B3471" t="str">
            <v/>
          </cell>
        </row>
        <row r="3472">
          <cell r="B3472" t="str">
            <v/>
          </cell>
        </row>
        <row r="3473">
          <cell r="B3473" t="str">
            <v/>
          </cell>
        </row>
        <row r="3474">
          <cell r="B3474" t="str">
            <v/>
          </cell>
        </row>
        <row r="3475">
          <cell r="B3475" t="str">
            <v/>
          </cell>
        </row>
        <row r="3476">
          <cell r="B3476" t="str">
            <v/>
          </cell>
        </row>
        <row r="3477">
          <cell r="B3477" t="str">
            <v/>
          </cell>
        </row>
        <row r="3478">
          <cell r="B3478" t="str">
            <v/>
          </cell>
        </row>
        <row r="3479">
          <cell r="B3479" t="str">
            <v/>
          </cell>
        </row>
        <row r="3480">
          <cell r="B3480" t="str">
            <v/>
          </cell>
        </row>
        <row r="3481">
          <cell r="B3481" t="str">
            <v/>
          </cell>
        </row>
        <row r="3482">
          <cell r="B3482" t="str">
            <v/>
          </cell>
        </row>
        <row r="3483">
          <cell r="B3483" t="str">
            <v/>
          </cell>
        </row>
        <row r="3484">
          <cell r="B3484" t="str">
            <v/>
          </cell>
        </row>
        <row r="3485">
          <cell r="B3485" t="str">
            <v/>
          </cell>
        </row>
        <row r="3486">
          <cell r="B3486" t="str">
            <v/>
          </cell>
        </row>
        <row r="3487">
          <cell r="B3487" t="str">
            <v/>
          </cell>
        </row>
        <row r="3488">
          <cell r="B3488" t="str">
            <v/>
          </cell>
        </row>
        <row r="3489">
          <cell r="B3489" t="str">
            <v/>
          </cell>
        </row>
        <row r="3490">
          <cell r="B3490" t="str">
            <v/>
          </cell>
        </row>
        <row r="3491">
          <cell r="B3491" t="str">
            <v/>
          </cell>
        </row>
        <row r="3492">
          <cell r="B3492" t="str">
            <v/>
          </cell>
        </row>
        <row r="3493">
          <cell r="B3493" t="str">
            <v/>
          </cell>
        </row>
        <row r="3494">
          <cell r="B3494" t="str">
            <v/>
          </cell>
        </row>
        <row r="3495">
          <cell r="B3495" t="str">
            <v/>
          </cell>
        </row>
        <row r="3496">
          <cell r="B3496" t="str">
            <v/>
          </cell>
        </row>
        <row r="3497">
          <cell r="B3497" t="str">
            <v/>
          </cell>
        </row>
        <row r="3498">
          <cell r="B3498" t="str">
            <v/>
          </cell>
        </row>
        <row r="3499">
          <cell r="B3499" t="str">
            <v/>
          </cell>
        </row>
        <row r="3500">
          <cell r="B3500" t="str">
            <v/>
          </cell>
        </row>
        <row r="3501">
          <cell r="B3501" t="str">
            <v/>
          </cell>
        </row>
        <row r="3502">
          <cell r="B3502" t="str">
            <v/>
          </cell>
        </row>
        <row r="3503">
          <cell r="B3503" t="str">
            <v/>
          </cell>
        </row>
        <row r="3504">
          <cell r="B3504" t="str">
            <v/>
          </cell>
        </row>
        <row r="3505">
          <cell r="B3505" t="str">
            <v/>
          </cell>
        </row>
        <row r="3506">
          <cell r="B3506" t="str">
            <v/>
          </cell>
        </row>
        <row r="3507">
          <cell r="B3507" t="str">
            <v/>
          </cell>
        </row>
        <row r="3508">
          <cell r="B3508" t="str">
            <v/>
          </cell>
        </row>
        <row r="3509">
          <cell r="B3509" t="str">
            <v/>
          </cell>
        </row>
        <row r="3510">
          <cell r="B3510" t="str">
            <v/>
          </cell>
        </row>
        <row r="3511">
          <cell r="B3511" t="str">
            <v/>
          </cell>
        </row>
        <row r="3512">
          <cell r="B3512" t="str">
            <v/>
          </cell>
        </row>
        <row r="3513">
          <cell r="B3513" t="str">
            <v/>
          </cell>
        </row>
        <row r="3514">
          <cell r="B3514" t="str">
            <v/>
          </cell>
        </row>
        <row r="3515">
          <cell r="B3515" t="str">
            <v/>
          </cell>
        </row>
        <row r="3516">
          <cell r="B3516" t="str">
            <v/>
          </cell>
        </row>
        <row r="3517">
          <cell r="B3517" t="str">
            <v/>
          </cell>
        </row>
        <row r="3518">
          <cell r="B3518" t="str">
            <v/>
          </cell>
        </row>
        <row r="3519">
          <cell r="B3519" t="str">
            <v/>
          </cell>
        </row>
        <row r="3520">
          <cell r="B3520" t="str">
            <v/>
          </cell>
        </row>
        <row r="3521">
          <cell r="B3521" t="str">
            <v/>
          </cell>
        </row>
        <row r="3522">
          <cell r="B3522" t="str">
            <v/>
          </cell>
        </row>
        <row r="3523">
          <cell r="B3523" t="str">
            <v/>
          </cell>
        </row>
        <row r="3524">
          <cell r="B3524" t="str">
            <v/>
          </cell>
        </row>
        <row r="3525">
          <cell r="B3525" t="str">
            <v/>
          </cell>
        </row>
        <row r="3526">
          <cell r="B3526" t="str">
            <v/>
          </cell>
        </row>
        <row r="3527">
          <cell r="B3527" t="str">
            <v/>
          </cell>
        </row>
        <row r="3528">
          <cell r="B3528" t="str">
            <v/>
          </cell>
        </row>
        <row r="3529">
          <cell r="B3529" t="str">
            <v/>
          </cell>
        </row>
        <row r="3530">
          <cell r="B3530" t="str">
            <v/>
          </cell>
        </row>
        <row r="3531">
          <cell r="B3531" t="str">
            <v/>
          </cell>
        </row>
        <row r="3532">
          <cell r="B3532" t="str">
            <v/>
          </cell>
        </row>
        <row r="3533">
          <cell r="B3533" t="str">
            <v/>
          </cell>
        </row>
        <row r="3534">
          <cell r="B3534" t="str">
            <v/>
          </cell>
        </row>
        <row r="3535">
          <cell r="B3535" t="str">
            <v/>
          </cell>
        </row>
        <row r="3536">
          <cell r="B3536" t="str">
            <v/>
          </cell>
        </row>
        <row r="3537">
          <cell r="B3537" t="str">
            <v/>
          </cell>
        </row>
        <row r="3538">
          <cell r="B3538" t="str">
            <v/>
          </cell>
        </row>
        <row r="3539">
          <cell r="B3539" t="str">
            <v/>
          </cell>
        </row>
        <row r="3540">
          <cell r="B3540" t="str">
            <v/>
          </cell>
        </row>
        <row r="3541">
          <cell r="B3541" t="str">
            <v/>
          </cell>
        </row>
        <row r="3542">
          <cell r="B3542" t="str">
            <v/>
          </cell>
        </row>
        <row r="3543">
          <cell r="B3543" t="str">
            <v/>
          </cell>
        </row>
        <row r="3544">
          <cell r="B3544" t="str">
            <v/>
          </cell>
        </row>
        <row r="3545">
          <cell r="B3545" t="str">
            <v/>
          </cell>
        </row>
        <row r="3546">
          <cell r="B3546" t="str">
            <v/>
          </cell>
        </row>
        <row r="3547">
          <cell r="B3547" t="str">
            <v/>
          </cell>
        </row>
        <row r="3548">
          <cell r="B3548" t="str">
            <v/>
          </cell>
        </row>
        <row r="3549">
          <cell r="B3549" t="str">
            <v/>
          </cell>
        </row>
        <row r="3550">
          <cell r="B3550" t="str">
            <v/>
          </cell>
        </row>
        <row r="3551">
          <cell r="B3551" t="str">
            <v/>
          </cell>
        </row>
        <row r="3552">
          <cell r="B3552" t="str">
            <v/>
          </cell>
        </row>
        <row r="3553">
          <cell r="B3553" t="str">
            <v/>
          </cell>
        </row>
        <row r="3554">
          <cell r="B3554" t="str">
            <v/>
          </cell>
        </row>
        <row r="3555">
          <cell r="B3555" t="str">
            <v/>
          </cell>
        </row>
        <row r="3556">
          <cell r="B3556" t="str">
            <v/>
          </cell>
        </row>
        <row r="3557">
          <cell r="B3557" t="str">
            <v/>
          </cell>
        </row>
        <row r="3558">
          <cell r="B3558" t="str">
            <v/>
          </cell>
        </row>
        <row r="3559">
          <cell r="B3559" t="str">
            <v/>
          </cell>
        </row>
        <row r="3560">
          <cell r="B3560" t="str">
            <v/>
          </cell>
        </row>
        <row r="3561">
          <cell r="B3561" t="str">
            <v/>
          </cell>
        </row>
        <row r="3562">
          <cell r="B3562" t="str">
            <v/>
          </cell>
        </row>
        <row r="3563">
          <cell r="B3563" t="str">
            <v/>
          </cell>
        </row>
        <row r="3564">
          <cell r="B3564" t="str">
            <v/>
          </cell>
        </row>
        <row r="3565">
          <cell r="B3565" t="str">
            <v/>
          </cell>
        </row>
        <row r="3566">
          <cell r="B3566" t="str">
            <v/>
          </cell>
        </row>
        <row r="3567">
          <cell r="B3567" t="str">
            <v/>
          </cell>
        </row>
        <row r="3568">
          <cell r="B3568" t="str">
            <v/>
          </cell>
        </row>
        <row r="3569">
          <cell r="B3569" t="str">
            <v/>
          </cell>
        </row>
        <row r="3570">
          <cell r="B3570" t="str">
            <v/>
          </cell>
        </row>
        <row r="3571">
          <cell r="B3571" t="str">
            <v/>
          </cell>
        </row>
        <row r="3572">
          <cell r="B3572" t="str">
            <v/>
          </cell>
        </row>
        <row r="3573">
          <cell r="B3573" t="str">
            <v/>
          </cell>
        </row>
        <row r="3574">
          <cell r="B3574" t="str">
            <v/>
          </cell>
        </row>
        <row r="3575">
          <cell r="B3575" t="str">
            <v/>
          </cell>
        </row>
        <row r="3576">
          <cell r="B3576" t="str">
            <v/>
          </cell>
        </row>
        <row r="3577">
          <cell r="B3577" t="str">
            <v/>
          </cell>
        </row>
        <row r="3578">
          <cell r="B3578" t="str">
            <v/>
          </cell>
        </row>
        <row r="3579">
          <cell r="B3579" t="str">
            <v/>
          </cell>
        </row>
        <row r="3580">
          <cell r="B3580" t="str">
            <v/>
          </cell>
        </row>
        <row r="3581">
          <cell r="B3581" t="str">
            <v/>
          </cell>
        </row>
        <row r="3582">
          <cell r="B3582" t="str">
            <v/>
          </cell>
        </row>
        <row r="3583">
          <cell r="B3583" t="str">
            <v/>
          </cell>
        </row>
        <row r="3584">
          <cell r="B3584" t="str">
            <v/>
          </cell>
        </row>
        <row r="3585">
          <cell r="B3585" t="str">
            <v/>
          </cell>
        </row>
        <row r="3586">
          <cell r="B3586" t="str">
            <v/>
          </cell>
        </row>
        <row r="3587">
          <cell r="B3587" t="str">
            <v/>
          </cell>
        </row>
        <row r="3588">
          <cell r="B3588" t="str">
            <v/>
          </cell>
        </row>
        <row r="3589">
          <cell r="B3589" t="str">
            <v/>
          </cell>
        </row>
        <row r="3590">
          <cell r="B3590" t="str">
            <v/>
          </cell>
        </row>
        <row r="3591">
          <cell r="B3591" t="str">
            <v/>
          </cell>
        </row>
        <row r="3592">
          <cell r="B3592" t="str">
            <v/>
          </cell>
        </row>
        <row r="3593">
          <cell r="B3593" t="str">
            <v/>
          </cell>
        </row>
        <row r="3594">
          <cell r="B3594" t="str">
            <v/>
          </cell>
        </row>
        <row r="3595">
          <cell r="B3595" t="str">
            <v/>
          </cell>
        </row>
        <row r="3596">
          <cell r="B3596" t="str">
            <v/>
          </cell>
        </row>
        <row r="3597">
          <cell r="B3597" t="str">
            <v/>
          </cell>
        </row>
        <row r="3598">
          <cell r="B3598" t="str">
            <v/>
          </cell>
        </row>
        <row r="3599">
          <cell r="B3599" t="str">
            <v/>
          </cell>
        </row>
        <row r="3600">
          <cell r="B3600" t="str">
            <v/>
          </cell>
        </row>
        <row r="3601">
          <cell r="B3601" t="str">
            <v/>
          </cell>
        </row>
        <row r="3602">
          <cell r="B3602" t="str">
            <v/>
          </cell>
        </row>
        <row r="3603">
          <cell r="B3603" t="str">
            <v/>
          </cell>
        </row>
        <row r="3604">
          <cell r="B3604" t="str">
            <v/>
          </cell>
        </row>
        <row r="3605">
          <cell r="B3605" t="str">
            <v/>
          </cell>
        </row>
        <row r="3606">
          <cell r="B3606" t="str">
            <v/>
          </cell>
        </row>
        <row r="3607">
          <cell r="B3607" t="str">
            <v/>
          </cell>
        </row>
        <row r="3608">
          <cell r="B3608" t="str">
            <v/>
          </cell>
        </row>
        <row r="3609">
          <cell r="B3609" t="str">
            <v/>
          </cell>
        </row>
        <row r="3610">
          <cell r="B3610" t="str">
            <v/>
          </cell>
        </row>
        <row r="3611">
          <cell r="B3611" t="str">
            <v/>
          </cell>
        </row>
        <row r="3612">
          <cell r="B3612" t="str">
            <v/>
          </cell>
        </row>
        <row r="3613">
          <cell r="B3613" t="str">
            <v/>
          </cell>
        </row>
        <row r="3614">
          <cell r="B3614" t="str">
            <v/>
          </cell>
        </row>
        <row r="3615">
          <cell r="B3615" t="str">
            <v/>
          </cell>
        </row>
        <row r="3616">
          <cell r="B3616" t="str">
            <v/>
          </cell>
        </row>
        <row r="3617">
          <cell r="B3617" t="str">
            <v/>
          </cell>
        </row>
        <row r="3618">
          <cell r="B3618" t="str">
            <v/>
          </cell>
        </row>
        <row r="3619">
          <cell r="B3619" t="str">
            <v/>
          </cell>
        </row>
        <row r="3620">
          <cell r="B3620" t="str">
            <v/>
          </cell>
        </row>
        <row r="3621">
          <cell r="B3621" t="str">
            <v/>
          </cell>
        </row>
        <row r="3622">
          <cell r="B3622" t="str">
            <v/>
          </cell>
        </row>
        <row r="3623">
          <cell r="B3623" t="str">
            <v/>
          </cell>
        </row>
        <row r="3624">
          <cell r="B3624" t="str">
            <v/>
          </cell>
        </row>
        <row r="3625">
          <cell r="B3625" t="str">
            <v/>
          </cell>
        </row>
        <row r="3626">
          <cell r="B3626" t="str">
            <v/>
          </cell>
        </row>
        <row r="3627">
          <cell r="B3627" t="str">
            <v/>
          </cell>
        </row>
        <row r="3628">
          <cell r="B3628" t="str">
            <v/>
          </cell>
        </row>
        <row r="3629">
          <cell r="B3629" t="str">
            <v/>
          </cell>
        </row>
        <row r="3630">
          <cell r="B3630" t="str">
            <v/>
          </cell>
        </row>
        <row r="3631">
          <cell r="B3631" t="str">
            <v/>
          </cell>
        </row>
        <row r="3632">
          <cell r="B3632" t="str">
            <v/>
          </cell>
        </row>
        <row r="3633">
          <cell r="B3633" t="str">
            <v/>
          </cell>
        </row>
        <row r="3634">
          <cell r="B3634" t="str">
            <v/>
          </cell>
        </row>
        <row r="3635">
          <cell r="B3635" t="str">
            <v/>
          </cell>
        </row>
        <row r="3636">
          <cell r="B3636" t="str">
            <v/>
          </cell>
        </row>
        <row r="3637">
          <cell r="B3637" t="str">
            <v/>
          </cell>
        </row>
        <row r="3638">
          <cell r="B3638" t="str">
            <v/>
          </cell>
        </row>
        <row r="3639">
          <cell r="B3639" t="str">
            <v/>
          </cell>
        </row>
        <row r="3640">
          <cell r="B3640" t="str">
            <v/>
          </cell>
        </row>
        <row r="3641">
          <cell r="B3641" t="str">
            <v/>
          </cell>
        </row>
        <row r="3642">
          <cell r="B3642" t="str">
            <v/>
          </cell>
        </row>
        <row r="3643">
          <cell r="B3643" t="str">
            <v/>
          </cell>
        </row>
        <row r="3644">
          <cell r="B3644" t="str">
            <v/>
          </cell>
        </row>
        <row r="3645">
          <cell r="B3645" t="str">
            <v/>
          </cell>
        </row>
        <row r="3646">
          <cell r="B3646" t="str">
            <v/>
          </cell>
        </row>
        <row r="3647">
          <cell r="B3647" t="str">
            <v/>
          </cell>
        </row>
        <row r="3648">
          <cell r="B3648" t="str">
            <v/>
          </cell>
        </row>
        <row r="3649">
          <cell r="B3649" t="str">
            <v/>
          </cell>
        </row>
        <row r="3650">
          <cell r="B3650" t="str">
            <v/>
          </cell>
        </row>
        <row r="3651">
          <cell r="B3651" t="str">
            <v/>
          </cell>
        </row>
        <row r="3652">
          <cell r="B3652" t="str">
            <v/>
          </cell>
        </row>
        <row r="3653">
          <cell r="B3653" t="str">
            <v/>
          </cell>
        </row>
        <row r="3654">
          <cell r="B3654" t="str">
            <v/>
          </cell>
        </row>
        <row r="3655">
          <cell r="B3655" t="str">
            <v/>
          </cell>
        </row>
        <row r="3656">
          <cell r="B3656" t="str">
            <v/>
          </cell>
        </row>
        <row r="3657">
          <cell r="B3657" t="str">
            <v/>
          </cell>
        </row>
        <row r="3658">
          <cell r="B3658" t="str">
            <v/>
          </cell>
        </row>
        <row r="3659">
          <cell r="B3659" t="str">
            <v/>
          </cell>
        </row>
        <row r="3660">
          <cell r="B3660" t="str">
            <v/>
          </cell>
        </row>
        <row r="3661">
          <cell r="B3661" t="str">
            <v/>
          </cell>
        </row>
        <row r="3662">
          <cell r="B3662" t="str">
            <v/>
          </cell>
        </row>
        <row r="3663">
          <cell r="B3663" t="str">
            <v/>
          </cell>
        </row>
        <row r="3664">
          <cell r="B3664" t="str">
            <v/>
          </cell>
        </row>
        <row r="3665">
          <cell r="B3665" t="str">
            <v/>
          </cell>
        </row>
        <row r="3666">
          <cell r="B3666" t="str">
            <v/>
          </cell>
        </row>
        <row r="3667">
          <cell r="B3667" t="str">
            <v/>
          </cell>
        </row>
        <row r="3668">
          <cell r="B3668" t="str">
            <v/>
          </cell>
        </row>
        <row r="3669">
          <cell r="B3669" t="str">
            <v/>
          </cell>
        </row>
        <row r="3670">
          <cell r="B3670" t="str">
            <v/>
          </cell>
        </row>
        <row r="3671">
          <cell r="B3671" t="str">
            <v/>
          </cell>
        </row>
        <row r="3672">
          <cell r="B3672" t="str">
            <v/>
          </cell>
        </row>
        <row r="3673">
          <cell r="B3673" t="str">
            <v/>
          </cell>
        </row>
        <row r="3674">
          <cell r="B3674" t="str">
            <v/>
          </cell>
        </row>
        <row r="3675">
          <cell r="B3675" t="str">
            <v/>
          </cell>
        </row>
        <row r="3676">
          <cell r="B3676" t="str">
            <v/>
          </cell>
        </row>
        <row r="3677">
          <cell r="B3677" t="str">
            <v/>
          </cell>
        </row>
        <row r="3678">
          <cell r="B3678" t="str">
            <v/>
          </cell>
        </row>
        <row r="3679">
          <cell r="B3679" t="str">
            <v/>
          </cell>
        </row>
        <row r="3680">
          <cell r="B3680" t="str">
            <v/>
          </cell>
        </row>
        <row r="3681">
          <cell r="B3681" t="str">
            <v/>
          </cell>
        </row>
        <row r="3682">
          <cell r="B3682" t="str">
            <v/>
          </cell>
        </row>
        <row r="3683">
          <cell r="B3683" t="str">
            <v/>
          </cell>
        </row>
        <row r="3684">
          <cell r="B3684" t="str">
            <v/>
          </cell>
        </row>
        <row r="3685">
          <cell r="B3685" t="str">
            <v/>
          </cell>
        </row>
        <row r="3686">
          <cell r="B3686" t="str">
            <v/>
          </cell>
        </row>
        <row r="3687">
          <cell r="B3687" t="str">
            <v/>
          </cell>
        </row>
        <row r="3688">
          <cell r="B3688" t="str">
            <v/>
          </cell>
        </row>
        <row r="3689">
          <cell r="B3689" t="str">
            <v/>
          </cell>
        </row>
        <row r="3690">
          <cell r="B3690" t="str">
            <v/>
          </cell>
        </row>
        <row r="3691">
          <cell r="B3691" t="str">
            <v/>
          </cell>
        </row>
        <row r="3692">
          <cell r="B3692" t="str">
            <v/>
          </cell>
        </row>
        <row r="3693">
          <cell r="B3693" t="str">
            <v/>
          </cell>
        </row>
        <row r="3694">
          <cell r="B3694" t="str">
            <v/>
          </cell>
        </row>
        <row r="3695">
          <cell r="B3695" t="str">
            <v/>
          </cell>
        </row>
        <row r="3696">
          <cell r="B3696" t="str">
            <v/>
          </cell>
        </row>
        <row r="3697">
          <cell r="B3697" t="str">
            <v/>
          </cell>
        </row>
        <row r="3698">
          <cell r="B3698" t="str">
            <v/>
          </cell>
        </row>
        <row r="3699">
          <cell r="B3699" t="str">
            <v/>
          </cell>
        </row>
        <row r="3700">
          <cell r="B3700" t="str">
            <v/>
          </cell>
        </row>
        <row r="3701">
          <cell r="B3701" t="str">
            <v/>
          </cell>
        </row>
        <row r="3702">
          <cell r="B3702" t="str">
            <v/>
          </cell>
        </row>
        <row r="3703">
          <cell r="B3703" t="str">
            <v/>
          </cell>
        </row>
        <row r="3704">
          <cell r="B3704" t="str">
            <v/>
          </cell>
        </row>
        <row r="3705">
          <cell r="B3705" t="str">
            <v/>
          </cell>
        </row>
        <row r="3706">
          <cell r="B3706" t="str">
            <v/>
          </cell>
        </row>
        <row r="3707">
          <cell r="B3707" t="str">
            <v/>
          </cell>
        </row>
        <row r="3708">
          <cell r="B3708" t="str">
            <v/>
          </cell>
        </row>
        <row r="3709">
          <cell r="B3709" t="str">
            <v/>
          </cell>
        </row>
        <row r="3710">
          <cell r="B3710" t="str">
            <v/>
          </cell>
        </row>
        <row r="3711">
          <cell r="B3711" t="str">
            <v/>
          </cell>
        </row>
        <row r="3712">
          <cell r="B3712" t="str">
            <v/>
          </cell>
        </row>
        <row r="3713">
          <cell r="B3713" t="str">
            <v/>
          </cell>
        </row>
        <row r="3714">
          <cell r="B3714" t="str">
            <v/>
          </cell>
        </row>
        <row r="3715">
          <cell r="B3715" t="str">
            <v/>
          </cell>
        </row>
        <row r="3716">
          <cell r="B3716" t="str">
            <v/>
          </cell>
        </row>
        <row r="3717">
          <cell r="B3717" t="str">
            <v/>
          </cell>
        </row>
        <row r="3718">
          <cell r="B3718" t="str">
            <v/>
          </cell>
        </row>
        <row r="3719">
          <cell r="B3719" t="str">
            <v/>
          </cell>
        </row>
        <row r="3720">
          <cell r="B3720" t="str">
            <v/>
          </cell>
        </row>
        <row r="3721">
          <cell r="B3721" t="str">
            <v/>
          </cell>
        </row>
        <row r="3722">
          <cell r="B3722" t="str">
            <v/>
          </cell>
        </row>
        <row r="3723">
          <cell r="B3723" t="str">
            <v/>
          </cell>
        </row>
        <row r="3724">
          <cell r="B3724" t="str">
            <v/>
          </cell>
        </row>
        <row r="3725">
          <cell r="B3725" t="str">
            <v/>
          </cell>
        </row>
        <row r="3726">
          <cell r="B3726" t="str">
            <v/>
          </cell>
        </row>
        <row r="3727">
          <cell r="B3727" t="str">
            <v/>
          </cell>
        </row>
        <row r="3728">
          <cell r="B3728" t="str">
            <v/>
          </cell>
        </row>
        <row r="3729">
          <cell r="B3729" t="str">
            <v/>
          </cell>
        </row>
        <row r="3730">
          <cell r="B3730" t="str">
            <v/>
          </cell>
        </row>
        <row r="3731">
          <cell r="B3731" t="str">
            <v/>
          </cell>
        </row>
        <row r="3732">
          <cell r="B3732" t="str">
            <v/>
          </cell>
        </row>
        <row r="3733">
          <cell r="B3733" t="str">
            <v/>
          </cell>
        </row>
        <row r="3734">
          <cell r="B3734" t="str">
            <v/>
          </cell>
        </row>
        <row r="3735">
          <cell r="B3735" t="str">
            <v/>
          </cell>
        </row>
        <row r="3736">
          <cell r="B3736" t="str">
            <v/>
          </cell>
        </row>
        <row r="3737">
          <cell r="B3737" t="str">
            <v/>
          </cell>
        </row>
        <row r="3738">
          <cell r="B3738" t="str">
            <v/>
          </cell>
        </row>
        <row r="3739">
          <cell r="B3739" t="str">
            <v/>
          </cell>
        </row>
        <row r="3740">
          <cell r="B3740" t="str">
            <v/>
          </cell>
        </row>
        <row r="3741">
          <cell r="B3741" t="str">
            <v/>
          </cell>
        </row>
        <row r="3742">
          <cell r="B3742" t="str">
            <v/>
          </cell>
        </row>
        <row r="3743">
          <cell r="B3743" t="str">
            <v/>
          </cell>
        </row>
        <row r="3744">
          <cell r="B3744" t="str">
            <v/>
          </cell>
        </row>
        <row r="3745">
          <cell r="B3745" t="str">
            <v/>
          </cell>
        </row>
        <row r="3746">
          <cell r="B3746" t="str">
            <v/>
          </cell>
        </row>
        <row r="3747">
          <cell r="B3747" t="str">
            <v/>
          </cell>
        </row>
        <row r="3748">
          <cell r="B3748" t="str">
            <v/>
          </cell>
        </row>
        <row r="3749">
          <cell r="B3749" t="str">
            <v/>
          </cell>
        </row>
        <row r="3750">
          <cell r="B3750" t="str">
            <v/>
          </cell>
        </row>
        <row r="3751">
          <cell r="B3751" t="str">
            <v/>
          </cell>
        </row>
        <row r="3752">
          <cell r="B3752" t="str">
            <v/>
          </cell>
        </row>
        <row r="3753">
          <cell r="B3753" t="str">
            <v/>
          </cell>
        </row>
        <row r="3754">
          <cell r="B3754" t="str">
            <v/>
          </cell>
        </row>
        <row r="3755">
          <cell r="B3755" t="str">
            <v/>
          </cell>
        </row>
        <row r="3756">
          <cell r="B3756" t="str">
            <v/>
          </cell>
        </row>
        <row r="3757">
          <cell r="B3757" t="str">
            <v/>
          </cell>
        </row>
        <row r="3758">
          <cell r="B3758" t="str">
            <v/>
          </cell>
        </row>
        <row r="3759">
          <cell r="B3759" t="str">
            <v/>
          </cell>
        </row>
        <row r="3760">
          <cell r="B3760" t="str">
            <v/>
          </cell>
        </row>
        <row r="3761">
          <cell r="B3761" t="str">
            <v/>
          </cell>
        </row>
        <row r="3762">
          <cell r="B3762" t="str">
            <v/>
          </cell>
        </row>
        <row r="3763">
          <cell r="B3763" t="str">
            <v/>
          </cell>
        </row>
        <row r="3764">
          <cell r="B3764" t="str">
            <v/>
          </cell>
        </row>
        <row r="3765">
          <cell r="B3765" t="str">
            <v/>
          </cell>
        </row>
        <row r="3766">
          <cell r="B3766" t="str">
            <v/>
          </cell>
        </row>
        <row r="3767">
          <cell r="B3767" t="str">
            <v/>
          </cell>
        </row>
        <row r="3768">
          <cell r="B3768" t="str">
            <v/>
          </cell>
        </row>
        <row r="3769">
          <cell r="B3769" t="str">
            <v/>
          </cell>
        </row>
        <row r="3770">
          <cell r="B3770" t="str">
            <v/>
          </cell>
        </row>
        <row r="3771">
          <cell r="B3771" t="str">
            <v/>
          </cell>
        </row>
        <row r="3772">
          <cell r="B3772" t="str">
            <v/>
          </cell>
        </row>
        <row r="3773">
          <cell r="B3773" t="str">
            <v/>
          </cell>
        </row>
        <row r="3774">
          <cell r="B3774" t="str">
            <v/>
          </cell>
        </row>
        <row r="3775">
          <cell r="B3775" t="str">
            <v/>
          </cell>
        </row>
        <row r="3776">
          <cell r="B3776" t="str">
            <v/>
          </cell>
        </row>
        <row r="3777">
          <cell r="B3777" t="str">
            <v/>
          </cell>
        </row>
        <row r="3778">
          <cell r="B3778" t="str">
            <v/>
          </cell>
        </row>
        <row r="3779">
          <cell r="B3779" t="str">
            <v/>
          </cell>
        </row>
        <row r="3780">
          <cell r="B3780" t="str">
            <v/>
          </cell>
        </row>
        <row r="3781">
          <cell r="B3781" t="str">
            <v/>
          </cell>
        </row>
        <row r="3782">
          <cell r="B3782" t="str">
            <v/>
          </cell>
        </row>
        <row r="3783">
          <cell r="B3783" t="str">
            <v/>
          </cell>
        </row>
        <row r="3784">
          <cell r="B3784" t="str">
            <v/>
          </cell>
        </row>
        <row r="3785">
          <cell r="B3785" t="str">
            <v/>
          </cell>
        </row>
        <row r="3786">
          <cell r="B3786" t="str">
            <v/>
          </cell>
        </row>
        <row r="3787">
          <cell r="B3787" t="str">
            <v/>
          </cell>
        </row>
        <row r="3788">
          <cell r="B3788" t="str">
            <v/>
          </cell>
        </row>
        <row r="3789">
          <cell r="B3789" t="str">
            <v/>
          </cell>
        </row>
        <row r="3790">
          <cell r="B3790" t="str">
            <v/>
          </cell>
        </row>
        <row r="3791">
          <cell r="B3791" t="str">
            <v/>
          </cell>
        </row>
        <row r="3792">
          <cell r="B3792" t="str">
            <v/>
          </cell>
        </row>
        <row r="3793">
          <cell r="B3793" t="str">
            <v/>
          </cell>
        </row>
        <row r="3794">
          <cell r="B3794" t="str">
            <v/>
          </cell>
        </row>
        <row r="3795">
          <cell r="B3795" t="str">
            <v/>
          </cell>
        </row>
        <row r="3796">
          <cell r="B3796" t="str">
            <v/>
          </cell>
        </row>
        <row r="3797">
          <cell r="B3797" t="str">
            <v/>
          </cell>
        </row>
        <row r="3798">
          <cell r="B3798" t="str">
            <v/>
          </cell>
        </row>
        <row r="3799">
          <cell r="B3799" t="str">
            <v/>
          </cell>
        </row>
        <row r="3800">
          <cell r="B3800" t="str">
            <v/>
          </cell>
        </row>
        <row r="3801">
          <cell r="B3801" t="str">
            <v/>
          </cell>
        </row>
        <row r="3802">
          <cell r="B3802" t="str">
            <v/>
          </cell>
        </row>
        <row r="3803">
          <cell r="B3803" t="str">
            <v/>
          </cell>
        </row>
        <row r="3804">
          <cell r="B3804" t="str">
            <v/>
          </cell>
        </row>
        <row r="3805">
          <cell r="B3805" t="str">
            <v/>
          </cell>
        </row>
        <row r="3806">
          <cell r="B3806" t="str">
            <v/>
          </cell>
        </row>
        <row r="3807">
          <cell r="B3807" t="str">
            <v/>
          </cell>
        </row>
        <row r="3808">
          <cell r="B3808" t="str">
            <v/>
          </cell>
        </row>
        <row r="3809">
          <cell r="B3809" t="str">
            <v/>
          </cell>
        </row>
        <row r="3810">
          <cell r="B3810" t="str">
            <v/>
          </cell>
        </row>
        <row r="3811">
          <cell r="B3811" t="str">
            <v/>
          </cell>
        </row>
        <row r="3812">
          <cell r="B3812" t="str">
            <v/>
          </cell>
        </row>
        <row r="3813">
          <cell r="B3813" t="str">
            <v/>
          </cell>
        </row>
        <row r="3814">
          <cell r="B3814" t="str">
            <v/>
          </cell>
        </row>
        <row r="3815">
          <cell r="B3815" t="str">
            <v/>
          </cell>
        </row>
        <row r="3816">
          <cell r="B3816" t="str">
            <v/>
          </cell>
        </row>
        <row r="3817">
          <cell r="B3817" t="str">
            <v/>
          </cell>
        </row>
        <row r="3818">
          <cell r="B3818" t="str">
            <v/>
          </cell>
        </row>
        <row r="3819">
          <cell r="B3819" t="str">
            <v/>
          </cell>
        </row>
        <row r="3820">
          <cell r="B3820" t="str">
            <v/>
          </cell>
        </row>
        <row r="3821">
          <cell r="B3821" t="str">
            <v/>
          </cell>
        </row>
        <row r="3822">
          <cell r="B3822" t="str">
            <v/>
          </cell>
        </row>
        <row r="3823">
          <cell r="B3823" t="str">
            <v/>
          </cell>
        </row>
        <row r="3824">
          <cell r="B3824" t="str">
            <v/>
          </cell>
        </row>
        <row r="3825">
          <cell r="B3825" t="str">
            <v/>
          </cell>
        </row>
        <row r="3826">
          <cell r="B3826" t="str">
            <v/>
          </cell>
        </row>
        <row r="3827">
          <cell r="B3827" t="str">
            <v/>
          </cell>
        </row>
        <row r="3828">
          <cell r="B3828" t="str">
            <v/>
          </cell>
        </row>
        <row r="3829">
          <cell r="B3829" t="str">
            <v/>
          </cell>
        </row>
        <row r="3830">
          <cell r="B3830" t="str">
            <v/>
          </cell>
        </row>
        <row r="3831">
          <cell r="B3831" t="str">
            <v/>
          </cell>
        </row>
        <row r="3832">
          <cell r="B3832" t="str">
            <v/>
          </cell>
        </row>
        <row r="3833">
          <cell r="B3833" t="str">
            <v/>
          </cell>
        </row>
        <row r="3834">
          <cell r="B3834" t="str">
            <v/>
          </cell>
        </row>
        <row r="3835">
          <cell r="B3835" t="str">
            <v/>
          </cell>
        </row>
        <row r="3836">
          <cell r="B3836" t="str">
            <v/>
          </cell>
        </row>
        <row r="3837">
          <cell r="B3837" t="str">
            <v/>
          </cell>
        </row>
        <row r="3838">
          <cell r="B3838" t="str">
            <v/>
          </cell>
        </row>
        <row r="3839">
          <cell r="B3839" t="str">
            <v/>
          </cell>
        </row>
        <row r="3840">
          <cell r="B3840" t="str">
            <v/>
          </cell>
        </row>
        <row r="3841">
          <cell r="B3841" t="str">
            <v/>
          </cell>
        </row>
        <row r="3842">
          <cell r="B3842" t="str">
            <v/>
          </cell>
        </row>
        <row r="3843">
          <cell r="B3843" t="str">
            <v/>
          </cell>
        </row>
        <row r="3844">
          <cell r="B3844" t="str">
            <v/>
          </cell>
        </row>
        <row r="3845">
          <cell r="B3845" t="str">
            <v/>
          </cell>
        </row>
        <row r="3846">
          <cell r="B3846" t="str">
            <v/>
          </cell>
        </row>
        <row r="3847">
          <cell r="B3847" t="str">
            <v/>
          </cell>
        </row>
        <row r="3848">
          <cell r="B3848" t="str">
            <v/>
          </cell>
        </row>
        <row r="3849">
          <cell r="B3849" t="str">
            <v/>
          </cell>
        </row>
        <row r="3850">
          <cell r="B3850" t="str">
            <v/>
          </cell>
        </row>
        <row r="3851">
          <cell r="B3851" t="str">
            <v/>
          </cell>
        </row>
        <row r="3852">
          <cell r="B3852" t="str">
            <v/>
          </cell>
        </row>
        <row r="3853">
          <cell r="B3853" t="str">
            <v/>
          </cell>
        </row>
        <row r="3854">
          <cell r="B3854" t="str">
            <v/>
          </cell>
        </row>
        <row r="3855">
          <cell r="B3855" t="str">
            <v/>
          </cell>
        </row>
        <row r="3856">
          <cell r="B3856" t="str">
            <v/>
          </cell>
        </row>
        <row r="3857">
          <cell r="B3857" t="str">
            <v/>
          </cell>
        </row>
        <row r="3858">
          <cell r="B3858" t="str">
            <v/>
          </cell>
        </row>
        <row r="3859">
          <cell r="B3859" t="str">
            <v/>
          </cell>
        </row>
        <row r="3860">
          <cell r="B3860" t="str">
            <v/>
          </cell>
        </row>
        <row r="3861">
          <cell r="B3861" t="str">
            <v/>
          </cell>
        </row>
        <row r="3862">
          <cell r="B3862" t="str">
            <v/>
          </cell>
        </row>
        <row r="3863">
          <cell r="B3863" t="str">
            <v/>
          </cell>
        </row>
        <row r="3864">
          <cell r="B3864" t="str">
            <v/>
          </cell>
        </row>
        <row r="3865">
          <cell r="B3865" t="str">
            <v/>
          </cell>
        </row>
        <row r="3866">
          <cell r="B3866" t="str">
            <v/>
          </cell>
        </row>
        <row r="3867">
          <cell r="B3867" t="str">
            <v/>
          </cell>
        </row>
        <row r="3868">
          <cell r="B3868" t="str">
            <v/>
          </cell>
        </row>
        <row r="3869">
          <cell r="B3869" t="str">
            <v/>
          </cell>
        </row>
        <row r="3870">
          <cell r="B3870" t="str">
            <v/>
          </cell>
        </row>
        <row r="3871">
          <cell r="B3871" t="str">
            <v/>
          </cell>
        </row>
        <row r="3872">
          <cell r="B3872" t="str">
            <v/>
          </cell>
        </row>
        <row r="3873">
          <cell r="B3873" t="str">
            <v/>
          </cell>
        </row>
        <row r="3874">
          <cell r="B3874" t="str">
            <v/>
          </cell>
        </row>
        <row r="3875">
          <cell r="B3875" t="str">
            <v/>
          </cell>
        </row>
        <row r="3876">
          <cell r="B3876" t="str">
            <v/>
          </cell>
        </row>
        <row r="3877">
          <cell r="B3877" t="str">
            <v/>
          </cell>
        </row>
        <row r="3878">
          <cell r="B3878" t="str">
            <v/>
          </cell>
        </row>
        <row r="3879">
          <cell r="B3879" t="str">
            <v/>
          </cell>
        </row>
        <row r="3880">
          <cell r="B3880" t="str">
            <v/>
          </cell>
        </row>
        <row r="3881">
          <cell r="B3881" t="str">
            <v/>
          </cell>
        </row>
        <row r="3882">
          <cell r="B3882" t="str">
            <v/>
          </cell>
        </row>
        <row r="3883">
          <cell r="B3883" t="str">
            <v/>
          </cell>
        </row>
        <row r="3884">
          <cell r="B3884" t="str">
            <v/>
          </cell>
        </row>
        <row r="3885">
          <cell r="B3885" t="str">
            <v/>
          </cell>
        </row>
        <row r="3886">
          <cell r="B3886" t="str">
            <v/>
          </cell>
        </row>
        <row r="3887">
          <cell r="B3887" t="str">
            <v/>
          </cell>
        </row>
        <row r="3888">
          <cell r="B3888" t="str">
            <v/>
          </cell>
        </row>
        <row r="3889">
          <cell r="B3889" t="str">
            <v/>
          </cell>
        </row>
        <row r="3890">
          <cell r="B3890" t="str">
            <v/>
          </cell>
        </row>
        <row r="3891">
          <cell r="B3891" t="str">
            <v/>
          </cell>
        </row>
        <row r="3892">
          <cell r="B3892" t="str">
            <v/>
          </cell>
        </row>
        <row r="3893">
          <cell r="B3893" t="str">
            <v/>
          </cell>
        </row>
        <row r="3894">
          <cell r="B3894" t="str">
            <v/>
          </cell>
        </row>
        <row r="3895">
          <cell r="B3895" t="str">
            <v/>
          </cell>
        </row>
        <row r="3896">
          <cell r="B3896" t="str">
            <v/>
          </cell>
        </row>
        <row r="3897">
          <cell r="B3897" t="str">
            <v/>
          </cell>
        </row>
        <row r="3898">
          <cell r="B3898" t="str">
            <v/>
          </cell>
        </row>
        <row r="3899">
          <cell r="B3899" t="str">
            <v/>
          </cell>
        </row>
        <row r="3900">
          <cell r="B3900" t="str">
            <v/>
          </cell>
        </row>
        <row r="3901">
          <cell r="B3901" t="str">
            <v/>
          </cell>
        </row>
        <row r="3902">
          <cell r="B3902" t="str">
            <v/>
          </cell>
        </row>
        <row r="3903">
          <cell r="B3903" t="str">
            <v/>
          </cell>
        </row>
        <row r="3904">
          <cell r="B3904" t="str">
            <v/>
          </cell>
        </row>
        <row r="3905">
          <cell r="B3905" t="str">
            <v/>
          </cell>
        </row>
        <row r="3906">
          <cell r="B3906" t="str">
            <v/>
          </cell>
        </row>
        <row r="3907">
          <cell r="B3907" t="str">
            <v/>
          </cell>
        </row>
        <row r="3908">
          <cell r="B3908" t="str">
            <v/>
          </cell>
        </row>
        <row r="3909">
          <cell r="B3909" t="str">
            <v/>
          </cell>
        </row>
        <row r="3910">
          <cell r="B3910" t="str">
            <v/>
          </cell>
        </row>
        <row r="3911">
          <cell r="B3911" t="str">
            <v/>
          </cell>
        </row>
        <row r="3912">
          <cell r="B3912" t="str">
            <v/>
          </cell>
        </row>
        <row r="3913">
          <cell r="B3913" t="str">
            <v/>
          </cell>
        </row>
        <row r="3914">
          <cell r="B3914" t="str">
            <v/>
          </cell>
        </row>
        <row r="3915">
          <cell r="B3915" t="str">
            <v/>
          </cell>
        </row>
        <row r="3916">
          <cell r="B3916" t="str">
            <v/>
          </cell>
        </row>
        <row r="3917">
          <cell r="B3917" t="str">
            <v/>
          </cell>
        </row>
        <row r="3918">
          <cell r="B3918" t="str">
            <v/>
          </cell>
        </row>
        <row r="3919">
          <cell r="B3919" t="str">
            <v/>
          </cell>
        </row>
        <row r="3920">
          <cell r="B3920" t="str">
            <v/>
          </cell>
        </row>
        <row r="3921">
          <cell r="B3921" t="str">
            <v/>
          </cell>
        </row>
        <row r="3922">
          <cell r="B3922" t="str">
            <v/>
          </cell>
        </row>
        <row r="3923">
          <cell r="B3923" t="str">
            <v/>
          </cell>
        </row>
        <row r="3924">
          <cell r="B3924" t="str">
            <v/>
          </cell>
        </row>
        <row r="3925">
          <cell r="B3925" t="str">
            <v/>
          </cell>
        </row>
        <row r="3926">
          <cell r="B3926" t="str">
            <v/>
          </cell>
        </row>
        <row r="3927">
          <cell r="B3927" t="str">
            <v/>
          </cell>
        </row>
        <row r="3928">
          <cell r="B3928" t="str">
            <v/>
          </cell>
        </row>
        <row r="3929">
          <cell r="B3929" t="str">
            <v/>
          </cell>
        </row>
        <row r="3930">
          <cell r="B3930" t="str">
            <v/>
          </cell>
        </row>
        <row r="3931">
          <cell r="B3931" t="str">
            <v/>
          </cell>
        </row>
        <row r="3932">
          <cell r="B3932" t="str">
            <v/>
          </cell>
        </row>
        <row r="3933">
          <cell r="B3933" t="str">
            <v/>
          </cell>
        </row>
        <row r="3934">
          <cell r="B3934" t="str">
            <v/>
          </cell>
        </row>
        <row r="3935">
          <cell r="B3935" t="str">
            <v/>
          </cell>
        </row>
        <row r="3936">
          <cell r="B3936" t="str">
            <v/>
          </cell>
        </row>
        <row r="3937">
          <cell r="B3937" t="str">
            <v/>
          </cell>
        </row>
        <row r="3938">
          <cell r="B3938" t="str">
            <v/>
          </cell>
        </row>
        <row r="3939">
          <cell r="B3939" t="str">
            <v/>
          </cell>
        </row>
        <row r="3940">
          <cell r="B3940" t="str">
            <v/>
          </cell>
        </row>
        <row r="3941">
          <cell r="B3941" t="str">
            <v/>
          </cell>
        </row>
        <row r="3942">
          <cell r="B3942" t="str">
            <v/>
          </cell>
        </row>
        <row r="3943">
          <cell r="B3943" t="str">
            <v/>
          </cell>
        </row>
        <row r="3944">
          <cell r="B3944" t="str">
            <v/>
          </cell>
        </row>
        <row r="3945">
          <cell r="B3945" t="str">
            <v/>
          </cell>
        </row>
        <row r="3946">
          <cell r="B3946" t="str">
            <v/>
          </cell>
        </row>
        <row r="3947">
          <cell r="B3947" t="str">
            <v/>
          </cell>
        </row>
        <row r="3948">
          <cell r="B3948" t="str">
            <v/>
          </cell>
        </row>
        <row r="3949">
          <cell r="B3949" t="str">
            <v/>
          </cell>
        </row>
        <row r="3950">
          <cell r="B3950" t="str">
            <v/>
          </cell>
        </row>
        <row r="3951">
          <cell r="B3951" t="str">
            <v/>
          </cell>
        </row>
        <row r="3952">
          <cell r="B3952" t="str">
            <v/>
          </cell>
        </row>
        <row r="3953">
          <cell r="B3953" t="str">
            <v/>
          </cell>
        </row>
        <row r="3954">
          <cell r="B3954" t="str">
            <v/>
          </cell>
        </row>
        <row r="3955">
          <cell r="B3955" t="str">
            <v/>
          </cell>
        </row>
        <row r="3956">
          <cell r="B3956" t="str">
            <v/>
          </cell>
        </row>
        <row r="3957">
          <cell r="B3957" t="str">
            <v/>
          </cell>
        </row>
        <row r="3958">
          <cell r="B3958" t="str">
            <v/>
          </cell>
        </row>
        <row r="3959">
          <cell r="B3959" t="str">
            <v/>
          </cell>
        </row>
        <row r="3960">
          <cell r="B3960" t="str">
            <v/>
          </cell>
        </row>
        <row r="3961">
          <cell r="B3961" t="str">
            <v/>
          </cell>
        </row>
        <row r="3962">
          <cell r="B3962" t="str">
            <v/>
          </cell>
        </row>
        <row r="3963">
          <cell r="B3963" t="str">
            <v/>
          </cell>
        </row>
        <row r="3964">
          <cell r="B3964" t="str">
            <v/>
          </cell>
        </row>
        <row r="3965">
          <cell r="B3965" t="str">
            <v/>
          </cell>
        </row>
        <row r="3966">
          <cell r="B3966" t="str">
            <v/>
          </cell>
        </row>
        <row r="3967">
          <cell r="B3967" t="str">
            <v/>
          </cell>
        </row>
        <row r="3968">
          <cell r="B3968" t="str">
            <v/>
          </cell>
        </row>
        <row r="3969">
          <cell r="B3969" t="str">
            <v/>
          </cell>
        </row>
        <row r="3970">
          <cell r="B3970" t="str">
            <v/>
          </cell>
        </row>
        <row r="3971">
          <cell r="B3971" t="str">
            <v/>
          </cell>
        </row>
        <row r="3972">
          <cell r="B3972" t="str">
            <v/>
          </cell>
        </row>
        <row r="3973">
          <cell r="B3973" t="str">
            <v/>
          </cell>
        </row>
        <row r="3974">
          <cell r="B3974" t="str">
            <v/>
          </cell>
        </row>
        <row r="3975">
          <cell r="B3975" t="str">
            <v/>
          </cell>
        </row>
        <row r="3976">
          <cell r="B3976" t="str">
            <v/>
          </cell>
        </row>
        <row r="3977">
          <cell r="B3977" t="str">
            <v/>
          </cell>
        </row>
        <row r="3978">
          <cell r="B3978" t="str">
            <v/>
          </cell>
        </row>
        <row r="3979">
          <cell r="B3979" t="str">
            <v/>
          </cell>
        </row>
        <row r="3980">
          <cell r="B3980" t="str">
            <v/>
          </cell>
        </row>
        <row r="3981">
          <cell r="B3981" t="str">
            <v/>
          </cell>
        </row>
        <row r="3982">
          <cell r="B3982" t="str">
            <v/>
          </cell>
        </row>
        <row r="3983">
          <cell r="B3983" t="str">
            <v/>
          </cell>
        </row>
        <row r="3984">
          <cell r="B3984" t="str">
            <v/>
          </cell>
        </row>
        <row r="3985">
          <cell r="B3985" t="str">
            <v/>
          </cell>
        </row>
        <row r="3986">
          <cell r="B3986" t="str">
            <v/>
          </cell>
        </row>
        <row r="3987">
          <cell r="B3987" t="str">
            <v/>
          </cell>
        </row>
        <row r="3988">
          <cell r="B3988" t="str">
            <v/>
          </cell>
        </row>
        <row r="3989">
          <cell r="B3989" t="str">
            <v/>
          </cell>
        </row>
        <row r="3990">
          <cell r="B3990" t="str">
            <v/>
          </cell>
        </row>
        <row r="3991">
          <cell r="B3991" t="str">
            <v/>
          </cell>
        </row>
        <row r="3992">
          <cell r="B3992" t="str">
            <v/>
          </cell>
        </row>
        <row r="3993">
          <cell r="B3993" t="str">
            <v/>
          </cell>
        </row>
        <row r="3994">
          <cell r="B3994" t="str">
            <v/>
          </cell>
        </row>
        <row r="3995">
          <cell r="B3995" t="str">
            <v/>
          </cell>
        </row>
        <row r="3996">
          <cell r="B3996" t="str">
            <v/>
          </cell>
        </row>
        <row r="3997">
          <cell r="B3997" t="str">
            <v/>
          </cell>
        </row>
        <row r="3998">
          <cell r="B3998" t="str">
            <v/>
          </cell>
        </row>
        <row r="3999">
          <cell r="B3999" t="str">
            <v/>
          </cell>
        </row>
        <row r="4000">
          <cell r="B4000" t="str">
            <v/>
          </cell>
        </row>
        <row r="4001">
          <cell r="B4001" t="str">
            <v/>
          </cell>
        </row>
        <row r="4002">
          <cell r="B4002" t="str">
            <v/>
          </cell>
        </row>
        <row r="4003">
          <cell r="B4003" t="str">
            <v/>
          </cell>
        </row>
        <row r="4004">
          <cell r="B4004" t="str">
            <v/>
          </cell>
        </row>
        <row r="4005">
          <cell r="B4005" t="str">
            <v/>
          </cell>
        </row>
        <row r="4006">
          <cell r="B4006" t="str">
            <v/>
          </cell>
        </row>
        <row r="4007">
          <cell r="B4007" t="str">
            <v/>
          </cell>
        </row>
        <row r="4008">
          <cell r="B4008" t="str">
            <v/>
          </cell>
        </row>
        <row r="4009">
          <cell r="B4009" t="str">
            <v/>
          </cell>
        </row>
        <row r="4010">
          <cell r="B4010" t="str">
            <v/>
          </cell>
        </row>
        <row r="4011">
          <cell r="B4011" t="str">
            <v/>
          </cell>
        </row>
        <row r="4012">
          <cell r="B4012" t="str">
            <v/>
          </cell>
        </row>
        <row r="4013">
          <cell r="B4013" t="str">
            <v/>
          </cell>
        </row>
        <row r="4014">
          <cell r="B4014" t="str">
            <v/>
          </cell>
        </row>
        <row r="4015">
          <cell r="B4015" t="str">
            <v/>
          </cell>
        </row>
        <row r="4016">
          <cell r="B4016" t="str">
            <v/>
          </cell>
        </row>
        <row r="4017">
          <cell r="B4017" t="str">
            <v/>
          </cell>
        </row>
        <row r="4018">
          <cell r="B4018" t="str">
            <v/>
          </cell>
        </row>
        <row r="4019">
          <cell r="B4019" t="str">
            <v/>
          </cell>
        </row>
        <row r="4020">
          <cell r="B4020" t="str">
            <v/>
          </cell>
        </row>
        <row r="4021">
          <cell r="B4021" t="str">
            <v/>
          </cell>
        </row>
        <row r="4022">
          <cell r="B4022" t="str">
            <v/>
          </cell>
        </row>
        <row r="4023">
          <cell r="B4023" t="str">
            <v/>
          </cell>
        </row>
        <row r="4024">
          <cell r="B4024" t="str">
            <v/>
          </cell>
        </row>
        <row r="4025">
          <cell r="B4025" t="str">
            <v/>
          </cell>
        </row>
        <row r="4026">
          <cell r="B4026" t="str">
            <v/>
          </cell>
        </row>
        <row r="4027">
          <cell r="B4027" t="str">
            <v/>
          </cell>
        </row>
        <row r="4028">
          <cell r="B4028" t="str">
            <v/>
          </cell>
        </row>
        <row r="4029">
          <cell r="B4029" t="str">
            <v/>
          </cell>
        </row>
        <row r="4030">
          <cell r="B4030" t="str">
            <v/>
          </cell>
        </row>
        <row r="4031">
          <cell r="B4031" t="str">
            <v/>
          </cell>
        </row>
        <row r="4032">
          <cell r="B4032" t="str">
            <v/>
          </cell>
        </row>
        <row r="4033">
          <cell r="B4033" t="str">
            <v/>
          </cell>
        </row>
        <row r="4034">
          <cell r="B4034" t="str">
            <v/>
          </cell>
        </row>
        <row r="4035">
          <cell r="B4035" t="str">
            <v/>
          </cell>
        </row>
        <row r="4036">
          <cell r="B4036" t="str">
            <v/>
          </cell>
        </row>
        <row r="4037">
          <cell r="B4037" t="str">
            <v/>
          </cell>
        </row>
        <row r="4038">
          <cell r="B4038" t="str">
            <v/>
          </cell>
        </row>
        <row r="4039">
          <cell r="B4039" t="str">
            <v/>
          </cell>
        </row>
        <row r="4040">
          <cell r="B4040" t="str">
            <v/>
          </cell>
        </row>
        <row r="4041">
          <cell r="B4041" t="str">
            <v/>
          </cell>
        </row>
        <row r="4042">
          <cell r="B4042" t="str">
            <v/>
          </cell>
        </row>
        <row r="4043">
          <cell r="B4043" t="str">
            <v/>
          </cell>
        </row>
        <row r="4044">
          <cell r="B4044" t="str">
            <v/>
          </cell>
        </row>
        <row r="4045">
          <cell r="B4045" t="str">
            <v/>
          </cell>
        </row>
        <row r="4046">
          <cell r="B4046" t="str">
            <v/>
          </cell>
        </row>
        <row r="4047">
          <cell r="B4047" t="str">
            <v/>
          </cell>
        </row>
        <row r="4048">
          <cell r="B4048" t="str">
            <v/>
          </cell>
        </row>
        <row r="4049">
          <cell r="B4049" t="str">
            <v/>
          </cell>
        </row>
        <row r="4050">
          <cell r="B4050" t="str">
            <v/>
          </cell>
        </row>
        <row r="4051">
          <cell r="B4051" t="str">
            <v/>
          </cell>
        </row>
        <row r="4052">
          <cell r="B4052" t="str">
            <v/>
          </cell>
        </row>
        <row r="4053">
          <cell r="B4053" t="str">
            <v/>
          </cell>
        </row>
        <row r="4054">
          <cell r="B4054" t="str">
            <v/>
          </cell>
        </row>
        <row r="4055">
          <cell r="B4055" t="str">
            <v/>
          </cell>
        </row>
        <row r="4056">
          <cell r="B4056" t="str">
            <v/>
          </cell>
        </row>
        <row r="4057">
          <cell r="B4057" t="str">
            <v/>
          </cell>
        </row>
        <row r="4058">
          <cell r="B4058" t="str">
            <v/>
          </cell>
        </row>
        <row r="4059">
          <cell r="B4059" t="str">
            <v/>
          </cell>
        </row>
        <row r="4060">
          <cell r="B4060" t="str">
            <v/>
          </cell>
        </row>
        <row r="4061">
          <cell r="B4061" t="str">
            <v/>
          </cell>
        </row>
        <row r="4062">
          <cell r="B4062" t="str">
            <v/>
          </cell>
        </row>
        <row r="4063">
          <cell r="B4063" t="str">
            <v/>
          </cell>
        </row>
        <row r="4064">
          <cell r="B4064" t="str">
            <v/>
          </cell>
        </row>
        <row r="4065">
          <cell r="B4065" t="str">
            <v/>
          </cell>
        </row>
        <row r="4066">
          <cell r="B4066" t="str">
            <v/>
          </cell>
        </row>
        <row r="4067">
          <cell r="B4067" t="str">
            <v/>
          </cell>
        </row>
        <row r="4068">
          <cell r="B4068" t="str">
            <v/>
          </cell>
        </row>
        <row r="4069">
          <cell r="B4069" t="str">
            <v/>
          </cell>
        </row>
        <row r="4070">
          <cell r="B4070" t="str">
            <v/>
          </cell>
        </row>
        <row r="4071">
          <cell r="B4071" t="str">
            <v/>
          </cell>
        </row>
        <row r="4072">
          <cell r="B4072" t="str">
            <v/>
          </cell>
        </row>
        <row r="4073">
          <cell r="B4073" t="str">
            <v/>
          </cell>
        </row>
        <row r="4074">
          <cell r="B4074" t="str">
            <v/>
          </cell>
        </row>
        <row r="4075">
          <cell r="B4075" t="str">
            <v/>
          </cell>
        </row>
        <row r="4076">
          <cell r="B4076" t="str">
            <v/>
          </cell>
        </row>
        <row r="4077">
          <cell r="B4077" t="str">
            <v/>
          </cell>
        </row>
        <row r="4078">
          <cell r="B4078" t="str">
            <v/>
          </cell>
        </row>
        <row r="4079">
          <cell r="B4079" t="str">
            <v/>
          </cell>
        </row>
        <row r="4080">
          <cell r="B4080" t="str">
            <v/>
          </cell>
        </row>
        <row r="4081">
          <cell r="B4081" t="str">
            <v/>
          </cell>
        </row>
        <row r="4082">
          <cell r="B4082" t="str">
            <v/>
          </cell>
        </row>
        <row r="4083">
          <cell r="B4083" t="str">
            <v/>
          </cell>
        </row>
        <row r="4084">
          <cell r="B4084" t="str">
            <v/>
          </cell>
        </row>
        <row r="4085">
          <cell r="B4085" t="str">
            <v/>
          </cell>
        </row>
        <row r="4086">
          <cell r="B4086" t="str">
            <v/>
          </cell>
        </row>
        <row r="4087">
          <cell r="B4087" t="str">
            <v/>
          </cell>
        </row>
        <row r="4088">
          <cell r="B4088" t="str">
            <v/>
          </cell>
        </row>
        <row r="4089">
          <cell r="B4089" t="str">
            <v/>
          </cell>
        </row>
        <row r="4090">
          <cell r="B4090" t="str">
            <v/>
          </cell>
        </row>
        <row r="4091">
          <cell r="B4091" t="str">
            <v/>
          </cell>
        </row>
        <row r="4092">
          <cell r="B4092" t="str">
            <v/>
          </cell>
        </row>
        <row r="4093">
          <cell r="B4093" t="str">
            <v/>
          </cell>
        </row>
        <row r="4094">
          <cell r="B4094" t="str">
            <v/>
          </cell>
        </row>
        <row r="4095">
          <cell r="B4095" t="str">
            <v/>
          </cell>
        </row>
        <row r="4096">
          <cell r="B4096" t="str">
            <v/>
          </cell>
        </row>
        <row r="4097">
          <cell r="B4097" t="str">
            <v/>
          </cell>
        </row>
        <row r="4098">
          <cell r="B4098" t="str">
            <v/>
          </cell>
        </row>
        <row r="4099">
          <cell r="B4099" t="str">
            <v/>
          </cell>
        </row>
        <row r="4100">
          <cell r="B4100" t="str">
            <v/>
          </cell>
        </row>
        <row r="4101">
          <cell r="B4101" t="str">
            <v/>
          </cell>
        </row>
        <row r="4102">
          <cell r="B4102" t="str">
            <v/>
          </cell>
        </row>
        <row r="4103">
          <cell r="B4103" t="str">
            <v/>
          </cell>
        </row>
        <row r="4104">
          <cell r="B4104" t="str">
            <v/>
          </cell>
        </row>
        <row r="4105">
          <cell r="B4105" t="str">
            <v/>
          </cell>
        </row>
        <row r="4106">
          <cell r="B4106" t="str">
            <v/>
          </cell>
        </row>
        <row r="4107">
          <cell r="B4107" t="str">
            <v/>
          </cell>
        </row>
        <row r="4108">
          <cell r="B4108" t="str">
            <v/>
          </cell>
        </row>
        <row r="4109">
          <cell r="B4109" t="str">
            <v/>
          </cell>
        </row>
        <row r="4110">
          <cell r="B4110" t="str">
            <v/>
          </cell>
        </row>
        <row r="4111">
          <cell r="B4111" t="str">
            <v/>
          </cell>
        </row>
        <row r="4112">
          <cell r="B4112" t="str">
            <v/>
          </cell>
        </row>
        <row r="4113">
          <cell r="B4113" t="str">
            <v/>
          </cell>
        </row>
        <row r="4114">
          <cell r="B4114" t="str">
            <v/>
          </cell>
        </row>
        <row r="4115">
          <cell r="B4115" t="str">
            <v/>
          </cell>
        </row>
        <row r="4116">
          <cell r="B4116" t="str">
            <v/>
          </cell>
        </row>
        <row r="4117">
          <cell r="B4117" t="str">
            <v/>
          </cell>
        </row>
        <row r="4118">
          <cell r="B4118" t="str">
            <v/>
          </cell>
        </row>
        <row r="4119">
          <cell r="B4119" t="str">
            <v/>
          </cell>
        </row>
        <row r="4120">
          <cell r="B4120" t="str">
            <v/>
          </cell>
        </row>
        <row r="4121">
          <cell r="B4121" t="str">
            <v/>
          </cell>
        </row>
        <row r="4122">
          <cell r="B4122" t="str">
            <v/>
          </cell>
        </row>
        <row r="4123">
          <cell r="B4123" t="str">
            <v/>
          </cell>
        </row>
        <row r="4124">
          <cell r="B4124" t="str">
            <v/>
          </cell>
        </row>
        <row r="4125">
          <cell r="B4125" t="str">
            <v/>
          </cell>
        </row>
        <row r="4126">
          <cell r="B4126" t="str">
            <v/>
          </cell>
        </row>
        <row r="4127">
          <cell r="B4127" t="str">
            <v/>
          </cell>
        </row>
        <row r="4128">
          <cell r="B4128" t="str">
            <v/>
          </cell>
        </row>
        <row r="4129">
          <cell r="B4129" t="str">
            <v/>
          </cell>
        </row>
        <row r="4130">
          <cell r="B4130" t="str">
            <v/>
          </cell>
        </row>
        <row r="4131">
          <cell r="B4131" t="str">
            <v/>
          </cell>
        </row>
        <row r="4132">
          <cell r="B4132" t="str">
            <v/>
          </cell>
        </row>
        <row r="4133">
          <cell r="B4133" t="str">
            <v/>
          </cell>
        </row>
        <row r="4134">
          <cell r="B4134" t="str">
            <v/>
          </cell>
        </row>
        <row r="4135">
          <cell r="B4135" t="str">
            <v/>
          </cell>
        </row>
        <row r="4136">
          <cell r="B4136" t="str">
            <v/>
          </cell>
        </row>
        <row r="4137">
          <cell r="B4137" t="str">
            <v/>
          </cell>
        </row>
        <row r="4138">
          <cell r="B4138" t="str">
            <v/>
          </cell>
        </row>
        <row r="4139">
          <cell r="B4139" t="str">
            <v/>
          </cell>
        </row>
        <row r="4140">
          <cell r="B4140" t="str">
            <v/>
          </cell>
        </row>
        <row r="4141">
          <cell r="B4141" t="str">
            <v/>
          </cell>
        </row>
        <row r="4142">
          <cell r="B4142" t="str">
            <v/>
          </cell>
        </row>
        <row r="4143">
          <cell r="B4143" t="str">
            <v/>
          </cell>
        </row>
        <row r="4144">
          <cell r="B4144" t="str">
            <v/>
          </cell>
        </row>
        <row r="4145">
          <cell r="B4145" t="str">
            <v/>
          </cell>
        </row>
        <row r="4146">
          <cell r="B4146" t="str">
            <v/>
          </cell>
        </row>
        <row r="4147">
          <cell r="B4147" t="str">
            <v/>
          </cell>
        </row>
        <row r="4148">
          <cell r="B4148" t="str">
            <v/>
          </cell>
        </row>
        <row r="4149">
          <cell r="B4149" t="str">
            <v/>
          </cell>
        </row>
        <row r="4150">
          <cell r="B4150" t="str">
            <v/>
          </cell>
        </row>
        <row r="4151">
          <cell r="B4151" t="str">
            <v/>
          </cell>
        </row>
        <row r="4152">
          <cell r="B4152" t="str">
            <v/>
          </cell>
        </row>
        <row r="4153">
          <cell r="B4153" t="str">
            <v/>
          </cell>
        </row>
        <row r="4154">
          <cell r="B4154" t="str">
            <v/>
          </cell>
        </row>
        <row r="4155">
          <cell r="B4155" t="str">
            <v/>
          </cell>
        </row>
        <row r="4156">
          <cell r="B4156" t="str">
            <v/>
          </cell>
        </row>
        <row r="4157">
          <cell r="B4157" t="str">
            <v/>
          </cell>
        </row>
        <row r="4158">
          <cell r="B4158" t="str">
            <v/>
          </cell>
        </row>
        <row r="4159">
          <cell r="B4159" t="str">
            <v/>
          </cell>
        </row>
        <row r="4160">
          <cell r="B4160" t="str">
            <v/>
          </cell>
        </row>
        <row r="4161">
          <cell r="B4161" t="str">
            <v/>
          </cell>
        </row>
        <row r="4162">
          <cell r="B4162" t="str">
            <v/>
          </cell>
        </row>
        <row r="4163">
          <cell r="B4163" t="str">
            <v/>
          </cell>
        </row>
        <row r="4164">
          <cell r="B4164" t="str">
            <v/>
          </cell>
        </row>
        <row r="4165">
          <cell r="B4165" t="str">
            <v/>
          </cell>
        </row>
        <row r="4166">
          <cell r="B4166" t="str">
            <v/>
          </cell>
        </row>
        <row r="4167">
          <cell r="B4167" t="str">
            <v/>
          </cell>
        </row>
        <row r="4168">
          <cell r="B4168" t="str">
            <v/>
          </cell>
        </row>
        <row r="4169">
          <cell r="B4169" t="str">
            <v/>
          </cell>
        </row>
        <row r="4170">
          <cell r="B4170" t="str">
            <v/>
          </cell>
        </row>
        <row r="4171">
          <cell r="B4171" t="str">
            <v/>
          </cell>
        </row>
        <row r="4172">
          <cell r="B4172" t="str">
            <v/>
          </cell>
        </row>
        <row r="4173">
          <cell r="B4173" t="str">
            <v/>
          </cell>
        </row>
        <row r="4174">
          <cell r="B4174" t="str">
            <v/>
          </cell>
        </row>
        <row r="4175">
          <cell r="B4175" t="str">
            <v/>
          </cell>
        </row>
        <row r="4176">
          <cell r="B4176" t="str">
            <v/>
          </cell>
        </row>
        <row r="4177">
          <cell r="B4177" t="str">
            <v/>
          </cell>
        </row>
        <row r="4178">
          <cell r="B4178" t="str">
            <v/>
          </cell>
        </row>
        <row r="4179">
          <cell r="B4179" t="str">
            <v/>
          </cell>
        </row>
        <row r="4180">
          <cell r="B4180" t="str">
            <v/>
          </cell>
        </row>
        <row r="4181">
          <cell r="B4181" t="str">
            <v/>
          </cell>
        </row>
        <row r="4182">
          <cell r="B4182" t="str">
            <v/>
          </cell>
        </row>
        <row r="4183">
          <cell r="B4183" t="str">
            <v/>
          </cell>
        </row>
        <row r="4184">
          <cell r="B4184" t="str">
            <v/>
          </cell>
        </row>
        <row r="4185">
          <cell r="B4185" t="str">
            <v/>
          </cell>
        </row>
        <row r="4186">
          <cell r="B4186" t="str">
            <v/>
          </cell>
        </row>
        <row r="4187">
          <cell r="B4187" t="str">
            <v/>
          </cell>
        </row>
        <row r="4188">
          <cell r="B4188" t="str">
            <v/>
          </cell>
        </row>
        <row r="4189">
          <cell r="B4189" t="str">
            <v/>
          </cell>
        </row>
        <row r="4190">
          <cell r="B4190" t="str">
            <v/>
          </cell>
        </row>
        <row r="4191">
          <cell r="B4191" t="str">
            <v/>
          </cell>
        </row>
        <row r="4192">
          <cell r="B4192" t="str">
            <v/>
          </cell>
        </row>
        <row r="4193">
          <cell r="B4193" t="str">
            <v/>
          </cell>
        </row>
        <row r="4194">
          <cell r="B4194" t="str">
            <v/>
          </cell>
        </row>
        <row r="4195">
          <cell r="B4195" t="str">
            <v/>
          </cell>
        </row>
        <row r="4196">
          <cell r="B4196" t="str">
            <v/>
          </cell>
        </row>
        <row r="4197">
          <cell r="B4197" t="str">
            <v/>
          </cell>
        </row>
        <row r="4198">
          <cell r="B4198" t="str">
            <v/>
          </cell>
        </row>
        <row r="4199">
          <cell r="B4199" t="str">
            <v/>
          </cell>
        </row>
        <row r="4200">
          <cell r="B4200" t="str">
            <v/>
          </cell>
        </row>
        <row r="4201">
          <cell r="B4201" t="str">
            <v/>
          </cell>
        </row>
        <row r="4202">
          <cell r="B4202" t="str">
            <v/>
          </cell>
        </row>
        <row r="4203">
          <cell r="B4203" t="str">
            <v/>
          </cell>
        </row>
        <row r="4204">
          <cell r="B4204" t="str">
            <v/>
          </cell>
        </row>
        <row r="4205">
          <cell r="B4205" t="str">
            <v/>
          </cell>
        </row>
        <row r="4206">
          <cell r="B4206" t="str">
            <v/>
          </cell>
        </row>
        <row r="4207">
          <cell r="B4207" t="str">
            <v/>
          </cell>
        </row>
        <row r="4208">
          <cell r="B4208" t="str">
            <v/>
          </cell>
        </row>
        <row r="4209">
          <cell r="B4209" t="str">
            <v/>
          </cell>
        </row>
        <row r="4210">
          <cell r="B4210" t="str">
            <v/>
          </cell>
        </row>
        <row r="4211">
          <cell r="B4211" t="str">
            <v/>
          </cell>
        </row>
        <row r="4212">
          <cell r="B4212" t="str">
            <v/>
          </cell>
        </row>
        <row r="4213">
          <cell r="B4213" t="str">
            <v/>
          </cell>
        </row>
        <row r="4214">
          <cell r="B4214" t="str">
            <v/>
          </cell>
        </row>
        <row r="4215">
          <cell r="B4215" t="str">
            <v/>
          </cell>
        </row>
        <row r="4216">
          <cell r="B4216" t="str">
            <v/>
          </cell>
        </row>
        <row r="4217">
          <cell r="B4217" t="str">
            <v/>
          </cell>
        </row>
        <row r="4218">
          <cell r="B4218" t="str">
            <v/>
          </cell>
        </row>
        <row r="4219">
          <cell r="B4219" t="str">
            <v/>
          </cell>
        </row>
        <row r="4220">
          <cell r="B4220" t="str">
            <v/>
          </cell>
        </row>
        <row r="4221">
          <cell r="B4221" t="str">
            <v/>
          </cell>
        </row>
        <row r="4222">
          <cell r="B4222" t="str">
            <v/>
          </cell>
        </row>
        <row r="4223">
          <cell r="B4223" t="str">
            <v/>
          </cell>
        </row>
        <row r="4224">
          <cell r="B4224" t="str">
            <v/>
          </cell>
        </row>
        <row r="4225">
          <cell r="B4225" t="str">
            <v/>
          </cell>
        </row>
        <row r="4226">
          <cell r="B4226" t="str">
            <v/>
          </cell>
        </row>
        <row r="4227">
          <cell r="B4227" t="str">
            <v/>
          </cell>
        </row>
        <row r="4228">
          <cell r="B4228" t="str">
            <v/>
          </cell>
        </row>
        <row r="4229">
          <cell r="B4229" t="str">
            <v/>
          </cell>
        </row>
        <row r="4230">
          <cell r="B4230" t="str">
            <v/>
          </cell>
        </row>
        <row r="4231">
          <cell r="B4231" t="str">
            <v/>
          </cell>
        </row>
        <row r="4232">
          <cell r="B4232" t="str">
            <v/>
          </cell>
        </row>
        <row r="4233">
          <cell r="B4233" t="str">
            <v/>
          </cell>
        </row>
        <row r="4234">
          <cell r="B4234" t="str">
            <v/>
          </cell>
        </row>
        <row r="4235">
          <cell r="B4235" t="str">
            <v/>
          </cell>
        </row>
        <row r="4236">
          <cell r="B4236" t="str">
            <v/>
          </cell>
        </row>
        <row r="4237">
          <cell r="B4237" t="str">
            <v/>
          </cell>
        </row>
        <row r="4238">
          <cell r="B4238" t="str">
            <v/>
          </cell>
        </row>
        <row r="4239">
          <cell r="B4239" t="str">
            <v/>
          </cell>
        </row>
        <row r="4240">
          <cell r="B4240" t="str">
            <v/>
          </cell>
        </row>
        <row r="4241">
          <cell r="B4241" t="str">
            <v/>
          </cell>
        </row>
        <row r="4242">
          <cell r="B4242" t="str">
            <v/>
          </cell>
        </row>
        <row r="4243">
          <cell r="B4243" t="str">
            <v/>
          </cell>
        </row>
        <row r="4244">
          <cell r="B4244" t="str">
            <v/>
          </cell>
        </row>
        <row r="4245">
          <cell r="B4245" t="str">
            <v/>
          </cell>
        </row>
        <row r="4246">
          <cell r="B4246" t="str">
            <v/>
          </cell>
        </row>
        <row r="4247">
          <cell r="B4247" t="str">
            <v/>
          </cell>
        </row>
        <row r="4248">
          <cell r="B4248" t="str">
            <v/>
          </cell>
        </row>
        <row r="4249">
          <cell r="B4249" t="str">
            <v/>
          </cell>
        </row>
        <row r="4250">
          <cell r="B4250" t="str">
            <v/>
          </cell>
        </row>
        <row r="4251">
          <cell r="B4251" t="str">
            <v/>
          </cell>
        </row>
        <row r="4252">
          <cell r="B4252" t="str">
            <v/>
          </cell>
        </row>
        <row r="4253">
          <cell r="B4253" t="str">
            <v/>
          </cell>
        </row>
        <row r="4254">
          <cell r="B4254" t="str">
            <v/>
          </cell>
        </row>
        <row r="4255">
          <cell r="B4255" t="str">
            <v/>
          </cell>
        </row>
        <row r="4256">
          <cell r="B4256" t="str">
            <v/>
          </cell>
        </row>
        <row r="4257">
          <cell r="B4257" t="str">
            <v/>
          </cell>
        </row>
        <row r="4258">
          <cell r="B4258" t="str">
            <v/>
          </cell>
        </row>
        <row r="4259">
          <cell r="B4259" t="str">
            <v/>
          </cell>
        </row>
        <row r="4260">
          <cell r="B4260" t="str">
            <v/>
          </cell>
        </row>
        <row r="4261">
          <cell r="B4261" t="str">
            <v/>
          </cell>
        </row>
        <row r="4262">
          <cell r="B4262" t="str">
            <v/>
          </cell>
        </row>
        <row r="4263">
          <cell r="B4263" t="str">
            <v/>
          </cell>
        </row>
        <row r="4264">
          <cell r="B4264" t="str">
            <v/>
          </cell>
        </row>
        <row r="4265">
          <cell r="B4265" t="str">
            <v/>
          </cell>
        </row>
        <row r="4266">
          <cell r="B4266" t="str">
            <v/>
          </cell>
        </row>
        <row r="4267">
          <cell r="B4267" t="str">
            <v/>
          </cell>
        </row>
        <row r="4268">
          <cell r="B4268" t="str">
            <v/>
          </cell>
        </row>
        <row r="4269">
          <cell r="B4269" t="str">
            <v/>
          </cell>
        </row>
        <row r="4270">
          <cell r="B4270" t="str">
            <v/>
          </cell>
        </row>
        <row r="4271">
          <cell r="B4271" t="str">
            <v/>
          </cell>
        </row>
        <row r="4272">
          <cell r="B4272" t="str">
            <v/>
          </cell>
        </row>
        <row r="4273">
          <cell r="B4273" t="str">
            <v/>
          </cell>
        </row>
        <row r="4274">
          <cell r="B4274" t="str">
            <v/>
          </cell>
        </row>
        <row r="4275">
          <cell r="B4275" t="str">
            <v/>
          </cell>
        </row>
        <row r="4276">
          <cell r="B4276" t="str">
            <v/>
          </cell>
        </row>
        <row r="4277">
          <cell r="B4277" t="str">
            <v/>
          </cell>
        </row>
        <row r="4278">
          <cell r="B4278" t="str">
            <v/>
          </cell>
        </row>
        <row r="4279">
          <cell r="B4279" t="str">
            <v/>
          </cell>
        </row>
        <row r="4280">
          <cell r="B4280" t="str">
            <v/>
          </cell>
        </row>
        <row r="4281">
          <cell r="B4281" t="str">
            <v/>
          </cell>
        </row>
        <row r="4282">
          <cell r="B4282" t="str">
            <v/>
          </cell>
        </row>
        <row r="4283">
          <cell r="B4283" t="str">
            <v/>
          </cell>
        </row>
        <row r="4284">
          <cell r="B4284" t="str">
            <v/>
          </cell>
        </row>
        <row r="4285">
          <cell r="B4285" t="str">
            <v/>
          </cell>
        </row>
        <row r="4286">
          <cell r="B4286" t="str">
            <v/>
          </cell>
        </row>
        <row r="4287">
          <cell r="B4287" t="str">
            <v/>
          </cell>
        </row>
        <row r="4288">
          <cell r="B4288" t="str">
            <v/>
          </cell>
        </row>
        <row r="4289">
          <cell r="B4289" t="str">
            <v/>
          </cell>
        </row>
        <row r="4290">
          <cell r="B4290" t="str">
            <v/>
          </cell>
        </row>
        <row r="4291">
          <cell r="B4291" t="str">
            <v/>
          </cell>
        </row>
        <row r="4292">
          <cell r="B4292" t="str">
            <v/>
          </cell>
        </row>
        <row r="4293">
          <cell r="B4293" t="str">
            <v/>
          </cell>
        </row>
        <row r="4294">
          <cell r="B4294" t="str">
            <v/>
          </cell>
        </row>
        <row r="4295">
          <cell r="B4295" t="str">
            <v/>
          </cell>
        </row>
        <row r="4296">
          <cell r="B4296" t="str">
            <v/>
          </cell>
        </row>
        <row r="4297">
          <cell r="B4297" t="str">
            <v/>
          </cell>
        </row>
        <row r="4298">
          <cell r="B4298" t="str">
            <v/>
          </cell>
        </row>
        <row r="4299">
          <cell r="B4299" t="str">
            <v/>
          </cell>
        </row>
        <row r="4300">
          <cell r="B4300" t="str">
            <v/>
          </cell>
        </row>
        <row r="4301">
          <cell r="B4301" t="str">
            <v/>
          </cell>
        </row>
        <row r="4302">
          <cell r="B4302" t="str">
            <v/>
          </cell>
        </row>
        <row r="4303">
          <cell r="B4303" t="str">
            <v/>
          </cell>
        </row>
        <row r="4304">
          <cell r="B4304" t="str">
            <v/>
          </cell>
        </row>
        <row r="4305">
          <cell r="B4305" t="str">
            <v/>
          </cell>
        </row>
        <row r="4306">
          <cell r="B4306" t="str">
            <v/>
          </cell>
        </row>
        <row r="4307">
          <cell r="B4307" t="str">
            <v/>
          </cell>
        </row>
        <row r="4308">
          <cell r="B4308" t="str">
            <v/>
          </cell>
        </row>
        <row r="4309">
          <cell r="B4309" t="str">
            <v/>
          </cell>
        </row>
        <row r="4310">
          <cell r="B4310" t="str">
            <v/>
          </cell>
        </row>
        <row r="4311">
          <cell r="B4311" t="str">
            <v/>
          </cell>
        </row>
        <row r="4312">
          <cell r="B4312" t="str">
            <v/>
          </cell>
        </row>
        <row r="4313">
          <cell r="B4313" t="str">
            <v/>
          </cell>
        </row>
        <row r="4314">
          <cell r="B4314" t="str">
            <v/>
          </cell>
        </row>
        <row r="4315">
          <cell r="B4315" t="str">
            <v/>
          </cell>
        </row>
        <row r="4316">
          <cell r="B4316" t="str">
            <v/>
          </cell>
        </row>
        <row r="4317">
          <cell r="B4317" t="str">
            <v/>
          </cell>
        </row>
        <row r="4318">
          <cell r="B4318" t="str">
            <v/>
          </cell>
        </row>
        <row r="4319">
          <cell r="B4319" t="str">
            <v/>
          </cell>
        </row>
        <row r="4320">
          <cell r="B4320" t="str">
            <v/>
          </cell>
        </row>
        <row r="4321">
          <cell r="B4321" t="str">
            <v/>
          </cell>
        </row>
        <row r="4322">
          <cell r="B4322" t="str">
            <v/>
          </cell>
        </row>
        <row r="4323">
          <cell r="B4323" t="str">
            <v/>
          </cell>
        </row>
        <row r="4324">
          <cell r="B4324" t="str">
            <v/>
          </cell>
        </row>
        <row r="4325">
          <cell r="B4325" t="str">
            <v/>
          </cell>
        </row>
        <row r="4326">
          <cell r="B4326" t="str">
            <v/>
          </cell>
        </row>
        <row r="4327">
          <cell r="B4327" t="str">
            <v/>
          </cell>
        </row>
        <row r="4328">
          <cell r="B4328" t="str">
            <v/>
          </cell>
        </row>
        <row r="4329">
          <cell r="B4329" t="str">
            <v/>
          </cell>
        </row>
        <row r="4330">
          <cell r="B4330" t="str">
            <v/>
          </cell>
        </row>
        <row r="4331">
          <cell r="B4331" t="str">
            <v/>
          </cell>
        </row>
        <row r="4332">
          <cell r="B4332" t="str">
            <v/>
          </cell>
        </row>
        <row r="4333">
          <cell r="B4333" t="str">
            <v/>
          </cell>
        </row>
        <row r="4334">
          <cell r="B4334" t="str">
            <v/>
          </cell>
        </row>
        <row r="4335">
          <cell r="B4335" t="str">
            <v/>
          </cell>
        </row>
        <row r="4336">
          <cell r="B4336" t="str">
            <v/>
          </cell>
        </row>
        <row r="4337">
          <cell r="B4337" t="str">
            <v/>
          </cell>
        </row>
        <row r="4338">
          <cell r="B4338" t="str">
            <v/>
          </cell>
        </row>
        <row r="4339">
          <cell r="B4339" t="str">
            <v/>
          </cell>
        </row>
        <row r="4340">
          <cell r="B4340" t="str">
            <v/>
          </cell>
        </row>
        <row r="4341">
          <cell r="B4341" t="str">
            <v/>
          </cell>
        </row>
        <row r="4342">
          <cell r="B4342" t="str">
            <v/>
          </cell>
        </row>
        <row r="4343">
          <cell r="B4343" t="str">
            <v/>
          </cell>
        </row>
        <row r="4344">
          <cell r="B4344" t="str">
            <v/>
          </cell>
        </row>
        <row r="4345">
          <cell r="B4345" t="str">
            <v/>
          </cell>
        </row>
        <row r="4346">
          <cell r="B4346" t="str">
            <v/>
          </cell>
        </row>
        <row r="4347">
          <cell r="B4347" t="str">
            <v/>
          </cell>
        </row>
        <row r="4348">
          <cell r="B4348" t="str">
            <v/>
          </cell>
        </row>
        <row r="4349">
          <cell r="B4349" t="str">
            <v/>
          </cell>
        </row>
        <row r="4350">
          <cell r="B4350" t="str">
            <v/>
          </cell>
        </row>
        <row r="4351">
          <cell r="B4351" t="str">
            <v/>
          </cell>
        </row>
        <row r="4352">
          <cell r="B4352" t="str">
            <v/>
          </cell>
        </row>
        <row r="4353">
          <cell r="B4353" t="str">
            <v/>
          </cell>
        </row>
        <row r="4354">
          <cell r="B4354" t="str">
            <v/>
          </cell>
        </row>
        <row r="4355">
          <cell r="B4355" t="str">
            <v/>
          </cell>
        </row>
        <row r="4356">
          <cell r="B4356" t="str">
            <v/>
          </cell>
        </row>
        <row r="4357">
          <cell r="B4357" t="str">
            <v/>
          </cell>
        </row>
        <row r="4358">
          <cell r="B4358" t="str">
            <v/>
          </cell>
        </row>
        <row r="4359">
          <cell r="B4359" t="str">
            <v/>
          </cell>
        </row>
        <row r="4360">
          <cell r="B4360" t="str">
            <v/>
          </cell>
        </row>
        <row r="4361">
          <cell r="B4361" t="str">
            <v/>
          </cell>
        </row>
        <row r="4362">
          <cell r="B4362" t="str">
            <v/>
          </cell>
        </row>
        <row r="4363">
          <cell r="B4363" t="str">
            <v/>
          </cell>
        </row>
        <row r="4364">
          <cell r="B4364" t="str">
            <v/>
          </cell>
        </row>
        <row r="4365">
          <cell r="B4365" t="str">
            <v/>
          </cell>
        </row>
        <row r="4366">
          <cell r="B4366" t="str">
            <v/>
          </cell>
        </row>
        <row r="4367">
          <cell r="B4367" t="str">
            <v/>
          </cell>
        </row>
        <row r="4368">
          <cell r="B4368" t="str">
            <v/>
          </cell>
        </row>
        <row r="4369">
          <cell r="B4369" t="str">
            <v/>
          </cell>
        </row>
        <row r="4370">
          <cell r="B4370" t="str">
            <v/>
          </cell>
        </row>
        <row r="4371">
          <cell r="B4371" t="str">
            <v/>
          </cell>
        </row>
        <row r="4372">
          <cell r="B4372" t="str">
            <v/>
          </cell>
        </row>
        <row r="4373">
          <cell r="B4373" t="str">
            <v/>
          </cell>
        </row>
        <row r="4374">
          <cell r="B4374" t="str">
            <v/>
          </cell>
        </row>
        <row r="4375">
          <cell r="B4375" t="str">
            <v/>
          </cell>
        </row>
        <row r="4376">
          <cell r="B4376" t="str">
            <v/>
          </cell>
        </row>
        <row r="4377">
          <cell r="B4377" t="str">
            <v/>
          </cell>
        </row>
        <row r="4378">
          <cell r="B4378" t="str">
            <v/>
          </cell>
        </row>
        <row r="4379">
          <cell r="B4379" t="str">
            <v/>
          </cell>
        </row>
        <row r="4380">
          <cell r="B4380" t="str">
            <v/>
          </cell>
        </row>
        <row r="4381">
          <cell r="B4381" t="str">
            <v/>
          </cell>
        </row>
        <row r="4382">
          <cell r="B4382" t="str">
            <v/>
          </cell>
        </row>
        <row r="4383">
          <cell r="B4383" t="str">
            <v/>
          </cell>
        </row>
        <row r="4384">
          <cell r="B4384" t="str">
            <v/>
          </cell>
        </row>
        <row r="4385">
          <cell r="B4385" t="str">
            <v/>
          </cell>
        </row>
        <row r="4386">
          <cell r="B4386" t="str">
            <v/>
          </cell>
        </row>
        <row r="4387">
          <cell r="B4387" t="str">
            <v/>
          </cell>
        </row>
        <row r="4388">
          <cell r="B4388" t="str">
            <v/>
          </cell>
        </row>
        <row r="4389">
          <cell r="B4389" t="str">
            <v/>
          </cell>
        </row>
        <row r="4390">
          <cell r="B4390" t="str">
            <v/>
          </cell>
        </row>
        <row r="4391">
          <cell r="B4391" t="str">
            <v/>
          </cell>
        </row>
        <row r="4392">
          <cell r="B4392" t="str">
            <v/>
          </cell>
        </row>
        <row r="4393">
          <cell r="B4393" t="str">
            <v/>
          </cell>
        </row>
        <row r="4394">
          <cell r="B4394" t="str">
            <v/>
          </cell>
        </row>
        <row r="4395">
          <cell r="B4395" t="str">
            <v/>
          </cell>
        </row>
        <row r="4396">
          <cell r="B4396" t="str">
            <v/>
          </cell>
        </row>
        <row r="4397">
          <cell r="B4397" t="str">
            <v/>
          </cell>
        </row>
        <row r="4398">
          <cell r="B4398" t="str">
            <v/>
          </cell>
        </row>
        <row r="4399">
          <cell r="B4399" t="str">
            <v/>
          </cell>
        </row>
        <row r="4400">
          <cell r="B4400" t="str">
            <v/>
          </cell>
        </row>
        <row r="4401">
          <cell r="B4401" t="str">
            <v/>
          </cell>
        </row>
        <row r="4402">
          <cell r="B4402" t="str">
            <v/>
          </cell>
        </row>
        <row r="4403">
          <cell r="B4403" t="str">
            <v/>
          </cell>
        </row>
        <row r="4404">
          <cell r="B4404" t="str">
            <v/>
          </cell>
        </row>
        <row r="4405">
          <cell r="B4405" t="str">
            <v/>
          </cell>
        </row>
        <row r="4406">
          <cell r="B4406" t="str">
            <v/>
          </cell>
        </row>
        <row r="4407">
          <cell r="B4407" t="str">
            <v/>
          </cell>
        </row>
        <row r="4408">
          <cell r="B4408" t="str">
            <v/>
          </cell>
        </row>
        <row r="4409">
          <cell r="B4409" t="str">
            <v/>
          </cell>
        </row>
        <row r="4410">
          <cell r="B4410" t="str">
            <v/>
          </cell>
        </row>
        <row r="4411">
          <cell r="B4411" t="str">
            <v/>
          </cell>
        </row>
        <row r="4412">
          <cell r="B4412" t="str">
            <v/>
          </cell>
        </row>
        <row r="4413">
          <cell r="B4413" t="str">
            <v/>
          </cell>
        </row>
        <row r="4414">
          <cell r="B4414" t="str">
            <v/>
          </cell>
        </row>
        <row r="4415">
          <cell r="B4415" t="str">
            <v/>
          </cell>
        </row>
        <row r="4416">
          <cell r="B4416" t="str">
            <v/>
          </cell>
        </row>
        <row r="4417">
          <cell r="B4417" t="str">
            <v/>
          </cell>
        </row>
        <row r="4418">
          <cell r="B4418" t="str">
            <v/>
          </cell>
        </row>
        <row r="4419">
          <cell r="B4419" t="str">
            <v/>
          </cell>
        </row>
        <row r="4420">
          <cell r="B4420" t="str">
            <v/>
          </cell>
        </row>
        <row r="4421">
          <cell r="B4421" t="str">
            <v/>
          </cell>
        </row>
        <row r="4422">
          <cell r="B4422" t="str">
            <v/>
          </cell>
        </row>
        <row r="4423">
          <cell r="B4423" t="str">
            <v/>
          </cell>
        </row>
        <row r="4424">
          <cell r="B4424" t="str">
            <v/>
          </cell>
        </row>
        <row r="4425">
          <cell r="B4425" t="str">
            <v/>
          </cell>
        </row>
        <row r="4426">
          <cell r="B4426" t="str">
            <v/>
          </cell>
        </row>
        <row r="4427">
          <cell r="B4427" t="str">
            <v/>
          </cell>
        </row>
        <row r="4428">
          <cell r="B4428" t="str">
            <v/>
          </cell>
        </row>
        <row r="4429">
          <cell r="B4429" t="str">
            <v/>
          </cell>
        </row>
        <row r="4430">
          <cell r="B4430" t="str">
            <v/>
          </cell>
        </row>
        <row r="4431">
          <cell r="B4431" t="str">
            <v/>
          </cell>
        </row>
        <row r="4432">
          <cell r="B4432" t="str">
            <v/>
          </cell>
        </row>
        <row r="4433">
          <cell r="B4433" t="str">
            <v/>
          </cell>
        </row>
        <row r="4434">
          <cell r="B4434" t="str">
            <v/>
          </cell>
        </row>
        <row r="4435">
          <cell r="B4435" t="str">
            <v/>
          </cell>
        </row>
        <row r="4436">
          <cell r="B4436" t="str">
            <v/>
          </cell>
        </row>
        <row r="4437">
          <cell r="B4437" t="str">
            <v/>
          </cell>
        </row>
        <row r="4438">
          <cell r="B4438" t="str">
            <v/>
          </cell>
        </row>
        <row r="4439">
          <cell r="B4439" t="str">
            <v/>
          </cell>
        </row>
        <row r="4440">
          <cell r="B4440" t="str">
            <v/>
          </cell>
        </row>
        <row r="4441">
          <cell r="B4441" t="str">
            <v/>
          </cell>
        </row>
        <row r="4442">
          <cell r="B4442" t="str">
            <v/>
          </cell>
        </row>
        <row r="4443">
          <cell r="B4443" t="str">
            <v/>
          </cell>
        </row>
        <row r="4444">
          <cell r="B4444" t="str">
            <v/>
          </cell>
        </row>
        <row r="4445">
          <cell r="B4445" t="str">
            <v/>
          </cell>
        </row>
        <row r="4446">
          <cell r="B4446" t="str">
            <v/>
          </cell>
        </row>
        <row r="4447">
          <cell r="B4447" t="str">
            <v/>
          </cell>
        </row>
        <row r="4448">
          <cell r="B4448" t="str">
            <v/>
          </cell>
        </row>
        <row r="4449">
          <cell r="B4449" t="str">
            <v/>
          </cell>
        </row>
        <row r="4450">
          <cell r="B4450" t="str">
            <v/>
          </cell>
        </row>
        <row r="4451">
          <cell r="B4451" t="str">
            <v/>
          </cell>
        </row>
        <row r="4452">
          <cell r="B4452" t="str">
            <v/>
          </cell>
        </row>
        <row r="4453">
          <cell r="B4453" t="str">
            <v/>
          </cell>
        </row>
        <row r="4454">
          <cell r="B4454" t="str">
            <v/>
          </cell>
        </row>
        <row r="4455">
          <cell r="B4455" t="str">
            <v/>
          </cell>
        </row>
        <row r="4456">
          <cell r="B4456" t="str">
            <v/>
          </cell>
        </row>
        <row r="4457">
          <cell r="B4457" t="str">
            <v/>
          </cell>
        </row>
        <row r="4458">
          <cell r="B4458" t="str">
            <v/>
          </cell>
        </row>
        <row r="4459">
          <cell r="B4459" t="str">
            <v/>
          </cell>
        </row>
        <row r="4460">
          <cell r="B4460" t="str">
            <v/>
          </cell>
        </row>
        <row r="4461">
          <cell r="B4461" t="str">
            <v/>
          </cell>
        </row>
        <row r="4462">
          <cell r="B4462" t="str">
            <v/>
          </cell>
        </row>
        <row r="4463">
          <cell r="B4463" t="str">
            <v/>
          </cell>
        </row>
        <row r="4464">
          <cell r="B4464" t="str">
            <v/>
          </cell>
        </row>
        <row r="4465">
          <cell r="B4465" t="str">
            <v/>
          </cell>
        </row>
        <row r="4466">
          <cell r="B4466" t="str">
            <v/>
          </cell>
        </row>
        <row r="4467">
          <cell r="B4467" t="str">
            <v/>
          </cell>
        </row>
        <row r="4468">
          <cell r="B4468" t="str">
            <v/>
          </cell>
        </row>
        <row r="4469">
          <cell r="B4469" t="str">
            <v/>
          </cell>
        </row>
        <row r="4470">
          <cell r="B4470" t="str">
            <v/>
          </cell>
        </row>
        <row r="4471">
          <cell r="B4471" t="str">
            <v/>
          </cell>
        </row>
        <row r="4472">
          <cell r="B4472" t="str">
            <v/>
          </cell>
        </row>
        <row r="4473">
          <cell r="B4473" t="str">
            <v/>
          </cell>
        </row>
        <row r="4474">
          <cell r="B4474" t="str">
            <v/>
          </cell>
        </row>
        <row r="4475">
          <cell r="B4475" t="str">
            <v/>
          </cell>
        </row>
        <row r="4476">
          <cell r="B4476" t="str">
            <v/>
          </cell>
        </row>
        <row r="4477">
          <cell r="B4477" t="str">
            <v/>
          </cell>
        </row>
        <row r="4478">
          <cell r="B4478" t="str">
            <v/>
          </cell>
        </row>
        <row r="4479">
          <cell r="B4479" t="str">
            <v/>
          </cell>
        </row>
        <row r="4480">
          <cell r="B4480" t="str">
            <v/>
          </cell>
        </row>
        <row r="4481">
          <cell r="B4481" t="str">
            <v/>
          </cell>
        </row>
        <row r="4482">
          <cell r="B4482" t="str">
            <v/>
          </cell>
        </row>
        <row r="4483">
          <cell r="B4483" t="str">
            <v/>
          </cell>
        </row>
        <row r="4484">
          <cell r="B4484" t="str">
            <v/>
          </cell>
        </row>
        <row r="4485">
          <cell r="B4485" t="str">
            <v/>
          </cell>
        </row>
        <row r="4486">
          <cell r="B4486" t="str">
            <v/>
          </cell>
        </row>
        <row r="4487">
          <cell r="B4487" t="str">
            <v/>
          </cell>
        </row>
        <row r="4488">
          <cell r="B4488" t="str">
            <v/>
          </cell>
        </row>
        <row r="4489">
          <cell r="B4489" t="str">
            <v/>
          </cell>
        </row>
        <row r="4490">
          <cell r="B4490" t="str">
            <v/>
          </cell>
        </row>
        <row r="4491">
          <cell r="B4491" t="str">
            <v/>
          </cell>
        </row>
        <row r="4492">
          <cell r="B4492" t="str">
            <v/>
          </cell>
        </row>
        <row r="4493">
          <cell r="B4493" t="str">
            <v/>
          </cell>
        </row>
        <row r="4494">
          <cell r="B4494" t="str">
            <v/>
          </cell>
        </row>
        <row r="4495">
          <cell r="B4495" t="str">
            <v/>
          </cell>
        </row>
        <row r="4496">
          <cell r="B4496" t="str">
            <v/>
          </cell>
        </row>
        <row r="4497">
          <cell r="B4497" t="str">
            <v/>
          </cell>
        </row>
        <row r="4498">
          <cell r="B4498" t="str">
            <v/>
          </cell>
        </row>
        <row r="4499">
          <cell r="B4499" t="str">
            <v/>
          </cell>
        </row>
        <row r="4500">
          <cell r="B4500" t="str">
            <v/>
          </cell>
        </row>
        <row r="4501">
          <cell r="B4501" t="str">
            <v/>
          </cell>
        </row>
        <row r="4502">
          <cell r="B4502" t="str">
            <v/>
          </cell>
        </row>
        <row r="4503">
          <cell r="B4503" t="str">
            <v/>
          </cell>
        </row>
        <row r="4504">
          <cell r="B4504" t="str">
            <v/>
          </cell>
        </row>
        <row r="4505">
          <cell r="B4505" t="str">
            <v/>
          </cell>
        </row>
        <row r="4506">
          <cell r="B4506" t="str">
            <v/>
          </cell>
        </row>
        <row r="4507">
          <cell r="B4507" t="str">
            <v/>
          </cell>
        </row>
        <row r="4508">
          <cell r="B4508" t="str">
            <v/>
          </cell>
        </row>
        <row r="4509">
          <cell r="B4509" t="str">
            <v/>
          </cell>
        </row>
        <row r="4510">
          <cell r="B4510" t="str">
            <v/>
          </cell>
        </row>
        <row r="4511">
          <cell r="B4511" t="str">
            <v/>
          </cell>
        </row>
        <row r="4512">
          <cell r="B4512" t="str">
            <v/>
          </cell>
        </row>
        <row r="4513">
          <cell r="B4513" t="str">
            <v/>
          </cell>
        </row>
        <row r="4514">
          <cell r="B4514" t="str">
            <v/>
          </cell>
        </row>
        <row r="4515">
          <cell r="B4515" t="str">
            <v/>
          </cell>
        </row>
        <row r="4516">
          <cell r="B4516" t="str">
            <v/>
          </cell>
        </row>
        <row r="4517">
          <cell r="B4517" t="str">
            <v/>
          </cell>
        </row>
        <row r="4518">
          <cell r="B4518" t="str">
            <v/>
          </cell>
        </row>
        <row r="4519">
          <cell r="B4519" t="str">
            <v/>
          </cell>
        </row>
        <row r="4520">
          <cell r="B4520" t="str">
            <v/>
          </cell>
        </row>
        <row r="4521">
          <cell r="B4521" t="str">
            <v/>
          </cell>
        </row>
        <row r="4522">
          <cell r="B4522" t="str">
            <v/>
          </cell>
        </row>
        <row r="4523">
          <cell r="B4523" t="str">
            <v/>
          </cell>
        </row>
        <row r="4524">
          <cell r="B4524" t="str">
            <v/>
          </cell>
        </row>
        <row r="4525">
          <cell r="B4525" t="str">
            <v/>
          </cell>
        </row>
        <row r="4526">
          <cell r="B4526" t="str">
            <v/>
          </cell>
        </row>
        <row r="4527">
          <cell r="B4527" t="str">
            <v/>
          </cell>
        </row>
        <row r="4528">
          <cell r="B4528" t="str">
            <v/>
          </cell>
        </row>
        <row r="4529">
          <cell r="B4529" t="str">
            <v/>
          </cell>
        </row>
        <row r="4530">
          <cell r="B4530" t="str">
            <v/>
          </cell>
        </row>
        <row r="4531">
          <cell r="B4531" t="str">
            <v/>
          </cell>
        </row>
        <row r="4532">
          <cell r="B4532" t="str">
            <v/>
          </cell>
        </row>
        <row r="4533">
          <cell r="B4533" t="str">
            <v/>
          </cell>
        </row>
        <row r="4534">
          <cell r="B4534" t="str">
            <v/>
          </cell>
        </row>
        <row r="4535">
          <cell r="B4535" t="str">
            <v/>
          </cell>
        </row>
        <row r="4536">
          <cell r="B4536" t="str">
            <v/>
          </cell>
        </row>
        <row r="4537">
          <cell r="B4537" t="str">
            <v/>
          </cell>
        </row>
        <row r="4538">
          <cell r="B4538" t="str">
            <v/>
          </cell>
        </row>
        <row r="4539">
          <cell r="B4539" t="str">
            <v/>
          </cell>
        </row>
        <row r="4540">
          <cell r="B4540" t="str">
            <v/>
          </cell>
        </row>
        <row r="4541">
          <cell r="B4541" t="str">
            <v/>
          </cell>
        </row>
        <row r="4542">
          <cell r="B4542" t="str">
            <v/>
          </cell>
        </row>
        <row r="4543">
          <cell r="B4543" t="str">
            <v/>
          </cell>
        </row>
        <row r="4544">
          <cell r="B4544" t="str">
            <v/>
          </cell>
        </row>
        <row r="4545">
          <cell r="B4545" t="str">
            <v/>
          </cell>
        </row>
        <row r="4546">
          <cell r="B4546" t="str">
            <v/>
          </cell>
        </row>
        <row r="4547">
          <cell r="B4547" t="str">
            <v/>
          </cell>
        </row>
        <row r="4548">
          <cell r="B4548" t="str">
            <v/>
          </cell>
        </row>
        <row r="4549">
          <cell r="B4549" t="str">
            <v/>
          </cell>
        </row>
        <row r="4550">
          <cell r="B4550" t="str">
            <v/>
          </cell>
        </row>
        <row r="4551">
          <cell r="B4551" t="str">
            <v/>
          </cell>
        </row>
        <row r="4552">
          <cell r="B4552" t="str">
            <v/>
          </cell>
        </row>
        <row r="4553">
          <cell r="B4553" t="str">
            <v/>
          </cell>
        </row>
        <row r="4554">
          <cell r="B4554" t="str">
            <v/>
          </cell>
        </row>
        <row r="4555">
          <cell r="B4555" t="str">
            <v/>
          </cell>
        </row>
        <row r="4556">
          <cell r="B4556" t="str">
            <v/>
          </cell>
        </row>
        <row r="4557">
          <cell r="B4557" t="str">
            <v/>
          </cell>
        </row>
        <row r="4558">
          <cell r="B4558" t="str">
            <v/>
          </cell>
        </row>
        <row r="4559">
          <cell r="B4559" t="str">
            <v/>
          </cell>
        </row>
        <row r="4560">
          <cell r="B4560" t="str">
            <v/>
          </cell>
        </row>
        <row r="4561">
          <cell r="B4561" t="str">
            <v/>
          </cell>
        </row>
        <row r="4562">
          <cell r="B4562" t="str">
            <v/>
          </cell>
        </row>
        <row r="4563">
          <cell r="B4563" t="str">
            <v/>
          </cell>
        </row>
        <row r="4564">
          <cell r="B4564" t="str">
            <v/>
          </cell>
        </row>
        <row r="4565">
          <cell r="B4565" t="str">
            <v/>
          </cell>
        </row>
        <row r="4566">
          <cell r="B4566" t="str">
            <v/>
          </cell>
        </row>
        <row r="4567">
          <cell r="B4567" t="str">
            <v/>
          </cell>
        </row>
        <row r="4568">
          <cell r="B4568" t="str">
            <v/>
          </cell>
        </row>
        <row r="4569">
          <cell r="B4569" t="str">
            <v/>
          </cell>
        </row>
        <row r="4570">
          <cell r="B4570" t="str">
            <v/>
          </cell>
        </row>
        <row r="4571">
          <cell r="B4571" t="str">
            <v/>
          </cell>
        </row>
        <row r="4572">
          <cell r="B4572" t="str">
            <v/>
          </cell>
        </row>
        <row r="4573">
          <cell r="B4573" t="str">
            <v/>
          </cell>
        </row>
        <row r="4574">
          <cell r="B4574" t="str">
            <v/>
          </cell>
        </row>
        <row r="4575">
          <cell r="B4575" t="str">
            <v/>
          </cell>
        </row>
        <row r="4576">
          <cell r="B4576" t="str">
            <v/>
          </cell>
        </row>
        <row r="4577">
          <cell r="B4577" t="str">
            <v/>
          </cell>
        </row>
        <row r="4578">
          <cell r="B4578" t="str">
            <v/>
          </cell>
        </row>
        <row r="4579">
          <cell r="B4579" t="str">
            <v/>
          </cell>
        </row>
        <row r="4580">
          <cell r="B4580" t="str">
            <v/>
          </cell>
        </row>
        <row r="4581">
          <cell r="B4581" t="str">
            <v/>
          </cell>
        </row>
        <row r="4582">
          <cell r="B4582" t="str">
            <v/>
          </cell>
        </row>
        <row r="4583">
          <cell r="B4583" t="str">
            <v/>
          </cell>
        </row>
        <row r="4584">
          <cell r="B4584" t="str">
            <v/>
          </cell>
        </row>
        <row r="4585">
          <cell r="B4585" t="str">
            <v/>
          </cell>
        </row>
        <row r="4586">
          <cell r="B4586" t="str">
            <v/>
          </cell>
        </row>
        <row r="4587">
          <cell r="B4587" t="str">
            <v/>
          </cell>
        </row>
        <row r="4588">
          <cell r="B4588" t="str">
            <v/>
          </cell>
        </row>
        <row r="4589">
          <cell r="B4589" t="str">
            <v/>
          </cell>
        </row>
        <row r="4590">
          <cell r="B4590" t="str">
            <v/>
          </cell>
        </row>
        <row r="4591">
          <cell r="B4591" t="str">
            <v/>
          </cell>
        </row>
        <row r="4592">
          <cell r="B4592" t="str">
            <v/>
          </cell>
        </row>
        <row r="4593">
          <cell r="B4593" t="str">
            <v/>
          </cell>
        </row>
        <row r="4594">
          <cell r="B4594" t="str">
            <v/>
          </cell>
        </row>
        <row r="4595">
          <cell r="B4595" t="str">
            <v/>
          </cell>
        </row>
        <row r="4596">
          <cell r="B4596" t="str">
            <v/>
          </cell>
        </row>
        <row r="4597">
          <cell r="B4597" t="str">
            <v/>
          </cell>
        </row>
        <row r="4598">
          <cell r="B4598" t="str">
            <v/>
          </cell>
        </row>
        <row r="4599">
          <cell r="B4599" t="str">
            <v/>
          </cell>
        </row>
        <row r="4600">
          <cell r="B4600" t="str">
            <v/>
          </cell>
        </row>
        <row r="4601">
          <cell r="B4601" t="str">
            <v/>
          </cell>
        </row>
        <row r="4602">
          <cell r="B4602" t="str">
            <v/>
          </cell>
        </row>
        <row r="4603">
          <cell r="B4603" t="str">
            <v/>
          </cell>
        </row>
        <row r="4604">
          <cell r="B4604" t="str">
            <v/>
          </cell>
        </row>
        <row r="4605">
          <cell r="B4605" t="str">
            <v/>
          </cell>
        </row>
        <row r="4606">
          <cell r="B4606" t="str">
            <v/>
          </cell>
        </row>
        <row r="4607">
          <cell r="B4607" t="str">
            <v/>
          </cell>
        </row>
        <row r="4608">
          <cell r="B4608" t="str">
            <v/>
          </cell>
        </row>
        <row r="4609">
          <cell r="B4609" t="str">
            <v/>
          </cell>
        </row>
        <row r="4610">
          <cell r="B4610" t="str">
            <v/>
          </cell>
        </row>
        <row r="4611">
          <cell r="B4611" t="str">
            <v/>
          </cell>
        </row>
        <row r="4612">
          <cell r="B4612" t="str">
            <v/>
          </cell>
        </row>
        <row r="4613">
          <cell r="B4613" t="str">
            <v/>
          </cell>
        </row>
        <row r="4614">
          <cell r="B4614" t="str">
            <v/>
          </cell>
        </row>
        <row r="4615">
          <cell r="B4615" t="str">
            <v/>
          </cell>
        </row>
        <row r="4616">
          <cell r="B4616" t="str">
            <v/>
          </cell>
        </row>
        <row r="4617">
          <cell r="B4617" t="str">
            <v/>
          </cell>
        </row>
        <row r="4618">
          <cell r="B4618" t="str">
            <v/>
          </cell>
        </row>
        <row r="4619">
          <cell r="B4619" t="str">
            <v/>
          </cell>
        </row>
        <row r="4620">
          <cell r="B4620" t="str">
            <v/>
          </cell>
        </row>
        <row r="4621">
          <cell r="B4621" t="str">
            <v/>
          </cell>
        </row>
        <row r="4622">
          <cell r="B4622" t="str">
            <v/>
          </cell>
        </row>
        <row r="4623">
          <cell r="B4623" t="str">
            <v/>
          </cell>
        </row>
        <row r="4624">
          <cell r="B4624" t="str">
            <v/>
          </cell>
        </row>
        <row r="4625">
          <cell r="B4625" t="str">
            <v/>
          </cell>
        </row>
        <row r="4626">
          <cell r="B4626" t="str">
            <v/>
          </cell>
        </row>
        <row r="4627">
          <cell r="B4627" t="str">
            <v/>
          </cell>
        </row>
        <row r="4628">
          <cell r="B4628" t="str">
            <v/>
          </cell>
        </row>
        <row r="4629">
          <cell r="B4629" t="str">
            <v/>
          </cell>
        </row>
        <row r="4630">
          <cell r="B4630" t="str">
            <v/>
          </cell>
        </row>
        <row r="4631">
          <cell r="B4631" t="str">
            <v/>
          </cell>
        </row>
        <row r="4632">
          <cell r="B4632" t="str">
            <v/>
          </cell>
        </row>
        <row r="4633">
          <cell r="B4633" t="str">
            <v/>
          </cell>
        </row>
        <row r="4634">
          <cell r="B4634" t="str">
            <v/>
          </cell>
        </row>
        <row r="4635">
          <cell r="B4635" t="str">
            <v/>
          </cell>
        </row>
        <row r="4636">
          <cell r="B4636" t="str">
            <v/>
          </cell>
        </row>
        <row r="4637">
          <cell r="B4637" t="str">
            <v/>
          </cell>
        </row>
        <row r="4638">
          <cell r="B4638" t="str">
            <v/>
          </cell>
        </row>
        <row r="4639">
          <cell r="B4639" t="str">
            <v/>
          </cell>
        </row>
        <row r="4640">
          <cell r="B4640" t="str">
            <v/>
          </cell>
        </row>
        <row r="4641">
          <cell r="B4641" t="str">
            <v/>
          </cell>
        </row>
        <row r="4642">
          <cell r="B4642" t="str">
            <v/>
          </cell>
        </row>
        <row r="4643">
          <cell r="B4643" t="str">
            <v/>
          </cell>
        </row>
        <row r="4644">
          <cell r="B4644" t="str">
            <v/>
          </cell>
        </row>
        <row r="4645">
          <cell r="B4645" t="str">
            <v/>
          </cell>
        </row>
        <row r="4646">
          <cell r="B4646" t="str">
            <v/>
          </cell>
        </row>
        <row r="4647">
          <cell r="B4647" t="str">
            <v/>
          </cell>
        </row>
        <row r="4648">
          <cell r="B4648" t="str">
            <v/>
          </cell>
        </row>
        <row r="4649">
          <cell r="B4649" t="str">
            <v/>
          </cell>
        </row>
        <row r="4650">
          <cell r="B4650" t="str">
            <v/>
          </cell>
        </row>
        <row r="4651">
          <cell r="B4651" t="str">
            <v/>
          </cell>
        </row>
        <row r="4652">
          <cell r="B4652" t="str">
            <v/>
          </cell>
        </row>
        <row r="4653">
          <cell r="B4653" t="str">
            <v/>
          </cell>
        </row>
        <row r="4654">
          <cell r="B4654" t="str">
            <v/>
          </cell>
        </row>
        <row r="4655">
          <cell r="B4655" t="str">
            <v/>
          </cell>
        </row>
        <row r="4656">
          <cell r="B4656" t="str">
            <v/>
          </cell>
        </row>
        <row r="4657">
          <cell r="B4657" t="str">
            <v/>
          </cell>
        </row>
        <row r="4658">
          <cell r="B4658" t="str">
            <v/>
          </cell>
        </row>
        <row r="4659">
          <cell r="B4659" t="str">
            <v/>
          </cell>
        </row>
        <row r="4660">
          <cell r="B4660" t="str">
            <v/>
          </cell>
        </row>
        <row r="4661">
          <cell r="B4661" t="str">
            <v/>
          </cell>
        </row>
        <row r="4662">
          <cell r="B4662" t="str">
            <v/>
          </cell>
        </row>
        <row r="4663">
          <cell r="B4663" t="str">
            <v/>
          </cell>
        </row>
        <row r="4664">
          <cell r="B4664" t="str">
            <v/>
          </cell>
        </row>
        <row r="4665">
          <cell r="B4665" t="str">
            <v/>
          </cell>
        </row>
        <row r="4666">
          <cell r="B4666" t="str">
            <v/>
          </cell>
        </row>
        <row r="4667">
          <cell r="B4667" t="str">
            <v/>
          </cell>
        </row>
        <row r="4668">
          <cell r="B4668" t="str">
            <v/>
          </cell>
        </row>
        <row r="4669">
          <cell r="B4669" t="str">
            <v/>
          </cell>
        </row>
        <row r="4670">
          <cell r="B4670" t="str">
            <v/>
          </cell>
        </row>
        <row r="4671">
          <cell r="B4671" t="str">
            <v/>
          </cell>
        </row>
        <row r="4672">
          <cell r="B4672" t="str">
            <v/>
          </cell>
        </row>
        <row r="4673">
          <cell r="B4673" t="str">
            <v/>
          </cell>
        </row>
        <row r="4674">
          <cell r="B4674" t="str">
            <v/>
          </cell>
        </row>
        <row r="4675">
          <cell r="B4675" t="str">
            <v/>
          </cell>
        </row>
        <row r="4676">
          <cell r="B4676" t="str">
            <v/>
          </cell>
        </row>
        <row r="4677">
          <cell r="B4677" t="str">
            <v/>
          </cell>
        </row>
        <row r="4678">
          <cell r="B4678" t="str">
            <v/>
          </cell>
        </row>
        <row r="4679">
          <cell r="B4679" t="str">
            <v/>
          </cell>
        </row>
        <row r="4680">
          <cell r="B4680" t="str">
            <v/>
          </cell>
        </row>
        <row r="4681">
          <cell r="B4681" t="str">
            <v/>
          </cell>
        </row>
        <row r="4682">
          <cell r="B4682" t="str">
            <v/>
          </cell>
        </row>
        <row r="4683">
          <cell r="B4683" t="str">
            <v/>
          </cell>
        </row>
        <row r="4684">
          <cell r="B4684" t="str">
            <v/>
          </cell>
        </row>
        <row r="4685">
          <cell r="B4685" t="str">
            <v/>
          </cell>
        </row>
        <row r="4686">
          <cell r="B4686" t="str">
            <v/>
          </cell>
        </row>
        <row r="4687">
          <cell r="B4687" t="str">
            <v/>
          </cell>
        </row>
        <row r="4688">
          <cell r="B4688" t="str">
            <v/>
          </cell>
        </row>
        <row r="4689">
          <cell r="B4689" t="str">
            <v/>
          </cell>
        </row>
        <row r="4690">
          <cell r="B4690" t="str">
            <v/>
          </cell>
        </row>
        <row r="4691">
          <cell r="B4691" t="str">
            <v/>
          </cell>
        </row>
        <row r="4692">
          <cell r="B4692" t="str">
            <v/>
          </cell>
        </row>
        <row r="4693">
          <cell r="B4693" t="str">
            <v/>
          </cell>
        </row>
        <row r="4694">
          <cell r="B4694" t="str">
            <v/>
          </cell>
        </row>
        <row r="4695">
          <cell r="B4695" t="str">
            <v/>
          </cell>
        </row>
        <row r="4696">
          <cell r="B4696" t="str">
            <v/>
          </cell>
        </row>
        <row r="4697">
          <cell r="B4697" t="str">
            <v/>
          </cell>
        </row>
        <row r="4698">
          <cell r="B4698" t="str">
            <v/>
          </cell>
        </row>
        <row r="4699">
          <cell r="B4699" t="str">
            <v/>
          </cell>
        </row>
        <row r="4700">
          <cell r="B4700" t="str">
            <v/>
          </cell>
        </row>
        <row r="4701">
          <cell r="B4701" t="str">
            <v/>
          </cell>
        </row>
        <row r="4702">
          <cell r="B4702" t="str">
            <v/>
          </cell>
        </row>
        <row r="4703">
          <cell r="B4703" t="str">
            <v/>
          </cell>
        </row>
        <row r="4704">
          <cell r="B4704" t="str">
            <v/>
          </cell>
        </row>
        <row r="4705">
          <cell r="B4705" t="str">
            <v/>
          </cell>
        </row>
        <row r="4706">
          <cell r="B4706" t="str">
            <v/>
          </cell>
        </row>
        <row r="4707">
          <cell r="B4707" t="str">
            <v/>
          </cell>
        </row>
        <row r="4708">
          <cell r="B4708" t="str">
            <v/>
          </cell>
        </row>
        <row r="4709">
          <cell r="B4709" t="str">
            <v/>
          </cell>
        </row>
        <row r="4710">
          <cell r="B4710" t="str">
            <v/>
          </cell>
        </row>
        <row r="4711">
          <cell r="B4711" t="str">
            <v/>
          </cell>
        </row>
        <row r="4712">
          <cell r="B4712" t="str">
            <v/>
          </cell>
        </row>
        <row r="4713">
          <cell r="B4713" t="str">
            <v/>
          </cell>
        </row>
        <row r="4714">
          <cell r="B4714" t="str">
            <v/>
          </cell>
        </row>
        <row r="4715">
          <cell r="B4715" t="str">
            <v/>
          </cell>
        </row>
        <row r="4716">
          <cell r="B4716" t="str">
            <v/>
          </cell>
        </row>
        <row r="4717">
          <cell r="B4717" t="str">
            <v/>
          </cell>
        </row>
        <row r="4718">
          <cell r="B4718" t="str">
            <v/>
          </cell>
        </row>
        <row r="4719">
          <cell r="B4719" t="str">
            <v/>
          </cell>
        </row>
        <row r="4720">
          <cell r="B4720" t="str">
            <v/>
          </cell>
        </row>
        <row r="4721">
          <cell r="B4721" t="str">
            <v/>
          </cell>
        </row>
        <row r="4722">
          <cell r="B4722" t="str">
            <v/>
          </cell>
        </row>
        <row r="4723">
          <cell r="B4723" t="str">
            <v/>
          </cell>
        </row>
        <row r="4724">
          <cell r="B4724" t="str">
            <v/>
          </cell>
        </row>
        <row r="4725">
          <cell r="B4725" t="str">
            <v/>
          </cell>
        </row>
        <row r="4726">
          <cell r="B4726" t="str">
            <v/>
          </cell>
        </row>
        <row r="4727">
          <cell r="B4727" t="str">
            <v/>
          </cell>
        </row>
        <row r="4728">
          <cell r="B4728" t="str">
            <v/>
          </cell>
        </row>
        <row r="4729">
          <cell r="B4729" t="str">
            <v/>
          </cell>
        </row>
        <row r="4730">
          <cell r="B4730" t="str">
            <v/>
          </cell>
        </row>
        <row r="4731">
          <cell r="B4731" t="str">
            <v/>
          </cell>
        </row>
        <row r="4732">
          <cell r="B4732" t="str">
            <v/>
          </cell>
        </row>
        <row r="4733">
          <cell r="B4733" t="str">
            <v/>
          </cell>
        </row>
        <row r="4734">
          <cell r="B4734" t="str">
            <v/>
          </cell>
        </row>
        <row r="4735">
          <cell r="B4735" t="str">
            <v/>
          </cell>
        </row>
        <row r="4736">
          <cell r="B4736" t="str">
            <v/>
          </cell>
        </row>
        <row r="4737">
          <cell r="B4737" t="str">
            <v/>
          </cell>
        </row>
        <row r="4738">
          <cell r="B4738" t="str">
            <v/>
          </cell>
        </row>
        <row r="4739">
          <cell r="B4739" t="str">
            <v/>
          </cell>
        </row>
        <row r="4740">
          <cell r="B4740" t="str">
            <v/>
          </cell>
        </row>
        <row r="4741">
          <cell r="B4741" t="str">
            <v/>
          </cell>
        </row>
        <row r="4742">
          <cell r="B4742" t="str">
            <v/>
          </cell>
        </row>
        <row r="4743">
          <cell r="B4743" t="str">
            <v/>
          </cell>
        </row>
        <row r="4744">
          <cell r="B4744" t="str">
            <v/>
          </cell>
        </row>
        <row r="4745">
          <cell r="B4745" t="str">
            <v/>
          </cell>
        </row>
        <row r="4746">
          <cell r="B4746" t="str">
            <v/>
          </cell>
        </row>
        <row r="4747">
          <cell r="B4747" t="str">
            <v/>
          </cell>
        </row>
        <row r="4748">
          <cell r="B4748" t="str">
            <v/>
          </cell>
        </row>
        <row r="4749">
          <cell r="B4749" t="str">
            <v/>
          </cell>
        </row>
        <row r="4750">
          <cell r="B4750" t="str">
            <v/>
          </cell>
        </row>
        <row r="4751">
          <cell r="B4751" t="str">
            <v/>
          </cell>
        </row>
        <row r="4752">
          <cell r="B4752" t="str">
            <v/>
          </cell>
        </row>
        <row r="4753">
          <cell r="B4753" t="str">
            <v/>
          </cell>
        </row>
        <row r="4754">
          <cell r="B4754" t="str">
            <v/>
          </cell>
        </row>
        <row r="4755">
          <cell r="B4755" t="str">
            <v/>
          </cell>
        </row>
        <row r="4756">
          <cell r="B4756" t="str">
            <v/>
          </cell>
        </row>
        <row r="4757">
          <cell r="B4757" t="str">
            <v/>
          </cell>
        </row>
        <row r="4758">
          <cell r="B4758" t="str">
            <v/>
          </cell>
        </row>
        <row r="4759">
          <cell r="B4759" t="str">
            <v/>
          </cell>
        </row>
        <row r="4760">
          <cell r="B4760" t="str">
            <v/>
          </cell>
        </row>
        <row r="4761">
          <cell r="B4761" t="str">
            <v/>
          </cell>
        </row>
        <row r="4762">
          <cell r="B4762" t="str">
            <v/>
          </cell>
        </row>
        <row r="4763">
          <cell r="B4763" t="str">
            <v/>
          </cell>
        </row>
        <row r="4764">
          <cell r="B4764" t="str">
            <v/>
          </cell>
        </row>
        <row r="4765">
          <cell r="B4765" t="str">
            <v/>
          </cell>
        </row>
        <row r="4766">
          <cell r="B4766" t="str">
            <v/>
          </cell>
        </row>
        <row r="4767">
          <cell r="B4767" t="str">
            <v/>
          </cell>
        </row>
        <row r="4768">
          <cell r="B4768" t="str">
            <v/>
          </cell>
        </row>
        <row r="4769">
          <cell r="B4769" t="str">
            <v/>
          </cell>
        </row>
        <row r="4770">
          <cell r="B4770" t="str">
            <v/>
          </cell>
        </row>
        <row r="4771">
          <cell r="B4771" t="str">
            <v/>
          </cell>
        </row>
        <row r="4772">
          <cell r="B4772" t="str">
            <v/>
          </cell>
        </row>
        <row r="4773">
          <cell r="B4773" t="str">
            <v/>
          </cell>
        </row>
        <row r="4774">
          <cell r="B4774" t="str">
            <v/>
          </cell>
        </row>
        <row r="4775">
          <cell r="B4775" t="str">
            <v/>
          </cell>
        </row>
        <row r="4776">
          <cell r="B4776" t="str">
            <v/>
          </cell>
        </row>
        <row r="4777">
          <cell r="B4777" t="str">
            <v/>
          </cell>
        </row>
        <row r="4778">
          <cell r="B4778" t="str">
            <v/>
          </cell>
        </row>
        <row r="4779">
          <cell r="B4779" t="str">
            <v/>
          </cell>
        </row>
        <row r="4780">
          <cell r="B4780" t="str">
            <v/>
          </cell>
        </row>
        <row r="4781">
          <cell r="B4781" t="str">
            <v/>
          </cell>
        </row>
        <row r="4782">
          <cell r="B4782" t="str">
            <v/>
          </cell>
        </row>
        <row r="4783">
          <cell r="B4783" t="str">
            <v/>
          </cell>
        </row>
        <row r="4784">
          <cell r="B4784" t="str">
            <v/>
          </cell>
        </row>
        <row r="4785">
          <cell r="B4785" t="str">
            <v/>
          </cell>
        </row>
        <row r="4786">
          <cell r="B4786" t="str">
            <v/>
          </cell>
        </row>
        <row r="4787">
          <cell r="B4787" t="str">
            <v/>
          </cell>
        </row>
        <row r="4788">
          <cell r="B4788" t="str">
            <v/>
          </cell>
        </row>
        <row r="4789">
          <cell r="B4789" t="str">
            <v/>
          </cell>
        </row>
        <row r="4790">
          <cell r="B4790" t="str">
            <v/>
          </cell>
        </row>
        <row r="4791">
          <cell r="B4791" t="str">
            <v/>
          </cell>
        </row>
        <row r="4792">
          <cell r="B4792" t="str">
            <v/>
          </cell>
        </row>
        <row r="4793">
          <cell r="B4793" t="str">
            <v/>
          </cell>
        </row>
        <row r="4794">
          <cell r="B4794" t="str">
            <v/>
          </cell>
        </row>
        <row r="4795">
          <cell r="B4795" t="str">
            <v/>
          </cell>
        </row>
        <row r="4796">
          <cell r="B4796" t="str">
            <v/>
          </cell>
        </row>
        <row r="4797">
          <cell r="B4797" t="str">
            <v/>
          </cell>
        </row>
        <row r="4798">
          <cell r="B4798" t="str">
            <v/>
          </cell>
        </row>
        <row r="4799">
          <cell r="B4799" t="str">
            <v/>
          </cell>
        </row>
        <row r="4800">
          <cell r="B4800" t="str">
            <v/>
          </cell>
        </row>
        <row r="4801">
          <cell r="B4801" t="str">
            <v/>
          </cell>
        </row>
        <row r="4802">
          <cell r="B4802" t="str">
            <v/>
          </cell>
        </row>
        <row r="4803">
          <cell r="B4803" t="str">
            <v/>
          </cell>
        </row>
        <row r="4804">
          <cell r="B4804" t="str">
            <v/>
          </cell>
        </row>
        <row r="4805">
          <cell r="B4805" t="str">
            <v/>
          </cell>
        </row>
        <row r="4806">
          <cell r="B4806" t="str">
            <v/>
          </cell>
        </row>
        <row r="4807">
          <cell r="B4807" t="str">
            <v/>
          </cell>
        </row>
        <row r="4808">
          <cell r="B4808" t="str">
            <v/>
          </cell>
        </row>
        <row r="4809">
          <cell r="B4809" t="str">
            <v/>
          </cell>
        </row>
        <row r="4810">
          <cell r="B4810" t="str">
            <v/>
          </cell>
        </row>
        <row r="4811">
          <cell r="B4811" t="str">
            <v/>
          </cell>
        </row>
        <row r="4812">
          <cell r="B4812" t="str">
            <v/>
          </cell>
        </row>
        <row r="4813">
          <cell r="B4813" t="str">
            <v/>
          </cell>
        </row>
        <row r="4814">
          <cell r="B4814" t="str">
            <v/>
          </cell>
        </row>
        <row r="4815">
          <cell r="B4815" t="str">
            <v/>
          </cell>
        </row>
        <row r="4816">
          <cell r="B4816" t="str">
            <v/>
          </cell>
        </row>
        <row r="4817">
          <cell r="B4817" t="str">
            <v/>
          </cell>
        </row>
        <row r="4818">
          <cell r="B4818" t="str">
            <v/>
          </cell>
        </row>
        <row r="4819">
          <cell r="B4819" t="str">
            <v/>
          </cell>
        </row>
        <row r="4820">
          <cell r="B4820" t="str">
            <v/>
          </cell>
        </row>
        <row r="4821">
          <cell r="B4821" t="str">
            <v/>
          </cell>
        </row>
        <row r="4822">
          <cell r="B4822" t="str">
            <v/>
          </cell>
        </row>
        <row r="4823">
          <cell r="B4823" t="str">
            <v/>
          </cell>
        </row>
        <row r="4824">
          <cell r="B4824" t="str">
            <v/>
          </cell>
        </row>
        <row r="4825">
          <cell r="B4825" t="str">
            <v/>
          </cell>
        </row>
        <row r="4826">
          <cell r="B4826" t="str">
            <v/>
          </cell>
        </row>
        <row r="4827">
          <cell r="B4827" t="str">
            <v/>
          </cell>
        </row>
        <row r="4828">
          <cell r="B4828" t="str">
            <v/>
          </cell>
        </row>
        <row r="4829">
          <cell r="B4829" t="str">
            <v/>
          </cell>
        </row>
        <row r="4830">
          <cell r="B4830" t="str">
            <v/>
          </cell>
        </row>
        <row r="4831">
          <cell r="B4831" t="str">
            <v/>
          </cell>
        </row>
        <row r="4832">
          <cell r="B4832" t="str">
            <v/>
          </cell>
        </row>
        <row r="4833">
          <cell r="B4833" t="str">
            <v/>
          </cell>
        </row>
        <row r="4834">
          <cell r="B4834" t="str">
            <v/>
          </cell>
        </row>
        <row r="4835">
          <cell r="B4835" t="str">
            <v/>
          </cell>
        </row>
        <row r="4836">
          <cell r="B4836" t="str">
            <v/>
          </cell>
        </row>
        <row r="4837">
          <cell r="B4837" t="str">
            <v/>
          </cell>
        </row>
        <row r="4838">
          <cell r="B4838" t="str">
            <v/>
          </cell>
        </row>
        <row r="4839">
          <cell r="B4839" t="str">
            <v/>
          </cell>
        </row>
        <row r="4840">
          <cell r="B4840" t="str">
            <v/>
          </cell>
        </row>
        <row r="4841">
          <cell r="B4841" t="str">
            <v/>
          </cell>
        </row>
        <row r="4842">
          <cell r="B4842" t="str">
            <v/>
          </cell>
        </row>
        <row r="4843">
          <cell r="B4843" t="str">
            <v/>
          </cell>
        </row>
        <row r="4844">
          <cell r="B4844" t="str">
            <v/>
          </cell>
        </row>
        <row r="4845">
          <cell r="B4845" t="str">
            <v/>
          </cell>
        </row>
        <row r="4846">
          <cell r="B4846" t="str">
            <v/>
          </cell>
        </row>
        <row r="4847">
          <cell r="B4847" t="str">
            <v/>
          </cell>
        </row>
        <row r="4848">
          <cell r="B4848" t="str">
            <v/>
          </cell>
        </row>
        <row r="4849">
          <cell r="B4849" t="str">
            <v/>
          </cell>
        </row>
        <row r="4850">
          <cell r="B4850" t="str">
            <v/>
          </cell>
        </row>
        <row r="4851">
          <cell r="B4851" t="str">
            <v/>
          </cell>
        </row>
        <row r="4852">
          <cell r="B4852" t="str">
            <v/>
          </cell>
        </row>
        <row r="4853">
          <cell r="B4853" t="str">
            <v/>
          </cell>
        </row>
        <row r="4854">
          <cell r="B4854" t="str">
            <v/>
          </cell>
        </row>
        <row r="4855">
          <cell r="B4855" t="str">
            <v/>
          </cell>
        </row>
        <row r="4856">
          <cell r="B4856" t="str">
            <v/>
          </cell>
        </row>
        <row r="4857">
          <cell r="B4857" t="str">
            <v/>
          </cell>
        </row>
        <row r="4858">
          <cell r="B4858" t="str">
            <v/>
          </cell>
        </row>
        <row r="4859">
          <cell r="B4859" t="str">
            <v/>
          </cell>
        </row>
        <row r="4860">
          <cell r="B4860" t="str">
            <v/>
          </cell>
        </row>
        <row r="4861">
          <cell r="B4861" t="str">
            <v/>
          </cell>
        </row>
        <row r="4862">
          <cell r="B4862" t="str">
            <v/>
          </cell>
        </row>
        <row r="4863">
          <cell r="B4863" t="str">
            <v/>
          </cell>
        </row>
        <row r="4864">
          <cell r="B4864" t="str">
            <v/>
          </cell>
        </row>
        <row r="4865">
          <cell r="B4865" t="str">
            <v/>
          </cell>
        </row>
        <row r="4866">
          <cell r="B4866" t="str">
            <v/>
          </cell>
        </row>
        <row r="4867">
          <cell r="B4867" t="str">
            <v/>
          </cell>
        </row>
        <row r="4868">
          <cell r="B4868" t="str">
            <v/>
          </cell>
        </row>
        <row r="4869">
          <cell r="B4869" t="str">
            <v/>
          </cell>
        </row>
        <row r="4870">
          <cell r="B4870" t="str">
            <v/>
          </cell>
        </row>
        <row r="4871">
          <cell r="B4871" t="str">
            <v/>
          </cell>
        </row>
        <row r="4872">
          <cell r="B4872" t="str">
            <v/>
          </cell>
        </row>
        <row r="4873">
          <cell r="B4873" t="str">
            <v/>
          </cell>
        </row>
        <row r="4874">
          <cell r="B4874" t="str">
            <v/>
          </cell>
        </row>
        <row r="4875">
          <cell r="B4875" t="str">
            <v/>
          </cell>
        </row>
        <row r="4876">
          <cell r="B4876" t="str">
            <v/>
          </cell>
        </row>
        <row r="4877">
          <cell r="B4877" t="str">
            <v/>
          </cell>
        </row>
        <row r="4878">
          <cell r="B4878" t="str">
            <v/>
          </cell>
        </row>
        <row r="4879">
          <cell r="B4879" t="str">
            <v/>
          </cell>
        </row>
        <row r="4880">
          <cell r="B4880" t="str">
            <v/>
          </cell>
        </row>
        <row r="4881">
          <cell r="B4881" t="str">
            <v/>
          </cell>
        </row>
        <row r="4882">
          <cell r="B4882" t="str">
            <v/>
          </cell>
        </row>
        <row r="4883">
          <cell r="B4883" t="str">
            <v/>
          </cell>
        </row>
        <row r="4884">
          <cell r="B4884" t="str">
            <v/>
          </cell>
        </row>
        <row r="4885">
          <cell r="B4885" t="str">
            <v/>
          </cell>
        </row>
        <row r="4886">
          <cell r="B4886" t="str">
            <v/>
          </cell>
        </row>
        <row r="4887">
          <cell r="B4887" t="str">
            <v/>
          </cell>
        </row>
        <row r="4888">
          <cell r="B4888" t="str">
            <v/>
          </cell>
        </row>
        <row r="4889">
          <cell r="B4889" t="str">
            <v/>
          </cell>
        </row>
        <row r="4890">
          <cell r="B4890" t="str">
            <v/>
          </cell>
        </row>
        <row r="4891">
          <cell r="B4891" t="str">
            <v/>
          </cell>
        </row>
        <row r="4892">
          <cell r="B4892" t="str">
            <v/>
          </cell>
        </row>
        <row r="4893">
          <cell r="B4893" t="str">
            <v/>
          </cell>
        </row>
        <row r="4894">
          <cell r="B4894" t="str">
            <v/>
          </cell>
        </row>
        <row r="4895">
          <cell r="B4895" t="str">
            <v/>
          </cell>
        </row>
        <row r="4896">
          <cell r="B4896" t="str">
            <v/>
          </cell>
        </row>
        <row r="4897">
          <cell r="B4897" t="str">
            <v/>
          </cell>
        </row>
        <row r="4898">
          <cell r="B4898" t="str">
            <v/>
          </cell>
        </row>
        <row r="4899">
          <cell r="B4899" t="str">
            <v/>
          </cell>
        </row>
        <row r="4900">
          <cell r="B4900" t="str">
            <v/>
          </cell>
        </row>
        <row r="4901">
          <cell r="B4901" t="str">
            <v/>
          </cell>
        </row>
        <row r="4902">
          <cell r="B4902" t="str">
            <v/>
          </cell>
        </row>
        <row r="4903">
          <cell r="B4903" t="str">
            <v/>
          </cell>
        </row>
        <row r="4904">
          <cell r="B4904" t="str">
            <v/>
          </cell>
        </row>
        <row r="4905">
          <cell r="B4905" t="str">
            <v/>
          </cell>
        </row>
        <row r="4906">
          <cell r="B4906" t="str">
            <v/>
          </cell>
        </row>
        <row r="4907">
          <cell r="B4907" t="str">
            <v/>
          </cell>
        </row>
        <row r="4908">
          <cell r="B4908" t="str">
            <v/>
          </cell>
        </row>
        <row r="4909">
          <cell r="B4909" t="str">
            <v/>
          </cell>
        </row>
        <row r="4910">
          <cell r="B4910" t="str">
            <v/>
          </cell>
        </row>
        <row r="4911">
          <cell r="B4911" t="str">
            <v/>
          </cell>
        </row>
        <row r="4912">
          <cell r="B4912" t="str">
            <v/>
          </cell>
        </row>
        <row r="4913">
          <cell r="B4913" t="str">
            <v/>
          </cell>
        </row>
        <row r="4914">
          <cell r="B4914" t="str">
            <v/>
          </cell>
        </row>
        <row r="4915">
          <cell r="B4915" t="str">
            <v/>
          </cell>
        </row>
        <row r="4916">
          <cell r="B4916" t="str">
            <v/>
          </cell>
        </row>
        <row r="4917">
          <cell r="B4917" t="str">
            <v/>
          </cell>
        </row>
        <row r="4918">
          <cell r="B4918" t="str">
            <v/>
          </cell>
        </row>
        <row r="4919">
          <cell r="B4919" t="str">
            <v/>
          </cell>
        </row>
        <row r="4920">
          <cell r="B4920" t="str">
            <v/>
          </cell>
        </row>
        <row r="4921">
          <cell r="B4921" t="str">
            <v/>
          </cell>
        </row>
        <row r="4922">
          <cell r="B4922" t="str">
            <v/>
          </cell>
        </row>
        <row r="4923">
          <cell r="B4923" t="str">
            <v/>
          </cell>
        </row>
        <row r="4924">
          <cell r="B4924" t="str">
            <v/>
          </cell>
        </row>
        <row r="4925">
          <cell r="B4925" t="str">
            <v/>
          </cell>
        </row>
        <row r="4926">
          <cell r="B4926" t="str">
            <v/>
          </cell>
        </row>
        <row r="4927">
          <cell r="B4927" t="str">
            <v/>
          </cell>
        </row>
        <row r="4928">
          <cell r="B4928" t="str">
            <v/>
          </cell>
        </row>
        <row r="4929">
          <cell r="B4929" t="str">
            <v/>
          </cell>
        </row>
        <row r="4930">
          <cell r="B4930" t="str">
            <v/>
          </cell>
        </row>
        <row r="4931">
          <cell r="B4931" t="str">
            <v/>
          </cell>
        </row>
        <row r="4932">
          <cell r="B4932" t="str">
            <v/>
          </cell>
        </row>
        <row r="4933">
          <cell r="B4933" t="str">
            <v/>
          </cell>
        </row>
        <row r="4934">
          <cell r="B4934" t="str">
            <v/>
          </cell>
        </row>
        <row r="4935">
          <cell r="B4935" t="str">
            <v/>
          </cell>
        </row>
        <row r="4936">
          <cell r="B4936" t="str">
            <v/>
          </cell>
        </row>
        <row r="4937">
          <cell r="B4937" t="str">
            <v/>
          </cell>
        </row>
        <row r="4938">
          <cell r="B4938" t="str">
            <v/>
          </cell>
        </row>
        <row r="4939">
          <cell r="B4939" t="str">
            <v/>
          </cell>
        </row>
        <row r="4940">
          <cell r="B4940" t="str">
            <v/>
          </cell>
        </row>
        <row r="4941">
          <cell r="B4941" t="str">
            <v/>
          </cell>
        </row>
        <row r="4942">
          <cell r="B4942" t="str">
            <v/>
          </cell>
        </row>
        <row r="4943">
          <cell r="B4943" t="str">
            <v/>
          </cell>
        </row>
        <row r="4944">
          <cell r="B4944" t="str">
            <v/>
          </cell>
        </row>
        <row r="4945">
          <cell r="B4945" t="str">
            <v/>
          </cell>
        </row>
        <row r="4946">
          <cell r="B4946" t="str">
            <v/>
          </cell>
        </row>
        <row r="4947">
          <cell r="B4947" t="str">
            <v/>
          </cell>
        </row>
        <row r="4948">
          <cell r="B4948" t="str">
            <v/>
          </cell>
        </row>
        <row r="4949">
          <cell r="B4949" t="str">
            <v/>
          </cell>
        </row>
        <row r="4950">
          <cell r="B4950" t="str">
            <v/>
          </cell>
        </row>
        <row r="4951">
          <cell r="B4951" t="str">
            <v/>
          </cell>
        </row>
        <row r="4952">
          <cell r="B4952" t="str">
            <v/>
          </cell>
        </row>
        <row r="4953">
          <cell r="B4953" t="str">
            <v/>
          </cell>
        </row>
        <row r="4954">
          <cell r="B4954" t="str">
            <v/>
          </cell>
        </row>
        <row r="4955">
          <cell r="B4955" t="str">
            <v/>
          </cell>
        </row>
        <row r="4956">
          <cell r="B4956" t="str">
            <v/>
          </cell>
        </row>
        <row r="4957">
          <cell r="B4957" t="str">
            <v/>
          </cell>
        </row>
        <row r="4958">
          <cell r="B4958" t="str">
            <v/>
          </cell>
        </row>
        <row r="4959">
          <cell r="B4959" t="str">
            <v/>
          </cell>
        </row>
        <row r="4960">
          <cell r="B4960" t="str">
            <v/>
          </cell>
        </row>
        <row r="4961">
          <cell r="B4961" t="str">
            <v/>
          </cell>
        </row>
        <row r="4962">
          <cell r="B4962" t="str">
            <v/>
          </cell>
        </row>
        <row r="4963">
          <cell r="B4963" t="str">
            <v/>
          </cell>
        </row>
        <row r="4964">
          <cell r="B4964" t="str">
            <v/>
          </cell>
        </row>
        <row r="4965">
          <cell r="B4965" t="str">
            <v/>
          </cell>
        </row>
        <row r="4966">
          <cell r="B4966" t="str">
            <v/>
          </cell>
        </row>
        <row r="4967">
          <cell r="B4967" t="str">
            <v/>
          </cell>
        </row>
        <row r="4968">
          <cell r="B4968" t="str">
            <v/>
          </cell>
        </row>
        <row r="4969">
          <cell r="B4969" t="str">
            <v/>
          </cell>
        </row>
        <row r="4970">
          <cell r="B4970" t="str">
            <v/>
          </cell>
        </row>
        <row r="4971">
          <cell r="B4971" t="str">
            <v/>
          </cell>
        </row>
        <row r="4972">
          <cell r="B4972" t="str">
            <v/>
          </cell>
        </row>
        <row r="4973">
          <cell r="B4973" t="str">
            <v/>
          </cell>
        </row>
        <row r="4974">
          <cell r="B4974" t="str">
            <v/>
          </cell>
        </row>
        <row r="4975">
          <cell r="B4975" t="str">
            <v/>
          </cell>
        </row>
        <row r="4976">
          <cell r="B4976" t="str">
            <v/>
          </cell>
        </row>
        <row r="4977">
          <cell r="B4977" t="str">
            <v/>
          </cell>
        </row>
        <row r="4978">
          <cell r="B4978" t="str">
            <v/>
          </cell>
        </row>
        <row r="4979">
          <cell r="B4979" t="str">
            <v/>
          </cell>
        </row>
        <row r="4980">
          <cell r="B4980" t="str">
            <v/>
          </cell>
        </row>
        <row r="4981">
          <cell r="B4981" t="str">
            <v/>
          </cell>
        </row>
        <row r="4982">
          <cell r="B4982" t="str">
            <v/>
          </cell>
        </row>
        <row r="4983">
          <cell r="B4983" t="str">
            <v/>
          </cell>
        </row>
        <row r="4984">
          <cell r="B4984" t="str">
            <v/>
          </cell>
        </row>
        <row r="4985">
          <cell r="B4985" t="str">
            <v/>
          </cell>
        </row>
        <row r="4986">
          <cell r="B4986" t="str">
            <v/>
          </cell>
        </row>
        <row r="4987">
          <cell r="B4987" t="str">
            <v/>
          </cell>
        </row>
        <row r="4988">
          <cell r="B4988" t="str">
            <v/>
          </cell>
        </row>
        <row r="4989">
          <cell r="B4989" t="str">
            <v/>
          </cell>
        </row>
        <row r="4990">
          <cell r="B4990" t="str">
            <v/>
          </cell>
        </row>
        <row r="4991">
          <cell r="B4991" t="str">
            <v/>
          </cell>
        </row>
        <row r="4992">
          <cell r="B4992" t="str">
            <v/>
          </cell>
        </row>
        <row r="4993">
          <cell r="B4993" t="str">
            <v/>
          </cell>
        </row>
        <row r="4994">
          <cell r="B4994" t="str">
            <v/>
          </cell>
        </row>
        <row r="4995">
          <cell r="B4995" t="str">
            <v/>
          </cell>
        </row>
        <row r="4996">
          <cell r="B4996" t="str">
            <v/>
          </cell>
        </row>
        <row r="4997">
          <cell r="B4997" t="str">
            <v/>
          </cell>
        </row>
        <row r="4998">
          <cell r="B4998" t="str">
            <v/>
          </cell>
        </row>
        <row r="4999">
          <cell r="B4999" t="str">
            <v/>
          </cell>
        </row>
        <row r="5000">
          <cell r="B5000" t="str">
            <v/>
          </cell>
        </row>
        <row r="5001">
          <cell r="B5001" t="str">
            <v/>
          </cell>
        </row>
        <row r="5002">
          <cell r="B5002" t="str">
            <v/>
          </cell>
        </row>
        <row r="5003">
          <cell r="B5003" t="str">
            <v/>
          </cell>
        </row>
        <row r="5004">
          <cell r="B5004" t="str">
            <v/>
          </cell>
        </row>
        <row r="5005">
          <cell r="B5005" t="str">
            <v/>
          </cell>
        </row>
        <row r="5006">
          <cell r="B5006" t="str">
            <v/>
          </cell>
        </row>
        <row r="5007">
          <cell r="B5007" t="str">
            <v/>
          </cell>
        </row>
        <row r="5008">
          <cell r="B5008" t="str">
            <v/>
          </cell>
        </row>
        <row r="5009">
          <cell r="B5009" t="str">
            <v/>
          </cell>
        </row>
        <row r="5010">
          <cell r="B5010" t="str">
            <v/>
          </cell>
        </row>
        <row r="5011">
          <cell r="B5011" t="str">
            <v/>
          </cell>
        </row>
        <row r="5012">
          <cell r="B5012" t="str">
            <v/>
          </cell>
        </row>
        <row r="5013">
          <cell r="B5013" t="str">
            <v/>
          </cell>
        </row>
        <row r="5014">
          <cell r="B5014" t="str">
            <v/>
          </cell>
        </row>
        <row r="5015">
          <cell r="B5015" t="str">
            <v/>
          </cell>
        </row>
        <row r="5016">
          <cell r="B5016" t="str">
            <v/>
          </cell>
        </row>
        <row r="5017">
          <cell r="B5017" t="str">
            <v/>
          </cell>
        </row>
        <row r="5018">
          <cell r="B5018" t="str">
            <v/>
          </cell>
        </row>
        <row r="5019">
          <cell r="B5019" t="str">
            <v/>
          </cell>
        </row>
        <row r="5020">
          <cell r="B5020" t="str">
            <v/>
          </cell>
        </row>
        <row r="5021">
          <cell r="B5021" t="str">
            <v/>
          </cell>
        </row>
        <row r="5022">
          <cell r="B5022" t="str">
            <v/>
          </cell>
        </row>
        <row r="5023">
          <cell r="B5023" t="str">
            <v/>
          </cell>
        </row>
        <row r="5024">
          <cell r="B5024" t="str">
            <v/>
          </cell>
        </row>
        <row r="5025">
          <cell r="B5025" t="str">
            <v/>
          </cell>
        </row>
        <row r="5026">
          <cell r="B5026" t="str">
            <v/>
          </cell>
        </row>
        <row r="5027">
          <cell r="B5027" t="str">
            <v/>
          </cell>
        </row>
        <row r="5028">
          <cell r="B5028" t="str">
            <v/>
          </cell>
        </row>
        <row r="5029">
          <cell r="B5029" t="str">
            <v/>
          </cell>
        </row>
        <row r="5030">
          <cell r="B5030" t="str">
            <v/>
          </cell>
        </row>
        <row r="5031">
          <cell r="B5031" t="str">
            <v/>
          </cell>
        </row>
        <row r="5032">
          <cell r="B5032" t="str">
            <v/>
          </cell>
        </row>
        <row r="5033">
          <cell r="B5033" t="str">
            <v/>
          </cell>
        </row>
        <row r="5034">
          <cell r="B5034" t="str">
            <v/>
          </cell>
        </row>
        <row r="5035">
          <cell r="B5035" t="str">
            <v/>
          </cell>
        </row>
        <row r="5036">
          <cell r="B5036" t="str">
            <v/>
          </cell>
        </row>
        <row r="5037">
          <cell r="B5037" t="str">
            <v/>
          </cell>
        </row>
        <row r="5038">
          <cell r="B5038" t="str">
            <v/>
          </cell>
        </row>
        <row r="5039">
          <cell r="B5039" t="str">
            <v/>
          </cell>
        </row>
        <row r="5040">
          <cell r="B5040" t="str">
            <v/>
          </cell>
        </row>
        <row r="5041">
          <cell r="B5041" t="str">
            <v/>
          </cell>
        </row>
        <row r="5042">
          <cell r="B5042" t="str">
            <v/>
          </cell>
        </row>
        <row r="5043">
          <cell r="B5043" t="str">
            <v/>
          </cell>
        </row>
        <row r="5044">
          <cell r="B5044" t="str">
            <v/>
          </cell>
        </row>
        <row r="5045">
          <cell r="B5045" t="str">
            <v/>
          </cell>
        </row>
        <row r="5046">
          <cell r="B5046" t="str">
            <v/>
          </cell>
        </row>
        <row r="5047">
          <cell r="B5047" t="str">
            <v/>
          </cell>
        </row>
        <row r="5048">
          <cell r="B5048" t="str">
            <v/>
          </cell>
        </row>
        <row r="5049">
          <cell r="B5049" t="str">
            <v/>
          </cell>
        </row>
        <row r="5050">
          <cell r="B5050" t="str">
            <v/>
          </cell>
        </row>
        <row r="5051">
          <cell r="B5051" t="str">
            <v/>
          </cell>
        </row>
        <row r="5052">
          <cell r="B5052" t="str">
            <v/>
          </cell>
        </row>
        <row r="5053">
          <cell r="B5053" t="str">
            <v/>
          </cell>
        </row>
        <row r="5054">
          <cell r="B5054" t="str">
            <v/>
          </cell>
        </row>
        <row r="5055">
          <cell r="B5055" t="str">
            <v/>
          </cell>
        </row>
        <row r="5056">
          <cell r="B5056" t="str">
            <v/>
          </cell>
        </row>
        <row r="5057">
          <cell r="B5057" t="str">
            <v/>
          </cell>
        </row>
        <row r="5058">
          <cell r="B5058" t="str">
            <v/>
          </cell>
        </row>
        <row r="5059">
          <cell r="B5059" t="str">
            <v/>
          </cell>
        </row>
        <row r="5060">
          <cell r="B5060" t="str">
            <v/>
          </cell>
        </row>
        <row r="5061">
          <cell r="B5061" t="str">
            <v/>
          </cell>
        </row>
        <row r="5062">
          <cell r="B5062" t="str">
            <v/>
          </cell>
        </row>
        <row r="5063">
          <cell r="B5063" t="str">
            <v/>
          </cell>
        </row>
        <row r="5064">
          <cell r="B5064" t="str">
            <v/>
          </cell>
        </row>
        <row r="5065">
          <cell r="B5065" t="str">
            <v/>
          </cell>
        </row>
        <row r="5066">
          <cell r="B5066" t="str">
            <v/>
          </cell>
        </row>
        <row r="5067">
          <cell r="B5067" t="str">
            <v/>
          </cell>
        </row>
        <row r="5068">
          <cell r="B5068" t="str">
            <v/>
          </cell>
        </row>
        <row r="5069">
          <cell r="B5069" t="str">
            <v/>
          </cell>
        </row>
        <row r="5070">
          <cell r="B5070" t="str">
            <v/>
          </cell>
        </row>
        <row r="5071">
          <cell r="B5071" t="str">
            <v/>
          </cell>
        </row>
        <row r="5072">
          <cell r="B5072" t="str">
            <v/>
          </cell>
        </row>
        <row r="5073">
          <cell r="B5073" t="str">
            <v/>
          </cell>
        </row>
        <row r="5074">
          <cell r="B5074" t="str">
            <v/>
          </cell>
        </row>
        <row r="5075">
          <cell r="B5075" t="str">
            <v/>
          </cell>
        </row>
        <row r="5076">
          <cell r="B5076" t="str">
            <v/>
          </cell>
        </row>
        <row r="5077">
          <cell r="B5077" t="str">
            <v/>
          </cell>
        </row>
        <row r="5078">
          <cell r="B5078" t="str">
            <v/>
          </cell>
        </row>
        <row r="5079">
          <cell r="B5079" t="str">
            <v/>
          </cell>
        </row>
        <row r="5080">
          <cell r="B5080" t="str">
            <v/>
          </cell>
        </row>
        <row r="5081">
          <cell r="B5081" t="str">
            <v/>
          </cell>
        </row>
        <row r="5082">
          <cell r="B5082" t="str">
            <v/>
          </cell>
        </row>
        <row r="5083">
          <cell r="B5083" t="str">
            <v/>
          </cell>
        </row>
        <row r="5084">
          <cell r="B5084" t="str">
            <v/>
          </cell>
        </row>
        <row r="5085">
          <cell r="B5085" t="str">
            <v/>
          </cell>
        </row>
        <row r="5086">
          <cell r="B5086" t="str">
            <v/>
          </cell>
        </row>
        <row r="5087">
          <cell r="B5087" t="str">
            <v/>
          </cell>
        </row>
        <row r="5088">
          <cell r="B5088" t="str">
            <v/>
          </cell>
        </row>
        <row r="5089">
          <cell r="B5089" t="str">
            <v/>
          </cell>
        </row>
        <row r="5090">
          <cell r="B5090" t="str">
            <v/>
          </cell>
        </row>
        <row r="5091">
          <cell r="B5091" t="str">
            <v/>
          </cell>
        </row>
        <row r="5092">
          <cell r="B5092" t="str">
            <v/>
          </cell>
        </row>
        <row r="5093">
          <cell r="B5093" t="str">
            <v/>
          </cell>
        </row>
        <row r="5094">
          <cell r="B5094" t="str">
            <v/>
          </cell>
        </row>
        <row r="5095">
          <cell r="B5095" t="str">
            <v/>
          </cell>
        </row>
        <row r="5096">
          <cell r="B5096" t="str">
            <v/>
          </cell>
        </row>
        <row r="5097">
          <cell r="B5097" t="str">
            <v/>
          </cell>
        </row>
        <row r="5098">
          <cell r="B5098" t="str">
            <v/>
          </cell>
        </row>
        <row r="5099">
          <cell r="B5099" t="str">
            <v/>
          </cell>
        </row>
        <row r="5100">
          <cell r="B5100" t="str">
            <v/>
          </cell>
        </row>
        <row r="5101">
          <cell r="B5101" t="str">
            <v/>
          </cell>
        </row>
        <row r="5102">
          <cell r="B5102" t="str">
            <v/>
          </cell>
        </row>
        <row r="5103">
          <cell r="B5103" t="str">
            <v/>
          </cell>
        </row>
        <row r="5104">
          <cell r="B5104" t="str">
            <v/>
          </cell>
        </row>
        <row r="5105">
          <cell r="B5105" t="str">
            <v/>
          </cell>
        </row>
        <row r="5106">
          <cell r="B5106" t="str">
            <v/>
          </cell>
        </row>
        <row r="5107">
          <cell r="B5107" t="str">
            <v/>
          </cell>
        </row>
        <row r="5108">
          <cell r="B5108" t="str">
            <v/>
          </cell>
        </row>
        <row r="5109">
          <cell r="B5109" t="str">
            <v/>
          </cell>
        </row>
        <row r="5110">
          <cell r="B5110" t="str">
            <v/>
          </cell>
        </row>
        <row r="5111">
          <cell r="B5111" t="str">
            <v/>
          </cell>
        </row>
        <row r="5112">
          <cell r="B5112" t="str">
            <v/>
          </cell>
        </row>
        <row r="5113">
          <cell r="B5113" t="str">
            <v/>
          </cell>
        </row>
        <row r="5114">
          <cell r="B5114" t="str">
            <v/>
          </cell>
        </row>
        <row r="5115">
          <cell r="B5115" t="str">
            <v/>
          </cell>
        </row>
        <row r="5116">
          <cell r="B5116" t="str">
            <v/>
          </cell>
        </row>
        <row r="5117">
          <cell r="B5117" t="str">
            <v/>
          </cell>
        </row>
        <row r="5118">
          <cell r="B5118" t="str">
            <v/>
          </cell>
        </row>
        <row r="5119">
          <cell r="B5119" t="str">
            <v/>
          </cell>
        </row>
        <row r="5120">
          <cell r="B5120" t="str">
            <v/>
          </cell>
        </row>
        <row r="5121">
          <cell r="B5121" t="str">
            <v/>
          </cell>
        </row>
        <row r="5122">
          <cell r="B5122" t="str">
            <v/>
          </cell>
        </row>
        <row r="5123">
          <cell r="B5123" t="str">
            <v/>
          </cell>
        </row>
        <row r="5124">
          <cell r="B5124" t="str">
            <v/>
          </cell>
        </row>
        <row r="5125">
          <cell r="B5125" t="str">
            <v/>
          </cell>
        </row>
        <row r="5126">
          <cell r="B5126" t="str">
            <v/>
          </cell>
        </row>
        <row r="5127">
          <cell r="B5127" t="str">
            <v/>
          </cell>
        </row>
        <row r="5128">
          <cell r="B5128" t="str">
            <v/>
          </cell>
        </row>
        <row r="5129">
          <cell r="B5129" t="str">
            <v/>
          </cell>
        </row>
        <row r="5130">
          <cell r="B5130" t="str">
            <v/>
          </cell>
        </row>
        <row r="5131">
          <cell r="B5131" t="str">
            <v/>
          </cell>
        </row>
        <row r="5132">
          <cell r="B5132" t="str">
            <v/>
          </cell>
        </row>
        <row r="5133">
          <cell r="B5133" t="str">
            <v/>
          </cell>
        </row>
        <row r="5134">
          <cell r="B5134" t="str">
            <v/>
          </cell>
        </row>
        <row r="5135">
          <cell r="B5135" t="str">
            <v/>
          </cell>
        </row>
        <row r="5136">
          <cell r="B5136" t="str">
            <v/>
          </cell>
        </row>
        <row r="5137">
          <cell r="B5137" t="str">
            <v/>
          </cell>
        </row>
        <row r="5138">
          <cell r="B5138" t="str">
            <v/>
          </cell>
        </row>
        <row r="5139">
          <cell r="B5139" t="str">
            <v/>
          </cell>
        </row>
        <row r="5140">
          <cell r="B5140" t="str">
            <v/>
          </cell>
        </row>
        <row r="5141">
          <cell r="B5141" t="str">
            <v/>
          </cell>
        </row>
        <row r="5142">
          <cell r="B5142" t="str">
            <v/>
          </cell>
        </row>
        <row r="5143">
          <cell r="B5143" t="str">
            <v/>
          </cell>
        </row>
        <row r="5144">
          <cell r="B5144" t="str">
            <v/>
          </cell>
        </row>
        <row r="5145">
          <cell r="B5145" t="str">
            <v/>
          </cell>
        </row>
        <row r="5146">
          <cell r="B5146" t="str">
            <v/>
          </cell>
        </row>
        <row r="5147">
          <cell r="B5147" t="str">
            <v/>
          </cell>
        </row>
        <row r="5148">
          <cell r="B5148" t="str">
            <v/>
          </cell>
        </row>
        <row r="5149">
          <cell r="B5149" t="str">
            <v/>
          </cell>
        </row>
        <row r="5150">
          <cell r="B5150" t="str">
            <v/>
          </cell>
        </row>
        <row r="5151">
          <cell r="B5151" t="str">
            <v/>
          </cell>
        </row>
        <row r="5152">
          <cell r="B5152" t="str">
            <v/>
          </cell>
        </row>
        <row r="5153">
          <cell r="B5153" t="str">
            <v/>
          </cell>
        </row>
        <row r="5154">
          <cell r="B5154" t="str">
            <v/>
          </cell>
        </row>
        <row r="5155">
          <cell r="B5155" t="str">
            <v/>
          </cell>
        </row>
        <row r="5156">
          <cell r="B5156" t="str">
            <v/>
          </cell>
        </row>
        <row r="5157">
          <cell r="B5157" t="str">
            <v/>
          </cell>
        </row>
        <row r="5158">
          <cell r="B5158" t="str">
            <v/>
          </cell>
        </row>
        <row r="5159">
          <cell r="B5159" t="str">
            <v/>
          </cell>
        </row>
        <row r="5160">
          <cell r="B5160" t="str">
            <v/>
          </cell>
        </row>
        <row r="5161">
          <cell r="B5161" t="str">
            <v/>
          </cell>
        </row>
        <row r="5162">
          <cell r="B5162" t="str">
            <v/>
          </cell>
        </row>
        <row r="5163">
          <cell r="B5163" t="str">
            <v/>
          </cell>
        </row>
        <row r="5164">
          <cell r="B5164" t="str">
            <v/>
          </cell>
        </row>
        <row r="5165">
          <cell r="B5165" t="str">
            <v/>
          </cell>
        </row>
        <row r="5166">
          <cell r="B5166" t="str">
            <v/>
          </cell>
        </row>
        <row r="5167">
          <cell r="B5167" t="str">
            <v/>
          </cell>
        </row>
        <row r="5168">
          <cell r="B5168" t="str">
            <v/>
          </cell>
        </row>
        <row r="5169">
          <cell r="B5169" t="str">
            <v/>
          </cell>
        </row>
        <row r="5170">
          <cell r="B5170" t="str">
            <v/>
          </cell>
        </row>
        <row r="5171">
          <cell r="B5171" t="str">
            <v/>
          </cell>
        </row>
        <row r="5172">
          <cell r="B5172" t="str">
            <v/>
          </cell>
        </row>
        <row r="5173">
          <cell r="B5173" t="str">
            <v/>
          </cell>
        </row>
        <row r="5174">
          <cell r="B5174" t="str">
            <v/>
          </cell>
        </row>
        <row r="5175">
          <cell r="B5175" t="str">
            <v/>
          </cell>
        </row>
        <row r="5176">
          <cell r="B5176" t="str">
            <v/>
          </cell>
        </row>
        <row r="5177">
          <cell r="B5177" t="str">
            <v/>
          </cell>
        </row>
        <row r="5178">
          <cell r="B5178" t="str">
            <v/>
          </cell>
        </row>
        <row r="5179">
          <cell r="B5179" t="str">
            <v/>
          </cell>
        </row>
        <row r="5180">
          <cell r="B5180" t="str">
            <v/>
          </cell>
        </row>
        <row r="5181">
          <cell r="B5181" t="str">
            <v/>
          </cell>
        </row>
        <row r="5182">
          <cell r="B5182" t="str">
            <v/>
          </cell>
        </row>
        <row r="5183">
          <cell r="B5183" t="str">
            <v/>
          </cell>
        </row>
        <row r="5184">
          <cell r="B5184" t="str">
            <v/>
          </cell>
        </row>
        <row r="5185">
          <cell r="B5185" t="str">
            <v/>
          </cell>
        </row>
        <row r="5186">
          <cell r="B5186" t="str">
            <v/>
          </cell>
        </row>
        <row r="5187">
          <cell r="B5187" t="str">
            <v/>
          </cell>
        </row>
        <row r="5188">
          <cell r="B5188" t="str">
            <v/>
          </cell>
        </row>
        <row r="5189">
          <cell r="B5189" t="str">
            <v/>
          </cell>
        </row>
        <row r="5190">
          <cell r="B5190" t="str">
            <v/>
          </cell>
        </row>
        <row r="5191">
          <cell r="B5191" t="str">
            <v/>
          </cell>
        </row>
        <row r="5192">
          <cell r="B5192" t="str">
            <v/>
          </cell>
        </row>
        <row r="5193">
          <cell r="B5193" t="str">
            <v/>
          </cell>
        </row>
        <row r="5194">
          <cell r="B5194" t="str">
            <v/>
          </cell>
        </row>
        <row r="5195">
          <cell r="B5195" t="str">
            <v/>
          </cell>
        </row>
        <row r="5196">
          <cell r="B5196" t="str">
            <v/>
          </cell>
        </row>
        <row r="5197">
          <cell r="B5197" t="str">
            <v/>
          </cell>
        </row>
        <row r="5198">
          <cell r="B5198" t="str">
            <v/>
          </cell>
        </row>
        <row r="5199">
          <cell r="B5199" t="str">
            <v/>
          </cell>
        </row>
        <row r="5200">
          <cell r="B5200" t="str">
            <v/>
          </cell>
        </row>
        <row r="5201">
          <cell r="B5201" t="str">
            <v/>
          </cell>
        </row>
        <row r="5202">
          <cell r="B5202" t="str">
            <v/>
          </cell>
        </row>
        <row r="5203">
          <cell r="B5203" t="str">
            <v/>
          </cell>
        </row>
        <row r="5204">
          <cell r="B5204" t="str">
            <v/>
          </cell>
        </row>
        <row r="5205">
          <cell r="B5205" t="str">
            <v/>
          </cell>
        </row>
        <row r="5206">
          <cell r="B5206" t="str">
            <v/>
          </cell>
        </row>
        <row r="5207">
          <cell r="B5207" t="str">
            <v/>
          </cell>
        </row>
        <row r="5208">
          <cell r="B5208" t="str">
            <v/>
          </cell>
        </row>
        <row r="5209">
          <cell r="B5209" t="str">
            <v/>
          </cell>
        </row>
        <row r="5210">
          <cell r="B5210" t="str">
            <v/>
          </cell>
        </row>
        <row r="5211">
          <cell r="B5211" t="str">
            <v/>
          </cell>
        </row>
        <row r="5212">
          <cell r="B5212" t="str">
            <v/>
          </cell>
        </row>
        <row r="5213">
          <cell r="B5213" t="str">
            <v/>
          </cell>
        </row>
        <row r="5214">
          <cell r="B5214" t="str">
            <v/>
          </cell>
        </row>
        <row r="5215">
          <cell r="B5215" t="str">
            <v/>
          </cell>
        </row>
        <row r="5216">
          <cell r="B5216" t="str">
            <v/>
          </cell>
        </row>
        <row r="5217">
          <cell r="B5217" t="str">
            <v/>
          </cell>
        </row>
        <row r="5218">
          <cell r="B5218" t="str">
            <v/>
          </cell>
        </row>
        <row r="5219">
          <cell r="B5219" t="str">
            <v/>
          </cell>
        </row>
        <row r="5220">
          <cell r="B5220" t="str">
            <v/>
          </cell>
        </row>
        <row r="5221">
          <cell r="B5221" t="str">
            <v/>
          </cell>
        </row>
        <row r="5222">
          <cell r="B5222" t="str">
            <v/>
          </cell>
        </row>
        <row r="5223">
          <cell r="B5223" t="str">
            <v/>
          </cell>
        </row>
        <row r="5224">
          <cell r="B5224" t="str">
            <v/>
          </cell>
        </row>
        <row r="5225">
          <cell r="B5225" t="str">
            <v/>
          </cell>
        </row>
        <row r="5226">
          <cell r="B5226" t="str">
            <v/>
          </cell>
        </row>
        <row r="5227">
          <cell r="B5227" t="str">
            <v/>
          </cell>
        </row>
        <row r="5228">
          <cell r="B5228" t="str">
            <v/>
          </cell>
        </row>
        <row r="5229">
          <cell r="B5229" t="str">
            <v/>
          </cell>
        </row>
        <row r="5230">
          <cell r="B5230" t="str">
            <v/>
          </cell>
        </row>
        <row r="5231">
          <cell r="B5231" t="str">
            <v/>
          </cell>
        </row>
        <row r="5232">
          <cell r="B5232" t="str">
            <v/>
          </cell>
        </row>
        <row r="5233">
          <cell r="B5233" t="str">
            <v/>
          </cell>
        </row>
        <row r="5234">
          <cell r="B5234" t="str">
            <v/>
          </cell>
        </row>
        <row r="5235">
          <cell r="B5235" t="str">
            <v/>
          </cell>
        </row>
        <row r="5236">
          <cell r="B5236" t="str">
            <v/>
          </cell>
        </row>
        <row r="5237">
          <cell r="B5237" t="str">
            <v/>
          </cell>
        </row>
        <row r="5238">
          <cell r="B5238" t="str">
            <v/>
          </cell>
        </row>
        <row r="5239">
          <cell r="B5239" t="str">
            <v/>
          </cell>
        </row>
        <row r="5240">
          <cell r="B5240" t="str">
            <v/>
          </cell>
        </row>
        <row r="5241">
          <cell r="B5241" t="str">
            <v/>
          </cell>
        </row>
        <row r="5242">
          <cell r="B5242" t="str">
            <v/>
          </cell>
        </row>
        <row r="5243">
          <cell r="B5243" t="str">
            <v/>
          </cell>
        </row>
        <row r="5244">
          <cell r="B5244" t="str">
            <v/>
          </cell>
        </row>
        <row r="5245">
          <cell r="B5245" t="str">
            <v/>
          </cell>
        </row>
        <row r="5246">
          <cell r="B5246" t="str">
            <v/>
          </cell>
        </row>
        <row r="5247">
          <cell r="B5247" t="str">
            <v/>
          </cell>
        </row>
        <row r="5248">
          <cell r="B5248" t="str">
            <v/>
          </cell>
        </row>
        <row r="5249">
          <cell r="B5249" t="str">
            <v/>
          </cell>
        </row>
        <row r="5250">
          <cell r="B5250" t="str">
            <v/>
          </cell>
        </row>
        <row r="5251">
          <cell r="B5251" t="str">
            <v/>
          </cell>
        </row>
        <row r="5252">
          <cell r="B5252" t="str">
            <v/>
          </cell>
        </row>
        <row r="5253">
          <cell r="B5253" t="str">
            <v/>
          </cell>
        </row>
        <row r="5254">
          <cell r="B5254" t="str">
            <v/>
          </cell>
        </row>
        <row r="5255">
          <cell r="B5255" t="str">
            <v/>
          </cell>
        </row>
        <row r="5256">
          <cell r="B5256" t="str">
            <v/>
          </cell>
        </row>
        <row r="5257">
          <cell r="B5257" t="str">
            <v/>
          </cell>
        </row>
        <row r="5258">
          <cell r="B5258" t="str">
            <v/>
          </cell>
        </row>
        <row r="5259">
          <cell r="B5259" t="str">
            <v/>
          </cell>
        </row>
        <row r="5260">
          <cell r="B5260" t="str">
            <v/>
          </cell>
        </row>
        <row r="5261">
          <cell r="B5261" t="str">
            <v/>
          </cell>
        </row>
        <row r="5262">
          <cell r="B5262" t="str">
            <v/>
          </cell>
        </row>
        <row r="5263">
          <cell r="B5263" t="str">
            <v/>
          </cell>
        </row>
        <row r="5264">
          <cell r="B5264" t="str">
            <v/>
          </cell>
        </row>
        <row r="5265">
          <cell r="B5265" t="str">
            <v/>
          </cell>
        </row>
        <row r="5266">
          <cell r="B5266" t="str">
            <v/>
          </cell>
        </row>
        <row r="5267">
          <cell r="B5267" t="str">
            <v/>
          </cell>
        </row>
        <row r="5268">
          <cell r="B5268" t="str">
            <v/>
          </cell>
        </row>
        <row r="5269">
          <cell r="B5269" t="str">
            <v/>
          </cell>
        </row>
        <row r="5270">
          <cell r="B5270" t="str">
            <v/>
          </cell>
        </row>
        <row r="5271">
          <cell r="B5271" t="str">
            <v/>
          </cell>
        </row>
        <row r="5272">
          <cell r="B5272" t="str">
            <v/>
          </cell>
        </row>
        <row r="5273">
          <cell r="B5273" t="str">
            <v/>
          </cell>
        </row>
        <row r="5274">
          <cell r="B5274" t="str">
            <v/>
          </cell>
        </row>
        <row r="5275">
          <cell r="B5275" t="str">
            <v/>
          </cell>
        </row>
        <row r="5276">
          <cell r="B5276" t="str">
            <v/>
          </cell>
        </row>
        <row r="5277">
          <cell r="B5277" t="str">
            <v/>
          </cell>
        </row>
        <row r="5278">
          <cell r="B5278" t="str">
            <v/>
          </cell>
        </row>
        <row r="5279">
          <cell r="B5279" t="str">
            <v/>
          </cell>
        </row>
        <row r="5280">
          <cell r="B5280" t="str">
            <v/>
          </cell>
        </row>
        <row r="5281">
          <cell r="B5281" t="str">
            <v/>
          </cell>
        </row>
        <row r="5282">
          <cell r="B5282" t="str">
            <v/>
          </cell>
        </row>
        <row r="5283">
          <cell r="B5283" t="str">
            <v/>
          </cell>
        </row>
        <row r="5284">
          <cell r="B5284" t="str">
            <v/>
          </cell>
        </row>
        <row r="5285">
          <cell r="B5285" t="str">
            <v/>
          </cell>
        </row>
        <row r="5286">
          <cell r="B5286" t="str">
            <v/>
          </cell>
        </row>
        <row r="5287">
          <cell r="B5287" t="str">
            <v/>
          </cell>
        </row>
        <row r="5288">
          <cell r="B5288" t="str">
            <v/>
          </cell>
        </row>
        <row r="5289">
          <cell r="B5289" t="str">
            <v/>
          </cell>
        </row>
        <row r="5290">
          <cell r="B5290" t="str">
            <v/>
          </cell>
        </row>
        <row r="5291">
          <cell r="B5291" t="str">
            <v/>
          </cell>
        </row>
        <row r="5292">
          <cell r="B5292" t="str">
            <v/>
          </cell>
        </row>
        <row r="5293">
          <cell r="B5293" t="str">
            <v/>
          </cell>
        </row>
        <row r="5294">
          <cell r="B5294" t="str">
            <v/>
          </cell>
        </row>
        <row r="5295">
          <cell r="B5295" t="str">
            <v/>
          </cell>
        </row>
        <row r="5296">
          <cell r="B5296" t="str">
            <v/>
          </cell>
        </row>
        <row r="5297">
          <cell r="B5297" t="str">
            <v/>
          </cell>
        </row>
        <row r="5298">
          <cell r="B5298" t="str">
            <v/>
          </cell>
        </row>
        <row r="5299">
          <cell r="B5299" t="str">
            <v/>
          </cell>
        </row>
        <row r="5300">
          <cell r="B5300" t="str">
            <v/>
          </cell>
        </row>
        <row r="5301">
          <cell r="B5301" t="str">
            <v/>
          </cell>
        </row>
        <row r="5302">
          <cell r="B5302" t="str">
            <v/>
          </cell>
        </row>
        <row r="5303">
          <cell r="B5303" t="str">
            <v/>
          </cell>
        </row>
        <row r="5304">
          <cell r="B5304" t="str">
            <v/>
          </cell>
        </row>
        <row r="5305">
          <cell r="B5305" t="str">
            <v/>
          </cell>
        </row>
        <row r="5306">
          <cell r="B5306" t="str">
            <v/>
          </cell>
        </row>
        <row r="5307">
          <cell r="B5307" t="str">
            <v/>
          </cell>
        </row>
        <row r="5308">
          <cell r="B5308" t="str">
            <v/>
          </cell>
        </row>
        <row r="5309">
          <cell r="B5309" t="str">
            <v/>
          </cell>
        </row>
        <row r="5310">
          <cell r="B5310" t="str">
            <v/>
          </cell>
        </row>
        <row r="5311">
          <cell r="B5311" t="str">
            <v/>
          </cell>
        </row>
        <row r="5312">
          <cell r="B5312" t="str">
            <v/>
          </cell>
        </row>
        <row r="5313">
          <cell r="B5313" t="str">
            <v/>
          </cell>
        </row>
        <row r="5314">
          <cell r="B5314" t="str">
            <v/>
          </cell>
        </row>
        <row r="5315">
          <cell r="B5315" t="str">
            <v/>
          </cell>
        </row>
        <row r="5316">
          <cell r="B5316" t="str">
            <v/>
          </cell>
        </row>
        <row r="5317">
          <cell r="B5317" t="str">
            <v/>
          </cell>
        </row>
        <row r="5318">
          <cell r="B5318" t="str">
            <v/>
          </cell>
        </row>
        <row r="5319">
          <cell r="B5319" t="str">
            <v/>
          </cell>
        </row>
        <row r="5320">
          <cell r="B5320" t="str">
            <v/>
          </cell>
        </row>
        <row r="5321">
          <cell r="B5321" t="str">
            <v/>
          </cell>
        </row>
        <row r="5322">
          <cell r="B5322" t="str">
            <v/>
          </cell>
        </row>
        <row r="5323">
          <cell r="B5323" t="str">
            <v/>
          </cell>
        </row>
        <row r="5324">
          <cell r="B5324" t="str">
            <v/>
          </cell>
        </row>
        <row r="5325">
          <cell r="B5325" t="str">
            <v/>
          </cell>
        </row>
        <row r="5326">
          <cell r="B5326" t="str">
            <v/>
          </cell>
        </row>
        <row r="5327">
          <cell r="B5327" t="str">
            <v/>
          </cell>
        </row>
        <row r="5328">
          <cell r="B5328" t="str">
            <v/>
          </cell>
        </row>
        <row r="5329">
          <cell r="B5329" t="str">
            <v/>
          </cell>
        </row>
        <row r="5330">
          <cell r="B5330" t="str">
            <v/>
          </cell>
        </row>
        <row r="5331">
          <cell r="B5331" t="str">
            <v/>
          </cell>
        </row>
        <row r="5332">
          <cell r="B5332" t="str">
            <v/>
          </cell>
        </row>
        <row r="5333">
          <cell r="B5333" t="str">
            <v/>
          </cell>
        </row>
        <row r="5334">
          <cell r="B5334" t="str">
            <v/>
          </cell>
        </row>
        <row r="5335">
          <cell r="B5335" t="str">
            <v/>
          </cell>
        </row>
        <row r="5336">
          <cell r="B5336" t="str">
            <v/>
          </cell>
        </row>
        <row r="5337">
          <cell r="B5337" t="str">
            <v/>
          </cell>
        </row>
        <row r="5338">
          <cell r="B5338" t="str">
            <v/>
          </cell>
        </row>
        <row r="5339">
          <cell r="B5339" t="str">
            <v/>
          </cell>
        </row>
        <row r="5340">
          <cell r="B5340" t="str">
            <v/>
          </cell>
        </row>
        <row r="5341">
          <cell r="B5341" t="str">
            <v/>
          </cell>
        </row>
        <row r="5342">
          <cell r="B5342" t="str">
            <v/>
          </cell>
        </row>
        <row r="5343">
          <cell r="B5343" t="str">
            <v/>
          </cell>
        </row>
        <row r="5344">
          <cell r="B5344" t="str">
            <v/>
          </cell>
        </row>
        <row r="5345">
          <cell r="B5345" t="str">
            <v/>
          </cell>
        </row>
        <row r="5346">
          <cell r="B5346" t="str">
            <v/>
          </cell>
        </row>
        <row r="5347">
          <cell r="B5347" t="str">
            <v/>
          </cell>
        </row>
        <row r="5348">
          <cell r="B5348" t="str">
            <v/>
          </cell>
        </row>
        <row r="5349">
          <cell r="B5349" t="str">
            <v/>
          </cell>
        </row>
        <row r="5350">
          <cell r="B5350" t="str">
            <v/>
          </cell>
        </row>
        <row r="5351">
          <cell r="B5351" t="str">
            <v/>
          </cell>
        </row>
        <row r="5352">
          <cell r="B5352" t="str">
            <v/>
          </cell>
        </row>
        <row r="5353">
          <cell r="B5353" t="str">
            <v/>
          </cell>
        </row>
        <row r="5354">
          <cell r="B5354" t="str">
            <v/>
          </cell>
        </row>
        <row r="5355">
          <cell r="B5355" t="str">
            <v/>
          </cell>
        </row>
        <row r="5356">
          <cell r="B5356" t="str">
            <v/>
          </cell>
        </row>
        <row r="5357">
          <cell r="B5357" t="str">
            <v/>
          </cell>
        </row>
        <row r="5358">
          <cell r="B5358" t="str">
            <v/>
          </cell>
        </row>
        <row r="5359">
          <cell r="B5359" t="str">
            <v/>
          </cell>
        </row>
        <row r="5360">
          <cell r="B5360" t="str">
            <v/>
          </cell>
        </row>
        <row r="5361">
          <cell r="B5361" t="str">
            <v/>
          </cell>
        </row>
        <row r="5362">
          <cell r="B5362" t="str">
            <v/>
          </cell>
        </row>
        <row r="5363">
          <cell r="B5363" t="str">
            <v/>
          </cell>
        </row>
        <row r="5364">
          <cell r="B5364" t="str">
            <v/>
          </cell>
        </row>
        <row r="5365">
          <cell r="B5365" t="str">
            <v/>
          </cell>
        </row>
        <row r="5366">
          <cell r="B5366" t="str">
            <v/>
          </cell>
        </row>
        <row r="5367">
          <cell r="B5367" t="str">
            <v/>
          </cell>
        </row>
        <row r="5368">
          <cell r="B5368" t="str">
            <v/>
          </cell>
        </row>
        <row r="5369">
          <cell r="B5369" t="str">
            <v/>
          </cell>
        </row>
        <row r="5370">
          <cell r="B5370" t="str">
            <v/>
          </cell>
        </row>
        <row r="5371">
          <cell r="B5371" t="str">
            <v/>
          </cell>
        </row>
        <row r="5372">
          <cell r="B5372" t="str">
            <v/>
          </cell>
        </row>
        <row r="5373">
          <cell r="B5373" t="str">
            <v/>
          </cell>
        </row>
        <row r="5374">
          <cell r="B5374" t="str">
            <v/>
          </cell>
        </row>
        <row r="5375">
          <cell r="B5375" t="str">
            <v/>
          </cell>
        </row>
        <row r="5376">
          <cell r="B5376" t="str">
            <v/>
          </cell>
        </row>
        <row r="5377">
          <cell r="B5377" t="str">
            <v/>
          </cell>
        </row>
        <row r="5378">
          <cell r="B5378" t="str">
            <v/>
          </cell>
        </row>
        <row r="5379">
          <cell r="B5379" t="str">
            <v/>
          </cell>
        </row>
        <row r="5380">
          <cell r="B5380" t="str">
            <v/>
          </cell>
        </row>
        <row r="5381">
          <cell r="B5381" t="str">
            <v/>
          </cell>
        </row>
        <row r="5382">
          <cell r="B5382" t="str">
            <v/>
          </cell>
        </row>
        <row r="5383">
          <cell r="B5383" t="str">
            <v/>
          </cell>
        </row>
        <row r="5384">
          <cell r="B5384" t="str">
            <v/>
          </cell>
        </row>
        <row r="5385">
          <cell r="B5385" t="str">
            <v/>
          </cell>
        </row>
        <row r="5386">
          <cell r="B5386" t="str">
            <v/>
          </cell>
        </row>
        <row r="5387">
          <cell r="B5387" t="str">
            <v/>
          </cell>
        </row>
        <row r="5388">
          <cell r="B5388" t="str">
            <v/>
          </cell>
        </row>
        <row r="5389">
          <cell r="B5389" t="str">
            <v/>
          </cell>
        </row>
        <row r="5390">
          <cell r="B5390" t="str">
            <v/>
          </cell>
        </row>
        <row r="5391">
          <cell r="B5391" t="str">
            <v/>
          </cell>
        </row>
        <row r="5392">
          <cell r="B5392" t="str">
            <v/>
          </cell>
        </row>
        <row r="5393">
          <cell r="B5393" t="str">
            <v/>
          </cell>
        </row>
        <row r="5394">
          <cell r="B5394" t="str">
            <v/>
          </cell>
        </row>
        <row r="5395">
          <cell r="B5395" t="str">
            <v/>
          </cell>
        </row>
        <row r="5396">
          <cell r="B5396" t="str">
            <v/>
          </cell>
        </row>
        <row r="5397">
          <cell r="B5397" t="str">
            <v/>
          </cell>
        </row>
        <row r="5398">
          <cell r="B5398" t="str">
            <v/>
          </cell>
        </row>
        <row r="5399">
          <cell r="B5399" t="str">
            <v/>
          </cell>
        </row>
        <row r="5400">
          <cell r="B5400" t="str">
            <v/>
          </cell>
        </row>
        <row r="5401">
          <cell r="B5401" t="str">
            <v/>
          </cell>
        </row>
        <row r="5402">
          <cell r="B5402" t="str">
            <v/>
          </cell>
        </row>
        <row r="5403">
          <cell r="B5403" t="str">
            <v/>
          </cell>
        </row>
        <row r="5404">
          <cell r="B5404" t="str">
            <v/>
          </cell>
        </row>
        <row r="5405">
          <cell r="B5405" t="str">
            <v/>
          </cell>
        </row>
        <row r="5406">
          <cell r="B5406" t="str">
            <v/>
          </cell>
        </row>
        <row r="5407">
          <cell r="B5407" t="str">
            <v/>
          </cell>
        </row>
        <row r="5408">
          <cell r="B5408" t="str">
            <v/>
          </cell>
        </row>
        <row r="5409">
          <cell r="B5409" t="str">
            <v/>
          </cell>
        </row>
        <row r="5410">
          <cell r="B5410" t="str">
            <v/>
          </cell>
        </row>
        <row r="5411">
          <cell r="B5411" t="str">
            <v/>
          </cell>
        </row>
        <row r="5412">
          <cell r="B5412" t="str">
            <v/>
          </cell>
        </row>
        <row r="5413">
          <cell r="B5413" t="str">
            <v/>
          </cell>
        </row>
        <row r="5414">
          <cell r="B5414" t="str">
            <v/>
          </cell>
        </row>
        <row r="5415">
          <cell r="B5415" t="str">
            <v/>
          </cell>
        </row>
        <row r="5416">
          <cell r="B5416" t="str">
            <v/>
          </cell>
        </row>
        <row r="5417">
          <cell r="B5417" t="str">
            <v/>
          </cell>
        </row>
        <row r="5418">
          <cell r="B5418" t="str">
            <v/>
          </cell>
        </row>
        <row r="5419">
          <cell r="B5419" t="str">
            <v/>
          </cell>
        </row>
        <row r="5420">
          <cell r="B5420" t="str">
            <v/>
          </cell>
        </row>
        <row r="5421">
          <cell r="B5421" t="str">
            <v/>
          </cell>
        </row>
        <row r="5422">
          <cell r="B5422" t="str">
            <v/>
          </cell>
        </row>
        <row r="5423">
          <cell r="B5423" t="str">
            <v/>
          </cell>
        </row>
        <row r="5424">
          <cell r="B5424" t="str">
            <v/>
          </cell>
        </row>
        <row r="5425">
          <cell r="B5425" t="str">
            <v/>
          </cell>
        </row>
        <row r="5426">
          <cell r="B5426" t="str">
            <v/>
          </cell>
        </row>
        <row r="5427">
          <cell r="B5427" t="str">
            <v/>
          </cell>
        </row>
        <row r="5428">
          <cell r="B5428" t="str">
            <v/>
          </cell>
        </row>
        <row r="5429">
          <cell r="B5429" t="str">
            <v/>
          </cell>
        </row>
        <row r="5430">
          <cell r="B5430" t="str">
            <v/>
          </cell>
        </row>
        <row r="5431">
          <cell r="B5431" t="str">
            <v/>
          </cell>
        </row>
        <row r="5432">
          <cell r="B5432" t="str">
            <v/>
          </cell>
        </row>
        <row r="5433">
          <cell r="B5433" t="str">
            <v/>
          </cell>
        </row>
        <row r="5434">
          <cell r="B5434" t="str">
            <v/>
          </cell>
        </row>
        <row r="5435">
          <cell r="B5435" t="str">
            <v/>
          </cell>
        </row>
        <row r="5436">
          <cell r="B5436" t="str">
            <v/>
          </cell>
        </row>
        <row r="5437">
          <cell r="B5437" t="str">
            <v/>
          </cell>
        </row>
        <row r="5438">
          <cell r="B5438" t="str">
            <v/>
          </cell>
        </row>
        <row r="5439">
          <cell r="B5439" t="str">
            <v/>
          </cell>
        </row>
        <row r="5440">
          <cell r="B5440" t="str">
            <v/>
          </cell>
        </row>
        <row r="5441">
          <cell r="B5441" t="str">
            <v/>
          </cell>
        </row>
        <row r="5442">
          <cell r="B5442" t="str">
            <v/>
          </cell>
        </row>
        <row r="5443">
          <cell r="B5443" t="str">
            <v/>
          </cell>
        </row>
        <row r="5444">
          <cell r="B5444" t="str">
            <v/>
          </cell>
        </row>
        <row r="5445">
          <cell r="B5445" t="str">
            <v/>
          </cell>
        </row>
        <row r="5446">
          <cell r="B5446" t="str">
            <v/>
          </cell>
        </row>
        <row r="5447">
          <cell r="B5447" t="str">
            <v/>
          </cell>
        </row>
        <row r="5448">
          <cell r="B5448" t="str">
            <v/>
          </cell>
        </row>
        <row r="5449">
          <cell r="B5449" t="str">
            <v/>
          </cell>
        </row>
        <row r="5450">
          <cell r="B5450" t="str">
            <v/>
          </cell>
        </row>
        <row r="5451">
          <cell r="B5451" t="str">
            <v/>
          </cell>
        </row>
        <row r="5452">
          <cell r="B5452" t="str">
            <v/>
          </cell>
        </row>
        <row r="5453">
          <cell r="B5453" t="str">
            <v/>
          </cell>
        </row>
        <row r="5454">
          <cell r="B5454" t="str">
            <v/>
          </cell>
        </row>
        <row r="5455">
          <cell r="B5455" t="str">
            <v/>
          </cell>
        </row>
        <row r="5456">
          <cell r="B5456" t="str">
            <v/>
          </cell>
        </row>
        <row r="5457">
          <cell r="B5457" t="str">
            <v/>
          </cell>
        </row>
        <row r="5458">
          <cell r="B5458" t="str">
            <v/>
          </cell>
        </row>
        <row r="5459">
          <cell r="B5459" t="str">
            <v/>
          </cell>
        </row>
        <row r="5460">
          <cell r="B5460" t="str">
            <v/>
          </cell>
        </row>
        <row r="5461">
          <cell r="B5461" t="str">
            <v/>
          </cell>
        </row>
        <row r="5462">
          <cell r="B5462" t="str">
            <v/>
          </cell>
        </row>
        <row r="5463">
          <cell r="B5463" t="str">
            <v/>
          </cell>
        </row>
        <row r="5464">
          <cell r="B5464" t="str">
            <v/>
          </cell>
        </row>
        <row r="5465">
          <cell r="B5465" t="str">
            <v/>
          </cell>
        </row>
        <row r="5466">
          <cell r="B5466" t="str">
            <v/>
          </cell>
        </row>
        <row r="5467">
          <cell r="B5467" t="str">
            <v/>
          </cell>
        </row>
        <row r="5468">
          <cell r="B5468" t="str">
            <v/>
          </cell>
        </row>
        <row r="5469">
          <cell r="B5469" t="str">
            <v/>
          </cell>
        </row>
        <row r="5470">
          <cell r="B5470" t="str">
            <v/>
          </cell>
        </row>
        <row r="5471">
          <cell r="B5471" t="str">
            <v/>
          </cell>
        </row>
        <row r="5472">
          <cell r="B5472" t="str">
            <v/>
          </cell>
        </row>
        <row r="5473">
          <cell r="B5473" t="str">
            <v/>
          </cell>
        </row>
        <row r="5474">
          <cell r="B5474" t="str">
            <v/>
          </cell>
        </row>
        <row r="5475">
          <cell r="B5475" t="str">
            <v/>
          </cell>
        </row>
        <row r="5476">
          <cell r="B5476" t="str">
            <v/>
          </cell>
        </row>
        <row r="5477">
          <cell r="B5477" t="str">
            <v/>
          </cell>
        </row>
        <row r="5478">
          <cell r="B5478" t="str">
            <v/>
          </cell>
        </row>
        <row r="5479">
          <cell r="B5479" t="str">
            <v/>
          </cell>
        </row>
        <row r="5480">
          <cell r="B5480" t="str">
            <v/>
          </cell>
        </row>
        <row r="5481">
          <cell r="B5481" t="str">
            <v/>
          </cell>
        </row>
        <row r="5482">
          <cell r="B5482" t="str">
            <v/>
          </cell>
        </row>
        <row r="5483">
          <cell r="B5483" t="str">
            <v/>
          </cell>
        </row>
        <row r="5484">
          <cell r="B5484" t="str">
            <v/>
          </cell>
        </row>
        <row r="5485">
          <cell r="B5485" t="str">
            <v/>
          </cell>
        </row>
        <row r="5486">
          <cell r="B5486" t="str">
            <v/>
          </cell>
        </row>
        <row r="5487">
          <cell r="B5487" t="str">
            <v/>
          </cell>
        </row>
        <row r="5488">
          <cell r="B5488" t="str">
            <v/>
          </cell>
        </row>
        <row r="5489">
          <cell r="B5489" t="str">
            <v/>
          </cell>
        </row>
        <row r="5490">
          <cell r="B5490" t="str">
            <v/>
          </cell>
        </row>
        <row r="5491">
          <cell r="B5491" t="str">
            <v/>
          </cell>
        </row>
        <row r="5492">
          <cell r="B5492" t="str">
            <v/>
          </cell>
        </row>
        <row r="5493">
          <cell r="B5493" t="str">
            <v/>
          </cell>
        </row>
        <row r="5494">
          <cell r="B5494" t="str">
            <v/>
          </cell>
        </row>
        <row r="5495">
          <cell r="B5495" t="str">
            <v/>
          </cell>
        </row>
        <row r="5496">
          <cell r="B5496" t="str">
            <v/>
          </cell>
        </row>
        <row r="5497">
          <cell r="B5497" t="str">
            <v/>
          </cell>
        </row>
        <row r="5498">
          <cell r="B5498" t="str">
            <v/>
          </cell>
        </row>
        <row r="5499">
          <cell r="B5499" t="str">
            <v/>
          </cell>
        </row>
        <row r="5500">
          <cell r="B5500" t="str">
            <v/>
          </cell>
        </row>
        <row r="5501">
          <cell r="B5501" t="str">
            <v/>
          </cell>
        </row>
        <row r="5502">
          <cell r="B5502" t="str">
            <v/>
          </cell>
        </row>
        <row r="5503">
          <cell r="B5503" t="str">
            <v/>
          </cell>
        </row>
        <row r="5504">
          <cell r="B5504" t="str">
            <v/>
          </cell>
        </row>
        <row r="5505">
          <cell r="B5505" t="str">
            <v/>
          </cell>
        </row>
        <row r="5506">
          <cell r="B5506" t="str">
            <v/>
          </cell>
        </row>
        <row r="5507">
          <cell r="B5507" t="str">
            <v/>
          </cell>
        </row>
        <row r="5508">
          <cell r="B5508" t="str">
            <v/>
          </cell>
        </row>
        <row r="5509">
          <cell r="B5509" t="str">
            <v/>
          </cell>
        </row>
        <row r="5510">
          <cell r="B5510" t="str">
            <v/>
          </cell>
        </row>
        <row r="5511">
          <cell r="B5511" t="str">
            <v/>
          </cell>
        </row>
        <row r="5512">
          <cell r="B5512" t="str">
            <v/>
          </cell>
        </row>
        <row r="5513">
          <cell r="B5513" t="str">
            <v/>
          </cell>
        </row>
        <row r="5514">
          <cell r="B5514" t="str">
            <v/>
          </cell>
        </row>
        <row r="5515">
          <cell r="B5515" t="str">
            <v/>
          </cell>
        </row>
        <row r="5516">
          <cell r="B5516" t="str">
            <v/>
          </cell>
        </row>
        <row r="5517">
          <cell r="B5517" t="str">
            <v/>
          </cell>
        </row>
        <row r="5518">
          <cell r="B5518" t="str">
            <v/>
          </cell>
        </row>
        <row r="5519">
          <cell r="B5519" t="str">
            <v/>
          </cell>
        </row>
        <row r="5520">
          <cell r="B5520" t="str">
            <v/>
          </cell>
        </row>
        <row r="5521">
          <cell r="B5521" t="str">
            <v/>
          </cell>
        </row>
        <row r="5522">
          <cell r="B5522" t="str">
            <v/>
          </cell>
        </row>
        <row r="5523">
          <cell r="B5523" t="str">
            <v/>
          </cell>
        </row>
        <row r="5524">
          <cell r="B5524" t="str">
            <v/>
          </cell>
        </row>
        <row r="5525">
          <cell r="B5525" t="str">
            <v/>
          </cell>
        </row>
        <row r="5526">
          <cell r="B5526" t="str">
            <v/>
          </cell>
        </row>
        <row r="5527">
          <cell r="B5527" t="str">
            <v/>
          </cell>
        </row>
        <row r="5528">
          <cell r="B5528" t="str">
            <v/>
          </cell>
        </row>
        <row r="5529">
          <cell r="B5529" t="str">
            <v/>
          </cell>
        </row>
        <row r="5530">
          <cell r="B5530" t="str">
            <v/>
          </cell>
        </row>
        <row r="5531">
          <cell r="B5531" t="str">
            <v/>
          </cell>
        </row>
        <row r="5532">
          <cell r="B5532" t="str">
            <v/>
          </cell>
        </row>
        <row r="5533">
          <cell r="B5533" t="str">
            <v/>
          </cell>
        </row>
        <row r="5534">
          <cell r="B5534" t="str">
            <v/>
          </cell>
        </row>
        <row r="5535">
          <cell r="B5535" t="str">
            <v/>
          </cell>
        </row>
        <row r="5536">
          <cell r="B5536" t="str">
            <v/>
          </cell>
        </row>
        <row r="5537">
          <cell r="B5537" t="str">
            <v/>
          </cell>
        </row>
        <row r="5538">
          <cell r="B5538" t="str">
            <v/>
          </cell>
        </row>
        <row r="5539">
          <cell r="B5539" t="str">
            <v/>
          </cell>
        </row>
        <row r="5540">
          <cell r="B5540" t="str">
            <v/>
          </cell>
        </row>
        <row r="5541">
          <cell r="B5541" t="str">
            <v/>
          </cell>
        </row>
        <row r="5542">
          <cell r="B5542" t="str">
            <v/>
          </cell>
        </row>
        <row r="5543">
          <cell r="B5543" t="str">
            <v/>
          </cell>
        </row>
        <row r="5544">
          <cell r="B5544" t="str">
            <v/>
          </cell>
        </row>
        <row r="5545">
          <cell r="B5545" t="str">
            <v/>
          </cell>
        </row>
        <row r="5546">
          <cell r="B5546" t="str">
            <v/>
          </cell>
        </row>
        <row r="5547">
          <cell r="B5547" t="str">
            <v/>
          </cell>
        </row>
        <row r="5548">
          <cell r="B5548" t="str">
            <v/>
          </cell>
        </row>
        <row r="5549">
          <cell r="B5549" t="str">
            <v/>
          </cell>
        </row>
        <row r="5550">
          <cell r="B5550" t="str">
            <v/>
          </cell>
        </row>
        <row r="5551">
          <cell r="B5551" t="str">
            <v/>
          </cell>
        </row>
        <row r="5552">
          <cell r="B5552" t="str">
            <v/>
          </cell>
        </row>
        <row r="5553">
          <cell r="B5553" t="str">
            <v/>
          </cell>
        </row>
        <row r="5554">
          <cell r="B5554" t="str">
            <v/>
          </cell>
        </row>
        <row r="5555">
          <cell r="B5555" t="str">
            <v/>
          </cell>
        </row>
        <row r="5556">
          <cell r="B5556" t="str">
            <v/>
          </cell>
        </row>
        <row r="5557">
          <cell r="B5557" t="str">
            <v/>
          </cell>
        </row>
        <row r="5558">
          <cell r="B5558" t="str">
            <v/>
          </cell>
        </row>
        <row r="5559">
          <cell r="B5559" t="str">
            <v/>
          </cell>
        </row>
        <row r="5560">
          <cell r="B5560" t="str">
            <v/>
          </cell>
        </row>
        <row r="5561">
          <cell r="B5561" t="str">
            <v/>
          </cell>
        </row>
        <row r="5562">
          <cell r="B5562" t="str">
            <v/>
          </cell>
        </row>
        <row r="5563">
          <cell r="B5563" t="str">
            <v/>
          </cell>
        </row>
        <row r="5564">
          <cell r="B5564" t="str">
            <v/>
          </cell>
        </row>
        <row r="5565">
          <cell r="B5565" t="str">
            <v/>
          </cell>
        </row>
        <row r="5566">
          <cell r="B5566" t="str">
            <v/>
          </cell>
        </row>
        <row r="5567">
          <cell r="B5567" t="str">
            <v/>
          </cell>
        </row>
        <row r="5568">
          <cell r="B5568" t="str">
            <v/>
          </cell>
        </row>
        <row r="5569">
          <cell r="B5569" t="str">
            <v/>
          </cell>
        </row>
        <row r="5570">
          <cell r="B5570" t="str">
            <v/>
          </cell>
        </row>
        <row r="5571">
          <cell r="B5571" t="str">
            <v/>
          </cell>
        </row>
        <row r="5572">
          <cell r="B5572" t="str">
            <v/>
          </cell>
        </row>
        <row r="5573">
          <cell r="B5573" t="str">
            <v/>
          </cell>
        </row>
        <row r="5574">
          <cell r="B5574" t="str">
            <v/>
          </cell>
        </row>
        <row r="5575">
          <cell r="B5575" t="str">
            <v/>
          </cell>
        </row>
        <row r="5576">
          <cell r="B5576" t="str">
            <v/>
          </cell>
        </row>
        <row r="5577">
          <cell r="B5577" t="str">
            <v/>
          </cell>
        </row>
        <row r="5578">
          <cell r="B5578" t="str">
            <v/>
          </cell>
        </row>
        <row r="5579">
          <cell r="B5579" t="str">
            <v/>
          </cell>
        </row>
        <row r="5580">
          <cell r="B5580" t="str">
            <v/>
          </cell>
        </row>
        <row r="5581">
          <cell r="B5581" t="str">
            <v/>
          </cell>
        </row>
        <row r="5582">
          <cell r="B5582" t="str">
            <v/>
          </cell>
        </row>
        <row r="5583">
          <cell r="B5583" t="str">
            <v/>
          </cell>
        </row>
        <row r="5584">
          <cell r="B5584" t="str">
            <v/>
          </cell>
        </row>
        <row r="5585">
          <cell r="B5585" t="str">
            <v/>
          </cell>
        </row>
        <row r="5586">
          <cell r="B5586" t="str">
            <v/>
          </cell>
        </row>
        <row r="5587">
          <cell r="B5587" t="str">
            <v/>
          </cell>
        </row>
        <row r="5588">
          <cell r="B5588" t="str">
            <v/>
          </cell>
        </row>
        <row r="5589">
          <cell r="B5589" t="str">
            <v/>
          </cell>
        </row>
        <row r="5590">
          <cell r="B5590" t="str">
            <v/>
          </cell>
        </row>
        <row r="5591">
          <cell r="B5591" t="str">
            <v/>
          </cell>
        </row>
        <row r="5592">
          <cell r="B5592" t="str">
            <v/>
          </cell>
        </row>
        <row r="5593">
          <cell r="B5593" t="str">
            <v/>
          </cell>
        </row>
        <row r="5594">
          <cell r="B5594" t="str">
            <v/>
          </cell>
        </row>
        <row r="5595">
          <cell r="B5595" t="str">
            <v/>
          </cell>
        </row>
        <row r="5596">
          <cell r="B5596" t="str">
            <v/>
          </cell>
        </row>
        <row r="5597">
          <cell r="B5597" t="str">
            <v/>
          </cell>
        </row>
        <row r="5598">
          <cell r="B5598" t="str">
            <v/>
          </cell>
        </row>
        <row r="5599">
          <cell r="B5599" t="str">
            <v/>
          </cell>
        </row>
        <row r="5600">
          <cell r="B5600" t="str">
            <v/>
          </cell>
        </row>
        <row r="5601">
          <cell r="B5601" t="str">
            <v/>
          </cell>
        </row>
        <row r="5602">
          <cell r="B5602" t="str">
            <v/>
          </cell>
        </row>
        <row r="5603">
          <cell r="B5603" t="str">
            <v/>
          </cell>
        </row>
        <row r="5604">
          <cell r="B5604" t="str">
            <v/>
          </cell>
        </row>
        <row r="5605">
          <cell r="B5605" t="str">
            <v/>
          </cell>
        </row>
        <row r="5606">
          <cell r="B5606" t="str">
            <v/>
          </cell>
        </row>
        <row r="5607">
          <cell r="B5607" t="str">
            <v/>
          </cell>
        </row>
        <row r="5608">
          <cell r="B5608" t="str">
            <v/>
          </cell>
        </row>
        <row r="5609">
          <cell r="B5609" t="str">
            <v/>
          </cell>
        </row>
        <row r="5610">
          <cell r="B5610" t="str">
            <v/>
          </cell>
        </row>
        <row r="5611">
          <cell r="B5611" t="str">
            <v/>
          </cell>
        </row>
        <row r="5612">
          <cell r="B5612" t="str">
            <v/>
          </cell>
        </row>
        <row r="5613">
          <cell r="B5613" t="str">
            <v/>
          </cell>
        </row>
        <row r="5614">
          <cell r="B5614" t="str">
            <v/>
          </cell>
        </row>
        <row r="5615">
          <cell r="B5615" t="str">
            <v/>
          </cell>
        </row>
        <row r="5616">
          <cell r="B5616" t="str">
            <v/>
          </cell>
        </row>
        <row r="5617">
          <cell r="B5617" t="str">
            <v/>
          </cell>
        </row>
        <row r="5618">
          <cell r="B5618" t="str">
            <v/>
          </cell>
        </row>
        <row r="5619">
          <cell r="B5619" t="str">
            <v/>
          </cell>
        </row>
        <row r="5620">
          <cell r="B5620" t="str">
            <v/>
          </cell>
        </row>
        <row r="5621">
          <cell r="B5621" t="str">
            <v/>
          </cell>
        </row>
        <row r="5622">
          <cell r="B5622" t="str">
            <v/>
          </cell>
        </row>
        <row r="5623">
          <cell r="B5623" t="str">
            <v/>
          </cell>
        </row>
        <row r="5624">
          <cell r="B5624" t="str">
            <v/>
          </cell>
        </row>
        <row r="5625">
          <cell r="B5625" t="str">
            <v/>
          </cell>
        </row>
        <row r="5626">
          <cell r="B5626" t="str">
            <v/>
          </cell>
        </row>
        <row r="5627">
          <cell r="B5627" t="str">
            <v/>
          </cell>
        </row>
        <row r="5628">
          <cell r="B5628" t="str">
            <v/>
          </cell>
        </row>
        <row r="5629">
          <cell r="B5629" t="str">
            <v/>
          </cell>
        </row>
        <row r="5630">
          <cell r="B5630" t="str">
            <v/>
          </cell>
        </row>
        <row r="5631">
          <cell r="B5631" t="str">
            <v/>
          </cell>
        </row>
        <row r="5632">
          <cell r="B5632" t="str">
            <v/>
          </cell>
        </row>
        <row r="5633">
          <cell r="B5633" t="str">
            <v/>
          </cell>
        </row>
        <row r="5634">
          <cell r="B5634" t="str">
            <v/>
          </cell>
        </row>
        <row r="5635">
          <cell r="B5635" t="str">
            <v/>
          </cell>
        </row>
        <row r="5636">
          <cell r="B5636" t="str">
            <v/>
          </cell>
        </row>
        <row r="5637">
          <cell r="B5637" t="str">
            <v/>
          </cell>
        </row>
        <row r="5638">
          <cell r="B5638" t="str">
            <v/>
          </cell>
        </row>
        <row r="5639">
          <cell r="B5639" t="str">
            <v/>
          </cell>
        </row>
        <row r="5640">
          <cell r="B5640" t="str">
            <v/>
          </cell>
        </row>
        <row r="5641">
          <cell r="B5641" t="str">
            <v/>
          </cell>
        </row>
        <row r="5642">
          <cell r="B5642" t="str">
            <v/>
          </cell>
        </row>
        <row r="5643">
          <cell r="B5643" t="str">
            <v/>
          </cell>
        </row>
        <row r="5644">
          <cell r="B5644" t="str">
            <v/>
          </cell>
        </row>
        <row r="5645">
          <cell r="B5645" t="str">
            <v/>
          </cell>
        </row>
        <row r="5646">
          <cell r="B5646" t="str">
            <v/>
          </cell>
        </row>
        <row r="5647">
          <cell r="B5647" t="str">
            <v/>
          </cell>
        </row>
        <row r="5648">
          <cell r="B5648" t="str">
            <v/>
          </cell>
        </row>
        <row r="5649">
          <cell r="B5649" t="str">
            <v/>
          </cell>
        </row>
        <row r="5650">
          <cell r="B5650" t="str">
            <v/>
          </cell>
        </row>
        <row r="5651">
          <cell r="B5651" t="str">
            <v/>
          </cell>
        </row>
        <row r="5652">
          <cell r="B5652" t="str">
            <v/>
          </cell>
        </row>
        <row r="5653">
          <cell r="B5653" t="str">
            <v/>
          </cell>
        </row>
        <row r="5654">
          <cell r="B5654" t="str">
            <v/>
          </cell>
        </row>
        <row r="5655">
          <cell r="B5655" t="str">
            <v/>
          </cell>
        </row>
        <row r="5656">
          <cell r="B5656" t="str">
            <v/>
          </cell>
        </row>
        <row r="5657">
          <cell r="B5657" t="str">
            <v/>
          </cell>
        </row>
        <row r="5658">
          <cell r="B5658" t="str">
            <v/>
          </cell>
        </row>
        <row r="5659">
          <cell r="B5659" t="str">
            <v/>
          </cell>
        </row>
        <row r="5660">
          <cell r="B5660" t="str">
            <v/>
          </cell>
        </row>
        <row r="5661">
          <cell r="B5661" t="str">
            <v/>
          </cell>
        </row>
        <row r="5662">
          <cell r="B5662" t="str">
            <v/>
          </cell>
        </row>
        <row r="5663">
          <cell r="B5663" t="str">
            <v/>
          </cell>
        </row>
        <row r="5664">
          <cell r="B5664" t="str">
            <v/>
          </cell>
        </row>
        <row r="5665">
          <cell r="B5665" t="str">
            <v/>
          </cell>
        </row>
        <row r="5666">
          <cell r="B5666" t="str">
            <v/>
          </cell>
        </row>
        <row r="5667">
          <cell r="B5667" t="str">
            <v/>
          </cell>
        </row>
        <row r="5668">
          <cell r="B5668" t="str">
            <v/>
          </cell>
        </row>
        <row r="5669">
          <cell r="B5669" t="str">
            <v/>
          </cell>
        </row>
        <row r="5670">
          <cell r="B5670" t="str">
            <v/>
          </cell>
        </row>
        <row r="5671">
          <cell r="B5671" t="str">
            <v/>
          </cell>
        </row>
        <row r="5672">
          <cell r="B5672" t="str">
            <v/>
          </cell>
        </row>
        <row r="5673">
          <cell r="B5673" t="str">
            <v/>
          </cell>
        </row>
        <row r="5674">
          <cell r="B5674" t="str">
            <v/>
          </cell>
        </row>
        <row r="5675">
          <cell r="B5675" t="str">
            <v/>
          </cell>
        </row>
        <row r="5676">
          <cell r="B5676" t="str">
            <v/>
          </cell>
        </row>
        <row r="5677">
          <cell r="B5677" t="str">
            <v/>
          </cell>
        </row>
        <row r="5678">
          <cell r="B5678" t="str">
            <v/>
          </cell>
        </row>
        <row r="5679">
          <cell r="B5679" t="str">
            <v/>
          </cell>
        </row>
        <row r="5680">
          <cell r="B5680" t="str">
            <v/>
          </cell>
        </row>
        <row r="5681">
          <cell r="B5681" t="str">
            <v/>
          </cell>
        </row>
        <row r="5682">
          <cell r="B5682" t="str">
            <v/>
          </cell>
        </row>
        <row r="5683">
          <cell r="B5683" t="str">
            <v/>
          </cell>
        </row>
        <row r="5684">
          <cell r="B5684" t="str">
            <v/>
          </cell>
        </row>
        <row r="5685">
          <cell r="B5685" t="str">
            <v/>
          </cell>
        </row>
        <row r="5686">
          <cell r="B5686" t="str">
            <v/>
          </cell>
        </row>
        <row r="5687">
          <cell r="B5687" t="str">
            <v/>
          </cell>
        </row>
        <row r="5688">
          <cell r="B5688" t="str">
            <v/>
          </cell>
        </row>
        <row r="5689">
          <cell r="B5689" t="str">
            <v/>
          </cell>
        </row>
        <row r="5690">
          <cell r="B5690" t="str">
            <v/>
          </cell>
        </row>
        <row r="5691">
          <cell r="B5691" t="str">
            <v/>
          </cell>
        </row>
        <row r="5692">
          <cell r="B5692" t="str">
            <v/>
          </cell>
        </row>
        <row r="5693">
          <cell r="B5693" t="str">
            <v/>
          </cell>
        </row>
        <row r="5694">
          <cell r="B5694" t="str">
            <v/>
          </cell>
        </row>
        <row r="5695">
          <cell r="B5695" t="str">
            <v/>
          </cell>
        </row>
        <row r="5696">
          <cell r="B5696" t="str">
            <v/>
          </cell>
        </row>
        <row r="5697">
          <cell r="B5697" t="str">
            <v/>
          </cell>
        </row>
        <row r="5698">
          <cell r="B5698" t="str">
            <v/>
          </cell>
        </row>
        <row r="5699">
          <cell r="B5699" t="str">
            <v/>
          </cell>
        </row>
        <row r="5700">
          <cell r="B5700" t="str">
            <v/>
          </cell>
        </row>
        <row r="5701">
          <cell r="B5701" t="str">
            <v/>
          </cell>
        </row>
        <row r="5702">
          <cell r="B5702" t="str">
            <v/>
          </cell>
        </row>
        <row r="5703">
          <cell r="B5703" t="str">
            <v/>
          </cell>
        </row>
        <row r="5704">
          <cell r="B5704" t="str">
            <v/>
          </cell>
        </row>
        <row r="5705">
          <cell r="B5705" t="str">
            <v/>
          </cell>
        </row>
        <row r="5706">
          <cell r="B5706" t="str">
            <v/>
          </cell>
        </row>
        <row r="5707">
          <cell r="B5707" t="str">
            <v/>
          </cell>
        </row>
        <row r="5708">
          <cell r="B5708" t="str">
            <v/>
          </cell>
        </row>
        <row r="5709">
          <cell r="B5709" t="str">
            <v/>
          </cell>
        </row>
        <row r="5710">
          <cell r="B5710" t="str">
            <v/>
          </cell>
        </row>
        <row r="5711">
          <cell r="B5711" t="str">
            <v/>
          </cell>
        </row>
        <row r="5712">
          <cell r="B5712" t="str">
            <v/>
          </cell>
        </row>
        <row r="5713">
          <cell r="B5713" t="str">
            <v/>
          </cell>
        </row>
        <row r="5714">
          <cell r="B5714" t="str">
            <v/>
          </cell>
        </row>
        <row r="5715">
          <cell r="B5715" t="str">
            <v/>
          </cell>
        </row>
        <row r="5716">
          <cell r="B5716" t="str">
            <v/>
          </cell>
        </row>
        <row r="5717">
          <cell r="B5717" t="str">
            <v/>
          </cell>
        </row>
        <row r="5718">
          <cell r="B5718" t="str">
            <v/>
          </cell>
        </row>
        <row r="5719">
          <cell r="B5719" t="str">
            <v/>
          </cell>
        </row>
        <row r="5720">
          <cell r="B5720" t="str">
            <v/>
          </cell>
        </row>
        <row r="5721">
          <cell r="B5721" t="str">
            <v/>
          </cell>
        </row>
        <row r="5722">
          <cell r="B5722" t="str">
            <v/>
          </cell>
        </row>
        <row r="5723">
          <cell r="B5723" t="str">
            <v/>
          </cell>
        </row>
        <row r="5724">
          <cell r="B5724" t="str">
            <v/>
          </cell>
        </row>
        <row r="5725">
          <cell r="B5725" t="str">
            <v/>
          </cell>
        </row>
        <row r="5726">
          <cell r="B5726" t="str">
            <v/>
          </cell>
        </row>
        <row r="5727">
          <cell r="B5727" t="str">
            <v/>
          </cell>
        </row>
        <row r="5728">
          <cell r="B5728" t="str">
            <v/>
          </cell>
        </row>
        <row r="5729">
          <cell r="B5729" t="str">
            <v/>
          </cell>
        </row>
        <row r="5730">
          <cell r="B5730" t="str">
            <v/>
          </cell>
        </row>
        <row r="5731">
          <cell r="B5731" t="str">
            <v/>
          </cell>
        </row>
        <row r="5732">
          <cell r="B5732" t="str">
            <v/>
          </cell>
        </row>
        <row r="5733">
          <cell r="B5733" t="str">
            <v/>
          </cell>
        </row>
        <row r="5734">
          <cell r="B5734" t="str">
            <v/>
          </cell>
        </row>
        <row r="5735">
          <cell r="B5735" t="str">
            <v/>
          </cell>
        </row>
        <row r="5736">
          <cell r="B5736" t="str">
            <v/>
          </cell>
        </row>
        <row r="5737">
          <cell r="B5737" t="str">
            <v/>
          </cell>
        </row>
        <row r="5738">
          <cell r="B5738" t="str">
            <v/>
          </cell>
        </row>
        <row r="5739">
          <cell r="B5739" t="str">
            <v/>
          </cell>
        </row>
        <row r="5740">
          <cell r="B5740" t="str">
            <v/>
          </cell>
        </row>
        <row r="5741">
          <cell r="B5741" t="str">
            <v/>
          </cell>
        </row>
        <row r="5742">
          <cell r="B5742" t="str">
            <v/>
          </cell>
        </row>
        <row r="5743">
          <cell r="B5743" t="str">
            <v/>
          </cell>
        </row>
        <row r="5744">
          <cell r="B5744" t="str">
            <v/>
          </cell>
        </row>
        <row r="5745">
          <cell r="B5745" t="str">
            <v/>
          </cell>
        </row>
        <row r="5746">
          <cell r="B5746" t="str">
            <v/>
          </cell>
        </row>
        <row r="5747">
          <cell r="B5747" t="str">
            <v/>
          </cell>
        </row>
        <row r="5748">
          <cell r="B5748" t="str">
            <v/>
          </cell>
        </row>
        <row r="5749">
          <cell r="B5749" t="str">
            <v/>
          </cell>
        </row>
        <row r="5750">
          <cell r="B5750" t="str">
            <v/>
          </cell>
        </row>
        <row r="5751">
          <cell r="B5751" t="str">
            <v/>
          </cell>
        </row>
        <row r="5752">
          <cell r="B5752" t="str">
            <v/>
          </cell>
        </row>
        <row r="5753">
          <cell r="B5753" t="str">
            <v/>
          </cell>
        </row>
        <row r="5754">
          <cell r="B5754" t="str">
            <v/>
          </cell>
        </row>
        <row r="5755">
          <cell r="B5755" t="str">
            <v/>
          </cell>
        </row>
        <row r="5756">
          <cell r="B5756" t="str">
            <v/>
          </cell>
        </row>
        <row r="5757">
          <cell r="B5757" t="str">
            <v/>
          </cell>
        </row>
        <row r="5758">
          <cell r="B5758" t="str">
            <v/>
          </cell>
        </row>
        <row r="5759">
          <cell r="B5759" t="str">
            <v/>
          </cell>
        </row>
        <row r="5760">
          <cell r="B5760" t="str">
            <v/>
          </cell>
        </row>
        <row r="5761">
          <cell r="B5761" t="str">
            <v/>
          </cell>
        </row>
        <row r="5762">
          <cell r="B5762" t="str">
            <v/>
          </cell>
        </row>
        <row r="5763">
          <cell r="B5763" t="str">
            <v/>
          </cell>
        </row>
        <row r="5764">
          <cell r="B5764" t="str">
            <v/>
          </cell>
        </row>
        <row r="5765">
          <cell r="B5765" t="str">
            <v/>
          </cell>
        </row>
        <row r="5766">
          <cell r="B5766" t="str">
            <v/>
          </cell>
        </row>
        <row r="5767">
          <cell r="B5767" t="str">
            <v/>
          </cell>
        </row>
        <row r="5768">
          <cell r="B5768" t="str">
            <v/>
          </cell>
        </row>
        <row r="5769">
          <cell r="B5769" t="str">
            <v/>
          </cell>
        </row>
        <row r="5770">
          <cell r="B5770" t="str">
            <v/>
          </cell>
        </row>
        <row r="5771">
          <cell r="B5771" t="str">
            <v/>
          </cell>
        </row>
        <row r="5772">
          <cell r="B5772" t="str">
            <v/>
          </cell>
        </row>
        <row r="5773">
          <cell r="B5773" t="str">
            <v/>
          </cell>
        </row>
        <row r="5774">
          <cell r="B5774" t="str">
            <v/>
          </cell>
        </row>
        <row r="5775">
          <cell r="B5775" t="str">
            <v/>
          </cell>
        </row>
        <row r="5776">
          <cell r="B5776" t="str">
            <v/>
          </cell>
        </row>
        <row r="5777">
          <cell r="B5777" t="str">
            <v/>
          </cell>
        </row>
        <row r="5778">
          <cell r="B5778" t="str">
            <v/>
          </cell>
        </row>
        <row r="5779">
          <cell r="B5779" t="str">
            <v/>
          </cell>
        </row>
        <row r="5780">
          <cell r="B5780" t="str">
            <v/>
          </cell>
        </row>
        <row r="5781">
          <cell r="B5781" t="str">
            <v/>
          </cell>
        </row>
        <row r="5782">
          <cell r="B5782" t="str">
            <v/>
          </cell>
        </row>
        <row r="5783">
          <cell r="B5783" t="str">
            <v/>
          </cell>
        </row>
        <row r="5784">
          <cell r="B5784" t="str">
            <v/>
          </cell>
        </row>
        <row r="5785">
          <cell r="B5785" t="str">
            <v/>
          </cell>
        </row>
        <row r="5786">
          <cell r="B5786" t="str">
            <v/>
          </cell>
        </row>
        <row r="5787">
          <cell r="B5787" t="str">
            <v/>
          </cell>
        </row>
        <row r="5788">
          <cell r="B5788" t="str">
            <v/>
          </cell>
        </row>
        <row r="5789">
          <cell r="B5789" t="str">
            <v/>
          </cell>
        </row>
        <row r="5790">
          <cell r="B5790" t="str">
            <v/>
          </cell>
        </row>
        <row r="5791">
          <cell r="B5791" t="str">
            <v/>
          </cell>
        </row>
        <row r="5792">
          <cell r="B5792" t="str">
            <v/>
          </cell>
        </row>
        <row r="5793">
          <cell r="B5793" t="str">
            <v/>
          </cell>
        </row>
        <row r="5794">
          <cell r="B5794" t="str">
            <v/>
          </cell>
        </row>
        <row r="5795">
          <cell r="B5795" t="str">
            <v/>
          </cell>
        </row>
        <row r="5796">
          <cell r="B5796" t="str">
            <v/>
          </cell>
        </row>
        <row r="5797">
          <cell r="B5797" t="str">
            <v/>
          </cell>
        </row>
        <row r="5798">
          <cell r="B5798" t="str">
            <v/>
          </cell>
        </row>
        <row r="5799">
          <cell r="B5799" t="str">
            <v/>
          </cell>
        </row>
        <row r="5800">
          <cell r="B5800" t="str">
            <v/>
          </cell>
        </row>
        <row r="5801">
          <cell r="B5801" t="str">
            <v/>
          </cell>
        </row>
        <row r="5802">
          <cell r="B5802" t="str">
            <v/>
          </cell>
        </row>
        <row r="5803">
          <cell r="B5803" t="str">
            <v/>
          </cell>
        </row>
        <row r="5804">
          <cell r="B5804" t="str">
            <v/>
          </cell>
        </row>
        <row r="5805">
          <cell r="B5805" t="str">
            <v/>
          </cell>
        </row>
        <row r="5806">
          <cell r="B5806" t="str">
            <v/>
          </cell>
        </row>
        <row r="5807">
          <cell r="B5807" t="str">
            <v/>
          </cell>
        </row>
        <row r="5808">
          <cell r="B5808" t="str">
            <v/>
          </cell>
        </row>
        <row r="5809">
          <cell r="B5809" t="str">
            <v/>
          </cell>
        </row>
        <row r="5810">
          <cell r="B5810" t="str">
            <v/>
          </cell>
        </row>
        <row r="5811">
          <cell r="B5811" t="str">
            <v/>
          </cell>
        </row>
        <row r="5812">
          <cell r="B5812" t="str">
            <v/>
          </cell>
        </row>
        <row r="5813">
          <cell r="B5813" t="str">
            <v/>
          </cell>
        </row>
        <row r="5814">
          <cell r="B5814" t="str">
            <v/>
          </cell>
        </row>
        <row r="5815">
          <cell r="B5815" t="str">
            <v/>
          </cell>
        </row>
        <row r="5816">
          <cell r="B5816" t="str">
            <v/>
          </cell>
        </row>
        <row r="5817">
          <cell r="B5817" t="str">
            <v/>
          </cell>
        </row>
        <row r="5818">
          <cell r="B5818" t="str">
            <v/>
          </cell>
        </row>
        <row r="5819">
          <cell r="B5819" t="str">
            <v/>
          </cell>
        </row>
        <row r="5820">
          <cell r="B5820" t="str">
            <v/>
          </cell>
        </row>
        <row r="5821">
          <cell r="B5821" t="str">
            <v/>
          </cell>
        </row>
        <row r="5822">
          <cell r="B5822" t="str">
            <v/>
          </cell>
        </row>
        <row r="5823">
          <cell r="B5823" t="str">
            <v/>
          </cell>
        </row>
        <row r="5824">
          <cell r="B5824" t="str">
            <v/>
          </cell>
        </row>
        <row r="5825">
          <cell r="B5825" t="str">
            <v/>
          </cell>
        </row>
        <row r="5826">
          <cell r="B5826" t="str">
            <v/>
          </cell>
        </row>
        <row r="5827">
          <cell r="B5827" t="str">
            <v/>
          </cell>
        </row>
        <row r="5828">
          <cell r="B5828" t="str">
            <v/>
          </cell>
        </row>
        <row r="5829">
          <cell r="B5829" t="str">
            <v/>
          </cell>
        </row>
        <row r="5830">
          <cell r="B5830" t="str">
            <v/>
          </cell>
        </row>
        <row r="5831">
          <cell r="B5831" t="str">
            <v/>
          </cell>
        </row>
        <row r="5832">
          <cell r="B5832" t="str">
            <v/>
          </cell>
        </row>
        <row r="5833">
          <cell r="B5833" t="str">
            <v/>
          </cell>
        </row>
        <row r="5834">
          <cell r="B5834" t="str">
            <v/>
          </cell>
        </row>
        <row r="5835">
          <cell r="B5835" t="str">
            <v/>
          </cell>
        </row>
        <row r="5836">
          <cell r="B5836" t="str">
            <v/>
          </cell>
        </row>
        <row r="5837">
          <cell r="B5837" t="str">
            <v/>
          </cell>
        </row>
        <row r="5838">
          <cell r="B5838" t="str">
            <v/>
          </cell>
        </row>
        <row r="5839">
          <cell r="B5839" t="str">
            <v/>
          </cell>
        </row>
        <row r="5840">
          <cell r="B5840" t="str">
            <v/>
          </cell>
        </row>
        <row r="5841">
          <cell r="B5841" t="str">
            <v/>
          </cell>
        </row>
        <row r="5842">
          <cell r="B5842" t="str">
            <v/>
          </cell>
        </row>
        <row r="5843">
          <cell r="B5843" t="str">
            <v/>
          </cell>
        </row>
        <row r="5844">
          <cell r="B5844" t="str">
            <v/>
          </cell>
        </row>
        <row r="5845">
          <cell r="B5845" t="str">
            <v/>
          </cell>
        </row>
        <row r="5846">
          <cell r="B5846" t="str">
            <v/>
          </cell>
        </row>
        <row r="5847">
          <cell r="B5847" t="str">
            <v/>
          </cell>
        </row>
        <row r="5848">
          <cell r="B5848" t="str">
            <v/>
          </cell>
        </row>
        <row r="5849">
          <cell r="B5849" t="str">
            <v/>
          </cell>
        </row>
        <row r="5850">
          <cell r="B5850" t="str">
            <v/>
          </cell>
        </row>
        <row r="5851">
          <cell r="B5851" t="str">
            <v/>
          </cell>
        </row>
        <row r="5852">
          <cell r="B5852" t="str">
            <v/>
          </cell>
        </row>
        <row r="5853">
          <cell r="B5853" t="str">
            <v/>
          </cell>
        </row>
        <row r="5854">
          <cell r="B5854" t="str">
            <v/>
          </cell>
        </row>
        <row r="5855">
          <cell r="B5855" t="str">
            <v/>
          </cell>
        </row>
        <row r="5856">
          <cell r="B5856" t="str">
            <v/>
          </cell>
        </row>
        <row r="5857">
          <cell r="B5857" t="str">
            <v/>
          </cell>
        </row>
        <row r="5858">
          <cell r="B5858" t="str">
            <v/>
          </cell>
        </row>
        <row r="5859">
          <cell r="B5859" t="str">
            <v/>
          </cell>
        </row>
        <row r="5860">
          <cell r="B5860" t="str">
            <v/>
          </cell>
        </row>
        <row r="5861">
          <cell r="B5861" t="str">
            <v/>
          </cell>
        </row>
        <row r="5862">
          <cell r="B5862" t="str">
            <v/>
          </cell>
        </row>
        <row r="5863">
          <cell r="B5863" t="str">
            <v/>
          </cell>
        </row>
        <row r="5864">
          <cell r="B5864" t="str">
            <v/>
          </cell>
        </row>
        <row r="5865">
          <cell r="B5865" t="str">
            <v/>
          </cell>
        </row>
        <row r="5866">
          <cell r="B5866" t="str">
            <v/>
          </cell>
        </row>
        <row r="5867">
          <cell r="B5867" t="str">
            <v/>
          </cell>
        </row>
        <row r="5868">
          <cell r="B5868" t="str">
            <v/>
          </cell>
        </row>
        <row r="5869">
          <cell r="B5869" t="str">
            <v/>
          </cell>
        </row>
        <row r="5870">
          <cell r="B5870" t="str">
            <v/>
          </cell>
        </row>
        <row r="5871">
          <cell r="B5871" t="str">
            <v/>
          </cell>
        </row>
        <row r="5872">
          <cell r="B5872" t="str">
            <v/>
          </cell>
        </row>
        <row r="5873">
          <cell r="B5873" t="str">
            <v/>
          </cell>
        </row>
        <row r="5874">
          <cell r="B5874" t="str">
            <v/>
          </cell>
        </row>
        <row r="5875">
          <cell r="B5875" t="str">
            <v/>
          </cell>
        </row>
        <row r="5876">
          <cell r="B5876" t="str">
            <v/>
          </cell>
        </row>
        <row r="5877">
          <cell r="B5877" t="str">
            <v/>
          </cell>
        </row>
        <row r="5878">
          <cell r="B5878" t="str">
            <v/>
          </cell>
        </row>
        <row r="5879">
          <cell r="B5879" t="str">
            <v/>
          </cell>
        </row>
        <row r="5880">
          <cell r="B5880" t="str">
            <v/>
          </cell>
        </row>
        <row r="5881">
          <cell r="B5881" t="str">
            <v/>
          </cell>
        </row>
        <row r="5882">
          <cell r="B5882" t="str">
            <v/>
          </cell>
        </row>
        <row r="5883">
          <cell r="B5883" t="str">
            <v/>
          </cell>
        </row>
        <row r="5884">
          <cell r="B5884" t="str">
            <v/>
          </cell>
        </row>
        <row r="5885">
          <cell r="B5885" t="str">
            <v/>
          </cell>
        </row>
        <row r="5886">
          <cell r="B5886" t="str">
            <v/>
          </cell>
        </row>
        <row r="5887">
          <cell r="B5887" t="str">
            <v/>
          </cell>
        </row>
        <row r="5888">
          <cell r="B5888" t="str">
            <v/>
          </cell>
        </row>
        <row r="5889">
          <cell r="B5889" t="str">
            <v/>
          </cell>
        </row>
        <row r="5890">
          <cell r="B5890" t="str">
            <v/>
          </cell>
        </row>
        <row r="5891">
          <cell r="B5891" t="str">
            <v/>
          </cell>
        </row>
        <row r="5892">
          <cell r="B5892" t="str">
            <v/>
          </cell>
        </row>
        <row r="5893">
          <cell r="B5893" t="str">
            <v/>
          </cell>
        </row>
        <row r="5894">
          <cell r="B5894" t="str">
            <v/>
          </cell>
        </row>
        <row r="5895">
          <cell r="B5895" t="str">
            <v/>
          </cell>
        </row>
        <row r="5896">
          <cell r="B5896" t="str">
            <v/>
          </cell>
        </row>
        <row r="5897">
          <cell r="B5897" t="str">
            <v/>
          </cell>
        </row>
        <row r="5898">
          <cell r="B5898" t="str">
            <v/>
          </cell>
        </row>
        <row r="5899">
          <cell r="B5899" t="str">
            <v/>
          </cell>
        </row>
        <row r="5900">
          <cell r="B5900" t="str">
            <v/>
          </cell>
        </row>
        <row r="5901">
          <cell r="B5901" t="str">
            <v/>
          </cell>
        </row>
        <row r="5902">
          <cell r="B5902" t="str">
            <v/>
          </cell>
        </row>
        <row r="5903">
          <cell r="B5903" t="str">
            <v/>
          </cell>
        </row>
        <row r="5904">
          <cell r="B5904" t="str">
            <v/>
          </cell>
        </row>
        <row r="5905">
          <cell r="B5905" t="str">
            <v/>
          </cell>
        </row>
        <row r="5906">
          <cell r="B5906" t="str">
            <v/>
          </cell>
        </row>
        <row r="5907">
          <cell r="B5907" t="str">
            <v/>
          </cell>
        </row>
        <row r="5908">
          <cell r="B5908" t="str">
            <v/>
          </cell>
        </row>
        <row r="5909">
          <cell r="B5909" t="str">
            <v/>
          </cell>
        </row>
        <row r="5910">
          <cell r="B5910" t="str">
            <v/>
          </cell>
        </row>
        <row r="5911">
          <cell r="B5911" t="str">
            <v/>
          </cell>
        </row>
        <row r="5912">
          <cell r="B5912" t="str">
            <v/>
          </cell>
        </row>
        <row r="5913">
          <cell r="B5913" t="str">
            <v/>
          </cell>
        </row>
        <row r="5914">
          <cell r="B5914" t="str">
            <v/>
          </cell>
        </row>
        <row r="5915">
          <cell r="B5915" t="str">
            <v/>
          </cell>
        </row>
        <row r="5916">
          <cell r="B5916" t="str">
            <v/>
          </cell>
        </row>
        <row r="5917">
          <cell r="B5917" t="str">
            <v/>
          </cell>
        </row>
        <row r="5918">
          <cell r="B5918" t="str">
            <v/>
          </cell>
        </row>
        <row r="5919">
          <cell r="B5919" t="str">
            <v/>
          </cell>
        </row>
        <row r="5920">
          <cell r="B5920" t="str">
            <v/>
          </cell>
        </row>
        <row r="5921">
          <cell r="B5921" t="str">
            <v/>
          </cell>
        </row>
        <row r="5922">
          <cell r="B5922" t="str">
            <v/>
          </cell>
        </row>
        <row r="5923">
          <cell r="B5923" t="str">
            <v/>
          </cell>
        </row>
        <row r="5924">
          <cell r="B5924" t="str">
            <v/>
          </cell>
        </row>
        <row r="5925">
          <cell r="B5925" t="str">
            <v/>
          </cell>
        </row>
        <row r="5926">
          <cell r="B5926" t="str">
            <v/>
          </cell>
        </row>
        <row r="5927">
          <cell r="B5927" t="str">
            <v/>
          </cell>
        </row>
        <row r="5928">
          <cell r="B5928" t="str">
            <v/>
          </cell>
        </row>
        <row r="5929">
          <cell r="B5929" t="str">
            <v/>
          </cell>
        </row>
        <row r="5930">
          <cell r="B5930" t="str">
            <v/>
          </cell>
        </row>
        <row r="5931">
          <cell r="B5931" t="str">
            <v/>
          </cell>
        </row>
        <row r="5932">
          <cell r="B5932" t="str">
            <v/>
          </cell>
        </row>
        <row r="5933">
          <cell r="B5933" t="str">
            <v/>
          </cell>
        </row>
        <row r="5934">
          <cell r="B5934" t="str">
            <v/>
          </cell>
        </row>
        <row r="5935">
          <cell r="B5935" t="str">
            <v/>
          </cell>
        </row>
        <row r="5936">
          <cell r="B5936" t="str">
            <v/>
          </cell>
        </row>
        <row r="5937">
          <cell r="B5937" t="str">
            <v/>
          </cell>
        </row>
        <row r="5938">
          <cell r="B5938" t="str">
            <v/>
          </cell>
        </row>
        <row r="5939">
          <cell r="B5939" t="str">
            <v/>
          </cell>
        </row>
        <row r="5940">
          <cell r="B5940" t="str">
            <v/>
          </cell>
        </row>
        <row r="5941">
          <cell r="B5941" t="str">
            <v/>
          </cell>
        </row>
        <row r="5942">
          <cell r="B5942" t="str">
            <v/>
          </cell>
        </row>
        <row r="5943">
          <cell r="B5943" t="str">
            <v/>
          </cell>
        </row>
        <row r="5944">
          <cell r="B5944" t="str">
            <v/>
          </cell>
        </row>
        <row r="5945">
          <cell r="B5945" t="str">
            <v/>
          </cell>
        </row>
        <row r="5946">
          <cell r="B5946" t="str">
            <v/>
          </cell>
        </row>
        <row r="5947">
          <cell r="B5947" t="str">
            <v/>
          </cell>
        </row>
        <row r="5948">
          <cell r="B5948" t="str">
            <v/>
          </cell>
        </row>
        <row r="5949">
          <cell r="B5949" t="str">
            <v/>
          </cell>
        </row>
        <row r="5950">
          <cell r="B5950" t="str">
            <v/>
          </cell>
        </row>
        <row r="5951">
          <cell r="B5951" t="str">
            <v/>
          </cell>
        </row>
        <row r="5952">
          <cell r="B5952" t="str">
            <v/>
          </cell>
        </row>
        <row r="5953">
          <cell r="B5953" t="str">
            <v/>
          </cell>
        </row>
        <row r="5954">
          <cell r="B5954" t="str">
            <v/>
          </cell>
        </row>
        <row r="5955">
          <cell r="B5955" t="str">
            <v/>
          </cell>
        </row>
        <row r="5956">
          <cell r="B5956" t="str">
            <v/>
          </cell>
        </row>
        <row r="5957">
          <cell r="B5957" t="str">
            <v/>
          </cell>
        </row>
        <row r="5958">
          <cell r="B5958" t="str">
            <v/>
          </cell>
        </row>
        <row r="5959">
          <cell r="B5959" t="str">
            <v/>
          </cell>
        </row>
        <row r="5960">
          <cell r="B5960" t="str">
            <v/>
          </cell>
        </row>
        <row r="5961">
          <cell r="B5961" t="str">
            <v/>
          </cell>
        </row>
        <row r="5962">
          <cell r="B5962" t="str">
            <v/>
          </cell>
        </row>
        <row r="5963">
          <cell r="B5963" t="str">
            <v/>
          </cell>
        </row>
        <row r="5964">
          <cell r="B5964" t="str">
            <v/>
          </cell>
        </row>
        <row r="5965">
          <cell r="B5965" t="str">
            <v/>
          </cell>
        </row>
        <row r="5966">
          <cell r="B5966" t="str">
            <v/>
          </cell>
        </row>
        <row r="5967">
          <cell r="B5967" t="str">
            <v/>
          </cell>
        </row>
        <row r="5968">
          <cell r="B5968" t="str">
            <v/>
          </cell>
        </row>
        <row r="5969">
          <cell r="B5969" t="str">
            <v/>
          </cell>
        </row>
        <row r="5970">
          <cell r="B5970" t="str">
            <v/>
          </cell>
        </row>
        <row r="5971">
          <cell r="B5971" t="str">
            <v/>
          </cell>
        </row>
        <row r="5972">
          <cell r="B5972" t="str">
            <v/>
          </cell>
        </row>
        <row r="5973">
          <cell r="B5973" t="str">
            <v/>
          </cell>
        </row>
        <row r="5974">
          <cell r="B5974" t="str">
            <v/>
          </cell>
        </row>
        <row r="5975">
          <cell r="B5975" t="str">
            <v/>
          </cell>
        </row>
        <row r="5976">
          <cell r="B5976" t="str">
            <v/>
          </cell>
        </row>
        <row r="5977">
          <cell r="B5977" t="str">
            <v/>
          </cell>
        </row>
        <row r="5978">
          <cell r="B5978" t="str">
            <v/>
          </cell>
        </row>
        <row r="5979">
          <cell r="B5979" t="str">
            <v/>
          </cell>
        </row>
        <row r="5980">
          <cell r="B5980" t="str">
            <v/>
          </cell>
        </row>
        <row r="5981">
          <cell r="B5981" t="str">
            <v/>
          </cell>
        </row>
        <row r="5982">
          <cell r="B5982" t="str">
            <v/>
          </cell>
        </row>
        <row r="5983">
          <cell r="B5983" t="str">
            <v/>
          </cell>
        </row>
        <row r="5984">
          <cell r="B5984" t="str">
            <v/>
          </cell>
        </row>
        <row r="5985">
          <cell r="B5985" t="str">
            <v/>
          </cell>
        </row>
        <row r="5986">
          <cell r="B5986" t="str">
            <v/>
          </cell>
        </row>
        <row r="5987">
          <cell r="B5987" t="str">
            <v/>
          </cell>
        </row>
        <row r="5988">
          <cell r="B5988" t="str">
            <v/>
          </cell>
        </row>
        <row r="5989">
          <cell r="B5989" t="str">
            <v/>
          </cell>
        </row>
        <row r="5990">
          <cell r="B5990" t="str">
            <v/>
          </cell>
        </row>
        <row r="5991">
          <cell r="B5991" t="str">
            <v/>
          </cell>
        </row>
        <row r="5992">
          <cell r="B5992" t="str">
            <v/>
          </cell>
        </row>
        <row r="5993">
          <cell r="B5993" t="str">
            <v/>
          </cell>
        </row>
        <row r="5994">
          <cell r="B5994" t="str">
            <v/>
          </cell>
        </row>
        <row r="5995">
          <cell r="B5995" t="str">
            <v/>
          </cell>
        </row>
        <row r="5996">
          <cell r="B5996" t="str">
            <v/>
          </cell>
        </row>
        <row r="5997">
          <cell r="B5997" t="str">
            <v/>
          </cell>
        </row>
        <row r="5998">
          <cell r="B5998" t="str">
            <v/>
          </cell>
        </row>
        <row r="5999">
          <cell r="B5999" t="str">
            <v/>
          </cell>
        </row>
        <row r="6000">
          <cell r="B6000" t="str">
            <v/>
          </cell>
        </row>
        <row r="6001">
          <cell r="B6001" t="str">
            <v/>
          </cell>
        </row>
        <row r="6002">
          <cell r="B6002" t="str">
            <v/>
          </cell>
        </row>
        <row r="6003">
          <cell r="B6003" t="str">
            <v/>
          </cell>
        </row>
        <row r="6004">
          <cell r="B6004" t="str">
            <v/>
          </cell>
        </row>
        <row r="6005">
          <cell r="B6005" t="str">
            <v/>
          </cell>
        </row>
        <row r="6006">
          <cell r="B6006" t="str">
            <v/>
          </cell>
        </row>
        <row r="6007">
          <cell r="B6007" t="str">
            <v/>
          </cell>
        </row>
        <row r="6008">
          <cell r="B6008" t="str">
            <v/>
          </cell>
        </row>
        <row r="6009">
          <cell r="B6009" t="str">
            <v/>
          </cell>
        </row>
        <row r="6010">
          <cell r="B6010" t="str">
            <v/>
          </cell>
        </row>
        <row r="6011">
          <cell r="B6011" t="str">
            <v/>
          </cell>
        </row>
        <row r="6012">
          <cell r="B6012" t="str">
            <v/>
          </cell>
        </row>
        <row r="6013">
          <cell r="B6013" t="str">
            <v/>
          </cell>
        </row>
        <row r="6014">
          <cell r="B6014" t="str">
            <v/>
          </cell>
        </row>
        <row r="6015">
          <cell r="B6015" t="str">
            <v/>
          </cell>
        </row>
        <row r="6016">
          <cell r="B6016" t="str">
            <v/>
          </cell>
        </row>
        <row r="6017">
          <cell r="B6017" t="str">
            <v/>
          </cell>
        </row>
        <row r="6018">
          <cell r="B6018" t="str">
            <v/>
          </cell>
        </row>
        <row r="6019">
          <cell r="B6019" t="str">
            <v/>
          </cell>
        </row>
        <row r="6020">
          <cell r="B6020" t="str">
            <v/>
          </cell>
        </row>
        <row r="6021">
          <cell r="B6021" t="str">
            <v/>
          </cell>
        </row>
        <row r="6022">
          <cell r="B6022" t="str">
            <v/>
          </cell>
        </row>
        <row r="6023">
          <cell r="B6023" t="str">
            <v/>
          </cell>
        </row>
        <row r="6024">
          <cell r="B6024" t="str">
            <v/>
          </cell>
        </row>
        <row r="6025">
          <cell r="B6025" t="str">
            <v/>
          </cell>
        </row>
        <row r="6026">
          <cell r="B6026" t="str">
            <v/>
          </cell>
        </row>
        <row r="6027">
          <cell r="B6027" t="str">
            <v/>
          </cell>
        </row>
        <row r="6028">
          <cell r="B6028" t="str">
            <v/>
          </cell>
        </row>
        <row r="6029">
          <cell r="B6029" t="str">
            <v/>
          </cell>
        </row>
        <row r="6030">
          <cell r="B6030" t="str">
            <v/>
          </cell>
        </row>
        <row r="6031">
          <cell r="B6031" t="str">
            <v/>
          </cell>
        </row>
        <row r="6032">
          <cell r="B6032" t="str">
            <v/>
          </cell>
        </row>
        <row r="6033">
          <cell r="B6033" t="str">
            <v/>
          </cell>
        </row>
        <row r="6034">
          <cell r="B6034" t="str">
            <v/>
          </cell>
        </row>
        <row r="6035">
          <cell r="B6035" t="str">
            <v/>
          </cell>
        </row>
        <row r="6036">
          <cell r="B6036" t="str">
            <v/>
          </cell>
        </row>
        <row r="6037">
          <cell r="B6037" t="str">
            <v/>
          </cell>
        </row>
        <row r="6038">
          <cell r="B6038" t="str">
            <v/>
          </cell>
        </row>
        <row r="6039">
          <cell r="B6039" t="str">
            <v/>
          </cell>
        </row>
        <row r="6040">
          <cell r="B6040" t="str">
            <v/>
          </cell>
        </row>
        <row r="6041">
          <cell r="B6041" t="str">
            <v/>
          </cell>
        </row>
        <row r="6042">
          <cell r="B6042" t="str">
            <v/>
          </cell>
        </row>
        <row r="6043">
          <cell r="B6043" t="str">
            <v/>
          </cell>
        </row>
        <row r="6044">
          <cell r="B6044" t="str">
            <v/>
          </cell>
        </row>
        <row r="6045">
          <cell r="B6045" t="str">
            <v/>
          </cell>
        </row>
        <row r="6046">
          <cell r="B6046" t="str">
            <v/>
          </cell>
        </row>
        <row r="6047">
          <cell r="B6047" t="str">
            <v/>
          </cell>
        </row>
        <row r="6048">
          <cell r="B6048" t="str">
            <v/>
          </cell>
        </row>
        <row r="6049">
          <cell r="B6049" t="str">
            <v/>
          </cell>
        </row>
        <row r="6050">
          <cell r="B6050" t="str">
            <v/>
          </cell>
        </row>
        <row r="6051">
          <cell r="B6051" t="str">
            <v/>
          </cell>
        </row>
        <row r="6052">
          <cell r="B6052" t="str">
            <v/>
          </cell>
        </row>
        <row r="6053">
          <cell r="B6053" t="str">
            <v/>
          </cell>
        </row>
        <row r="6054">
          <cell r="B6054" t="str">
            <v/>
          </cell>
        </row>
        <row r="6055">
          <cell r="B6055" t="str">
            <v/>
          </cell>
        </row>
        <row r="6056">
          <cell r="B6056" t="str">
            <v/>
          </cell>
        </row>
        <row r="6057">
          <cell r="B6057" t="str">
            <v/>
          </cell>
        </row>
        <row r="6058">
          <cell r="B6058" t="str">
            <v/>
          </cell>
        </row>
        <row r="6059">
          <cell r="B6059" t="str">
            <v/>
          </cell>
        </row>
        <row r="6060">
          <cell r="B6060" t="str">
            <v/>
          </cell>
        </row>
        <row r="6061">
          <cell r="B6061" t="str">
            <v/>
          </cell>
        </row>
        <row r="6062">
          <cell r="B6062" t="str">
            <v/>
          </cell>
        </row>
        <row r="6063">
          <cell r="B6063" t="str">
            <v/>
          </cell>
        </row>
        <row r="6064">
          <cell r="B6064" t="str">
            <v/>
          </cell>
        </row>
        <row r="6065">
          <cell r="B6065" t="str">
            <v/>
          </cell>
        </row>
        <row r="6066">
          <cell r="B6066" t="str">
            <v/>
          </cell>
        </row>
        <row r="6067">
          <cell r="B6067" t="str">
            <v/>
          </cell>
        </row>
        <row r="6068">
          <cell r="B6068" t="str">
            <v/>
          </cell>
        </row>
        <row r="6069">
          <cell r="B6069" t="str">
            <v/>
          </cell>
        </row>
        <row r="6070">
          <cell r="B6070" t="str">
            <v/>
          </cell>
        </row>
        <row r="6071">
          <cell r="B6071" t="str">
            <v/>
          </cell>
        </row>
        <row r="6072">
          <cell r="B6072" t="str">
            <v/>
          </cell>
        </row>
        <row r="6073">
          <cell r="B6073" t="str">
            <v/>
          </cell>
        </row>
        <row r="6074">
          <cell r="B6074" t="str">
            <v/>
          </cell>
        </row>
        <row r="6075">
          <cell r="B6075" t="str">
            <v/>
          </cell>
        </row>
        <row r="6076">
          <cell r="B6076" t="str">
            <v/>
          </cell>
        </row>
        <row r="6077">
          <cell r="B6077" t="str">
            <v/>
          </cell>
        </row>
        <row r="6078">
          <cell r="B6078" t="str">
            <v/>
          </cell>
        </row>
        <row r="6079">
          <cell r="B6079" t="str">
            <v/>
          </cell>
        </row>
        <row r="6080">
          <cell r="B6080" t="str">
            <v/>
          </cell>
        </row>
        <row r="6081">
          <cell r="B6081" t="str">
            <v/>
          </cell>
        </row>
        <row r="6082">
          <cell r="B6082" t="str">
            <v/>
          </cell>
        </row>
        <row r="6083">
          <cell r="B6083" t="str">
            <v/>
          </cell>
        </row>
        <row r="6084">
          <cell r="B6084" t="str">
            <v/>
          </cell>
        </row>
        <row r="6085">
          <cell r="B6085" t="str">
            <v/>
          </cell>
        </row>
        <row r="6086">
          <cell r="B6086" t="str">
            <v/>
          </cell>
        </row>
        <row r="6087">
          <cell r="B6087" t="str">
            <v/>
          </cell>
        </row>
        <row r="6088">
          <cell r="B6088" t="str">
            <v/>
          </cell>
        </row>
        <row r="6089">
          <cell r="B6089" t="str">
            <v/>
          </cell>
        </row>
        <row r="6090">
          <cell r="B6090" t="str">
            <v/>
          </cell>
        </row>
        <row r="6091">
          <cell r="B6091" t="str">
            <v/>
          </cell>
        </row>
        <row r="6092">
          <cell r="B6092" t="str">
            <v/>
          </cell>
        </row>
        <row r="6093">
          <cell r="B6093" t="str">
            <v/>
          </cell>
        </row>
        <row r="6094">
          <cell r="B6094" t="str">
            <v/>
          </cell>
        </row>
        <row r="6095">
          <cell r="B6095" t="str">
            <v/>
          </cell>
        </row>
        <row r="6096">
          <cell r="B6096" t="str">
            <v/>
          </cell>
        </row>
        <row r="6097">
          <cell r="B6097" t="str">
            <v/>
          </cell>
        </row>
        <row r="6098">
          <cell r="B6098" t="str">
            <v/>
          </cell>
        </row>
        <row r="6099">
          <cell r="B6099" t="str">
            <v/>
          </cell>
        </row>
        <row r="6100">
          <cell r="B6100" t="str">
            <v/>
          </cell>
        </row>
        <row r="6101">
          <cell r="B6101" t="str">
            <v/>
          </cell>
        </row>
        <row r="6102">
          <cell r="B6102" t="str">
            <v/>
          </cell>
        </row>
        <row r="6103">
          <cell r="B6103" t="str">
            <v/>
          </cell>
        </row>
        <row r="6104">
          <cell r="B6104" t="str">
            <v/>
          </cell>
        </row>
        <row r="6105">
          <cell r="B6105" t="str">
            <v/>
          </cell>
        </row>
        <row r="6106">
          <cell r="B6106" t="str">
            <v/>
          </cell>
        </row>
        <row r="6107">
          <cell r="B6107" t="str">
            <v/>
          </cell>
        </row>
        <row r="6108">
          <cell r="B6108" t="str">
            <v/>
          </cell>
        </row>
        <row r="6109">
          <cell r="B6109" t="str">
            <v/>
          </cell>
        </row>
        <row r="6110">
          <cell r="B6110" t="str">
            <v/>
          </cell>
        </row>
        <row r="6111">
          <cell r="B6111" t="str">
            <v/>
          </cell>
        </row>
        <row r="6112">
          <cell r="B6112" t="str">
            <v/>
          </cell>
        </row>
        <row r="6113">
          <cell r="B6113" t="str">
            <v/>
          </cell>
        </row>
        <row r="6114">
          <cell r="B6114" t="str">
            <v/>
          </cell>
        </row>
        <row r="6115">
          <cell r="B6115" t="str">
            <v/>
          </cell>
        </row>
        <row r="6116">
          <cell r="B6116" t="str">
            <v/>
          </cell>
        </row>
        <row r="6117">
          <cell r="B6117" t="str">
            <v/>
          </cell>
        </row>
        <row r="6118">
          <cell r="B6118" t="str">
            <v/>
          </cell>
        </row>
        <row r="6119">
          <cell r="B6119" t="str">
            <v/>
          </cell>
        </row>
        <row r="6120">
          <cell r="B6120" t="str">
            <v/>
          </cell>
        </row>
        <row r="6121">
          <cell r="B6121" t="str">
            <v/>
          </cell>
        </row>
        <row r="6122">
          <cell r="B6122" t="str">
            <v/>
          </cell>
        </row>
        <row r="6123">
          <cell r="B6123" t="str">
            <v/>
          </cell>
        </row>
        <row r="6124">
          <cell r="B6124" t="str">
            <v/>
          </cell>
        </row>
        <row r="6125">
          <cell r="B6125" t="str">
            <v/>
          </cell>
        </row>
        <row r="6126">
          <cell r="B6126" t="str">
            <v/>
          </cell>
        </row>
        <row r="6127">
          <cell r="B6127" t="str">
            <v/>
          </cell>
        </row>
        <row r="6128">
          <cell r="B6128" t="str">
            <v/>
          </cell>
        </row>
        <row r="6129">
          <cell r="B6129" t="str">
            <v/>
          </cell>
        </row>
        <row r="6130">
          <cell r="B6130" t="str">
            <v/>
          </cell>
        </row>
        <row r="6131">
          <cell r="B6131" t="str">
            <v/>
          </cell>
        </row>
        <row r="6132">
          <cell r="B6132" t="str">
            <v/>
          </cell>
        </row>
        <row r="6133">
          <cell r="B6133" t="str">
            <v/>
          </cell>
        </row>
        <row r="6134">
          <cell r="B6134" t="str">
            <v/>
          </cell>
        </row>
        <row r="6135">
          <cell r="B6135" t="str">
            <v/>
          </cell>
        </row>
        <row r="6136">
          <cell r="B6136" t="str">
            <v/>
          </cell>
        </row>
        <row r="6137">
          <cell r="B6137" t="str">
            <v/>
          </cell>
        </row>
        <row r="6138">
          <cell r="B6138" t="str">
            <v/>
          </cell>
        </row>
        <row r="6139">
          <cell r="B6139" t="str">
            <v/>
          </cell>
        </row>
        <row r="6140">
          <cell r="B6140" t="str">
            <v/>
          </cell>
        </row>
        <row r="6141">
          <cell r="B6141" t="str">
            <v/>
          </cell>
        </row>
        <row r="6142">
          <cell r="B6142" t="str">
            <v/>
          </cell>
        </row>
        <row r="6143">
          <cell r="B6143" t="str">
            <v/>
          </cell>
        </row>
        <row r="6144">
          <cell r="B6144" t="str">
            <v/>
          </cell>
        </row>
        <row r="6145">
          <cell r="B6145" t="str">
            <v/>
          </cell>
        </row>
        <row r="6146">
          <cell r="B6146" t="str">
            <v/>
          </cell>
        </row>
        <row r="6147">
          <cell r="B6147" t="str">
            <v/>
          </cell>
        </row>
        <row r="6148">
          <cell r="B6148" t="str">
            <v/>
          </cell>
        </row>
        <row r="6149">
          <cell r="B6149" t="str">
            <v/>
          </cell>
        </row>
        <row r="6150">
          <cell r="B6150" t="str">
            <v/>
          </cell>
        </row>
        <row r="6151">
          <cell r="B6151" t="str">
            <v/>
          </cell>
        </row>
        <row r="6152">
          <cell r="B6152" t="str">
            <v/>
          </cell>
        </row>
        <row r="6153">
          <cell r="B6153" t="str">
            <v/>
          </cell>
        </row>
        <row r="6154">
          <cell r="B6154" t="str">
            <v/>
          </cell>
        </row>
        <row r="6155">
          <cell r="B6155" t="str">
            <v/>
          </cell>
        </row>
        <row r="6156">
          <cell r="B6156" t="str">
            <v/>
          </cell>
        </row>
        <row r="6157">
          <cell r="B6157" t="str">
            <v/>
          </cell>
        </row>
        <row r="6158">
          <cell r="B6158" t="str">
            <v/>
          </cell>
        </row>
        <row r="6159">
          <cell r="B6159" t="str">
            <v/>
          </cell>
        </row>
        <row r="6160">
          <cell r="B6160" t="str">
            <v/>
          </cell>
        </row>
        <row r="6161">
          <cell r="B6161" t="str">
            <v/>
          </cell>
        </row>
        <row r="6162">
          <cell r="B6162" t="str">
            <v/>
          </cell>
        </row>
        <row r="6163">
          <cell r="B6163" t="str">
            <v/>
          </cell>
        </row>
        <row r="6164">
          <cell r="B6164" t="str">
            <v/>
          </cell>
        </row>
        <row r="6165">
          <cell r="B6165" t="str">
            <v/>
          </cell>
        </row>
        <row r="6166">
          <cell r="B6166" t="str">
            <v/>
          </cell>
        </row>
        <row r="6167">
          <cell r="B6167" t="str">
            <v/>
          </cell>
        </row>
        <row r="6168">
          <cell r="B6168" t="str">
            <v/>
          </cell>
        </row>
        <row r="6169">
          <cell r="B6169" t="str">
            <v/>
          </cell>
        </row>
        <row r="6170">
          <cell r="B6170" t="str">
            <v/>
          </cell>
        </row>
        <row r="6171">
          <cell r="B6171" t="str">
            <v/>
          </cell>
        </row>
        <row r="6172">
          <cell r="B6172" t="str">
            <v/>
          </cell>
        </row>
        <row r="6173">
          <cell r="B6173" t="str">
            <v/>
          </cell>
        </row>
        <row r="6174">
          <cell r="B6174" t="str">
            <v/>
          </cell>
        </row>
        <row r="6175">
          <cell r="B6175" t="str">
            <v/>
          </cell>
        </row>
        <row r="6176">
          <cell r="B6176" t="str">
            <v/>
          </cell>
        </row>
        <row r="6177">
          <cell r="B6177" t="str">
            <v/>
          </cell>
        </row>
        <row r="6178">
          <cell r="B6178" t="str">
            <v/>
          </cell>
        </row>
        <row r="6179">
          <cell r="B6179" t="str">
            <v/>
          </cell>
        </row>
        <row r="6180">
          <cell r="B6180" t="str">
            <v/>
          </cell>
        </row>
        <row r="6181">
          <cell r="B6181" t="str">
            <v/>
          </cell>
        </row>
        <row r="6182">
          <cell r="B6182" t="str">
            <v/>
          </cell>
        </row>
        <row r="6183">
          <cell r="B6183" t="str">
            <v/>
          </cell>
        </row>
        <row r="6184">
          <cell r="B6184" t="str">
            <v/>
          </cell>
        </row>
        <row r="6185">
          <cell r="B6185" t="str">
            <v/>
          </cell>
        </row>
        <row r="6186">
          <cell r="B6186" t="str">
            <v/>
          </cell>
        </row>
        <row r="6187">
          <cell r="B6187" t="str">
            <v/>
          </cell>
        </row>
        <row r="6188">
          <cell r="B6188" t="str">
            <v/>
          </cell>
        </row>
        <row r="6189">
          <cell r="B6189" t="str">
            <v/>
          </cell>
        </row>
        <row r="6190">
          <cell r="B6190" t="str">
            <v/>
          </cell>
        </row>
        <row r="6191">
          <cell r="B6191" t="str">
            <v/>
          </cell>
        </row>
        <row r="6192">
          <cell r="B6192" t="str">
            <v/>
          </cell>
        </row>
        <row r="6193">
          <cell r="B6193" t="str">
            <v/>
          </cell>
        </row>
        <row r="6194">
          <cell r="B6194" t="str">
            <v/>
          </cell>
        </row>
        <row r="6195">
          <cell r="B6195" t="str">
            <v/>
          </cell>
        </row>
        <row r="6196">
          <cell r="B6196" t="str">
            <v/>
          </cell>
        </row>
        <row r="6197">
          <cell r="B6197" t="str">
            <v/>
          </cell>
        </row>
        <row r="6198">
          <cell r="B6198" t="str">
            <v/>
          </cell>
        </row>
        <row r="6199">
          <cell r="B6199" t="str">
            <v/>
          </cell>
        </row>
        <row r="6200">
          <cell r="B6200" t="str">
            <v/>
          </cell>
        </row>
        <row r="6201">
          <cell r="B6201" t="str">
            <v/>
          </cell>
        </row>
        <row r="6202">
          <cell r="B6202" t="str">
            <v/>
          </cell>
        </row>
        <row r="6203">
          <cell r="B6203" t="str">
            <v/>
          </cell>
        </row>
        <row r="6204">
          <cell r="B6204" t="str">
            <v/>
          </cell>
        </row>
        <row r="6205">
          <cell r="B6205" t="str">
            <v/>
          </cell>
        </row>
        <row r="6206">
          <cell r="B6206" t="str">
            <v/>
          </cell>
        </row>
        <row r="6207">
          <cell r="B6207" t="str">
            <v/>
          </cell>
        </row>
        <row r="6208">
          <cell r="B6208" t="str">
            <v/>
          </cell>
        </row>
        <row r="6209">
          <cell r="B6209" t="str">
            <v/>
          </cell>
        </row>
        <row r="6210">
          <cell r="B6210" t="str">
            <v/>
          </cell>
        </row>
        <row r="6211">
          <cell r="B6211" t="str">
            <v/>
          </cell>
        </row>
        <row r="6212">
          <cell r="B6212" t="str">
            <v/>
          </cell>
        </row>
        <row r="6213">
          <cell r="B6213" t="str">
            <v/>
          </cell>
        </row>
        <row r="6214">
          <cell r="B6214" t="str">
            <v/>
          </cell>
        </row>
        <row r="6215">
          <cell r="B6215" t="str">
            <v/>
          </cell>
        </row>
        <row r="6216">
          <cell r="B6216" t="str">
            <v/>
          </cell>
        </row>
        <row r="6217">
          <cell r="B6217" t="str">
            <v/>
          </cell>
        </row>
        <row r="6218">
          <cell r="B6218" t="str">
            <v/>
          </cell>
        </row>
        <row r="6219">
          <cell r="B6219" t="str">
            <v/>
          </cell>
        </row>
        <row r="6220">
          <cell r="B6220" t="str">
            <v/>
          </cell>
        </row>
        <row r="6221">
          <cell r="B6221" t="str">
            <v/>
          </cell>
        </row>
        <row r="6222">
          <cell r="B6222" t="str">
            <v/>
          </cell>
        </row>
        <row r="6223">
          <cell r="B6223" t="str">
            <v/>
          </cell>
        </row>
        <row r="6224">
          <cell r="B6224" t="str">
            <v/>
          </cell>
        </row>
        <row r="6225">
          <cell r="B6225" t="str">
            <v/>
          </cell>
        </row>
        <row r="6226">
          <cell r="B6226" t="str">
            <v/>
          </cell>
        </row>
        <row r="6227">
          <cell r="B6227" t="str">
            <v/>
          </cell>
        </row>
        <row r="6228">
          <cell r="B6228" t="str">
            <v/>
          </cell>
        </row>
        <row r="6229">
          <cell r="B6229" t="str">
            <v/>
          </cell>
        </row>
        <row r="6230">
          <cell r="B6230" t="str">
            <v/>
          </cell>
        </row>
        <row r="6231">
          <cell r="B6231" t="str">
            <v/>
          </cell>
        </row>
        <row r="6232">
          <cell r="B6232" t="str">
            <v/>
          </cell>
        </row>
        <row r="6233">
          <cell r="B6233" t="str">
            <v/>
          </cell>
        </row>
        <row r="6234">
          <cell r="B6234" t="str">
            <v/>
          </cell>
        </row>
        <row r="6235">
          <cell r="B6235" t="str">
            <v/>
          </cell>
        </row>
        <row r="6236">
          <cell r="B6236" t="str">
            <v/>
          </cell>
        </row>
        <row r="6237">
          <cell r="B6237" t="str">
            <v/>
          </cell>
        </row>
        <row r="6238">
          <cell r="B6238" t="str">
            <v/>
          </cell>
        </row>
        <row r="6239">
          <cell r="B6239" t="str">
            <v/>
          </cell>
        </row>
        <row r="6240">
          <cell r="B6240" t="str">
            <v/>
          </cell>
        </row>
        <row r="6241">
          <cell r="B6241" t="str">
            <v/>
          </cell>
        </row>
        <row r="6242">
          <cell r="B6242" t="str">
            <v/>
          </cell>
        </row>
        <row r="6243">
          <cell r="B6243" t="str">
            <v/>
          </cell>
        </row>
        <row r="6244">
          <cell r="B6244" t="str">
            <v/>
          </cell>
        </row>
        <row r="6245">
          <cell r="B6245" t="str">
            <v/>
          </cell>
        </row>
        <row r="6246">
          <cell r="B6246" t="str">
            <v/>
          </cell>
        </row>
        <row r="6247">
          <cell r="B6247" t="str">
            <v/>
          </cell>
        </row>
        <row r="6248">
          <cell r="B6248" t="str">
            <v/>
          </cell>
        </row>
        <row r="6249">
          <cell r="B6249" t="str">
            <v/>
          </cell>
        </row>
        <row r="6250">
          <cell r="B6250" t="str">
            <v/>
          </cell>
        </row>
        <row r="6251">
          <cell r="B6251" t="str">
            <v/>
          </cell>
        </row>
        <row r="6252">
          <cell r="B6252" t="str">
            <v/>
          </cell>
        </row>
        <row r="6253">
          <cell r="B6253" t="str">
            <v/>
          </cell>
        </row>
        <row r="6254">
          <cell r="B6254" t="str">
            <v/>
          </cell>
        </row>
        <row r="6255">
          <cell r="B6255" t="str">
            <v/>
          </cell>
        </row>
        <row r="6256">
          <cell r="B6256" t="str">
            <v/>
          </cell>
        </row>
        <row r="6257">
          <cell r="B6257" t="str">
            <v/>
          </cell>
        </row>
        <row r="6258">
          <cell r="B6258" t="str">
            <v/>
          </cell>
        </row>
        <row r="6259">
          <cell r="B6259" t="str">
            <v/>
          </cell>
        </row>
        <row r="6260">
          <cell r="B6260" t="str">
            <v/>
          </cell>
        </row>
        <row r="6261">
          <cell r="B6261" t="str">
            <v/>
          </cell>
        </row>
        <row r="6262">
          <cell r="B6262" t="str">
            <v/>
          </cell>
        </row>
        <row r="6263">
          <cell r="B6263" t="str">
            <v/>
          </cell>
        </row>
        <row r="6264">
          <cell r="B6264" t="str">
            <v/>
          </cell>
        </row>
        <row r="6265">
          <cell r="B6265" t="str">
            <v/>
          </cell>
        </row>
        <row r="6266">
          <cell r="B6266" t="str">
            <v/>
          </cell>
        </row>
        <row r="6267">
          <cell r="B6267" t="str">
            <v/>
          </cell>
        </row>
        <row r="6268">
          <cell r="B6268" t="str">
            <v/>
          </cell>
        </row>
        <row r="6269">
          <cell r="B6269" t="str">
            <v/>
          </cell>
        </row>
        <row r="6270">
          <cell r="B6270" t="str">
            <v/>
          </cell>
        </row>
        <row r="6271">
          <cell r="B6271" t="str">
            <v/>
          </cell>
        </row>
        <row r="6272">
          <cell r="B6272" t="str">
            <v/>
          </cell>
        </row>
        <row r="6273">
          <cell r="B6273" t="str">
            <v/>
          </cell>
        </row>
        <row r="6274">
          <cell r="B6274" t="str">
            <v/>
          </cell>
        </row>
        <row r="6275">
          <cell r="B6275" t="str">
            <v/>
          </cell>
        </row>
        <row r="6276">
          <cell r="B6276" t="str">
            <v/>
          </cell>
        </row>
        <row r="6277">
          <cell r="B6277" t="str">
            <v/>
          </cell>
        </row>
        <row r="6278">
          <cell r="B6278" t="str">
            <v/>
          </cell>
        </row>
        <row r="6279">
          <cell r="B6279" t="str">
            <v/>
          </cell>
        </row>
        <row r="6280">
          <cell r="B6280" t="str">
            <v/>
          </cell>
        </row>
        <row r="6281">
          <cell r="B6281" t="str">
            <v/>
          </cell>
        </row>
        <row r="6282">
          <cell r="B6282" t="str">
            <v/>
          </cell>
        </row>
        <row r="6283">
          <cell r="B6283" t="str">
            <v/>
          </cell>
        </row>
        <row r="6284">
          <cell r="B6284" t="str">
            <v/>
          </cell>
        </row>
        <row r="6285">
          <cell r="B6285" t="str">
            <v/>
          </cell>
        </row>
        <row r="6286">
          <cell r="B6286" t="str">
            <v/>
          </cell>
        </row>
        <row r="6287">
          <cell r="B6287" t="str">
            <v/>
          </cell>
        </row>
        <row r="6288">
          <cell r="B6288" t="str">
            <v/>
          </cell>
        </row>
        <row r="6289">
          <cell r="B6289" t="str">
            <v/>
          </cell>
        </row>
        <row r="6290">
          <cell r="B6290" t="str">
            <v/>
          </cell>
        </row>
        <row r="6291">
          <cell r="B6291" t="str">
            <v/>
          </cell>
        </row>
        <row r="6292">
          <cell r="B6292" t="str">
            <v/>
          </cell>
        </row>
        <row r="6293">
          <cell r="B6293" t="str">
            <v/>
          </cell>
        </row>
        <row r="6294">
          <cell r="B6294" t="str">
            <v/>
          </cell>
        </row>
        <row r="6295">
          <cell r="B6295" t="str">
            <v/>
          </cell>
        </row>
        <row r="6296">
          <cell r="B6296" t="str">
            <v/>
          </cell>
        </row>
        <row r="6297">
          <cell r="B6297" t="str">
            <v/>
          </cell>
        </row>
        <row r="6298">
          <cell r="B6298" t="str">
            <v/>
          </cell>
        </row>
        <row r="6299">
          <cell r="B6299" t="str">
            <v/>
          </cell>
        </row>
        <row r="6300">
          <cell r="B6300" t="str">
            <v/>
          </cell>
        </row>
        <row r="6301">
          <cell r="B6301" t="str">
            <v/>
          </cell>
        </row>
        <row r="6302">
          <cell r="B6302" t="str">
            <v/>
          </cell>
        </row>
        <row r="6303">
          <cell r="B6303" t="str">
            <v/>
          </cell>
        </row>
        <row r="6304">
          <cell r="B6304" t="str">
            <v/>
          </cell>
        </row>
        <row r="6305">
          <cell r="B6305" t="str">
            <v/>
          </cell>
        </row>
        <row r="6306">
          <cell r="B6306" t="str">
            <v/>
          </cell>
        </row>
        <row r="6307">
          <cell r="B6307" t="str">
            <v/>
          </cell>
        </row>
        <row r="6308">
          <cell r="B6308" t="str">
            <v/>
          </cell>
        </row>
        <row r="6309">
          <cell r="B6309" t="str">
            <v/>
          </cell>
        </row>
        <row r="6310">
          <cell r="B6310" t="str">
            <v/>
          </cell>
        </row>
        <row r="6311">
          <cell r="B6311" t="str">
            <v/>
          </cell>
        </row>
        <row r="6312">
          <cell r="B6312" t="str">
            <v/>
          </cell>
        </row>
        <row r="6313">
          <cell r="B6313" t="str">
            <v/>
          </cell>
        </row>
        <row r="6314">
          <cell r="B6314" t="str">
            <v/>
          </cell>
        </row>
        <row r="6315">
          <cell r="B6315" t="str">
            <v/>
          </cell>
        </row>
        <row r="6316">
          <cell r="B6316" t="str">
            <v/>
          </cell>
        </row>
        <row r="6317">
          <cell r="B6317" t="str">
            <v/>
          </cell>
        </row>
        <row r="6318">
          <cell r="B6318" t="str">
            <v/>
          </cell>
        </row>
        <row r="6319">
          <cell r="B6319" t="str">
            <v/>
          </cell>
        </row>
        <row r="6320">
          <cell r="B6320" t="str">
            <v/>
          </cell>
        </row>
        <row r="6321">
          <cell r="B6321" t="str">
            <v/>
          </cell>
        </row>
        <row r="6322">
          <cell r="B6322" t="str">
            <v/>
          </cell>
        </row>
        <row r="6323">
          <cell r="B6323" t="str">
            <v/>
          </cell>
        </row>
        <row r="6324">
          <cell r="B6324" t="str">
            <v/>
          </cell>
        </row>
        <row r="6325">
          <cell r="B6325" t="str">
            <v/>
          </cell>
        </row>
        <row r="6326">
          <cell r="B6326" t="str">
            <v/>
          </cell>
        </row>
        <row r="6327">
          <cell r="B6327" t="str">
            <v/>
          </cell>
        </row>
        <row r="6328">
          <cell r="B6328" t="str">
            <v/>
          </cell>
        </row>
        <row r="6329">
          <cell r="B6329" t="str">
            <v/>
          </cell>
        </row>
        <row r="6330">
          <cell r="B6330" t="str">
            <v/>
          </cell>
        </row>
        <row r="6331">
          <cell r="B6331" t="str">
            <v/>
          </cell>
        </row>
        <row r="6332">
          <cell r="B6332" t="str">
            <v/>
          </cell>
        </row>
        <row r="6333">
          <cell r="B6333" t="str">
            <v/>
          </cell>
        </row>
        <row r="6334">
          <cell r="B6334" t="str">
            <v/>
          </cell>
        </row>
        <row r="6335">
          <cell r="B6335" t="str">
            <v/>
          </cell>
        </row>
        <row r="6336">
          <cell r="B6336" t="str">
            <v/>
          </cell>
        </row>
        <row r="6337">
          <cell r="B6337" t="str">
            <v/>
          </cell>
        </row>
        <row r="6338">
          <cell r="B6338" t="str">
            <v/>
          </cell>
        </row>
        <row r="6339">
          <cell r="B6339" t="str">
            <v/>
          </cell>
        </row>
        <row r="6340">
          <cell r="B6340" t="str">
            <v/>
          </cell>
        </row>
        <row r="6341">
          <cell r="B6341" t="str">
            <v/>
          </cell>
        </row>
        <row r="6342">
          <cell r="B6342" t="str">
            <v/>
          </cell>
        </row>
        <row r="6343">
          <cell r="B6343" t="str">
            <v/>
          </cell>
        </row>
        <row r="6344">
          <cell r="B6344" t="str">
            <v/>
          </cell>
        </row>
        <row r="6345">
          <cell r="B6345" t="str">
            <v/>
          </cell>
        </row>
        <row r="6346">
          <cell r="B6346" t="str">
            <v/>
          </cell>
        </row>
        <row r="6347">
          <cell r="B6347" t="str">
            <v/>
          </cell>
        </row>
        <row r="6348">
          <cell r="B6348" t="str">
            <v/>
          </cell>
        </row>
        <row r="6349">
          <cell r="B6349" t="str">
            <v/>
          </cell>
        </row>
        <row r="6350">
          <cell r="B6350" t="str">
            <v/>
          </cell>
        </row>
        <row r="6351">
          <cell r="B6351" t="str">
            <v/>
          </cell>
        </row>
        <row r="6352">
          <cell r="B6352" t="str">
            <v/>
          </cell>
        </row>
        <row r="6353">
          <cell r="B6353" t="str">
            <v/>
          </cell>
        </row>
        <row r="6354">
          <cell r="B6354" t="str">
            <v/>
          </cell>
        </row>
        <row r="6355">
          <cell r="B6355" t="str">
            <v/>
          </cell>
        </row>
        <row r="6356">
          <cell r="B6356" t="str">
            <v/>
          </cell>
        </row>
        <row r="6357">
          <cell r="B6357" t="str">
            <v/>
          </cell>
        </row>
        <row r="6358">
          <cell r="B6358" t="str">
            <v/>
          </cell>
        </row>
        <row r="6359">
          <cell r="B6359" t="str">
            <v/>
          </cell>
        </row>
        <row r="6360">
          <cell r="B6360" t="str">
            <v/>
          </cell>
        </row>
        <row r="6361">
          <cell r="B6361" t="str">
            <v/>
          </cell>
        </row>
        <row r="6362">
          <cell r="B6362" t="str">
            <v/>
          </cell>
        </row>
        <row r="6363">
          <cell r="B6363" t="str">
            <v/>
          </cell>
        </row>
        <row r="6364">
          <cell r="B6364" t="str">
            <v/>
          </cell>
        </row>
        <row r="6365">
          <cell r="B6365" t="str">
            <v/>
          </cell>
        </row>
        <row r="6366">
          <cell r="B6366" t="str">
            <v/>
          </cell>
        </row>
        <row r="6367">
          <cell r="B6367" t="str">
            <v/>
          </cell>
        </row>
        <row r="6368">
          <cell r="B6368" t="str">
            <v/>
          </cell>
        </row>
        <row r="6369">
          <cell r="B6369" t="str">
            <v/>
          </cell>
        </row>
        <row r="6370">
          <cell r="B6370" t="str">
            <v/>
          </cell>
        </row>
        <row r="6371">
          <cell r="B6371" t="str">
            <v/>
          </cell>
        </row>
        <row r="6372">
          <cell r="B6372" t="str">
            <v/>
          </cell>
        </row>
        <row r="6373">
          <cell r="B6373" t="str">
            <v/>
          </cell>
        </row>
        <row r="6374">
          <cell r="B6374" t="str">
            <v/>
          </cell>
        </row>
        <row r="6375">
          <cell r="B6375" t="str">
            <v/>
          </cell>
        </row>
        <row r="6376">
          <cell r="B6376" t="str">
            <v/>
          </cell>
        </row>
        <row r="6377">
          <cell r="B6377" t="str">
            <v/>
          </cell>
        </row>
        <row r="6378">
          <cell r="B6378" t="str">
            <v/>
          </cell>
        </row>
        <row r="6379">
          <cell r="B6379" t="str">
            <v/>
          </cell>
        </row>
        <row r="6380">
          <cell r="B6380" t="str">
            <v/>
          </cell>
        </row>
        <row r="6381">
          <cell r="B6381" t="str">
            <v/>
          </cell>
        </row>
        <row r="6382">
          <cell r="B6382" t="str">
            <v/>
          </cell>
        </row>
        <row r="6383">
          <cell r="B6383" t="str">
            <v/>
          </cell>
        </row>
        <row r="6384">
          <cell r="B6384" t="str">
            <v/>
          </cell>
        </row>
        <row r="6385">
          <cell r="B6385" t="str">
            <v/>
          </cell>
        </row>
        <row r="6386">
          <cell r="B6386" t="str">
            <v/>
          </cell>
        </row>
        <row r="6387">
          <cell r="B6387" t="str">
            <v/>
          </cell>
        </row>
        <row r="6388">
          <cell r="B6388" t="str">
            <v/>
          </cell>
        </row>
        <row r="6389">
          <cell r="B6389" t="str">
            <v/>
          </cell>
        </row>
        <row r="6390">
          <cell r="B6390" t="str">
            <v/>
          </cell>
        </row>
        <row r="6391">
          <cell r="B6391" t="str">
            <v/>
          </cell>
        </row>
        <row r="6392">
          <cell r="B6392" t="str">
            <v/>
          </cell>
        </row>
        <row r="6393">
          <cell r="B6393" t="str">
            <v/>
          </cell>
        </row>
        <row r="6394">
          <cell r="B6394" t="str">
            <v/>
          </cell>
        </row>
        <row r="6395">
          <cell r="B6395" t="str">
            <v/>
          </cell>
        </row>
        <row r="6396">
          <cell r="B6396" t="str">
            <v/>
          </cell>
        </row>
        <row r="6397">
          <cell r="B6397" t="str">
            <v/>
          </cell>
        </row>
        <row r="6398">
          <cell r="B6398" t="str">
            <v/>
          </cell>
        </row>
        <row r="6399">
          <cell r="B6399" t="str">
            <v/>
          </cell>
        </row>
        <row r="6400">
          <cell r="B6400" t="str">
            <v/>
          </cell>
        </row>
        <row r="6401">
          <cell r="B6401" t="str">
            <v/>
          </cell>
        </row>
        <row r="6402">
          <cell r="B6402" t="str">
            <v/>
          </cell>
        </row>
        <row r="6403">
          <cell r="B6403" t="str">
            <v/>
          </cell>
        </row>
        <row r="6404">
          <cell r="B6404" t="str">
            <v/>
          </cell>
        </row>
        <row r="6405">
          <cell r="B6405" t="str">
            <v/>
          </cell>
        </row>
        <row r="6406">
          <cell r="B6406" t="str">
            <v/>
          </cell>
        </row>
        <row r="6407">
          <cell r="B6407" t="str">
            <v/>
          </cell>
        </row>
        <row r="6408">
          <cell r="B6408" t="str">
            <v/>
          </cell>
        </row>
        <row r="6409">
          <cell r="B6409" t="str">
            <v/>
          </cell>
        </row>
        <row r="6410">
          <cell r="B6410" t="str">
            <v/>
          </cell>
        </row>
        <row r="6411">
          <cell r="B6411" t="str">
            <v/>
          </cell>
        </row>
        <row r="6412">
          <cell r="B6412" t="str">
            <v/>
          </cell>
        </row>
        <row r="6413">
          <cell r="B6413" t="str">
            <v/>
          </cell>
        </row>
        <row r="6414">
          <cell r="B6414" t="str">
            <v/>
          </cell>
        </row>
        <row r="6415">
          <cell r="B6415" t="str">
            <v/>
          </cell>
        </row>
        <row r="6416">
          <cell r="B6416" t="str">
            <v/>
          </cell>
        </row>
        <row r="6417">
          <cell r="B6417" t="str">
            <v/>
          </cell>
        </row>
        <row r="6418">
          <cell r="B6418" t="str">
            <v/>
          </cell>
        </row>
        <row r="6419">
          <cell r="B6419" t="str">
            <v/>
          </cell>
        </row>
        <row r="6420">
          <cell r="B6420" t="str">
            <v/>
          </cell>
        </row>
        <row r="6421">
          <cell r="B6421" t="str">
            <v/>
          </cell>
        </row>
        <row r="6422">
          <cell r="B6422" t="str">
            <v/>
          </cell>
        </row>
        <row r="6423">
          <cell r="B6423" t="str">
            <v/>
          </cell>
        </row>
        <row r="6424">
          <cell r="B6424" t="str">
            <v/>
          </cell>
        </row>
        <row r="6425">
          <cell r="B6425" t="str">
            <v/>
          </cell>
        </row>
        <row r="6426">
          <cell r="B6426" t="str">
            <v/>
          </cell>
        </row>
        <row r="6427">
          <cell r="B6427" t="str">
            <v/>
          </cell>
        </row>
        <row r="6428">
          <cell r="B6428" t="str">
            <v/>
          </cell>
        </row>
        <row r="6429">
          <cell r="B6429" t="str">
            <v/>
          </cell>
        </row>
        <row r="6430">
          <cell r="B6430" t="str">
            <v/>
          </cell>
        </row>
        <row r="6431">
          <cell r="B6431" t="str">
            <v/>
          </cell>
        </row>
        <row r="6432">
          <cell r="B6432" t="str">
            <v/>
          </cell>
        </row>
        <row r="6433">
          <cell r="B6433" t="str">
            <v/>
          </cell>
        </row>
        <row r="6434">
          <cell r="B6434" t="str">
            <v/>
          </cell>
        </row>
        <row r="6435">
          <cell r="B6435" t="str">
            <v/>
          </cell>
        </row>
        <row r="6436">
          <cell r="B6436" t="str">
            <v/>
          </cell>
        </row>
        <row r="6437">
          <cell r="B6437" t="str">
            <v/>
          </cell>
        </row>
        <row r="6438">
          <cell r="B6438" t="str">
            <v/>
          </cell>
        </row>
        <row r="6439">
          <cell r="B6439" t="str">
            <v/>
          </cell>
        </row>
        <row r="6440">
          <cell r="B6440" t="str">
            <v/>
          </cell>
        </row>
        <row r="6441">
          <cell r="B6441" t="str">
            <v/>
          </cell>
        </row>
        <row r="6442">
          <cell r="B6442" t="str">
            <v/>
          </cell>
        </row>
        <row r="6443">
          <cell r="B6443" t="str">
            <v/>
          </cell>
        </row>
        <row r="6444">
          <cell r="B6444" t="str">
            <v/>
          </cell>
        </row>
        <row r="6445">
          <cell r="B6445" t="str">
            <v/>
          </cell>
        </row>
        <row r="6446">
          <cell r="B6446" t="str">
            <v/>
          </cell>
        </row>
        <row r="6447">
          <cell r="B6447" t="str">
            <v/>
          </cell>
        </row>
        <row r="6448">
          <cell r="B6448" t="str">
            <v/>
          </cell>
        </row>
        <row r="6449">
          <cell r="B6449" t="str">
            <v/>
          </cell>
        </row>
        <row r="6450">
          <cell r="B6450" t="str">
            <v/>
          </cell>
        </row>
        <row r="6451">
          <cell r="B6451" t="str">
            <v/>
          </cell>
        </row>
        <row r="6452">
          <cell r="B6452" t="str">
            <v/>
          </cell>
        </row>
        <row r="6453">
          <cell r="B6453" t="str">
            <v/>
          </cell>
        </row>
        <row r="6454">
          <cell r="B6454" t="str">
            <v/>
          </cell>
        </row>
        <row r="6455">
          <cell r="B6455" t="str">
            <v/>
          </cell>
        </row>
        <row r="6456">
          <cell r="B6456" t="str">
            <v/>
          </cell>
        </row>
        <row r="6457">
          <cell r="B6457" t="str">
            <v/>
          </cell>
        </row>
        <row r="6458">
          <cell r="B6458" t="str">
            <v/>
          </cell>
        </row>
        <row r="6459">
          <cell r="B6459" t="str">
            <v/>
          </cell>
        </row>
        <row r="6460">
          <cell r="B6460" t="str">
            <v/>
          </cell>
        </row>
        <row r="6461">
          <cell r="B6461" t="str">
            <v/>
          </cell>
        </row>
        <row r="6462">
          <cell r="B6462" t="str">
            <v/>
          </cell>
        </row>
        <row r="6463">
          <cell r="B6463" t="str">
            <v/>
          </cell>
        </row>
        <row r="6464">
          <cell r="B6464" t="str">
            <v/>
          </cell>
        </row>
        <row r="6465">
          <cell r="B6465" t="str">
            <v/>
          </cell>
        </row>
        <row r="6466">
          <cell r="B6466" t="str">
            <v/>
          </cell>
        </row>
        <row r="6467">
          <cell r="B6467" t="str">
            <v/>
          </cell>
        </row>
        <row r="6468">
          <cell r="B6468" t="str">
            <v/>
          </cell>
        </row>
        <row r="6469">
          <cell r="B6469" t="str">
            <v/>
          </cell>
        </row>
        <row r="6470">
          <cell r="B6470" t="str">
            <v/>
          </cell>
        </row>
        <row r="6471">
          <cell r="B6471" t="str">
            <v/>
          </cell>
        </row>
        <row r="6472">
          <cell r="B6472" t="str">
            <v/>
          </cell>
        </row>
        <row r="6473">
          <cell r="B6473" t="str">
            <v/>
          </cell>
        </row>
        <row r="6474">
          <cell r="B6474" t="str">
            <v/>
          </cell>
        </row>
        <row r="6475">
          <cell r="B6475" t="str">
            <v/>
          </cell>
        </row>
        <row r="6476">
          <cell r="B6476" t="str">
            <v/>
          </cell>
        </row>
        <row r="6477">
          <cell r="B6477" t="str">
            <v/>
          </cell>
        </row>
        <row r="6478">
          <cell r="B6478" t="str">
            <v/>
          </cell>
        </row>
        <row r="6479">
          <cell r="B6479" t="str">
            <v/>
          </cell>
        </row>
        <row r="6480">
          <cell r="B6480" t="str">
            <v/>
          </cell>
        </row>
        <row r="6481">
          <cell r="B6481" t="str">
            <v/>
          </cell>
        </row>
        <row r="6482">
          <cell r="B6482" t="str">
            <v/>
          </cell>
        </row>
        <row r="6483">
          <cell r="B6483" t="str">
            <v/>
          </cell>
        </row>
        <row r="6484">
          <cell r="B6484" t="str">
            <v/>
          </cell>
        </row>
        <row r="6485">
          <cell r="B6485" t="str">
            <v/>
          </cell>
        </row>
        <row r="6486">
          <cell r="B6486" t="str">
            <v/>
          </cell>
        </row>
        <row r="6487">
          <cell r="B6487" t="str">
            <v/>
          </cell>
        </row>
        <row r="6488">
          <cell r="B6488" t="str">
            <v/>
          </cell>
        </row>
        <row r="6489">
          <cell r="B6489" t="str">
            <v/>
          </cell>
        </row>
        <row r="6490">
          <cell r="B6490" t="str">
            <v/>
          </cell>
        </row>
        <row r="6491">
          <cell r="B6491" t="str">
            <v/>
          </cell>
        </row>
        <row r="6492">
          <cell r="B6492" t="str">
            <v/>
          </cell>
        </row>
        <row r="6493">
          <cell r="B6493" t="str">
            <v/>
          </cell>
        </row>
        <row r="6494">
          <cell r="B6494" t="str">
            <v/>
          </cell>
        </row>
        <row r="6495">
          <cell r="B6495" t="str">
            <v/>
          </cell>
        </row>
        <row r="6496">
          <cell r="B6496" t="str">
            <v/>
          </cell>
        </row>
        <row r="6497">
          <cell r="B6497" t="str">
            <v/>
          </cell>
        </row>
        <row r="6498">
          <cell r="B6498" t="str">
            <v/>
          </cell>
        </row>
        <row r="6499">
          <cell r="B6499" t="str">
            <v/>
          </cell>
        </row>
        <row r="6500">
          <cell r="B6500" t="str">
            <v/>
          </cell>
        </row>
        <row r="6501">
          <cell r="B6501" t="str">
            <v/>
          </cell>
        </row>
        <row r="6502">
          <cell r="B6502" t="str">
            <v/>
          </cell>
        </row>
        <row r="6503">
          <cell r="B6503" t="str">
            <v/>
          </cell>
        </row>
        <row r="6504">
          <cell r="B6504" t="str">
            <v/>
          </cell>
        </row>
        <row r="6505">
          <cell r="B6505" t="str">
            <v/>
          </cell>
        </row>
        <row r="6506">
          <cell r="B6506" t="str">
            <v/>
          </cell>
        </row>
        <row r="6507">
          <cell r="B6507" t="str">
            <v/>
          </cell>
        </row>
        <row r="6508">
          <cell r="B6508" t="str">
            <v/>
          </cell>
        </row>
        <row r="6509">
          <cell r="B6509" t="str">
            <v/>
          </cell>
        </row>
        <row r="6510">
          <cell r="B6510" t="str">
            <v/>
          </cell>
        </row>
        <row r="6511">
          <cell r="B6511" t="str">
            <v/>
          </cell>
        </row>
        <row r="6512">
          <cell r="B6512" t="str">
            <v/>
          </cell>
        </row>
        <row r="6513">
          <cell r="B6513" t="str">
            <v/>
          </cell>
        </row>
        <row r="6514">
          <cell r="B6514" t="str">
            <v/>
          </cell>
        </row>
        <row r="6515">
          <cell r="B6515" t="str">
            <v/>
          </cell>
        </row>
        <row r="6516">
          <cell r="B6516" t="str">
            <v/>
          </cell>
        </row>
        <row r="6517">
          <cell r="B6517" t="str">
            <v/>
          </cell>
        </row>
        <row r="6518">
          <cell r="B6518" t="str">
            <v/>
          </cell>
        </row>
        <row r="6519">
          <cell r="B6519" t="str">
            <v/>
          </cell>
        </row>
        <row r="6520">
          <cell r="B6520" t="str">
            <v/>
          </cell>
        </row>
        <row r="6521">
          <cell r="B6521" t="str">
            <v/>
          </cell>
        </row>
        <row r="6522">
          <cell r="B6522" t="str">
            <v/>
          </cell>
        </row>
        <row r="6523">
          <cell r="B6523" t="str">
            <v/>
          </cell>
        </row>
        <row r="6524">
          <cell r="B6524" t="str">
            <v/>
          </cell>
        </row>
        <row r="6525">
          <cell r="B6525" t="str">
            <v/>
          </cell>
        </row>
        <row r="6526">
          <cell r="B6526" t="str">
            <v/>
          </cell>
        </row>
        <row r="6527">
          <cell r="B6527" t="str">
            <v/>
          </cell>
        </row>
        <row r="6528">
          <cell r="B6528" t="str">
            <v/>
          </cell>
        </row>
        <row r="6529">
          <cell r="B6529" t="str">
            <v/>
          </cell>
        </row>
        <row r="6530">
          <cell r="B6530" t="str">
            <v/>
          </cell>
        </row>
        <row r="6531">
          <cell r="B6531" t="str">
            <v/>
          </cell>
        </row>
        <row r="6532">
          <cell r="B6532" t="str">
            <v/>
          </cell>
        </row>
        <row r="6533">
          <cell r="B6533" t="str">
            <v/>
          </cell>
        </row>
        <row r="6534">
          <cell r="B6534" t="str">
            <v/>
          </cell>
        </row>
        <row r="6535">
          <cell r="B6535" t="str">
            <v/>
          </cell>
        </row>
        <row r="6536">
          <cell r="B6536" t="str">
            <v/>
          </cell>
        </row>
        <row r="6537">
          <cell r="B6537" t="str">
            <v/>
          </cell>
        </row>
        <row r="6538">
          <cell r="B6538" t="str">
            <v/>
          </cell>
        </row>
        <row r="6539">
          <cell r="B6539" t="str">
            <v/>
          </cell>
        </row>
        <row r="6540">
          <cell r="B6540" t="str">
            <v/>
          </cell>
        </row>
        <row r="6541">
          <cell r="B6541" t="str">
            <v/>
          </cell>
        </row>
        <row r="6542">
          <cell r="B6542" t="str">
            <v/>
          </cell>
        </row>
        <row r="6543">
          <cell r="B6543" t="str">
            <v/>
          </cell>
        </row>
        <row r="6544">
          <cell r="B6544" t="str">
            <v/>
          </cell>
        </row>
        <row r="6545">
          <cell r="B6545" t="str">
            <v/>
          </cell>
        </row>
        <row r="6546">
          <cell r="B6546" t="str">
            <v/>
          </cell>
        </row>
        <row r="6547">
          <cell r="B6547" t="str">
            <v/>
          </cell>
        </row>
        <row r="6548">
          <cell r="B6548" t="str">
            <v/>
          </cell>
        </row>
        <row r="6549">
          <cell r="B6549" t="str">
            <v/>
          </cell>
        </row>
        <row r="6550">
          <cell r="B6550" t="str">
            <v/>
          </cell>
        </row>
        <row r="6551">
          <cell r="B6551" t="str">
            <v/>
          </cell>
        </row>
        <row r="6552">
          <cell r="B6552" t="str">
            <v/>
          </cell>
        </row>
        <row r="6553">
          <cell r="B6553" t="str">
            <v/>
          </cell>
        </row>
        <row r="6554">
          <cell r="B6554" t="str">
            <v/>
          </cell>
        </row>
        <row r="6555">
          <cell r="B6555" t="str">
            <v/>
          </cell>
        </row>
        <row r="6556">
          <cell r="B6556" t="str">
            <v/>
          </cell>
        </row>
        <row r="6557">
          <cell r="B6557" t="str">
            <v/>
          </cell>
        </row>
        <row r="6558">
          <cell r="B6558" t="str">
            <v/>
          </cell>
        </row>
        <row r="6559">
          <cell r="B6559" t="str">
            <v/>
          </cell>
        </row>
        <row r="6560">
          <cell r="B6560" t="str">
            <v/>
          </cell>
        </row>
        <row r="6561">
          <cell r="B6561" t="str">
            <v/>
          </cell>
        </row>
        <row r="6562">
          <cell r="B6562" t="str">
            <v/>
          </cell>
        </row>
        <row r="6563">
          <cell r="B6563" t="str">
            <v/>
          </cell>
        </row>
        <row r="6564">
          <cell r="B6564" t="str">
            <v/>
          </cell>
        </row>
        <row r="6565">
          <cell r="B6565" t="str">
            <v/>
          </cell>
        </row>
        <row r="6566">
          <cell r="B6566" t="str">
            <v/>
          </cell>
        </row>
        <row r="6567">
          <cell r="B6567" t="str">
            <v/>
          </cell>
        </row>
        <row r="6568">
          <cell r="B6568" t="str">
            <v/>
          </cell>
        </row>
        <row r="6569">
          <cell r="B6569" t="str">
            <v/>
          </cell>
        </row>
        <row r="6570">
          <cell r="B6570" t="str">
            <v/>
          </cell>
        </row>
        <row r="6571">
          <cell r="B6571" t="str">
            <v/>
          </cell>
        </row>
        <row r="6572">
          <cell r="B6572" t="str">
            <v/>
          </cell>
        </row>
        <row r="6573">
          <cell r="B6573" t="str">
            <v/>
          </cell>
        </row>
        <row r="6574">
          <cell r="B6574" t="str">
            <v/>
          </cell>
        </row>
        <row r="6575">
          <cell r="B6575" t="str">
            <v/>
          </cell>
        </row>
        <row r="6576">
          <cell r="B6576" t="str">
            <v/>
          </cell>
        </row>
        <row r="6577">
          <cell r="B6577" t="str">
            <v/>
          </cell>
        </row>
        <row r="6578">
          <cell r="B6578" t="str">
            <v/>
          </cell>
        </row>
        <row r="6579">
          <cell r="B6579" t="str">
            <v/>
          </cell>
        </row>
        <row r="6580">
          <cell r="B6580" t="str">
            <v/>
          </cell>
        </row>
        <row r="6581">
          <cell r="B6581" t="str">
            <v/>
          </cell>
        </row>
        <row r="6582">
          <cell r="B6582" t="str">
            <v/>
          </cell>
        </row>
        <row r="6583">
          <cell r="B6583" t="str">
            <v/>
          </cell>
        </row>
        <row r="6584">
          <cell r="B6584" t="str">
            <v/>
          </cell>
        </row>
        <row r="6585">
          <cell r="B6585" t="str">
            <v/>
          </cell>
        </row>
        <row r="6586">
          <cell r="B6586" t="str">
            <v/>
          </cell>
        </row>
        <row r="6587">
          <cell r="B6587" t="str">
            <v/>
          </cell>
        </row>
        <row r="6588">
          <cell r="B6588" t="str">
            <v/>
          </cell>
        </row>
        <row r="6589">
          <cell r="B6589" t="str">
            <v/>
          </cell>
        </row>
        <row r="6590">
          <cell r="B6590" t="str">
            <v/>
          </cell>
        </row>
        <row r="6591">
          <cell r="B6591" t="str">
            <v/>
          </cell>
        </row>
        <row r="6592">
          <cell r="B6592" t="str">
            <v/>
          </cell>
        </row>
        <row r="6593">
          <cell r="B6593" t="str">
            <v/>
          </cell>
        </row>
        <row r="6594">
          <cell r="B6594" t="str">
            <v/>
          </cell>
        </row>
        <row r="6595">
          <cell r="B6595" t="str">
            <v/>
          </cell>
        </row>
        <row r="6596">
          <cell r="B6596" t="str">
            <v/>
          </cell>
        </row>
        <row r="6597">
          <cell r="B6597" t="str">
            <v/>
          </cell>
        </row>
        <row r="6598">
          <cell r="B6598" t="str">
            <v/>
          </cell>
        </row>
        <row r="6599">
          <cell r="B6599" t="str">
            <v/>
          </cell>
        </row>
        <row r="6600">
          <cell r="B6600" t="str">
            <v/>
          </cell>
        </row>
        <row r="6601">
          <cell r="B6601" t="str">
            <v/>
          </cell>
        </row>
        <row r="6602">
          <cell r="B6602" t="str">
            <v/>
          </cell>
        </row>
        <row r="6603">
          <cell r="B6603" t="str">
            <v/>
          </cell>
        </row>
        <row r="6604">
          <cell r="B6604" t="str">
            <v/>
          </cell>
        </row>
        <row r="6605">
          <cell r="B6605" t="str">
            <v/>
          </cell>
        </row>
        <row r="6606">
          <cell r="B6606" t="str">
            <v/>
          </cell>
        </row>
        <row r="6607">
          <cell r="B6607" t="str">
            <v/>
          </cell>
        </row>
        <row r="6608">
          <cell r="B6608" t="str">
            <v/>
          </cell>
        </row>
        <row r="6609">
          <cell r="B6609" t="str">
            <v/>
          </cell>
        </row>
        <row r="6610">
          <cell r="B6610" t="str">
            <v/>
          </cell>
        </row>
        <row r="6611">
          <cell r="B6611" t="str">
            <v/>
          </cell>
        </row>
        <row r="6612">
          <cell r="B6612" t="str">
            <v/>
          </cell>
        </row>
        <row r="6613">
          <cell r="B6613" t="str">
            <v/>
          </cell>
        </row>
        <row r="6614">
          <cell r="B6614" t="str">
            <v/>
          </cell>
        </row>
        <row r="6615">
          <cell r="B6615" t="str">
            <v/>
          </cell>
        </row>
        <row r="6616">
          <cell r="B6616" t="str">
            <v/>
          </cell>
        </row>
        <row r="6617">
          <cell r="B6617" t="str">
            <v/>
          </cell>
        </row>
        <row r="6618">
          <cell r="B6618" t="str">
            <v/>
          </cell>
        </row>
        <row r="6619">
          <cell r="B6619" t="str">
            <v/>
          </cell>
        </row>
        <row r="6620">
          <cell r="B6620" t="str">
            <v/>
          </cell>
        </row>
        <row r="6621">
          <cell r="B6621" t="str">
            <v/>
          </cell>
        </row>
        <row r="6622">
          <cell r="B6622" t="str">
            <v/>
          </cell>
        </row>
        <row r="6623">
          <cell r="B6623" t="str">
            <v/>
          </cell>
        </row>
        <row r="6624">
          <cell r="B6624" t="str">
            <v/>
          </cell>
        </row>
        <row r="6625">
          <cell r="B6625" t="str">
            <v/>
          </cell>
        </row>
        <row r="6626">
          <cell r="B6626" t="str">
            <v/>
          </cell>
        </row>
        <row r="6627">
          <cell r="B6627" t="str">
            <v/>
          </cell>
        </row>
        <row r="6628">
          <cell r="B6628" t="str">
            <v/>
          </cell>
        </row>
        <row r="6629">
          <cell r="B6629" t="str">
            <v/>
          </cell>
        </row>
        <row r="6630">
          <cell r="B6630" t="str">
            <v/>
          </cell>
        </row>
        <row r="6631">
          <cell r="B6631" t="str">
            <v/>
          </cell>
        </row>
        <row r="6632">
          <cell r="B6632" t="str">
            <v/>
          </cell>
        </row>
        <row r="6633">
          <cell r="B6633" t="str">
            <v/>
          </cell>
        </row>
        <row r="6634">
          <cell r="B6634" t="str">
            <v/>
          </cell>
        </row>
        <row r="6635">
          <cell r="B6635" t="str">
            <v/>
          </cell>
        </row>
        <row r="6636">
          <cell r="B6636" t="str">
            <v/>
          </cell>
        </row>
        <row r="6637">
          <cell r="B6637" t="str">
            <v/>
          </cell>
        </row>
        <row r="6638">
          <cell r="B6638" t="str">
            <v/>
          </cell>
        </row>
        <row r="6639">
          <cell r="B6639" t="str">
            <v/>
          </cell>
        </row>
        <row r="6640">
          <cell r="B6640" t="str">
            <v/>
          </cell>
        </row>
        <row r="6641">
          <cell r="B6641" t="str">
            <v/>
          </cell>
        </row>
        <row r="6642">
          <cell r="B6642" t="str">
            <v/>
          </cell>
        </row>
        <row r="6643">
          <cell r="B6643" t="str">
            <v/>
          </cell>
        </row>
        <row r="6644">
          <cell r="B6644" t="str">
            <v/>
          </cell>
        </row>
        <row r="6645">
          <cell r="B6645" t="str">
            <v/>
          </cell>
        </row>
        <row r="6646">
          <cell r="B6646" t="str">
            <v/>
          </cell>
        </row>
        <row r="6647">
          <cell r="B6647" t="str">
            <v/>
          </cell>
        </row>
        <row r="6648">
          <cell r="B6648" t="str">
            <v/>
          </cell>
        </row>
        <row r="6649">
          <cell r="B6649" t="str">
            <v/>
          </cell>
        </row>
        <row r="6650">
          <cell r="B6650" t="str">
            <v/>
          </cell>
        </row>
        <row r="6651">
          <cell r="B6651" t="str">
            <v/>
          </cell>
        </row>
        <row r="6652">
          <cell r="B6652" t="str">
            <v/>
          </cell>
        </row>
        <row r="6653">
          <cell r="B6653" t="str">
            <v/>
          </cell>
        </row>
        <row r="6654">
          <cell r="B6654" t="str">
            <v/>
          </cell>
        </row>
        <row r="6655">
          <cell r="B6655" t="str">
            <v/>
          </cell>
        </row>
        <row r="6656">
          <cell r="B6656" t="str">
            <v/>
          </cell>
        </row>
        <row r="6657">
          <cell r="B6657" t="str">
            <v/>
          </cell>
        </row>
        <row r="6658">
          <cell r="B6658" t="str">
            <v/>
          </cell>
        </row>
        <row r="6659">
          <cell r="B6659" t="str">
            <v/>
          </cell>
        </row>
        <row r="6660">
          <cell r="B6660" t="str">
            <v/>
          </cell>
        </row>
        <row r="6661">
          <cell r="B6661" t="str">
            <v/>
          </cell>
        </row>
        <row r="6662">
          <cell r="B6662" t="str">
            <v/>
          </cell>
        </row>
        <row r="6663">
          <cell r="B6663" t="str">
            <v/>
          </cell>
        </row>
        <row r="6664">
          <cell r="B6664" t="str">
            <v/>
          </cell>
        </row>
        <row r="6665">
          <cell r="B6665" t="str">
            <v/>
          </cell>
        </row>
        <row r="6666">
          <cell r="B6666" t="str">
            <v/>
          </cell>
        </row>
        <row r="6667">
          <cell r="B6667" t="str">
            <v/>
          </cell>
        </row>
        <row r="6668">
          <cell r="B6668" t="str">
            <v/>
          </cell>
        </row>
        <row r="6669">
          <cell r="B6669" t="str">
            <v/>
          </cell>
        </row>
        <row r="6670">
          <cell r="B6670" t="str">
            <v/>
          </cell>
        </row>
        <row r="6671">
          <cell r="B6671" t="str">
            <v/>
          </cell>
        </row>
        <row r="6672">
          <cell r="B6672" t="str">
            <v/>
          </cell>
        </row>
        <row r="6673">
          <cell r="B6673" t="str">
            <v/>
          </cell>
        </row>
        <row r="6674">
          <cell r="B6674" t="str">
            <v/>
          </cell>
        </row>
        <row r="6675">
          <cell r="B6675" t="str">
            <v/>
          </cell>
        </row>
        <row r="6676">
          <cell r="B6676" t="str">
            <v/>
          </cell>
        </row>
        <row r="6677">
          <cell r="B6677" t="str">
            <v/>
          </cell>
        </row>
        <row r="6678">
          <cell r="B6678" t="str">
            <v/>
          </cell>
        </row>
        <row r="6679">
          <cell r="B6679" t="str">
            <v/>
          </cell>
        </row>
        <row r="6680">
          <cell r="B6680" t="str">
            <v/>
          </cell>
        </row>
        <row r="6681">
          <cell r="B6681" t="str">
            <v/>
          </cell>
        </row>
        <row r="6682">
          <cell r="B6682" t="str">
            <v/>
          </cell>
        </row>
        <row r="6683">
          <cell r="B6683" t="str">
            <v/>
          </cell>
        </row>
        <row r="6684">
          <cell r="B6684" t="str">
            <v/>
          </cell>
        </row>
        <row r="6685">
          <cell r="B6685" t="str">
            <v/>
          </cell>
        </row>
        <row r="6686">
          <cell r="B6686" t="str">
            <v/>
          </cell>
        </row>
        <row r="6687">
          <cell r="B6687" t="str">
            <v/>
          </cell>
        </row>
        <row r="6688">
          <cell r="B6688" t="str">
            <v/>
          </cell>
        </row>
        <row r="6689">
          <cell r="B6689" t="str">
            <v/>
          </cell>
        </row>
        <row r="6690">
          <cell r="B6690" t="str">
            <v/>
          </cell>
        </row>
        <row r="6691">
          <cell r="B6691" t="str">
            <v/>
          </cell>
        </row>
        <row r="6692">
          <cell r="B6692" t="str">
            <v/>
          </cell>
        </row>
        <row r="6693">
          <cell r="B6693" t="str">
            <v/>
          </cell>
        </row>
        <row r="6694">
          <cell r="B6694" t="str">
            <v/>
          </cell>
        </row>
        <row r="6695">
          <cell r="B6695" t="str">
            <v/>
          </cell>
        </row>
        <row r="6696">
          <cell r="B6696" t="str">
            <v/>
          </cell>
        </row>
        <row r="6697">
          <cell r="B6697" t="str">
            <v/>
          </cell>
        </row>
        <row r="6698">
          <cell r="B6698" t="str">
            <v/>
          </cell>
        </row>
        <row r="6699">
          <cell r="B6699" t="str">
            <v/>
          </cell>
        </row>
        <row r="6700">
          <cell r="B6700" t="str">
            <v/>
          </cell>
        </row>
        <row r="6701">
          <cell r="B6701" t="str">
            <v/>
          </cell>
        </row>
        <row r="6702">
          <cell r="B6702" t="str">
            <v/>
          </cell>
        </row>
        <row r="6703">
          <cell r="B6703" t="str">
            <v/>
          </cell>
        </row>
        <row r="6704">
          <cell r="B6704" t="str">
            <v/>
          </cell>
        </row>
        <row r="6705">
          <cell r="B6705" t="str">
            <v/>
          </cell>
        </row>
        <row r="6706">
          <cell r="B6706" t="str">
            <v/>
          </cell>
        </row>
        <row r="6707">
          <cell r="B6707" t="str">
            <v/>
          </cell>
        </row>
        <row r="6708">
          <cell r="B6708" t="str">
            <v/>
          </cell>
        </row>
        <row r="6709">
          <cell r="B6709" t="str">
            <v/>
          </cell>
        </row>
        <row r="6710">
          <cell r="B6710" t="str">
            <v/>
          </cell>
        </row>
        <row r="6711">
          <cell r="B6711" t="str">
            <v/>
          </cell>
        </row>
        <row r="6712">
          <cell r="B6712" t="str">
            <v/>
          </cell>
        </row>
        <row r="6713">
          <cell r="B6713" t="str">
            <v/>
          </cell>
        </row>
        <row r="6714">
          <cell r="B6714" t="str">
            <v/>
          </cell>
        </row>
        <row r="6715">
          <cell r="B6715" t="str">
            <v/>
          </cell>
        </row>
        <row r="6716">
          <cell r="B6716" t="str">
            <v/>
          </cell>
        </row>
        <row r="6717">
          <cell r="B6717" t="str">
            <v/>
          </cell>
        </row>
        <row r="6718">
          <cell r="B6718" t="str">
            <v/>
          </cell>
        </row>
        <row r="6719">
          <cell r="B6719" t="str">
            <v/>
          </cell>
        </row>
        <row r="6720">
          <cell r="B6720" t="str">
            <v/>
          </cell>
        </row>
        <row r="6721">
          <cell r="B6721" t="str">
            <v/>
          </cell>
        </row>
        <row r="6722">
          <cell r="B6722" t="str">
            <v/>
          </cell>
        </row>
        <row r="6723">
          <cell r="B6723" t="str">
            <v/>
          </cell>
        </row>
        <row r="6724">
          <cell r="B6724" t="str">
            <v/>
          </cell>
        </row>
        <row r="6725">
          <cell r="B6725" t="str">
            <v/>
          </cell>
        </row>
        <row r="6726">
          <cell r="B6726" t="str">
            <v/>
          </cell>
        </row>
        <row r="6727">
          <cell r="B6727" t="str">
            <v/>
          </cell>
        </row>
        <row r="6728">
          <cell r="B6728" t="str">
            <v/>
          </cell>
        </row>
        <row r="6729">
          <cell r="B6729" t="str">
            <v/>
          </cell>
        </row>
        <row r="6730">
          <cell r="B6730" t="str">
            <v/>
          </cell>
        </row>
        <row r="6731">
          <cell r="B6731" t="str">
            <v/>
          </cell>
        </row>
        <row r="6732">
          <cell r="B6732" t="str">
            <v/>
          </cell>
        </row>
        <row r="6733">
          <cell r="B6733" t="str">
            <v/>
          </cell>
        </row>
        <row r="6734">
          <cell r="B6734" t="str">
            <v/>
          </cell>
        </row>
        <row r="6735">
          <cell r="B6735" t="str">
            <v/>
          </cell>
        </row>
        <row r="6736">
          <cell r="B6736" t="str">
            <v/>
          </cell>
        </row>
        <row r="6737">
          <cell r="B6737" t="str">
            <v/>
          </cell>
        </row>
        <row r="6738">
          <cell r="B6738" t="str">
            <v/>
          </cell>
        </row>
        <row r="6739">
          <cell r="B6739" t="str">
            <v/>
          </cell>
        </row>
        <row r="6740">
          <cell r="B6740" t="str">
            <v/>
          </cell>
        </row>
        <row r="6741">
          <cell r="B6741" t="str">
            <v/>
          </cell>
        </row>
        <row r="6742">
          <cell r="B6742" t="str">
            <v/>
          </cell>
        </row>
        <row r="6743">
          <cell r="B6743" t="str">
            <v/>
          </cell>
        </row>
        <row r="6744">
          <cell r="B6744" t="str">
            <v/>
          </cell>
        </row>
        <row r="6745">
          <cell r="B6745" t="str">
            <v/>
          </cell>
        </row>
        <row r="6746">
          <cell r="B6746" t="str">
            <v/>
          </cell>
        </row>
        <row r="6747">
          <cell r="B6747" t="str">
            <v/>
          </cell>
        </row>
        <row r="6748">
          <cell r="B6748" t="str">
            <v/>
          </cell>
        </row>
        <row r="6749">
          <cell r="B6749" t="str">
            <v/>
          </cell>
        </row>
        <row r="6750">
          <cell r="B6750" t="str">
            <v/>
          </cell>
        </row>
        <row r="6751">
          <cell r="B6751" t="str">
            <v/>
          </cell>
        </row>
        <row r="6752">
          <cell r="B6752" t="str">
            <v/>
          </cell>
        </row>
        <row r="6753">
          <cell r="B6753" t="str">
            <v/>
          </cell>
        </row>
        <row r="6754">
          <cell r="B6754" t="str">
            <v/>
          </cell>
        </row>
        <row r="6755">
          <cell r="B6755" t="str">
            <v/>
          </cell>
        </row>
        <row r="6756">
          <cell r="B6756" t="str">
            <v/>
          </cell>
        </row>
        <row r="6757">
          <cell r="B6757" t="str">
            <v/>
          </cell>
        </row>
        <row r="6758">
          <cell r="B6758" t="str">
            <v/>
          </cell>
        </row>
        <row r="6759">
          <cell r="B6759" t="str">
            <v/>
          </cell>
        </row>
        <row r="6760">
          <cell r="B6760" t="str">
            <v/>
          </cell>
        </row>
        <row r="6761">
          <cell r="B6761" t="str">
            <v/>
          </cell>
        </row>
        <row r="6762">
          <cell r="B6762" t="str">
            <v/>
          </cell>
        </row>
        <row r="6763">
          <cell r="B6763" t="str">
            <v/>
          </cell>
        </row>
        <row r="6764">
          <cell r="B6764" t="str">
            <v/>
          </cell>
        </row>
        <row r="6765">
          <cell r="B6765" t="str">
            <v/>
          </cell>
        </row>
        <row r="6766">
          <cell r="B6766" t="str">
            <v/>
          </cell>
        </row>
        <row r="6767">
          <cell r="B6767" t="str">
            <v/>
          </cell>
        </row>
        <row r="6768">
          <cell r="B6768" t="str">
            <v/>
          </cell>
        </row>
        <row r="6769">
          <cell r="B6769" t="str">
            <v/>
          </cell>
        </row>
        <row r="6770">
          <cell r="B6770" t="str">
            <v/>
          </cell>
        </row>
        <row r="6771">
          <cell r="B6771" t="str">
            <v/>
          </cell>
        </row>
        <row r="6772">
          <cell r="B6772" t="str">
            <v/>
          </cell>
        </row>
        <row r="6773">
          <cell r="B6773" t="str">
            <v/>
          </cell>
        </row>
        <row r="6774">
          <cell r="B6774" t="str">
            <v/>
          </cell>
        </row>
        <row r="6775">
          <cell r="B6775" t="str">
            <v/>
          </cell>
        </row>
        <row r="6776">
          <cell r="B6776" t="str">
            <v/>
          </cell>
        </row>
        <row r="6777">
          <cell r="B6777" t="str">
            <v/>
          </cell>
        </row>
        <row r="6778">
          <cell r="B6778" t="str">
            <v/>
          </cell>
        </row>
        <row r="6779">
          <cell r="B6779" t="str">
            <v/>
          </cell>
        </row>
        <row r="6780">
          <cell r="B6780" t="str">
            <v/>
          </cell>
        </row>
        <row r="6781">
          <cell r="B6781" t="str">
            <v/>
          </cell>
        </row>
        <row r="6782">
          <cell r="B6782" t="str">
            <v/>
          </cell>
        </row>
        <row r="6783">
          <cell r="B6783" t="str">
            <v/>
          </cell>
        </row>
        <row r="6784">
          <cell r="B6784" t="str">
            <v/>
          </cell>
        </row>
        <row r="6785">
          <cell r="B6785" t="str">
            <v/>
          </cell>
        </row>
        <row r="6786">
          <cell r="B6786" t="str">
            <v/>
          </cell>
        </row>
        <row r="6787">
          <cell r="B6787" t="str">
            <v/>
          </cell>
        </row>
        <row r="6788">
          <cell r="B6788" t="str">
            <v/>
          </cell>
        </row>
        <row r="6789">
          <cell r="B6789" t="str">
            <v/>
          </cell>
        </row>
        <row r="6790">
          <cell r="B6790" t="str">
            <v/>
          </cell>
        </row>
        <row r="6791">
          <cell r="B6791" t="str">
            <v/>
          </cell>
        </row>
        <row r="6792">
          <cell r="B6792" t="str">
            <v/>
          </cell>
        </row>
        <row r="6793">
          <cell r="B6793" t="str">
            <v/>
          </cell>
        </row>
        <row r="6794">
          <cell r="B6794" t="str">
            <v/>
          </cell>
        </row>
        <row r="6795">
          <cell r="B6795" t="str">
            <v/>
          </cell>
        </row>
        <row r="6796">
          <cell r="B6796" t="str">
            <v/>
          </cell>
        </row>
        <row r="6797">
          <cell r="B6797" t="str">
            <v/>
          </cell>
        </row>
        <row r="6798">
          <cell r="B6798" t="str">
            <v/>
          </cell>
        </row>
        <row r="6799">
          <cell r="B6799" t="str">
            <v/>
          </cell>
        </row>
        <row r="6800">
          <cell r="B6800" t="str">
            <v/>
          </cell>
        </row>
        <row r="6801">
          <cell r="B6801" t="str">
            <v/>
          </cell>
        </row>
        <row r="6802">
          <cell r="B6802" t="str">
            <v/>
          </cell>
        </row>
        <row r="6803">
          <cell r="B6803" t="str">
            <v/>
          </cell>
        </row>
        <row r="6804">
          <cell r="B6804" t="str">
            <v/>
          </cell>
        </row>
        <row r="6805">
          <cell r="B6805" t="str">
            <v/>
          </cell>
        </row>
        <row r="6806">
          <cell r="B6806" t="str">
            <v/>
          </cell>
        </row>
        <row r="6807">
          <cell r="B6807" t="str">
            <v/>
          </cell>
        </row>
        <row r="6808">
          <cell r="B6808" t="str">
            <v/>
          </cell>
        </row>
        <row r="6809">
          <cell r="B6809" t="str">
            <v/>
          </cell>
        </row>
        <row r="6810">
          <cell r="B6810" t="str">
            <v/>
          </cell>
        </row>
        <row r="6811">
          <cell r="B6811" t="str">
            <v/>
          </cell>
        </row>
        <row r="6812">
          <cell r="B6812" t="str">
            <v/>
          </cell>
        </row>
        <row r="6813">
          <cell r="B6813" t="str">
            <v/>
          </cell>
        </row>
        <row r="6814">
          <cell r="B6814" t="str">
            <v/>
          </cell>
        </row>
        <row r="6815">
          <cell r="B6815" t="str">
            <v/>
          </cell>
        </row>
        <row r="6816">
          <cell r="B6816" t="str">
            <v/>
          </cell>
        </row>
        <row r="6817">
          <cell r="B6817" t="str">
            <v/>
          </cell>
        </row>
        <row r="6818">
          <cell r="B6818" t="str">
            <v/>
          </cell>
        </row>
        <row r="6819">
          <cell r="B6819" t="str">
            <v/>
          </cell>
        </row>
        <row r="6820">
          <cell r="B6820" t="str">
            <v/>
          </cell>
        </row>
        <row r="6821">
          <cell r="B6821" t="str">
            <v/>
          </cell>
        </row>
        <row r="6822">
          <cell r="B6822" t="str">
            <v/>
          </cell>
        </row>
        <row r="6823">
          <cell r="B6823" t="str">
            <v/>
          </cell>
        </row>
        <row r="6824">
          <cell r="B6824" t="str">
            <v/>
          </cell>
        </row>
        <row r="6825">
          <cell r="B6825" t="str">
            <v/>
          </cell>
        </row>
        <row r="6826">
          <cell r="B6826" t="str">
            <v/>
          </cell>
        </row>
        <row r="6827">
          <cell r="B6827" t="str">
            <v/>
          </cell>
        </row>
        <row r="6828">
          <cell r="B6828" t="str">
            <v/>
          </cell>
        </row>
        <row r="6829">
          <cell r="B6829" t="str">
            <v/>
          </cell>
        </row>
        <row r="6830">
          <cell r="B6830" t="str">
            <v/>
          </cell>
        </row>
        <row r="6831">
          <cell r="B6831" t="str">
            <v/>
          </cell>
        </row>
        <row r="6832">
          <cell r="B6832" t="str">
            <v/>
          </cell>
        </row>
        <row r="6833">
          <cell r="B6833" t="str">
            <v/>
          </cell>
        </row>
        <row r="6834">
          <cell r="B6834" t="str">
            <v/>
          </cell>
        </row>
        <row r="6835">
          <cell r="B6835" t="str">
            <v/>
          </cell>
        </row>
        <row r="6836">
          <cell r="B6836" t="str">
            <v/>
          </cell>
        </row>
        <row r="6837">
          <cell r="B6837" t="str">
            <v/>
          </cell>
        </row>
        <row r="6838">
          <cell r="B6838" t="str">
            <v/>
          </cell>
        </row>
        <row r="6839">
          <cell r="B6839" t="str">
            <v/>
          </cell>
        </row>
        <row r="6840">
          <cell r="B6840" t="str">
            <v/>
          </cell>
        </row>
        <row r="6841">
          <cell r="B6841" t="str">
            <v/>
          </cell>
        </row>
        <row r="6842">
          <cell r="B6842" t="str">
            <v/>
          </cell>
        </row>
        <row r="6843">
          <cell r="B6843" t="str">
            <v/>
          </cell>
        </row>
        <row r="6844">
          <cell r="B6844" t="str">
            <v/>
          </cell>
        </row>
        <row r="6845">
          <cell r="B6845" t="str">
            <v/>
          </cell>
        </row>
        <row r="6846">
          <cell r="B6846" t="str">
            <v/>
          </cell>
        </row>
        <row r="6847">
          <cell r="B6847" t="str">
            <v/>
          </cell>
        </row>
        <row r="6848">
          <cell r="B6848" t="str">
            <v/>
          </cell>
        </row>
        <row r="6849">
          <cell r="B6849" t="str">
            <v/>
          </cell>
        </row>
        <row r="6850">
          <cell r="B6850" t="str">
            <v/>
          </cell>
        </row>
        <row r="6851">
          <cell r="B6851" t="str">
            <v/>
          </cell>
        </row>
        <row r="6852">
          <cell r="B6852" t="str">
            <v/>
          </cell>
        </row>
        <row r="6853">
          <cell r="B6853" t="str">
            <v/>
          </cell>
        </row>
        <row r="6854">
          <cell r="B6854" t="str">
            <v/>
          </cell>
        </row>
        <row r="6855">
          <cell r="B6855" t="str">
            <v/>
          </cell>
        </row>
        <row r="6856">
          <cell r="B6856" t="str">
            <v/>
          </cell>
        </row>
        <row r="6857">
          <cell r="B6857" t="str">
            <v/>
          </cell>
        </row>
        <row r="6858">
          <cell r="B6858" t="str">
            <v/>
          </cell>
        </row>
        <row r="6859">
          <cell r="B6859" t="str">
            <v/>
          </cell>
        </row>
        <row r="6860">
          <cell r="B6860" t="str">
            <v/>
          </cell>
        </row>
        <row r="6861">
          <cell r="B6861" t="str">
            <v/>
          </cell>
        </row>
        <row r="6862">
          <cell r="B6862" t="str">
            <v/>
          </cell>
        </row>
        <row r="6863">
          <cell r="B6863" t="str">
            <v/>
          </cell>
        </row>
        <row r="6864">
          <cell r="B6864" t="str">
            <v/>
          </cell>
        </row>
        <row r="6865">
          <cell r="B6865" t="str">
            <v/>
          </cell>
        </row>
        <row r="6866">
          <cell r="B6866" t="str">
            <v/>
          </cell>
        </row>
        <row r="6867">
          <cell r="B6867" t="str">
            <v/>
          </cell>
        </row>
        <row r="6868">
          <cell r="B6868" t="str">
            <v/>
          </cell>
        </row>
        <row r="6869">
          <cell r="B6869" t="str">
            <v/>
          </cell>
        </row>
        <row r="6870">
          <cell r="B6870" t="str">
            <v/>
          </cell>
        </row>
        <row r="6871">
          <cell r="B6871" t="str">
            <v/>
          </cell>
        </row>
        <row r="6872">
          <cell r="B6872" t="str">
            <v/>
          </cell>
        </row>
        <row r="6873">
          <cell r="B6873" t="str">
            <v/>
          </cell>
        </row>
        <row r="6874">
          <cell r="B6874" t="str">
            <v/>
          </cell>
        </row>
        <row r="6875">
          <cell r="B6875" t="str">
            <v/>
          </cell>
        </row>
        <row r="6876">
          <cell r="B6876" t="str">
            <v/>
          </cell>
        </row>
        <row r="6877">
          <cell r="B6877" t="str">
            <v/>
          </cell>
        </row>
        <row r="6878">
          <cell r="B6878" t="str">
            <v/>
          </cell>
        </row>
        <row r="6879">
          <cell r="B6879" t="str">
            <v/>
          </cell>
        </row>
        <row r="6880">
          <cell r="B6880" t="str">
            <v/>
          </cell>
        </row>
        <row r="6881">
          <cell r="B6881" t="str">
            <v/>
          </cell>
        </row>
        <row r="6882">
          <cell r="B6882" t="str">
            <v/>
          </cell>
        </row>
        <row r="6883">
          <cell r="B6883" t="str">
            <v/>
          </cell>
        </row>
        <row r="6884">
          <cell r="B6884" t="str">
            <v/>
          </cell>
        </row>
        <row r="6885">
          <cell r="B6885" t="str">
            <v/>
          </cell>
        </row>
        <row r="6886">
          <cell r="B6886" t="str">
            <v/>
          </cell>
        </row>
        <row r="6887">
          <cell r="B6887" t="str">
            <v/>
          </cell>
        </row>
        <row r="6888">
          <cell r="B6888" t="str">
            <v/>
          </cell>
        </row>
        <row r="6889">
          <cell r="B6889" t="str">
            <v/>
          </cell>
        </row>
        <row r="6890">
          <cell r="B6890" t="str">
            <v/>
          </cell>
        </row>
        <row r="6891">
          <cell r="B6891" t="str">
            <v/>
          </cell>
        </row>
        <row r="6892">
          <cell r="B6892" t="str">
            <v/>
          </cell>
        </row>
        <row r="6893">
          <cell r="B6893" t="str">
            <v/>
          </cell>
        </row>
        <row r="6894">
          <cell r="B6894" t="str">
            <v/>
          </cell>
        </row>
        <row r="6895">
          <cell r="B6895" t="str">
            <v/>
          </cell>
        </row>
        <row r="6896">
          <cell r="B6896" t="str">
            <v/>
          </cell>
        </row>
        <row r="6897">
          <cell r="B6897" t="str">
            <v/>
          </cell>
        </row>
        <row r="6898">
          <cell r="B6898" t="str">
            <v/>
          </cell>
        </row>
        <row r="6899">
          <cell r="B6899" t="str">
            <v/>
          </cell>
        </row>
        <row r="6900">
          <cell r="B6900" t="str">
            <v/>
          </cell>
        </row>
        <row r="6901">
          <cell r="B6901" t="str">
            <v/>
          </cell>
        </row>
        <row r="6902">
          <cell r="B6902" t="str">
            <v/>
          </cell>
        </row>
        <row r="6903">
          <cell r="B6903" t="str">
            <v/>
          </cell>
        </row>
        <row r="6904">
          <cell r="B6904" t="str">
            <v/>
          </cell>
        </row>
        <row r="6905">
          <cell r="B6905" t="str">
            <v/>
          </cell>
        </row>
        <row r="6906">
          <cell r="B6906" t="str">
            <v/>
          </cell>
        </row>
        <row r="6907">
          <cell r="B6907" t="str">
            <v/>
          </cell>
        </row>
        <row r="6908">
          <cell r="B6908" t="str">
            <v/>
          </cell>
        </row>
        <row r="6909">
          <cell r="B6909" t="str">
            <v/>
          </cell>
        </row>
        <row r="6910">
          <cell r="B6910" t="str">
            <v/>
          </cell>
        </row>
        <row r="6911">
          <cell r="B6911" t="str">
            <v/>
          </cell>
        </row>
        <row r="6912">
          <cell r="B6912" t="str">
            <v/>
          </cell>
        </row>
        <row r="6913">
          <cell r="B6913" t="str">
            <v/>
          </cell>
        </row>
        <row r="6914">
          <cell r="B6914" t="str">
            <v/>
          </cell>
        </row>
        <row r="6915">
          <cell r="B6915" t="str">
            <v/>
          </cell>
        </row>
        <row r="6916">
          <cell r="B6916" t="str">
            <v/>
          </cell>
        </row>
        <row r="6917">
          <cell r="B6917" t="str">
            <v/>
          </cell>
        </row>
        <row r="6918">
          <cell r="B6918" t="str">
            <v/>
          </cell>
        </row>
        <row r="6919">
          <cell r="B6919" t="str">
            <v/>
          </cell>
        </row>
        <row r="6920">
          <cell r="B6920" t="str">
            <v/>
          </cell>
        </row>
        <row r="6921">
          <cell r="B6921" t="str">
            <v/>
          </cell>
        </row>
        <row r="6922">
          <cell r="B6922" t="str">
            <v/>
          </cell>
        </row>
        <row r="6923">
          <cell r="B6923" t="str">
            <v/>
          </cell>
        </row>
        <row r="6924">
          <cell r="B6924" t="str">
            <v/>
          </cell>
        </row>
        <row r="6925">
          <cell r="B6925" t="str">
            <v/>
          </cell>
        </row>
        <row r="6926">
          <cell r="B6926" t="str">
            <v/>
          </cell>
        </row>
        <row r="6927">
          <cell r="B6927" t="str">
            <v/>
          </cell>
        </row>
        <row r="6928">
          <cell r="B6928" t="str">
            <v/>
          </cell>
        </row>
        <row r="6929">
          <cell r="B6929" t="str">
            <v/>
          </cell>
        </row>
        <row r="6930">
          <cell r="B6930" t="str">
            <v/>
          </cell>
        </row>
        <row r="6931">
          <cell r="B6931" t="str">
            <v/>
          </cell>
        </row>
        <row r="6932">
          <cell r="B6932" t="str">
            <v/>
          </cell>
        </row>
        <row r="6933">
          <cell r="B6933" t="str">
            <v/>
          </cell>
        </row>
        <row r="6934">
          <cell r="B6934" t="str">
            <v/>
          </cell>
        </row>
        <row r="6935">
          <cell r="B6935" t="str">
            <v/>
          </cell>
        </row>
        <row r="6936">
          <cell r="B6936" t="str">
            <v/>
          </cell>
        </row>
        <row r="6937">
          <cell r="B6937" t="str">
            <v/>
          </cell>
        </row>
        <row r="6938">
          <cell r="B6938" t="str">
            <v/>
          </cell>
        </row>
        <row r="6939">
          <cell r="B6939" t="str">
            <v/>
          </cell>
        </row>
        <row r="6940">
          <cell r="B6940" t="str">
            <v/>
          </cell>
        </row>
        <row r="6941">
          <cell r="B6941" t="str">
            <v/>
          </cell>
        </row>
        <row r="6942">
          <cell r="B6942" t="str">
            <v/>
          </cell>
        </row>
        <row r="6943">
          <cell r="B6943" t="str">
            <v/>
          </cell>
        </row>
        <row r="6944">
          <cell r="B6944" t="str">
            <v/>
          </cell>
        </row>
        <row r="6945">
          <cell r="B6945" t="str">
            <v/>
          </cell>
        </row>
        <row r="6946">
          <cell r="B6946" t="str">
            <v/>
          </cell>
        </row>
        <row r="6947">
          <cell r="B6947" t="str">
            <v/>
          </cell>
        </row>
        <row r="6948">
          <cell r="B6948" t="str">
            <v/>
          </cell>
        </row>
        <row r="6949">
          <cell r="B6949" t="str">
            <v/>
          </cell>
        </row>
        <row r="6950">
          <cell r="B6950" t="str">
            <v/>
          </cell>
        </row>
        <row r="6951">
          <cell r="B6951" t="str">
            <v/>
          </cell>
        </row>
        <row r="6952">
          <cell r="B6952" t="str">
            <v/>
          </cell>
        </row>
        <row r="6953">
          <cell r="B6953" t="str">
            <v/>
          </cell>
        </row>
        <row r="6954">
          <cell r="B6954" t="str">
            <v/>
          </cell>
        </row>
        <row r="6955">
          <cell r="B6955" t="str">
            <v/>
          </cell>
        </row>
        <row r="6956">
          <cell r="B6956" t="str">
            <v/>
          </cell>
        </row>
        <row r="6957">
          <cell r="B6957" t="str">
            <v/>
          </cell>
        </row>
        <row r="6958">
          <cell r="B6958" t="str">
            <v/>
          </cell>
        </row>
        <row r="6959">
          <cell r="B6959" t="str">
            <v/>
          </cell>
        </row>
        <row r="6960">
          <cell r="B6960" t="str">
            <v/>
          </cell>
        </row>
        <row r="6961">
          <cell r="B6961" t="str">
            <v/>
          </cell>
        </row>
        <row r="6962">
          <cell r="B6962" t="str">
            <v/>
          </cell>
        </row>
        <row r="6963">
          <cell r="B6963" t="str">
            <v/>
          </cell>
        </row>
        <row r="6964">
          <cell r="B6964" t="str">
            <v/>
          </cell>
        </row>
        <row r="6965">
          <cell r="B6965" t="str">
            <v/>
          </cell>
        </row>
        <row r="6966">
          <cell r="B6966" t="str">
            <v/>
          </cell>
        </row>
        <row r="6967">
          <cell r="B6967" t="str">
            <v/>
          </cell>
        </row>
        <row r="6968">
          <cell r="B6968" t="str">
            <v/>
          </cell>
        </row>
        <row r="6969">
          <cell r="B6969" t="str">
            <v/>
          </cell>
        </row>
        <row r="6970">
          <cell r="B6970" t="str">
            <v/>
          </cell>
        </row>
        <row r="6971">
          <cell r="B6971" t="str">
            <v/>
          </cell>
        </row>
        <row r="6972">
          <cell r="B6972" t="str">
            <v/>
          </cell>
        </row>
        <row r="6973">
          <cell r="B6973" t="str">
            <v/>
          </cell>
        </row>
        <row r="6974">
          <cell r="B6974" t="str">
            <v/>
          </cell>
        </row>
        <row r="6975">
          <cell r="B6975" t="str">
            <v/>
          </cell>
        </row>
        <row r="6976">
          <cell r="B6976" t="str">
            <v/>
          </cell>
        </row>
        <row r="6977">
          <cell r="B6977" t="str">
            <v/>
          </cell>
        </row>
        <row r="6978">
          <cell r="B6978" t="str">
            <v/>
          </cell>
        </row>
        <row r="6979">
          <cell r="B6979" t="str">
            <v/>
          </cell>
        </row>
        <row r="6980">
          <cell r="B6980" t="str">
            <v/>
          </cell>
        </row>
        <row r="6981">
          <cell r="B6981" t="str">
            <v/>
          </cell>
        </row>
        <row r="6982">
          <cell r="B6982" t="str">
            <v/>
          </cell>
        </row>
        <row r="6983">
          <cell r="B6983" t="str">
            <v/>
          </cell>
        </row>
        <row r="6984">
          <cell r="B6984" t="str">
            <v/>
          </cell>
        </row>
        <row r="6985">
          <cell r="B6985" t="str">
            <v/>
          </cell>
        </row>
        <row r="6986">
          <cell r="B6986" t="str">
            <v/>
          </cell>
        </row>
        <row r="6987">
          <cell r="B6987" t="str">
            <v/>
          </cell>
        </row>
        <row r="6988">
          <cell r="B6988" t="str">
            <v/>
          </cell>
        </row>
        <row r="6989">
          <cell r="B6989" t="str">
            <v/>
          </cell>
        </row>
        <row r="6990">
          <cell r="B6990" t="str">
            <v/>
          </cell>
        </row>
        <row r="6991">
          <cell r="B6991" t="str">
            <v/>
          </cell>
        </row>
        <row r="6992">
          <cell r="B6992" t="str">
            <v/>
          </cell>
        </row>
        <row r="6993">
          <cell r="B6993" t="str">
            <v/>
          </cell>
        </row>
        <row r="6994">
          <cell r="B6994" t="str">
            <v/>
          </cell>
        </row>
        <row r="6995">
          <cell r="B6995" t="str">
            <v/>
          </cell>
        </row>
        <row r="6996">
          <cell r="B6996" t="str">
            <v/>
          </cell>
        </row>
        <row r="6997">
          <cell r="B6997" t="str">
            <v/>
          </cell>
        </row>
        <row r="6998">
          <cell r="B6998" t="str">
            <v/>
          </cell>
        </row>
        <row r="6999">
          <cell r="B6999" t="str">
            <v/>
          </cell>
        </row>
        <row r="7000">
          <cell r="B7000" t="str">
            <v/>
          </cell>
        </row>
        <row r="7001">
          <cell r="B7001" t="str">
            <v/>
          </cell>
        </row>
        <row r="7002">
          <cell r="B7002" t="str">
            <v/>
          </cell>
        </row>
        <row r="7003">
          <cell r="B7003" t="str">
            <v/>
          </cell>
        </row>
        <row r="7004">
          <cell r="B7004" t="str">
            <v/>
          </cell>
        </row>
        <row r="7005">
          <cell r="B7005" t="str">
            <v/>
          </cell>
        </row>
        <row r="7006">
          <cell r="B7006" t="str">
            <v/>
          </cell>
        </row>
        <row r="7007">
          <cell r="B7007" t="str">
            <v/>
          </cell>
        </row>
        <row r="7008">
          <cell r="B7008" t="str">
            <v/>
          </cell>
        </row>
        <row r="7009">
          <cell r="B7009" t="str">
            <v/>
          </cell>
        </row>
        <row r="7010">
          <cell r="B7010" t="str">
            <v/>
          </cell>
        </row>
        <row r="7011">
          <cell r="B7011" t="str">
            <v/>
          </cell>
        </row>
        <row r="7012">
          <cell r="B7012" t="str">
            <v/>
          </cell>
        </row>
        <row r="7013">
          <cell r="B7013" t="str">
            <v/>
          </cell>
        </row>
        <row r="7014">
          <cell r="B7014" t="str">
            <v/>
          </cell>
        </row>
        <row r="7015">
          <cell r="B7015" t="str">
            <v/>
          </cell>
        </row>
        <row r="7016">
          <cell r="B7016" t="str">
            <v/>
          </cell>
        </row>
        <row r="7017">
          <cell r="B7017" t="str">
            <v/>
          </cell>
        </row>
        <row r="7018">
          <cell r="B7018" t="str">
            <v/>
          </cell>
        </row>
        <row r="7019">
          <cell r="B7019" t="str">
            <v/>
          </cell>
        </row>
        <row r="7020">
          <cell r="B7020" t="str">
            <v/>
          </cell>
        </row>
        <row r="7021">
          <cell r="B7021" t="str">
            <v/>
          </cell>
        </row>
        <row r="7022">
          <cell r="B7022" t="str">
            <v/>
          </cell>
        </row>
        <row r="7023">
          <cell r="B7023" t="str">
            <v/>
          </cell>
        </row>
        <row r="7024">
          <cell r="B7024" t="str">
            <v/>
          </cell>
        </row>
        <row r="7025">
          <cell r="B7025" t="str">
            <v/>
          </cell>
        </row>
        <row r="7026">
          <cell r="B7026" t="str">
            <v/>
          </cell>
        </row>
        <row r="7027">
          <cell r="B7027" t="str">
            <v/>
          </cell>
        </row>
        <row r="7028">
          <cell r="B7028" t="str">
            <v/>
          </cell>
        </row>
        <row r="7029">
          <cell r="B7029" t="str">
            <v/>
          </cell>
        </row>
        <row r="7030">
          <cell r="B7030" t="str">
            <v/>
          </cell>
        </row>
        <row r="7031">
          <cell r="B7031" t="str">
            <v/>
          </cell>
        </row>
        <row r="7032">
          <cell r="B7032" t="str">
            <v/>
          </cell>
        </row>
        <row r="7033">
          <cell r="B7033" t="str">
            <v/>
          </cell>
        </row>
        <row r="7034">
          <cell r="B7034" t="str">
            <v/>
          </cell>
        </row>
        <row r="7035">
          <cell r="B7035" t="str">
            <v/>
          </cell>
        </row>
        <row r="7036">
          <cell r="B7036" t="str">
            <v/>
          </cell>
        </row>
        <row r="7037">
          <cell r="B7037" t="str">
            <v/>
          </cell>
        </row>
        <row r="7038">
          <cell r="B7038" t="str">
            <v/>
          </cell>
        </row>
        <row r="7039">
          <cell r="B7039" t="str">
            <v/>
          </cell>
        </row>
        <row r="7040">
          <cell r="B7040" t="str">
            <v/>
          </cell>
        </row>
        <row r="7041">
          <cell r="B7041" t="str">
            <v/>
          </cell>
        </row>
        <row r="7042">
          <cell r="B7042" t="str">
            <v/>
          </cell>
        </row>
        <row r="7043">
          <cell r="B7043" t="str">
            <v/>
          </cell>
        </row>
        <row r="7044">
          <cell r="B7044" t="str">
            <v/>
          </cell>
        </row>
        <row r="7045">
          <cell r="B7045" t="str">
            <v/>
          </cell>
        </row>
        <row r="7046">
          <cell r="B7046" t="str">
            <v/>
          </cell>
        </row>
        <row r="7047">
          <cell r="B7047" t="str">
            <v/>
          </cell>
        </row>
        <row r="7048">
          <cell r="B7048" t="str">
            <v/>
          </cell>
        </row>
        <row r="7049">
          <cell r="B7049" t="str">
            <v/>
          </cell>
        </row>
        <row r="7050">
          <cell r="B7050" t="str">
            <v/>
          </cell>
        </row>
        <row r="7051">
          <cell r="B7051" t="str">
            <v/>
          </cell>
        </row>
        <row r="7052">
          <cell r="B7052" t="str">
            <v/>
          </cell>
        </row>
        <row r="7053">
          <cell r="B7053" t="str">
            <v/>
          </cell>
        </row>
        <row r="7054">
          <cell r="B7054" t="str">
            <v/>
          </cell>
        </row>
        <row r="7055">
          <cell r="B7055" t="str">
            <v/>
          </cell>
        </row>
        <row r="7056">
          <cell r="B7056" t="str">
            <v/>
          </cell>
        </row>
        <row r="7057">
          <cell r="B7057" t="str">
            <v/>
          </cell>
        </row>
        <row r="7058">
          <cell r="B7058" t="str">
            <v/>
          </cell>
        </row>
        <row r="7059">
          <cell r="B7059" t="str">
            <v/>
          </cell>
        </row>
        <row r="7060">
          <cell r="B7060" t="str">
            <v/>
          </cell>
        </row>
        <row r="7061">
          <cell r="B7061" t="str">
            <v/>
          </cell>
        </row>
        <row r="7062">
          <cell r="B7062" t="str">
            <v/>
          </cell>
        </row>
        <row r="7063">
          <cell r="B7063" t="str">
            <v/>
          </cell>
        </row>
        <row r="7064">
          <cell r="B7064" t="str">
            <v/>
          </cell>
        </row>
        <row r="7065">
          <cell r="B7065" t="str">
            <v/>
          </cell>
        </row>
        <row r="7066">
          <cell r="B7066" t="str">
            <v/>
          </cell>
        </row>
        <row r="7067">
          <cell r="B7067" t="str">
            <v/>
          </cell>
        </row>
        <row r="7068">
          <cell r="B7068" t="str">
            <v/>
          </cell>
        </row>
        <row r="7069">
          <cell r="B7069" t="str">
            <v/>
          </cell>
        </row>
        <row r="7070">
          <cell r="B7070" t="str">
            <v/>
          </cell>
        </row>
        <row r="7071">
          <cell r="B7071" t="str">
            <v/>
          </cell>
        </row>
        <row r="7072">
          <cell r="B7072" t="str">
            <v/>
          </cell>
        </row>
        <row r="7073">
          <cell r="B7073" t="str">
            <v/>
          </cell>
        </row>
        <row r="7074">
          <cell r="B7074" t="str">
            <v/>
          </cell>
        </row>
        <row r="7075">
          <cell r="B7075" t="str">
            <v/>
          </cell>
        </row>
        <row r="7076">
          <cell r="B7076" t="str">
            <v/>
          </cell>
        </row>
        <row r="7077">
          <cell r="B7077" t="str">
            <v/>
          </cell>
        </row>
        <row r="7078">
          <cell r="B7078" t="str">
            <v/>
          </cell>
        </row>
        <row r="7079">
          <cell r="B7079" t="str">
            <v/>
          </cell>
        </row>
        <row r="7080">
          <cell r="B7080" t="str">
            <v/>
          </cell>
        </row>
        <row r="7081">
          <cell r="B7081" t="str">
            <v/>
          </cell>
        </row>
        <row r="7082">
          <cell r="B7082" t="str">
            <v/>
          </cell>
        </row>
        <row r="7083">
          <cell r="B7083" t="str">
            <v/>
          </cell>
        </row>
        <row r="7084">
          <cell r="B7084" t="str">
            <v/>
          </cell>
        </row>
        <row r="7085">
          <cell r="B7085" t="str">
            <v/>
          </cell>
        </row>
        <row r="7086">
          <cell r="B7086" t="str">
            <v/>
          </cell>
        </row>
        <row r="7087">
          <cell r="B7087" t="str">
            <v/>
          </cell>
        </row>
        <row r="7088">
          <cell r="B7088" t="str">
            <v/>
          </cell>
        </row>
        <row r="7089">
          <cell r="B7089" t="str">
            <v/>
          </cell>
        </row>
        <row r="7090">
          <cell r="B7090" t="str">
            <v/>
          </cell>
        </row>
        <row r="7091">
          <cell r="B7091" t="str">
            <v/>
          </cell>
        </row>
        <row r="7092">
          <cell r="B7092" t="str">
            <v/>
          </cell>
        </row>
        <row r="7093">
          <cell r="B7093" t="str">
            <v/>
          </cell>
        </row>
        <row r="7094">
          <cell r="B7094" t="str">
            <v/>
          </cell>
        </row>
        <row r="7095">
          <cell r="B7095" t="str">
            <v/>
          </cell>
        </row>
        <row r="7096">
          <cell r="B7096" t="str">
            <v/>
          </cell>
        </row>
        <row r="7097">
          <cell r="B7097" t="str">
            <v/>
          </cell>
        </row>
        <row r="7098">
          <cell r="B7098" t="str">
            <v/>
          </cell>
        </row>
        <row r="7099">
          <cell r="B7099" t="str">
            <v/>
          </cell>
        </row>
        <row r="7100">
          <cell r="B7100" t="str">
            <v/>
          </cell>
        </row>
        <row r="7101">
          <cell r="B7101" t="str">
            <v/>
          </cell>
        </row>
        <row r="7102">
          <cell r="B7102" t="str">
            <v/>
          </cell>
        </row>
        <row r="7103">
          <cell r="B7103" t="str">
            <v/>
          </cell>
        </row>
        <row r="7104">
          <cell r="B7104" t="str">
            <v/>
          </cell>
        </row>
        <row r="7105">
          <cell r="B7105" t="str">
            <v/>
          </cell>
        </row>
        <row r="7106">
          <cell r="B7106" t="str">
            <v/>
          </cell>
        </row>
        <row r="7107">
          <cell r="B7107" t="str">
            <v/>
          </cell>
        </row>
        <row r="7108">
          <cell r="B7108" t="str">
            <v/>
          </cell>
        </row>
        <row r="7109">
          <cell r="B7109" t="str">
            <v/>
          </cell>
        </row>
        <row r="7110">
          <cell r="B7110" t="str">
            <v/>
          </cell>
        </row>
        <row r="7111">
          <cell r="B7111" t="str">
            <v/>
          </cell>
        </row>
        <row r="7112">
          <cell r="B7112" t="str">
            <v/>
          </cell>
        </row>
        <row r="7113">
          <cell r="B7113" t="str">
            <v/>
          </cell>
        </row>
        <row r="7114">
          <cell r="B7114" t="str">
            <v/>
          </cell>
        </row>
        <row r="7115">
          <cell r="B7115" t="str">
            <v/>
          </cell>
        </row>
        <row r="7116">
          <cell r="B7116" t="str">
            <v/>
          </cell>
        </row>
        <row r="7117">
          <cell r="B7117" t="str">
            <v/>
          </cell>
        </row>
        <row r="7118">
          <cell r="B7118" t="str">
            <v/>
          </cell>
        </row>
        <row r="7119">
          <cell r="B7119" t="str">
            <v/>
          </cell>
        </row>
        <row r="7120">
          <cell r="B7120" t="str">
            <v/>
          </cell>
        </row>
        <row r="7121">
          <cell r="B7121" t="str">
            <v/>
          </cell>
        </row>
        <row r="7122">
          <cell r="B7122" t="str">
            <v/>
          </cell>
        </row>
        <row r="7123">
          <cell r="B7123" t="str">
            <v/>
          </cell>
        </row>
        <row r="7124">
          <cell r="B7124" t="str">
            <v/>
          </cell>
        </row>
        <row r="7125">
          <cell r="B7125" t="str">
            <v/>
          </cell>
        </row>
        <row r="7126">
          <cell r="B7126" t="str">
            <v/>
          </cell>
        </row>
        <row r="7127">
          <cell r="B7127" t="str">
            <v/>
          </cell>
        </row>
        <row r="7128">
          <cell r="B7128" t="str">
            <v/>
          </cell>
        </row>
        <row r="7129">
          <cell r="B7129" t="str">
            <v/>
          </cell>
        </row>
        <row r="7130">
          <cell r="B7130" t="str">
            <v/>
          </cell>
        </row>
        <row r="7131">
          <cell r="B7131" t="str">
            <v/>
          </cell>
        </row>
        <row r="7132">
          <cell r="B7132" t="str">
            <v/>
          </cell>
        </row>
        <row r="7133">
          <cell r="B7133" t="str">
            <v/>
          </cell>
        </row>
        <row r="7134">
          <cell r="B7134" t="str">
            <v/>
          </cell>
        </row>
        <row r="7135">
          <cell r="B7135" t="str">
            <v/>
          </cell>
        </row>
        <row r="7136">
          <cell r="B7136" t="str">
            <v/>
          </cell>
        </row>
        <row r="7137">
          <cell r="B7137" t="str">
            <v/>
          </cell>
        </row>
        <row r="7138">
          <cell r="B7138" t="str">
            <v/>
          </cell>
        </row>
        <row r="7139">
          <cell r="B7139" t="str">
            <v/>
          </cell>
        </row>
        <row r="7140">
          <cell r="B7140" t="str">
            <v/>
          </cell>
        </row>
        <row r="7141">
          <cell r="B7141" t="str">
            <v/>
          </cell>
        </row>
        <row r="7142">
          <cell r="B7142" t="str">
            <v/>
          </cell>
        </row>
        <row r="7143">
          <cell r="B7143" t="str">
            <v/>
          </cell>
        </row>
        <row r="7144">
          <cell r="B7144" t="str">
            <v/>
          </cell>
        </row>
        <row r="7145">
          <cell r="B7145" t="str">
            <v/>
          </cell>
        </row>
        <row r="7146">
          <cell r="B7146" t="str">
            <v/>
          </cell>
        </row>
        <row r="7147">
          <cell r="B7147" t="str">
            <v/>
          </cell>
        </row>
        <row r="7148">
          <cell r="B7148" t="str">
            <v/>
          </cell>
        </row>
        <row r="7149">
          <cell r="B7149" t="str">
            <v/>
          </cell>
        </row>
        <row r="7150">
          <cell r="B7150" t="str">
            <v/>
          </cell>
        </row>
        <row r="7151">
          <cell r="B7151" t="str">
            <v/>
          </cell>
        </row>
        <row r="7152">
          <cell r="B7152" t="str">
            <v/>
          </cell>
        </row>
        <row r="7153">
          <cell r="B7153" t="str">
            <v/>
          </cell>
        </row>
        <row r="7154">
          <cell r="B7154" t="str">
            <v/>
          </cell>
        </row>
        <row r="7155">
          <cell r="B7155" t="str">
            <v/>
          </cell>
        </row>
        <row r="7156">
          <cell r="B7156" t="str">
            <v/>
          </cell>
        </row>
        <row r="7157">
          <cell r="B7157" t="str">
            <v/>
          </cell>
        </row>
        <row r="7158">
          <cell r="B7158" t="str">
            <v/>
          </cell>
        </row>
        <row r="7159">
          <cell r="B7159" t="str">
            <v/>
          </cell>
        </row>
        <row r="7160">
          <cell r="B7160" t="str">
            <v/>
          </cell>
        </row>
        <row r="7161">
          <cell r="B7161" t="str">
            <v/>
          </cell>
        </row>
        <row r="7162">
          <cell r="B7162" t="str">
            <v/>
          </cell>
        </row>
        <row r="7163">
          <cell r="B7163" t="str">
            <v/>
          </cell>
        </row>
        <row r="7164">
          <cell r="B7164" t="str">
            <v/>
          </cell>
        </row>
        <row r="7165">
          <cell r="B7165" t="str">
            <v/>
          </cell>
        </row>
        <row r="7166">
          <cell r="B7166" t="str">
            <v/>
          </cell>
        </row>
        <row r="7167">
          <cell r="B7167" t="str">
            <v/>
          </cell>
        </row>
        <row r="7168">
          <cell r="B7168" t="str">
            <v/>
          </cell>
        </row>
        <row r="7169">
          <cell r="B7169" t="str">
            <v/>
          </cell>
        </row>
        <row r="7170">
          <cell r="B7170" t="str">
            <v/>
          </cell>
        </row>
        <row r="7171">
          <cell r="B7171" t="str">
            <v/>
          </cell>
        </row>
        <row r="7172">
          <cell r="B7172" t="str">
            <v/>
          </cell>
        </row>
        <row r="7173">
          <cell r="B7173" t="str">
            <v/>
          </cell>
        </row>
        <row r="7174">
          <cell r="B7174" t="str">
            <v/>
          </cell>
        </row>
        <row r="7175">
          <cell r="B7175" t="str">
            <v/>
          </cell>
        </row>
        <row r="7176">
          <cell r="B7176" t="str">
            <v/>
          </cell>
        </row>
        <row r="7177">
          <cell r="B7177" t="str">
            <v/>
          </cell>
        </row>
        <row r="7178">
          <cell r="B7178" t="str">
            <v/>
          </cell>
        </row>
        <row r="7179">
          <cell r="B7179" t="str">
            <v/>
          </cell>
        </row>
        <row r="7180">
          <cell r="B7180" t="str">
            <v/>
          </cell>
        </row>
        <row r="7181">
          <cell r="B7181" t="str">
            <v/>
          </cell>
        </row>
        <row r="7182">
          <cell r="B7182" t="str">
            <v/>
          </cell>
        </row>
        <row r="7183">
          <cell r="B7183" t="str">
            <v/>
          </cell>
        </row>
        <row r="7184">
          <cell r="B7184" t="str">
            <v/>
          </cell>
        </row>
        <row r="7185">
          <cell r="B7185" t="str">
            <v/>
          </cell>
        </row>
        <row r="7186">
          <cell r="B7186" t="str">
            <v/>
          </cell>
        </row>
        <row r="7187">
          <cell r="B7187" t="str">
            <v/>
          </cell>
        </row>
        <row r="7188">
          <cell r="B7188" t="str">
            <v/>
          </cell>
        </row>
        <row r="7189">
          <cell r="B7189" t="str">
            <v/>
          </cell>
        </row>
        <row r="7190">
          <cell r="B7190" t="str">
            <v/>
          </cell>
        </row>
        <row r="7191">
          <cell r="B7191" t="str">
            <v/>
          </cell>
        </row>
        <row r="7192">
          <cell r="B7192" t="str">
            <v/>
          </cell>
        </row>
        <row r="7193">
          <cell r="B7193" t="str">
            <v/>
          </cell>
        </row>
        <row r="7194">
          <cell r="B7194" t="str">
            <v/>
          </cell>
        </row>
        <row r="7195">
          <cell r="B7195" t="str">
            <v/>
          </cell>
        </row>
        <row r="7196">
          <cell r="B7196" t="str">
            <v/>
          </cell>
        </row>
        <row r="7197">
          <cell r="B7197" t="str">
            <v/>
          </cell>
        </row>
        <row r="7198">
          <cell r="B7198" t="str">
            <v/>
          </cell>
        </row>
        <row r="7199">
          <cell r="B7199" t="str">
            <v/>
          </cell>
        </row>
        <row r="7200">
          <cell r="B7200" t="str">
            <v/>
          </cell>
        </row>
        <row r="7201">
          <cell r="B7201" t="str">
            <v/>
          </cell>
        </row>
        <row r="7202">
          <cell r="B7202" t="str">
            <v/>
          </cell>
        </row>
        <row r="7203">
          <cell r="B7203" t="str">
            <v/>
          </cell>
        </row>
        <row r="7204">
          <cell r="B7204" t="str">
            <v/>
          </cell>
        </row>
        <row r="7205">
          <cell r="B7205" t="str">
            <v/>
          </cell>
        </row>
        <row r="7206">
          <cell r="B7206" t="str">
            <v/>
          </cell>
        </row>
        <row r="7207">
          <cell r="B7207" t="str">
            <v/>
          </cell>
        </row>
        <row r="7208">
          <cell r="B7208" t="str">
            <v/>
          </cell>
        </row>
        <row r="7209">
          <cell r="B7209" t="str">
            <v/>
          </cell>
        </row>
        <row r="7210">
          <cell r="B7210" t="str">
            <v/>
          </cell>
        </row>
        <row r="7211">
          <cell r="B7211" t="str">
            <v/>
          </cell>
        </row>
        <row r="7212">
          <cell r="B7212" t="str">
            <v/>
          </cell>
        </row>
        <row r="7213">
          <cell r="B7213" t="str">
            <v/>
          </cell>
        </row>
        <row r="7214">
          <cell r="B7214" t="str">
            <v/>
          </cell>
        </row>
        <row r="7215">
          <cell r="B7215" t="str">
            <v/>
          </cell>
        </row>
        <row r="7216">
          <cell r="B7216" t="str">
            <v/>
          </cell>
        </row>
        <row r="7217">
          <cell r="B7217" t="str">
            <v/>
          </cell>
        </row>
        <row r="7218">
          <cell r="B7218" t="str">
            <v/>
          </cell>
        </row>
        <row r="7219">
          <cell r="B7219" t="str">
            <v/>
          </cell>
        </row>
        <row r="7220">
          <cell r="B7220" t="str">
            <v/>
          </cell>
        </row>
        <row r="7221">
          <cell r="B7221" t="str">
            <v/>
          </cell>
        </row>
        <row r="7222">
          <cell r="B7222" t="str">
            <v/>
          </cell>
        </row>
        <row r="7223">
          <cell r="B7223" t="str">
            <v/>
          </cell>
        </row>
        <row r="7224">
          <cell r="B7224" t="str">
            <v/>
          </cell>
        </row>
        <row r="7225">
          <cell r="B7225" t="str">
            <v/>
          </cell>
        </row>
        <row r="7226">
          <cell r="B7226" t="str">
            <v/>
          </cell>
        </row>
        <row r="7227">
          <cell r="B7227" t="str">
            <v/>
          </cell>
        </row>
        <row r="7228">
          <cell r="B7228" t="str">
            <v/>
          </cell>
        </row>
        <row r="7229">
          <cell r="B7229" t="str">
            <v/>
          </cell>
        </row>
        <row r="7230">
          <cell r="B7230" t="str">
            <v/>
          </cell>
        </row>
        <row r="7231">
          <cell r="B7231" t="str">
            <v/>
          </cell>
        </row>
        <row r="7232">
          <cell r="B7232" t="str">
            <v/>
          </cell>
        </row>
        <row r="7233">
          <cell r="B7233" t="str">
            <v/>
          </cell>
        </row>
        <row r="7234">
          <cell r="B7234" t="str">
            <v/>
          </cell>
        </row>
        <row r="7235">
          <cell r="B7235" t="str">
            <v/>
          </cell>
        </row>
        <row r="7236">
          <cell r="B7236" t="str">
            <v/>
          </cell>
        </row>
        <row r="7237">
          <cell r="B7237" t="str">
            <v/>
          </cell>
        </row>
        <row r="7238">
          <cell r="B7238" t="str">
            <v/>
          </cell>
        </row>
        <row r="7239">
          <cell r="B7239" t="str">
            <v/>
          </cell>
        </row>
        <row r="7240">
          <cell r="B7240" t="str">
            <v/>
          </cell>
        </row>
        <row r="7241">
          <cell r="B7241" t="str">
            <v/>
          </cell>
        </row>
        <row r="7242">
          <cell r="B7242" t="str">
            <v/>
          </cell>
        </row>
        <row r="7243">
          <cell r="B7243" t="str">
            <v/>
          </cell>
        </row>
        <row r="7244">
          <cell r="B7244" t="str">
            <v/>
          </cell>
        </row>
        <row r="7245">
          <cell r="B7245" t="str">
            <v/>
          </cell>
        </row>
        <row r="7246">
          <cell r="B7246" t="str">
            <v/>
          </cell>
        </row>
        <row r="7247">
          <cell r="B7247" t="str">
            <v/>
          </cell>
        </row>
        <row r="7248">
          <cell r="B7248" t="str">
            <v/>
          </cell>
        </row>
        <row r="7249">
          <cell r="B7249" t="str">
            <v/>
          </cell>
        </row>
        <row r="7250">
          <cell r="B7250" t="str">
            <v/>
          </cell>
        </row>
        <row r="7251">
          <cell r="B7251" t="str">
            <v/>
          </cell>
        </row>
        <row r="7252">
          <cell r="B7252" t="str">
            <v/>
          </cell>
        </row>
        <row r="7253">
          <cell r="B7253" t="str">
            <v/>
          </cell>
        </row>
        <row r="7254">
          <cell r="B7254" t="str">
            <v/>
          </cell>
        </row>
        <row r="7255">
          <cell r="B7255" t="str">
            <v/>
          </cell>
        </row>
        <row r="7256">
          <cell r="B7256" t="str">
            <v/>
          </cell>
        </row>
        <row r="7257">
          <cell r="B7257" t="str">
            <v/>
          </cell>
        </row>
        <row r="7258">
          <cell r="B7258" t="str">
            <v/>
          </cell>
        </row>
        <row r="7259">
          <cell r="B7259" t="str">
            <v/>
          </cell>
        </row>
        <row r="7260">
          <cell r="B7260" t="str">
            <v/>
          </cell>
        </row>
        <row r="7261">
          <cell r="B7261" t="str">
            <v/>
          </cell>
        </row>
        <row r="7262">
          <cell r="B7262" t="str">
            <v/>
          </cell>
        </row>
        <row r="7263">
          <cell r="B7263" t="str">
            <v/>
          </cell>
        </row>
        <row r="7264">
          <cell r="B7264" t="str">
            <v/>
          </cell>
        </row>
        <row r="7265">
          <cell r="B7265" t="str">
            <v/>
          </cell>
        </row>
        <row r="7266">
          <cell r="B7266" t="str">
            <v/>
          </cell>
        </row>
        <row r="7267">
          <cell r="B7267" t="str">
            <v/>
          </cell>
        </row>
        <row r="7268">
          <cell r="B7268" t="str">
            <v/>
          </cell>
        </row>
        <row r="7269">
          <cell r="B7269" t="str">
            <v/>
          </cell>
        </row>
        <row r="7270">
          <cell r="B7270" t="str">
            <v/>
          </cell>
        </row>
        <row r="7271">
          <cell r="B7271" t="str">
            <v/>
          </cell>
        </row>
        <row r="7272">
          <cell r="B7272" t="str">
            <v/>
          </cell>
        </row>
        <row r="7273">
          <cell r="B7273" t="str">
            <v/>
          </cell>
        </row>
        <row r="7274">
          <cell r="B7274" t="str">
            <v/>
          </cell>
        </row>
        <row r="7275">
          <cell r="B7275" t="str">
            <v/>
          </cell>
        </row>
        <row r="7276">
          <cell r="B7276" t="str">
            <v/>
          </cell>
        </row>
        <row r="7277">
          <cell r="B7277" t="str">
            <v/>
          </cell>
        </row>
        <row r="7278">
          <cell r="B7278" t="str">
            <v/>
          </cell>
        </row>
        <row r="7279">
          <cell r="B7279" t="str">
            <v/>
          </cell>
        </row>
        <row r="7280">
          <cell r="B7280" t="str">
            <v/>
          </cell>
        </row>
        <row r="7281">
          <cell r="B7281" t="str">
            <v/>
          </cell>
        </row>
        <row r="7282">
          <cell r="B7282" t="str">
            <v/>
          </cell>
        </row>
        <row r="7283">
          <cell r="B7283" t="str">
            <v/>
          </cell>
        </row>
        <row r="7284">
          <cell r="B7284" t="str">
            <v/>
          </cell>
        </row>
        <row r="7285">
          <cell r="B7285" t="str">
            <v/>
          </cell>
        </row>
        <row r="7286">
          <cell r="B7286" t="str">
            <v/>
          </cell>
        </row>
        <row r="7287">
          <cell r="B7287" t="str">
            <v/>
          </cell>
        </row>
        <row r="7288">
          <cell r="B7288" t="str">
            <v/>
          </cell>
        </row>
        <row r="7289">
          <cell r="B7289" t="str">
            <v/>
          </cell>
        </row>
        <row r="7290">
          <cell r="B7290" t="str">
            <v/>
          </cell>
        </row>
        <row r="7291">
          <cell r="B7291" t="str">
            <v/>
          </cell>
        </row>
        <row r="7292">
          <cell r="B7292" t="str">
            <v/>
          </cell>
        </row>
        <row r="7293">
          <cell r="B7293" t="str">
            <v/>
          </cell>
        </row>
        <row r="7294">
          <cell r="B7294" t="str">
            <v/>
          </cell>
        </row>
        <row r="7295">
          <cell r="B7295" t="str">
            <v/>
          </cell>
        </row>
        <row r="7296">
          <cell r="B7296" t="str">
            <v/>
          </cell>
        </row>
        <row r="7297">
          <cell r="B7297" t="str">
            <v/>
          </cell>
        </row>
        <row r="7298">
          <cell r="B7298" t="str">
            <v/>
          </cell>
        </row>
        <row r="7299">
          <cell r="B7299" t="str">
            <v/>
          </cell>
        </row>
        <row r="7300">
          <cell r="B7300" t="str">
            <v/>
          </cell>
        </row>
        <row r="7301">
          <cell r="B7301" t="str">
            <v/>
          </cell>
        </row>
        <row r="7302">
          <cell r="B7302" t="str">
            <v/>
          </cell>
        </row>
        <row r="7303">
          <cell r="B7303" t="str">
            <v/>
          </cell>
        </row>
        <row r="7304">
          <cell r="B7304" t="str">
            <v/>
          </cell>
        </row>
        <row r="7305">
          <cell r="B7305" t="str">
            <v/>
          </cell>
        </row>
        <row r="7306">
          <cell r="B7306" t="str">
            <v/>
          </cell>
        </row>
        <row r="7307">
          <cell r="B7307" t="str">
            <v/>
          </cell>
        </row>
        <row r="7308">
          <cell r="B7308" t="str">
            <v/>
          </cell>
        </row>
        <row r="7309">
          <cell r="B7309" t="str">
            <v/>
          </cell>
        </row>
        <row r="7310">
          <cell r="B7310" t="str">
            <v/>
          </cell>
        </row>
        <row r="7311">
          <cell r="B7311" t="str">
            <v/>
          </cell>
        </row>
        <row r="7312">
          <cell r="B7312" t="str">
            <v/>
          </cell>
        </row>
        <row r="7313">
          <cell r="B7313" t="str">
            <v/>
          </cell>
        </row>
        <row r="7314">
          <cell r="B7314" t="str">
            <v/>
          </cell>
        </row>
        <row r="7315">
          <cell r="B7315" t="str">
            <v/>
          </cell>
        </row>
        <row r="7316">
          <cell r="B7316" t="str">
            <v/>
          </cell>
        </row>
        <row r="7317">
          <cell r="B7317" t="str">
            <v/>
          </cell>
        </row>
        <row r="7318">
          <cell r="B7318" t="str">
            <v/>
          </cell>
        </row>
        <row r="7319">
          <cell r="B7319" t="str">
            <v/>
          </cell>
        </row>
        <row r="7320">
          <cell r="B7320" t="str">
            <v/>
          </cell>
        </row>
        <row r="7321">
          <cell r="B7321" t="str">
            <v/>
          </cell>
        </row>
        <row r="7322">
          <cell r="B7322" t="str">
            <v/>
          </cell>
        </row>
        <row r="7323">
          <cell r="B7323" t="str">
            <v/>
          </cell>
        </row>
        <row r="7324">
          <cell r="B7324" t="str">
            <v/>
          </cell>
        </row>
        <row r="7325">
          <cell r="B7325" t="str">
            <v/>
          </cell>
        </row>
        <row r="7326">
          <cell r="B7326" t="str">
            <v/>
          </cell>
        </row>
        <row r="7327">
          <cell r="B7327" t="str">
            <v/>
          </cell>
        </row>
        <row r="7328">
          <cell r="B7328" t="str">
            <v/>
          </cell>
        </row>
        <row r="7329">
          <cell r="B7329" t="str">
            <v/>
          </cell>
        </row>
        <row r="7330">
          <cell r="B7330" t="str">
            <v/>
          </cell>
        </row>
        <row r="7331">
          <cell r="B7331" t="str">
            <v/>
          </cell>
        </row>
        <row r="7332">
          <cell r="B7332" t="str">
            <v/>
          </cell>
        </row>
        <row r="7333">
          <cell r="B7333" t="str">
            <v/>
          </cell>
        </row>
        <row r="7334">
          <cell r="B7334" t="str">
            <v/>
          </cell>
        </row>
        <row r="7335">
          <cell r="B7335" t="str">
            <v/>
          </cell>
        </row>
        <row r="7336">
          <cell r="B7336" t="str">
            <v/>
          </cell>
        </row>
        <row r="7337">
          <cell r="B7337" t="str">
            <v/>
          </cell>
        </row>
        <row r="7338">
          <cell r="B7338" t="str">
            <v/>
          </cell>
        </row>
        <row r="7339">
          <cell r="B7339" t="str">
            <v/>
          </cell>
        </row>
        <row r="7340">
          <cell r="B7340" t="str">
            <v/>
          </cell>
        </row>
        <row r="7341">
          <cell r="B7341" t="str">
            <v/>
          </cell>
        </row>
        <row r="7342">
          <cell r="B7342" t="str">
            <v/>
          </cell>
        </row>
        <row r="7343">
          <cell r="B7343" t="str">
            <v/>
          </cell>
        </row>
        <row r="7344">
          <cell r="B7344" t="str">
            <v/>
          </cell>
        </row>
        <row r="7345">
          <cell r="B7345" t="str">
            <v/>
          </cell>
        </row>
        <row r="7346">
          <cell r="B7346" t="str">
            <v/>
          </cell>
        </row>
        <row r="7347">
          <cell r="B7347" t="str">
            <v/>
          </cell>
        </row>
        <row r="7348">
          <cell r="B7348" t="str">
            <v/>
          </cell>
        </row>
        <row r="7349">
          <cell r="B7349" t="str">
            <v/>
          </cell>
        </row>
        <row r="7350">
          <cell r="B7350" t="str">
            <v/>
          </cell>
        </row>
        <row r="7351">
          <cell r="B7351" t="str">
            <v/>
          </cell>
        </row>
        <row r="7352">
          <cell r="B7352" t="str">
            <v/>
          </cell>
        </row>
        <row r="7353">
          <cell r="B7353" t="str">
            <v/>
          </cell>
        </row>
        <row r="7354">
          <cell r="B7354" t="str">
            <v/>
          </cell>
        </row>
        <row r="7355">
          <cell r="B7355" t="str">
            <v/>
          </cell>
        </row>
        <row r="7356">
          <cell r="B7356" t="str">
            <v/>
          </cell>
        </row>
        <row r="7357">
          <cell r="B7357" t="str">
            <v/>
          </cell>
        </row>
        <row r="7358">
          <cell r="B7358" t="str">
            <v/>
          </cell>
        </row>
        <row r="7359">
          <cell r="B7359" t="str">
            <v/>
          </cell>
        </row>
        <row r="7360">
          <cell r="B7360" t="str">
            <v/>
          </cell>
        </row>
        <row r="7361">
          <cell r="B7361" t="str">
            <v/>
          </cell>
        </row>
        <row r="7362">
          <cell r="B7362" t="str">
            <v/>
          </cell>
        </row>
        <row r="7363">
          <cell r="B7363" t="str">
            <v/>
          </cell>
        </row>
        <row r="7364">
          <cell r="B7364" t="str">
            <v/>
          </cell>
        </row>
        <row r="7365">
          <cell r="B7365" t="str">
            <v/>
          </cell>
        </row>
        <row r="7366">
          <cell r="B7366" t="str">
            <v/>
          </cell>
        </row>
        <row r="7367">
          <cell r="B7367" t="str">
            <v/>
          </cell>
        </row>
        <row r="7368">
          <cell r="B7368" t="str">
            <v/>
          </cell>
        </row>
        <row r="7369">
          <cell r="B7369" t="str">
            <v/>
          </cell>
        </row>
        <row r="7370">
          <cell r="B7370" t="str">
            <v/>
          </cell>
        </row>
        <row r="7371">
          <cell r="B7371" t="str">
            <v/>
          </cell>
        </row>
        <row r="7372">
          <cell r="B7372" t="str">
            <v/>
          </cell>
        </row>
        <row r="7373">
          <cell r="B7373" t="str">
            <v/>
          </cell>
        </row>
        <row r="7374">
          <cell r="B7374" t="str">
            <v/>
          </cell>
        </row>
        <row r="7375">
          <cell r="B7375" t="str">
            <v/>
          </cell>
        </row>
        <row r="7376">
          <cell r="B7376" t="str">
            <v/>
          </cell>
        </row>
        <row r="7377">
          <cell r="B7377" t="str">
            <v/>
          </cell>
        </row>
        <row r="7378">
          <cell r="B7378" t="str">
            <v/>
          </cell>
        </row>
        <row r="7379">
          <cell r="B7379" t="str">
            <v/>
          </cell>
        </row>
        <row r="7380">
          <cell r="B7380" t="str">
            <v/>
          </cell>
        </row>
        <row r="7381">
          <cell r="B7381" t="str">
            <v/>
          </cell>
        </row>
        <row r="7382">
          <cell r="B7382" t="str">
            <v/>
          </cell>
        </row>
        <row r="7383">
          <cell r="B7383" t="str">
            <v/>
          </cell>
        </row>
        <row r="7384">
          <cell r="B7384" t="str">
            <v/>
          </cell>
        </row>
        <row r="7385">
          <cell r="B7385" t="str">
            <v/>
          </cell>
        </row>
        <row r="7386">
          <cell r="B7386" t="str">
            <v/>
          </cell>
        </row>
        <row r="7387">
          <cell r="B7387" t="str">
            <v/>
          </cell>
        </row>
        <row r="7388">
          <cell r="B7388" t="str">
            <v/>
          </cell>
        </row>
        <row r="7389">
          <cell r="B7389" t="str">
            <v/>
          </cell>
        </row>
        <row r="7390">
          <cell r="B7390" t="str">
            <v/>
          </cell>
        </row>
        <row r="7391">
          <cell r="B7391" t="str">
            <v/>
          </cell>
        </row>
        <row r="7392">
          <cell r="B7392" t="str">
            <v/>
          </cell>
        </row>
        <row r="7393">
          <cell r="B7393" t="str">
            <v/>
          </cell>
        </row>
        <row r="7394">
          <cell r="B7394" t="str">
            <v/>
          </cell>
        </row>
        <row r="7395">
          <cell r="B7395" t="str">
            <v/>
          </cell>
        </row>
        <row r="7396">
          <cell r="B7396" t="str">
            <v/>
          </cell>
        </row>
        <row r="7397">
          <cell r="B7397" t="str">
            <v/>
          </cell>
        </row>
        <row r="7398">
          <cell r="B7398" t="str">
            <v/>
          </cell>
        </row>
        <row r="7399">
          <cell r="B7399" t="str">
            <v/>
          </cell>
        </row>
        <row r="7400">
          <cell r="B7400" t="str">
            <v/>
          </cell>
        </row>
        <row r="7401">
          <cell r="B7401" t="str">
            <v/>
          </cell>
        </row>
        <row r="7402">
          <cell r="B7402" t="str">
            <v/>
          </cell>
        </row>
        <row r="7403">
          <cell r="B7403" t="str">
            <v/>
          </cell>
        </row>
        <row r="7404">
          <cell r="B7404" t="str">
            <v/>
          </cell>
        </row>
        <row r="7405">
          <cell r="B7405" t="str">
            <v/>
          </cell>
        </row>
        <row r="7406">
          <cell r="B7406" t="str">
            <v/>
          </cell>
        </row>
        <row r="7407">
          <cell r="B7407" t="str">
            <v/>
          </cell>
        </row>
        <row r="7408">
          <cell r="B7408" t="str">
            <v/>
          </cell>
        </row>
        <row r="7409">
          <cell r="B7409" t="str">
            <v/>
          </cell>
        </row>
        <row r="7410">
          <cell r="B7410" t="str">
            <v/>
          </cell>
        </row>
        <row r="7411">
          <cell r="B7411" t="str">
            <v/>
          </cell>
        </row>
        <row r="7412">
          <cell r="B7412" t="str">
            <v/>
          </cell>
        </row>
        <row r="7413">
          <cell r="B7413" t="str">
            <v/>
          </cell>
        </row>
        <row r="7414">
          <cell r="B7414" t="str">
            <v/>
          </cell>
        </row>
        <row r="7415">
          <cell r="B7415" t="str">
            <v/>
          </cell>
        </row>
        <row r="7416">
          <cell r="B7416" t="str">
            <v/>
          </cell>
        </row>
        <row r="7417">
          <cell r="B7417" t="str">
            <v/>
          </cell>
        </row>
        <row r="7418">
          <cell r="B7418" t="str">
            <v/>
          </cell>
        </row>
        <row r="7419">
          <cell r="B7419" t="str">
            <v/>
          </cell>
        </row>
        <row r="7420">
          <cell r="B7420" t="str">
            <v/>
          </cell>
        </row>
        <row r="7421">
          <cell r="B7421" t="str">
            <v/>
          </cell>
        </row>
        <row r="7422">
          <cell r="B7422" t="str">
            <v/>
          </cell>
        </row>
        <row r="7423">
          <cell r="B7423" t="str">
            <v/>
          </cell>
        </row>
        <row r="7424">
          <cell r="B7424" t="str">
            <v/>
          </cell>
        </row>
        <row r="7425">
          <cell r="B7425" t="str">
            <v/>
          </cell>
        </row>
        <row r="7426">
          <cell r="B7426" t="str">
            <v/>
          </cell>
        </row>
        <row r="7427">
          <cell r="B7427" t="str">
            <v/>
          </cell>
        </row>
        <row r="7428">
          <cell r="B7428" t="str">
            <v/>
          </cell>
        </row>
        <row r="7429">
          <cell r="B7429" t="str">
            <v/>
          </cell>
        </row>
        <row r="7430">
          <cell r="B7430" t="str">
            <v/>
          </cell>
        </row>
        <row r="7431">
          <cell r="B7431" t="str">
            <v/>
          </cell>
        </row>
        <row r="7432">
          <cell r="B7432" t="str">
            <v/>
          </cell>
        </row>
        <row r="7433">
          <cell r="B7433" t="str">
            <v/>
          </cell>
        </row>
        <row r="7434">
          <cell r="B7434" t="str">
            <v/>
          </cell>
        </row>
        <row r="7435">
          <cell r="B7435" t="str">
            <v/>
          </cell>
        </row>
        <row r="7436">
          <cell r="B7436" t="str">
            <v/>
          </cell>
        </row>
        <row r="7437">
          <cell r="B7437" t="str">
            <v/>
          </cell>
        </row>
        <row r="7438">
          <cell r="B7438" t="str">
            <v/>
          </cell>
        </row>
        <row r="7439">
          <cell r="B7439" t="str">
            <v/>
          </cell>
        </row>
        <row r="7440">
          <cell r="B7440" t="str">
            <v/>
          </cell>
        </row>
        <row r="7441">
          <cell r="B7441" t="str">
            <v/>
          </cell>
        </row>
        <row r="7442">
          <cell r="B7442" t="str">
            <v/>
          </cell>
        </row>
        <row r="7443">
          <cell r="B7443" t="str">
            <v/>
          </cell>
        </row>
        <row r="7444">
          <cell r="B7444" t="str">
            <v/>
          </cell>
        </row>
        <row r="7445">
          <cell r="B7445" t="str">
            <v/>
          </cell>
        </row>
        <row r="7446">
          <cell r="B7446" t="str">
            <v/>
          </cell>
        </row>
        <row r="7447">
          <cell r="B7447" t="str">
            <v/>
          </cell>
        </row>
        <row r="7448">
          <cell r="B7448" t="str">
            <v/>
          </cell>
        </row>
        <row r="7449">
          <cell r="B7449" t="str">
            <v/>
          </cell>
        </row>
        <row r="7450">
          <cell r="B7450" t="str">
            <v/>
          </cell>
        </row>
        <row r="7451">
          <cell r="B7451" t="str">
            <v/>
          </cell>
        </row>
        <row r="7452">
          <cell r="B7452" t="str">
            <v/>
          </cell>
        </row>
        <row r="7453">
          <cell r="B7453" t="str">
            <v/>
          </cell>
        </row>
        <row r="7454">
          <cell r="B7454" t="str">
            <v/>
          </cell>
        </row>
        <row r="7455">
          <cell r="B7455" t="str">
            <v/>
          </cell>
        </row>
        <row r="7456">
          <cell r="B7456" t="str">
            <v/>
          </cell>
        </row>
        <row r="7457">
          <cell r="B7457" t="str">
            <v/>
          </cell>
        </row>
        <row r="7458">
          <cell r="B7458" t="str">
            <v/>
          </cell>
        </row>
        <row r="7459">
          <cell r="B7459" t="str">
            <v/>
          </cell>
        </row>
        <row r="7460">
          <cell r="B7460" t="str">
            <v/>
          </cell>
        </row>
        <row r="7461">
          <cell r="B7461" t="str">
            <v/>
          </cell>
        </row>
        <row r="7462">
          <cell r="B7462" t="str">
            <v/>
          </cell>
        </row>
        <row r="7463">
          <cell r="B7463" t="str">
            <v/>
          </cell>
        </row>
        <row r="7464">
          <cell r="B7464" t="str">
            <v/>
          </cell>
        </row>
        <row r="7465">
          <cell r="B7465" t="str">
            <v/>
          </cell>
        </row>
        <row r="7466">
          <cell r="B7466" t="str">
            <v/>
          </cell>
        </row>
        <row r="7467">
          <cell r="B7467" t="str">
            <v/>
          </cell>
        </row>
        <row r="7468">
          <cell r="B7468" t="str">
            <v/>
          </cell>
        </row>
        <row r="7469">
          <cell r="B7469" t="str">
            <v/>
          </cell>
        </row>
        <row r="7470">
          <cell r="B7470" t="str">
            <v/>
          </cell>
        </row>
        <row r="7471">
          <cell r="B7471" t="str">
            <v/>
          </cell>
        </row>
        <row r="7472">
          <cell r="B7472" t="str">
            <v/>
          </cell>
        </row>
        <row r="7473">
          <cell r="B7473" t="str">
            <v/>
          </cell>
        </row>
        <row r="7474">
          <cell r="B7474" t="str">
            <v/>
          </cell>
        </row>
        <row r="7475">
          <cell r="B7475" t="str">
            <v/>
          </cell>
        </row>
        <row r="7476">
          <cell r="B7476" t="str">
            <v/>
          </cell>
        </row>
        <row r="7477">
          <cell r="B7477" t="str">
            <v/>
          </cell>
        </row>
        <row r="7478">
          <cell r="B7478" t="str">
            <v/>
          </cell>
        </row>
        <row r="7479">
          <cell r="B7479" t="str">
            <v/>
          </cell>
        </row>
        <row r="7480">
          <cell r="B7480" t="str">
            <v/>
          </cell>
        </row>
        <row r="7481">
          <cell r="B7481" t="str">
            <v/>
          </cell>
        </row>
        <row r="7482">
          <cell r="B7482" t="str">
            <v/>
          </cell>
        </row>
        <row r="7483">
          <cell r="B7483" t="str">
            <v/>
          </cell>
        </row>
        <row r="7484">
          <cell r="B7484" t="str">
            <v/>
          </cell>
        </row>
        <row r="7485">
          <cell r="B7485" t="str">
            <v/>
          </cell>
        </row>
        <row r="7486">
          <cell r="B7486" t="str">
            <v/>
          </cell>
        </row>
        <row r="7487">
          <cell r="B7487" t="str">
            <v/>
          </cell>
        </row>
        <row r="7488">
          <cell r="B7488" t="str">
            <v/>
          </cell>
        </row>
        <row r="7489">
          <cell r="B7489" t="str">
            <v/>
          </cell>
        </row>
        <row r="7490">
          <cell r="B7490" t="str">
            <v/>
          </cell>
        </row>
        <row r="7491">
          <cell r="B7491" t="str">
            <v/>
          </cell>
        </row>
        <row r="7492">
          <cell r="B7492" t="str">
            <v/>
          </cell>
        </row>
        <row r="7493">
          <cell r="B7493" t="str">
            <v/>
          </cell>
        </row>
        <row r="7494">
          <cell r="B7494" t="str">
            <v/>
          </cell>
        </row>
        <row r="7495">
          <cell r="B7495" t="str">
            <v/>
          </cell>
        </row>
        <row r="7496">
          <cell r="B7496" t="str">
            <v/>
          </cell>
        </row>
        <row r="7497">
          <cell r="B7497" t="str">
            <v/>
          </cell>
        </row>
        <row r="7498">
          <cell r="B7498" t="str">
            <v/>
          </cell>
        </row>
        <row r="7499">
          <cell r="B7499" t="str">
            <v/>
          </cell>
        </row>
        <row r="7500">
          <cell r="B7500" t="str">
            <v/>
          </cell>
        </row>
        <row r="7501">
          <cell r="B7501" t="str">
            <v/>
          </cell>
        </row>
        <row r="7502">
          <cell r="B7502" t="str">
            <v/>
          </cell>
        </row>
        <row r="7503">
          <cell r="B7503" t="str">
            <v/>
          </cell>
        </row>
        <row r="7504">
          <cell r="B7504" t="str">
            <v/>
          </cell>
        </row>
        <row r="7505">
          <cell r="B7505" t="str">
            <v/>
          </cell>
        </row>
        <row r="7506">
          <cell r="B7506" t="str">
            <v/>
          </cell>
        </row>
        <row r="7507">
          <cell r="B7507" t="str">
            <v/>
          </cell>
        </row>
        <row r="7508">
          <cell r="B7508" t="str">
            <v/>
          </cell>
        </row>
        <row r="7509">
          <cell r="B7509" t="str">
            <v/>
          </cell>
        </row>
        <row r="7510">
          <cell r="B7510" t="str">
            <v/>
          </cell>
        </row>
        <row r="7511">
          <cell r="B7511" t="str">
            <v/>
          </cell>
        </row>
        <row r="7512">
          <cell r="B7512" t="str">
            <v/>
          </cell>
        </row>
        <row r="7513">
          <cell r="B7513" t="str">
            <v/>
          </cell>
        </row>
        <row r="7514">
          <cell r="B7514" t="str">
            <v/>
          </cell>
        </row>
        <row r="7515">
          <cell r="B7515" t="str">
            <v/>
          </cell>
        </row>
        <row r="7516">
          <cell r="B7516" t="str">
            <v/>
          </cell>
        </row>
        <row r="7517">
          <cell r="B7517" t="str">
            <v/>
          </cell>
        </row>
        <row r="7518">
          <cell r="B7518" t="str">
            <v/>
          </cell>
        </row>
        <row r="7519">
          <cell r="B7519" t="str">
            <v/>
          </cell>
        </row>
        <row r="7520">
          <cell r="B7520" t="str">
            <v/>
          </cell>
        </row>
        <row r="7521">
          <cell r="B7521" t="str">
            <v/>
          </cell>
        </row>
        <row r="7522">
          <cell r="B7522" t="str">
            <v/>
          </cell>
        </row>
        <row r="7523">
          <cell r="B7523" t="str">
            <v/>
          </cell>
        </row>
        <row r="7524">
          <cell r="B7524" t="str">
            <v/>
          </cell>
        </row>
        <row r="7525">
          <cell r="B7525" t="str">
            <v/>
          </cell>
        </row>
        <row r="7526">
          <cell r="B7526" t="str">
            <v/>
          </cell>
        </row>
        <row r="7527">
          <cell r="B7527" t="str">
            <v/>
          </cell>
        </row>
        <row r="7528">
          <cell r="B7528" t="str">
            <v/>
          </cell>
        </row>
        <row r="7529">
          <cell r="B7529" t="str">
            <v/>
          </cell>
        </row>
        <row r="7530">
          <cell r="B7530" t="str">
            <v/>
          </cell>
        </row>
        <row r="7531">
          <cell r="B7531" t="str">
            <v/>
          </cell>
        </row>
        <row r="7532">
          <cell r="B7532" t="str">
            <v/>
          </cell>
        </row>
        <row r="7533">
          <cell r="B7533" t="str">
            <v/>
          </cell>
        </row>
        <row r="7534">
          <cell r="B7534" t="str">
            <v/>
          </cell>
        </row>
        <row r="7535">
          <cell r="B7535" t="str">
            <v/>
          </cell>
        </row>
        <row r="7536">
          <cell r="B7536" t="str">
            <v/>
          </cell>
        </row>
        <row r="7537">
          <cell r="B7537" t="str">
            <v/>
          </cell>
        </row>
        <row r="7538">
          <cell r="B7538" t="str">
            <v/>
          </cell>
        </row>
        <row r="7539">
          <cell r="B7539" t="str">
            <v/>
          </cell>
        </row>
        <row r="7540">
          <cell r="B7540" t="str">
            <v/>
          </cell>
        </row>
        <row r="7541">
          <cell r="B7541" t="str">
            <v/>
          </cell>
        </row>
        <row r="7542">
          <cell r="B7542" t="str">
            <v/>
          </cell>
        </row>
        <row r="7543">
          <cell r="B7543" t="str">
            <v/>
          </cell>
        </row>
        <row r="7544">
          <cell r="B7544" t="str">
            <v/>
          </cell>
        </row>
        <row r="7545">
          <cell r="B7545" t="str">
            <v/>
          </cell>
        </row>
        <row r="7546">
          <cell r="B7546" t="str">
            <v/>
          </cell>
        </row>
        <row r="7547">
          <cell r="B7547" t="str">
            <v/>
          </cell>
        </row>
        <row r="7548">
          <cell r="B7548" t="str">
            <v/>
          </cell>
        </row>
        <row r="7549">
          <cell r="B7549" t="str">
            <v/>
          </cell>
        </row>
        <row r="7550">
          <cell r="B7550" t="str">
            <v/>
          </cell>
        </row>
        <row r="7551">
          <cell r="B7551" t="str">
            <v/>
          </cell>
        </row>
        <row r="7552">
          <cell r="B7552" t="str">
            <v/>
          </cell>
        </row>
        <row r="7553">
          <cell r="B7553" t="str">
            <v/>
          </cell>
        </row>
        <row r="7554">
          <cell r="B7554" t="str">
            <v/>
          </cell>
        </row>
        <row r="7555">
          <cell r="B7555" t="str">
            <v/>
          </cell>
        </row>
        <row r="7556">
          <cell r="B7556" t="str">
            <v/>
          </cell>
        </row>
        <row r="7557">
          <cell r="B7557" t="str">
            <v/>
          </cell>
        </row>
        <row r="7558">
          <cell r="B7558" t="str">
            <v/>
          </cell>
        </row>
        <row r="7559">
          <cell r="B7559" t="str">
            <v/>
          </cell>
        </row>
        <row r="7560">
          <cell r="B7560" t="str">
            <v/>
          </cell>
        </row>
        <row r="7561">
          <cell r="B7561" t="str">
            <v/>
          </cell>
        </row>
        <row r="7562">
          <cell r="B7562" t="str">
            <v/>
          </cell>
        </row>
        <row r="7563">
          <cell r="B7563" t="str">
            <v/>
          </cell>
        </row>
        <row r="7564">
          <cell r="B7564" t="str">
            <v/>
          </cell>
        </row>
        <row r="7565">
          <cell r="B7565" t="str">
            <v/>
          </cell>
        </row>
        <row r="7566">
          <cell r="B7566" t="str">
            <v/>
          </cell>
        </row>
        <row r="7567">
          <cell r="B7567" t="str">
            <v/>
          </cell>
        </row>
        <row r="7568">
          <cell r="B7568" t="str">
            <v/>
          </cell>
        </row>
        <row r="7569">
          <cell r="B7569" t="str">
            <v/>
          </cell>
        </row>
        <row r="7570">
          <cell r="B7570" t="str">
            <v/>
          </cell>
        </row>
        <row r="7571">
          <cell r="B7571" t="str">
            <v/>
          </cell>
        </row>
        <row r="7572">
          <cell r="B7572" t="str">
            <v/>
          </cell>
        </row>
        <row r="7573">
          <cell r="B7573" t="str">
            <v/>
          </cell>
        </row>
        <row r="7574">
          <cell r="B7574" t="str">
            <v/>
          </cell>
        </row>
        <row r="7575">
          <cell r="B7575" t="str">
            <v/>
          </cell>
        </row>
        <row r="7576">
          <cell r="B7576" t="str">
            <v/>
          </cell>
        </row>
        <row r="7577">
          <cell r="B7577" t="str">
            <v/>
          </cell>
        </row>
        <row r="7578">
          <cell r="B7578" t="str">
            <v/>
          </cell>
        </row>
        <row r="7579">
          <cell r="B7579" t="str">
            <v/>
          </cell>
        </row>
        <row r="7580">
          <cell r="B7580" t="str">
            <v/>
          </cell>
        </row>
        <row r="7581">
          <cell r="B7581" t="str">
            <v/>
          </cell>
        </row>
        <row r="7582">
          <cell r="B7582" t="str">
            <v/>
          </cell>
        </row>
        <row r="7583">
          <cell r="B7583" t="str">
            <v/>
          </cell>
        </row>
        <row r="7584">
          <cell r="B7584" t="str">
            <v/>
          </cell>
        </row>
        <row r="7585">
          <cell r="B7585" t="str">
            <v/>
          </cell>
        </row>
        <row r="7586">
          <cell r="B7586" t="str">
            <v/>
          </cell>
        </row>
        <row r="7587">
          <cell r="B7587" t="str">
            <v/>
          </cell>
        </row>
        <row r="7588">
          <cell r="B7588" t="str">
            <v/>
          </cell>
        </row>
        <row r="7589">
          <cell r="B7589" t="str">
            <v/>
          </cell>
        </row>
        <row r="7590">
          <cell r="B7590" t="str">
            <v/>
          </cell>
        </row>
        <row r="7591">
          <cell r="B7591" t="str">
            <v/>
          </cell>
        </row>
        <row r="7592">
          <cell r="B7592" t="str">
            <v/>
          </cell>
        </row>
        <row r="7593">
          <cell r="B7593" t="str">
            <v/>
          </cell>
        </row>
        <row r="7594">
          <cell r="B7594" t="str">
            <v/>
          </cell>
        </row>
        <row r="7595">
          <cell r="B7595" t="str">
            <v/>
          </cell>
        </row>
        <row r="7596">
          <cell r="B7596" t="str">
            <v/>
          </cell>
        </row>
        <row r="7597">
          <cell r="B7597" t="str">
            <v/>
          </cell>
        </row>
        <row r="7598">
          <cell r="B7598" t="str">
            <v/>
          </cell>
        </row>
        <row r="7599">
          <cell r="B7599" t="str">
            <v/>
          </cell>
        </row>
        <row r="7600">
          <cell r="B7600" t="str">
            <v/>
          </cell>
        </row>
        <row r="7601">
          <cell r="B7601" t="str">
            <v/>
          </cell>
        </row>
        <row r="7602">
          <cell r="B7602" t="str">
            <v/>
          </cell>
        </row>
        <row r="7603">
          <cell r="B7603" t="str">
            <v/>
          </cell>
        </row>
        <row r="7604">
          <cell r="B7604" t="str">
            <v/>
          </cell>
        </row>
        <row r="7605">
          <cell r="B7605" t="str">
            <v/>
          </cell>
        </row>
        <row r="7606">
          <cell r="B7606" t="str">
            <v/>
          </cell>
        </row>
        <row r="7607">
          <cell r="B7607" t="str">
            <v/>
          </cell>
        </row>
        <row r="7608">
          <cell r="B7608" t="str">
            <v/>
          </cell>
        </row>
        <row r="7609">
          <cell r="B7609" t="str">
            <v/>
          </cell>
        </row>
        <row r="7610">
          <cell r="B7610" t="str">
            <v/>
          </cell>
        </row>
        <row r="7611">
          <cell r="B7611" t="str">
            <v/>
          </cell>
        </row>
        <row r="7612">
          <cell r="B7612" t="str">
            <v/>
          </cell>
        </row>
        <row r="7613">
          <cell r="B7613" t="str">
            <v/>
          </cell>
        </row>
        <row r="7614">
          <cell r="B7614" t="str">
            <v/>
          </cell>
        </row>
        <row r="7615">
          <cell r="B7615" t="str">
            <v/>
          </cell>
        </row>
        <row r="7616">
          <cell r="B7616" t="str">
            <v/>
          </cell>
        </row>
        <row r="7617">
          <cell r="B7617" t="str">
            <v/>
          </cell>
        </row>
        <row r="7618">
          <cell r="B7618" t="str">
            <v/>
          </cell>
        </row>
        <row r="7619">
          <cell r="B7619" t="str">
            <v/>
          </cell>
        </row>
        <row r="7620">
          <cell r="B7620" t="str">
            <v/>
          </cell>
        </row>
        <row r="7621">
          <cell r="B7621" t="str">
            <v/>
          </cell>
        </row>
        <row r="7622">
          <cell r="B7622" t="str">
            <v/>
          </cell>
        </row>
        <row r="7623">
          <cell r="B7623" t="str">
            <v/>
          </cell>
        </row>
        <row r="7624">
          <cell r="B7624" t="str">
            <v/>
          </cell>
        </row>
        <row r="7625">
          <cell r="B7625" t="str">
            <v/>
          </cell>
        </row>
        <row r="7626">
          <cell r="B7626" t="str">
            <v/>
          </cell>
        </row>
        <row r="7627">
          <cell r="B7627" t="str">
            <v/>
          </cell>
        </row>
        <row r="7628">
          <cell r="B7628" t="str">
            <v/>
          </cell>
        </row>
        <row r="7629">
          <cell r="B7629" t="str">
            <v/>
          </cell>
        </row>
        <row r="7630">
          <cell r="B7630" t="str">
            <v/>
          </cell>
        </row>
        <row r="7631">
          <cell r="B7631" t="str">
            <v/>
          </cell>
        </row>
        <row r="7632">
          <cell r="B7632" t="str">
            <v/>
          </cell>
        </row>
        <row r="7633">
          <cell r="B7633" t="str">
            <v/>
          </cell>
        </row>
        <row r="7634">
          <cell r="B7634" t="str">
            <v/>
          </cell>
        </row>
        <row r="7635">
          <cell r="B7635" t="str">
            <v/>
          </cell>
        </row>
        <row r="7636">
          <cell r="B7636" t="str">
            <v/>
          </cell>
        </row>
        <row r="7637">
          <cell r="B7637" t="str">
            <v/>
          </cell>
        </row>
        <row r="7638">
          <cell r="B7638" t="str">
            <v/>
          </cell>
        </row>
        <row r="7639">
          <cell r="B7639" t="str">
            <v/>
          </cell>
        </row>
        <row r="7640">
          <cell r="B7640" t="str">
            <v/>
          </cell>
        </row>
        <row r="7641">
          <cell r="B7641" t="str">
            <v/>
          </cell>
        </row>
        <row r="7642">
          <cell r="B7642" t="str">
            <v/>
          </cell>
        </row>
        <row r="7643">
          <cell r="B7643" t="str">
            <v/>
          </cell>
        </row>
        <row r="7644">
          <cell r="B7644" t="str">
            <v/>
          </cell>
        </row>
        <row r="7645">
          <cell r="B7645" t="str">
            <v/>
          </cell>
        </row>
        <row r="7646">
          <cell r="B7646" t="str">
            <v/>
          </cell>
        </row>
        <row r="7647">
          <cell r="B7647" t="str">
            <v/>
          </cell>
        </row>
        <row r="7648">
          <cell r="B7648" t="str">
            <v/>
          </cell>
        </row>
        <row r="7649">
          <cell r="B7649" t="str">
            <v/>
          </cell>
        </row>
        <row r="7650">
          <cell r="B7650" t="str">
            <v/>
          </cell>
        </row>
        <row r="7651">
          <cell r="B7651" t="str">
            <v/>
          </cell>
        </row>
        <row r="7652">
          <cell r="B7652" t="str">
            <v/>
          </cell>
        </row>
        <row r="7653">
          <cell r="B7653" t="str">
            <v/>
          </cell>
        </row>
        <row r="7654">
          <cell r="B7654" t="str">
            <v/>
          </cell>
        </row>
        <row r="7655">
          <cell r="B7655" t="str">
            <v/>
          </cell>
        </row>
        <row r="7656">
          <cell r="B7656" t="str">
            <v/>
          </cell>
        </row>
        <row r="7657">
          <cell r="B7657" t="str">
            <v/>
          </cell>
        </row>
        <row r="7658">
          <cell r="B7658" t="str">
            <v/>
          </cell>
        </row>
        <row r="7659">
          <cell r="B7659" t="str">
            <v/>
          </cell>
        </row>
        <row r="7660">
          <cell r="B7660" t="str">
            <v/>
          </cell>
        </row>
        <row r="7661">
          <cell r="B7661" t="str">
            <v/>
          </cell>
        </row>
        <row r="7662">
          <cell r="B7662" t="str">
            <v/>
          </cell>
        </row>
        <row r="7663">
          <cell r="B7663" t="str">
            <v/>
          </cell>
        </row>
        <row r="7664">
          <cell r="B7664" t="str">
            <v/>
          </cell>
        </row>
        <row r="7665">
          <cell r="B7665" t="str">
            <v/>
          </cell>
        </row>
        <row r="7666">
          <cell r="B7666" t="str">
            <v/>
          </cell>
        </row>
        <row r="7667">
          <cell r="B7667" t="str">
            <v/>
          </cell>
        </row>
        <row r="7668">
          <cell r="B7668" t="str">
            <v/>
          </cell>
        </row>
        <row r="7669">
          <cell r="B7669" t="str">
            <v/>
          </cell>
        </row>
        <row r="7670">
          <cell r="B7670" t="str">
            <v/>
          </cell>
        </row>
        <row r="7671">
          <cell r="B7671" t="str">
            <v/>
          </cell>
        </row>
        <row r="7672">
          <cell r="B7672" t="str">
            <v/>
          </cell>
        </row>
        <row r="7673">
          <cell r="B7673" t="str">
            <v/>
          </cell>
        </row>
        <row r="7674">
          <cell r="B7674" t="str">
            <v/>
          </cell>
        </row>
        <row r="7675">
          <cell r="B7675" t="str">
            <v/>
          </cell>
        </row>
        <row r="7676">
          <cell r="B7676" t="str">
            <v/>
          </cell>
        </row>
        <row r="7677">
          <cell r="B7677" t="str">
            <v/>
          </cell>
        </row>
        <row r="7678">
          <cell r="B7678" t="str">
            <v/>
          </cell>
        </row>
        <row r="7679">
          <cell r="B7679" t="str">
            <v/>
          </cell>
        </row>
        <row r="7680">
          <cell r="B7680" t="str">
            <v/>
          </cell>
        </row>
        <row r="7681">
          <cell r="B7681" t="str">
            <v/>
          </cell>
        </row>
        <row r="7682">
          <cell r="B7682" t="str">
            <v/>
          </cell>
        </row>
        <row r="7683">
          <cell r="B7683" t="str">
            <v/>
          </cell>
        </row>
        <row r="7684">
          <cell r="B7684" t="str">
            <v/>
          </cell>
        </row>
        <row r="7685">
          <cell r="B7685" t="str">
            <v/>
          </cell>
        </row>
        <row r="7686">
          <cell r="B7686" t="str">
            <v/>
          </cell>
        </row>
        <row r="7687">
          <cell r="B7687" t="str">
            <v/>
          </cell>
        </row>
        <row r="7688">
          <cell r="B7688" t="str">
            <v/>
          </cell>
        </row>
        <row r="7689">
          <cell r="B7689" t="str">
            <v/>
          </cell>
        </row>
        <row r="7690">
          <cell r="B7690" t="str">
            <v/>
          </cell>
        </row>
        <row r="7691">
          <cell r="B7691" t="str">
            <v/>
          </cell>
        </row>
        <row r="7692">
          <cell r="B7692" t="str">
            <v/>
          </cell>
        </row>
        <row r="7693">
          <cell r="B7693" t="str">
            <v/>
          </cell>
        </row>
        <row r="7694">
          <cell r="B7694" t="str">
            <v/>
          </cell>
        </row>
        <row r="7695">
          <cell r="B7695" t="str">
            <v/>
          </cell>
        </row>
        <row r="7696">
          <cell r="B7696" t="str">
            <v/>
          </cell>
        </row>
        <row r="7697">
          <cell r="B7697" t="str">
            <v/>
          </cell>
        </row>
        <row r="7698">
          <cell r="B7698" t="str">
            <v/>
          </cell>
        </row>
        <row r="7699">
          <cell r="B7699" t="str">
            <v/>
          </cell>
        </row>
        <row r="7700">
          <cell r="B7700" t="str">
            <v/>
          </cell>
        </row>
        <row r="7701">
          <cell r="B7701" t="str">
            <v/>
          </cell>
        </row>
        <row r="7702">
          <cell r="B7702" t="str">
            <v/>
          </cell>
        </row>
        <row r="7703">
          <cell r="B7703" t="str">
            <v/>
          </cell>
        </row>
        <row r="7704">
          <cell r="B7704" t="str">
            <v/>
          </cell>
        </row>
        <row r="7705">
          <cell r="B7705" t="str">
            <v/>
          </cell>
        </row>
        <row r="7706">
          <cell r="B7706" t="str">
            <v/>
          </cell>
        </row>
        <row r="7707">
          <cell r="B7707" t="str">
            <v/>
          </cell>
        </row>
        <row r="7708">
          <cell r="B7708" t="str">
            <v/>
          </cell>
        </row>
        <row r="7709">
          <cell r="B7709" t="str">
            <v/>
          </cell>
        </row>
        <row r="7710">
          <cell r="B7710" t="str">
            <v/>
          </cell>
        </row>
        <row r="7711">
          <cell r="B7711" t="str">
            <v/>
          </cell>
        </row>
        <row r="7712">
          <cell r="B7712" t="str">
            <v/>
          </cell>
        </row>
        <row r="7713">
          <cell r="B7713" t="str">
            <v/>
          </cell>
        </row>
        <row r="7714">
          <cell r="B7714" t="str">
            <v/>
          </cell>
        </row>
        <row r="7715">
          <cell r="B7715" t="str">
            <v/>
          </cell>
        </row>
        <row r="7716">
          <cell r="B7716" t="str">
            <v/>
          </cell>
        </row>
        <row r="7717">
          <cell r="B7717" t="str">
            <v/>
          </cell>
        </row>
        <row r="7718">
          <cell r="B7718" t="str">
            <v/>
          </cell>
        </row>
        <row r="7719">
          <cell r="B7719" t="str">
            <v/>
          </cell>
        </row>
        <row r="7720">
          <cell r="B7720" t="str">
            <v/>
          </cell>
        </row>
        <row r="7721">
          <cell r="B7721" t="str">
            <v/>
          </cell>
        </row>
        <row r="7722">
          <cell r="B7722" t="str">
            <v/>
          </cell>
        </row>
        <row r="7723">
          <cell r="B7723" t="str">
            <v/>
          </cell>
        </row>
        <row r="7724">
          <cell r="B7724" t="str">
            <v/>
          </cell>
        </row>
        <row r="7725">
          <cell r="B7725" t="str">
            <v/>
          </cell>
        </row>
        <row r="7726">
          <cell r="B7726" t="str">
            <v/>
          </cell>
        </row>
        <row r="7727">
          <cell r="B7727" t="str">
            <v/>
          </cell>
        </row>
        <row r="7728">
          <cell r="B7728" t="str">
            <v/>
          </cell>
        </row>
        <row r="7729">
          <cell r="B7729" t="str">
            <v/>
          </cell>
        </row>
        <row r="7730">
          <cell r="B7730" t="str">
            <v/>
          </cell>
        </row>
        <row r="7731">
          <cell r="B7731" t="str">
            <v/>
          </cell>
        </row>
        <row r="7732">
          <cell r="B7732" t="str">
            <v/>
          </cell>
        </row>
        <row r="7733">
          <cell r="B7733" t="str">
            <v/>
          </cell>
        </row>
        <row r="7734">
          <cell r="B7734" t="str">
            <v/>
          </cell>
        </row>
        <row r="7735">
          <cell r="B7735" t="str">
            <v/>
          </cell>
        </row>
        <row r="7736">
          <cell r="B7736" t="str">
            <v/>
          </cell>
        </row>
        <row r="7737">
          <cell r="B7737" t="str">
            <v/>
          </cell>
        </row>
        <row r="7738">
          <cell r="B7738" t="str">
            <v/>
          </cell>
        </row>
        <row r="7739">
          <cell r="B7739" t="str">
            <v/>
          </cell>
        </row>
        <row r="7740">
          <cell r="B7740" t="str">
            <v/>
          </cell>
        </row>
        <row r="7741">
          <cell r="B7741" t="str">
            <v/>
          </cell>
        </row>
        <row r="7742">
          <cell r="B7742" t="str">
            <v/>
          </cell>
        </row>
        <row r="7743">
          <cell r="B7743" t="str">
            <v/>
          </cell>
        </row>
        <row r="7744">
          <cell r="B7744" t="str">
            <v/>
          </cell>
        </row>
        <row r="7745">
          <cell r="B7745" t="str">
            <v/>
          </cell>
        </row>
        <row r="7746">
          <cell r="B7746" t="str">
            <v/>
          </cell>
        </row>
        <row r="7747">
          <cell r="B7747" t="str">
            <v/>
          </cell>
        </row>
        <row r="7748">
          <cell r="B7748" t="str">
            <v/>
          </cell>
        </row>
        <row r="7749">
          <cell r="B7749" t="str">
            <v/>
          </cell>
        </row>
        <row r="7750">
          <cell r="B7750" t="str">
            <v/>
          </cell>
        </row>
        <row r="7751">
          <cell r="B7751" t="str">
            <v/>
          </cell>
        </row>
        <row r="7752">
          <cell r="B7752" t="str">
            <v/>
          </cell>
        </row>
        <row r="7753">
          <cell r="B7753" t="str">
            <v/>
          </cell>
        </row>
        <row r="7754">
          <cell r="B7754" t="str">
            <v/>
          </cell>
        </row>
        <row r="7755">
          <cell r="B7755" t="str">
            <v/>
          </cell>
        </row>
        <row r="7756">
          <cell r="B7756" t="str">
            <v/>
          </cell>
        </row>
        <row r="7757">
          <cell r="B7757" t="str">
            <v/>
          </cell>
        </row>
        <row r="7758">
          <cell r="B7758" t="str">
            <v/>
          </cell>
        </row>
        <row r="7759">
          <cell r="B7759" t="str">
            <v/>
          </cell>
        </row>
        <row r="7760">
          <cell r="B7760" t="str">
            <v/>
          </cell>
        </row>
        <row r="7761">
          <cell r="B7761" t="str">
            <v/>
          </cell>
        </row>
        <row r="7762">
          <cell r="B7762" t="str">
            <v/>
          </cell>
        </row>
        <row r="7763">
          <cell r="B7763" t="str">
            <v/>
          </cell>
        </row>
        <row r="7764">
          <cell r="B7764" t="str">
            <v/>
          </cell>
        </row>
        <row r="7765">
          <cell r="B7765" t="str">
            <v/>
          </cell>
        </row>
        <row r="7766">
          <cell r="B7766" t="str">
            <v/>
          </cell>
        </row>
        <row r="7767">
          <cell r="B7767" t="str">
            <v/>
          </cell>
        </row>
        <row r="7768">
          <cell r="B7768" t="str">
            <v/>
          </cell>
        </row>
        <row r="7769">
          <cell r="B7769" t="str">
            <v/>
          </cell>
        </row>
        <row r="7770">
          <cell r="B7770" t="str">
            <v/>
          </cell>
        </row>
        <row r="7771">
          <cell r="B7771" t="str">
            <v/>
          </cell>
        </row>
        <row r="7772">
          <cell r="B7772" t="str">
            <v/>
          </cell>
        </row>
        <row r="7773">
          <cell r="B7773" t="str">
            <v/>
          </cell>
        </row>
        <row r="7774">
          <cell r="B7774" t="str">
            <v/>
          </cell>
        </row>
        <row r="7775">
          <cell r="B7775" t="str">
            <v/>
          </cell>
        </row>
        <row r="7776">
          <cell r="B7776" t="str">
            <v/>
          </cell>
        </row>
        <row r="7777">
          <cell r="B7777" t="str">
            <v/>
          </cell>
        </row>
        <row r="7778">
          <cell r="B7778" t="str">
            <v/>
          </cell>
        </row>
        <row r="7779">
          <cell r="B7779" t="str">
            <v/>
          </cell>
        </row>
        <row r="7780">
          <cell r="B7780" t="str">
            <v/>
          </cell>
        </row>
        <row r="7781">
          <cell r="B7781" t="str">
            <v/>
          </cell>
        </row>
        <row r="7782">
          <cell r="B7782" t="str">
            <v/>
          </cell>
        </row>
        <row r="7783">
          <cell r="B7783" t="str">
            <v/>
          </cell>
        </row>
        <row r="7784">
          <cell r="B7784" t="str">
            <v/>
          </cell>
        </row>
        <row r="7785">
          <cell r="B7785" t="str">
            <v/>
          </cell>
        </row>
        <row r="7786">
          <cell r="B7786" t="str">
            <v/>
          </cell>
        </row>
        <row r="7787">
          <cell r="B7787" t="str">
            <v/>
          </cell>
        </row>
        <row r="7788">
          <cell r="B7788" t="str">
            <v/>
          </cell>
        </row>
        <row r="7789">
          <cell r="B7789" t="str">
            <v/>
          </cell>
        </row>
        <row r="7790">
          <cell r="B7790" t="str">
            <v/>
          </cell>
        </row>
        <row r="7791">
          <cell r="B7791" t="str">
            <v/>
          </cell>
        </row>
        <row r="7792">
          <cell r="B7792" t="str">
            <v/>
          </cell>
        </row>
        <row r="7793">
          <cell r="B7793" t="str">
            <v/>
          </cell>
        </row>
        <row r="7794">
          <cell r="B7794" t="str">
            <v/>
          </cell>
        </row>
        <row r="7795">
          <cell r="B7795" t="str">
            <v/>
          </cell>
        </row>
        <row r="7796">
          <cell r="B7796" t="str">
            <v/>
          </cell>
        </row>
        <row r="7797">
          <cell r="B7797" t="str">
            <v/>
          </cell>
        </row>
        <row r="7798">
          <cell r="B7798" t="str">
            <v/>
          </cell>
        </row>
        <row r="7799">
          <cell r="B7799" t="str">
            <v/>
          </cell>
        </row>
        <row r="7800">
          <cell r="B7800" t="str">
            <v/>
          </cell>
        </row>
        <row r="7801">
          <cell r="B7801" t="str">
            <v/>
          </cell>
        </row>
        <row r="7802">
          <cell r="B7802" t="str">
            <v/>
          </cell>
        </row>
        <row r="7803">
          <cell r="B7803" t="str">
            <v/>
          </cell>
        </row>
        <row r="7804">
          <cell r="B7804" t="str">
            <v/>
          </cell>
        </row>
        <row r="7805">
          <cell r="B7805" t="str">
            <v/>
          </cell>
        </row>
        <row r="7806">
          <cell r="B7806" t="str">
            <v/>
          </cell>
        </row>
        <row r="7807">
          <cell r="B7807" t="str">
            <v/>
          </cell>
        </row>
        <row r="7808">
          <cell r="B7808" t="str">
            <v/>
          </cell>
        </row>
        <row r="7809">
          <cell r="B7809" t="str">
            <v/>
          </cell>
        </row>
        <row r="7810">
          <cell r="B7810" t="str">
            <v/>
          </cell>
        </row>
        <row r="7811">
          <cell r="B7811" t="str">
            <v/>
          </cell>
        </row>
        <row r="7812">
          <cell r="B7812" t="str">
            <v/>
          </cell>
        </row>
        <row r="7813">
          <cell r="B7813" t="str">
            <v/>
          </cell>
        </row>
        <row r="7814">
          <cell r="B7814" t="str">
            <v/>
          </cell>
        </row>
        <row r="7815">
          <cell r="B7815" t="str">
            <v/>
          </cell>
        </row>
        <row r="7816">
          <cell r="B7816" t="str">
            <v/>
          </cell>
        </row>
        <row r="7817">
          <cell r="B7817" t="str">
            <v/>
          </cell>
        </row>
        <row r="7818">
          <cell r="B7818" t="str">
            <v/>
          </cell>
        </row>
        <row r="7819">
          <cell r="B7819" t="str">
            <v/>
          </cell>
        </row>
        <row r="7820">
          <cell r="B7820" t="str">
            <v/>
          </cell>
        </row>
        <row r="7821">
          <cell r="B7821" t="str">
            <v/>
          </cell>
        </row>
        <row r="7822">
          <cell r="B7822" t="str">
            <v/>
          </cell>
        </row>
        <row r="7823">
          <cell r="B7823" t="str">
            <v/>
          </cell>
        </row>
        <row r="7824">
          <cell r="B7824" t="str">
            <v/>
          </cell>
        </row>
        <row r="7825">
          <cell r="B7825" t="str">
            <v/>
          </cell>
        </row>
        <row r="7826">
          <cell r="B7826" t="str">
            <v/>
          </cell>
        </row>
        <row r="7827">
          <cell r="B7827" t="str">
            <v/>
          </cell>
        </row>
        <row r="7828">
          <cell r="B7828" t="str">
            <v/>
          </cell>
        </row>
        <row r="7829">
          <cell r="B7829" t="str">
            <v/>
          </cell>
        </row>
        <row r="7830">
          <cell r="B7830" t="str">
            <v/>
          </cell>
        </row>
        <row r="7831">
          <cell r="B7831" t="str">
            <v/>
          </cell>
        </row>
        <row r="7832">
          <cell r="B7832" t="str">
            <v/>
          </cell>
        </row>
        <row r="7833">
          <cell r="B7833" t="str">
            <v/>
          </cell>
        </row>
        <row r="7834">
          <cell r="B7834" t="str">
            <v/>
          </cell>
        </row>
        <row r="7835">
          <cell r="B7835" t="str">
            <v/>
          </cell>
        </row>
        <row r="7836">
          <cell r="B7836" t="str">
            <v/>
          </cell>
        </row>
        <row r="7837">
          <cell r="B7837" t="str">
            <v/>
          </cell>
        </row>
        <row r="7838">
          <cell r="B7838" t="str">
            <v/>
          </cell>
        </row>
        <row r="7839">
          <cell r="B7839" t="str">
            <v/>
          </cell>
        </row>
        <row r="7840">
          <cell r="B7840" t="str">
            <v/>
          </cell>
        </row>
        <row r="7841">
          <cell r="B7841" t="str">
            <v/>
          </cell>
        </row>
        <row r="7842">
          <cell r="B7842" t="str">
            <v/>
          </cell>
        </row>
        <row r="7843">
          <cell r="B7843" t="str">
            <v/>
          </cell>
        </row>
        <row r="7844">
          <cell r="B7844" t="str">
            <v/>
          </cell>
        </row>
        <row r="7845">
          <cell r="B7845" t="str">
            <v/>
          </cell>
        </row>
        <row r="7846">
          <cell r="B7846" t="str">
            <v/>
          </cell>
        </row>
        <row r="7847">
          <cell r="B7847" t="str">
            <v/>
          </cell>
        </row>
        <row r="7848">
          <cell r="B7848" t="str">
            <v/>
          </cell>
        </row>
        <row r="7849">
          <cell r="B7849" t="str">
            <v/>
          </cell>
        </row>
        <row r="7850">
          <cell r="B7850" t="str">
            <v/>
          </cell>
        </row>
        <row r="7851">
          <cell r="B7851" t="str">
            <v/>
          </cell>
        </row>
        <row r="7852">
          <cell r="B7852" t="str">
            <v/>
          </cell>
        </row>
        <row r="7853">
          <cell r="B7853" t="str">
            <v/>
          </cell>
        </row>
        <row r="7854">
          <cell r="B7854" t="str">
            <v/>
          </cell>
        </row>
        <row r="7855">
          <cell r="B7855" t="str">
            <v/>
          </cell>
        </row>
        <row r="7856">
          <cell r="B7856" t="str">
            <v/>
          </cell>
        </row>
        <row r="7857">
          <cell r="B7857" t="str">
            <v/>
          </cell>
        </row>
        <row r="7858">
          <cell r="B7858" t="str">
            <v/>
          </cell>
        </row>
        <row r="7859">
          <cell r="B7859" t="str">
            <v/>
          </cell>
        </row>
        <row r="7860">
          <cell r="B7860" t="str">
            <v/>
          </cell>
        </row>
        <row r="7861">
          <cell r="B7861" t="str">
            <v/>
          </cell>
        </row>
        <row r="7862">
          <cell r="B7862" t="str">
            <v/>
          </cell>
        </row>
        <row r="7863">
          <cell r="B7863" t="str">
            <v/>
          </cell>
        </row>
        <row r="7864">
          <cell r="B7864" t="str">
            <v/>
          </cell>
        </row>
        <row r="7865">
          <cell r="B7865" t="str">
            <v/>
          </cell>
        </row>
        <row r="7866">
          <cell r="B7866" t="str">
            <v/>
          </cell>
        </row>
        <row r="7867">
          <cell r="B7867" t="str">
            <v/>
          </cell>
        </row>
        <row r="7868">
          <cell r="B7868" t="str">
            <v/>
          </cell>
        </row>
        <row r="7869">
          <cell r="B7869" t="str">
            <v/>
          </cell>
        </row>
        <row r="7870">
          <cell r="B7870" t="str">
            <v/>
          </cell>
        </row>
        <row r="7871">
          <cell r="B7871" t="str">
            <v/>
          </cell>
        </row>
        <row r="7872">
          <cell r="B7872" t="str">
            <v/>
          </cell>
        </row>
        <row r="7873">
          <cell r="B7873" t="str">
            <v/>
          </cell>
        </row>
        <row r="7874">
          <cell r="B7874" t="str">
            <v/>
          </cell>
        </row>
        <row r="7875">
          <cell r="B7875" t="str">
            <v/>
          </cell>
        </row>
        <row r="7876">
          <cell r="B7876" t="str">
            <v/>
          </cell>
        </row>
        <row r="7877">
          <cell r="B7877" t="str">
            <v/>
          </cell>
        </row>
        <row r="7878">
          <cell r="B7878" t="str">
            <v/>
          </cell>
        </row>
        <row r="7879">
          <cell r="B7879" t="str">
            <v/>
          </cell>
        </row>
        <row r="7880">
          <cell r="B7880" t="str">
            <v/>
          </cell>
        </row>
        <row r="7881">
          <cell r="B7881" t="str">
            <v/>
          </cell>
        </row>
        <row r="7882">
          <cell r="B7882" t="str">
            <v/>
          </cell>
        </row>
        <row r="7883">
          <cell r="B7883" t="str">
            <v/>
          </cell>
        </row>
        <row r="7884">
          <cell r="B7884" t="str">
            <v/>
          </cell>
        </row>
        <row r="7885">
          <cell r="B7885" t="str">
            <v/>
          </cell>
        </row>
        <row r="7886">
          <cell r="B7886" t="str">
            <v/>
          </cell>
        </row>
        <row r="7887">
          <cell r="B7887" t="str">
            <v/>
          </cell>
        </row>
        <row r="7888">
          <cell r="B7888" t="str">
            <v/>
          </cell>
        </row>
        <row r="7889">
          <cell r="B7889" t="str">
            <v/>
          </cell>
        </row>
        <row r="7890">
          <cell r="B7890" t="str">
            <v/>
          </cell>
        </row>
        <row r="7891">
          <cell r="B7891" t="str">
            <v/>
          </cell>
        </row>
        <row r="7892">
          <cell r="B7892" t="str">
            <v/>
          </cell>
        </row>
        <row r="7893">
          <cell r="B7893" t="str">
            <v/>
          </cell>
        </row>
        <row r="7894">
          <cell r="B7894" t="str">
            <v/>
          </cell>
        </row>
        <row r="7895">
          <cell r="B7895" t="str">
            <v/>
          </cell>
        </row>
        <row r="7896">
          <cell r="B7896" t="str">
            <v/>
          </cell>
        </row>
        <row r="7897">
          <cell r="B7897" t="str">
            <v/>
          </cell>
        </row>
        <row r="7898">
          <cell r="B7898" t="str">
            <v/>
          </cell>
        </row>
        <row r="7899">
          <cell r="B7899" t="str">
            <v/>
          </cell>
        </row>
        <row r="7900">
          <cell r="B7900" t="str">
            <v/>
          </cell>
        </row>
        <row r="7901">
          <cell r="B7901" t="str">
            <v/>
          </cell>
        </row>
        <row r="7902">
          <cell r="B7902" t="str">
            <v/>
          </cell>
        </row>
        <row r="7903">
          <cell r="B7903" t="str">
            <v/>
          </cell>
        </row>
        <row r="7904">
          <cell r="B7904" t="str">
            <v/>
          </cell>
        </row>
        <row r="7905">
          <cell r="B7905" t="str">
            <v/>
          </cell>
        </row>
        <row r="7906">
          <cell r="B7906" t="str">
            <v/>
          </cell>
        </row>
        <row r="7907">
          <cell r="B7907" t="str">
            <v/>
          </cell>
        </row>
        <row r="7908">
          <cell r="B7908" t="str">
            <v/>
          </cell>
        </row>
        <row r="7909">
          <cell r="B7909" t="str">
            <v/>
          </cell>
        </row>
        <row r="7910">
          <cell r="B7910" t="str">
            <v/>
          </cell>
        </row>
        <row r="7911">
          <cell r="B7911" t="str">
            <v/>
          </cell>
        </row>
        <row r="7912">
          <cell r="B7912" t="str">
            <v/>
          </cell>
        </row>
        <row r="7913">
          <cell r="B7913" t="str">
            <v/>
          </cell>
        </row>
        <row r="7914">
          <cell r="B7914" t="str">
            <v/>
          </cell>
        </row>
        <row r="7915">
          <cell r="B7915" t="str">
            <v/>
          </cell>
        </row>
        <row r="7916">
          <cell r="B7916" t="str">
            <v/>
          </cell>
        </row>
        <row r="7917">
          <cell r="B7917" t="str">
            <v/>
          </cell>
        </row>
        <row r="7918">
          <cell r="B7918" t="str">
            <v/>
          </cell>
        </row>
        <row r="7919">
          <cell r="B7919" t="str">
            <v/>
          </cell>
        </row>
        <row r="7920">
          <cell r="B7920" t="str">
            <v/>
          </cell>
        </row>
        <row r="7921">
          <cell r="B7921" t="str">
            <v/>
          </cell>
        </row>
        <row r="7922">
          <cell r="B7922" t="str">
            <v/>
          </cell>
        </row>
        <row r="7923">
          <cell r="B7923" t="str">
            <v/>
          </cell>
        </row>
        <row r="7924">
          <cell r="B7924" t="str">
            <v/>
          </cell>
        </row>
        <row r="7925">
          <cell r="B7925" t="str">
            <v/>
          </cell>
        </row>
        <row r="7926">
          <cell r="B7926" t="str">
            <v/>
          </cell>
        </row>
        <row r="7927">
          <cell r="B7927" t="str">
            <v/>
          </cell>
        </row>
        <row r="7928">
          <cell r="B7928" t="str">
            <v/>
          </cell>
        </row>
        <row r="7929">
          <cell r="B7929" t="str">
            <v/>
          </cell>
        </row>
        <row r="7930">
          <cell r="B7930" t="str">
            <v/>
          </cell>
        </row>
        <row r="7931">
          <cell r="B7931" t="str">
            <v/>
          </cell>
        </row>
        <row r="7932">
          <cell r="B7932" t="str">
            <v/>
          </cell>
        </row>
        <row r="7933">
          <cell r="B7933" t="str">
            <v/>
          </cell>
        </row>
        <row r="7934">
          <cell r="B7934" t="str">
            <v/>
          </cell>
        </row>
        <row r="7935">
          <cell r="B7935" t="str">
            <v/>
          </cell>
        </row>
        <row r="7936">
          <cell r="B7936" t="str">
            <v/>
          </cell>
        </row>
        <row r="7937">
          <cell r="B7937" t="str">
            <v/>
          </cell>
        </row>
        <row r="7938">
          <cell r="B7938" t="str">
            <v/>
          </cell>
        </row>
        <row r="7939">
          <cell r="B7939" t="str">
            <v/>
          </cell>
        </row>
        <row r="7940">
          <cell r="B7940" t="str">
            <v/>
          </cell>
        </row>
        <row r="7941">
          <cell r="B7941" t="str">
            <v/>
          </cell>
        </row>
        <row r="7942">
          <cell r="B7942" t="str">
            <v/>
          </cell>
        </row>
        <row r="7943">
          <cell r="B7943" t="str">
            <v/>
          </cell>
        </row>
        <row r="7944">
          <cell r="B7944" t="str">
            <v/>
          </cell>
        </row>
        <row r="7945">
          <cell r="B7945" t="str">
            <v/>
          </cell>
        </row>
        <row r="7946">
          <cell r="B7946" t="str">
            <v/>
          </cell>
        </row>
        <row r="7947">
          <cell r="B7947" t="str">
            <v/>
          </cell>
        </row>
        <row r="7948">
          <cell r="B7948" t="str">
            <v/>
          </cell>
        </row>
        <row r="7949">
          <cell r="B7949" t="str">
            <v/>
          </cell>
        </row>
        <row r="7950">
          <cell r="B7950" t="str">
            <v/>
          </cell>
        </row>
        <row r="7951">
          <cell r="B7951" t="str">
            <v/>
          </cell>
        </row>
        <row r="7952">
          <cell r="B7952" t="str">
            <v/>
          </cell>
        </row>
        <row r="7953">
          <cell r="B7953" t="str">
            <v/>
          </cell>
        </row>
        <row r="7954">
          <cell r="B7954" t="str">
            <v/>
          </cell>
        </row>
        <row r="7955">
          <cell r="B7955" t="str">
            <v/>
          </cell>
        </row>
        <row r="7956">
          <cell r="B7956" t="str">
            <v/>
          </cell>
        </row>
        <row r="7957">
          <cell r="B7957" t="str">
            <v/>
          </cell>
        </row>
        <row r="7958">
          <cell r="B7958" t="str">
            <v/>
          </cell>
        </row>
        <row r="7959">
          <cell r="B7959" t="str">
            <v/>
          </cell>
        </row>
        <row r="7960">
          <cell r="B7960" t="str">
            <v/>
          </cell>
        </row>
        <row r="7961">
          <cell r="B7961" t="str">
            <v/>
          </cell>
        </row>
        <row r="7962">
          <cell r="B7962" t="str">
            <v/>
          </cell>
        </row>
        <row r="7963">
          <cell r="B7963" t="str">
            <v/>
          </cell>
        </row>
        <row r="7964">
          <cell r="B7964" t="str">
            <v/>
          </cell>
        </row>
        <row r="7965">
          <cell r="B7965" t="str">
            <v/>
          </cell>
        </row>
        <row r="7966">
          <cell r="B7966" t="str">
            <v/>
          </cell>
        </row>
        <row r="7967">
          <cell r="B7967" t="str">
            <v/>
          </cell>
        </row>
        <row r="7968">
          <cell r="B7968" t="str">
            <v/>
          </cell>
        </row>
        <row r="7969">
          <cell r="B7969" t="str">
            <v/>
          </cell>
        </row>
        <row r="7970">
          <cell r="B7970" t="str">
            <v/>
          </cell>
        </row>
        <row r="7971">
          <cell r="B7971" t="str">
            <v/>
          </cell>
        </row>
        <row r="7972">
          <cell r="B7972" t="str">
            <v/>
          </cell>
        </row>
        <row r="7973">
          <cell r="B7973" t="str">
            <v/>
          </cell>
        </row>
        <row r="7974">
          <cell r="B7974" t="str">
            <v/>
          </cell>
        </row>
        <row r="7975">
          <cell r="B7975" t="str">
            <v/>
          </cell>
        </row>
        <row r="7976">
          <cell r="B7976" t="str">
            <v/>
          </cell>
        </row>
        <row r="7977">
          <cell r="B7977" t="str">
            <v/>
          </cell>
        </row>
        <row r="7978">
          <cell r="B7978" t="str">
            <v/>
          </cell>
        </row>
        <row r="7979">
          <cell r="B7979" t="str">
            <v/>
          </cell>
        </row>
        <row r="7980">
          <cell r="B7980" t="str">
            <v/>
          </cell>
        </row>
        <row r="7981">
          <cell r="B7981" t="str">
            <v/>
          </cell>
        </row>
        <row r="7982">
          <cell r="B7982" t="str">
            <v/>
          </cell>
        </row>
        <row r="7983">
          <cell r="B7983" t="str">
            <v/>
          </cell>
        </row>
        <row r="7984">
          <cell r="B7984" t="str">
            <v/>
          </cell>
        </row>
        <row r="7985">
          <cell r="B7985" t="str">
            <v/>
          </cell>
        </row>
        <row r="7986">
          <cell r="B7986" t="str">
            <v/>
          </cell>
        </row>
        <row r="7987">
          <cell r="B7987" t="str">
            <v/>
          </cell>
        </row>
        <row r="7988">
          <cell r="B7988" t="str">
            <v/>
          </cell>
        </row>
        <row r="7989">
          <cell r="B7989" t="str">
            <v/>
          </cell>
        </row>
        <row r="7990">
          <cell r="B7990" t="str">
            <v/>
          </cell>
        </row>
        <row r="7991">
          <cell r="B7991" t="str">
            <v/>
          </cell>
        </row>
        <row r="7992">
          <cell r="B7992" t="str">
            <v/>
          </cell>
        </row>
        <row r="7993">
          <cell r="B7993" t="str">
            <v/>
          </cell>
        </row>
        <row r="7994">
          <cell r="B7994" t="str">
            <v/>
          </cell>
        </row>
        <row r="7995">
          <cell r="B7995" t="str">
            <v/>
          </cell>
        </row>
        <row r="7996">
          <cell r="B7996" t="str">
            <v/>
          </cell>
        </row>
        <row r="7997">
          <cell r="B7997" t="str">
            <v/>
          </cell>
        </row>
        <row r="7998">
          <cell r="B7998" t="str">
            <v/>
          </cell>
        </row>
        <row r="7999">
          <cell r="B7999" t="str">
            <v/>
          </cell>
        </row>
        <row r="8000">
          <cell r="B8000" t="str">
            <v/>
          </cell>
        </row>
        <row r="8001">
          <cell r="B8001" t="str">
            <v/>
          </cell>
        </row>
        <row r="8002">
          <cell r="B8002" t="str">
            <v/>
          </cell>
        </row>
        <row r="8003">
          <cell r="B8003" t="str">
            <v/>
          </cell>
        </row>
        <row r="8004">
          <cell r="B8004" t="str">
            <v/>
          </cell>
        </row>
        <row r="8005">
          <cell r="B8005" t="str">
            <v/>
          </cell>
        </row>
        <row r="8006">
          <cell r="B8006" t="str">
            <v/>
          </cell>
        </row>
        <row r="8007">
          <cell r="B8007" t="str">
            <v/>
          </cell>
        </row>
        <row r="8008">
          <cell r="B8008" t="str">
            <v/>
          </cell>
        </row>
        <row r="8009">
          <cell r="B8009" t="str">
            <v/>
          </cell>
        </row>
        <row r="8010">
          <cell r="B8010" t="str">
            <v/>
          </cell>
        </row>
        <row r="8011">
          <cell r="B8011" t="str">
            <v/>
          </cell>
        </row>
        <row r="8012">
          <cell r="B8012" t="str">
            <v/>
          </cell>
        </row>
        <row r="8013">
          <cell r="B8013" t="str">
            <v/>
          </cell>
        </row>
        <row r="8014">
          <cell r="B8014" t="str">
            <v/>
          </cell>
        </row>
        <row r="8015">
          <cell r="B8015" t="str">
            <v/>
          </cell>
        </row>
        <row r="8016">
          <cell r="B8016" t="str">
            <v/>
          </cell>
        </row>
        <row r="8017">
          <cell r="B8017" t="str">
            <v/>
          </cell>
        </row>
        <row r="8018">
          <cell r="B8018" t="str">
            <v/>
          </cell>
        </row>
        <row r="8019">
          <cell r="B8019" t="str">
            <v/>
          </cell>
        </row>
        <row r="8020">
          <cell r="B8020" t="str">
            <v/>
          </cell>
        </row>
        <row r="8021">
          <cell r="B8021" t="str">
            <v/>
          </cell>
        </row>
        <row r="8022">
          <cell r="B8022" t="str">
            <v/>
          </cell>
        </row>
        <row r="8023">
          <cell r="B8023" t="str">
            <v/>
          </cell>
        </row>
        <row r="8024">
          <cell r="B8024" t="str">
            <v/>
          </cell>
        </row>
        <row r="8025">
          <cell r="B8025" t="str">
            <v/>
          </cell>
        </row>
        <row r="8026">
          <cell r="B8026" t="str">
            <v/>
          </cell>
        </row>
        <row r="8027">
          <cell r="B8027" t="str">
            <v/>
          </cell>
        </row>
        <row r="8028">
          <cell r="B8028" t="str">
            <v/>
          </cell>
        </row>
        <row r="8029">
          <cell r="B8029" t="str">
            <v/>
          </cell>
        </row>
        <row r="8030">
          <cell r="B8030" t="str">
            <v/>
          </cell>
        </row>
        <row r="8031">
          <cell r="B8031" t="str">
            <v/>
          </cell>
        </row>
        <row r="8032">
          <cell r="B8032" t="str">
            <v/>
          </cell>
        </row>
        <row r="8033">
          <cell r="B8033" t="str">
            <v/>
          </cell>
        </row>
        <row r="8034">
          <cell r="B8034" t="str">
            <v/>
          </cell>
        </row>
        <row r="8035">
          <cell r="B8035" t="str">
            <v/>
          </cell>
        </row>
        <row r="8036">
          <cell r="B8036" t="str">
            <v/>
          </cell>
        </row>
        <row r="8037">
          <cell r="B8037" t="str">
            <v/>
          </cell>
        </row>
        <row r="8038">
          <cell r="B8038" t="str">
            <v/>
          </cell>
        </row>
        <row r="8039">
          <cell r="B8039" t="str">
            <v/>
          </cell>
        </row>
        <row r="8040">
          <cell r="B8040" t="str">
            <v/>
          </cell>
        </row>
        <row r="8041">
          <cell r="B8041" t="str">
            <v/>
          </cell>
        </row>
        <row r="8042">
          <cell r="B8042" t="str">
            <v/>
          </cell>
        </row>
        <row r="8043">
          <cell r="B8043" t="str">
            <v/>
          </cell>
        </row>
        <row r="8044">
          <cell r="B8044" t="str">
            <v/>
          </cell>
        </row>
        <row r="8045">
          <cell r="B8045" t="str">
            <v/>
          </cell>
        </row>
        <row r="8046">
          <cell r="B8046" t="str">
            <v/>
          </cell>
        </row>
        <row r="8047">
          <cell r="B8047" t="str">
            <v/>
          </cell>
        </row>
        <row r="8048">
          <cell r="B8048" t="str">
            <v/>
          </cell>
        </row>
        <row r="8049">
          <cell r="B8049" t="str">
            <v/>
          </cell>
        </row>
        <row r="8050">
          <cell r="B8050" t="str">
            <v/>
          </cell>
        </row>
        <row r="8051">
          <cell r="B8051" t="str">
            <v/>
          </cell>
        </row>
        <row r="8052">
          <cell r="B8052" t="str">
            <v/>
          </cell>
        </row>
        <row r="8053">
          <cell r="B8053" t="str">
            <v/>
          </cell>
        </row>
        <row r="8054">
          <cell r="B8054" t="str">
            <v/>
          </cell>
        </row>
        <row r="8055">
          <cell r="B8055" t="str">
            <v/>
          </cell>
        </row>
        <row r="8056">
          <cell r="B8056" t="str">
            <v/>
          </cell>
        </row>
        <row r="8057">
          <cell r="B8057" t="str">
            <v/>
          </cell>
        </row>
        <row r="8058">
          <cell r="B8058" t="str">
            <v/>
          </cell>
        </row>
        <row r="8059">
          <cell r="B8059" t="str">
            <v/>
          </cell>
        </row>
        <row r="8060">
          <cell r="B8060" t="str">
            <v/>
          </cell>
        </row>
        <row r="8061">
          <cell r="B8061" t="str">
            <v/>
          </cell>
        </row>
        <row r="8062">
          <cell r="B8062" t="str">
            <v/>
          </cell>
        </row>
        <row r="8063">
          <cell r="B8063" t="str">
            <v/>
          </cell>
        </row>
        <row r="8064">
          <cell r="B8064" t="str">
            <v/>
          </cell>
        </row>
        <row r="8065">
          <cell r="B8065" t="str">
            <v/>
          </cell>
        </row>
        <row r="8066">
          <cell r="B8066" t="str">
            <v/>
          </cell>
        </row>
        <row r="8067">
          <cell r="B8067" t="str">
            <v/>
          </cell>
        </row>
        <row r="8068">
          <cell r="B8068" t="str">
            <v/>
          </cell>
        </row>
        <row r="8069">
          <cell r="B8069" t="str">
            <v/>
          </cell>
        </row>
        <row r="8070">
          <cell r="B8070" t="str">
            <v/>
          </cell>
        </row>
        <row r="8071">
          <cell r="B8071" t="str">
            <v/>
          </cell>
        </row>
        <row r="8072">
          <cell r="B8072" t="str">
            <v/>
          </cell>
        </row>
        <row r="8073">
          <cell r="B8073" t="str">
            <v/>
          </cell>
        </row>
        <row r="8074">
          <cell r="B8074" t="str">
            <v/>
          </cell>
        </row>
        <row r="8075">
          <cell r="B8075" t="str">
            <v/>
          </cell>
        </row>
        <row r="8076">
          <cell r="B8076" t="str">
            <v/>
          </cell>
        </row>
        <row r="8077">
          <cell r="B8077" t="str">
            <v/>
          </cell>
        </row>
        <row r="8078">
          <cell r="B8078" t="str">
            <v/>
          </cell>
        </row>
        <row r="8079">
          <cell r="B8079" t="str">
            <v/>
          </cell>
        </row>
        <row r="8080">
          <cell r="B8080" t="str">
            <v/>
          </cell>
        </row>
        <row r="8081">
          <cell r="B8081" t="str">
            <v/>
          </cell>
        </row>
        <row r="8082">
          <cell r="B8082" t="str">
            <v/>
          </cell>
        </row>
        <row r="8083">
          <cell r="B8083" t="str">
            <v/>
          </cell>
        </row>
        <row r="8084">
          <cell r="B8084" t="str">
            <v/>
          </cell>
        </row>
        <row r="8085">
          <cell r="B8085" t="str">
            <v/>
          </cell>
        </row>
        <row r="8086">
          <cell r="B8086" t="str">
            <v/>
          </cell>
        </row>
        <row r="8087">
          <cell r="B8087" t="str">
            <v/>
          </cell>
        </row>
        <row r="8088">
          <cell r="B8088" t="str">
            <v/>
          </cell>
        </row>
        <row r="8089">
          <cell r="B8089" t="str">
            <v/>
          </cell>
        </row>
        <row r="8090">
          <cell r="B8090" t="str">
            <v/>
          </cell>
        </row>
        <row r="8091">
          <cell r="B8091" t="str">
            <v/>
          </cell>
        </row>
        <row r="8092">
          <cell r="B8092" t="str">
            <v/>
          </cell>
        </row>
        <row r="8093">
          <cell r="B8093" t="str">
            <v/>
          </cell>
        </row>
        <row r="8094">
          <cell r="B8094" t="str">
            <v/>
          </cell>
        </row>
        <row r="8095">
          <cell r="B8095" t="str">
            <v/>
          </cell>
        </row>
        <row r="8096">
          <cell r="B8096" t="str">
            <v/>
          </cell>
        </row>
        <row r="8097">
          <cell r="B8097" t="str">
            <v/>
          </cell>
        </row>
        <row r="8098">
          <cell r="B8098" t="str">
            <v/>
          </cell>
        </row>
        <row r="8099">
          <cell r="B8099" t="str">
            <v/>
          </cell>
        </row>
        <row r="8100">
          <cell r="B8100" t="str">
            <v/>
          </cell>
        </row>
        <row r="8101">
          <cell r="B8101" t="str">
            <v/>
          </cell>
        </row>
        <row r="8102">
          <cell r="B8102" t="str">
            <v/>
          </cell>
        </row>
        <row r="8103">
          <cell r="B8103" t="str">
            <v/>
          </cell>
        </row>
        <row r="8104">
          <cell r="B8104" t="str">
            <v/>
          </cell>
        </row>
        <row r="8105">
          <cell r="B8105" t="str">
            <v/>
          </cell>
        </row>
        <row r="8106">
          <cell r="B8106" t="str">
            <v/>
          </cell>
        </row>
        <row r="8107">
          <cell r="B8107" t="str">
            <v/>
          </cell>
        </row>
        <row r="8108">
          <cell r="B8108" t="str">
            <v/>
          </cell>
        </row>
        <row r="8109">
          <cell r="B8109" t="str">
            <v/>
          </cell>
        </row>
        <row r="8110">
          <cell r="B8110" t="str">
            <v/>
          </cell>
        </row>
        <row r="8111">
          <cell r="B8111" t="str">
            <v/>
          </cell>
        </row>
        <row r="8112">
          <cell r="B8112" t="str">
            <v/>
          </cell>
        </row>
        <row r="8113">
          <cell r="B8113" t="str">
            <v/>
          </cell>
        </row>
        <row r="8114">
          <cell r="B8114" t="str">
            <v/>
          </cell>
        </row>
        <row r="8115">
          <cell r="B8115" t="str">
            <v/>
          </cell>
        </row>
        <row r="8116">
          <cell r="B8116" t="str">
            <v/>
          </cell>
        </row>
        <row r="8117">
          <cell r="B8117" t="str">
            <v/>
          </cell>
        </row>
        <row r="8118">
          <cell r="B8118" t="str">
            <v/>
          </cell>
        </row>
        <row r="8119">
          <cell r="B8119" t="str">
            <v/>
          </cell>
        </row>
        <row r="8120">
          <cell r="B8120" t="str">
            <v/>
          </cell>
        </row>
        <row r="8121">
          <cell r="B8121" t="str">
            <v/>
          </cell>
        </row>
        <row r="8122">
          <cell r="B8122" t="str">
            <v/>
          </cell>
        </row>
        <row r="8123">
          <cell r="B8123" t="str">
            <v/>
          </cell>
        </row>
        <row r="8124">
          <cell r="B8124" t="str">
            <v/>
          </cell>
        </row>
        <row r="8125">
          <cell r="B8125" t="str">
            <v/>
          </cell>
        </row>
        <row r="8126">
          <cell r="B8126" t="str">
            <v/>
          </cell>
        </row>
        <row r="8127">
          <cell r="B8127" t="str">
            <v/>
          </cell>
        </row>
        <row r="8128">
          <cell r="B8128" t="str">
            <v/>
          </cell>
        </row>
        <row r="8129">
          <cell r="B8129" t="str">
            <v/>
          </cell>
        </row>
        <row r="8130">
          <cell r="B8130" t="str">
            <v/>
          </cell>
        </row>
        <row r="8131">
          <cell r="B8131" t="str">
            <v/>
          </cell>
        </row>
        <row r="8132">
          <cell r="B8132" t="str">
            <v/>
          </cell>
        </row>
        <row r="8133">
          <cell r="B8133" t="str">
            <v/>
          </cell>
        </row>
        <row r="8134">
          <cell r="B8134" t="str">
            <v/>
          </cell>
        </row>
        <row r="8135">
          <cell r="B8135" t="str">
            <v/>
          </cell>
        </row>
        <row r="8136">
          <cell r="B8136" t="str">
            <v/>
          </cell>
        </row>
        <row r="8137">
          <cell r="B8137" t="str">
            <v/>
          </cell>
        </row>
        <row r="8138">
          <cell r="B8138" t="str">
            <v/>
          </cell>
        </row>
        <row r="8139">
          <cell r="B8139" t="str">
            <v/>
          </cell>
        </row>
        <row r="8140">
          <cell r="B8140" t="str">
            <v/>
          </cell>
        </row>
        <row r="8141">
          <cell r="B8141" t="str">
            <v/>
          </cell>
        </row>
        <row r="8142">
          <cell r="B8142" t="str">
            <v/>
          </cell>
        </row>
        <row r="8143">
          <cell r="B8143" t="str">
            <v/>
          </cell>
        </row>
        <row r="8144">
          <cell r="B8144" t="str">
            <v/>
          </cell>
        </row>
        <row r="8145">
          <cell r="B8145" t="str">
            <v/>
          </cell>
        </row>
        <row r="8146">
          <cell r="B8146" t="str">
            <v/>
          </cell>
        </row>
        <row r="8147">
          <cell r="B8147" t="str">
            <v/>
          </cell>
        </row>
        <row r="8148">
          <cell r="B8148" t="str">
            <v/>
          </cell>
        </row>
        <row r="8149">
          <cell r="B8149" t="str">
            <v/>
          </cell>
        </row>
        <row r="8150">
          <cell r="B8150" t="str">
            <v/>
          </cell>
        </row>
        <row r="8151">
          <cell r="B8151" t="str">
            <v/>
          </cell>
        </row>
        <row r="8152">
          <cell r="B8152" t="str">
            <v/>
          </cell>
        </row>
        <row r="8153">
          <cell r="B8153" t="str">
            <v/>
          </cell>
        </row>
        <row r="8154">
          <cell r="B8154" t="str">
            <v/>
          </cell>
        </row>
        <row r="8155">
          <cell r="B8155" t="str">
            <v/>
          </cell>
        </row>
        <row r="8156">
          <cell r="B8156" t="str">
            <v/>
          </cell>
        </row>
        <row r="8157">
          <cell r="B8157" t="str">
            <v/>
          </cell>
        </row>
        <row r="8158">
          <cell r="B8158" t="str">
            <v/>
          </cell>
        </row>
        <row r="8159">
          <cell r="B8159" t="str">
            <v/>
          </cell>
        </row>
        <row r="8160">
          <cell r="B8160" t="str">
            <v/>
          </cell>
        </row>
        <row r="8161">
          <cell r="B8161" t="str">
            <v/>
          </cell>
        </row>
        <row r="8162">
          <cell r="B8162" t="str">
            <v/>
          </cell>
        </row>
        <row r="8163">
          <cell r="B8163" t="str">
            <v/>
          </cell>
        </row>
        <row r="8164">
          <cell r="B8164" t="str">
            <v/>
          </cell>
        </row>
        <row r="8165">
          <cell r="B8165" t="str">
            <v/>
          </cell>
        </row>
        <row r="8166">
          <cell r="B8166" t="str">
            <v/>
          </cell>
        </row>
        <row r="8167">
          <cell r="B8167" t="str">
            <v/>
          </cell>
        </row>
        <row r="8168">
          <cell r="B8168" t="str">
            <v/>
          </cell>
        </row>
        <row r="8169">
          <cell r="B8169" t="str">
            <v/>
          </cell>
        </row>
        <row r="8170">
          <cell r="B8170" t="str">
            <v/>
          </cell>
        </row>
        <row r="8171">
          <cell r="B8171" t="str">
            <v/>
          </cell>
        </row>
        <row r="8172">
          <cell r="B8172" t="str">
            <v/>
          </cell>
        </row>
        <row r="8173">
          <cell r="B8173" t="str">
            <v/>
          </cell>
        </row>
        <row r="8174">
          <cell r="B8174" t="str">
            <v/>
          </cell>
        </row>
        <row r="8175">
          <cell r="B8175" t="str">
            <v/>
          </cell>
        </row>
        <row r="8176">
          <cell r="B8176" t="str">
            <v/>
          </cell>
        </row>
        <row r="8177">
          <cell r="B8177" t="str">
            <v/>
          </cell>
        </row>
        <row r="8178">
          <cell r="B8178" t="str">
            <v/>
          </cell>
        </row>
        <row r="8179">
          <cell r="B8179" t="str">
            <v/>
          </cell>
        </row>
        <row r="8180">
          <cell r="B8180" t="str">
            <v/>
          </cell>
        </row>
        <row r="8181">
          <cell r="B8181" t="str">
            <v/>
          </cell>
        </row>
        <row r="8182">
          <cell r="B8182" t="str">
            <v/>
          </cell>
        </row>
        <row r="8183">
          <cell r="B8183" t="str">
            <v/>
          </cell>
        </row>
        <row r="8184">
          <cell r="B8184" t="str">
            <v/>
          </cell>
        </row>
        <row r="8185">
          <cell r="B8185" t="str">
            <v/>
          </cell>
        </row>
        <row r="8186">
          <cell r="B8186" t="str">
            <v/>
          </cell>
        </row>
        <row r="8187">
          <cell r="B8187" t="str">
            <v/>
          </cell>
        </row>
        <row r="8188">
          <cell r="B8188" t="str">
            <v/>
          </cell>
        </row>
        <row r="8189">
          <cell r="B8189" t="str">
            <v/>
          </cell>
        </row>
        <row r="8190">
          <cell r="B8190" t="str">
            <v/>
          </cell>
        </row>
        <row r="8191">
          <cell r="B8191" t="str">
            <v/>
          </cell>
        </row>
        <row r="8192">
          <cell r="B8192" t="str">
            <v/>
          </cell>
        </row>
        <row r="8193">
          <cell r="B8193" t="str">
            <v/>
          </cell>
        </row>
        <row r="8194">
          <cell r="B8194" t="str">
            <v/>
          </cell>
        </row>
        <row r="8195">
          <cell r="B8195" t="str">
            <v/>
          </cell>
        </row>
        <row r="8196">
          <cell r="B8196" t="str">
            <v/>
          </cell>
        </row>
        <row r="8197">
          <cell r="B8197" t="str">
            <v/>
          </cell>
        </row>
        <row r="8198">
          <cell r="B8198" t="str">
            <v/>
          </cell>
        </row>
        <row r="8199">
          <cell r="B8199" t="str">
            <v/>
          </cell>
        </row>
        <row r="8200">
          <cell r="B8200" t="str">
            <v/>
          </cell>
        </row>
        <row r="8201">
          <cell r="B8201" t="str">
            <v/>
          </cell>
        </row>
        <row r="8202">
          <cell r="B8202" t="str">
            <v/>
          </cell>
        </row>
        <row r="8203">
          <cell r="B8203" t="str">
            <v/>
          </cell>
        </row>
        <row r="8204">
          <cell r="B8204" t="str">
            <v/>
          </cell>
        </row>
        <row r="8205">
          <cell r="B8205" t="str">
            <v/>
          </cell>
        </row>
        <row r="8206">
          <cell r="B8206" t="str">
            <v/>
          </cell>
        </row>
        <row r="8207">
          <cell r="B8207" t="str">
            <v/>
          </cell>
        </row>
        <row r="8208">
          <cell r="B8208" t="str">
            <v/>
          </cell>
        </row>
        <row r="8209">
          <cell r="B8209" t="str">
            <v/>
          </cell>
        </row>
        <row r="8210">
          <cell r="B8210" t="str">
            <v/>
          </cell>
        </row>
        <row r="8211">
          <cell r="B8211" t="str">
            <v/>
          </cell>
        </row>
        <row r="8212">
          <cell r="B8212" t="str">
            <v/>
          </cell>
        </row>
        <row r="8213">
          <cell r="B8213" t="str">
            <v/>
          </cell>
        </row>
        <row r="8214">
          <cell r="B8214" t="str">
            <v/>
          </cell>
        </row>
        <row r="8215">
          <cell r="B8215" t="str">
            <v/>
          </cell>
        </row>
        <row r="8216">
          <cell r="B8216" t="str">
            <v/>
          </cell>
        </row>
        <row r="8217">
          <cell r="B8217" t="str">
            <v/>
          </cell>
        </row>
        <row r="8218">
          <cell r="B8218" t="str">
            <v/>
          </cell>
        </row>
        <row r="8219">
          <cell r="B8219" t="str">
            <v/>
          </cell>
        </row>
        <row r="8220">
          <cell r="B8220" t="str">
            <v/>
          </cell>
        </row>
        <row r="8221">
          <cell r="B8221" t="str">
            <v/>
          </cell>
        </row>
        <row r="8222">
          <cell r="B8222" t="str">
            <v/>
          </cell>
        </row>
        <row r="8223">
          <cell r="B8223" t="str">
            <v/>
          </cell>
        </row>
        <row r="8224">
          <cell r="B8224" t="str">
            <v/>
          </cell>
        </row>
        <row r="8225">
          <cell r="B8225" t="str">
            <v/>
          </cell>
        </row>
        <row r="8226">
          <cell r="B8226" t="str">
            <v/>
          </cell>
        </row>
        <row r="8227">
          <cell r="B8227" t="str">
            <v/>
          </cell>
        </row>
        <row r="8228">
          <cell r="B8228" t="str">
            <v/>
          </cell>
        </row>
        <row r="8229">
          <cell r="B8229" t="str">
            <v/>
          </cell>
        </row>
        <row r="8230">
          <cell r="B8230" t="str">
            <v/>
          </cell>
        </row>
        <row r="8231">
          <cell r="B8231" t="str">
            <v/>
          </cell>
        </row>
        <row r="8232">
          <cell r="B8232" t="str">
            <v/>
          </cell>
        </row>
        <row r="8233">
          <cell r="B8233" t="str">
            <v/>
          </cell>
        </row>
        <row r="8234">
          <cell r="B8234" t="str">
            <v/>
          </cell>
        </row>
        <row r="8235">
          <cell r="B8235" t="str">
            <v/>
          </cell>
        </row>
        <row r="8236">
          <cell r="B8236" t="str">
            <v/>
          </cell>
        </row>
        <row r="8237">
          <cell r="B8237" t="str">
            <v/>
          </cell>
        </row>
        <row r="8238">
          <cell r="B8238" t="str">
            <v/>
          </cell>
        </row>
        <row r="8239">
          <cell r="B8239" t="str">
            <v/>
          </cell>
        </row>
        <row r="8240">
          <cell r="B8240" t="str">
            <v/>
          </cell>
        </row>
        <row r="8241">
          <cell r="B8241" t="str">
            <v/>
          </cell>
        </row>
        <row r="8242">
          <cell r="B8242" t="str">
            <v/>
          </cell>
        </row>
        <row r="8243">
          <cell r="B8243" t="str">
            <v/>
          </cell>
        </row>
        <row r="8244">
          <cell r="B8244" t="str">
            <v/>
          </cell>
        </row>
        <row r="8245">
          <cell r="B8245" t="str">
            <v/>
          </cell>
        </row>
        <row r="8246">
          <cell r="B8246" t="str">
            <v/>
          </cell>
        </row>
        <row r="8247">
          <cell r="B8247" t="str">
            <v/>
          </cell>
        </row>
        <row r="8248">
          <cell r="B8248" t="str">
            <v/>
          </cell>
        </row>
        <row r="8249">
          <cell r="B8249" t="str">
            <v/>
          </cell>
        </row>
        <row r="8250">
          <cell r="B8250" t="str">
            <v/>
          </cell>
        </row>
        <row r="8251">
          <cell r="B8251" t="str">
            <v/>
          </cell>
        </row>
        <row r="8252">
          <cell r="B8252" t="str">
            <v/>
          </cell>
        </row>
        <row r="8253">
          <cell r="B8253" t="str">
            <v/>
          </cell>
        </row>
        <row r="8254">
          <cell r="B8254" t="str">
            <v/>
          </cell>
        </row>
        <row r="8255">
          <cell r="B8255" t="str">
            <v/>
          </cell>
        </row>
        <row r="8256">
          <cell r="B8256" t="str">
            <v/>
          </cell>
        </row>
        <row r="8257">
          <cell r="B8257" t="str">
            <v/>
          </cell>
        </row>
        <row r="8258">
          <cell r="B8258" t="str">
            <v/>
          </cell>
        </row>
        <row r="8259">
          <cell r="B8259" t="str">
            <v/>
          </cell>
        </row>
        <row r="8260">
          <cell r="B8260" t="str">
            <v/>
          </cell>
        </row>
        <row r="8261">
          <cell r="B8261" t="str">
            <v/>
          </cell>
        </row>
        <row r="8262">
          <cell r="B8262" t="str">
            <v/>
          </cell>
        </row>
        <row r="8263">
          <cell r="B8263" t="str">
            <v/>
          </cell>
        </row>
        <row r="8264">
          <cell r="B8264" t="str">
            <v/>
          </cell>
        </row>
        <row r="8265">
          <cell r="B8265" t="str">
            <v/>
          </cell>
        </row>
        <row r="8266">
          <cell r="B8266" t="str">
            <v/>
          </cell>
        </row>
        <row r="8267">
          <cell r="B8267" t="str">
            <v/>
          </cell>
        </row>
        <row r="8268">
          <cell r="B8268" t="str">
            <v/>
          </cell>
        </row>
        <row r="8269">
          <cell r="B8269" t="str">
            <v/>
          </cell>
        </row>
        <row r="8270">
          <cell r="B8270" t="str">
            <v/>
          </cell>
        </row>
        <row r="8271">
          <cell r="B8271" t="str">
            <v/>
          </cell>
        </row>
        <row r="8272">
          <cell r="B8272" t="str">
            <v/>
          </cell>
        </row>
        <row r="8273">
          <cell r="B8273" t="str">
            <v/>
          </cell>
        </row>
        <row r="8274">
          <cell r="B8274" t="str">
            <v/>
          </cell>
        </row>
        <row r="8275">
          <cell r="B8275" t="str">
            <v/>
          </cell>
        </row>
        <row r="8276">
          <cell r="B8276" t="str">
            <v/>
          </cell>
        </row>
        <row r="8277">
          <cell r="B8277" t="str">
            <v/>
          </cell>
        </row>
        <row r="8278">
          <cell r="B8278" t="str">
            <v/>
          </cell>
        </row>
        <row r="8279">
          <cell r="B8279" t="str">
            <v/>
          </cell>
        </row>
        <row r="8280">
          <cell r="B8280" t="str">
            <v/>
          </cell>
        </row>
        <row r="8281">
          <cell r="B8281" t="str">
            <v/>
          </cell>
        </row>
        <row r="8282">
          <cell r="B8282" t="str">
            <v/>
          </cell>
        </row>
        <row r="8283">
          <cell r="B8283" t="str">
            <v/>
          </cell>
        </row>
        <row r="8284">
          <cell r="B8284" t="str">
            <v/>
          </cell>
        </row>
        <row r="8285">
          <cell r="B8285" t="str">
            <v/>
          </cell>
        </row>
        <row r="8286">
          <cell r="B8286" t="str">
            <v/>
          </cell>
        </row>
        <row r="8287">
          <cell r="B8287" t="str">
            <v/>
          </cell>
        </row>
        <row r="8288">
          <cell r="B8288" t="str">
            <v/>
          </cell>
        </row>
        <row r="8289">
          <cell r="B8289" t="str">
            <v/>
          </cell>
        </row>
        <row r="8290">
          <cell r="B8290" t="str">
            <v/>
          </cell>
        </row>
        <row r="8291">
          <cell r="B8291" t="str">
            <v/>
          </cell>
        </row>
        <row r="8292">
          <cell r="B8292" t="str">
            <v/>
          </cell>
        </row>
        <row r="8293">
          <cell r="B8293" t="str">
            <v/>
          </cell>
        </row>
        <row r="8294">
          <cell r="B8294" t="str">
            <v/>
          </cell>
        </row>
        <row r="8295">
          <cell r="B8295" t="str">
            <v/>
          </cell>
        </row>
        <row r="8296">
          <cell r="B8296" t="str">
            <v/>
          </cell>
        </row>
        <row r="8297">
          <cell r="B8297" t="str">
            <v/>
          </cell>
        </row>
        <row r="8298">
          <cell r="B8298" t="str">
            <v/>
          </cell>
        </row>
        <row r="8299">
          <cell r="B8299" t="str">
            <v/>
          </cell>
        </row>
        <row r="8300">
          <cell r="B8300" t="str">
            <v/>
          </cell>
        </row>
        <row r="8301">
          <cell r="B8301" t="str">
            <v/>
          </cell>
        </row>
        <row r="8302">
          <cell r="B8302" t="str">
            <v/>
          </cell>
        </row>
        <row r="8303">
          <cell r="B8303" t="str">
            <v/>
          </cell>
        </row>
        <row r="8304">
          <cell r="B8304" t="str">
            <v/>
          </cell>
        </row>
        <row r="8305">
          <cell r="B8305" t="str">
            <v/>
          </cell>
        </row>
        <row r="8306">
          <cell r="B8306" t="str">
            <v/>
          </cell>
        </row>
        <row r="8307">
          <cell r="B8307" t="str">
            <v/>
          </cell>
        </row>
        <row r="8308">
          <cell r="B8308" t="str">
            <v/>
          </cell>
        </row>
        <row r="8309">
          <cell r="B8309" t="str">
            <v/>
          </cell>
        </row>
        <row r="8310">
          <cell r="B8310" t="str">
            <v/>
          </cell>
        </row>
        <row r="8311">
          <cell r="B8311" t="str">
            <v/>
          </cell>
        </row>
        <row r="8312">
          <cell r="B8312" t="str">
            <v/>
          </cell>
        </row>
        <row r="8313">
          <cell r="B8313" t="str">
            <v/>
          </cell>
        </row>
        <row r="8314">
          <cell r="B8314" t="str">
            <v/>
          </cell>
        </row>
        <row r="8315">
          <cell r="B8315" t="str">
            <v/>
          </cell>
        </row>
        <row r="8316">
          <cell r="B8316" t="str">
            <v/>
          </cell>
        </row>
        <row r="8317">
          <cell r="B8317" t="str">
            <v/>
          </cell>
        </row>
        <row r="8318">
          <cell r="B8318" t="str">
            <v/>
          </cell>
        </row>
        <row r="8319">
          <cell r="B8319" t="str">
            <v/>
          </cell>
        </row>
        <row r="8320">
          <cell r="B8320" t="str">
            <v/>
          </cell>
        </row>
        <row r="8321">
          <cell r="B8321" t="str">
            <v/>
          </cell>
        </row>
        <row r="8322">
          <cell r="B8322" t="str">
            <v/>
          </cell>
        </row>
        <row r="8323">
          <cell r="B8323" t="str">
            <v/>
          </cell>
        </row>
        <row r="8324">
          <cell r="B8324" t="str">
            <v/>
          </cell>
        </row>
        <row r="8325">
          <cell r="B8325" t="str">
            <v/>
          </cell>
        </row>
        <row r="8326">
          <cell r="B8326" t="str">
            <v/>
          </cell>
        </row>
        <row r="8327">
          <cell r="B8327" t="str">
            <v/>
          </cell>
        </row>
        <row r="8328">
          <cell r="B8328" t="str">
            <v/>
          </cell>
        </row>
        <row r="8329">
          <cell r="B8329" t="str">
            <v/>
          </cell>
        </row>
        <row r="8330">
          <cell r="B8330" t="str">
            <v/>
          </cell>
        </row>
        <row r="8331">
          <cell r="B8331" t="str">
            <v/>
          </cell>
        </row>
        <row r="8332">
          <cell r="B8332" t="str">
            <v/>
          </cell>
        </row>
        <row r="8333">
          <cell r="B8333" t="str">
            <v/>
          </cell>
        </row>
        <row r="8334">
          <cell r="B8334" t="str">
            <v/>
          </cell>
        </row>
        <row r="8335">
          <cell r="B8335" t="str">
            <v/>
          </cell>
        </row>
        <row r="8336">
          <cell r="B8336" t="str">
            <v/>
          </cell>
        </row>
        <row r="8337">
          <cell r="B8337" t="str">
            <v/>
          </cell>
        </row>
        <row r="8338">
          <cell r="B8338" t="str">
            <v/>
          </cell>
        </row>
        <row r="8339">
          <cell r="B8339" t="str">
            <v/>
          </cell>
        </row>
        <row r="8340">
          <cell r="B8340" t="str">
            <v/>
          </cell>
        </row>
        <row r="8341">
          <cell r="B8341" t="str">
            <v/>
          </cell>
        </row>
        <row r="8342">
          <cell r="B8342" t="str">
            <v/>
          </cell>
        </row>
        <row r="8343">
          <cell r="B8343" t="str">
            <v/>
          </cell>
        </row>
        <row r="8344">
          <cell r="B8344" t="str">
            <v/>
          </cell>
        </row>
        <row r="8345">
          <cell r="B8345" t="str">
            <v/>
          </cell>
        </row>
        <row r="8346">
          <cell r="B8346" t="str">
            <v/>
          </cell>
        </row>
        <row r="8347">
          <cell r="B8347" t="str">
            <v/>
          </cell>
        </row>
        <row r="8348">
          <cell r="B8348" t="str">
            <v/>
          </cell>
        </row>
        <row r="8349">
          <cell r="B8349" t="str">
            <v/>
          </cell>
        </row>
        <row r="8350">
          <cell r="B8350" t="str">
            <v/>
          </cell>
        </row>
        <row r="8351">
          <cell r="B8351" t="str">
            <v/>
          </cell>
        </row>
        <row r="8352">
          <cell r="B8352" t="str">
            <v/>
          </cell>
        </row>
        <row r="8353">
          <cell r="B8353" t="str">
            <v/>
          </cell>
        </row>
        <row r="8354">
          <cell r="B8354" t="str">
            <v/>
          </cell>
        </row>
        <row r="8355">
          <cell r="B8355" t="str">
            <v/>
          </cell>
        </row>
        <row r="8356">
          <cell r="B8356" t="str">
            <v/>
          </cell>
        </row>
        <row r="8357">
          <cell r="B8357" t="str">
            <v/>
          </cell>
        </row>
        <row r="8358">
          <cell r="B8358" t="str">
            <v/>
          </cell>
        </row>
        <row r="8359">
          <cell r="B8359" t="str">
            <v/>
          </cell>
        </row>
        <row r="8360">
          <cell r="B8360" t="str">
            <v/>
          </cell>
        </row>
        <row r="8361">
          <cell r="B8361" t="str">
            <v/>
          </cell>
        </row>
        <row r="8362">
          <cell r="B8362" t="str">
            <v/>
          </cell>
        </row>
        <row r="8363">
          <cell r="B8363" t="str">
            <v/>
          </cell>
        </row>
        <row r="8364">
          <cell r="B8364" t="str">
            <v/>
          </cell>
        </row>
        <row r="8365">
          <cell r="B8365" t="str">
            <v/>
          </cell>
        </row>
        <row r="8366">
          <cell r="B8366" t="str">
            <v/>
          </cell>
        </row>
        <row r="8367">
          <cell r="B8367" t="str">
            <v/>
          </cell>
        </row>
        <row r="8368">
          <cell r="B8368" t="str">
            <v/>
          </cell>
        </row>
        <row r="8369">
          <cell r="B8369" t="str">
            <v/>
          </cell>
        </row>
        <row r="8370">
          <cell r="B8370" t="str">
            <v/>
          </cell>
        </row>
        <row r="8371">
          <cell r="B8371" t="str">
            <v/>
          </cell>
        </row>
        <row r="8372">
          <cell r="B8372" t="str">
            <v/>
          </cell>
        </row>
        <row r="8373">
          <cell r="B8373" t="str">
            <v/>
          </cell>
        </row>
        <row r="8374">
          <cell r="B8374" t="str">
            <v/>
          </cell>
        </row>
        <row r="8375">
          <cell r="B8375" t="str">
            <v/>
          </cell>
        </row>
        <row r="8376">
          <cell r="B8376" t="str">
            <v/>
          </cell>
        </row>
        <row r="8377">
          <cell r="B8377" t="str">
            <v/>
          </cell>
        </row>
        <row r="8378">
          <cell r="B8378" t="str">
            <v/>
          </cell>
        </row>
        <row r="8379">
          <cell r="B8379" t="str">
            <v/>
          </cell>
        </row>
        <row r="8380">
          <cell r="B8380" t="str">
            <v/>
          </cell>
        </row>
        <row r="8381">
          <cell r="B8381" t="str">
            <v/>
          </cell>
        </row>
        <row r="8382">
          <cell r="B8382" t="str">
            <v/>
          </cell>
        </row>
        <row r="8383">
          <cell r="B8383" t="str">
            <v/>
          </cell>
        </row>
        <row r="8384">
          <cell r="B8384" t="str">
            <v/>
          </cell>
        </row>
        <row r="8385">
          <cell r="B8385" t="str">
            <v/>
          </cell>
        </row>
        <row r="8386">
          <cell r="B8386" t="str">
            <v/>
          </cell>
        </row>
        <row r="8387">
          <cell r="B8387" t="str">
            <v/>
          </cell>
        </row>
        <row r="8388">
          <cell r="B8388" t="str">
            <v/>
          </cell>
        </row>
        <row r="8389">
          <cell r="B8389" t="str">
            <v/>
          </cell>
        </row>
        <row r="8390">
          <cell r="B8390" t="str">
            <v/>
          </cell>
        </row>
        <row r="8391">
          <cell r="B8391" t="str">
            <v/>
          </cell>
        </row>
        <row r="8392">
          <cell r="B8392" t="str">
            <v/>
          </cell>
        </row>
        <row r="8393">
          <cell r="B8393" t="str">
            <v/>
          </cell>
        </row>
        <row r="8394">
          <cell r="B8394" t="str">
            <v/>
          </cell>
        </row>
        <row r="8395">
          <cell r="B8395" t="str">
            <v/>
          </cell>
        </row>
        <row r="8396">
          <cell r="B8396" t="str">
            <v/>
          </cell>
        </row>
        <row r="8397">
          <cell r="B8397" t="str">
            <v/>
          </cell>
        </row>
        <row r="8398">
          <cell r="B8398" t="str">
            <v/>
          </cell>
        </row>
        <row r="8399">
          <cell r="B8399" t="str">
            <v/>
          </cell>
        </row>
        <row r="8400">
          <cell r="B8400" t="str">
            <v/>
          </cell>
        </row>
        <row r="8401">
          <cell r="B8401" t="str">
            <v/>
          </cell>
        </row>
        <row r="8402">
          <cell r="B8402" t="str">
            <v/>
          </cell>
        </row>
        <row r="8403">
          <cell r="B8403" t="str">
            <v/>
          </cell>
        </row>
        <row r="8404">
          <cell r="B8404" t="str">
            <v/>
          </cell>
        </row>
        <row r="8405">
          <cell r="B8405" t="str">
            <v/>
          </cell>
        </row>
        <row r="8406">
          <cell r="B8406" t="str">
            <v/>
          </cell>
        </row>
        <row r="8407">
          <cell r="B8407" t="str">
            <v/>
          </cell>
        </row>
        <row r="8408">
          <cell r="B8408" t="str">
            <v/>
          </cell>
        </row>
        <row r="8409">
          <cell r="B8409" t="str">
            <v/>
          </cell>
        </row>
        <row r="8410">
          <cell r="B8410" t="str">
            <v/>
          </cell>
        </row>
        <row r="8411">
          <cell r="B8411" t="str">
            <v/>
          </cell>
        </row>
        <row r="8412">
          <cell r="B8412" t="str">
            <v/>
          </cell>
        </row>
        <row r="8413">
          <cell r="B8413" t="str">
            <v/>
          </cell>
        </row>
        <row r="8414">
          <cell r="B8414" t="str">
            <v/>
          </cell>
        </row>
        <row r="8415">
          <cell r="B8415" t="str">
            <v/>
          </cell>
        </row>
        <row r="8416">
          <cell r="B8416" t="str">
            <v/>
          </cell>
        </row>
        <row r="8417">
          <cell r="B8417" t="str">
            <v/>
          </cell>
        </row>
        <row r="8418">
          <cell r="B8418" t="str">
            <v/>
          </cell>
        </row>
        <row r="8419">
          <cell r="B8419" t="str">
            <v/>
          </cell>
        </row>
        <row r="8420">
          <cell r="B8420" t="str">
            <v/>
          </cell>
        </row>
        <row r="8421">
          <cell r="B8421" t="str">
            <v/>
          </cell>
        </row>
        <row r="8422">
          <cell r="B8422" t="str">
            <v/>
          </cell>
        </row>
        <row r="8423">
          <cell r="B8423" t="str">
            <v/>
          </cell>
        </row>
        <row r="8424">
          <cell r="B8424" t="str">
            <v/>
          </cell>
        </row>
        <row r="8425">
          <cell r="B8425" t="str">
            <v/>
          </cell>
        </row>
        <row r="8426">
          <cell r="B8426" t="str">
            <v/>
          </cell>
        </row>
        <row r="8427">
          <cell r="B8427" t="str">
            <v/>
          </cell>
        </row>
        <row r="8428">
          <cell r="B8428" t="str">
            <v/>
          </cell>
        </row>
        <row r="8429">
          <cell r="B8429" t="str">
            <v/>
          </cell>
        </row>
        <row r="8430">
          <cell r="B8430" t="str">
            <v/>
          </cell>
        </row>
        <row r="8431">
          <cell r="B8431" t="str">
            <v/>
          </cell>
        </row>
        <row r="8432">
          <cell r="B8432" t="str">
            <v/>
          </cell>
        </row>
        <row r="8433">
          <cell r="B8433" t="str">
            <v/>
          </cell>
        </row>
        <row r="8434">
          <cell r="B8434" t="str">
            <v/>
          </cell>
        </row>
        <row r="8435">
          <cell r="B8435" t="str">
            <v/>
          </cell>
        </row>
        <row r="8436">
          <cell r="B8436" t="str">
            <v/>
          </cell>
        </row>
        <row r="8437">
          <cell r="B8437" t="str">
            <v/>
          </cell>
        </row>
        <row r="8438">
          <cell r="B8438" t="str">
            <v/>
          </cell>
        </row>
        <row r="8439">
          <cell r="B8439" t="str">
            <v/>
          </cell>
        </row>
        <row r="8440">
          <cell r="B8440" t="str">
            <v/>
          </cell>
        </row>
        <row r="8441">
          <cell r="B8441" t="str">
            <v/>
          </cell>
        </row>
        <row r="8442">
          <cell r="B8442" t="str">
            <v/>
          </cell>
        </row>
        <row r="8443">
          <cell r="B8443" t="str">
            <v/>
          </cell>
        </row>
        <row r="8444">
          <cell r="B8444" t="str">
            <v/>
          </cell>
        </row>
        <row r="8445">
          <cell r="B8445" t="str">
            <v/>
          </cell>
        </row>
        <row r="8446">
          <cell r="B8446" t="str">
            <v/>
          </cell>
        </row>
        <row r="8447">
          <cell r="B8447" t="str">
            <v/>
          </cell>
        </row>
        <row r="8448">
          <cell r="B8448" t="str">
            <v/>
          </cell>
        </row>
        <row r="8449">
          <cell r="B8449" t="str">
            <v/>
          </cell>
        </row>
        <row r="8450">
          <cell r="B8450" t="str">
            <v/>
          </cell>
        </row>
        <row r="8451">
          <cell r="B8451" t="str">
            <v/>
          </cell>
        </row>
        <row r="8452">
          <cell r="B8452" t="str">
            <v/>
          </cell>
        </row>
        <row r="8453">
          <cell r="B8453" t="str">
            <v/>
          </cell>
        </row>
        <row r="8454">
          <cell r="B8454" t="str">
            <v/>
          </cell>
        </row>
        <row r="8455">
          <cell r="B8455" t="str">
            <v/>
          </cell>
        </row>
        <row r="8456">
          <cell r="B8456" t="str">
            <v/>
          </cell>
        </row>
        <row r="8457">
          <cell r="B8457" t="str">
            <v/>
          </cell>
        </row>
        <row r="8458">
          <cell r="B8458" t="str">
            <v/>
          </cell>
        </row>
        <row r="8459">
          <cell r="B8459" t="str">
            <v/>
          </cell>
        </row>
        <row r="8460">
          <cell r="B8460" t="str">
            <v/>
          </cell>
        </row>
        <row r="8461">
          <cell r="B8461" t="str">
            <v/>
          </cell>
        </row>
        <row r="8462">
          <cell r="B8462" t="str">
            <v/>
          </cell>
        </row>
        <row r="8463">
          <cell r="B8463" t="str">
            <v/>
          </cell>
        </row>
        <row r="8464">
          <cell r="B8464" t="str">
            <v/>
          </cell>
        </row>
        <row r="8465">
          <cell r="B8465" t="str">
            <v/>
          </cell>
        </row>
        <row r="8466">
          <cell r="B8466" t="str">
            <v/>
          </cell>
        </row>
        <row r="8467">
          <cell r="B8467" t="str">
            <v/>
          </cell>
        </row>
        <row r="8468">
          <cell r="B8468" t="str">
            <v/>
          </cell>
        </row>
        <row r="8469">
          <cell r="B8469" t="str">
            <v/>
          </cell>
        </row>
        <row r="8470">
          <cell r="B8470" t="str">
            <v/>
          </cell>
        </row>
        <row r="8471">
          <cell r="B8471" t="str">
            <v/>
          </cell>
        </row>
        <row r="8472">
          <cell r="B8472" t="str">
            <v/>
          </cell>
        </row>
        <row r="8473">
          <cell r="B8473" t="str">
            <v/>
          </cell>
        </row>
        <row r="8474">
          <cell r="B8474" t="str">
            <v/>
          </cell>
        </row>
        <row r="8475">
          <cell r="B8475" t="str">
            <v/>
          </cell>
        </row>
        <row r="8476">
          <cell r="B8476" t="str">
            <v/>
          </cell>
        </row>
        <row r="8477">
          <cell r="B8477" t="str">
            <v/>
          </cell>
        </row>
        <row r="8478">
          <cell r="B8478" t="str">
            <v/>
          </cell>
        </row>
        <row r="8479">
          <cell r="B8479" t="str">
            <v/>
          </cell>
        </row>
        <row r="8480">
          <cell r="B8480" t="str">
            <v/>
          </cell>
        </row>
        <row r="8481">
          <cell r="B8481" t="str">
            <v/>
          </cell>
        </row>
        <row r="8482">
          <cell r="B8482" t="str">
            <v/>
          </cell>
        </row>
        <row r="8483">
          <cell r="B8483" t="str">
            <v/>
          </cell>
        </row>
        <row r="8484">
          <cell r="B8484" t="str">
            <v/>
          </cell>
        </row>
        <row r="8485">
          <cell r="B8485" t="str">
            <v/>
          </cell>
        </row>
        <row r="8486">
          <cell r="B8486" t="str">
            <v/>
          </cell>
        </row>
        <row r="8487">
          <cell r="B8487" t="str">
            <v/>
          </cell>
        </row>
        <row r="8488">
          <cell r="B8488" t="str">
            <v/>
          </cell>
        </row>
        <row r="8489">
          <cell r="B8489" t="str">
            <v/>
          </cell>
        </row>
        <row r="8490">
          <cell r="B8490" t="str">
            <v/>
          </cell>
        </row>
        <row r="8491">
          <cell r="B8491" t="str">
            <v/>
          </cell>
        </row>
        <row r="8492">
          <cell r="B8492" t="str">
            <v/>
          </cell>
        </row>
        <row r="8493">
          <cell r="B8493" t="str">
            <v/>
          </cell>
        </row>
        <row r="8494">
          <cell r="B8494" t="str">
            <v/>
          </cell>
        </row>
        <row r="8495">
          <cell r="B8495" t="str">
            <v/>
          </cell>
        </row>
        <row r="8496">
          <cell r="B8496" t="str">
            <v/>
          </cell>
        </row>
        <row r="8497">
          <cell r="B8497" t="str">
            <v/>
          </cell>
        </row>
        <row r="8498">
          <cell r="B8498" t="str">
            <v/>
          </cell>
        </row>
        <row r="8499">
          <cell r="B8499" t="str">
            <v/>
          </cell>
        </row>
        <row r="8500">
          <cell r="B8500" t="str">
            <v/>
          </cell>
        </row>
        <row r="8501">
          <cell r="B8501" t="str">
            <v/>
          </cell>
        </row>
        <row r="8502">
          <cell r="B8502" t="str">
            <v/>
          </cell>
        </row>
        <row r="8503">
          <cell r="B8503" t="str">
            <v/>
          </cell>
        </row>
        <row r="8504">
          <cell r="B8504" t="str">
            <v/>
          </cell>
        </row>
        <row r="8505">
          <cell r="B8505" t="str">
            <v/>
          </cell>
        </row>
        <row r="8506">
          <cell r="B8506" t="str">
            <v/>
          </cell>
        </row>
        <row r="8507">
          <cell r="B8507" t="str">
            <v/>
          </cell>
        </row>
        <row r="8508">
          <cell r="B8508" t="str">
            <v/>
          </cell>
        </row>
        <row r="8509">
          <cell r="B8509" t="str">
            <v/>
          </cell>
        </row>
        <row r="8510">
          <cell r="B8510" t="str">
            <v/>
          </cell>
        </row>
        <row r="8511">
          <cell r="B8511" t="str">
            <v/>
          </cell>
        </row>
        <row r="8512">
          <cell r="B8512" t="str">
            <v/>
          </cell>
        </row>
        <row r="8513">
          <cell r="B8513" t="str">
            <v/>
          </cell>
        </row>
        <row r="8514">
          <cell r="B8514" t="str">
            <v/>
          </cell>
        </row>
        <row r="8515">
          <cell r="B8515" t="str">
            <v/>
          </cell>
        </row>
        <row r="8516">
          <cell r="B8516" t="str">
            <v/>
          </cell>
        </row>
        <row r="8517">
          <cell r="B8517" t="str">
            <v/>
          </cell>
        </row>
        <row r="8518">
          <cell r="B8518" t="str">
            <v/>
          </cell>
        </row>
        <row r="8519">
          <cell r="B8519" t="str">
            <v/>
          </cell>
        </row>
        <row r="8520">
          <cell r="B8520" t="str">
            <v/>
          </cell>
        </row>
        <row r="8521">
          <cell r="B8521" t="str">
            <v/>
          </cell>
        </row>
        <row r="8522">
          <cell r="B8522" t="str">
            <v/>
          </cell>
        </row>
        <row r="8523">
          <cell r="B8523" t="str">
            <v/>
          </cell>
        </row>
        <row r="8524">
          <cell r="B8524" t="str">
            <v/>
          </cell>
        </row>
        <row r="8525">
          <cell r="B8525" t="str">
            <v/>
          </cell>
        </row>
        <row r="8526">
          <cell r="B8526" t="str">
            <v/>
          </cell>
        </row>
        <row r="8527">
          <cell r="B8527" t="str">
            <v/>
          </cell>
        </row>
        <row r="8528">
          <cell r="B8528" t="str">
            <v/>
          </cell>
        </row>
        <row r="8529">
          <cell r="B8529" t="str">
            <v/>
          </cell>
        </row>
        <row r="8530">
          <cell r="B8530" t="str">
            <v/>
          </cell>
        </row>
        <row r="8531">
          <cell r="B8531" t="str">
            <v/>
          </cell>
        </row>
        <row r="8532">
          <cell r="B8532" t="str">
            <v/>
          </cell>
        </row>
        <row r="8533">
          <cell r="B8533" t="str">
            <v/>
          </cell>
        </row>
        <row r="8534">
          <cell r="B8534" t="str">
            <v/>
          </cell>
        </row>
        <row r="8535">
          <cell r="B8535" t="str">
            <v/>
          </cell>
        </row>
        <row r="8536">
          <cell r="B8536" t="str">
            <v/>
          </cell>
        </row>
        <row r="8537">
          <cell r="B8537" t="str">
            <v/>
          </cell>
        </row>
        <row r="8538">
          <cell r="B8538" t="str">
            <v/>
          </cell>
        </row>
        <row r="8539">
          <cell r="B8539" t="str">
            <v/>
          </cell>
        </row>
        <row r="8540">
          <cell r="B8540" t="str">
            <v/>
          </cell>
        </row>
        <row r="8541">
          <cell r="B8541" t="str">
            <v/>
          </cell>
        </row>
        <row r="8542">
          <cell r="B8542" t="str">
            <v/>
          </cell>
        </row>
        <row r="8543">
          <cell r="B8543" t="str">
            <v/>
          </cell>
        </row>
        <row r="8544">
          <cell r="B8544" t="str">
            <v/>
          </cell>
        </row>
        <row r="8545">
          <cell r="B8545" t="str">
            <v/>
          </cell>
        </row>
        <row r="8546">
          <cell r="B8546" t="str">
            <v/>
          </cell>
        </row>
        <row r="8547">
          <cell r="B8547" t="str">
            <v/>
          </cell>
        </row>
        <row r="8548">
          <cell r="B8548" t="str">
            <v/>
          </cell>
        </row>
        <row r="8549">
          <cell r="B8549" t="str">
            <v/>
          </cell>
        </row>
        <row r="8550">
          <cell r="B8550" t="str">
            <v/>
          </cell>
        </row>
        <row r="8551">
          <cell r="B8551" t="str">
            <v/>
          </cell>
        </row>
        <row r="8552">
          <cell r="B8552" t="str">
            <v/>
          </cell>
        </row>
        <row r="8553">
          <cell r="B8553" t="str">
            <v/>
          </cell>
        </row>
        <row r="8554">
          <cell r="B8554" t="str">
            <v/>
          </cell>
        </row>
        <row r="8555">
          <cell r="B8555" t="str">
            <v/>
          </cell>
        </row>
        <row r="8556">
          <cell r="B8556" t="str">
            <v/>
          </cell>
        </row>
        <row r="8557">
          <cell r="B8557" t="str">
            <v/>
          </cell>
        </row>
        <row r="8558">
          <cell r="B8558" t="str">
            <v/>
          </cell>
        </row>
        <row r="8559">
          <cell r="B8559" t="str">
            <v/>
          </cell>
        </row>
        <row r="8560">
          <cell r="B8560" t="str">
            <v/>
          </cell>
        </row>
        <row r="8561">
          <cell r="B8561" t="str">
            <v/>
          </cell>
        </row>
        <row r="8562">
          <cell r="B8562" t="str">
            <v/>
          </cell>
        </row>
        <row r="8563">
          <cell r="B8563" t="str">
            <v/>
          </cell>
        </row>
        <row r="8564">
          <cell r="B8564" t="str">
            <v/>
          </cell>
        </row>
        <row r="8565">
          <cell r="B8565" t="str">
            <v/>
          </cell>
        </row>
        <row r="8566">
          <cell r="B8566" t="str">
            <v/>
          </cell>
        </row>
        <row r="8567">
          <cell r="B8567" t="str">
            <v/>
          </cell>
        </row>
        <row r="8568">
          <cell r="B8568" t="str">
            <v/>
          </cell>
        </row>
        <row r="8569">
          <cell r="B8569" t="str">
            <v/>
          </cell>
        </row>
        <row r="8570">
          <cell r="B8570" t="str">
            <v/>
          </cell>
        </row>
        <row r="8571">
          <cell r="B8571" t="str">
            <v/>
          </cell>
        </row>
        <row r="8572">
          <cell r="B8572" t="str">
            <v/>
          </cell>
        </row>
        <row r="8573">
          <cell r="B8573" t="str">
            <v/>
          </cell>
        </row>
        <row r="8574">
          <cell r="B8574" t="str">
            <v/>
          </cell>
        </row>
        <row r="8575">
          <cell r="B8575" t="str">
            <v/>
          </cell>
        </row>
        <row r="8576">
          <cell r="B8576" t="str">
            <v/>
          </cell>
        </row>
        <row r="8577">
          <cell r="B8577" t="str">
            <v/>
          </cell>
        </row>
        <row r="8578">
          <cell r="B8578" t="str">
            <v/>
          </cell>
        </row>
        <row r="8579">
          <cell r="B8579" t="str">
            <v/>
          </cell>
        </row>
        <row r="8580">
          <cell r="B8580" t="str">
            <v/>
          </cell>
        </row>
        <row r="8581">
          <cell r="B8581" t="str">
            <v/>
          </cell>
        </row>
        <row r="8582">
          <cell r="B8582" t="str">
            <v/>
          </cell>
        </row>
        <row r="8583">
          <cell r="B8583" t="str">
            <v/>
          </cell>
        </row>
        <row r="8584">
          <cell r="B8584" t="str">
            <v/>
          </cell>
        </row>
        <row r="8585">
          <cell r="B8585" t="str">
            <v/>
          </cell>
        </row>
        <row r="8586">
          <cell r="B8586" t="str">
            <v/>
          </cell>
        </row>
        <row r="8587">
          <cell r="B8587" t="str">
            <v/>
          </cell>
        </row>
        <row r="8588">
          <cell r="B8588" t="str">
            <v/>
          </cell>
        </row>
        <row r="8589">
          <cell r="B8589" t="str">
            <v/>
          </cell>
        </row>
        <row r="8590">
          <cell r="B8590" t="str">
            <v/>
          </cell>
        </row>
        <row r="8591">
          <cell r="B8591" t="str">
            <v/>
          </cell>
        </row>
        <row r="8592">
          <cell r="B8592" t="str">
            <v/>
          </cell>
        </row>
        <row r="8593">
          <cell r="B8593" t="str">
            <v/>
          </cell>
        </row>
        <row r="8594">
          <cell r="B8594" t="str">
            <v/>
          </cell>
        </row>
        <row r="8595">
          <cell r="B8595" t="str">
            <v/>
          </cell>
        </row>
        <row r="8596">
          <cell r="B8596" t="str">
            <v/>
          </cell>
        </row>
        <row r="8597">
          <cell r="B8597" t="str">
            <v/>
          </cell>
        </row>
        <row r="8598">
          <cell r="B8598" t="str">
            <v/>
          </cell>
        </row>
        <row r="8599">
          <cell r="B8599" t="str">
            <v/>
          </cell>
        </row>
        <row r="8600">
          <cell r="B8600" t="str">
            <v/>
          </cell>
        </row>
        <row r="8601">
          <cell r="B8601" t="str">
            <v/>
          </cell>
        </row>
        <row r="8602">
          <cell r="B8602" t="str">
            <v/>
          </cell>
        </row>
        <row r="8603">
          <cell r="B8603" t="str">
            <v/>
          </cell>
        </row>
        <row r="8604">
          <cell r="B8604" t="str">
            <v/>
          </cell>
        </row>
        <row r="8605">
          <cell r="B8605" t="str">
            <v/>
          </cell>
        </row>
        <row r="8606">
          <cell r="B8606" t="str">
            <v/>
          </cell>
        </row>
        <row r="8607">
          <cell r="B8607" t="str">
            <v/>
          </cell>
        </row>
        <row r="8608">
          <cell r="B8608" t="str">
            <v/>
          </cell>
        </row>
        <row r="8609">
          <cell r="B8609" t="str">
            <v/>
          </cell>
        </row>
        <row r="8610">
          <cell r="B8610" t="str">
            <v/>
          </cell>
        </row>
        <row r="8611">
          <cell r="B8611" t="str">
            <v/>
          </cell>
        </row>
        <row r="8612">
          <cell r="B8612" t="str">
            <v/>
          </cell>
        </row>
        <row r="8613">
          <cell r="B8613" t="str">
            <v/>
          </cell>
        </row>
        <row r="8614">
          <cell r="B8614" t="str">
            <v/>
          </cell>
        </row>
        <row r="8615">
          <cell r="B8615" t="str">
            <v/>
          </cell>
        </row>
        <row r="8616">
          <cell r="B8616" t="str">
            <v/>
          </cell>
        </row>
        <row r="8617">
          <cell r="B8617" t="str">
            <v/>
          </cell>
        </row>
        <row r="8618">
          <cell r="B8618" t="str">
            <v/>
          </cell>
        </row>
        <row r="8619">
          <cell r="B8619" t="str">
            <v/>
          </cell>
        </row>
        <row r="8620">
          <cell r="B8620" t="str">
            <v/>
          </cell>
        </row>
        <row r="8621">
          <cell r="B8621" t="str">
            <v/>
          </cell>
        </row>
        <row r="8622">
          <cell r="B8622" t="str">
            <v/>
          </cell>
        </row>
        <row r="8623">
          <cell r="B8623" t="str">
            <v/>
          </cell>
        </row>
        <row r="8624">
          <cell r="B8624" t="str">
            <v/>
          </cell>
        </row>
        <row r="8625">
          <cell r="B8625" t="str">
            <v/>
          </cell>
        </row>
        <row r="8626">
          <cell r="B8626" t="str">
            <v/>
          </cell>
        </row>
        <row r="8627">
          <cell r="B8627" t="str">
            <v/>
          </cell>
        </row>
        <row r="8628">
          <cell r="B8628" t="str">
            <v/>
          </cell>
        </row>
        <row r="8629">
          <cell r="B8629" t="str">
            <v/>
          </cell>
        </row>
        <row r="8630">
          <cell r="B8630" t="str">
            <v/>
          </cell>
        </row>
        <row r="8631">
          <cell r="B8631" t="str">
            <v/>
          </cell>
        </row>
        <row r="8632">
          <cell r="B8632" t="str">
            <v/>
          </cell>
        </row>
        <row r="8633">
          <cell r="B8633" t="str">
            <v/>
          </cell>
        </row>
        <row r="8634">
          <cell r="B8634" t="str">
            <v/>
          </cell>
        </row>
        <row r="8635">
          <cell r="B8635" t="str">
            <v/>
          </cell>
        </row>
        <row r="8636">
          <cell r="B8636" t="str">
            <v/>
          </cell>
        </row>
        <row r="8637">
          <cell r="B8637" t="str">
            <v/>
          </cell>
        </row>
        <row r="8638">
          <cell r="B8638" t="str">
            <v/>
          </cell>
        </row>
        <row r="8639">
          <cell r="B8639" t="str">
            <v/>
          </cell>
        </row>
        <row r="8640">
          <cell r="B8640" t="str">
            <v/>
          </cell>
        </row>
        <row r="8641">
          <cell r="B8641" t="str">
            <v/>
          </cell>
        </row>
        <row r="8642">
          <cell r="B8642" t="str">
            <v/>
          </cell>
        </row>
        <row r="8643">
          <cell r="B8643" t="str">
            <v/>
          </cell>
        </row>
        <row r="8644">
          <cell r="B8644" t="str">
            <v/>
          </cell>
        </row>
        <row r="8645">
          <cell r="B8645" t="str">
            <v/>
          </cell>
        </row>
        <row r="8646">
          <cell r="B8646" t="str">
            <v/>
          </cell>
        </row>
        <row r="8647">
          <cell r="B8647" t="str">
            <v/>
          </cell>
        </row>
        <row r="8648">
          <cell r="B8648" t="str">
            <v/>
          </cell>
        </row>
        <row r="8649">
          <cell r="B8649" t="str">
            <v/>
          </cell>
        </row>
        <row r="8650">
          <cell r="B8650" t="str">
            <v/>
          </cell>
        </row>
        <row r="8651">
          <cell r="B8651" t="str">
            <v/>
          </cell>
        </row>
        <row r="8652">
          <cell r="B8652" t="str">
            <v/>
          </cell>
        </row>
        <row r="8653">
          <cell r="B8653" t="str">
            <v/>
          </cell>
        </row>
        <row r="8654">
          <cell r="B8654" t="str">
            <v/>
          </cell>
        </row>
        <row r="8655">
          <cell r="B8655" t="str">
            <v/>
          </cell>
        </row>
        <row r="8656">
          <cell r="B8656" t="str">
            <v/>
          </cell>
        </row>
        <row r="8657">
          <cell r="B8657" t="str">
            <v/>
          </cell>
        </row>
        <row r="8658">
          <cell r="B8658" t="str">
            <v/>
          </cell>
        </row>
        <row r="8659">
          <cell r="B8659" t="str">
            <v/>
          </cell>
        </row>
        <row r="8660">
          <cell r="B8660" t="str">
            <v/>
          </cell>
        </row>
        <row r="8661">
          <cell r="B8661" t="str">
            <v/>
          </cell>
        </row>
        <row r="8662">
          <cell r="B8662" t="str">
            <v/>
          </cell>
        </row>
        <row r="8663">
          <cell r="B8663" t="str">
            <v/>
          </cell>
        </row>
        <row r="8664">
          <cell r="B8664" t="str">
            <v/>
          </cell>
        </row>
        <row r="8665">
          <cell r="B8665" t="str">
            <v/>
          </cell>
        </row>
        <row r="8666">
          <cell r="B8666" t="str">
            <v/>
          </cell>
        </row>
        <row r="8667">
          <cell r="B8667" t="str">
            <v/>
          </cell>
        </row>
        <row r="8668">
          <cell r="B8668" t="str">
            <v/>
          </cell>
        </row>
        <row r="8669">
          <cell r="B8669" t="str">
            <v/>
          </cell>
        </row>
        <row r="8670">
          <cell r="B8670" t="str">
            <v/>
          </cell>
        </row>
        <row r="8671">
          <cell r="B8671" t="str">
            <v/>
          </cell>
        </row>
        <row r="8672">
          <cell r="B8672" t="str">
            <v/>
          </cell>
        </row>
        <row r="8673">
          <cell r="B8673" t="str">
            <v/>
          </cell>
        </row>
        <row r="8674">
          <cell r="B8674" t="str">
            <v/>
          </cell>
        </row>
        <row r="8675">
          <cell r="B8675" t="str">
            <v/>
          </cell>
        </row>
        <row r="8676">
          <cell r="B8676" t="str">
            <v/>
          </cell>
        </row>
        <row r="8677">
          <cell r="B8677" t="str">
            <v/>
          </cell>
        </row>
        <row r="8678">
          <cell r="B8678" t="str">
            <v/>
          </cell>
        </row>
        <row r="8679">
          <cell r="B8679" t="str">
            <v/>
          </cell>
        </row>
        <row r="8680">
          <cell r="B8680" t="str">
            <v/>
          </cell>
        </row>
        <row r="8681">
          <cell r="B8681" t="str">
            <v/>
          </cell>
        </row>
        <row r="8682">
          <cell r="B8682" t="str">
            <v/>
          </cell>
        </row>
        <row r="8683">
          <cell r="B8683" t="str">
            <v/>
          </cell>
        </row>
        <row r="8684">
          <cell r="B8684" t="str">
            <v/>
          </cell>
        </row>
        <row r="8685">
          <cell r="B8685" t="str">
            <v/>
          </cell>
        </row>
        <row r="8686">
          <cell r="B8686" t="str">
            <v/>
          </cell>
        </row>
        <row r="8687">
          <cell r="B8687" t="str">
            <v/>
          </cell>
        </row>
        <row r="8688">
          <cell r="B8688" t="str">
            <v/>
          </cell>
        </row>
        <row r="8689">
          <cell r="B8689" t="str">
            <v/>
          </cell>
        </row>
        <row r="8690">
          <cell r="B8690" t="str">
            <v/>
          </cell>
        </row>
        <row r="8691">
          <cell r="B8691" t="str">
            <v/>
          </cell>
        </row>
        <row r="8692">
          <cell r="B8692" t="str">
            <v/>
          </cell>
        </row>
        <row r="8693">
          <cell r="B8693" t="str">
            <v/>
          </cell>
        </row>
        <row r="8694">
          <cell r="B8694" t="str">
            <v/>
          </cell>
        </row>
        <row r="8695">
          <cell r="B8695" t="str">
            <v/>
          </cell>
        </row>
        <row r="8696">
          <cell r="B8696" t="str">
            <v/>
          </cell>
        </row>
        <row r="8697">
          <cell r="B8697" t="str">
            <v/>
          </cell>
        </row>
        <row r="8698">
          <cell r="B8698" t="str">
            <v/>
          </cell>
        </row>
        <row r="8699">
          <cell r="B8699" t="str">
            <v/>
          </cell>
        </row>
        <row r="8700">
          <cell r="B8700" t="str">
            <v/>
          </cell>
        </row>
        <row r="8701">
          <cell r="B8701" t="str">
            <v/>
          </cell>
        </row>
        <row r="8702">
          <cell r="B8702" t="str">
            <v/>
          </cell>
        </row>
        <row r="8703">
          <cell r="B8703" t="str">
            <v/>
          </cell>
        </row>
        <row r="8704">
          <cell r="B8704" t="str">
            <v/>
          </cell>
        </row>
        <row r="8705">
          <cell r="B8705" t="str">
            <v/>
          </cell>
        </row>
        <row r="8706">
          <cell r="B8706" t="str">
            <v/>
          </cell>
        </row>
        <row r="8707">
          <cell r="B8707" t="str">
            <v/>
          </cell>
        </row>
        <row r="8708">
          <cell r="B8708" t="str">
            <v/>
          </cell>
        </row>
        <row r="8709">
          <cell r="B8709" t="str">
            <v/>
          </cell>
        </row>
        <row r="8710">
          <cell r="B8710" t="str">
            <v/>
          </cell>
        </row>
        <row r="8711">
          <cell r="B8711" t="str">
            <v/>
          </cell>
        </row>
        <row r="8712">
          <cell r="B8712" t="str">
            <v/>
          </cell>
        </row>
        <row r="8713">
          <cell r="B8713" t="str">
            <v/>
          </cell>
        </row>
        <row r="8714">
          <cell r="B8714" t="str">
            <v/>
          </cell>
        </row>
        <row r="8715">
          <cell r="B8715" t="str">
            <v/>
          </cell>
        </row>
        <row r="8716">
          <cell r="B8716" t="str">
            <v/>
          </cell>
        </row>
        <row r="8717">
          <cell r="B8717" t="str">
            <v/>
          </cell>
        </row>
        <row r="8718">
          <cell r="B8718" t="str">
            <v/>
          </cell>
        </row>
        <row r="8719">
          <cell r="B8719" t="str">
            <v/>
          </cell>
        </row>
        <row r="8720">
          <cell r="B8720" t="str">
            <v/>
          </cell>
        </row>
        <row r="8721">
          <cell r="B8721" t="str">
            <v/>
          </cell>
        </row>
        <row r="8722">
          <cell r="B8722" t="str">
            <v/>
          </cell>
        </row>
        <row r="8723">
          <cell r="B8723" t="str">
            <v/>
          </cell>
        </row>
        <row r="8724">
          <cell r="B8724" t="str">
            <v/>
          </cell>
        </row>
        <row r="8725">
          <cell r="B8725" t="str">
            <v/>
          </cell>
        </row>
        <row r="8726">
          <cell r="B8726" t="str">
            <v/>
          </cell>
        </row>
        <row r="8727">
          <cell r="B8727" t="str">
            <v/>
          </cell>
        </row>
        <row r="8728">
          <cell r="B8728" t="str">
            <v/>
          </cell>
        </row>
        <row r="8729">
          <cell r="B8729" t="str">
            <v/>
          </cell>
        </row>
        <row r="8730">
          <cell r="B8730" t="str">
            <v/>
          </cell>
        </row>
        <row r="8731">
          <cell r="B8731" t="str">
            <v/>
          </cell>
        </row>
        <row r="8732">
          <cell r="B8732" t="str">
            <v/>
          </cell>
        </row>
        <row r="8733">
          <cell r="B8733" t="str">
            <v/>
          </cell>
        </row>
        <row r="8734">
          <cell r="B8734" t="str">
            <v/>
          </cell>
        </row>
        <row r="8735">
          <cell r="B8735" t="str">
            <v/>
          </cell>
        </row>
        <row r="8736">
          <cell r="B8736" t="str">
            <v/>
          </cell>
        </row>
        <row r="8737">
          <cell r="B8737" t="str">
            <v/>
          </cell>
        </row>
        <row r="8738">
          <cell r="B8738" t="str">
            <v/>
          </cell>
        </row>
        <row r="8739">
          <cell r="B8739" t="str">
            <v/>
          </cell>
        </row>
        <row r="8740">
          <cell r="B8740" t="str">
            <v/>
          </cell>
        </row>
        <row r="8741">
          <cell r="B8741" t="str">
            <v/>
          </cell>
        </row>
        <row r="8742">
          <cell r="B8742" t="str">
            <v/>
          </cell>
        </row>
        <row r="8743">
          <cell r="B8743" t="str">
            <v/>
          </cell>
        </row>
        <row r="8744">
          <cell r="B8744" t="str">
            <v/>
          </cell>
        </row>
        <row r="8745">
          <cell r="B8745" t="str">
            <v/>
          </cell>
        </row>
        <row r="8746">
          <cell r="B8746" t="str">
            <v/>
          </cell>
        </row>
        <row r="8747">
          <cell r="B8747" t="str">
            <v/>
          </cell>
        </row>
        <row r="8748">
          <cell r="B8748" t="str">
            <v/>
          </cell>
        </row>
        <row r="8749">
          <cell r="B8749" t="str">
            <v/>
          </cell>
        </row>
        <row r="8750">
          <cell r="B8750" t="str">
            <v/>
          </cell>
        </row>
        <row r="8751">
          <cell r="B8751" t="str">
            <v/>
          </cell>
        </row>
        <row r="8752">
          <cell r="B8752" t="str">
            <v/>
          </cell>
        </row>
        <row r="8753">
          <cell r="B8753" t="str">
            <v/>
          </cell>
        </row>
        <row r="8754">
          <cell r="B8754" t="str">
            <v/>
          </cell>
        </row>
        <row r="8755">
          <cell r="B8755" t="str">
            <v/>
          </cell>
        </row>
        <row r="8756">
          <cell r="B8756" t="str">
            <v/>
          </cell>
        </row>
        <row r="8757">
          <cell r="B8757" t="str">
            <v/>
          </cell>
        </row>
        <row r="8758">
          <cell r="B8758" t="str">
            <v/>
          </cell>
        </row>
        <row r="8759">
          <cell r="B8759" t="str">
            <v/>
          </cell>
        </row>
        <row r="8760">
          <cell r="B8760" t="str">
            <v/>
          </cell>
        </row>
        <row r="8761">
          <cell r="B8761" t="str">
            <v/>
          </cell>
        </row>
        <row r="8762">
          <cell r="B8762" t="str">
            <v/>
          </cell>
        </row>
        <row r="8763">
          <cell r="B8763" t="str">
            <v/>
          </cell>
        </row>
        <row r="8764">
          <cell r="B8764" t="str">
            <v/>
          </cell>
        </row>
        <row r="8765">
          <cell r="B8765" t="str">
            <v/>
          </cell>
        </row>
        <row r="8766">
          <cell r="B8766" t="str">
            <v/>
          </cell>
        </row>
        <row r="8767">
          <cell r="B8767" t="str">
            <v/>
          </cell>
        </row>
        <row r="8768">
          <cell r="B8768" t="str">
            <v/>
          </cell>
        </row>
        <row r="8769">
          <cell r="B8769" t="str">
            <v/>
          </cell>
        </row>
        <row r="8770">
          <cell r="B8770" t="str">
            <v/>
          </cell>
        </row>
        <row r="8771">
          <cell r="B8771" t="str">
            <v/>
          </cell>
        </row>
        <row r="8772">
          <cell r="B8772" t="str">
            <v/>
          </cell>
        </row>
        <row r="8773">
          <cell r="B8773" t="str">
            <v/>
          </cell>
        </row>
        <row r="8774">
          <cell r="B8774" t="str">
            <v/>
          </cell>
        </row>
        <row r="8775">
          <cell r="B8775" t="str">
            <v/>
          </cell>
        </row>
        <row r="8776">
          <cell r="B8776" t="str">
            <v/>
          </cell>
        </row>
        <row r="8777">
          <cell r="B8777" t="str">
            <v/>
          </cell>
        </row>
        <row r="8778">
          <cell r="B8778" t="str">
            <v/>
          </cell>
        </row>
        <row r="8779">
          <cell r="B8779" t="str">
            <v/>
          </cell>
        </row>
        <row r="8780">
          <cell r="B8780" t="str">
            <v/>
          </cell>
        </row>
        <row r="8781">
          <cell r="B8781" t="str">
            <v/>
          </cell>
        </row>
        <row r="8782">
          <cell r="B8782" t="str">
            <v/>
          </cell>
        </row>
        <row r="8783">
          <cell r="B8783" t="str">
            <v/>
          </cell>
        </row>
        <row r="8784">
          <cell r="B8784" t="str">
            <v/>
          </cell>
        </row>
        <row r="8785">
          <cell r="B8785" t="str">
            <v/>
          </cell>
        </row>
        <row r="8786">
          <cell r="B8786" t="str">
            <v/>
          </cell>
        </row>
        <row r="8787">
          <cell r="B8787" t="str">
            <v/>
          </cell>
        </row>
        <row r="8788">
          <cell r="B8788" t="str">
            <v/>
          </cell>
        </row>
        <row r="8789">
          <cell r="B8789" t="str">
            <v/>
          </cell>
        </row>
        <row r="8790">
          <cell r="B8790" t="str">
            <v/>
          </cell>
        </row>
        <row r="8791">
          <cell r="B8791" t="str">
            <v/>
          </cell>
        </row>
        <row r="8792">
          <cell r="B8792" t="str">
            <v/>
          </cell>
        </row>
        <row r="8793">
          <cell r="B8793" t="str">
            <v/>
          </cell>
        </row>
        <row r="8794">
          <cell r="B8794" t="str">
            <v/>
          </cell>
        </row>
        <row r="8795">
          <cell r="B8795" t="str">
            <v/>
          </cell>
        </row>
        <row r="8796">
          <cell r="B8796" t="str">
            <v/>
          </cell>
        </row>
        <row r="8797">
          <cell r="B8797" t="str">
            <v/>
          </cell>
        </row>
        <row r="8798">
          <cell r="B8798" t="str">
            <v/>
          </cell>
        </row>
        <row r="8799">
          <cell r="B8799" t="str">
            <v/>
          </cell>
        </row>
        <row r="8800">
          <cell r="B8800" t="str">
            <v/>
          </cell>
        </row>
        <row r="8801">
          <cell r="B8801" t="str">
            <v/>
          </cell>
        </row>
        <row r="8802">
          <cell r="B8802" t="str">
            <v/>
          </cell>
        </row>
        <row r="8803">
          <cell r="B8803" t="str">
            <v/>
          </cell>
        </row>
        <row r="8804">
          <cell r="B8804" t="str">
            <v/>
          </cell>
        </row>
        <row r="8805">
          <cell r="B8805" t="str">
            <v/>
          </cell>
        </row>
        <row r="8806">
          <cell r="B8806" t="str">
            <v/>
          </cell>
        </row>
        <row r="8807">
          <cell r="B8807" t="str">
            <v/>
          </cell>
        </row>
        <row r="8808">
          <cell r="B8808" t="str">
            <v/>
          </cell>
        </row>
        <row r="8809">
          <cell r="B8809" t="str">
            <v/>
          </cell>
        </row>
        <row r="8810">
          <cell r="B8810" t="str">
            <v/>
          </cell>
        </row>
        <row r="8811">
          <cell r="B8811" t="str">
            <v/>
          </cell>
        </row>
        <row r="8812">
          <cell r="B8812" t="str">
            <v/>
          </cell>
        </row>
        <row r="8813">
          <cell r="B8813" t="str">
            <v/>
          </cell>
        </row>
        <row r="8814">
          <cell r="B8814" t="str">
            <v/>
          </cell>
        </row>
        <row r="8815">
          <cell r="B8815" t="str">
            <v/>
          </cell>
        </row>
        <row r="8816">
          <cell r="B8816" t="str">
            <v/>
          </cell>
        </row>
        <row r="8817">
          <cell r="B8817" t="str">
            <v/>
          </cell>
        </row>
        <row r="8818">
          <cell r="B8818" t="str">
            <v/>
          </cell>
        </row>
        <row r="8819">
          <cell r="B8819" t="str">
            <v/>
          </cell>
        </row>
        <row r="8820">
          <cell r="B8820" t="str">
            <v/>
          </cell>
        </row>
        <row r="8821">
          <cell r="B8821" t="str">
            <v/>
          </cell>
        </row>
        <row r="8822">
          <cell r="B8822" t="str">
            <v/>
          </cell>
        </row>
        <row r="8823">
          <cell r="B8823" t="str">
            <v/>
          </cell>
        </row>
        <row r="8824">
          <cell r="B8824" t="str">
            <v/>
          </cell>
        </row>
        <row r="8825">
          <cell r="B8825" t="str">
            <v/>
          </cell>
        </row>
        <row r="8826">
          <cell r="B8826" t="str">
            <v/>
          </cell>
        </row>
        <row r="8827">
          <cell r="B8827" t="str">
            <v/>
          </cell>
        </row>
        <row r="8828">
          <cell r="B8828" t="str">
            <v/>
          </cell>
        </row>
        <row r="8829">
          <cell r="B8829" t="str">
            <v/>
          </cell>
        </row>
        <row r="8830">
          <cell r="B8830" t="str">
            <v/>
          </cell>
        </row>
        <row r="8831">
          <cell r="B8831" t="str">
            <v/>
          </cell>
        </row>
        <row r="8832">
          <cell r="B8832" t="str">
            <v/>
          </cell>
        </row>
        <row r="8833">
          <cell r="B8833" t="str">
            <v/>
          </cell>
        </row>
        <row r="8834">
          <cell r="B8834" t="str">
            <v/>
          </cell>
        </row>
        <row r="8835">
          <cell r="B8835" t="str">
            <v/>
          </cell>
        </row>
        <row r="8836">
          <cell r="B8836" t="str">
            <v/>
          </cell>
        </row>
        <row r="8837">
          <cell r="B8837" t="str">
            <v/>
          </cell>
        </row>
        <row r="8838">
          <cell r="B8838" t="str">
            <v/>
          </cell>
        </row>
        <row r="8839">
          <cell r="B8839" t="str">
            <v/>
          </cell>
        </row>
        <row r="8840">
          <cell r="B8840" t="str">
            <v/>
          </cell>
        </row>
        <row r="8841">
          <cell r="B8841" t="str">
            <v/>
          </cell>
        </row>
        <row r="8842">
          <cell r="B8842" t="str">
            <v/>
          </cell>
        </row>
        <row r="8843">
          <cell r="B8843" t="str">
            <v/>
          </cell>
        </row>
        <row r="8844">
          <cell r="B8844" t="str">
            <v/>
          </cell>
        </row>
        <row r="8845">
          <cell r="B8845" t="str">
            <v/>
          </cell>
        </row>
        <row r="8846">
          <cell r="B8846" t="str">
            <v/>
          </cell>
        </row>
        <row r="8847">
          <cell r="B8847" t="str">
            <v/>
          </cell>
        </row>
        <row r="8848">
          <cell r="B8848" t="str">
            <v/>
          </cell>
        </row>
        <row r="8849">
          <cell r="B8849" t="str">
            <v/>
          </cell>
        </row>
        <row r="8850">
          <cell r="B8850" t="str">
            <v/>
          </cell>
        </row>
        <row r="8851">
          <cell r="B8851" t="str">
            <v/>
          </cell>
        </row>
        <row r="8852">
          <cell r="B8852" t="str">
            <v/>
          </cell>
        </row>
        <row r="8853">
          <cell r="B8853" t="str">
            <v/>
          </cell>
        </row>
        <row r="8854">
          <cell r="B8854" t="str">
            <v/>
          </cell>
        </row>
        <row r="8855">
          <cell r="B8855" t="str">
            <v/>
          </cell>
        </row>
        <row r="8856">
          <cell r="B8856" t="str">
            <v/>
          </cell>
        </row>
        <row r="8857">
          <cell r="B8857" t="str">
            <v/>
          </cell>
        </row>
        <row r="8858">
          <cell r="B8858" t="str">
            <v/>
          </cell>
        </row>
        <row r="8859">
          <cell r="B8859" t="str">
            <v/>
          </cell>
        </row>
        <row r="8860">
          <cell r="B8860" t="str">
            <v/>
          </cell>
        </row>
        <row r="8861">
          <cell r="B8861" t="str">
            <v/>
          </cell>
        </row>
        <row r="8862">
          <cell r="B8862" t="str">
            <v/>
          </cell>
        </row>
        <row r="8863">
          <cell r="B8863" t="str">
            <v/>
          </cell>
        </row>
        <row r="8864">
          <cell r="B8864" t="str">
            <v/>
          </cell>
        </row>
        <row r="8865">
          <cell r="B8865" t="str">
            <v/>
          </cell>
        </row>
        <row r="8866">
          <cell r="B8866" t="str">
            <v/>
          </cell>
        </row>
        <row r="8867">
          <cell r="B8867" t="str">
            <v/>
          </cell>
        </row>
        <row r="8868">
          <cell r="B8868" t="str">
            <v/>
          </cell>
        </row>
        <row r="8869">
          <cell r="B8869" t="str">
            <v/>
          </cell>
        </row>
        <row r="8870">
          <cell r="B8870" t="str">
            <v/>
          </cell>
        </row>
        <row r="8871">
          <cell r="B8871" t="str">
            <v/>
          </cell>
        </row>
        <row r="8872">
          <cell r="B8872" t="str">
            <v/>
          </cell>
        </row>
        <row r="8873">
          <cell r="B8873" t="str">
            <v/>
          </cell>
        </row>
        <row r="8874">
          <cell r="B8874" t="str">
            <v/>
          </cell>
        </row>
        <row r="8875">
          <cell r="B8875" t="str">
            <v/>
          </cell>
        </row>
        <row r="8876">
          <cell r="B8876" t="str">
            <v/>
          </cell>
        </row>
        <row r="8877">
          <cell r="B8877" t="str">
            <v/>
          </cell>
        </row>
        <row r="8878">
          <cell r="B8878" t="str">
            <v/>
          </cell>
        </row>
        <row r="8879">
          <cell r="B8879" t="str">
            <v/>
          </cell>
        </row>
        <row r="8880">
          <cell r="B8880" t="str">
            <v/>
          </cell>
        </row>
        <row r="8881">
          <cell r="B8881" t="str">
            <v/>
          </cell>
        </row>
        <row r="8882">
          <cell r="B8882" t="str">
            <v/>
          </cell>
        </row>
        <row r="8883">
          <cell r="B8883" t="str">
            <v/>
          </cell>
        </row>
        <row r="8884">
          <cell r="B8884" t="str">
            <v/>
          </cell>
        </row>
        <row r="8885">
          <cell r="B8885" t="str">
            <v/>
          </cell>
        </row>
        <row r="8886">
          <cell r="B8886" t="str">
            <v/>
          </cell>
        </row>
        <row r="8887">
          <cell r="B8887" t="str">
            <v/>
          </cell>
        </row>
        <row r="8888">
          <cell r="B8888" t="str">
            <v/>
          </cell>
        </row>
        <row r="8889">
          <cell r="B8889" t="str">
            <v/>
          </cell>
        </row>
        <row r="8890">
          <cell r="B8890" t="str">
            <v/>
          </cell>
        </row>
        <row r="8891">
          <cell r="B8891" t="str">
            <v/>
          </cell>
        </row>
        <row r="8892">
          <cell r="B8892" t="str">
            <v/>
          </cell>
        </row>
        <row r="8893">
          <cell r="B8893" t="str">
            <v/>
          </cell>
        </row>
        <row r="8894">
          <cell r="B8894" t="str">
            <v/>
          </cell>
        </row>
        <row r="8895">
          <cell r="B8895" t="str">
            <v/>
          </cell>
        </row>
        <row r="8896">
          <cell r="B8896" t="str">
            <v/>
          </cell>
        </row>
        <row r="8897">
          <cell r="B8897" t="str">
            <v/>
          </cell>
        </row>
        <row r="8898">
          <cell r="B8898" t="str">
            <v/>
          </cell>
        </row>
        <row r="8899">
          <cell r="B8899" t="str">
            <v/>
          </cell>
        </row>
        <row r="8900">
          <cell r="B8900" t="str">
            <v/>
          </cell>
        </row>
        <row r="8901">
          <cell r="B8901" t="str">
            <v/>
          </cell>
        </row>
        <row r="8902">
          <cell r="B8902" t="str">
            <v/>
          </cell>
        </row>
        <row r="8903">
          <cell r="B8903" t="str">
            <v/>
          </cell>
        </row>
        <row r="8904">
          <cell r="B8904" t="str">
            <v/>
          </cell>
        </row>
        <row r="8905">
          <cell r="B8905" t="str">
            <v/>
          </cell>
        </row>
        <row r="8906">
          <cell r="B8906" t="str">
            <v/>
          </cell>
        </row>
        <row r="8907">
          <cell r="B8907" t="str">
            <v/>
          </cell>
        </row>
        <row r="8908">
          <cell r="B8908" t="str">
            <v/>
          </cell>
        </row>
        <row r="8909">
          <cell r="B8909" t="str">
            <v/>
          </cell>
        </row>
        <row r="8910">
          <cell r="B8910" t="str">
            <v/>
          </cell>
        </row>
        <row r="8911">
          <cell r="B8911" t="str">
            <v/>
          </cell>
        </row>
        <row r="8912">
          <cell r="B8912" t="str">
            <v/>
          </cell>
        </row>
        <row r="8913">
          <cell r="B8913" t="str">
            <v/>
          </cell>
        </row>
        <row r="8914">
          <cell r="B8914" t="str">
            <v/>
          </cell>
        </row>
        <row r="8915">
          <cell r="B8915" t="str">
            <v/>
          </cell>
        </row>
        <row r="8916">
          <cell r="B8916" t="str">
            <v/>
          </cell>
        </row>
        <row r="8917">
          <cell r="B8917" t="str">
            <v/>
          </cell>
        </row>
        <row r="8918">
          <cell r="B8918" t="str">
            <v/>
          </cell>
        </row>
        <row r="8919">
          <cell r="B8919" t="str">
            <v/>
          </cell>
        </row>
        <row r="8920">
          <cell r="B8920" t="str">
            <v/>
          </cell>
        </row>
        <row r="8921">
          <cell r="B8921" t="str">
            <v/>
          </cell>
        </row>
        <row r="8922">
          <cell r="B8922" t="str">
            <v/>
          </cell>
        </row>
        <row r="8923">
          <cell r="B8923" t="str">
            <v/>
          </cell>
        </row>
        <row r="8924">
          <cell r="B8924" t="str">
            <v/>
          </cell>
        </row>
        <row r="8925">
          <cell r="B8925" t="str">
            <v/>
          </cell>
        </row>
        <row r="8926">
          <cell r="B8926" t="str">
            <v/>
          </cell>
        </row>
        <row r="8927">
          <cell r="B8927" t="str">
            <v/>
          </cell>
        </row>
        <row r="8928">
          <cell r="B8928" t="str">
            <v/>
          </cell>
        </row>
        <row r="8929">
          <cell r="B8929" t="str">
            <v/>
          </cell>
        </row>
        <row r="8930">
          <cell r="B8930" t="str">
            <v/>
          </cell>
        </row>
        <row r="8931">
          <cell r="B8931" t="str">
            <v/>
          </cell>
        </row>
        <row r="8932">
          <cell r="B8932" t="str">
            <v/>
          </cell>
        </row>
        <row r="8933">
          <cell r="B8933" t="str">
            <v/>
          </cell>
        </row>
        <row r="8934">
          <cell r="B8934" t="str">
            <v/>
          </cell>
        </row>
        <row r="8935">
          <cell r="B8935" t="str">
            <v/>
          </cell>
        </row>
        <row r="8936">
          <cell r="B8936" t="str">
            <v/>
          </cell>
        </row>
        <row r="8937">
          <cell r="B8937" t="str">
            <v/>
          </cell>
        </row>
        <row r="8938">
          <cell r="B8938" t="str">
            <v/>
          </cell>
        </row>
        <row r="8939">
          <cell r="B8939" t="str">
            <v/>
          </cell>
        </row>
        <row r="8940">
          <cell r="B8940" t="str">
            <v/>
          </cell>
        </row>
        <row r="8941">
          <cell r="B8941" t="str">
            <v/>
          </cell>
        </row>
        <row r="8942">
          <cell r="B8942" t="str">
            <v/>
          </cell>
        </row>
        <row r="8943">
          <cell r="B8943" t="str">
            <v/>
          </cell>
        </row>
        <row r="8944">
          <cell r="B8944" t="str">
            <v/>
          </cell>
        </row>
        <row r="8945">
          <cell r="B8945" t="str">
            <v/>
          </cell>
        </row>
        <row r="8946">
          <cell r="B8946" t="str">
            <v/>
          </cell>
        </row>
        <row r="8947">
          <cell r="B8947" t="str">
            <v/>
          </cell>
        </row>
        <row r="8948">
          <cell r="B8948" t="str">
            <v/>
          </cell>
        </row>
        <row r="8949">
          <cell r="B8949" t="str">
            <v/>
          </cell>
        </row>
        <row r="8950">
          <cell r="B8950" t="str">
            <v/>
          </cell>
        </row>
        <row r="8951">
          <cell r="B8951" t="str">
            <v/>
          </cell>
        </row>
        <row r="8952">
          <cell r="B8952" t="str">
            <v/>
          </cell>
        </row>
        <row r="8953">
          <cell r="B8953" t="str">
            <v/>
          </cell>
        </row>
        <row r="8954">
          <cell r="B8954" t="str">
            <v/>
          </cell>
        </row>
        <row r="8955">
          <cell r="B8955" t="str">
            <v/>
          </cell>
        </row>
        <row r="8956">
          <cell r="B8956" t="str">
            <v/>
          </cell>
        </row>
        <row r="8957">
          <cell r="B8957" t="str">
            <v/>
          </cell>
        </row>
        <row r="8958">
          <cell r="B8958" t="str">
            <v/>
          </cell>
        </row>
        <row r="8959">
          <cell r="B8959" t="str">
            <v/>
          </cell>
        </row>
        <row r="8960">
          <cell r="B8960" t="str">
            <v/>
          </cell>
        </row>
        <row r="8961">
          <cell r="B8961" t="str">
            <v/>
          </cell>
        </row>
        <row r="8962">
          <cell r="B8962" t="str">
            <v/>
          </cell>
        </row>
        <row r="8963">
          <cell r="B8963" t="str">
            <v/>
          </cell>
        </row>
        <row r="8964">
          <cell r="B8964" t="str">
            <v/>
          </cell>
        </row>
        <row r="8965">
          <cell r="B8965" t="str">
            <v/>
          </cell>
        </row>
        <row r="8966">
          <cell r="B8966" t="str">
            <v/>
          </cell>
        </row>
        <row r="8967">
          <cell r="B8967" t="str">
            <v/>
          </cell>
        </row>
        <row r="8968">
          <cell r="B8968" t="str">
            <v/>
          </cell>
        </row>
        <row r="8969">
          <cell r="B8969" t="str">
            <v/>
          </cell>
        </row>
        <row r="8970">
          <cell r="B8970" t="str">
            <v/>
          </cell>
        </row>
        <row r="8971">
          <cell r="B8971" t="str">
            <v/>
          </cell>
        </row>
        <row r="8972">
          <cell r="B8972" t="str">
            <v/>
          </cell>
        </row>
        <row r="8973">
          <cell r="B8973" t="str">
            <v/>
          </cell>
        </row>
        <row r="8974">
          <cell r="B8974" t="str">
            <v/>
          </cell>
        </row>
        <row r="8975">
          <cell r="B8975" t="str">
            <v/>
          </cell>
        </row>
        <row r="8976">
          <cell r="B8976" t="str">
            <v/>
          </cell>
        </row>
        <row r="8977">
          <cell r="B8977" t="str">
            <v/>
          </cell>
        </row>
        <row r="8978">
          <cell r="B8978" t="str">
            <v/>
          </cell>
        </row>
        <row r="8979">
          <cell r="B8979" t="str">
            <v/>
          </cell>
        </row>
        <row r="8980">
          <cell r="B8980" t="str">
            <v/>
          </cell>
        </row>
        <row r="8981">
          <cell r="B8981" t="str">
            <v/>
          </cell>
        </row>
        <row r="8982">
          <cell r="B8982" t="str">
            <v/>
          </cell>
        </row>
        <row r="8983">
          <cell r="B8983" t="str">
            <v/>
          </cell>
        </row>
        <row r="8984">
          <cell r="B8984" t="str">
            <v/>
          </cell>
        </row>
        <row r="8985">
          <cell r="B8985" t="str">
            <v/>
          </cell>
        </row>
        <row r="8986">
          <cell r="B8986" t="str">
            <v/>
          </cell>
        </row>
        <row r="8987">
          <cell r="B8987" t="str">
            <v/>
          </cell>
        </row>
        <row r="8988">
          <cell r="B8988" t="str">
            <v/>
          </cell>
        </row>
        <row r="8989">
          <cell r="B8989" t="str">
            <v/>
          </cell>
        </row>
        <row r="8990">
          <cell r="B8990" t="str">
            <v/>
          </cell>
        </row>
        <row r="8991">
          <cell r="B8991" t="str">
            <v/>
          </cell>
        </row>
        <row r="8992">
          <cell r="B8992" t="str">
            <v/>
          </cell>
        </row>
        <row r="8993">
          <cell r="B8993" t="str">
            <v/>
          </cell>
        </row>
        <row r="8994">
          <cell r="B8994" t="str">
            <v/>
          </cell>
        </row>
        <row r="8995">
          <cell r="B8995" t="str">
            <v/>
          </cell>
        </row>
        <row r="8996">
          <cell r="B8996" t="str">
            <v/>
          </cell>
        </row>
        <row r="8997">
          <cell r="B8997" t="str">
            <v/>
          </cell>
        </row>
        <row r="8998">
          <cell r="B8998" t="str">
            <v/>
          </cell>
        </row>
        <row r="8999">
          <cell r="B8999" t="str">
            <v/>
          </cell>
        </row>
        <row r="9000">
          <cell r="B9000" t="str">
            <v/>
          </cell>
        </row>
        <row r="9001">
          <cell r="B9001" t="str">
            <v/>
          </cell>
        </row>
        <row r="9002">
          <cell r="B9002" t="str">
            <v/>
          </cell>
        </row>
        <row r="9003">
          <cell r="B9003" t="str">
            <v/>
          </cell>
        </row>
        <row r="9004">
          <cell r="B9004" t="str">
            <v/>
          </cell>
        </row>
        <row r="9005">
          <cell r="B9005" t="str">
            <v/>
          </cell>
        </row>
        <row r="9006">
          <cell r="B9006" t="str">
            <v/>
          </cell>
        </row>
        <row r="9007">
          <cell r="B9007" t="str">
            <v/>
          </cell>
        </row>
        <row r="9008">
          <cell r="B9008" t="str">
            <v/>
          </cell>
        </row>
        <row r="9009">
          <cell r="B9009" t="str">
            <v/>
          </cell>
        </row>
        <row r="9010">
          <cell r="B9010" t="str">
            <v/>
          </cell>
        </row>
        <row r="9011">
          <cell r="B9011" t="str">
            <v/>
          </cell>
        </row>
        <row r="9012">
          <cell r="B9012" t="str">
            <v/>
          </cell>
        </row>
        <row r="9013">
          <cell r="B9013" t="str">
            <v/>
          </cell>
        </row>
        <row r="9014">
          <cell r="B9014" t="str">
            <v/>
          </cell>
        </row>
        <row r="9015">
          <cell r="B9015" t="str">
            <v/>
          </cell>
        </row>
        <row r="9016">
          <cell r="B9016" t="str">
            <v/>
          </cell>
        </row>
        <row r="9017">
          <cell r="B9017" t="str">
            <v/>
          </cell>
        </row>
        <row r="9018">
          <cell r="B9018" t="str">
            <v/>
          </cell>
        </row>
        <row r="9019">
          <cell r="B9019" t="str">
            <v/>
          </cell>
        </row>
        <row r="9020">
          <cell r="B9020" t="str">
            <v/>
          </cell>
        </row>
        <row r="9021">
          <cell r="B9021" t="str">
            <v/>
          </cell>
        </row>
        <row r="9022">
          <cell r="B9022" t="str">
            <v/>
          </cell>
        </row>
        <row r="9023">
          <cell r="B9023" t="str">
            <v/>
          </cell>
        </row>
        <row r="9024">
          <cell r="B9024" t="str">
            <v/>
          </cell>
        </row>
        <row r="9025">
          <cell r="B9025" t="str">
            <v/>
          </cell>
        </row>
        <row r="9026">
          <cell r="B9026" t="str">
            <v/>
          </cell>
        </row>
        <row r="9027">
          <cell r="B9027" t="str">
            <v/>
          </cell>
        </row>
        <row r="9028">
          <cell r="B9028" t="str">
            <v/>
          </cell>
        </row>
        <row r="9029">
          <cell r="B9029" t="str">
            <v/>
          </cell>
        </row>
        <row r="9030">
          <cell r="B9030" t="str">
            <v/>
          </cell>
        </row>
        <row r="9031">
          <cell r="B9031" t="str">
            <v/>
          </cell>
        </row>
        <row r="9032">
          <cell r="B9032" t="str">
            <v/>
          </cell>
        </row>
        <row r="9033">
          <cell r="B9033" t="str">
            <v/>
          </cell>
        </row>
        <row r="9034">
          <cell r="B9034" t="str">
            <v/>
          </cell>
        </row>
        <row r="9035">
          <cell r="B9035" t="str">
            <v/>
          </cell>
        </row>
        <row r="9036">
          <cell r="B9036" t="str">
            <v/>
          </cell>
        </row>
        <row r="9037">
          <cell r="B9037" t="str">
            <v/>
          </cell>
        </row>
        <row r="9038">
          <cell r="B9038" t="str">
            <v/>
          </cell>
        </row>
        <row r="9039">
          <cell r="B9039" t="str">
            <v/>
          </cell>
        </row>
        <row r="9040">
          <cell r="B9040" t="str">
            <v/>
          </cell>
        </row>
        <row r="9041">
          <cell r="B9041" t="str">
            <v/>
          </cell>
        </row>
        <row r="9042">
          <cell r="B9042" t="str">
            <v/>
          </cell>
        </row>
        <row r="9043">
          <cell r="B9043" t="str">
            <v/>
          </cell>
        </row>
        <row r="9044">
          <cell r="B9044" t="str">
            <v/>
          </cell>
        </row>
        <row r="9045">
          <cell r="B9045" t="str">
            <v/>
          </cell>
        </row>
        <row r="9046">
          <cell r="B9046" t="str">
            <v/>
          </cell>
        </row>
        <row r="9047">
          <cell r="B9047" t="str">
            <v/>
          </cell>
        </row>
        <row r="9048">
          <cell r="B9048" t="str">
            <v/>
          </cell>
        </row>
        <row r="9049">
          <cell r="B9049" t="str">
            <v/>
          </cell>
        </row>
        <row r="9050">
          <cell r="B9050" t="str">
            <v/>
          </cell>
        </row>
        <row r="9051">
          <cell r="B9051" t="str">
            <v/>
          </cell>
        </row>
        <row r="9052">
          <cell r="B9052" t="str">
            <v/>
          </cell>
        </row>
        <row r="9053">
          <cell r="B9053" t="str">
            <v/>
          </cell>
        </row>
        <row r="9054">
          <cell r="B9054" t="str">
            <v/>
          </cell>
        </row>
        <row r="9055">
          <cell r="B9055" t="str">
            <v/>
          </cell>
        </row>
        <row r="9056">
          <cell r="B9056" t="str">
            <v/>
          </cell>
        </row>
        <row r="9057">
          <cell r="B9057" t="str">
            <v/>
          </cell>
        </row>
        <row r="9058">
          <cell r="B9058" t="str">
            <v/>
          </cell>
        </row>
        <row r="9059">
          <cell r="B9059" t="str">
            <v/>
          </cell>
        </row>
        <row r="9060">
          <cell r="B9060" t="str">
            <v/>
          </cell>
        </row>
        <row r="9061">
          <cell r="B9061" t="str">
            <v/>
          </cell>
        </row>
        <row r="9062">
          <cell r="B9062" t="str">
            <v/>
          </cell>
        </row>
        <row r="9063">
          <cell r="B9063" t="str">
            <v/>
          </cell>
        </row>
        <row r="9064">
          <cell r="B9064" t="str">
            <v/>
          </cell>
        </row>
        <row r="9065">
          <cell r="B9065" t="str">
            <v/>
          </cell>
        </row>
        <row r="9066">
          <cell r="B9066" t="str">
            <v/>
          </cell>
        </row>
        <row r="9067">
          <cell r="B9067" t="str">
            <v/>
          </cell>
        </row>
        <row r="9068">
          <cell r="B9068" t="str">
            <v/>
          </cell>
        </row>
        <row r="9069">
          <cell r="B9069" t="str">
            <v/>
          </cell>
        </row>
        <row r="9070">
          <cell r="B9070" t="str">
            <v/>
          </cell>
        </row>
        <row r="9071">
          <cell r="B9071" t="str">
            <v/>
          </cell>
        </row>
        <row r="9072">
          <cell r="B9072" t="str">
            <v/>
          </cell>
        </row>
        <row r="9073">
          <cell r="B9073" t="str">
            <v/>
          </cell>
        </row>
        <row r="9074">
          <cell r="B9074" t="str">
            <v/>
          </cell>
        </row>
        <row r="9075">
          <cell r="B9075" t="str">
            <v/>
          </cell>
        </row>
        <row r="9076">
          <cell r="B9076" t="str">
            <v/>
          </cell>
        </row>
        <row r="9077">
          <cell r="B9077" t="str">
            <v/>
          </cell>
        </row>
        <row r="9078">
          <cell r="B9078" t="str">
            <v/>
          </cell>
        </row>
        <row r="9079">
          <cell r="B9079" t="str">
            <v/>
          </cell>
        </row>
        <row r="9080">
          <cell r="B9080" t="str">
            <v/>
          </cell>
        </row>
        <row r="9081">
          <cell r="B9081" t="str">
            <v/>
          </cell>
        </row>
        <row r="9082">
          <cell r="B9082" t="str">
            <v/>
          </cell>
        </row>
        <row r="9083">
          <cell r="B9083" t="str">
            <v/>
          </cell>
        </row>
        <row r="9084">
          <cell r="B9084" t="str">
            <v/>
          </cell>
        </row>
        <row r="9085">
          <cell r="B9085" t="str">
            <v/>
          </cell>
        </row>
        <row r="9086">
          <cell r="B9086" t="str">
            <v/>
          </cell>
        </row>
        <row r="9087">
          <cell r="B9087" t="str">
            <v/>
          </cell>
        </row>
        <row r="9088">
          <cell r="B9088" t="str">
            <v/>
          </cell>
        </row>
        <row r="9089">
          <cell r="B9089" t="str">
            <v/>
          </cell>
        </row>
        <row r="9090">
          <cell r="B9090" t="str">
            <v/>
          </cell>
        </row>
        <row r="9091">
          <cell r="B9091" t="str">
            <v/>
          </cell>
        </row>
        <row r="9092">
          <cell r="B9092" t="str">
            <v/>
          </cell>
        </row>
        <row r="9093">
          <cell r="B9093" t="str">
            <v/>
          </cell>
        </row>
        <row r="9094">
          <cell r="B9094" t="str">
            <v/>
          </cell>
        </row>
        <row r="9095">
          <cell r="B9095" t="str">
            <v/>
          </cell>
        </row>
        <row r="9096">
          <cell r="B9096" t="str">
            <v/>
          </cell>
        </row>
        <row r="9097">
          <cell r="B9097" t="str">
            <v/>
          </cell>
        </row>
        <row r="9098">
          <cell r="B9098" t="str">
            <v/>
          </cell>
        </row>
        <row r="9099">
          <cell r="B9099" t="str">
            <v/>
          </cell>
        </row>
        <row r="9100">
          <cell r="B9100" t="str">
            <v/>
          </cell>
        </row>
        <row r="9101">
          <cell r="B9101" t="str">
            <v/>
          </cell>
        </row>
        <row r="9102">
          <cell r="B9102" t="str">
            <v/>
          </cell>
        </row>
        <row r="9103">
          <cell r="B9103" t="str">
            <v/>
          </cell>
        </row>
        <row r="9104">
          <cell r="B9104" t="str">
            <v/>
          </cell>
        </row>
        <row r="9105">
          <cell r="B9105" t="str">
            <v/>
          </cell>
        </row>
        <row r="9106">
          <cell r="B9106" t="str">
            <v/>
          </cell>
        </row>
        <row r="9107">
          <cell r="B9107" t="str">
            <v/>
          </cell>
        </row>
        <row r="9108">
          <cell r="B9108" t="str">
            <v/>
          </cell>
        </row>
        <row r="9109">
          <cell r="B9109" t="str">
            <v/>
          </cell>
        </row>
        <row r="9110">
          <cell r="B9110" t="str">
            <v/>
          </cell>
        </row>
        <row r="9111">
          <cell r="B9111" t="str">
            <v/>
          </cell>
        </row>
        <row r="9112">
          <cell r="B9112" t="str">
            <v/>
          </cell>
        </row>
        <row r="9113">
          <cell r="B9113" t="str">
            <v/>
          </cell>
        </row>
        <row r="9114">
          <cell r="B9114" t="str">
            <v/>
          </cell>
        </row>
        <row r="9115">
          <cell r="B9115" t="str">
            <v/>
          </cell>
        </row>
        <row r="9116">
          <cell r="B9116" t="str">
            <v/>
          </cell>
        </row>
        <row r="9117">
          <cell r="B9117" t="str">
            <v/>
          </cell>
        </row>
        <row r="9118">
          <cell r="B9118" t="str">
            <v/>
          </cell>
        </row>
        <row r="9119">
          <cell r="B9119" t="str">
            <v/>
          </cell>
        </row>
        <row r="9120">
          <cell r="B9120" t="str">
            <v/>
          </cell>
        </row>
        <row r="9121">
          <cell r="B9121" t="str">
            <v/>
          </cell>
        </row>
        <row r="9122">
          <cell r="B9122" t="str">
            <v/>
          </cell>
        </row>
        <row r="9123">
          <cell r="B9123" t="str">
            <v/>
          </cell>
        </row>
        <row r="9124">
          <cell r="B9124" t="str">
            <v/>
          </cell>
        </row>
        <row r="9125">
          <cell r="B9125" t="str">
            <v/>
          </cell>
        </row>
        <row r="9126">
          <cell r="B9126" t="str">
            <v/>
          </cell>
        </row>
        <row r="9127">
          <cell r="B9127" t="str">
            <v/>
          </cell>
        </row>
        <row r="9128">
          <cell r="B9128" t="str">
            <v/>
          </cell>
        </row>
        <row r="9129">
          <cell r="B9129" t="str">
            <v/>
          </cell>
        </row>
        <row r="9130">
          <cell r="B9130" t="str">
            <v/>
          </cell>
        </row>
        <row r="9131">
          <cell r="B9131" t="str">
            <v/>
          </cell>
        </row>
        <row r="9132">
          <cell r="B9132" t="str">
            <v/>
          </cell>
        </row>
        <row r="9133">
          <cell r="B9133" t="str">
            <v/>
          </cell>
        </row>
        <row r="9134">
          <cell r="B9134" t="str">
            <v/>
          </cell>
        </row>
        <row r="9135">
          <cell r="B9135" t="str">
            <v/>
          </cell>
        </row>
        <row r="9136">
          <cell r="B9136" t="str">
            <v/>
          </cell>
        </row>
        <row r="9137">
          <cell r="B9137" t="str">
            <v/>
          </cell>
        </row>
        <row r="9138">
          <cell r="B9138" t="str">
            <v/>
          </cell>
        </row>
        <row r="9139">
          <cell r="B9139" t="str">
            <v/>
          </cell>
        </row>
        <row r="9140">
          <cell r="B9140" t="str">
            <v/>
          </cell>
        </row>
        <row r="9141">
          <cell r="B9141" t="str">
            <v/>
          </cell>
        </row>
        <row r="9142">
          <cell r="B9142" t="str">
            <v/>
          </cell>
        </row>
        <row r="9143">
          <cell r="B9143" t="str">
            <v/>
          </cell>
        </row>
        <row r="9144">
          <cell r="B9144" t="str">
            <v/>
          </cell>
        </row>
        <row r="9145">
          <cell r="B9145" t="str">
            <v/>
          </cell>
        </row>
        <row r="9146">
          <cell r="B9146" t="str">
            <v/>
          </cell>
        </row>
        <row r="9147">
          <cell r="B9147" t="str">
            <v/>
          </cell>
        </row>
        <row r="9148">
          <cell r="B9148" t="str">
            <v/>
          </cell>
        </row>
        <row r="9149">
          <cell r="B9149" t="str">
            <v/>
          </cell>
        </row>
        <row r="9150">
          <cell r="B9150" t="str">
            <v/>
          </cell>
        </row>
        <row r="9151">
          <cell r="B9151" t="str">
            <v/>
          </cell>
        </row>
        <row r="9152">
          <cell r="B9152" t="str">
            <v/>
          </cell>
        </row>
        <row r="9153">
          <cell r="B9153" t="str">
            <v/>
          </cell>
        </row>
        <row r="9154">
          <cell r="B9154" t="str">
            <v/>
          </cell>
        </row>
        <row r="9155">
          <cell r="B9155" t="str">
            <v/>
          </cell>
        </row>
        <row r="9156">
          <cell r="B9156" t="str">
            <v/>
          </cell>
        </row>
        <row r="9157">
          <cell r="B9157" t="str">
            <v/>
          </cell>
        </row>
        <row r="9158">
          <cell r="B9158" t="str">
            <v/>
          </cell>
        </row>
        <row r="9159">
          <cell r="B9159" t="str">
            <v/>
          </cell>
        </row>
        <row r="9160">
          <cell r="B9160" t="str">
            <v/>
          </cell>
        </row>
        <row r="9161">
          <cell r="B9161" t="str">
            <v/>
          </cell>
        </row>
        <row r="9162">
          <cell r="B9162" t="str">
            <v/>
          </cell>
        </row>
        <row r="9163">
          <cell r="B9163" t="str">
            <v/>
          </cell>
        </row>
        <row r="9164">
          <cell r="B9164" t="str">
            <v/>
          </cell>
        </row>
        <row r="9165">
          <cell r="B9165" t="str">
            <v/>
          </cell>
        </row>
        <row r="9166">
          <cell r="B9166" t="str">
            <v/>
          </cell>
        </row>
        <row r="9167">
          <cell r="B9167" t="str">
            <v/>
          </cell>
        </row>
        <row r="9168">
          <cell r="B9168" t="str">
            <v/>
          </cell>
        </row>
        <row r="9169">
          <cell r="B9169" t="str">
            <v/>
          </cell>
        </row>
        <row r="9170">
          <cell r="B9170" t="str">
            <v/>
          </cell>
        </row>
        <row r="9171">
          <cell r="B9171" t="str">
            <v/>
          </cell>
        </row>
        <row r="9172">
          <cell r="B9172" t="str">
            <v/>
          </cell>
        </row>
        <row r="9173">
          <cell r="B9173" t="str">
            <v/>
          </cell>
        </row>
        <row r="9174">
          <cell r="B9174" t="str">
            <v/>
          </cell>
        </row>
        <row r="9175">
          <cell r="B9175" t="str">
            <v/>
          </cell>
        </row>
        <row r="9176">
          <cell r="B9176" t="str">
            <v/>
          </cell>
        </row>
        <row r="9177">
          <cell r="B9177" t="str">
            <v/>
          </cell>
        </row>
        <row r="9178">
          <cell r="B9178" t="str">
            <v/>
          </cell>
        </row>
        <row r="9179">
          <cell r="B9179" t="str">
            <v/>
          </cell>
        </row>
        <row r="9180">
          <cell r="B9180" t="str">
            <v/>
          </cell>
        </row>
        <row r="9181">
          <cell r="B9181" t="str">
            <v/>
          </cell>
        </row>
        <row r="9182">
          <cell r="B9182" t="str">
            <v/>
          </cell>
        </row>
        <row r="9183">
          <cell r="B9183" t="str">
            <v/>
          </cell>
        </row>
        <row r="9184">
          <cell r="B9184" t="str">
            <v/>
          </cell>
        </row>
        <row r="9185">
          <cell r="B9185" t="str">
            <v/>
          </cell>
        </row>
        <row r="9186">
          <cell r="B9186" t="str">
            <v/>
          </cell>
        </row>
        <row r="9187">
          <cell r="B9187" t="str">
            <v/>
          </cell>
        </row>
        <row r="9188">
          <cell r="B9188" t="str">
            <v/>
          </cell>
        </row>
        <row r="9189">
          <cell r="B9189" t="str">
            <v/>
          </cell>
        </row>
        <row r="9190">
          <cell r="B9190" t="str">
            <v/>
          </cell>
        </row>
        <row r="9191">
          <cell r="B9191" t="str">
            <v/>
          </cell>
        </row>
        <row r="9192">
          <cell r="B9192" t="str">
            <v/>
          </cell>
        </row>
        <row r="9193">
          <cell r="B9193" t="str">
            <v/>
          </cell>
        </row>
        <row r="9194">
          <cell r="B9194" t="str">
            <v/>
          </cell>
        </row>
        <row r="9195">
          <cell r="B9195" t="str">
            <v/>
          </cell>
        </row>
        <row r="9196">
          <cell r="B9196" t="str">
            <v/>
          </cell>
        </row>
        <row r="9197">
          <cell r="B9197" t="str">
            <v/>
          </cell>
        </row>
        <row r="9198">
          <cell r="B9198" t="str">
            <v/>
          </cell>
        </row>
        <row r="9199">
          <cell r="B9199" t="str">
            <v/>
          </cell>
        </row>
        <row r="9200">
          <cell r="B9200" t="str">
            <v/>
          </cell>
        </row>
        <row r="9201">
          <cell r="B9201" t="str">
            <v/>
          </cell>
        </row>
        <row r="9202">
          <cell r="B9202" t="str">
            <v/>
          </cell>
        </row>
        <row r="9203">
          <cell r="B9203" t="str">
            <v/>
          </cell>
        </row>
        <row r="9204">
          <cell r="B9204" t="str">
            <v/>
          </cell>
        </row>
        <row r="9205">
          <cell r="B9205" t="str">
            <v/>
          </cell>
        </row>
        <row r="9206">
          <cell r="B9206" t="str">
            <v/>
          </cell>
        </row>
        <row r="9207">
          <cell r="B9207" t="str">
            <v/>
          </cell>
        </row>
        <row r="9208">
          <cell r="B9208" t="str">
            <v/>
          </cell>
        </row>
        <row r="9209">
          <cell r="B9209" t="str">
            <v/>
          </cell>
        </row>
        <row r="9210">
          <cell r="B9210" t="str">
            <v/>
          </cell>
        </row>
        <row r="9211">
          <cell r="B9211" t="str">
            <v/>
          </cell>
        </row>
        <row r="9212">
          <cell r="B9212" t="str">
            <v/>
          </cell>
        </row>
        <row r="9213">
          <cell r="B9213" t="str">
            <v/>
          </cell>
        </row>
        <row r="9214">
          <cell r="B9214" t="str">
            <v/>
          </cell>
        </row>
        <row r="9215">
          <cell r="B9215" t="str">
            <v/>
          </cell>
        </row>
        <row r="9216">
          <cell r="B9216" t="str">
            <v/>
          </cell>
        </row>
        <row r="9217">
          <cell r="B9217" t="str">
            <v/>
          </cell>
        </row>
        <row r="9218">
          <cell r="B9218" t="str">
            <v/>
          </cell>
        </row>
        <row r="9219">
          <cell r="B9219" t="str">
            <v/>
          </cell>
        </row>
        <row r="9220">
          <cell r="B9220" t="str">
            <v/>
          </cell>
        </row>
        <row r="9221">
          <cell r="B9221" t="str">
            <v/>
          </cell>
        </row>
        <row r="9222">
          <cell r="B9222" t="str">
            <v/>
          </cell>
        </row>
        <row r="9223">
          <cell r="B9223" t="str">
            <v/>
          </cell>
        </row>
        <row r="9224">
          <cell r="B9224" t="str">
            <v/>
          </cell>
        </row>
        <row r="9225">
          <cell r="B9225" t="str">
            <v/>
          </cell>
        </row>
        <row r="9226">
          <cell r="B9226" t="str">
            <v/>
          </cell>
        </row>
        <row r="9227">
          <cell r="B9227" t="str">
            <v/>
          </cell>
        </row>
        <row r="9228">
          <cell r="B9228" t="str">
            <v/>
          </cell>
        </row>
        <row r="9229">
          <cell r="B9229" t="str">
            <v/>
          </cell>
        </row>
        <row r="9230">
          <cell r="B9230" t="str">
            <v/>
          </cell>
        </row>
        <row r="9231">
          <cell r="B9231" t="str">
            <v/>
          </cell>
        </row>
        <row r="9232">
          <cell r="B9232" t="str">
            <v/>
          </cell>
        </row>
        <row r="9233">
          <cell r="B9233" t="str">
            <v/>
          </cell>
        </row>
        <row r="9234">
          <cell r="B9234" t="str">
            <v/>
          </cell>
        </row>
        <row r="9235">
          <cell r="B9235" t="str">
            <v/>
          </cell>
        </row>
        <row r="9236">
          <cell r="B9236" t="str">
            <v/>
          </cell>
        </row>
        <row r="9237">
          <cell r="B9237" t="str">
            <v/>
          </cell>
        </row>
        <row r="9238">
          <cell r="B9238" t="str">
            <v/>
          </cell>
        </row>
        <row r="9239">
          <cell r="B9239" t="str">
            <v/>
          </cell>
        </row>
        <row r="9240">
          <cell r="B9240" t="str">
            <v/>
          </cell>
        </row>
        <row r="9241">
          <cell r="B9241" t="str">
            <v/>
          </cell>
        </row>
        <row r="9242">
          <cell r="B9242" t="str">
            <v/>
          </cell>
        </row>
        <row r="9243">
          <cell r="B9243" t="str">
            <v/>
          </cell>
        </row>
        <row r="9244">
          <cell r="B9244" t="str">
            <v/>
          </cell>
        </row>
        <row r="9245">
          <cell r="B9245" t="str">
            <v/>
          </cell>
        </row>
        <row r="9246">
          <cell r="B9246" t="str">
            <v/>
          </cell>
        </row>
        <row r="9247">
          <cell r="B9247" t="str">
            <v/>
          </cell>
        </row>
        <row r="9248">
          <cell r="B9248" t="str">
            <v/>
          </cell>
        </row>
        <row r="9249">
          <cell r="B9249" t="str">
            <v/>
          </cell>
        </row>
        <row r="9250">
          <cell r="B9250" t="str">
            <v/>
          </cell>
        </row>
        <row r="9251">
          <cell r="B9251" t="str">
            <v/>
          </cell>
        </row>
        <row r="9252">
          <cell r="B9252" t="str">
            <v/>
          </cell>
        </row>
        <row r="9253">
          <cell r="B9253" t="str">
            <v/>
          </cell>
        </row>
        <row r="9254">
          <cell r="B9254" t="str">
            <v/>
          </cell>
        </row>
        <row r="9255">
          <cell r="B9255" t="str">
            <v/>
          </cell>
        </row>
        <row r="9256">
          <cell r="B9256" t="str">
            <v/>
          </cell>
        </row>
        <row r="9257">
          <cell r="B9257" t="str">
            <v/>
          </cell>
        </row>
        <row r="9258">
          <cell r="B9258" t="str">
            <v/>
          </cell>
        </row>
        <row r="9259">
          <cell r="B9259" t="str">
            <v/>
          </cell>
        </row>
        <row r="9260">
          <cell r="B9260" t="str">
            <v/>
          </cell>
        </row>
        <row r="9261">
          <cell r="B9261" t="str">
            <v/>
          </cell>
        </row>
        <row r="9262">
          <cell r="B9262" t="str">
            <v/>
          </cell>
        </row>
        <row r="9263">
          <cell r="B9263" t="str">
            <v/>
          </cell>
        </row>
        <row r="9264">
          <cell r="B9264" t="str">
            <v/>
          </cell>
        </row>
        <row r="9265">
          <cell r="B9265" t="str">
            <v/>
          </cell>
        </row>
        <row r="9266">
          <cell r="B9266" t="str">
            <v/>
          </cell>
        </row>
        <row r="9267">
          <cell r="B9267" t="str">
            <v/>
          </cell>
        </row>
        <row r="9268">
          <cell r="B9268" t="str">
            <v/>
          </cell>
        </row>
        <row r="9269">
          <cell r="B9269" t="str">
            <v/>
          </cell>
        </row>
        <row r="9270">
          <cell r="B9270" t="str">
            <v/>
          </cell>
        </row>
        <row r="9271">
          <cell r="B9271" t="str">
            <v/>
          </cell>
        </row>
        <row r="9272">
          <cell r="B9272" t="str">
            <v/>
          </cell>
        </row>
        <row r="9273">
          <cell r="B9273" t="str">
            <v/>
          </cell>
        </row>
        <row r="9274">
          <cell r="B9274" t="str">
            <v/>
          </cell>
        </row>
        <row r="9275">
          <cell r="B9275" t="str">
            <v/>
          </cell>
        </row>
        <row r="9276">
          <cell r="B9276" t="str">
            <v/>
          </cell>
        </row>
        <row r="9277">
          <cell r="B9277" t="str">
            <v/>
          </cell>
        </row>
        <row r="9278">
          <cell r="B9278" t="str">
            <v/>
          </cell>
        </row>
        <row r="9279">
          <cell r="B9279" t="str">
            <v/>
          </cell>
        </row>
        <row r="9280">
          <cell r="B9280" t="str">
            <v/>
          </cell>
        </row>
        <row r="9281">
          <cell r="B9281" t="str">
            <v/>
          </cell>
        </row>
        <row r="9282">
          <cell r="B9282" t="str">
            <v/>
          </cell>
        </row>
        <row r="9283">
          <cell r="B9283" t="str">
            <v/>
          </cell>
        </row>
        <row r="9284">
          <cell r="B9284" t="str">
            <v/>
          </cell>
        </row>
        <row r="9285">
          <cell r="B9285" t="str">
            <v/>
          </cell>
        </row>
        <row r="9286">
          <cell r="B9286" t="str">
            <v/>
          </cell>
        </row>
        <row r="9287">
          <cell r="B9287" t="str">
            <v/>
          </cell>
        </row>
        <row r="9288">
          <cell r="B9288" t="str">
            <v/>
          </cell>
        </row>
        <row r="9289">
          <cell r="B9289" t="str">
            <v/>
          </cell>
        </row>
        <row r="9290">
          <cell r="B9290" t="str">
            <v/>
          </cell>
        </row>
        <row r="9291">
          <cell r="B9291" t="str">
            <v/>
          </cell>
        </row>
        <row r="9292">
          <cell r="B9292" t="str">
            <v/>
          </cell>
        </row>
        <row r="9293">
          <cell r="B9293" t="str">
            <v/>
          </cell>
        </row>
        <row r="9294">
          <cell r="B9294" t="str">
            <v/>
          </cell>
        </row>
        <row r="9295">
          <cell r="B9295" t="str">
            <v/>
          </cell>
        </row>
        <row r="9296">
          <cell r="B9296" t="str">
            <v/>
          </cell>
        </row>
        <row r="9297">
          <cell r="B9297" t="str">
            <v/>
          </cell>
        </row>
        <row r="9298">
          <cell r="B9298" t="str">
            <v/>
          </cell>
        </row>
        <row r="9299">
          <cell r="B9299" t="str">
            <v/>
          </cell>
        </row>
        <row r="9300">
          <cell r="B9300" t="str">
            <v/>
          </cell>
        </row>
        <row r="9301">
          <cell r="B9301" t="str">
            <v/>
          </cell>
        </row>
        <row r="9302">
          <cell r="B9302" t="str">
            <v/>
          </cell>
        </row>
        <row r="9303">
          <cell r="B9303" t="str">
            <v/>
          </cell>
        </row>
        <row r="9304">
          <cell r="B9304" t="str">
            <v/>
          </cell>
        </row>
        <row r="9305">
          <cell r="B9305" t="str">
            <v/>
          </cell>
        </row>
        <row r="9306">
          <cell r="B9306" t="str">
            <v/>
          </cell>
        </row>
        <row r="9307">
          <cell r="B9307" t="str">
            <v/>
          </cell>
        </row>
        <row r="9308">
          <cell r="B9308" t="str">
            <v/>
          </cell>
        </row>
        <row r="9309">
          <cell r="B9309" t="str">
            <v/>
          </cell>
        </row>
        <row r="9310">
          <cell r="B9310" t="str">
            <v/>
          </cell>
        </row>
        <row r="9311">
          <cell r="B9311" t="str">
            <v/>
          </cell>
        </row>
        <row r="9312">
          <cell r="B9312" t="str">
            <v/>
          </cell>
        </row>
        <row r="9313">
          <cell r="B9313" t="str">
            <v/>
          </cell>
        </row>
        <row r="9314">
          <cell r="B9314" t="str">
            <v/>
          </cell>
        </row>
        <row r="9315">
          <cell r="B9315" t="str">
            <v/>
          </cell>
        </row>
        <row r="9316">
          <cell r="B9316" t="str">
            <v/>
          </cell>
        </row>
        <row r="9317">
          <cell r="B9317" t="str">
            <v/>
          </cell>
        </row>
        <row r="9318">
          <cell r="B9318" t="str">
            <v/>
          </cell>
        </row>
        <row r="9319">
          <cell r="B9319" t="str">
            <v/>
          </cell>
        </row>
        <row r="9320">
          <cell r="B9320" t="str">
            <v/>
          </cell>
        </row>
        <row r="9321">
          <cell r="B9321" t="str">
            <v/>
          </cell>
        </row>
        <row r="9322">
          <cell r="B9322" t="str">
            <v/>
          </cell>
        </row>
        <row r="9323">
          <cell r="B9323" t="str">
            <v/>
          </cell>
        </row>
        <row r="9324">
          <cell r="B9324" t="str">
            <v/>
          </cell>
        </row>
        <row r="9325">
          <cell r="B9325" t="str">
            <v/>
          </cell>
        </row>
        <row r="9326">
          <cell r="B9326" t="str">
            <v/>
          </cell>
        </row>
        <row r="9327">
          <cell r="B9327" t="str">
            <v/>
          </cell>
        </row>
        <row r="9328">
          <cell r="B9328" t="str">
            <v/>
          </cell>
        </row>
        <row r="9329">
          <cell r="B9329" t="str">
            <v/>
          </cell>
        </row>
        <row r="9330">
          <cell r="B9330" t="str">
            <v/>
          </cell>
        </row>
        <row r="9331">
          <cell r="B9331" t="str">
            <v/>
          </cell>
        </row>
        <row r="9332">
          <cell r="B9332" t="str">
            <v/>
          </cell>
        </row>
        <row r="9333">
          <cell r="B9333" t="str">
            <v/>
          </cell>
        </row>
        <row r="9334">
          <cell r="B9334" t="str">
            <v/>
          </cell>
        </row>
        <row r="9335">
          <cell r="B9335" t="str">
            <v/>
          </cell>
        </row>
        <row r="9336">
          <cell r="B9336" t="str">
            <v/>
          </cell>
        </row>
        <row r="9337">
          <cell r="B9337" t="str">
            <v/>
          </cell>
        </row>
        <row r="9338">
          <cell r="B9338" t="str">
            <v/>
          </cell>
        </row>
        <row r="9339">
          <cell r="B9339" t="str">
            <v/>
          </cell>
        </row>
        <row r="9340">
          <cell r="B9340" t="str">
            <v/>
          </cell>
        </row>
        <row r="9341">
          <cell r="B9341" t="str">
            <v/>
          </cell>
        </row>
        <row r="9342">
          <cell r="B9342" t="str">
            <v/>
          </cell>
        </row>
        <row r="9343">
          <cell r="B9343" t="str">
            <v/>
          </cell>
        </row>
        <row r="9344">
          <cell r="B9344" t="str">
            <v/>
          </cell>
        </row>
        <row r="9345">
          <cell r="B9345" t="str">
            <v/>
          </cell>
        </row>
        <row r="9346">
          <cell r="B9346" t="str">
            <v/>
          </cell>
        </row>
        <row r="9347">
          <cell r="B9347" t="str">
            <v/>
          </cell>
        </row>
        <row r="9348">
          <cell r="B9348" t="str">
            <v/>
          </cell>
        </row>
        <row r="9349">
          <cell r="B9349" t="str">
            <v/>
          </cell>
        </row>
        <row r="9350">
          <cell r="B9350" t="str">
            <v/>
          </cell>
        </row>
        <row r="9351">
          <cell r="B9351" t="str">
            <v/>
          </cell>
        </row>
        <row r="9352">
          <cell r="B9352" t="str">
            <v/>
          </cell>
        </row>
        <row r="9353">
          <cell r="B9353" t="str">
            <v/>
          </cell>
        </row>
        <row r="9354">
          <cell r="B9354" t="str">
            <v/>
          </cell>
        </row>
        <row r="9355">
          <cell r="B9355" t="str">
            <v/>
          </cell>
        </row>
        <row r="9356">
          <cell r="B9356" t="str">
            <v/>
          </cell>
        </row>
        <row r="9357">
          <cell r="B9357" t="str">
            <v/>
          </cell>
        </row>
        <row r="9358">
          <cell r="B9358" t="str">
            <v/>
          </cell>
        </row>
        <row r="9359">
          <cell r="B9359" t="str">
            <v/>
          </cell>
        </row>
        <row r="9360">
          <cell r="B9360" t="str">
            <v/>
          </cell>
        </row>
        <row r="9361">
          <cell r="B9361" t="str">
            <v/>
          </cell>
        </row>
        <row r="9362">
          <cell r="B9362" t="str">
            <v/>
          </cell>
        </row>
        <row r="9363">
          <cell r="B9363" t="str">
            <v/>
          </cell>
        </row>
        <row r="9364">
          <cell r="B9364" t="str">
            <v/>
          </cell>
        </row>
        <row r="9365">
          <cell r="B9365" t="str">
            <v/>
          </cell>
        </row>
        <row r="9366">
          <cell r="B9366" t="str">
            <v/>
          </cell>
        </row>
        <row r="9367">
          <cell r="B9367" t="str">
            <v/>
          </cell>
        </row>
        <row r="9368">
          <cell r="B9368" t="str">
            <v/>
          </cell>
        </row>
        <row r="9369">
          <cell r="B9369" t="str">
            <v/>
          </cell>
        </row>
        <row r="9370">
          <cell r="B9370" t="str">
            <v/>
          </cell>
        </row>
        <row r="9371">
          <cell r="B9371" t="str">
            <v/>
          </cell>
        </row>
        <row r="9372">
          <cell r="B9372" t="str">
            <v/>
          </cell>
        </row>
        <row r="9373">
          <cell r="B9373" t="str">
            <v/>
          </cell>
        </row>
        <row r="9374">
          <cell r="B9374" t="str">
            <v/>
          </cell>
        </row>
        <row r="9375">
          <cell r="B9375" t="str">
            <v/>
          </cell>
        </row>
        <row r="9376">
          <cell r="B9376" t="str">
            <v/>
          </cell>
        </row>
        <row r="9377">
          <cell r="B9377" t="str">
            <v/>
          </cell>
        </row>
        <row r="9378">
          <cell r="B9378" t="str">
            <v/>
          </cell>
        </row>
        <row r="9379">
          <cell r="B9379" t="str">
            <v/>
          </cell>
        </row>
        <row r="9380">
          <cell r="B9380" t="str">
            <v/>
          </cell>
        </row>
        <row r="9381">
          <cell r="B9381" t="str">
            <v/>
          </cell>
        </row>
        <row r="9382">
          <cell r="B9382" t="str">
            <v/>
          </cell>
        </row>
        <row r="9383">
          <cell r="B9383" t="str">
            <v/>
          </cell>
        </row>
        <row r="9384">
          <cell r="B9384" t="str">
            <v/>
          </cell>
        </row>
        <row r="9385">
          <cell r="B9385" t="str">
            <v/>
          </cell>
        </row>
        <row r="9386">
          <cell r="B9386" t="str">
            <v/>
          </cell>
        </row>
        <row r="9387">
          <cell r="B9387" t="str">
            <v/>
          </cell>
        </row>
        <row r="9388">
          <cell r="B9388" t="str">
            <v/>
          </cell>
        </row>
        <row r="9389">
          <cell r="B9389" t="str">
            <v/>
          </cell>
        </row>
        <row r="9390">
          <cell r="B9390" t="str">
            <v/>
          </cell>
        </row>
        <row r="9391">
          <cell r="B9391" t="str">
            <v/>
          </cell>
        </row>
        <row r="9392">
          <cell r="B9392" t="str">
            <v/>
          </cell>
        </row>
        <row r="9393">
          <cell r="B9393" t="str">
            <v/>
          </cell>
        </row>
        <row r="9394">
          <cell r="B9394" t="str">
            <v/>
          </cell>
        </row>
        <row r="9395">
          <cell r="B9395" t="str">
            <v/>
          </cell>
        </row>
        <row r="9396">
          <cell r="B9396" t="str">
            <v/>
          </cell>
        </row>
        <row r="9397">
          <cell r="B9397" t="str">
            <v/>
          </cell>
        </row>
        <row r="9398">
          <cell r="B9398" t="str">
            <v/>
          </cell>
        </row>
        <row r="9399">
          <cell r="B9399" t="str">
            <v/>
          </cell>
        </row>
        <row r="9400">
          <cell r="B9400" t="str">
            <v/>
          </cell>
        </row>
        <row r="9401">
          <cell r="B9401" t="str">
            <v/>
          </cell>
        </row>
        <row r="9402">
          <cell r="B9402" t="str">
            <v/>
          </cell>
        </row>
        <row r="9403">
          <cell r="B9403" t="str">
            <v/>
          </cell>
        </row>
        <row r="9404">
          <cell r="B9404" t="str">
            <v/>
          </cell>
        </row>
        <row r="9405">
          <cell r="B9405" t="str">
            <v/>
          </cell>
        </row>
        <row r="9406">
          <cell r="B9406" t="str">
            <v/>
          </cell>
        </row>
        <row r="9407">
          <cell r="B9407" t="str">
            <v/>
          </cell>
        </row>
        <row r="9408">
          <cell r="B9408" t="str">
            <v/>
          </cell>
        </row>
        <row r="9409">
          <cell r="B9409" t="str">
            <v/>
          </cell>
        </row>
        <row r="9410">
          <cell r="B9410" t="str">
            <v/>
          </cell>
        </row>
        <row r="9411">
          <cell r="B9411" t="str">
            <v/>
          </cell>
        </row>
        <row r="9412">
          <cell r="B9412" t="str">
            <v/>
          </cell>
        </row>
        <row r="9413">
          <cell r="B9413" t="str">
            <v/>
          </cell>
        </row>
        <row r="9414">
          <cell r="B9414" t="str">
            <v/>
          </cell>
        </row>
        <row r="9415">
          <cell r="B9415" t="str">
            <v/>
          </cell>
        </row>
        <row r="9416">
          <cell r="B9416" t="str">
            <v/>
          </cell>
        </row>
        <row r="9417">
          <cell r="B9417" t="str">
            <v/>
          </cell>
        </row>
        <row r="9418">
          <cell r="B9418" t="str">
            <v/>
          </cell>
        </row>
        <row r="9419">
          <cell r="B9419" t="str">
            <v/>
          </cell>
        </row>
        <row r="9420">
          <cell r="B9420" t="str">
            <v/>
          </cell>
        </row>
        <row r="9421">
          <cell r="B9421" t="str">
            <v/>
          </cell>
        </row>
        <row r="9422">
          <cell r="B9422" t="str">
            <v/>
          </cell>
        </row>
        <row r="9423">
          <cell r="B9423" t="str">
            <v/>
          </cell>
        </row>
        <row r="9424">
          <cell r="B9424" t="str">
            <v/>
          </cell>
        </row>
        <row r="9425">
          <cell r="B9425" t="str">
            <v/>
          </cell>
        </row>
        <row r="9426">
          <cell r="B9426" t="str">
            <v/>
          </cell>
        </row>
        <row r="9427">
          <cell r="B9427" t="str">
            <v/>
          </cell>
        </row>
        <row r="9428">
          <cell r="B9428" t="str">
            <v/>
          </cell>
        </row>
        <row r="9429">
          <cell r="B9429" t="str">
            <v/>
          </cell>
        </row>
        <row r="9430">
          <cell r="B9430" t="str">
            <v/>
          </cell>
        </row>
        <row r="9431">
          <cell r="B9431" t="str">
            <v/>
          </cell>
        </row>
        <row r="9432">
          <cell r="B9432" t="str">
            <v/>
          </cell>
        </row>
        <row r="9433">
          <cell r="B9433" t="str">
            <v/>
          </cell>
        </row>
        <row r="9434">
          <cell r="B9434" t="str">
            <v/>
          </cell>
        </row>
        <row r="9435">
          <cell r="B9435" t="str">
            <v/>
          </cell>
        </row>
        <row r="9436">
          <cell r="B9436" t="str">
            <v/>
          </cell>
        </row>
        <row r="9437">
          <cell r="B9437" t="str">
            <v/>
          </cell>
        </row>
        <row r="9438">
          <cell r="B9438" t="str">
            <v/>
          </cell>
        </row>
        <row r="9439">
          <cell r="B9439" t="str">
            <v/>
          </cell>
        </row>
        <row r="9440">
          <cell r="B9440" t="str">
            <v/>
          </cell>
        </row>
        <row r="9441">
          <cell r="B9441" t="str">
            <v/>
          </cell>
        </row>
        <row r="9442">
          <cell r="B9442" t="str">
            <v/>
          </cell>
        </row>
        <row r="9443">
          <cell r="B9443" t="str">
            <v/>
          </cell>
        </row>
        <row r="9444">
          <cell r="B9444" t="str">
            <v/>
          </cell>
        </row>
        <row r="9445">
          <cell r="B9445" t="str">
            <v/>
          </cell>
        </row>
        <row r="9446">
          <cell r="B9446" t="str">
            <v/>
          </cell>
        </row>
        <row r="9447">
          <cell r="B9447" t="str">
            <v/>
          </cell>
        </row>
        <row r="9448">
          <cell r="B9448" t="str">
            <v/>
          </cell>
        </row>
        <row r="9449">
          <cell r="B9449" t="str">
            <v/>
          </cell>
        </row>
        <row r="9450">
          <cell r="B9450" t="str">
            <v/>
          </cell>
        </row>
        <row r="9451">
          <cell r="B9451" t="str">
            <v/>
          </cell>
        </row>
        <row r="9452">
          <cell r="B9452" t="str">
            <v/>
          </cell>
        </row>
        <row r="9453">
          <cell r="B9453" t="str">
            <v/>
          </cell>
        </row>
        <row r="9454">
          <cell r="B9454" t="str">
            <v/>
          </cell>
        </row>
        <row r="9455">
          <cell r="B9455" t="str">
            <v/>
          </cell>
        </row>
        <row r="9456">
          <cell r="B9456" t="str">
            <v/>
          </cell>
        </row>
        <row r="9457">
          <cell r="B9457" t="str">
            <v/>
          </cell>
        </row>
        <row r="9458">
          <cell r="B9458" t="str">
            <v/>
          </cell>
        </row>
        <row r="9459">
          <cell r="B9459" t="str">
            <v/>
          </cell>
        </row>
        <row r="9460">
          <cell r="B9460" t="str">
            <v/>
          </cell>
        </row>
        <row r="9461">
          <cell r="B9461" t="str">
            <v/>
          </cell>
        </row>
        <row r="9462">
          <cell r="B9462" t="str">
            <v/>
          </cell>
        </row>
        <row r="9463">
          <cell r="B9463" t="str">
            <v/>
          </cell>
        </row>
        <row r="9464">
          <cell r="B9464" t="str">
            <v/>
          </cell>
        </row>
        <row r="9465">
          <cell r="B9465" t="str">
            <v/>
          </cell>
        </row>
        <row r="9466">
          <cell r="B9466" t="str">
            <v/>
          </cell>
        </row>
        <row r="9467">
          <cell r="B9467" t="str">
            <v/>
          </cell>
        </row>
        <row r="9468">
          <cell r="B9468" t="str">
            <v/>
          </cell>
        </row>
        <row r="9469">
          <cell r="B9469" t="str">
            <v/>
          </cell>
        </row>
        <row r="9470">
          <cell r="B9470" t="str">
            <v/>
          </cell>
        </row>
        <row r="9471">
          <cell r="B9471" t="str">
            <v/>
          </cell>
        </row>
        <row r="9472">
          <cell r="B9472" t="str">
            <v/>
          </cell>
        </row>
        <row r="9473">
          <cell r="B9473" t="str">
            <v/>
          </cell>
        </row>
        <row r="9474">
          <cell r="B9474" t="str">
            <v/>
          </cell>
        </row>
        <row r="9475">
          <cell r="B9475" t="str">
            <v/>
          </cell>
        </row>
        <row r="9476">
          <cell r="B9476" t="str">
            <v/>
          </cell>
        </row>
        <row r="9477">
          <cell r="B9477" t="str">
            <v/>
          </cell>
        </row>
        <row r="9478">
          <cell r="B9478" t="str">
            <v/>
          </cell>
        </row>
        <row r="9479">
          <cell r="B9479" t="str">
            <v/>
          </cell>
        </row>
        <row r="9480">
          <cell r="B9480" t="str">
            <v/>
          </cell>
        </row>
        <row r="9481">
          <cell r="B9481" t="str">
            <v/>
          </cell>
        </row>
        <row r="9482">
          <cell r="B9482" t="str">
            <v/>
          </cell>
        </row>
        <row r="9483">
          <cell r="B9483" t="str">
            <v/>
          </cell>
        </row>
        <row r="9484">
          <cell r="B9484" t="str">
            <v/>
          </cell>
        </row>
        <row r="9485">
          <cell r="B9485" t="str">
            <v/>
          </cell>
        </row>
        <row r="9486">
          <cell r="B9486" t="str">
            <v/>
          </cell>
        </row>
        <row r="9487">
          <cell r="B9487" t="str">
            <v/>
          </cell>
        </row>
        <row r="9488">
          <cell r="B9488" t="str">
            <v/>
          </cell>
        </row>
        <row r="9489">
          <cell r="B9489" t="str">
            <v/>
          </cell>
        </row>
        <row r="9490">
          <cell r="B9490" t="str">
            <v/>
          </cell>
        </row>
        <row r="9491">
          <cell r="B9491" t="str">
            <v/>
          </cell>
        </row>
        <row r="9492">
          <cell r="B9492" t="str">
            <v/>
          </cell>
        </row>
        <row r="9493">
          <cell r="B9493" t="str">
            <v/>
          </cell>
        </row>
        <row r="9494">
          <cell r="B9494" t="str">
            <v/>
          </cell>
        </row>
        <row r="9495">
          <cell r="B9495" t="str">
            <v/>
          </cell>
        </row>
        <row r="9496">
          <cell r="B9496" t="str">
            <v/>
          </cell>
        </row>
        <row r="9497">
          <cell r="B9497" t="str">
            <v/>
          </cell>
        </row>
        <row r="9498">
          <cell r="B9498" t="str">
            <v/>
          </cell>
        </row>
        <row r="9499">
          <cell r="B9499" t="str">
            <v/>
          </cell>
        </row>
        <row r="9500">
          <cell r="B9500" t="str">
            <v/>
          </cell>
        </row>
        <row r="9501">
          <cell r="B9501" t="str">
            <v/>
          </cell>
        </row>
        <row r="9502">
          <cell r="B9502" t="str">
            <v/>
          </cell>
        </row>
        <row r="9503">
          <cell r="B9503" t="str">
            <v/>
          </cell>
        </row>
        <row r="9504">
          <cell r="B9504" t="str">
            <v/>
          </cell>
        </row>
        <row r="9505">
          <cell r="B9505" t="str">
            <v/>
          </cell>
        </row>
        <row r="9506">
          <cell r="B9506" t="str">
            <v/>
          </cell>
        </row>
        <row r="9507">
          <cell r="B9507" t="str">
            <v/>
          </cell>
        </row>
        <row r="9508">
          <cell r="B9508" t="str">
            <v/>
          </cell>
        </row>
        <row r="9509">
          <cell r="B9509" t="str">
            <v/>
          </cell>
        </row>
        <row r="9510">
          <cell r="B9510" t="str">
            <v/>
          </cell>
        </row>
        <row r="9511">
          <cell r="B9511" t="str">
            <v/>
          </cell>
        </row>
        <row r="9512">
          <cell r="B9512" t="str">
            <v/>
          </cell>
        </row>
        <row r="9513">
          <cell r="B9513" t="str">
            <v/>
          </cell>
        </row>
        <row r="9514">
          <cell r="B9514" t="str">
            <v/>
          </cell>
        </row>
        <row r="9515">
          <cell r="B9515" t="str">
            <v/>
          </cell>
        </row>
        <row r="9516">
          <cell r="B9516" t="str">
            <v/>
          </cell>
        </row>
        <row r="9517">
          <cell r="B9517" t="str">
            <v/>
          </cell>
        </row>
        <row r="9518">
          <cell r="B9518" t="str">
            <v/>
          </cell>
        </row>
        <row r="9519">
          <cell r="B9519" t="str">
            <v/>
          </cell>
        </row>
        <row r="9520">
          <cell r="B9520" t="str">
            <v/>
          </cell>
        </row>
        <row r="9521">
          <cell r="B9521" t="str">
            <v/>
          </cell>
        </row>
        <row r="9522">
          <cell r="B9522" t="str">
            <v/>
          </cell>
        </row>
        <row r="9523">
          <cell r="B9523" t="str">
            <v/>
          </cell>
        </row>
        <row r="9524">
          <cell r="B9524" t="str">
            <v/>
          </cell>
        </row>
        <row r="9525">
          <cell r="B9525" t="str">
            <v/>
          </cell>
        </row>
        <row r="9526">
          <cell r="B9526" t="str">
            <v/>
          </cell>
        </row>
        <row r="9527">
          <cell r="B9527" t="str">
            <v/>
          </cell>
        </row>
        <row r="9528">
          <cell r="B9528" t="str">
            <v/>
          </cell>
        </row>
        <row r="9529">
          <cell r="B9529" t="str">
            <v/>
          </cell>
        </row>
        <row r="9530">
          <cell r="B9530" t="str">
            <v/>
          </cell>
        </row>
        <row r="9531">
          <cell r="B9531" t="str">
            <v/>
          </cell>
        </row>
        <row r="9532">
          <cell r="B9532" t="str">
            <v/>
          </cell>
        </row>
        <row r="9533">
          <cell r="B9533" t="str">
            <v/>
          </cell>
        </row>
        <row r="9534">
          <cell r="B9534" t="str">
            <v/>
          </cell>
        </row>
        <row r="9535">
          <cell r="B9535" t="str">
            <v/>
          </cell>
        </row>
        <row r="9536">
          <cell r="B9536" t="str">
            <v/>
          </cell>
        </row>
        <row r="9537">
          <cell r="B9537" t="str">
            <v/>
          </cell>
        </row>
        <row r="9538">
          <cell r="B9538" t="str">
            <v/>
          </cell>
        </row>
        <row r="9539">
          <cell r="B9539" t="str">
            <v/>
          </cell>
        </row>
        <row r="9540">
          <cell r="B9540" t="str">
            <v/>
          </cell>
        </row>
        <row r="9541">
          <cell r="B9541" t="str">
            <v/>
          </cell>
        </row>
        <row r="9542">
          <cell r="B9542" t="str">
            <v/>
          </cell>
        </row>
        <row r="9543">
          <cell r="B9543" t="str">
            <v/>
          </cell>
        </row>
        <row r="9544">
          <cell r="B9544" t="str">
            <v/>
          </cell>
        </row>
        <row r="9545">
          <cell r="B9545" t="str">
            <v/>
          </cell>
        </row>
        <row r="9546">
          <cell r="B9546" t="str">
            <v/>
          </cell>
        </row>
        <row r="9547">
          <cell r="B9547" t="str">
            <v/>
          </cell>
        </row>
        <row r="9548">
          <cell r="B9548" t="str">
            <v/>
          </cell>
        </row>
        <row r="9549">
          <cell r="B9549" t="str">
            <v/>
          </cell>
        </row>
        <row r="9550">
          <cell r="B9550" t="str">
            <v/>
          </cell>
        </row>
        <row r="9551">
          <cell r="B9551" t="str">
            <v/>
          </cell>
        </row>
        <row r="9552">
          <cell r="B9552" t="str">
            <v/>
          </cell>
        </row>
        <row r="9553">
          <cell r="B9553" t="str">
            <v/>
          </cell>
        </row>
        <row r="9554">
          <cell r="B9554" t="str">
            <v/>
          </cell>
        </row>
        <row r="9555">
          <cell r="B9555" t="str">
            <v/>
          </cell>
        </row>
        <row r="9556">
          <cell r="B9556" t="str">
            <v/>
          </cell>
        </row>
        <row r="9557">
          <cell r="B9557" t="str">
            <v/>
          </cell>
        </row>
        <row r="9558">
          <cell r="B9558" t="str">
            <v/>
          </cell>
        </row>
        <row r="9559">
          <cell r="B9559" t="str">
            <v/>
          </cell>
        </row>
        <row r="9560">
          <cell r="B9560" t="str">
            <v/>
          </cell>
        </row>
        <row r="9561">
          <cell r="B9561" t="str">
            <v/>
          </cell>
        </row>
        <row r="9562">
          <cell r="B9562" t="str">
            <v/>
          </cell>
        </row>
        <row r="9563">
          <cell r="B9563" t="str">
            <v/>
          </cell>
        </row>
        <row r="9564">
          <cell r="B9564" t="str">
            <v/>
          </cell>
        </row>
        <row r="9565">
          <cell r="B9565" t="str">
            <v/>
          </cell>
        </row>
        <row r="9566">
          <cell r="B9566" t="str">
            <v/>
          </cell>
        </row>
        <row r="9567">
          <cell r="B9567" t="str">
            <v/>
          </cell>
        </row>
        <row r="9568">
          <cell r="B9568" t="str">
            <v/>
          </cell>
        </row>
        <row r="9569">
          <cell r="B9569" t="str">
            <v/>
          </cell>
        </row>
        <row r="9570">
          <cell r="B9570" t="str">
            <v/>
          </cell>
        </row>
        <row r="9571">
          <cell r="B9571" t="str">
            <v/>
          </cell>
        </row>
        <row r="9572">
          <cell r="B9572" t="str">
            <v/>
          </cell>
        </row>
        <row r="9573">
          <cell r="B9573" t="str">
            <v/>
          </cell>
        </row>
        <row r="9574">
          <cell r="B9574" t="str">
            <v/>
          </cell>
        </row>
        <row r="9575">
          <cell r="B9575" t="str">
            <v/>
          </cell>
        </row>
        <row r="9576">
          <cell r="B9576" t="str">
            <v/>
          </cell>
        </row>
        <row r="9577">
          <cell r="B9577" t="str">
            <v/>
          </cell>
        </row>
        <row r="9578">
          <cell r="B9578" t="str">
            <v/>
          </cell>
        </row>
        <row r="9579">
          <cell r="B9579" t="str">
            <v/>
          </cell>
        </row>
        <row r="9580">
          <cell r="B9580" t="str">
            <v/>
          </cell>
        </row>
        <row r="9581">
          <cell r="B9581" t="str">
            <v/>
          </cell>
        </row>
        <row r="9582">
          <cell r="B9582" t="str">
            <v/>
          </cell>
        </row>
        <row r="9583">
          <cell r="B9583" t="str">
            <v/>
          </cell>
        </row>
        <row r="9584">
          <cell r="B9584" t="str">
            <v/>
          </cell>
        </row>
        <row r="9585">
          <cell r="B9585" t="str">
            <v/>
          </cell>
        </row>
        <row r="9586">
          <cell r="B9586" t="str">
            <v/>
          </cell>
        </row>
        <row r="9587">
          <cell r="B9587" t="str">
            <v/>
          </cell>
        </row>
        <row r="9588">
          <cell r="B9588" t="str">
            <v/>
          </cell>
        </row>
        <row r="9589">
          <cell r="B9589" t="str">
            <v/>
          </cell>
        </row>
        <row r="9590">
          <cell r="B9590" t="str">
            <v/>
          </cell>
        </row>
        <row r="9591">
          <cell r="B9591" t="str">
            <v/>
          </cell>
        </row>
        <row r="9592">
          <cell r="B9592" t="str">
            <v/>
          </cell>
        </row>
        <row r="9593">
          <cell r="B9593" t="str">
            <v/>
          </cell>
        </row>
        <row r="9594">
          <cell r="B9594" t="str">
            <v/>
          </cell>
        </row>
        <row r="9595">
          <cell r="B9595" t="str">
            <v/>
          </cell>
        </row>
        <row r="9596">
          <cell r="B9596" t="str">
            <v/>
          </cell>
        </row>
        <row r="9597">
          <cell r="B9597" t="str">
            <v/>
          </cell>
        </row>
        <row r="9598">
          <cell r="B9598" t="str">
            <v/>
          </cell>
        </row>
        <row r="9599">
          <cell r="B9599" t="str">
            <v/>
          </cell>
        </row>
        <row r="9600">
          <cell r="B9600" t="str">
            <v/>
          </cell>
        </row>
        <row r="9601">
          <cell r="B9601" t="str">
            <v/>
          </cell>
        </row>
        <row r="9602">
          <cell r="B9602" t="str">
            <v/>
          </cell>
        </row>
        <row r="9603">
          <cell r="B9603" t="str">
            <v/>
          </cell>
        </row>
        <row r="9604">
          <cell r="B9604" t="str">
            <v/>
          </cell>
        </row>
        <row r="9605">
          <cell r="B9605" t="str">
            <v/>
          </cell>
        </row>
        <row r="9606">
          <cell r="B9606" t="str">
            <v/>
          </cell>
        </row>
        <row r="9607">
          <cell r="B9607" t="str">
            <v/>
          </cell>
        </row>
        <row r="9608">
          <cell r="B9608" t="str">
            <v/>
          </cell>
        </row>
        <row r="9609">
          <cell r="B9609" t="str">
            <v/>
          </cell>
        </row>
        <row r="9610">
          <cell r="B9610" t="str">
            <v/>
          </cell>
        </row>
        <row r="9611">
          <cell r="B9611" t="str">
            <v/>
          </cell>
        </row>
        <row r="9612">
          <cell r="B9612" t="str">
            <v/>
          </cell>
        </row>
        <row r="9613">
          <cell r="B9613" t="str">
            <v/>
          </cell>
        </row>
        <row r="9614">
          <cell r="B9614" t="str">
            <v/>
          </cell>
        </row>
        <row r="9615">
          <cell r="B9615" t="str">
            <v/>
          </cell>
        </row>
        <row r="9616">
          <cell r="B9616" t="str">
            <v/>
          </cell>
        </row>
        <row r="9617">
          <cell r="B9617" t="str">
            <v/>
          </cell>
        </row>
        <row r="9618">
          <cell r="B9618" t="str">
            <v/>
          </cell>
        </row>
        <row r="9619">
          <cell r="B9619" t="str">
            <v/>
          </cell>
        </row>
        <row r="9620">
          <cell r="B9620" t="str">
            <v/>
          </cell>
        </row>
        <row r="9621">
          <cell r="B9621" t="str">
            <v/>
          </cell>
        </row>
        <row r="9622">
          <cell r="B9622" t="str">
            <v/>
          </cell>
        </row>
        <row r="9623">
          <cell r="B9623" t="str">
            <v/>
          </cell>
        </row>
        <row r="9624">
          <cell r="B9624" t="str">
            <v/>
          </cell>
        </row>
        <row r="9625">
          <cell r="B9625" t="str">
            <v/>
          </cell>
        </row>
        <row r="9626">
          <cell r="B9626" t="str">
            <v/>
          </cell>
        </row>
        <row r="9627">
          <cell r="B9627" t="str">
            <v/>
          </cell>
        </row>
        <row r="9628">
          <cell r="B9628" t="str">
            <v/>
          </cell>
        </row>
        <row r="9629">
          <cell r="B9629" t="str">
            <v/>
          </cell>
        </row>
        <row r="9630">
          <cell r="B9630" t="str">
            <v/>
          </cell>
        </row>
        <row r="9631">
          <cell r="B9631" t="str">
            <v/>
          </cell>
        </row>
        <row r="9632">
          <cell r="B9632" t="str">
            <v/>
          </cell>
        </row>
        <row r="9633">
          <cell r="B9633" t="str">
            <v/>
          </cell>
        </row>
        <row r="9634">
          <cell r="B9634" t="str">
            <v/>
          </cell>
        </row>
        <row r="9635">
          <cell r="B9635" t="str">
            <v/>
          </cell>
        </row>
        <row r="9636">
          <cell r="B9636" t="str">
            <v/>
          </cell>
        </row>
        <row r="9637">
          <cell r="B9637" t="str">
            <v/>
          </cell>
        </row>
        <row r="9638">
          <cell r="B9638" t="str">
            <v/>
          </cell>
        </row>
        <row r="9639">
          <cell r="B9639" t="str">
            <v/>
          </cell>
        </row>
        <row r="9640">
          <cell r="B9640" t="str">
            <v/>
          </cell>
        </row>
        <row r="9641">
          <cell r="B9641" t="str">
            <v/>
          </cell>
        </row>
        <row r="9642">
          <cell r="B9642" t="str">
            <v/>
          </cell>
        </row>
        <row r="9643">
          <cell r="B9643" t="str">
            <v/>
          </cell>
        </row>
        <row r="9644">
          <cell r="B9644" t="str">
            <v/>
          </cell>
        </row>
        <row r="9645">
          <cell r="B9645" t="str">
            <v/>
          </cell>
        </row>
        <row r="9646">
          <cell r="B9646" t="str">
            <v/>
          </cell>
        </row>
        <row r="9647">
          <cell r="B9647" t="str">
            <v/>
          </cell>
        </row>
        <row r="9648">
          <cell r="B9648" t="str">
            <v/>
          </cell>
        </row>
        <row r="9649">
          <cell r="B9649" t="str">
            <v/>
          </cell>
        </row>
        <row r="9650">
          <cell r="B9650" t="str">
            <v/>
          </cell>
        </row>
        <row r="9651">
          <cell r="B9651" t="str">
            <v/>
          </cell>
        </row>
        <row r="9652">
          <cell r="B9652" t="str">
            <v/>
          </cell>
        </row>
        <row r="9653">
          <cell r="B9653" t="str">
            <v/>
          </cell>
        </row>
        <row r="9654">
          <cell r="B9654" t="str">
            <v/>
          </cell>
        </row>
        <row r="9655">
          <cell r="B9655" t="str">
            <v/>
          </cell>
        </row>
        <row r="9656">
          <cell r="B9656" t="str">
            <v/>
          </cell>
        </row>
        <row r="9657">
          <cell r="B9657" t="str">
            <v/>
          </cell>
        </row>
        <row r="9658">
          <cell r="B9658" t="str">
            <v/>
          </cell>
        </row>
        <row r="9659">
          <cell r="B9659" t="str">
            <v/>
          </cell>
        </row>
        <row r="9660">
          <cell r="B9660" t="str">
            <v/>
          </cell>
        </row>
        <row r="9661">
          <cell r="B9661" t="str">
            <v/>
          </cell>
        </row>
        <row r="9662">
          <cell r="B9662" t="str">
            <v/>
          </cell>
        </row>
        <row r="9663">
          <cell r="B9663" t="str">
            <v/>
          </cell>
        </row>
        <row r="9664">
          <cell r="B9664" t="str">
            <v/>
          </cell>
        </row>
        <row r="9665">
          <cell r="B9665" t="str">
            <v/>
          </cell>
        </row>
        <row r="9666">
          <cell r="B9666" t="str">
            <v/>
          </cell>
        </row>
        <row r="9667">
          <cell r="B9667" t="str">
            <v/>
          </cell>
        </row>
        <row r="9668">
          <cell r="B9668" t="str">
            <v/>
          </cell>
        </row>
        <row r="9669">
          <cell r="B9669" t="str">
            <v/>
          </cell>
        </row>
        <row r="9670">
          <cell r="B9670" t="str">
            <v/>
          </cell>
        </row>
        <row r="9671">
          <cell r="B9671" t="str">
            <v/>
          </cell>
        </row>
        <row r="9672">
          <cell r="B9672" t="str">
            <v/>
          </cell>
        </row>
        <row r="9673">
          <cell r="B9673" t="str">
            <v/>
          </cell>
        </row>
        <row r="9674">
          <cell r="B9674" t="str">
            <v/>
          </cell>
        </row>
        <row r="9675">
          <cell r="B9675" t="str">
            <v/>
          </cell>
        </row>
        <row r="9676">
          <cell r="B9676" t="str">
            <v/>
          </cell>
        </row>
        <row r="9677">
          <cell r="B9677" t="str">
            <v/>
          </cell>
        </row>
        <row r="9678">
          <cell r="B9678" t="str">
            <v/>
          </cell>
        </row>
        <row r="9679">
          <cell r="B9679" t="str">
            <v/>
          </cell>
        </row>
        <row r="9680">
          <cell r="B9680" t="str">
            <v/>
          </cell>
        </row>
        <row r="9681">
          <cell r="B9681" t="str">
            <v/>
          </cell>
        </row>
        <row r="9682">
          <cell r="B9682" t="str">
            <v/>
          </cell>
        </row>
        <row r="9683">
          <cell r="B9683" t="str">
            <v/>
          </cell>
        </row>
        <row r="9684">
          <cell r="B9684" t="str">
            <v/>
          </cell>
        </row>
        <row r="9685">
          <cell r="B9685" t="str">
            <v/>
          </cell>
        </row>
        <row r="9686">
          <cell r="B9686" t="str">
            <v/>
          </cell>
        </row>
        <row r="9687">
          <cell r="B9687" t="str">
            <v/>
          </cell>
        </row>
        <row r="9688">
          <cell r="B9688" t="str">
            <v/>
          </cell>
        </row>
        <row r="9689">
          <cell r="B9689" t="str">
            <v/>
          </cell>
        </row>
        <row r="9690">
          <cell r="B9690" t="str">
            <v/>
          </cell>
        </row>
        <row r="9691">
          <cell r="B9691" t="str">
            <v/>
          </cell>
        </row>
        <row r="9692">
          <cell r="B9692" t="str">
            <v/>
          </cell>
        </row>
        <row r="9693">
          <cell r="B9693" t="str">
            <v/>
          </cell>
        </row>
        <row r="9694">
          <cell r="B9694" t="str">
            <v/>
          </cell>
        </row>
        <row r="9695">
          <cell r="B9695" t="str">
            <v/>
          </cell>
        </row>
        <row r="9696">
          <cell r="B9696" t="str">
            <v/>
          </cell>
        </row>
        <row r="9697">
          <cell r="B9697" t="str">
            <v/>
          </cell>
        </row>
        <row r="9698">
          <cell r="B9698" t="str">
            <v/>
          </cell>
        </row>
        <row r="9699">
          <cell r="B9699" t="str">
            <v/>
          </cell>
        </row>
        <row r="9700">
          <cell r="B9700" t="str">
            <v/>
          </cell>
        </row>
        <row r="9701">
          <cell r="B9701" t="str">
            <v/>
          </cell>
        </row>
        <row r="9702">
          <cell r="B9702" t="str">
            <v/>
          </cell>
        </row>
        <row r="9703">
          <cell r="B9703" t="str">
            <v/>
          </cell>
        </row>
        <row r="9704">
          <cell r="B9704" t="str">
            <v/>
          </cell>
        </row>
        <row r="9705">
          <cell r="B9705" t="str">
            <v/>
          </cell>
        </row>
        <row r="9706">
          <cell r="B9706" t="str">
            <v/>
          </cell>
        </row>
        <row r="9707">
          <cell r="B9707" t="str">
            <v/>
          </cell>
        </row>
        <row r="9708">
          <cell r="B9708" t="str">
            <v/>
          </cell>
        </row>
        <row r="9709">
          <cell r="B9709" t="str">
            <v/>
          </cell>
        </row>
        <row r="9710">
          <cell r="B9710" t="str">
            <v/>
          </cell>
        </row>
        <row r="9711">
          <cell r="B9711" t="str">
            <v/>
          </cell>
        </row>
        <row r="9712">
          <cell r="B9712" t="str">
            <v/>
          </cell>
        </row>
        <row r="9713">
          <cell r="B9713" t="str">
            <v/>
          </cell>
        </row>
        <row r="9714">
          <cell r="B9714" t="str">
            <v/>
          </cell>
        </row>
        <row r="9715">
          <cell r="B9715" t="str">
            <v/>
          </cell>
        </row>
        <row r="9716">
          <cell r="B9716" t="str">
            <v/>
          </cell>
        </row>
        <row r="9717">
          <cell r="B9717" t="str">
            <v/>
          </cell>
        </row>
        <row r="9718">
          <cell r="B9718" t="str">
            <v/>
          </cell>
        </row>
        <row r="9719">
          <cell r="B9719" t="str">
            <v/>
          </cell>
        </row>
        <row r="9720">
          <cell r="B9720" t="str">
            <v/>
          </cell>
        </row>
        <row r="9721">
          <cell r="B9721" t="str">
            <v/>
          </cell>
        </row>
        <row r="9722">
          <cell r="B9722" t="str">
            <v/>
          </cell>
        </row>
        <row r="9723">
          <cell r="B9723" t="str">
            <v/>
          </cell>
        </row>
        <row r="9724">
          <cell r="B9724" t="str">
            <v/>
          </cell>
        </row>
        <row r="9725">
          <cell r="B9725" t="str">
            <v/>
          </cell>
        </row>
        <row r="9726">
          <cell r="B9726" t="str">
            <v/>
          </cell>
        </row>
        <row r="9727">
          <cell r="B9727" t="str">
            <v/>
          </cell>
        </row>
        <row r="9728">
          <cell r="B9728" t="str">
            <v/>
          </cell>
        </row>
        <row r="9729">
          <cell r="B9729" t="str">
            <v/>
          </cell>
        </row>
        <row r="9730">
          <cell r="B9730" t="str">
            <v/>
          </cell>
        </row>
        <row r="9731">
          <cell r="B9731" t="str">
            <v/>
          </cell>
        </row>
        <row r="9732">
          <cell r="B9732" t="str">
            <v/>
          </cell>
        </row>
        <row r="9733">
          <cell r="B9733" t="str">
            <v/>
          </cell>
        </row>
        <row r="9734">
          <cell r="B9734" t="str">
            <v/>
          </cell>
        </row>
        <row r="9735">
          <cell r="B9735" t="str">
            <v/>
          </cell>
        </row>
        <row r="9736">
          <cell r="B9736" t="str">
            <v/>
          </cell>
        </row>
        <row r="9737">
          <cell r="B9737" t="str">
            <v/>
          </cell>
        </row>
        <row r="9738">
          <cell r="B9738" t="str">
            <v/>
          </cell>
        </row>
        <row r="9739">
          <cell r="B9739" t="str">
            <v/>
          </cell>
        </row>
        <row r="9740">
          <cell r="B9740" t="str">
            <v/>
          </cell>
        </row>
        <row r="9741">
          <cell r="B9741" t="str">
            <v/>
          </cell>
        </row>
        <row r="9742">
          <cell r="B9742" t="str">
            <v/>
          </cell>
        </row>
        <row r="9743">
          <cell r="B9743" t="str">
            <v/>
          </cell>
        </row>
        <row r="9744">
          <cell r="B9744" t="str">
            <v/>
          </cell>
        </row>
        <row r="9745">
          <cell r="B9745" t="str">
            <v/>
          </cell>
        </row>
        <row r="9746">
          <cell r="B9746" t="str">
            <v/>
          </cell>
        </row>
        <row r="9747">
          <cell r="B9747" t="str">
            <v/>
          </cell>
        </row>
        <row r="9748">
          <cell r="B9748" t="str">
            <v/>
          </cell>
        </row>
        <row r="9749">
          <cell r="B9749" t="str">
            <v/>
          </cell>
        </row>
        <row r="9750">
          <cell r="B9750" t="str">
            <v/>
          </cell>
        </row>
        <row r="9751">
          <cell r="B9751" t="str">
            <v/>
          </cell>
        </row>
        <row r="9752">
          <cell r="B9752" t="str">
            <v/>
          </cell>
        </row>
        <row r="9753">
          <cell r="B9753" t="str">
            <v/>
          </cell>
        </row>
        <row r="9754">
          <cell r="B9754" t="str">
            <v/>
          </cell>
        </row>
        <row r="9755">
          <cell r="B9755" t="str">
            <v/>
          </cell>
        </row>
        <row r="9756">
          <cell r="B9756" t="str">
            <v/>
          </cell>
        </row>
        <row r="9757">
          <cell r="B9757" t="str">
            <v/>
          </cell>
        </row>
        <row r="9758">
          <cell r="B9758" t="str">
            <v/>
          </cell>
        </row>
        <row r="9759">
          <cell r="B9759" t="str">
            <v/>
          </cell>
        </row>
        <row r="9760">
          <cell r="B9760" t="str">
            <v/>
          </cell>
        </row>
        <row r="9761">
          <cell r="B9761" t="str">
            <v/>
          </cell>
        </row>
        <row r="9762">
          <cell r="B9762" t="str">
            <v/>
          </cell>
        </row>
        <row r="9763">
          <cell r="B9763" t="str">
            <v/>
          </cell>
        </row>
        <row r="9764">
          <cell r="B9764" t="str">
            <v/>
          </cell>
        </row>
        <row r="9765">
          <cell r="B9765" t="str">
            <v/>
          </cell>
        </row>
        <row r="9766">
          <cell r="B9766" t="str">
            <v/>
          </cell>
        </row>
        <row r="9767">
          <cell r="B9767" t="str">
            <v/>
          </cell>
        </row>
        <row r="9768">
          <cell r="B9768" t="str">
            <v/>
          </cell>
        </row>
        <row r="9769">
          <cell r="B9769" t="str">
            <v/>
          </cell>
        </row>
        <row r="9770">
          <cell r="B9770" t="str">
            <v/>
          </cell>
        </row>
        <row r="9771">
          <cell r="B9771" t="str">
            <v/>
          </cell>
        </row>
        <row r="9772">
          <cell r="B9772" t="str">
            <v/>
          </cell>
        </row>
        <row r="9773">
          <cell r="B9773" t="str">
            <v/>
          </cell>
        </row>
        <row r="9774">
          <cell r="B9774" t="str">
            <v/>
          </cell>
        </row>
        <row r="9775">
          <cell r="B9775" t="str">
            <v/>
          </cell>
        </row>
        <row r="9776">
          <cell r="B9776" t="str">
            <v/>
          </cell>
        </row>
        <row r="9777">
          <cell r="B9777" t="str">
            <v/>
          </cell>
        </row>
        <row r="9778">
          <cell r="B9778" t="str">
            <v/>
          </cell>
        </row>
        <row r="9779">
          <cell r="B9779" t="str">
            <v/>
          </cell>
        </row>
        <row r="9780">
          <cell r="B9780" t="str">
            <v/>
          </cell>
        </row>
        <row r="9781">
          <cell r="B9781" t="str">
            <v/>
          </cell>
        </row>
        <row r="9782">
          <cell r="B9782" t="str">
            <v/>
          </cell>
        </row>
        <row r="9783">
          <cell r="B9783" t="str">
            <v/>
          </cell>
        </row>
        <row r="9784">
          <cell r="B9784" t="str">
            <v/>
          </cell>
        </row>
        <row r="9785">
          <cell r="B9785" t="str">
            <v/>
          </cell>
        </row>
        <row r="9786">
          <cell r="B9786" t="str">
            <v/>
          </cell>
        </row>
        <row r="9787">
          <cell r="B9787" t="str">
            <v/>
          </cell>
        </row>
        <row r="9788">
          <cell r="B9788" t="str">
            <v/>
          </cell>
        </row>
        <row r="9789">
          <cell r="B9789" t="str">
            <v/>
          </cell>
        </row>
        <row r="9790">
          <cell r="B9790" t="str">
            <v/>
          </cell>
        </row>
        <row r="9791">
          <cell r="B9791" t="str">
            <v/>
          </cell>
        </row>
        <row r="9792">
          <cell r="B9792" t="str">
            <v/>
          </cell>
        </row>
        <row r="9793">
          <cell r="B9793" t="str">
            <v/>
          </cell>
        </row>
        <row r="9794">
          <cell r="B9794" t="str">
            <v/>
          </cell>
        </row>
        <row r="9795">
          <cell r="B9795" t="str">
            <v/>
          </cell>
        </row>
        <row r="9796">
          <cell r="B9796" t="str">
            <v/>
          </cell>
        </row>
        <row r="9797">
          <cell r="B9797" t="str">
            <v/>
          </cell>
        </row>
        <row r="9798">
          <cell r="B9798" t="str">
            <v/>
          </cell>
        </row>
        <row r="9799">
          <cell r="B9799" t="str">
            <v/>
          </cell>
        </row>
        <row r="9800">
          <cell r="B9800" t="str">
            <v/>
          </cell>
        </row>
        <row r="9801">
          <cell r="B9801" t="str">
            <v/>
          </cell>
        </row>
        <row r="9802">
          <cell r="B9802" t="str">
            <v/>
          </cell>
        </row>
        <row r="9803">
          <cell r="B9803" t="str">
            <v/>
          </cell>
        </row>
        <row r="9804">
          <cell r="B9804" t="str">
            <v/>
          </cell>
        </row>
        <row r="9805">
          <cell r="B9805" t="str">
            <v/>
          </cell>
        </row>
        <row r="9806">
          <cell r="B9806" t="str">
            <v/>
          </cell>
        </row>
        <row r="9807">
          <cell r="B9807" t="str">
            <v/>
          </cell>
        </row>
        <row r="9808">
          <cell r="B9808" t="str">
            <v/>
          </cell>
        </row>
        <row r="9809">
          <cell r="B9809" t="str">
            <v/>
          </cell>
        </row>
        <row r="9810">
          <cell r="B9810" t="str">
            <v/>
          </cell>
        </row>
        <row r="9811">
          <cell r="B9811" t="str">
            <v/>
          </cell>
        </row>
        <row r="9812">
          <cell r="B9812" t="str">
            <v/>
          </cell>
        </row>
        <row r="9813">
          <cell r="B9813" t="str">
            <v/>
          </cell>
        </row>
        <row r="9814">
          <cell r="B9814" t="str">
            <v/>
          </cell>
        </row>
        <row r="9815">
          <cell r="B9815" t="str">
            <v/>
          </cell>
        </row>
        <row r="9816">
          <cell r="B9816" t="str">
            <v/>
          </cell>
        </row>
        <row r="9817">
          <cell r="B9817" t="str">
            <v/>
          </cell>
        </row>
        <row r="9818">
          <cell r="B9818" t="str">
            <v/>
          </cell>
        </row>
        <row r="9819">
          <cell r="B9819" t="str">
            <v/>
          </cell>
        </row>
        <row r="9820">
          <cell r="B9820" t="str">
            <v/>
          </cell>
        </row>
        <row r="9821">
          <cell r="B9821" t="str">
            <v/>
          </cell>
        </row>
        <row r="9822">
          <cell r="B9822" t="str">
            <v/>
          </cell>
        </row>
        <row r="9823">
          <cell r="B9823" t="str">
            <v/>
          </cell>
        </row>
        <row r="9824">
          <cell r="B9824" t="str">
            <v/>
          </cell>
        </row>
        <row r="9825">
          <cell r="B9825" t="str">
            <v/>
          </cell>
        </row>
        <row r="9826">
          <cell r="B9826" t="str">
            <v/>
          </cell>
        </row>
        <row r="9827">
          <cell r="B9827" t="str">
            <v/>
          </cell>
        </row>
        <row r="9828">
          <cell r="B9828" t="str">
            <v/>
          </cell>
        </row>
        <row r="9829">
          <cell r="B9829" t="str">
            <v/>
          </cell>
        </row>
        <row r="9830">
          <cell r="B9830" t="str">
            <v/>
          </cell>
        </row>
        <row r="9831">
          <cell r="B9831" t="str">
            <v/>
          </cell>
        </row>
        <row r="9832">
          <cell r="B9832" t="str">
            <v/>
          </cell>
        </row>
        <row r="9833">
          <cell r="B9833" t="str">
            <v/>
          </cell>
        </row>
        <row r="9834">
          <cell r="B9834" t="str">
            <v/>
          </cell>
        </row>
        <row r="9835">
          <cell r="B9835" t="str">
            <v/>
          </cell>
        </row>
        <row r="9836">
          <cell r="B9836" t="str">
            <v/>
          </cell>
        </row>
        <row r="9837">
          <cell r="B9837" t="str">
            <v/>
          </cell>
        </row>
        <row r="9838">
          <cell r="B9838" t="str">
            <v/>
          </cell>
        </row>
        <row r="9839">
          <cell r="B9839" t="str">
            <v/>
          </cell>
        </row>
        <row r="9840">
          <cell r="B9840" t="str">
            <v/>
          </cell>
        </row>
        <row r="9841">
          <cell r="B9841" t="str">
            <v/>
          </cell>
        </row>
        <row r="9842">
          <cell r="B9842" t="str">
            <v/>
          </cell>
        </row>
        <row r="9843">
          <cell r="B9843" t="str">
            <v/>
          </cell>
        </row>
        <row r="9844">
          <cell r="B9844" t="str">
            <v/>
          </cell>
        </row>
        <row r="9845">
          <cell r="B9845" t="str">
            <v/>
          </cell>
        </row>
        <row r="9846">
          <cell r="B9846" t="str">
            <v/>
          </cell>
        </row>
        <row r="9847">
          <cell r="B9847" t="str">
            <v/>
          </cell>
        </row>
        <row r="9848">
          <cell r="B9848" t="str">
            <v/>
          </cell>
        </row>
        <row r="9849">
          <cell r="B9849" t="str">
            <v/>
          </cell>
        </row>
        <row r="9850">
          <cell r="B9850" t="str">
            <v/>
          </cell>
        </row>
        <row r="9851">
          <cell r="B9851" t="str">
            <v/>
          </cell>
        </row>
        <row r="9852">
          <cell r="B9852" t="str">
            <v/>
          </cell>
        </row>
        <row r="9853">
          <cell r="B9853" t="str">
            <v/>
          </cell>
        </row>
        <row r="9854">
          <cell r="B9854" t="str">
            <v/>
          </cell>
        </row>
        <row r="9855">
          <cell r="B9855" t="str">
            <v/>
          </cell>
        </row>
        <row r="9856">
          <cell r="B9856" t="str">
            <v/>
          </cell>
        </row>
        <row r="9857">
          <cell r="B9857" t="str">
            <v/>
          </cell>
        </row>
        <row r="9858">
          <cell r="B9858" t="str">
            <v/>
          </cell>
        </row>
        <row r="9859">
          <cell r="B9859" t="str">
            <v/>
          </cell>
        </row>
        <row r="9860">
          <cell r="B9860" t="str">
            <v/>
          </cell>
        </row>
        <row r="9861">
          <cell r="B9861" t="str">
            <v/>
          </cell>
        </row>
        <row r="9862">
          <cell r="B9862" t="str">
            <v/>
          </cell>
        </row>
        <row r="9863">
          <cell r="B9863" t="str">
            <v/>
          </cell>
        </row>
        <row r="9864">
          <cell r="B9864" t="str">
            <v/>
          </cell>
        </row>
        <row r="9865">
          <cell r="B9865" t="str">
            <v/>
          </cell>
        </row>
        <row r="9866">
          <cell r="B9866" t="str">
            <v/>
          </cell>
        </row>
        <row r="9867">
          <cell r="B9867" t="str">
            <v/>
          </cell>
        </row>
        <row r="9868">
          <cell r="B9868" t="str">
            <v/>
          </cell>
        </row>
        <row r="9869">
          <cell r="B9869" t="str">
            <v/>
          </cell>
        </row>
        <row r="9870">
          <cell r="B9870" t="str">
            <v/>
          </cell>
        </row>
        <row r="9871">
          <cell r="B9871" t="str">
            <v/>
          </cell>
        </row>
        <row r="9872">
          <cell r="B9872" t="str">
            <v/>
          </cell>
        </row>
        <row r="9873">
          <cell r="B9873" t="str">
            <v/>
          </cell>
        </row>
        <row r="9874">
          <cell r="B9874" t="str">
            <v/>
          </cell>
        </row>
        <row r="9875">
          <cell r="B9875" t="str">
            <v/>
          </cell>
        </row>
        <row r="9876">
          <cell r="B9876" t="str">
            <v/>
          </cell>
        </row>
        <row r="9877">
          <cell r="B9877" t="str">
            <v/>
          </cell>
        </row>
        <row r="9878">
          <cell r="B9878" t="str">
            <v/>
          </cell>
        </row>
        <row r="9879">
          <cell r="B9879" t="str">
            <v/>
          </cell>
        </row>
        <row r="9880">
          <cell r="B9880" t="str">
            <v/>
          </cell>
        </row>
        <row r="9881">
          <cell r="B9881" t="str">
            <v/>
          </cell>
        </row>
        <row r="9882">
          <cell r="B9882" t="str">
            <v/>
          </cell>
        </row>
        <row r="9883">
          <cell r="B9883" t="str">
            <v/>
          </cell>
        </row>
        <row r="9884">
          <cell r="B9884" t="str">
            <v/>
          </cell>
        </row>
        <row r="9885">
          <cell r="B9885" t="str">
            <v/>
          </cell>
        </row>
        <row r="9886">
          <cell r="B9886" t="str">
            <v/>
          </cell>
        </row>
        <row r="9887">
          <cell r="B9887" t="str">
            <v/>
          </cell>
        </row>
        <row r="9888">
          <cell r="B9888" t="str">
            <v/>
          </cell>
        </row>
        <row r="9889">
          <cell r="B9889" t="str">
            <v/>
          </cell>
        </row>
        <row r="9890">
          <cell r="B9890" t="str">
            <v/>
          </cell>
        </row>
        <row r="9891">
          <cell r="B9891" t="str">
            <v/>
          </cell>
        </row>
        <row r="9892">
          <cell r="B9892" t="str">
            <v/>
          </cell>
        </row>
        <row r="9893">
          <cell r="B9893" t="str">
            <v/>
          </cell>
        </row>
        <row r="9894">
          <cell r="B9894" t="str">
            <v/>
          </cell>
        </row>
        <row r="9895">
          <cell r="B9895" t="str">
            <v/>
          </cell>
        </row>
        <row r="9896">
          <cell r="B9896" t="str">
            <v/>
          </cell>
        </row>
        <row r="9897">
          <cell r="B9897" t="str">
            <v/>
          </cell>
        </row>
        <row r="9898">
          <cell r="B9898" t="str">
            <v/>
          </cell>
        </row>
        <row r="9899">
          <cell r="B9899" t="str">
            <v/>
          </cell>
        </row>
        <row r="9900">
          <cell r="B9900" t="str">
            <v/>
          </cell>
        </row>
        <row r="9901">
          <cell r="B9901" t="str">
            <v/>
          </cell>
        </row>
        <row r="9902">
          <cell r="B9902" t="str">
            <v/>
          </cell>
        </row>
        <row r="9903">
          <cell r="B9903" t="str">
            <v/>
          </cell>
        </row>
        <row r="9904">
          <cell r="B9904" t="str">
            <v/>
          </cell>
        </row>
        <row r="9905">
          <cell r="B9905" t="str">
            <v/>
          </cell>
        </row>
        <row r="9906">
          <cell r="B9906" t="str">
            <v/>
          </cell>
        </row>
        <row r="9907">
          <cell r="B9907" t="str">
            <v/>
          </cell>
        </row>
        <row r="9908">
          <cell r="B9908" t="str">
            <v/>
          </cell>
        </row>
        <row r="9909">
          <cell r="B9909" t="str">
            <v/>
          </cell>
        </row>
        <row r="9910">
          <cell r="B9910" t="str">
            <v/>
          </cell>
        </row>
        <row r="9911">
          <cell r="B9911" t="str">
            <v/>
          </cell>
        </row>
        <row r="9912">
          <cell r="B9912" t="str">
            <v/>
          </cell>
        </row>
        <row r="9913">
          <cell r="B9913" t="str">
            <v/>
          </cell>
        </row>
        <row r="9914">
          <cell r="B9914" t="str">
            <v/>
          </cell>
        </row>
        <row r="9915">
          <cell r="B9915" t="str">
            <v/>
          </cell>
        </row>
        <row r="9916">
          <cell r="B9916" t="str">
            <v/>
          </cell>
        </row>
        <row r="9917">
          <cell r="B9917" t="str">
            <v/>
          </cell>
        </row>
        <row r="9918">
          <cell r="B9918" t="str">
            <v/>
          </cell>
        </row>
        <row r="9919">
          <cell r="B9919" t="str">
            <v/>
          </cell>
        </row>
        <row r="9920">
          <cell r="B9920" t="str">
            <v/>
          </cell>
        </row>
        <row r="9921">
          <cell r="B9921" t="str">
            <v/>
          </cell>
        </row>
        <row r="9922">
          <cell r="B9922" t="str">
            <v/>
          </cell>
        </row>
        <row r="9923">
          <cell r="B9923" t="str">
            <v/>
          </cell>
        </row>
        <row r="9924">
          <cell r="B9924" t="str">
            <v/>
          </cell>
        </row>
        <row r="9925">
          <cell r="B9925" t="str">
            <v/>
          </cell>
        </row>
        <row r="9926">
          <cell r="B9926" t="str">
            <v/>
          </cell>
        </row>
        <row r="9927">
          <cell r="B9927" t="str">
            <v/>
          </cell>
        </row>
        <row r="9928">
          <cell r="B9928" t="str">
            <v/>
          </cell>
        </row>
        <row r="9929">
          <cell r="B9929" t="str">
            <v/>
          </cell>
        </row>
        <row r="9930">
          <cell r="B9930" t="str">
            <v/>
          </cell>
        </row>
        <row r="9931">
          <cell r="B9931" t="str">
            <v/>
          </cell>
        </row>
        <row r="9932">
          <cell r="B9932" t="str">
            <v/>
          </cell>
        </row>
        <row r="9933">
          <cell r="B9933" t="str">
            <v/>
          </cell>
        </row>
        <row r="9934">
          <cell r="B9934" t="str">
            <v/>
          </cell>
        </row>
        <row r="9935">
          <cell r="B9935" t="str">
            <v/>
          </cell>
        </row>
        <row r="9936">
          <cell r="B9936" t="str">
            <v/>
          </cell>
        </row>
        <row r="9937">
          <cell r="B9937" t="str">
            <v/>
          </cell>
        </row>
        <row r="9938">
          <cell r="B9938" t="str">
            <v/>
          </cell>
        </row>
        <row r="9939">
          <cell r="B9939" t="str">
            <v/>
          </cell>
        </row>
        <row r="9940">
          <cell r="B9940" t="str">
            <v/>
          </cell>
        </row>
        <row r="9941">
          <cell r="B9941" t="str">
            <v/>
          </cell>
        </row>
        <row r="9942">
          <cell r="B9942" t="str">
            <v/>
          </cell>
        </row>
        <row r="9943">
          <cell r="B9943" t="str">
            <v/>
          </cell>
        </row>
        <row r="9944">
          <cell r="B9944" t="str">
            <v/>
          </cell>
        </row>
        <row r="9945">
          <cell r="B9945" t="str">
            <v/>
          </cell>
        </row>
        <row r="9946">
          <cell r="B9946" t="str">
            <v/>
          </cell>
        </row>
        <row r="9947">
          <cell r="B9947" t="str">
            <v/>
          </cell>
        </row>
        <row r="9948">
          <cell r="B9948" t="str">
            <v/>
          </cell>
        </row>
        <row r="9949">
          <cell r="B9949" t="str">
            <v/>
          </cell>
        </row>
        <row r="9950">
          <cell r="B9950" t="str">
            <v/>
          </cell>
        </row>
        <row r="9951">
          <cell r="B9951" t="str">
            <v/>
          </cell>
        </row>
        <row r="9952">
          <cell r="B9952" t="str">
            <v/>
          </cell>
        </row>
        <row r="9953">
          <cell r="B9953" t="str">
            <v/>
          </cell>
        </row>
        <row r="9954">
          <cell r="B9954" t="str">
            <v/>
          </cell>
        </row>
        <row r="9955">
          <cell r="B9955" t="str">
            <v/>
          </cell>
        </row>
        <row r="9956">
          <cell r="B9956" t="str">
            <v/>
          </cell>
        </row>
        <row r="9957">
          <cell r="B9957" t="str">
            <v/>
          </cell>
        </row>
        <row r="9958">
          <cell r="B9958" t="str">
            <v/>
          </cell>
        </row>
        <row r="9959">
          <cell r="B9959" t="str">
            <v/>
          </cell>
        </row>
        <row r="9960">
          <cell r="B9960" t="str">
            <v/>
          </cell>
        </row>
        <row r="9961">
          <cell r="B9961" t="str">
            <v/>
          </cell>
        </row>
        <row r="9962">
          <cell r="B9962" t="str">
            <v/>
          </cell>
        </row>
        <row r="9963">
          <cell r="B9963" t="str">
            <v/>
          </cell>
        </row>
        <row r="9964">
          <cell r="B9964" t="str">
            <v/>
          </cell>
        </row>
        <row r="9965">
          <cell r="B9965" t="str">
            <v/>
          </cell>
        </row>
        <row r="9966">
          <cell r="B9966" t="str">
            <v/>
          </cell>
        </row>
        <row r="9967">
          <cell r="B9967" t="str">
            <v/>
          </cell>
        </row>
        <row r="9968">
          <cell r="B9968" t="str">
            <v/>
          </cell>
        </row>
        <row r="9969">
          <cell r="B9969" t="str">
            <v/>
          </cell>
        </row>
        <row r="9970">
          <cell r="B9970" t="str">
            <v/>
          </cell>
        </row>
        <row r="9971">
          <cell r="B9971" t="str">
            <v/>
          </cell>
        </row>
        <row r="9972">
          <cell r="B9972" t="str">
            <v/>
          </cell>
        </row>
        <row r="9973">
          <cell r="B9973" t="str">
            <v/>
          </cell>
        </row>
        <row r="9974">
          <cell r="B9974" t="str">
            <v/>
          </cell>
        </row>
        <row r="9975">
          <cell r="B9975" t="str">
            <v/>
          </cell>
        </row>
        <row r="9976">
          <cell r="B9976" t="str">
            <v/>
          </cell>
        </row>
        <row r="9977">
          <cell r="B9977" t="str">
            <v/>
          </cell>
        </row>
        <row r="9978">
          <cell r="B9978" t="str">
            <v/>
          </cell>
        </row>
        <row r="9979">
          <cell r="B9979" t="str">
            <v/>
          </cell>
        </row>
        <row r="9980">
          <cell r="B9980" t="str">
            <v/>
          </cell>
        </row>
        <row r="9981">
          <cell r="B9981" t="str">
            <v/>
          </cell>
        </row>
        <row r="9982">
          <cell r="B9982" t="str">
            <v/>
          </cell>
        </row>
        <row r="9983">
          <cell r="B9983" t="str">
            <v/>
          </cell>
        </row>
        <row r="9984">
          <cell r="B9984" t="str">
            <v/>
          </cell>
        </row>
        <row r="9985">
          <cell r="B9985" t="str">
            <v/>
          </cell>
        </row>
        <row r="9986">
          <cell r="B9986" t="str">
            <v/>
          </cell>
        </row>
        <row r="9987">
          <cell r="B9987" t="str">
            <v/>
          </cell>
        </row>
        <row r="9988">
          <cell r="B9988" t="str">
            <v/>
          </cell>
        </row>
        <row r="9989">
          <cell r="B9989" t="str">
            <v/>
          </cell>
        </row>
        <row r="9990">
          <cell r="B9990" t="str">
            <v/>
          </cell>
        </row>
        <row r="9991">
          <cell r="B9991" t="str">
            <v/>
          </cell>
        </row>
        <row r="9992">
          <cell r="B9992" t="str">
            <v/>
          </cell>
        </row>
        <row r="9993">
          <cell r="B9993" t="str">
            <v/>
          </cell>
        </row>
        <row r="9994">
          <cell r="B9994" t="str">
            <v/>
          </cell>
        </row>
        <row r="9995">
          <cell r="B9995" t="str">
            <v/>
          </cell>
        </row>
        <row r="9996">
          <cell r="B9996" t="str">
            <v/>
          </cell>
        </row>
        <row r="9997">
          <cell r="B9997" t="str">
            <v/>
          </cell>
        </row>
        <row r="9998">
          <cell r="B9998" t="str">
            <v/>
          </cell>
        </row>
        <row r="9999">
          <cell r="B9999" t="str">
            <v/>
          </cell>
        </row>
        <row r="10000">
          <cell r="B10000" t="str">
            <v/>
          </cell>
        </row>
        <row r="10001">
          <cell r="B10001" t="str">
            <v/>
          </cell>
        </row>
      </sheetData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174"/>
  <sheetViews>
    <sheetView zoomScale="88" zoomScaleNormal="88" workbookViewId="0">
      <selection sqref="A1:AB59"/>
    </sheetView>
  </sheetViews>
  <sheetFormatPr baseColWidth="10" defaultColWidth="0" defaultRowHeight="15" x14ac:dyDescent="0.25"/>
  <cols>
    <col min="1" max="1" width="3.7109375" style="1" customWidth="1"/>
    <col min="2" max="7" width="4.7109375" style="1" customWidth="1"/>
    <col min="8" max="8" width="2.7109375" style="1" customWidth="1"/>
    <col min="9" max="9" width="4.7109375" style="1" customWidth="1"/>
    <col min="10" max="10" width="4.7109375" style="1" hidden="1" customWidth="1"/>
    <col min="11" max="12" width="4.7109375" style="1" customWidth="1"/>
    <col min="13" max="13" width="9" style="1" customWidth="1"/>
    <col min="14" max="14" width="9.140625" style="1" customWidth="1"/>
    <col min="15" max="15" width="3.42578125" style="1" customWidth="1"/>
    <col min="16" max="16" width="4.7109375" style="1" customWidth="1"/>
    <col min="17" max="17" width="3.5703125" style="1" customWidth="1"/>
    <col min="18" max="18" width="4.7109375" style="1" customWidth="1"/>
    <col min="19" max="19" width="2.85546875" style="1" customWidth="1"/>
    <col min="20" max="20" width="3.42578125" style="1" customWidth="1"/>
    <col min="21" max="24" width="4.7109375" style="1" customWidth="1"/>
    <col min="25" max="25" width="7.140625" style="1" customWidth="1"/>
    <col min="26" max="26" width="4.7109375" style="21" customWidth="1"/>
    <col min="27" max="28" width="9.7109375" style="1" customWidth="1"/>
    <col min="29" max="29" width="2.7109375" style="35" customWidth="1"/>
    <col min="30" max="30" width="11.42578125" style="36" hidden="1" customWidth="1"/>
    <col min="31" max="31" width="12.7109375" style="36" hidden="1" customWidth="1"/>
    <col min="32" max="32" width="28.7109375" style="36" hidden="1" customWidth="1"/>
    <col min="33" max="34" width="11.42578125" style="36" hidden="1" customWidth="1"/>
    <col min="35" max="38" width="11.42578125" style="37" hidden="1" customWidth="1"/>
    <col min="39" max="39" width="2.7109375" style="37" customWidth="1"/>
    <col min="40" max="53" width="11.42578125" style="37" hidden="1" customWidth="1"/>
    <col min="54" max="54" width="14.85546875" style="37" hidden="1" customWidth="1"/>
    <col min="55" max="55" width="11.42578125" style="37" hidden="1" customWidth="1"/>
    <col min="56" max="56" width="13.28515625" style="37" hidden="1" customWidth="1"/>
    <col min="57" max="57" width="11.42578125" style="37" hidden="1" customWidth="1"/>
    <col min="58" max="58" width="31.140625" style="37" hidden="1" customWidth="1"/>
    <col min="59" max="59" width="11.42578125" style="37" hidden="1" customWidth="1"/>
    <col min="60" max="60" width="13.28515625" style="37" hidden="1" customWidth="1"/>
    <col min="61" max="61" width="11.42578125" style="37" hidden="1" customWidth="1"/>
    <col min="62" max="62" width="19.85546875" style="37" hidden="1" customWidth="1"/>
    <col min="63" max="63" width="8.42578125" style="37" hidden="1" customWidth="1"/>
    <col min="64" max="64" width="7.85546875" style="37" hidden="1" customWidth="1"/>
    <col min="65" max="65" width="11.42578125" style="37" hidden="1" customWidth="1"/>
    <col min="66" max="66" width="10" style="37" hidden="1" customWidth="1"/>
    <col min="67" max="67" width="7.85546875" style="41" hidden="1" customWidth="1"/>
    <col min="68" max="68" width="28.85546875" style="41" hidden="1" customWidth="1"/>
    <col min="69" max="69" width="9.7109375" style="41" hidden="1" customWidth="1"/>
    <col min="70" max="70" width="8.7109375" style="37" hidden="1" customWidth="1"/>
    <col min="71" max="71" width="11.42578125" style="37" hidden="1" customWidth="1"/>
    <col min="72" max="72" width="29.140625" style="37" hidden="1" customWidth="1"/>
    <col min="73" max="73" width="22.28515625" style="37" hidden="1" customWidth="1"/>
    <col min="74" max="74" width="11.42578125" style="37" hidden="1" customWidth="1"/>
    <col min="75" max="75" width="5.7109375" style="37" hidden="1" customWidth="1"/>
    <col min="76" max="76" width="40.28515625" style="37" hidden="1" customWidth="1"/>
    <col min="77" max="88" width="5" style="37" hidden="1" customWidth="1"/>
    <col min="89" max="90" width="5.7109375" style="37" hidden="1" customWidth="1"/>
    <col min="91" max="91" width="62.85546875" style="37" hidden="1" customWidth="1"/>
    <col min="92" max="99" width="5.7109375" style="37" hidden="1" customWidth="1"/>
    <col min="100" max="105" width="5" style="37" hidden="1" customWidth="1"/>
    <col min="106" max="106" width="27.7109375" style="37" hidden="1" customWidth="1"/>
    <col min="107" max="109" width="7.7109375" style="37" hidden="1" customWidth="1"/>
    <col min="110" max="112" width="10.7109375" style="37" hidden="1" customWidth="1"/>
    <col min="113" max="124" width="7.7109375" style="37" hidden="1" customWidth="1"/>
    <col min="125" max="125" width="2.7109375" style="37" customWidth="1"/>
    <col min="126" max="16384" width="11.42578125" style="37" hidden="1"/>
  </cols>
  <sheetData>
    <row r="1" spans="1:124" ht="15" customHeight="1" thickBot="1" x14ac:dyDescent="0.3">
      <c r="A1" s="370" t="s">
        <v>632</v>
      </c>
      <c r="B1" s="371"/>
      <c r="C1" s="371"/>
      <c r="D1" s="371"/>
      <c r="E1" s="371"/>
      <c r="F1" s="371"/>
      <c r="G1" s="371"/>
      <c r="H1" s="372"/>
      <c r="I1" s="381" t="s">
        <v>638</v>
      </c>
      <c r="J1" s="382"/>
      <c r="K1" s="382"/>
      <c r="L1" s="382"/>
      <c r="M1" s="382"/>
      <c r="N1" s="382"/>
      <c r="O1" s="382"/>
      <c r="P1" s="382"/>
      <c r="Q1" s="382"/>
      <c r="R1" s="382"/>
      <c r="S1" s="387" t="s">
        <v>0</v>
      </c>
      <c r="T1" s="388"/>
      <c r="U1" s="388"/>
      <c r="V1" s="388"/>
      <c r="W1" s="388"/>
      <c r="X1" s="388"/>
      <c r="Y1" s="389"/>
      <c r="Z1" s="393" t="s">
        <v>634</v>
      </c>
      <c r="AA1" s="394"/>
      <c r="AB1" s="395"/>
      <c r="AN1" s="38">
        <f>IF(OR(G9="",K11="",O11="",X4="",X6="",M55="",U55="",C58&gt;AO1),0,1)</f>
        <v>0</v>
      </c>
      <c r="AO1" s="38">
        <f>IF(X6="",-1,INDEX($AQ$2:$AQ$13,MATCH(X6,$AP$2:$AP$13,0)))</f>
        <v>-1</v>
      </c>
      <c r="AQ1" s="39">
        <f ca="1">DATE(YEAR(TODAY()),1,1)</f>
        <v>44927</v>
      </c>
      <c r="AS1" s="40" t="s">
        <v>80</v>
      </c>
      <c r="AT1" s="40" t="s">
        <v>79</v>
      </c>
      <c r="BB1" s="37" t="s">
        <v>81</v>
      </c>
      <c r="BD1" s="37" t="s">
        <v>82</v>
      </c>
      <c r="BF1" s="37" t="s">
        <v>83</v>
      </c>
      <c r="BH1" s="37" t="s">
        <v>84</v>
      </c>
      <c r="BJ1" s="37" t="s">
        <v>85</v>
      </c>
      <c r="BK1" s="37" t="s">
        <v>86</v>
      </c>
      <c r="BL1" s="37" t="s">
        <v>87</v>
      </c>
      <c r="BN1" s="37" t="s">
        <v>88</v>
      </c>
      <c r="BO1" s="41" t="s">
        <v>89</v>
      </c>
      <c r="BP1" s="41" t="s">
        <v>90</v>
      </c>
      <c r="BQ1" s="41" t="s">
        <v>87</v>
      </c>
      <c r="BR1" s="37" t="s">
        <v>91</v>
      </c>
      <c r="BU1" s="37" t="s">
        <v>92</v>
      </c>
      <c r="BW1" s="42"/>
      <c r="BX1" s="43" t="s">
        <v>93</v>
      </c>
      <c r="BY1" s="43" t="s">
        <v>94</v>
      </c>
      <c r="BZ1" s="43"/>
      <c r="CA1" s="44" t="s">
        <v>95</v>
      </c>
      <c r="CB1" s="43"/>
      <c r="CC1" s="45" t="s">
        <v>96</v>
      </c>
      <c r="CD1" s="43"/>
      <c r="CE1" s="46" t="s">
        <v>97</v>
      </c>
      <c r="CF1" s="43"/>
      <c r="CG1" s="42" t="s">
        <v>98</v>
      </c>
      <c r="CH1" s="47"/>
      <c r="CI1" s="43" t="s">
        <v>99</v>
      </c>
      <c r="CJ1" s="47"/>
      <c r="CL1" s="48" t="s">
        <v>87</v>
      </c>
      <c r="CM1" s="49" t="s">
        <v>100</v>
      </c>
      <c r="CN1" s="49" t="s">
        <v>101</v>
      </c>
      <c r="CO1" s="49"/>
      <c r="CP1" s="50" t="s">
        <v>95</v>
      </c>
      <c r="CQ1" s="49"/>
      <c r="CR1" s="51" t="s">
        <v>96</v>
      </c>
      <c r="CS1" s="49"/>
      <c r="CT1" s="52" t="s">
        <v>97</v>
      </c>
      <c r="CU1" s="53"/>
      <c r="CV1" s="48" t="s">
        <v>98</v>
      </c>
      <c r="CW1" s="54"/>
      <c r="CX1" s="55" t="s">
        <v>99</v>
      </c>
      <c r="CY1" s="54"/>
      <c r="CZ1" s="41"/>
      <c r="DA1" s="41"/>
      <c r="DB1" s="56" t="str">
        <f>[1]TablaComparativa!A9</f>
        <v>Otros Licenciados de la Salud</v>
      </c>
      <c r="DC1" s="57" t="s">
        <v>102</v>
      </c>
      <c r="DD1" s="58" t="s">
        <v>79</v>
      </c>
      <c r="DE1" s="59" t="s">
        <v>103</v>
      </c>
      <c r="DF1" s="57" t="s">
        <v>104</v>
      </c>
      <c r="DG1" s="58"/>
      <c r="DH1" s="59"/>
      <c r="DI1" s="57" t="str">
        <f>coTNM</f>
        <v>Técnico Medio</v>
      </c>
      <c r="DJ1" s="59"/>
      <c r="DK1" s="57" t="str">
        <f>coTNB</f>
        <v>Técnico Básico</v>
      </c>
      <c r="DL1" s="59"/>
      <c r="DM1" s="57" t="str">
        <f>coA</f>
        <v>Administrativo</v>
      </c>
      <c r="DN1" s="59"/>
      <c r="DO1" s="57" t="str">
        <f>coO</f>
        <v>Operario</v>
      </c>
      <c r="DP1" s="59"/>
      <c r="DQ1" s="57" t="str">
        <f>coS</f>
        <v>Servicio</v>
      </c>
      <c r="DR1" s="59"/>
      <c r="DS1" s="57" t="s">
        <v>105</v>
      </c>
      <c r="DT1" s="59"/>
    </row>
    <row r="2" spans="1:124" ht="15" customHeight="1" x14ac:dyDescent="0.25">
      <c r="A2" s="373"/>
      <c r="B2" s="374"/>
      <c r="C2" s="374"/>
      <c r="D2" s="374"/>
      <c r="E2" s="374"/>
      <c r="F2" s="374"/>
      <c r="G2" s="374"/>
      <c r="H2" s="375"/>
      <c r="I2" s="383"/>
      <c r="J2" s="384"/>
      <c r="K2" s="384"/>
      <c r="L2" s="384"/>
      <c r="M2" s="384"/>
      <c r="N2" s="384"/>
      <c r="O2" s="384"/>
      <c r="P2" s="384"/>
      <c r="Q2" s="384"/>
      <c r="R2" s="384"/>
      <c r="S2" s="390"/>
      <c r="T2" s="391"/>
      <c r="U2" s="391"/>
      <c r="V2" s="391"/>
      <c r="W2" s="391"/>
      <c r="X2" s="391"/>
      <c r="Y2" s="392"/>
      <c r="Z2" s="396" t="s">
        <v>1</v>
      </c>
      <c r="AA2" s="397"/>
      <c r="AB2" s="398"/>
      <c r="AP2" s="37" t="s">
        <v>106</v>
      </c>
      <c r="AQ2" s="37">
        <f ca="1">DAY(EOMONTH(AQ1,COUNTA($AP$2:AP2)-1))</f>
        <v>31</v>
      </c>
      <c r="AS2" s="60">
        <f>COUNTA(ranTrabajador)-1</f>
        <v>2723</v>
      </c>
      <c r="AT2" s="60" t="e">
        <f>COUNTIF(ranSexo,"F")</f>
        <v>#VALUE!</v>
      </c>
      <c r="AY2" s="61" t="e">
        <f>SUM(COUNTIFS(ranCatOcup,BB3,ranSexo,$AT$1),COUNTIFS(ranCatOcup,BB4,ranSexo,$AT$1),COUNTIFS(ranCatOcup,BB5,ranSexo,$AT$1))</f>
        <v>#VALUE!</v>
      </c>
      <c r="AZ2" s="61" t="e">
        <f>COUNTIFS(ranCatOcup,BB2,ranSexo,$AT$1)</f>
        <v>#VALUE!</v>
      </c>
      <c r="BA2" s="62" t="e">
        <f>COUNTIF(ranCatOcup,BB2)</f>
        <v>#VALUE!</v>
      </c>
      <c r="BB2" s="37" t="str">
        <f>[1]TablaComparativa!G1</f>
        <v>Cuadro</v>
      </c>
      <c r="BD2" s="37" t="s">
        <v>107</v>
      </c>
      <c r="BF2" s="41" t="str">
        <f>[1]TablaComparativa!A5</f>
        <v>Médico</v>
      </c>
      <c r="BH2" s="37" t="s">
        <v>108</v>
      </c>
      <c r="BJ2" s="37" t="s">
        <v>109</v>
      </c>
      <c r="BK2" s="37" t="s">
        <v>110</v>
      </c>
      <c r="BL2" s="37">
        <v>22</v>
      </c>
      <c r="BN2" s="37" t="str">
        <f t="shared" ref="BN2:BN68" si="0">INDEX($BK$2:$BK$17,MATCH(BR2,$BL$2:$BL$17,0))</f>
        <v>PRI</v>
      </c>
      <c r="BO2" s="41" t="s">
        <v>111</v>
      </c>
      <c r="BP2" s="41" t="s">
        <v>112</v>
      </c>
      <c r="BQ2" s="41" t="s">
        <v>113</v>
      </c>
      <c r="BR2" s="37">
        <v>21</v>
      </c>
      <c r="BT2" s="38" t="str">
        <f>IF(K11="","",INDEX(BK2:BK17,MATCH(K11,BJ2:BJ17,0)))</f>
        <v/>
      </c>
      <c r="BU2" s="37" t="s">
        <v>114</v>
      </c>
      <c r="BW2" s="63">
        <v>28</v>
      </c>
      <c r="BX2" s="37" t="s">
        <v>115</v>
      </c>
      <c r="CA2" s="37" t="e">
        <f>COUNTIFS(ranPerfilTM,$BX2,ranProf241,$BF$10,ranCatOcup,$BB$4)</f>
        <v>#VALUE!</v>
      </c>
      <c r="CB2" s="37" t="e">
        <f>COUNTIFS(ranPerfilTM,$BX2,ranProf241,$BF$10,ranCatOcup,$BB$4,ranSexo,$AT$1)</f>
        <v>#VALUE!</v>
      </c>
      <c r="CC2" s="37" t="e">
        <f>COUNTIFS(ranPerfilTM,$BX2,ranProf241,$BF$5,ranCatOcup,$BB$4)</f>
        <v>#VALUE!</v>
      </c>
      <c r="CD2" s="37" t="e">
        <f>COUNTIFS(ranPerfilTM,$BX2,ranProf241,$BF$5,ranCatOcup,$BB$4,ranSexo,$AT$1)</f>
        <v>#VALUE!</v>
      </c>
      <c r="CE2" s="37" t="e">
        <f>COUNTIFS(ranPerfilTM,$BX2,ranProf241,$BF$7,ranCatOcup,$BB$4)</f>
        <v>#VALUE!</v>
      </c>
      <c r="CF2" s="37" t="e">
        <f>COUNTIFS(ranPerfilTM,$BX2,ranProf241,$BF$7,ranCatOcup,$BB$4,ranSexo,$AT$1)</f>
        <v>#VALUE!</v>
      </c>
      <c r="CG2" s="63" t="e">
        <f t="shared" ref="CG2:CG21" si="1">COUNTIFS(ranPerfilTM,$BX2,ranProf241,$BF$2,ranCatOcup,$BB$4)</f>
        <v>#VALUE!</v>
      </c>
      <c r="CH2" s="64" t="e">
        <f t="shared" ref="CH2:CH21" si="2">COUNTIFS(ranPerfilTM,$BX2,ranProf241,$BF$2,ranCatOcup,$BB$4,ranSexo,$AT$1)</f>
        <v>#VALUE!</v>
      </c>
      <c r="CI2" s="37" t="e">
        <f t="shared" ref="CI2:CI21" si="3">COUNTIFS(ranPerfilTM,$BX2,ranProf241,$BF$3,ranCatOcup,$BB$4)</f>
        <v>#VALUE!</v>
      </c>
      <c r="CJ2" s="64" t="e">
        <f t="shared" ref="CJ2:CJ21" si="4">COUNTIFS(ranPerfilTM,$BX2,ranProf241,$BF$3,ranCatOcup,$BB$4,ranSexo,$AT$1)</f>
        <v>#VALUE!</v>
      </c>
      <c r="CL2" s="63">
        <v>28</v>
      </c>
      <c r="CM2" s="37" t="s">
        <v>116</v>
      </c>
      <c r="CN2" s="37" t="e">
        <f>SUM(CP2,CR2,CT2,CV2,CX2)</f>
        <v>#VALUE!</v>
      </c>
      <c r="CO2" s="37" t="e">
        <f>SUM(CQ2,CS2,CU2,CW2,CY2)</f>
        <v>#VALUE!</v>
      </c>
      <c r="CP2" s="38" t="e">
        <f>COUNTIFS(ranPerfilTM,$CM2,ranProf241,$BF$10,ranCatOcup,$BB$4)</f>
        <v>#VALUE!</v>
      </c>
      <c r="CQ2" s="37" t="e">
        <f>COUNTIFS(ranPerfilTM,$CM2,ranProf241,$BF$10,ranCatOcup,$BB$4,ranSexo,$AT$1)</f>
        <v>#VALUE!</v>
      </c>
      <c r="CR2" s="65" t="e">
        <f>COUNTIFS(ranPerfilTM,$CM2,ranProf241,$BF$5,ranCatOcup,$BB$4)</f>
        <v>#VALUE!</v>
      </c>
      <c r="CS2" s="37" t="e">
        <f>COUNTIFS(ranPerfilTM,$CM2,ranProf241,$BF$5,ranCatOcup,$BB$4,ranSexo,$AT$1)</f>
        <v>#VALUE!</v>
      </c>
      <c r="CT2" s="66" t="e">
        <f>COUNTIFS(ranPerfilTM,$CM2,ranProf241,$BF$7,ranCatOcup,$BB$4)</f>
        <v>#VALUE!</v>
      </c>
      <c r="CU2" s="64" t="e">
        <f>COUNTIFS(ranPerfilTM,$CM2,ranProf241,$BF$7,ranCatOcup,$BB$4,ranSexo,$AT$1)</f>
        <v>#VALUE!</v>
      </c>
      <c r="CV2" s="63" t="e">
        <f t="shared" ref="CV2:CV36" si="5">COUNTIFS(ranPerfilTM,$CM2,ranProf241,$BF$2,ranCatOcup,$BB$4)</f>
        <v>#VALUE!</v>
      </c>
      <c r="CW2" s="37" t="e">
        <f t="shared" ref="CW2:CW36" si="6">COUNTIFS(ranPerfilTM,$CM2,ranProf241,$BF$2,ranCatOcup,$BB$4,ranSexo,$AT$1)</f>
        <v>#VALUE!</v>
      </c>
      <c r="CX2" s="37" t="e">
        <f t="shared" ref="CX2:CX36" si="7">COUNTIFS(ranPerfilTM,$CM2,ranProf241,$BF$3,ranCatOcup,$BB$4)</f>
        <v>#VALUE!</v>
      </c>
      <c r="CY2" s="64" t="e">
        <f t="shared" ref="CY2:CY36" si="8">COUNTIFS(ranPerfilTM,$CM2,ranProf241,$BF$3,ranCatOcup,$BB$4,ranSexo,$AT$1)</f>
        <v>#VALUE!</v>
      </c>
      <c r="DB2" s="67" t="str">
        <f>BX23</f>
        <v>Lic. Bioanálisis Clínico</v>
      </c>
      <c r="DC2" s="68" t="e">
        <f>COUNTIFS(ranProf241,pfLTS,ranCatOcup,coC,ranPerfilTM,$BX23)</f>
        <v>#VALUE!</v>
      </c>
      <c r="DD2" s="69" t="e">
        <f>COUNTIFS(ranProf241,pfLTS,ranCatOcup,coC,ranPerfilTM,$BX23,ranSexo,$AT$1)</f>
        <v>#VALUE!</v>
      </c>
      <c r="DE2" s="70" t="e">
        <f>COUNTIFS(ranProf241,pfLTS,ranCatOcup,coC,ranPerfilTM,$BX23,ranAgRTS,DE$1,ranTrabajador,"&lt;&gt;"&amp;"")</f>
        <v>#VALUE!</v>
      </c>
      <c r="DF2" s="71" t="e">
        <f>COUNTIFS(ranProf241,pfLTS,ranCatOcup,coTNS,ranPerfilTM,$BX23)</f>
        <v>#VALUE!</v>
      </c>
      <c r="DG2" s="72" t="e">
        <f>COUNTIFS(ranProf241,pfLTS,ranCatOcup,coTNS,ranPerfilTM,$BX23,ranSexo,$AT$1)</f>
        <v>#VALUE!</v>
      </c>
      <c r="DH2" s="73" t="e">
        <f>COUNTIFS(ranProf241,pfLTS,ranCatOcup,coTNS,ranPerfilTM,$BX23,ranAgRTS,DE$1,ranTrabajador,"&lt;&gt;"&amp;"")</f>
        <v>#VALUE!</v>
      </c>
      <c r="DI2" s="71" t="e">
        <f>COUNTIFS(ranProf241,pfLTS,ranCatOcup,coTNM,ranPerfilTM,$BX23)</f>
        <v>#VALUE!</v>
      </c>
      <c r="DJ2" s="73" t="e">
        <f>COUNTIFS(ranProf241,pfLTS,ranCatOcup,coTNM,ranPerfilTM,$BX23,ranAgRTS,DE$1,ranTrabajador,"&lt;&gt;"&amp;"")</f>
        <v>#VALUE!</v>
      </c>
      <c r="DK2" s="71" t="e">
        <f>COUNTIFS(ranProf241,pfLTS,ranCatOcup,coTNB,ranPerfilTM,$BX23)</f>
        <v>#VALUE!</v>
      </c>
      <c r="DL2" s="73" t="e">
        <f>COUNTIFS(ranProf241,pfLTS,ranCatOcup,coTNB,ranPerfilTM,$BX23,ranAgRTS,DE$1,ranTrabajador,"&lt;&gt;"&amp;"")</f>
        <v>#VALUE!</v>
      </c>
      <c r="DM2" s="71" t="e">
        <f>COUNTIFS(ranProf241,pfLTS,ranCatOcup,coTa,ranPerfilTM,$BX23)</f>
        <v>#VALUE!</v>
      </c>
      <c r="DN2" s="73" t="e">
        <f>COUNTIFS(ranProf241,pfLTS,ranCatOcup,coTa,ranPerfilTM,$BX23,ranAgRTS,DE$1,ranTrabajador,"&lt;&gt;"&amp;"")</f>
        <v>#VALUE!</v>
      </c>
      <c r="DO2" s="71" t="e">
        <f>COUNTIFS(ranProf241,pfLTS,ranCatOcup,coO,ranPerfilTM,$BX23)</f>
        <v>#VALUE!</v>
      </c>
      <c r="DP2" s="73" t="e">
        <f>COUNTIFS(ranProf241,pfLTS,ranCatOcup,coO,ranPerfilTM,$BX23,ranAgRTS,DE$1,ranTrabajador,"&lt;&gt;"&amp;"")</f>
        <v>#VALUE!</v>
      </c>
      <c r="DQ2" s="71" t="e">
        <f>COUNTIFS(ranProf241,pfLTS,ranCatOcup,coS,ranPerfilTM,$BX23)</f>
        <v>#VALUE!</v>
      </c>
      <c r="DR2" s="73" t="e">
        <f>COUNTIFS(ranProf241,pfLTS,ranCatOcup,coS,ranPerfilTM,$BX23,ranAgRTS,DE$1,ranTrabajador,"&lt;&gt;"&amp;"")</f>
        <v>#VALUE!</v>
      </c>
      <c r="DS2" s="71" t="e">
        <f>SUM(DE2,DH2,DJ2,DL2,DN2,DP2,DP2,DR2)</f>
        <v>#VALUE!</v>
      </c>
      <c r="DT2" s="73"/>
    </row>
    <row r="3" spans="1:124" ht="15" customHeight="1" x14ac:dyDescent="0.25">
      <c r="A3" s="373"/>
      <c r="B3" s="374"/>
      <c r="C3" s="374"/>
      <c r="D3" s="374"/>
      <c r="E3" s="374"/>
      <c r="F3" s="374"/>
      <c r="G3" s="374"/>
      <c r="H3" s="375"/>
      <c r="I3" s="383"/>
      <c r="J3" s="384"/>
      <c r="K3" s="384"/>
      <c r="L3" s="384"/>
      <c r="M3" s="384"/>
      <c r="N3" s="384"/>
      <c r="O3" s="384"/>
      <c r="P3" s="384"/>
      <c r="Q3" s="384"/>
      <c r="R3" s="384"/>
      <c r="S3" s="74"/>
      <c r="T3" s="75"/>
      <c r="U3" s="2" t="s">
        <v>2</v>
      </c>
      <c r="V3" s="3"/>
      <c r="W3" s="76"/>
      <c r="X3" s="399" t="s">
        <v>117</v>
      </c>
      <c r="Y3" s="400"/>
      <c r="Z3" s="401" t="s">
        <v>3</v>
      </c>
      <c r="AA3" s="402"/>
      <c r="AB3" s="403"/>
      <c r="AP3" s="37" t="s">
        <v>118</v>
      </c>
      <c r="AQ3" s="37">
        <f ca="1">DAY(EOMONTH(AQ2,COUNTA($AP$2:AP3)-1))</f>
        <v>28</v>
      </c>
      <c r="AS3" s="77">
        <f>M15-AS2</f>
        <v>-2723</v>
      </c>
      <c r="AT3" s="78" t="e">
        <f>N15-AT2</f>
        <v>#VALUE!</v>
      </c>
      <c r="AX3" s="79" t="e">
        <f>COUNTIFS(ranSexo,"F",ranCatOcup,$BB3)</f>
        <v>#VALUE!</v>
      </c>
      <c r="AY3" s="80" t="e">
        <f>M27-AZ3</f>
        <v>#VALUE!</v>
      </c>
      <c r="AZ3" s="81" t="e">
        <f>SUM(BA3,BA4,BA5)</f>
        <v>#VALUE!</v>
      </c>
      <c r="BA3" s="82" t="e">
        <f>COUNTIF(ranCatOcup,BB3)</f>
        <v>#VALUE!</v>
      </c>
      <c r="BB3" s="37" t="str">
        <f>[1]TablaComparativa!H1</f>
        <v>Técnico Superior</v>
      </c>
      <c r="BD3" s="37" t="s">
        <v>119</v>
      </c>
      <c r="BF3" s="41" t="str">
        <f>[1]TablaComparativa!A6</f>
        <v>Estomatólogo</v>
      </c>
      <c r="BH3" s="37" t="s">
        <v>120</v>
      </c>
      <c r="BJ3" s="37" t="s">
        <v>121</v>
      </c>
      <c r="BK3" s="37" t="s">
        <v>122</v>
      </c>
      <c r="BL3" s="37">
        <v>30</v>
      </c>
      <c r="BN3" s="37" t="str">
        <f t="shared" si="0"/>
        <v>PRI</v>
      </c>
      <c r="BO3" s="41" t="s">
        <v>123</v>
      </c>
      <c r="BP3" s="41" t="s">
        <v>124</v>
      </c>
      <c r="BQ3" s="41" t="s">
        <v>125</v>
      </c>
      <c r="BR3" s="37">
        <v>21</v>
      </c>
      <c r="BT3" s="37" t="s">
        <v>126</v>
      </c>
      <c r="BU3" s="37">
        <f>COUNTIF(BN:BN,BT2)</f>
        <v>1048407</v>
      </c>
      <c r="BW3" s="63">
        <v>29</v>
      </c>
      <c r="BX3" s="37" t="e">
        <f>#REF!</f>
        <v>#REF!</v>
      </c>
      <c r="BY3" s="37" t="e">
        <f t="shared" ref="BY3:BY21" si="9">SUM(SUMIF($CL:$CL,$BW3,CN:CN),CA3,CC3,CE3,CG3,CI3)</f>
        <v>#VALUE!</v>
      </c>
      <c r="BZ3" s="37" t="e">
        <f t="shared" ref="BZ3:BZ21" si="10">SUM(SUMIF($CL:$CL,$BW3,CO:CO),CB3,CD3,CF3,CH3,CJ3)</f>
        <v>#VALUE!</v>
      </c>
      <c r="CA3" s="37" t="e">
        <f>COUNTIFS(ranPerfilTM,$BX3,ranProf241,$BF$10,ranCatOcup,$BB$4)</f>
        <v>#VALUE!</v>
      </c>
      <c r="CB3" s="37" t="e">
        <f>COUNTIFS(ranPerfilTM,$BX3,ranProf241,$BF$10,ranCatOcup,$BB$4,ranSexo,$AT$1)</f>
        <v>#VALUE!</v>
      </c>
      <c r="CC3" s="37" t="e">
        <f>COUNTIFS(ranPerfilTM,$BX3,ranProf241,$BF$5,ranCatOcup,$BB$4)</f>
        <v>#VALUE!</v>
      </c>
      <c r="CD3" s="37" t="e">
        <f>COUNTIFS(ranPerfilTM,$BX3,ranProf241,$BF$5,ranCatOcup,$BB$4,ranSexo,$AT$1)</f>
        <v>#VALUE!</v>
      </c>
      <c r="CE3" s="37" t="e">
        <f>COUNTIFS(ranPerfilTM,$BX3,ranProf241,$BF$7,ranCatOcup,$BB$4)</f>
        <v>#VALUE!</v>
      </c>
      <c r="CF3" s="37" t="e">
        <f>COUNTIFS(ranPerfilTM,$BX3,ranProf241,$BF$7,ranCatOcup,$BB$4,ranSexo,$AT$1)</f>
        <v>#VALUE!</v>
      </c>
      <c r="CG3" s="63" t="e">
        <f t="shared" si="1"/>
        <v>#VALUE!</v>
      </c>
      <c r="CH3" s="64" t="e">
        <f t="shared" si="2"/>
        <v>#VALUE!</v>
      </c>
      <c r="CI3" s="37" t="e">
        <f t="shared" si="3"/>
        <v>#VALUE!</v>
      </c>
      <c r="CJ3" s="64" t="e">
        <f t="shared" si="4"/>
        <v>#VALUE!</v>
      </c>
      <c r="CL3" s="83">
        <v>29</v>
      </c>
      <c r="CM3" s="84" t="s">
        <v>127</v>
      </c>
      <c r="CN3" s="37" t="e">
        <f>SUM(CP3,CR3,CT3,CV3,CX3)</f>
        <v>#VALUE!</v>
      </c>
      <c r="CO3" s="37" t="e">
        <f>SUM(CQ3,CS3,CU3,CW3,CY3)</f>
        <v>#VALUE!</v>
      </c>
      <c r="CP3" s="38" t="e">
        <f>COUNTIFS(ranPerfilTM,$CM3,ranProf241,$BF$10,ranCatOcup,$BB$4)</f>
        <v>#VALUE!</v>
      </c>
      <c r="CQ3" s="37" t="e">
        <f>COUNTIFS(ranPerfilTM,$CM3,ranProf241,$BF$10,ranCatOcup,$BB$4,ranSexo,$AT$1)</f>
        <v>#VALUE!</v>
      </c>
      <c r="CR3" s="65" t="e">
        <f>COUNTIFS(ranPerfilTM,$CM3,ranProf241,$BF$5,ranCatOcup,$BB$4)</f>
        <v>#VALUE!</v>
      </c>
      <c r="CS3" s="37" t="e">
        <f>COUNTIFS(ranPerfilTM,$CM3,ranProf241,$BF$5,ranCatOcup,$BB$4,ranSexo,$AT$1)</f>
        <v>#VALUE!</v>
      </c>
      <c r="CT3" s="66" t="e">
        <f>COUNTIFS(ranPerfilTM,$CM3,ranProf241,$BF$7,ranCatOcup,$BB$4)</f>
        <v>#VALUE!</v>
      </c>
      <c r="CU3" s="64" t="e">
        <f>COUNTIFS(ranPerfilTM,$CM3,ranProf241,$BF$7,ranCatOcup,$BB$4,ranSexo,$AT$1)</f>
        <v>#VALUE!</v>
      </c>
      <c r="CV3" s="63" t="e">
        <f t="shared" si="5"/>
        <v>#VALUE!</v>
      </c>
      <c r="CW3" s="37" t="e">
        <f t="shared" si="6"/>
        <v>#VALUE!</v>
      </c>
      <c r="CX3" s="37" t="e">
        <f t="shared" si="7"/>
        <v>#VALUE!</v>
      </c>
      <c r="CY3" s="64" t="e">
        <f t="shared" si="8"/>
        <v>#VALUE!</v>
      </c>
      <c r="DB3" s="67" t="str">
        <f>BX24</f>
        <v>Lic. Optometría y Óptica</v>
      </c>
      <c r="DC3" s="85" t="e">
        <f>COUNTIFS(ranProf241,pfLTS,ranCatOcup,coC,ranPerfilTM,$BX24)</f>
        <v>#VALUE!</v>
      </c>
      <c r="DD3" s="62" t="e">
        <f>COUNTIFS(ranProf241,pfLTS,ranCatOcup,coC,ranPerfilTM,$BX24,ranSexo,$AT$1)</f>
        <v>#VALUE!</v>
      </c>
      <c r="DE3" s="86" t="e">
        <f>COUNTIFS(ranProf241,pfLTS,ranCatOcup,coC,ranPerfilTM,$BX24,ranAgRTS,DE$1,ranTrabajador,"&lt;&gt;"&amp;"")</f>
        <v>#VALUE!</v>
      </c>
      <c r="DF3" s="87" t="e">
        <f>COUNTIFS(ranProf241,pfLTS,ranCatOcup,coTNS,ranPerfilTM,$BX24)</f>
        <v>#VALUE!</v>
      </c>
      <c r="DG3" s="61" t="e">
        <f>COUNTIFS(ranProf241,pfLTS,ranCatOcup,coTNS,ranPerfilTM,$BX24,ranSexo,$AT$1)</f>
        <v>#VALUE!</v>
      </c>
      <c r="DH3" s="88" t="e">
        <f>COUNTIFS(ranProf241,pfLTS,ranCatOcup,coTNS,ranPerfilTM,$BX24,ranAgRTS,DE$1,ranTrabajador,"&lt;&gt;"&amp;"")</f>
        <v>#VALUE!</v>
      </c>
      <c r="DI3" s="87" t="e">
        <f>COUNTIFS(ranProf241,pfLTS,ranCatOcup,coTNM,ranPerfilTM,$BX24)</f>
        <v>#VALUE!</v>
      </c>
      <c r="DJ3" s="88" t="e">
        <f>COUNTIFS(ranProf241,pfLTS,ranCatOcup,coTNM,ranPerfilTM,$BX24,ranAgRTS,DE$1,ranTrabajador,"&lt;&gt;"&amp;"")</f>
        <v>#VALUE!</v>
      </c>
      <c r="DK3" s="87" t="e">
        <f>COUNTIFS(ranProf241,pfLTS,ranCatOcup,coTNB,ranPerfilTM,$BX24)</f>
        <v>#VALUE!</v>
      </c>
      <c r="DL3" s="88" t="e">
        <f>COUNTIFS(ranProf241,pfLTS,ranCatOcup,coTNB,ranPerfilTM,$BX24,ranAgRTS,DE$1,ranTrabajador,"&lt;&gt;"&amp;"")</f>
        <v>#VALUE!</v>
      </c>
      <c r="DM3" s="87" t="e">
        <f>COUNTIFS(ranProf241,pfLTS,ranCatOcup,coTa,ranPerfilTM,$BX24)</f>
        <v>#VALUE!</v>
      </c>
      <c r="DN3" s="88" t="e">
        <f>COUNTIFS(ranProf241,pfLTS,ranCatOcup,coTa,ranPerfilTM,$BX24,ranAgRTS,DE$1,ranTrabajador,"&lt;&gt;"&amp;"")</f>
        <v>#VALUE!</v>
      </c>
      <c r="DO3" s="87" t="e">
        <f>COUNTIFS(ranProf241,pfLTS,ranCatOcup,coO,ranPerfilTM,$BX24)</f>
        <v>#VALUE!</v>
      </c>
      <c r="DP3" s="88" t="e">
        <f>COUNTIFS(ranProf241,pfLTS,ranCatOcup,coO,ranPerfilTM,$BX24,ranAgRTS,DE$1,ranTrabajador,"&lt;&gt;"&amp;"")</f>
        <v>#VALUE!</v>
      </c>
      <c r="DQ3" s="87" t="e">
        <f>COUNTIFS(ranProf241,pfLTS,ranCatOcup,coS,ranPerfilTM,$BX24)</f>
        <v>#VALUE!</v>
      </c>
      <c r="DR3" s="88" t="e">
        <f>COUNTIFS(ranProf241,pfLTS,ranCatOcup,coS,ranPerfilTM,$BX24,ranAgRTS,DE$1,ranTrabajador,"&lt;&gt;"&amp;"")</f>
        <v>#VALUE!</v>
      </c>
      <c r="DS3" s="87" t="e">
        <f t="shared" ref="DS3:DS9" si="11">SUM(DE3,DH3,DJ3,DL3,DN3,DP3,DP3,DR3)</f>
        <v>#VALUE!</v>
      </c>
      <c r="DT3" s="88"/>
    </row>
    <row r="4" spans="1:124" ht="15" customHeight="1" x14ac:dyDescent="0.25">
      <c r="A4" s="373"/>
      <c r="B4" s="374"/>
      <c r="C4" s="374"/>
      <c r="D4" s="374"/>
      <c r="E4" s="374"/>
      <c r="F4" s="374"/>
      <c r="G4" s="374"/>
      <c r="H4" s="375"/>
      <c r="I4" s="383"/>
      <c r="J4" s="384"/>
      <c r="K4" s="384"/>
      <c r="L4" s="384"/>
      <c r="M4" s="384"/>
      <c r="N4" s="384"/>
      <c r="O4" s="384"/>
      <c r="P4" s="384"/>
      <c r="Q4" s="384"/>
      <c r="R4" s="384"/>
      <c r="S4" s="74"/>
      <c r="T4" s="75"/>
      <c r="U4" s="4" t="s">
        <v>4</v>
      </c>
      <c r="V4" s="5"/>
      <c r="W4" s="89"/>
      <c r="X4" s="404" t="s">
        <v>686</v>
      </c>
      <c r="Y4" s="405"/>
      <c r="Z4" s="406" t="s">
        <v>5</v>
      </c>
      <c r="AA4" s="407"/>
      <c r="AB4" s="408"/>
      <c r="AP4" s="37" t="s">
        <v>128</v>
      </c>
      <c r="AQ4" s="37">
        <f ca="1">DAY(EOMONTH(AQ3,COUNTA($AP$2:AP4)-1))</f>
        <v>31</v>
      </c>
      <c r="AV4" s="90" t="e">
        <f>COUNTIFS(ranProf241,$BF$4,ranCatOcup,$BB$4)</f>
        <v>#VALUE!</v>
      </c>
      <c r="AW4" s="91" t="e">
        <f>COUNTIFS(ranCatOcup,$BB$4,ranProf241,BF12)</f>
        <v>#VALUE!</v>
      </c>
      <c r="AX4" s="91" t="e">
        <f>COUNTIFS(ranCatOcup,$BB$4,ranProf241,BF11)</f>
        <v>#VALUE!</v>
      </c>
      <c r="AY4" s="91" t="e">
        <f>COUNTIFS(ranCatOcup,$BB$4,ranProf241,BF8)</f>
        <v>#VALUE!</v>
      </c>
      <c r="AZ4" s="91" t="e">
        <f>SUM(COUNTIFS(ranProf241,$BF$10,ranCatOcup,$BB$4),COUNTIFS(ranProf241,$BF$5,ranCatOcup,$BB$4))</f>
        <v>#VALUE!</v>
      </c>
      <c r="BA4" s="92" t="e">
        <f>COUNTIF(ranCatOcup,BB4)</f>
        <v>#VALUE!</v>
      </c>
      <c r="BB4" s="37" t="str">
        <f>[1]TablaComparativa!I1</f>
        <v>Técnico Medio</v>
      </c>
      <c r="BD4" s="37" t="s">
        <v>129</v>
      </c>
      <c r="BF4" s="41" t="str">
        <f>[1]TablaComparativa!A7</f>
        <v>Lic. Enfermería</v>
      </c>
      <c r="BJ4" s="37" t="s">
        <v>130</v>
      </c>
      <c r="BK4" s="37" t="s">
        <v>131</v>
      </c>
      <c r="BL4" s="37">
        <v>29</v>
      </c>
      <c r="BN4" s="37" t="str">
        <f t="shared" si="0"/>
        <v>PRI</v>
      </c>
      <c r="BO4" s="41" t="s">
        <v>132</v>
      </c>
      <c r="BP4" s="41" t="s">
        <v>133</v>
      </c>
      <c r="BQ4" s="41" t="s">
        <v>134</v>
      </c>
      <c r="BR4" s="37">
        <v>21</v>
      </c>
      <c r="BT4" s="37" t="s">
        <v>135</v>
      </c>
      <c r="BU4" s="37">
        <f>IF(BT2="",2,MATCH(BT2,BN:BN,0))</f>
        <v>2</v>
      </c>
      <c r="BW4" s="63">
        <v>30</v>
      </c>
      <c r="BX4" s="37" t="e">
        <f>#REF!</f>
        <v>#REF!</v>
      </c>
      <c r="BY4" s="37" t="e">
        <f t="shared" si="9"/>
        <v>#VALUE!</v>
      </c>
      <c r="BZ4" s="37" t="e">
        <f t="shared" si="10"/>
        <v>#VALUE!</v>
      </c>
      <c r="CA4" s="37" t="e">
        <f>COUNTIFS(ranPerfilTM,$BX4,ranProf241,$BF$10,ranCatOcup,$BB$4)</f>
        <v>#VALUE!</v>
      </c>
      <c r="CB4" s="37" t="e">
        <f>COUNTIFS(ranPerfilTM,$BX4,ranProf241,$BF$10,ranCatOcup,$BB$4,ranSexo,$AT$1)</f>
        <v>#VALUE!</v>
      </c>
      <c r="CC4" s="37" t="e">
        <f>COUNTIFS(ranPerfilTM,$BX4,ranProf241,$BF$5,ranCatOcup,$BB$4)</f>
        <v>#VALUE!</v>
      </c>
      <c r="CD4" s="37" t="e">
        <f>COUNTIFS(ranPerfilTM,$BX4,ranProf241,$BF$5,ranCatOcup,$BB$4,ranSexo,$AT$1)</f>
        <v>#VALUE!</v>
      </c>
      <c r="CE4" s="37" t="e">
        <f>COUNTIFS(ranPerfilTM,$BX4,ranProf241,$BF$7,ranCatOcup,$BB$4)</f>
        <v>#VALUE!</v>
      </c>
      <c r="CF4" s="37" t="e">
        <f>COUNTIFS(ranPerfilTM,$BX4,ranProf241,$BF$7,ranCatOcup,$BB$4,ranSexo,$AT$1)</f>
        <v>#VALUE!</v>
      </c>
      <c r="CG4" s="63" t="e">
        <f t="shared" si="1"/>
        <v>#VALUE!</v>
      </c>
      <c r="CH4" s="64" t="e">
        <f t="shared" si="2"/>
        <v>#VALUE!</v>
      </c>
      <c r="CI4" s="37" t="e">
        <f t="shared" si="3"/>
        <v>#VALUE!</v>
      </c>
      <c r="CJ4" s="64" t="e">
        <f t="shared" si="4"/>
        <v>#VALUE!</v>
      </c>
      <c r="CL4" s="63">
        <v>29</v>
      </c>
      <c r="CM4" s="37" t="s">
        <v>127</v>
      </c>
      <c r="CN4" s="38"/>
      <c r="CO4" s="38"/>
      <c r="CP4" s="38"/>
      <c r="CQ4" s="38"/>
      <c r="CR4" s="38"/>
      <c r="CS4" s="38"/>
      <c r="CT4" s="38"/>
      <c r="CU4" s="93"/>
      <c r="CV4" s="63" t="e">
        <f t="shared" si="5"/>
        <v>#VALUE!</v>
      </c>
      <c r="CW4" s="37" t="e">
        <f t="shared" si="6"/>
        <v>#VALUE!</v>
      </c>
      <c r="CX4" s="37" t="e">
        <f t="shared" si="7"/>
        <v>#VALUE!</v>
      </c>
      <c r="CY4" s="64" t="e">
        <f t="shared" si="8"/>
        <v>#VALUE!</v>
      </c>
      <c r="DB4" s="67" t="str">
        <f>BX25</f>
        <v>Lic. Rehabilitación en Salud</v>
      </c>
      <c r="DC4" s="85" t="e">
        <f>COUNTIFS(ranProf241,pfLTS,ranCatOcup,coC,ranPerfilTM,$BX25)</f>
        <v>#VALUE!</v>
      </c>
      <c r="DD4" s="62" t="e">
        <f>COUNTIFS(ranProf241,pfLTS,ranCatOcup,coC,ranPerfilTM,$BX25,ranSexo,$AT$1)</f>
        <v>#VALUE!</v>
      </c>
      <c r="DE4" s="86" t="e">
        <f>COUNTIFS(ranProf241,pfLTS,ranCatOcup,coC,ranPerfilTM,$BX25,ranAgRTS,DE$1,ranTrabajador,"&lt;&gt;"&amp;"")</f>
        <v>#VALUE!</v>
      </c>
      <c r="DF4" s="87" t="e">
        <f>COUNTIFS(ranProf241,pfLTS,ranCatOcup,coTNS,ranPerfilTM,$BX25)</f>
        <v>#VALUE!</v>
      </c>
      <c r="DG4" s="61" t="e">
        <f>COUNTIFS(ranProf241,pfLTS,ranCatOcup,coTNS,ranPerfilTM,$BX25,ranSexo,$AT$1)</f>
        <v>#VALUE!</v>
      </c>
      <c r="DH4" s="88" t="e">
        <f>COUNTIFS(ranProf241,pfLTS,ranCatOcup,coTNS,ranPerfilTM,$BX25,ranAgRTS,DE$1,ranTrabajador,"&lt;&gt;"&amp;"")</f>
        <v>#VALUE!</v>
      </c>
      <c r="DI4" s="87" t="e">
        <f>COUNTIFS(ranProf241,pfLTS,ranCatOcup,coTNM,ranPerfilTM,$BX25)</f>
        <v>#VALUE!</v>
      </c>
      <c r="DJ4" s="88" t="e">
        <f>COUNTIFS(ranProf241,pfLTS,ranCatOcup,coTNM,ranPerfilTM,$BX25,ranAgRTS,DE$1,ranTrabajador,"&lt;&gt;"&amp;"")</f>
        <v>#VALUE!</v>
      </c>
      <c r="DK4" s="87" t="e">
        <f>COUNTIFS(ranProf241,pfLTS,ranCatOcup,coTNB,ranPerfilTM,$BX25)</f>
        <v>#VALUE!</v>
      </c>
      <c r="DL4" s="88" t="e">
        <f>COUNTIFS(ranProf241,pfLTS,ranCatOcup,coTNB,ranPerfilTM,$BX25,ranAgRTS,DE$1,ranTrabajador,"&lt;&gt;"&amp;"")</f>
        <v>#VALUE!</v>
      </c>
      <c r="DM4" s="87" t="e">
        <f>COUNTIFS(ranProf241,pfLTS,ranCatOcup,coTa,ranPerfilTM,$BX25)</f>
        <v>#VALUE!</v>
      </c>
      <c r="DN4" s="88" t="e">
        <f>COUNTIFS(ranProf241,pfLTS,ranCatOcup,coTa,ranPerfilTM,$BX25,ranAgRTS,DE$1,ranTrabajador,"&lt;&gt;"&amp;"")</f>
        <v>#VALUE!</v>
      </c>
      <c r="DO4" s="87" t="e">
        <f>COUNTIFS(ranProf241,pfLTS,ranCatOcup,coO,ranPerfilTM,$BX25)</f>
        <v>#VALUE!</v>
      </c>
      <c r="DP4" s="88" t="e">
        <f>COUNTIFS(ranProf241,pfLTS,ranCatOcup,coO,ranPerfilTM,$BX25,ranAgRTS,DE$1,ranTrabajador,"&lt;&gt;"&amp;"")</f>
        <v>#VALUE!</v>
      </c>
      <c r="DQ4" s="87" t="e">
        <f>COUNTIFS(ranProf241,pfLTS,ranCatOcup,coS,ranPerfilTM,$BX25)</f>
        <v>#VALUE!</v>
      </c>
      <c r="DR4" s="88" t="e">
        <f>COUNTIFS(ranProf241,pfLTS,ranCatOcup,coS,ranPerfilTM,$BX25,ranAgRTS,DE$1,ranTrabajador,"&lt;&gt;"&amp;"")</f>
        <v>#VALUE!</v>
      </c>
      <c r="DS4" s="87" t="e">
        <f t="shared" si="11"/>
        <v>#VALUE!</v>
      </c>
      <c r="DT4" s="88"/>
    </row>
    <row r="5" spans="1:124" ht="15" customHeight="1" x14ac:dyDescent="0.25">
      <c r="A5" s="373"/>
      <c r="B5" s="374"/>
      <c r="C5" s="374"/>
      <c r="D5" s="374"/>
      <c r="E5" s="374"/>
      <c r="F5" s="374"/>
      <c r="G5" s="374"/>
      <c r="H5" s="375"/>
      <c r="I5" s="383"/>
      <c r="J5" s="384"/>
      <c r="K5" s="384"/>
      <c r="L5" s="384"/>
      <c r="M5" s="384"/>
      <c r="N5" s="384"/>
      <c r="O5" s="384"/>
      <c r="P5" s="384"/>
      <c r="Q5" s="384"/>
      <c r="R5" s="384"/>
      <c r="S5" s="74"/>
      <c r="T5" s="75"/>
      <c r="U5" s="3" t="s">
        <v>4</v>
      </c>
      <c r="V5" s="3"/>
      <c r="W5" s="94"/>
      <c r="X5" s="399" t="s">
        <v>136</v>
      </c>
      <c r="Y5" s="400"/>
      <c r="Z5" s="401" t="s">
        <v>6</v>
      </c>
      <c r="AA5" s="402"/>
      <c r="AB5" s="403"/>
      <c r="AP5" s="37" t="s">
        <v>78</v>
      </c>
      <c r="AQ5" s="37">
        <f ca="1">DAY(EOMONTH(AQ4,COUNTA($AP$2:AP5)-1))</f>
        <v>30</v>
      </c>
      <c r="AY5" s="84"/>
      <c r="BA5" s="84" t="e">
        <f>COUNTIF(ranCatOcup,BB5)</f>
        <v>#VALUE!</v>
      </c>
      <c r="BB5" s="37" t="str">
        <f>[1]TablaComparativa!J1</f>
        <v>Técnico Básico</v>
      </c>
      <c r="BD5" s="37" t="s">
        <v>137</v>
      </c>
      <c r="BF5" s="41" t="str">
        <f>[1]TablaComparativa!A8</f>
        <v>Lic. en Tecnología de la Salud</v>
      </c>
      <c r="BJ5" s="37" t="s">
        <v>138</v>
      </c>
      <c r="BK5" s="37" t="s">
        <v>139</v>
      </c>
      <c r="BL5" s="37">
        <v>27</v>
      </c>
      <c r="BN5" s="37" t="str">
        <f t="shared" si="0"/>
        <v>PRI</v>
      </c>
      <c r="BO5" s="41" t="s">
        <v>140</v>
      </c>
      <c r="BP5" s="41" t="s">
        <v>141</v>
      </c>
      <c r="BQ5" s="41" t="s">
        <v>142</v>
      </c>
      <c r="BR5" s="37">
        <v>21</v>
      </c>
      <c r="BT5" s="37" t="s">
        <v>143</v>
      </c>
      <c r="BU5" s="37">
        <f>IF(BT2="",2,SUM(BU4,BU3-1))</f>
        <v>2</v>
      </c>
      <c r="BW5" s="63">
        <v>31</v>
      </c>
      <c r="BX5" s="37" t="e">
        <f>#REF!</f>
        <v>#REF!</v>
      </c>
      <c r="BY5" s="37" t="e">
        <f t="shared" si="9"/>
        <v>#VALUE!</v>
      </c>
      <c r="BZ5" s="37" t="e">
        <f t="shared" si="10"/>
        <v>#VALUE!</v>
      </c>
      <c r="CA5" s="37" t="e">
        <f>COUNTIFS(ranPerfilTM,$BX5,ranProf241,$BF$10,ranCatOcup,$BB$4)</f>
        <v>#VALUE!</v>
      </c>
      <c r="CB5" s="37" t="e">
        <f>COUNTIFS(ranPerfilTM,$BX5,ranProf241,$BF$10,ranCatOcup,$BB$4,ranSexo,$AT$1)</f>
        <v>#VALUE!</v>
      </c>
      <c r="CC5" s="37" t="e">
        <f>COUNTIFS(ranPerfilTM,$BX5,ranProf241,$BF$5,ranCatOcup,$BB$4)</f>
        <v>#VALUE!</v>
      </c>
      <c r="CD5" s="37" t="e">
        <f>COUNTIFS(ranPerfilTM,$BX5,ranProf241,$BF$5,ranCatOcup,$BB$4,ranSexo,$AT$1)</f>
        <v>#VALUE!</v>
      </c>
      <c r="CE5" s="37" t="e">
        <f>COUNTIFS(ranPerfilTM,$BX5,ranProf241,$BF$7,ranCatOcup,$BB$4)</f>
        <v>#VALUE!</v>
      </c>
      <c r="CF5" s="37" t="e">
        <f>COUNTIFS(ranPerfilTM,$BX5,ranProf241,$BF$7,ranCatOcup,$BB$4,ranSexo,$AT$1)</f>
        <v>#VALUE!</v>
      </c>
      <c r="CG5" s="63" t="e">
        <f t="shared" si="1"/>
        <v>#VALUE!</v>
      </c>
      <c r="CH5" s="64" t="e">
        <f t="shared" si="2"/>
        <v>#VALUE!</v>
      </c>
      <c r="CI5" s="37" t="e">
        <f t="shared" si="3"/>
        <v>#VALUE!</v>
      </c>
      <c r="CJ5" s="64" t="e">
        <f t="shared" si="4"/>
        <v>#VALUE!</v>
      </c>
      <c r="CL5" s="63">
        <v>29</v>
      </c>
      <c r="CM5" s="37" t="s">
        <v>144</v>
      </c>
      <c r="CN5" s="37" t="e">
        <f t="shared" ref="CN5:CO10" si="12">SUM(CP5,CR5,CT5,CV5,CX5)</f>
        <v>#VALUE!</v>
      </c>
      <c r="CO5" s="37" t="e">
        <f t="shared" si="12"/>
        <v>#VALUE!</v>
      </c>
      <c r="CP5" s="38" t="e">
        <f t="shared" ref="CP5:CP10" si="13">COUNTIFS(ranPerfilTM,$CM5,ranProf241,$BF$10,ranCatOcup,$BB$4)</f>
        <v>#VALUE!</v>
      </c>
      <c r="CQ5" s="37" t="e">
        <f t="shared" ref="CQ5:CQ10" si="14">COUNTIFS(ranPerfilTM,$CM5,ranProf241,$BF$10,ranCatOcup,$BB$4,ranSexo,$AT$1)</f>
        <v>#VALUE!</v>
      </c>
      <c r="CR5" s="65" t="e">
        <f t="shared" ref="CR5:CR10" si="15">COUNTIFS(ranPerfilTM,$CM5,ranProf241,$BF$5,ranCatOcup,$BB$4)</f>
        <v>#VALUE!</v>
      </c>
      <c r="CS5" s="37" t="e">
        <f t="shared" ref="CS5:CS10" si="16">COUNTIFS(ranPerfilTM,$CM5,ranProf241,$BF$5,ranCatOcup,$BB$4,ranSexo,$AT$1)</f>
        <v>#VALUE!</v>
      </c>
      <c r="CT5" s="66" t="e">
        <f t="shared" ref="CT5:CT10" si="17">COUNTIFS(ranPerfilTM,$CM5,ranProf241,$BF$7,ranCatOcup,$BB$4)</f>
        <v>#VALUE!</v>
      </c>
      <c r="CU5" s="64" t="e">
        <f t="shared" ref="CU5:CU10" si="18">COUNTIFS(ranPerfilTM,$CM5,ranProf241,$BF$7,ranCatOcup,$BB$4,ranSexo,$AT$1)</f>
        <v>#VALUE!</v>
      </c>
      <c r="CV5" s="63" t="e">
        <f t="shared" si="5"/>
        <v>#VALUE!</v>
      </c>
      <c r="CW5" s="37" t="e">
        <f t="shared" si="6"/>
        <v>#VALUE!</v>
      </c>
      <c r="CX5" s="37" t="e">
        <f t="shared" si="7"/>
        <v>#VALUE!</v>
      </c>
      <c r="CY5" s="64" t="e">
        <f t="shared" si="8"/>
        <v>#VALUE!</v>
      </c>
      <c r="DB5" s="67" t="str">
        <f>BX26</f>
        <v>Lic. Higiene y Epidemiología</v>
      </c>
      <c r="DC5" s="85" t="e">
        <f>COUNTIFS(ranProf241,pfLTS,ranCatOcup,coC,ranPerfilTM,$BX26)</f>
        <v>#VALUE!</v>
      </c>
      <c r="DD5" s="62" t="e">
        <f>COUNTIFS(ranProf241,pfLTS,ranCatOcup,coC,ranPerfilTM,$BX26,ranSexo,$AT$1)</f>
        <v>#VALUE!</v>
      </c>
      <c r="DE5" s="86" t="e">
        <f>COUNTIFS(ranProf241,pfLTS,ranCatOcup,coC,ranPerfilTM,$BX26,ranAgRTS,DE$1,ranTrabajador,"&lt;&gt;"&amp;"")</f>
        <v>#VALUE!</v>
      </c>
      <c r="DF5" s="87" t="e">
        <f>COUNTIFS(ranProf241,pfLTS,ranCatOcup,coTNS,ranPerfilTM,$BX26)</f>
        <v>#VALUE!</v>
      </c>
      <c r="DG5" s="61" t="e">
        <f>COUNTIFS(ranProf241,pfLTS,ranCatOcup,coTNS,ranPerfilTM,$BX26,ranSexo,$AT$1)</f>
        <v>#VALUE!</v>
      </c>
      <c r="DH5" s="88" t="e">
        <f>COUNTIFS(ranProf241,pfLTS,ranCatOcup,coTNS,ranPerfilTM,$BX26,ranAgRTS,DE$1,ranTrabajador,"&lt;&gt;"&amp;"")</f>
        <v>#VALUE!</v>
      </c>
      <c r="DI5" s="87" t="e">
        <f>COUNTIFS(ranProf241,pfLTS,ranCatOcup,coTNM,ranPerfilTM,$BX26)</f>
        <v>#VALUE!</v>
      </c>
      <c r="DJ5" s="88" t="e">
        <f>COUNTIFS(ranProf241,pfLTS,ranCatOcup,coTNM,ranPerfilTM,$BX26,ranAgRTS,DE$1,ranTrabajador,"&lt;&gt;"&amp;"")</f>
        <v>#VALUE!</v>
      </c>
      <c r="DK5" s="87" t="e">
        <f>COUNTIFS(ranProf241,pfLTS,ranCatOcup,coTNB,ranPerfilTM,$BX26)</f>
        <v>#VALUE!</v>
      </c>
      <c r="DL5" s="88" t="e">
        <f>COUNTIFS(ranProf241,pfLTS,ranCatOcup,coTNB,ranPerfilTM,$BX26,ranAgRTS,DE$1,ranTrabajador,"&lt;&gt;"&amp;"")</f>
        <v>#VALUE!</v>
      </c>
      <c r="DM5" s="87" t="e">
        <f>COUNTIFS(ranProf241,pfLTS,ranCatOcup,coTa,ranPerfilTM,$BX26)</f>
        <v>#VALUE!</v>
      </c>
      <c r="DN5" s="88" t="e">
        <f>COUNTIFS(ranProf241,pfLTS,ranCatOcup,coTa,ranPerfilTM,$BX26,ranAgRTS,DE$1,ranTrabajador,"&lt;&gt;"&amp;"")</f>
        <v>#VALUE!</v>
      </c>
      <c r="DO5" s="87" t="e">
        <f>COUNTIFS(ranProf241,pfLTS,ranCatOcup,coO,ranPerfilTM,$BX26)</f>
        <v>#VALUE!</v>
      </c>
      <c r="DP5" s="88" t="e">
        <f>COUNTIFS(ranProf241,pfLTS,ranCatOcup,coO,ranPerfilTM,$BX26,ranAgRTS,DE$1,ranTrabajador,"&lt;&gt;"&amp;"")</f>
        <v>#VALUE!</v>
      </c>
      <c r="DQ5" s="87" t="e">
        <f>COUNTIFS(ranProf241,pfLTS,ranCatOcup,coS,ranPerfilTM,$BX26)</f>
        <v>#VALUE!</v>
      </c>
      <c r="DR5" s="88" t="e">
        <f>COUNTIFS(ranProf241,pfLTS,ranCatOcup,coS,ranPerfilTM,$BX26,ranAgRTS,DE$1,ranTrabajador,"&lt;&gt;"&amp;"")</f>
        <v>#VALUE!</v>
      </c>
      <c r="DS5" s="87" t="e">
        <f t="shared" si="11"/>
        <v>#VALUE!</v>
      </c>
      <c r="DT5" s="88"/>
    </row>
    <row r="6" spans="1:124" ht="15" customHeight="1" x14ac:dyDescent="0.25">
      <c r="A6" s="376" t="s">
        <v>633</v>
      </c>
      <c r="B6" s="377"/>
      <c r="C6" s="377"/>
      <c r="D6" s="377"/>
      <c r="E6" s="377"/>
      <c r="F6" s="377"/>
      <c r="G6" s="377"/>
      <c r="H6" s="378"/>
      <c r="I6" s="383"/>
      <c r="J6" s="384"/>
      <c r="K6" s="384"/>
      <c r="L6" s="384"/>
      <c r="M6" s="384"/>
      <c r="N6" s="384"/>
      <c r="O6" s="384"/>
      <c r="P6" s="384"/>
      <c r="Q6" s="384"/>
      <c r="R6" s="384"/>
      <c r="S6" s="74"/>
      <c r="T6" s="75"/>
      <c r="U6" s="3" t="s">
        <v>7</v>
      </c>
      <c r="V6" s="3"/>
      <c r="W6" s="94"/>
      <c r="X6" s="409"/>
      <c r="Y6" s="410"/>
      <c r="Z6" s="413" t="s">
        <v>8</v>
      </c>
      <c r="AA6" s="414"/>
      <c r="AB6" s="415"/>
      <c r="AP6" s="37" t="s">
        <v>145</v>
      </c>
      <c r="AQ6" s="37">
        <f ca="1">DAY(EOMONTH(AQ5,COUNTA($AP$2:AP6)-1))</f>
        <v>31</v>
      </c>
      <c r="AY6" s="84"/>
      <c r="BB6" s="37" t="str">
        <f>[1]TablaComparativa!K1</f>
        <v>Administrativo</v>
      </c>
      <c r="BF6" s="41" t="str">
        <f>[1]TablaComparativa!A10</f>
        <v>Psicólogo de la Salud</v>
      </c>
      <c r="BJ6" s="37" t="s">
        <v>146</v>
      </c>
      <c r="BK6" s="37" t="s">
        <v>147</v>
      </c>
      <c r="BL6" s="37">
        <v>33</v>
      </c>
      <c r="BN6" s="37" t="str">
        <f t="shared" si="0"/>
        <v>PRI</v>
      </c>
      <c r="BO6" s="41" t="s">
        <v>148</v>
      </c>
      <c r="BP6" s="41" t="s">
        <v>149</v>
      </c>
      <c r="BQ6" s="41" t="s">
        <v>150</v>
      </c>
      <c r="BR6" s="37">
        <v>21</v>
      </c>
      <c r="BW6" s="63">
        <v>32</v>
      </c>
      <c r="BX6" s="37" t="e">
        <f>#REF!</f>
        <v>#REF!</v>
      </c>
      <c r="BY6" s="37" t="e">
        <f t="shared" si="9"/>
        <v>#VALUE!</v>
      </c>
      <c r="BZ6" s="37" t="e">
        <f t="shared" si="10"/>
        <v>#VALUE!</v>
      </c>
      <c r="CA6" s="37" t="e">
        <f>COUNTIFS(ranPerfilTM,$BX6,ranProf241,$BF$10,ranCatOcup,$BB$4)</f>
        <v>#VALUE!</v>
      </c>
      <c r="CB6" s="37" t="e">
        <f>COUNTIFS(ranPerfilTM,$BX6,ranProf241,$BF$10,ranCatOcup,$BB$4,ranSexo,$AT$1)</f>
        <v>#VALUE!</v>
      </c>
      <c r="CC6" s="37" t="e">
        <f>COUNTIFS(ranPerfilTM,$BX6,ranProf241,$BF$5,ranCatOcup,$BB$4)</f>
        <v>#VALUE!</v>
      </c>
      <c r="CD6" s="37" t="e">
        <f>COUNTIFS(ranPerfilTM,$BX6,ranProf241,$BF$5,ranCatOcup,$BB$4,ranSexo,$AT$1)</f>
        <v>#VALUE!</v>
      </c>
      <c r="CE6" s="37" t="e">
        <f>COUNTIFS(ranPerfilTM,$BX6,ranProf241,$BF$7,ranCatOcup,$BB$4)</f>
        <v>#VALUE!</v>
      </c>
      <c r="CF6" s="37" t="e">
        <f>COUNTIFS(ranPerfilTM,$BX6,ranProf241,$BF$7,ranCatOcup,$BB$4,ranSexo,$AT$1)</f>
        <v>#VALUE!</v>
      </c>
      <c r="CG6" s="63" t="e">
        <f t="shared" si="1"/>
        <v>#VALUE!</v>
      </c>
      <c r="CH6" s="64" t="e">
        <f t="shared" si="2"/>
        <v>#VALUE!</v>
      </c>
      <c r="CI6" s="37" t="e">
        <f t="shared" si="3"/>
        <v>#VALUE!</v>
      </c>
      <c r="CJ6" s="64" t="e">
        <f t="shared" si="4"/>
        <v>#VALUE!</v>
      </c>
      <c r="CL6" s="63">
        <v>29</v>
      </c>
      <c r="CM6" s="37" t="s">
        <v>151</v>
      </c>
      <c r="CN6" s="37" t="e">
        <f t="shared" si="12"/>
        <v>#VALUE!</v>
      </c>
      <c r="CO6" s="37" t="e">
        <f t="shared" si="12"/>
        <v>#VALUE!</v>
      </c>
      <c r="CP6" s="38" t="e">
        <f t="shared" si="13"/>
        <v>#VALUE!</v>
      </c>
      <c r="CQ6" s="37" t="e">
        <f t="shared" si="14"/>
        <v>#VALUE!</v>
      </c>
      <c r="CR6" s="65" t="e">
        <f t="shared" si="15"/>
        <v>#VALUE!</v>
      </c>
      <c r="CS6" s="37" t="e">
        <f t="shared" si="16"/>
        <v>#VALUE!</v>
      </c>
      <c r="CT6" s="66" t="e">
        <f t="shared" si="17"/>
        <v>#VALUE!</v>
      </c>
      <c r="CU6" s="64" t="e">
        <f t="shared" si="18"/>
        <v>#VALUE!</v>
      </c>
      <c r="CV6" s="63" t="e">
        <f t="shared" si="5"/>
        <v>#VALUE!</v>
      </c>
      <c r="CW6" s="37" t="e">
        <f t="shared" si="6"/>
        <v>#VALUE!</v>
      </c>
      <c r="CX6" s="37" t="e">
        <f t="shared" si="7"/>
        <v>#VALUE!</v>
      </c>
      <c r="CY6" s="64" t="e">
        <f t="shared" si="8"/>
        <v>#VALUE!</v>
      </c>
      <c r="DB6" s="67" t="str">
        <f>BX30</f>
        <v>Lic. Sistema Información Salud</v>
      </c>
      <c r="DC6" s="85" t="e">
        <f>COUNTIFS(ranProf241,pfLTS,ranCatOcup,coC,ranPerfilTM,$BX30)</f>
        <v>#VALUE!</v>
      </c>
      <c r="DD6" s="62" t="e">
        <f>COUNTIFS(ranProf241,pfLTS,ranCatOcup,coC,ranPerfilTM,$BX30,ranSexo,$AT$1)</f>
        <v>#VALUE!</v>
      </c>
      <c r="DE6" s="86" t="e">
        <f>COUNTIFS(ranProf241,pfLTS,ranCatOcup,coC,ranPerfilTM,$BX30,ranAgRTS,DE$1,ranTrabajador,"&lt;&gt;"&amp;"")</f>
        <v>#VALUE!</v>
      </c>
      <c r="DF6" s="87" t="e">
        <f>COUNTIFS(ranProf241,pfLTS,ranCatOcup,coTNS,ranPerfilTM,$BX30)</f>
        <v>#VALUE!</v>
      </c>
      <c r="DG6" s="61" t="e">
        <f>COUNTIFS(ranProf241,pfLTS,ranCatOcup,coTNS,ranPerfilTM,$BX30,ranSexo,$AT$1)</f>
        <v>#VALUE!</v>
      </c>
      <c r="DH6" s="88" t="e">
        <f>COUNTIFS(ranProf241,pfLTS,ranCatOcup,coTNS,ranPerfilTM,$BX30,ranAgRTS,DE$1,ranTrabajador,"&lt;&gt;"&amp;"")</f>
        <v>#VALUE!</v>
      </c>
      <c r="DI6" s="87" t="e">
        <f>COUNTIFS(ranProf241,pfLTS,ranCatOcup,coTNM,ranPerfilTM,$BX30)</f>
        <v>#VALUE!</v>
      </c>
      <c r="DJ6" s="88" t="e">
        <f>COUNTIFS(ranProf241,pfLTS,ranCatOcup,coTNM,ranPerfilTM,$BX30,ranAgRTS,DE$1,ranTrabajador,"&lt;&gt;"&amp;"")</f>
        <v>#VALUE!</v>
      </c>
      <c r="DK6" s="87" t="e">
        <f>COUNTIFS(ranProf241,pfLTS,ranCatOcup,coTNB,ranPerfilTM,$BX30)</f>
        <v>#VALUE!</v>
      </c>
      <c r="DL6" s="88" t="e">
        <f>COUNTIFS(ranProf241,pfLTS,ranCatOcup,coTNB,ranPerfilTM,$BX30,ranAgRTS,DE$1,ranTrabajador,"&lt;&gt;"&amp;"")</f>
        <v>#VALUE!</v>
      </c>
      <c r="DM6" s="87" t="e">
        <f>COUNTIFS(ranProf241,pfLTS,ranCatOcup,coTa,ranPerfilTM,$BX30)</f>
        <v>#VALUE!</v>
      </c>
      <c r="DN6" s="88" t="e">
        <f>COUNTIFS(ranProf241,pfLTS,ranCatOcup,coTa,ranPerfilTM,$BX30,ranAgRTS,DE$1,ranTrabajador,"&lt;&gt;"&amp;"")</f>
        <v>#VALUE!</v>
      </c>
      <c r="DO6" s="87" t="e">
        <f>COUNTIFS(ranProf241,pfLTS,ranCatOcup,coO,ranPerfilTM,$BX30)</f>
        <v>#VALUE!</v>
      </c>
      <c r="DP6" s="88" t="e">
        <f>COUNTIFS(ranProf241,pfLTS,ranCatOcup,coO,ranPerfilTM,$BX30,ranAgRTS,DE$1,ranTrabajador,"&lt;&gt;"&amp;"")</f>
        <v>#VALUE!</v>
      </c>
      <c r="DQ6" s="87" t="e">
        <f>COUNTIFS(ranProf241,pfLTS,ranCatOcup,coS,ranPerfilTM,$BX30)</f>
        <v>#VALUE!</v>
      </c>
      <c r="DR6" s="88" t="e">
        <f>COUNTIFS(ranProf241,pfLTS,ranCatOcup,coS,ranPerfilTM,$BX30,ranAgRTS,DE$1,ranTrabajador,"&lt;&gt;"&amp;"")</f>
        <v>#VALUE!</v>
      </c>
      <c r="DS6" s="87" t="e">
        <f t="shared" si="11"/>
        <v>#VALUE!</v>
      </c>
      <c r="DT6" s="88"/>
    </row>
    <row r="7" spans="1:124" ht="15.75" customHeight="1" thickBot="1" x14ac:dyDescent="0.3">
      <c r="A7" s="379"/>
      <c r="B7" s="380"/>
      <c r="C7" s="380"/>
      <c r="D7" s="380"/>
      <c r="E7" s="380"/>
      <c r="F7" s="380"/>
      <c r="G7" s="377"/>
      <c r="H7" s="378"/>
      <c r="I7" s="385"/>
      <c r="J7" s="386"/>
      <c r="K7" s="386"/>
      <c r="L7" s="386"/>
      <c r="M7" s="386"/>
      <c r="N7" s="386"/>
      <c r="O7" s="386"/>
      <c r="P7" s="386"/>
      <c r="Q7" s="386"/>
      <c r="R7" s="386"/>
      <c r="S7" s="416"/>
      <c r="T7" s="417"/>
      <c r="U7" s="417"/>
      <c r="V7" s="417"/>
      <c r="W7" s="418"/>
      <c r="X7" s="411"/>
      <c r="Y7" s="412"/>
      <c r="Z7" s="6"/>
      <c r="AA7" s="7"/>
      <c r="AB7" s="8"/>
      <c r="AP7" s="37" t="s">
        <v>152</v>
      </c>
      <c r="AQ7" s="37">
        <f ca="1">DAY(EOMONTH(AQ6,COUNTA($AP$2:AP7)-1))</f>
        <v>30</v>
      </c>
      <c r="BB7" s="37" t="str">
        <f>[1]TablaComparativa!L1</f>
        <v>Operario</v>
      </c>
      <c r="BF7" s="41" t="str">
        <f>[1]TablaComparativa!A12</f>
        <v>Técnico Superior de Ciclo Corto</v>
      </c>
      <c r="BJ7" s="37" t="s">
        <v>153</v>
      </c>
      <c r="BK7" s="37" t="s">
        <v>154</v>
      </c>
      <c r="BL7" s="37">
        <v>35</v>
      </c>
      <c r="BN7" s="37" t="str">
        <f t="shared" si="0"/>
        <v>PRI</v>
      </c>
      <c r="BO7" s="41" t="s">
        <v>155</v>
      </c>
      <c r="BP7" s="41" t="s">
        <v>156</v>
      </c>
      <c r="BQ7" s="41" t="s">
        <v>157</v>
      </c>
      <c r="BR7" s="37">
        <v>21</v>
      </c>
      <c r="BT7" s="37" t="s">
        <v>92</v>
      </c>
      <c r="BU7" s="37">
        <f ca="1">IF(BT2="",MATCH(BT7,1:1,0),COLUMN(BP1))</f>
        <v>73</v>
      </c>
      <c r="BW7" s="63">
        <v>33</v>
      </c>
      <c r="BX7" s="37" t="e">
        <f>#REF!</f>
        <v>#REF!</v>
      </c>
      <c r="BY7" s="37" t="e">
        <f t="shared" si="9"/>
        <v>#VALUE!</v>
      </c>
      <c r="BZ7" s="37" t="e">
        <f t="shared" si="10"/>
        <v>#VALUE!</v>
      </c>
      <c r="CA7" s="38"/>
      <c r="CB7" s="38"/>
      <c r="CC7" s="38"/>
      <c r="CD7" s="38"/>
      <c r="CE7" s="38"/>
      <c r="CF7" s="38"/>
      <c r="CG7" s="63" t="e">
        <f t="shared" si="1"/>
        <v>#VALUE!</v>
      </c>
      <c r="CH7" s="64" t="e">
        <f t="shared" si="2"/>
        <v>#VALUE!</v>
      </c>
      <c r="CI7" s="37" t="e">
        <f t="shared" si="3"/>
        <v>#VALUE!</v>
      </c>
      <c r="CJ7" s="64" t="e">
        <f t="shared" si="4"/>
        <v>#VALUE!</v>
      </c>
      <c r="CL7" s="63">
        <v>29</v>
      </c>
      <c r="CM7" s="37" t="s">
        <v>158</v>
      </c>
      <c r="CN7" s="37" t="e">
        <f t="shared" si="12"/>
        <v>#VALUE!</v>
      </c>
      <c r="CO7" s="37" t="e">
        <f t="shared" si="12"/>
        <v>#VALUE!</v>
      </c>
      <c r="CP7" s="38" t="e">
        <f t="shared" si="13"/>
        <v>#VALUE!</v>
      </c>
      <c r="CQ7" s="37" t="e">
        <f t="shared" si="14"/>
        <v>#VALUE!</v>
      </c>
      <c r="CR7" s="65" t="e">
        <f t="shared" si="15"/>
        <v>#VALUE!</v>
      </c>
      <c r="CS7" s="37" t="e">
        <f t="shared" si="16"/>
        <v>#VALUE!</v>
      </c>
      <c r="CT7" s="66" t="e">
        <f t="shared" si="17"/>
        <v>#VALUE!</v>
      </c>
      <c r="CU7" s="64" t="e">
        <f t="shared" si="18"/>
        <v>#VALUE!</v>
      </c>
      <c r="CV7" s="63" t="e">
        <f t="shared" si="5"/>
        <v>#VALUE!</v>
      </c>
      <c r="CW7" s="37" t="e">
        <f t="shared" si="6"/>
        <v>#VALUE!</v>
      </c>
      <c r="CX7" s="37" t="e">
        <f t="shared" si="7"/>
        <v>#VALUE!</v>
      </c>
      <c r="CY7" s="64" t="e">
        <f t="shared" si="8"/>
        <v>#VALUE!</v>
      </c>
      <c r="DB7" s="67" t="str">
        <f>BX31</f>
        <v>Lic. Imagenología y Radiofísica Médica</v>
      </c>
      <c r="DC7" s="85" t="e">
        <f>COUNTIFS(ranProf241,pfLTS,ranCatOcup,coC,ranPerfilTM,$BX31)</f>
        <v>#VALUE!</v>
      </c>
      <c r="DD7" s="62" t="e">
        <f>COUNTIFS(ranProf241,pfLTS,ranCatOcup,coC,ranPerfilTM,$BX31,ranSexo,$AT$1)</f>
        <v>#VALUE!</v>
      </c>
      <c r="DE7" s="86" t="e">
        <f>COUNTIFS(ranProf241,pfLTS,ranCatOcup,coC,ranPerfilTM,$BX31,ranAgRTS,DE$1,ranTrabajador,"&lt;&gt;"&amp;"")</f>
        <v>#VALUE!</v>
      </c>
      <c r="DF7" s="87" t="e">
        <f>COUNTIFS(ranProf241,pfLTS,ranCatOcup,coTNS,ranPerfilTM,$BX31)</f>
        <v>#VALUE!</v>
      </c>
      <c r="DG7" s="61" t="e">
        <f>COUNTIFS(ranProf241,pfLTS,ranCatOcup,coTNS,ranPerfilTM,$BX31,ranSexo,$AT$1)</f>
        <v>#VALUE!</v>
      </c>
      <c r="DH7" s="88" t="e">
        <f>COUNTIFS(ranProf241,pfLTS,ranCatOcup,coTNS,ranPerfilTM,$BX31,ranAgRTS,DE$1,ranTrabajador,"&lt;&gt;"&amp;"")</f>
        <v>#VALUE!</v>
      </c>
      <c r="DI7" s="87" t="e">
        <f>COUNTIFS(ranProf241,pfLTS,ranCatOcup,coTNM,ranPerfilTM,$BX31)</f>
        <v>#VALUE!</v>
      </c>
      <c r="DJ7" s="88" t="e">
        <f>COUNTIFS(ranProf241,pfLTS,ranCatOcup,coTNM,ranPerfilTM,$BX31,ranAgRTS,DE$1,ranTrabajador,"&lt;&gt;"&amp;"")</f>
        <v>#VALUE!</v>
      </c>
      <c r="DK7" s="87" t="e">
        <f>COUNTIFS(ranProf241,pfLTS,ranCatOcup,coTNB,ranPerfilTM,$BX31)</f>
        <v>#VALUE!</v>
      </c>
      <c r="DL7" s="88" t="e">
        <f>COUNTIFS(ranProf241,pfLTS,ranCatOcup,coTNB,ranPerfilTM,$BX31,ranAgRTS,DE$1,ranTrabajador,"&lt;&gt;"&amp;"")</f>
        <v>#VALUE!</v>
      </c>
      <c r="DM7" s="87" t="e">
        <f>COUNTIFS(ranProf241,pfLTS,ranCatOcup,coTa,ranPerfilTM,$BX31)</f>
        <v>#VALUE!</v>
      </c>
      <c r="DN7" s="88" t="e">
        <f>COUNTIFS(ranProf241,pfLTS,ranCatOcup,coTa,ranPerfilTM,$BX31,ranAgRTS,DE$1,ranTrabajador,"&lt;&gt;"&amp;"")</f>
        <v>#VALUE!</v>
      </c>
      <c r="DO7" s="87" t="e">
        <f>COUNTIFS(ranProf241,pfLTS,ranCatOcup,coO,ranPerfilTM,$BX31)</f>
        <v>#VALUE!</v>
      </c>
      <c r="DP7" s="88" t="e">
        <f>COUNTIFS(ranProf241,pfLTS,ranCatOcup,coO,ranPerfilTM,$BX31,ranAgRTS,DE$1,ranTrabajador,"&lt;&gt;"&amp;"")</f>
        <v>#VALUE!</v>
      </c>
      <c r="DQ7" s="87" t="e">
        <f>COUNTIFS(ranProf241,pfLTS,ranCatOcup,coS,ranPerfilTM,$BX31)</f>
        <v>#VALUE!</v>
      </c>
      <c r="DR7" s="88" t="e">
        <f>COUNTIFS(ranProf241,pfLTS,ranCatOcup,coS,ranPerfilTM,$BX31,ranAgRTS,DE$1,ranTrabajador,"&lt;&gt;"&amp;"")</f>
        <v>#VALUE!</v>
      </c>
      <c r="DS7" s="87" t="e">
        <f t="shared" si="11"/>
        <v>#VALUE!</v>
      </c>
      <c r="DT7" s="88"/>
    </row>
    <row r="8" spans="1:124" ht="15" customHeight="1" x14ac:dyDescent="0.25">
      <c r="A8" s="364" t="s">
        <v>689</v>
      </c>
      <c r="B8" s="365"/>
      <c r="C8" s="365"/>
      <c r="D8" s="365"/>
      <c r="E8" s="365"/>
      <c r="F8" s="366"/>
      <c r="G8" s="343" t="s">
        <v>159</v>
      </c>
      <c r="H8" s="344"/>
      <c r="I8" s="344"/>
      <c r="J8" s="344"/>
      <c r="K8" s="344"/>
      <c r="L8" s="344"/>
      <c r="M8" s="344"/>
      <c r="N8" s="344"/>
      <c r="O8" s="344"/>
      <c r="P8" s="344"/>
      <c r="Q8" s="344"/>
      <c r="R8" s="344"/>
      <c r="S8" s="344"/>
      <c r="T8" s="344"/>
      <c r="U8" s="345"/>
      <c r="V8" s="346" t="s">
        <v>9</v>
      </c>
      <c r="W8" s="347"/>
      <c r="X8" s="352" t="s">
        <v>637</v>
      </c>
      <c r="Y8" s="353"/>
      <c r="Z8" s="353"/>
      <c r="AA8" s="353"/>
      <c r="AB8" s="354"/>
      <c r="AP8" s="37" t="s">
        <v>160</v>
      </c>
      <c r="AQ8" s="37">
        <f ca="1">DAY(EOMONTH(AQ7,COUNTA($AP$2:AP8)-1))</f>
        <v>31</v>
      </c>
      <c r="AY8" s="84">
        <f>SUM(AA17:AA38)</f>
        <v>0</v>
      </c>
      <c r="BB8" s="37" t="str">
        <f>[1]TablaComparativa!M1</f>
        <v>Servicio</v>
      </c>
      <c r="BF8" s="41" t="str">
        <f>[1]TablaComparativa!A13</f>
        <v>Otros Profesionales y Especialidades</v>
      </c>
      <c r="BJ8" s="37" t="s">
        <v>161</v>
      </c>
      <c r="BK8" s="37" t="s">
        <v>162</v>
      </c>
      <c r="BL8" s="37">
        <v>32</v>
      </c>
      <c r="BN8" s="37" t="str">
        <f t="shared" si="0"/>
        <v>PRI</v>
      </c>
      <c r="BO8" s="41" t="s">
        <v>163</v>
      </c>
      <c r="BP8" s="41" t="s">
        <v>164</v>
      </c>
      <c r="BQ8" s="41" t="s">
        <v>165</v>
      </c>
      <c r="BR8" s="37">
        <v>21</v>
      </c>
      <c r="BT8" s="37" t="str">
        <f ca="1">CONCATENATE(ADDRESS(BU4,BU7,,,"Modelo241"),":",ADDRESS(BU5,BU7))</f>
        <v>Modelo241!$BU$2:$BU$2</v>
      </c>
      <c r="BW8" s="63">
        <v>34</v>
      </c>
      <c r="BX8" s="37" t="e">
        <f>#REF!</f>
        <v>#REF!</v>
      </c>
      <c r="BY8" s="37" t="e">
        <f t="shared" si="9"/>
        <v>#VALUE!</v>
      </c>
      <c r="BZ8" s="37" t="e">
        <f t="shared" si="10"/>
        <v>#VALUE!</v>
      </c>
      <c r="CA8" s="38"/>
      <c r="CB8" s="38"/>
      <c r="CC8" s="38"/>
      <c r="CD8" s="38"/>
      <c r="CE8" s="38"/>
      <c r="CF8" s="38"/>
      <c r="CG8" s="63" t="e">
        <f t="shared" si="1"/>
        <v>#VALUE!</v>
      </c>
      <c r="CH8" s="64" t="e">
        <f t="shared" si="2"/>
        <v>#VALUE!</v>
      </c>
      <c r="CI8" s="37" t="e">
        <f t="shared" si="3"/>
        <v>#VALUE!</v>
      </c>
      <c r="CJ8" s="64" t="e">
        <f t="shared" si="4"/>
        <v>#VALUE!</v>
      </c>
      <c r="CL8" s="83">
        <v>29</v>
      </c>
      <c r="CM8" s="84" t="s">
        <v>166</v>
      </c>
      <c r="CN8" s="37" t="e">
        <f t="shared" si="12"/>
        <v>#VALUE!</v>
      </c>
      <c r="CO8" s="37" t="e">
        <f t="shared" si="12"/>
        <v>#VALUE!</v>
      </c>
      <c r="CP8" s="38" t="e">
        <f t="shared" si="13"/>
        <v>#VALUE!</v>
      </c>
      <c r="CQ8" s="37" t="e">
        <f t="shared" si="14"/>
        <v>#VALUE!</v>
      </c>
      <c r="CR8" s="65" t="e">
        <f t="shared" si="15"/>
        <v>#VALUE!</v>
      </c>
      <c r="CS8" s="37" t="e">
        <f t="shared" si="16"/>
        <v>#VALUE!</v>
      </c>
      <c r="CT8" s="66" t="e">
        <f t="shared" si="17"/>
        <v>#VALUE!</v>
      </c>
      <c r="CU8" s="64" t="e">
        <f t="shared" si="18"/>
        <v>#VALUE!</v>
      </c>
      <c r="CV8" s="63" t="e">
        <f t="shared" si="5"/>
        <v>#VALUE!</v>
      </c>
      <c r="CW8" s="37" t="e">
        <f t="shared" si="6"/>
        <v>#VALUE!</v>
      </c>
      <c r="CX8" s="37" t="e">
        <f t="shared" si="7"/>
        <v>#VALUE!</v>
      </c>
      <c r="CY8" s="64" t="e">
        <f t="shared" si="8"/>
        <v>#VALUE!</v>
      </c>
      <c r="DB8" s="67" t="str">
        <f>BX32</f>
        <v>Lic. Logofonoaudiología</v>
      </c>
      <c r="DC8" s="85" t="e">
        <f>COUNTIFS(ranProf241,pfLTS,ranCatOcup,coC,ranPerfilTM,$BX32)</f>
        <v>#VALUE!</v>
      </c>
      <c r="DD8" s="62" t="e">
        <f>COUNTIFS(ranProf241,pfLTS,ranCatOcup,coC,ranPerfilTM,$BX32,ranSexo,$AT$1)</f>
        <v>#VALUE!</v>
      </c>
      <c r="DE8" s="86" t="e">
        <f>COUNTIFS(ranProf241,pfLTS,ranCatOcup,coC,ranPerfilTM,$BX32,ranAgRTS,DE$1,ranTrabajador,"&lt;&gt;"&amp;"")</f>
        <v>#VALUE!</v>
      </c>
      <c r="DF8" s="87" t="e">
        <f>COUNTIFS(ranProf241,pfLTS,ranCatOcup,coTNS,ranPerfilTM,$BX32)</f>
        <v>#VALUE!</v>
      </c>
      <c r="DG8" s="61" t="e">
        <f>COUNTIFS(ranProf241,pfLTS,ranCatOcup,coTNS,ranPerfilTM,$BX32,ranSexo,$AT$1)</f>
        <v>#VALUE!</v>
      </c>
      <c r="DH8" s="88" t="e">
        <f>COUNTIFS(ranProf241,pfLTS,ranCatOcup,coTNS,ranPerfilTM,$BX32,ranAgRTS,DE$1,ranTrabajador,"&lt;&gt;"&amp;"")</f>
        <v>#VALUE!</v>
      </c>
      <c r="DI8" s="87" t="e">
        <f>COUNTIFS(ranProf241,pfLTS,ranCatOcup,coTNM,ranPerfilTM,$BX32)</f>
        <v>#VALUE!</v>
      </c>
      <c r="DJ8" s="88" t="e">
        <f>COUNTIFS(ranProf241,pfLTS,ranCatOcup,coTNM,ranPerfilTM,$BX32,ranAgRTS,DE$1,ranTrabajador,"&lt;&gt;"&amp;"")</f>
        <v>#VALUE!</v>
      </c>
      <c r="DK8" s="87" t="e">
        <f>COUNTIFS(ranProf241,pfLTS,ranCatOcup,coTNB,ranPerfilTM,$BX32)</f>
        <v>#VALUE!</v>
      </c>
      <c r="DL8" s="88" t="e">
        <f>COUNTIFS(ranProf241,pfLTS,ranCatOcup,coTNB,ranPerfilTM,$BX32,ranAgRTS,DE$1,ranTrabajador,"&lt;&gt;"&amp;"")</f>
        <v>#VALUE!</v>
      </c>
      <c r="DM8" s="87" t="e">
        <f>COUNTIFS(ranProf241,pfLTS,ranCatOcup,coTa,ranPerfilTM,$BX32)</f>
        <v>#VALUE!</v>
      </c>
      <c r="DN8" s="88" t="e">
        <f>COUNTIFS(ranProf241,pfLTS,ranCatOcup,coTa,ranPerfilTM,$BX32,ranAgRTS,DE$1,ranTrabajador,"&lt;&gt;"&amp;"")</f>
        <v>#VALUE!</v>
      </c>
      <c r="DO8" s="87" t="e">
        <f>COUNTIFS(ranProf241,pfLTS,ranCatOcup,coO,ranPerfilTM,$BX32)</f>
        <v>#VALUE!</v>
      </c>
      <c r="DP8" s="88" t="e">
        <f>COUNTIFS(ranProf241,pfLTS,ranCatOcup,coO,ranPerfilTM,$BX32,ranAgRTS,DE$1,ranTrabajador,"&lt;&gt;"&amp;"")</f>
        <v>#VALUE!</v>
      </c>
      <c r="DQ8" s="87" t="e">
        <f>COUNTIFS(ranProf241,pfLTS,ranCatOcup,coS,ranPerfilTM,$BX32)</f>
        <v>#VALUE!</v>
      </c>
      <c r="DR8" s="88" t="e">
        <f>COUNTIFS(ranProf241,pfLTS,ranCatOcup,coS,ranPerfilTM,$BX32,ranAgRTS,DE$1,ranTrabajador,"&lt;&gt;"&amp;"")</f>
        <v>#VALUE!</v>
      </c>
      <c r="DS8" s="87" t="e">
        <f t="shared" si="11"/>
        <v>#VALUE!</v>
      </c>
      <c r="DT8" s="88"/>
    </row>
    <row r="9" spans="1:124" ht="12" customHeight="1" thickBot="1" x14ac:dyDescent="0.3">
      <c r="A9" s="367"/>
      <c r="B9" s="368"/>
      <c r="C9" s="368"/>
      <c r="D9" s="368"/>
      <c r="E9" s="368"/>
      <c r="F9" s="369"/>
      <c r="G9" s="355"/>
      <c r="H9" s="356"/>
      <c r="I9" s="356"/>
      <c r="J9" s="356"/>
      <c r="K9" s="356"/>
      <c r="L9" s="356"/>
      <c r="M9" s="356"/>
      <c r="N9" s="356"/>
      <c r="O9" s="356"/>
      <c r="P9" s="356"/>
      <c r="Q9" s="356"/>
      <c r="R9" s="356"/>
      <c r="S9" s="356"/>
      <c r="T9" s="356"/>
      <c r="U9" s="357"/>
      <c r="V9" s="348"/>
      <c r="W9" s="349"/>
      <c r="X9" s="355"/>
      <c r="Y9" s="356"/>
      <c r="Z9" s="356"/>
      <c r="AA9" s="356"/>
      <c r="AB9" s="357"/>
      <c r="AP9" s="37" t="s">
        <v>167</v>
      </c>
      <c r="AQ9" s="37">
        <f ca="1">DAY(EOMONTH(AQ8,COUNTA($AP$2:AP9)-1))</f>
        <v>31</v>
      </c>
      <c r="AY9" s="84"/>
      <c r="BF9" s="41" t="str">
        <f>[1]TablaComparativa!A14</f>
        <v>Enfermería</v>
      </c>
      <c r="BJ9" s="37" t="s">
        <v>168</v>
      </c>
      <c r="BK9" s="37" t="s">
        <v>169</v>
      </c>
      <c r="BL9" s="37">
        <v>40</v>
      </c>
      <c r="BN9" s="37" t="str">
        <f t="shared" si="0"/>
        <v>PRI</v>
      </c>
      <c r="BO9" s="41" t="s">
        <v>170</v>
      </c>
      <c r="BP9" s="41" t="s">
        <v>171</v>
      </c>
      <c r="BQ9" s="41" t="s">
        <v>172</v>
      </c>
      <c r="BR9" s="37">
        <v>21</v>
      </c>
      <c r="BW9" s="63">
        <v>35</v>
      </c>
      <c r="BX9" s="37" t="e">
        <f>#REF!</f>
        <v>#REF!</v>
      </c>
      <c r="BY9" s="37" t="e">
        <f t="shared" si="9"/>
        <v>#VALUE!</v>
      </c>
      <c r="BZ9" s="37" t="e">
        <f t="shared" si="10"/>
        <v>#VALUE!</v>
      </c>
      <c r="CA9" s="37" t="e">
        <f t="shared" ref="CA9:CA15" si="19">COUNTIFS(ranPerfilTM,$BX9,ranProf241,$BF$10,ranCatOcup,$BB$4)</f>
        <v>#VALUE!</v>
      </c>
      <c r="CB9" s="37" t="e">
        <f t="shared" ref="CB9:CB15" si="20">COUNTIFS(ranPerfilTM,$BX9,ranProf241,$BF$10,ranCatOcup,$BB$4,ranSexo,$AT$1)</f>
        <v>#VALUE!</v>
      </c>
      <c r="CC9" s="37" t="e">
        <f t="shared" ref="CC9:CC15" si="21">COUNTIFS(ranPerfilTM,$BX9,ranProf241,$BF$5,ranCatOcup,$BB$4)</f>
        <v>#VALUE!</v>
      </c>
      <c r="CD9" s="37" t="e">
        <f t="shared" ref="CD9:CD15" si="22">COUNTIFS(ranPerfilTM,$BX9,ranProf241,$BF$5,ranCatOcup,$BB$4,ranSexo,$AT$1)</f>
        <v>#VALUE!</v>
      </c>
      <c r="CE9" s="37" t="e">
        <f t="shared" ref="CE9:CE15" si="23">COUNTIFS(ranPerfilTM,$BX9,ranProf241,$BF$7,ranCatOcup,$BB$4)</f>
        <v>#VALUE!</v>
      </c>
      <c r="CF9" s="37" t="e">
        <f t="shared" ref="CF9:CF15" si="24">COUNTIFS(ranPerfilTM,$BX9,ranProf241,$BF$7,ranCatOcup,$BB$4,ranSexo,$AT$1)</f>
        <v>#VALUE!</v>
      </c>
      <c r="CG9" s="63" t="e">
        <f t="shared" si="1"/>
        <v>#VALUE!</v>
      </c>
      <c r="CH9" s="64" t="e">
        <f t="shared" si="2"/>
        <v>#VALUE!</v>
      </c>
      <c r="CI9" s="37" t="e">
        <f t="shared" si="3"/>
        <v>#VALUE!</v>
      </c>
      <c r="CJ9" s="64" t="e">
        <f t="shared" si="4"/>
        <v>#VALUE!</v>
      </c>
      <c r="CL9" s="83">
        <v>29</v>
      </c>
      <c r="CM9" s="84" t="s">
        <v>173</v>
      </c>
      <c r="CN9" s="37" t="e">
        <f t="shared" si="12"/>
        <v>#VALUE!</v>
      </c>
      <c r="CO9" s="37" t="e">
        <f t="shared" si="12"/>
        <v>#VALUE!</v>
      </c>
      <c r="CP9" s="38" t="e">
        <f t="shared" si="13"/>
        <v>#VALUE!</v>
      </c>
      <c r="CQ9" s="37" t="e">
        <f t="shared" si="14"/>
        <v>#VALUE!</v>
      </c>
      <c r="CR9" s="65" t="e">
        <f t="shared" si="15"/>
        <v>#VALUE!</v>
      </c>
      <c r="CS9" s="37" t="e">
        <f t="shared" si="16"/>
        <v>#VALUE!</v>
      </c>
      <c r="CT9" s="66" t="e">
        <f t="shared" si="17"/>
        <v>#VALUE!</v>
      </c>
      <c r="CU9" s="64" t="e">
        <f t="shared" si="18"/>
        <v>#VALUE!</v>
      </c>
      <c r="CV9" s="63" t="e">
        <f t="shared" si="5"/>
        <v>#VALUE!</v>
      </c>
      <c r="CW9" s="37" t="e">
        <f t="shared" si="6"/>
        <v>#VALUE!</v>
      </c>
      <c r="CX9" s="37" t="e">
        <f t="shared" si="7"/>
        <v>#VALUE!</v>
      </c>
      <c r="CY9" s="64" t="e">
        <f t="shared" si="8"/>
        <v>#VALUE!</v>
      </c>
      <c r="DB9" s="67" t="str">
        <f>BX33</f>
        <v>Lic. Nutrición</v>
      </c>
      <c r="DC9" s="95" t="e">
        <f>COUNTIFS(ranProf241,pfLTS,ranCatOcup,coC,ranPerfilTM,$BX33)</f>
        <v>#VALUE!</v>
      </c>
      <c r="DD9" s="79" t="e">
        <f>COUNTIFS(ranProf241,pfLTS,ranCatOcup,coC,ranPerfilTM,$BX33,ranSexo,$AT$1)</f>
        <v>#VALUE!</v>
      </c>
      <c r="DE9" s="96" t="e">
        <f>COUNTIFS(ranProf241,pfLTS,ranCatOcup,coC,ranPerfilTM,$BX33,ranAgRTS,DE$1,ranTrabajador,"&lt;&gt;"&amp;"")</f>
        <v>#VALUE!</v>
      </c>
      <c r="DF9" s="97" t="e">
        <f>COUNTIFS(ranProf241,pfLTS,ranCatOcup,coTNS,ranPerfilTM,$BX33)</f>
        <v>#VALUE!</v>
      </c>
      <c r="DG9" s="40" t="e">
        <f>COUNTIFS(ranProf241,pfLTS,ranCatOcup,coTNS,ranPerfilTM,$BX33,ranSexo,$AT$1)</f>
        <v>#VALUE!</v>
      </c>
      <c r="DH9" s="98" t="e">
        <f>COUNTIFS(ranProf241,pfLTS,ranCatOcup,coTNS,ranPerfilTM,$BX33,ranAgRTS,DE$1,ranTrabajador,"&lt;&gt;"&amp;"")</f>
        <v>#VALUE!</v>
      </c>
      <c r="DI9" s="97" t="e">
        <f>COUNTIFS(ranProf241,pfLTS,ranCatOcup,coTNM,ranPerfilTM,$BX33)</f>
        <v>#VALUE!</v>
      </c>
      <c r="DJ9" s="98" t="e">
        <f>COUNTIFS(ranProf241,pfLTS,ranCatOcup,coTNM,ranPerfilTM,$BX33,ranAgRTS,DE$1,ranTrabajador,"&lt;&gt;"&amp;"")</f>
        <v>#VALUE!</v>
      </c>
      <c r="DK9" s="97" t="e">
        <f>COUNTIFS(ranProf241,pfLTS,ranCatOcup,coTNB,ranPerfilTM,$BX33)</f>
        <v>#VALUE!</v>
      </c>
      <c r="DL9" s="98" t="e">
        <f>COUNTIFS(ranProf241,pfLTS,ranCatOcup,coTNB,ranPerfilTM,$BX33,ranAgRTS,DE$1,ranTrabajador,"&lt;&gt;"&amp;"")</f>
        <v>#VALUE!</v>
      </c>
      <c r="DM9" s="97" t="e">
        <f>COUNTIFS(ranProf241,pfLTS,ranCatOcup,coTa,ranPerfilTM,$BX33)</f>
        <v>#VALUE!</v>
      </c>
      <c r="DN9" s="98" t="e">
        <f>COUNTIFS(ranProf241,pfLTS,ranCatOcup,coTa,ranPerfilTM,$BX33,ranAgRTS,DE$1,ranTrabajador,"&lt;&gt;"&amp;"")</f>
        <v>#VALUE!</v>
      </c>
      <c r="DO9" s="97" t="e">
        <f>COUNTIFS(ranProf241,pfLTS,ranCatOcup,coO,ranPerfilTM,$BX33)</f>
        <v>#VALUE!</v>
      </c>
      <c r="DP9" s="98" t="e">
        <f>COUNTIFS(ranProf241,pfLTS,ranCatOcup,coO,ranPerfilTM,$BX33,ranAgRTS,DE$1,ranTrabajador,"&lt;&gt;"&amp;"")</f>
        <v>#VALUE!</v>
      </c>
      <c r="DQ9" s="97" t="e">
        <f>COUNTIFS(ranProf241,pfLTS,ranCatOcup,coS,ranPerfilTM,$BX33)</f>
        <v>#VALUE!</v>
      </c>
      <c r="DR9" s="98" t="e">
        <f>COUNTIFS(ranProf241,pfLTS,ranCatOcup,coS,ranPerfilTM,$BX33,ranAgRTS,DE$1,ranTrabajador,"&lt;&gt;"&amp;"")</f>
        <v>#VALUE!</v>
      </c>
      <c r="DS9" s="97" t="e">
        <f t="shared" si="11"/>
        <v>#VALUE!</v>
      </c>
      <c r="DT9" s="98"/>
    </row>
    <row r="10" spans="1:124" ht="11.25" customHeight="1" thickBot="1" x14ac:dyDescent="0.3">
      <c r="A10" s="358" t="s">
        <v>690</v>
      </c>
      <c r="B10" s="362"/>
      <c r="C10" s="362"/>
      <c r="D10" s="362"/>
      <c r="E10" s="362"/>
      <c r="F10" s="362"/>
      <c r="G10" s="362"/>
      <c r="H10" s="362"/>
      <c r="I10" s="362"/>
      <c r="J10" s="359"/>
      <c r="K10" s="343" t="s">
        <v>174</v>
      </c>
      <c r="L10" s="344"/>
      <c r="M10" s="344"/>
      <c r="N10" s="345"/>
      <c r="O10" s="343" t="s">
        <v>635</v>
      </c>
      <c r="P10" s="344"/>
      <c r="Q10" s="344"/>
      <c r="R10" s="344"/>
      <c r="S10" s="344"/>
      <c r="T10" s="344"/>
      <c r="U10" s="345"/>
      <c r="V10" s="348"/>
      <c r="W10" s="349"/>
      <c r="X10" s="358" t="s">
        <v>259</v>
      </c>
      <c r="Y10" s="359"/>
      <c r="Z10" s="358" t="s">
        <v>636</v>
      </c>
      <c r="AA10" s="362"/>
      <c r="AB10" s="359"/>
      <c r="AP10" s="37" t="s">
        <v>175</v>
      </c>
      <c r="AQ10" s="37">
        <f ca="1">DAY(EOMONTH(AQ9,COUNTA($AP$2:AP10)-1))</f>
        <v>30</v>
      </c>
      <c r="BF10" s="41" t="str">
        <f>[1]TablaComparativa!A15</f>
        <v>Técnico Formado Salud</v>
      </c>
      <c r="BJ10" s="37" t="s">
        <v>176</v>
      </c>
      <c r="BK10" s="37" t="s">
        <v>177</v>
      </c>
      <c r="BL10" s="37">
        <v>23</v>
      </c>
      <c r="BN10" s="37" t="str">
        <f t="shared" si="0"/>
        <v>PRI</v>
      </c>
      <c r="BO10" s="41" t="s">
        <v>178</v>
      </c>
      <c r="BP10" s="41" t="s">
        <v>179</v>
      </c>
      <c r="BQ10" s="41" t="s">
        <v>180</v>
      </c>
      <c r="BR10" s="37">
        <v>21</v>
      </c>
      <c r="BW10" s="63">
        <v>36</v>
      </c>
      <c r="BX10" s="37" t="e">
        <f>#REF!</f>
        <v>#REF!</v>
      </c>
      <c r="BY10" s="37" t="e">
        <f t="shared" si="9"/>
        <v>#VALUE!</v>
      </c>
      <c r="BZ10" s="37" t="e">
        <f t="shared" si="10"/>
        <v>#VALUE!</v>
      </c>
      <c r="CA10" s="37" t="e">
        <f t="shared" si="19"/>
        <v>#VALUE!</v>
      </c>
      <c r="CB10" s="37" t="e">
        <f t="shared" si="20"/>
        <v>#VALUE!</v>
      </c>
      <c r="CC10" s="37" t="e">
        <f t="shared" si="21"/>
        <v>#VALUE!</v>
      </c>
      <c r="CD10" s="37" t="e">
        <f t="shared" si="22"/>
        <v>#VALUE!</v>
      </c>
      <c r="CE10" s="37" t="e">
        <f t="shared" si="23"/>
        <v>#VALUE!</v>
      </c>
      <c r="CF10" s="37" t="e">
        <f t="shared" si="24"/>
        <v>#VALUE!</v>
      </c>
      <c r="CG10" s="63" t="e">
        <f t="shared" si="1"/>
        <v>#VALUE!</v>
      </c>
      <c r="CH10" s="64" t="e">
        <f t="shared" si="2"/>
        <v>#VALUE!</v>
      </c>
      <c r="CI10" s="37" t="e">
        <f t="shared" si="3"/>
        <v>#VALUE!</v>
      </c>
      <c r="CJ10" s="64" t="e">
        <f t="shared" si="4"/>
        <v>#VALUE!</v>
      </c>
      <c r="CL10" s="83">
        <v>31</v>
      </c>
      <c r="CM10" s="84" t="s">
        <v>181</v>
      </c>
      <c r="CN10" s="37" t="e">
        <f t="shared" si="12"/>
        <v>#VALUE!</v>
      </c>
      <c r="CO10" s="37" t="e">
        <f t="shared" si="12"/>
        <v>#VALUE!</v>
      </c>
      <c r="CP10" s="38" t="e">
        <f t="shared" si="13"/>
        <v>#VALUE!</v>
      </c>
      <c r="CQ10" s="37" t="e">
        <f t="shared" si="14"/>
        <v>#VALUE!</v>
      </c>
      <c r="CR10" s="65" t="e">
        <f t="shared" si="15"/>
        <v>#VALUE!</v>
      </c>
      <c r="CS10" s="37" t="e">
        <f t="shared" si="16"/>
        <v>#VALUE!</v>
      </c>
      <c r="CT10" s="66" t="e">
        <f t="shared" si="17"/>
        <v>#VALUE!</v>
      </c>
      <c r="CU10" s="64" t="e">
        <f t="shared" si="18"/>
        <v>#VALUE!</v>
      </c>
      <c r="CV10" s="63" t="e">
        <f t="shared" si="5"/>
        <v>#VALUE!</v>
      </c>
      <c r="CW10" s="37" t="e">
        <f t="shared" si="6"/>
        <v>#VALUE!</v>
      </c>
      <c r="CX10" s="37" t="e">
        <f t="shared" si="7"/>
        <v>#VALUE!</v>
      </c>
      <c r="CY10" s="64" t="e">
        <f t="shared" si="8"/>
        <v>#VALUE!</v>
      </c>
      <c r="DB10" s="99" t="s">
        <v>12</v>
      </c>
      <c r="DC10" s="100" t="e">
        <f t="shared" ref="DC10:DH10" si="25">SUM(DC2:DC9)</f>
        <v>#VALUE!</v>
      </c>
      <c r="DD10" s="101" t="e">
        <f t="shared" si="25"/>
        <v>#VALUE!</v>
      </c>
      <c r="DE10" s="102" t="e">
        <f t="shared" si="25"/>
        <v>#VALUE!</v>
      </c>
      <c r="DF10" s="100" t="e">
        <f t="shared" si="25"/>
        <v>#VALUE!</v>
      </c>
      <c r="DG10" s="101" t="e">
        <f t="shared" si="25"/>
        <v>#VALUE!</v>
      </c>
      <c r="DH10" s="102" t="e">
        <f t="shared" si="25"/>
        <v>#VALUE!</v>
      </c>
      <c r="DI10" s="100" t="e">
        <f t="shared" ref="DI10:DT10" si="26">SUM(DI2:DI9)</f>
        <v>#VALUE!</v>
      </c>
      <c r="DJ10" s="102" t="e">
        <f t="shared" si="26"/>
        <v>#VALUE!</v>
      </c>
      <c r="DK10" s="100" t="e">
        <f t="shared" si="26"/>
        <v>#VALUE!</v>
      </c>
      <c r="DL10" s="102" t="e">
        <f t="shared" si="26"/>
        <v>#VALUE!</v>
      </c>
      <c r="DM10" s="100" t="e">
        <f t="shared" si="26"/>
        <v>#VALUE!</v>
      </c>
      <c r="DN10" s="102" t="e">
        <f t="shared" si="26"/>
        <v>#VALUE!</v>
      </c>
      <c r="DO10" s="100" t="e">
        <f t="shared" si="26"/>
        <v>#VALUE!</v>
      </c>
      <c r="DP10" s="102" t="e">
        <f t="shared" si="26"/>
        <v>#VALUE!</v>
      </c>
      <c r="DQ10" s="100" t="e">
        <f t="shared" si="26"/>
        <v>#VALUE!</v>
      </c>
      <c r="DR10" s="102" t="e">
        <f t="shared" si="26"/>
        <v>#VALUE!</v>
      </c>
      <c r="DS10" s="100" t="e">
        <f t="shared" si="26"/>
        <v>#VALUE!</v>
      </c>
      <c r="DT10" s="102">
        <f t="shared" si="26"/>
        <v>0</v>
      </c>
    </row>
    <row r="11" spans="1:124" ht="18" customHeight="1" thickBot="1" x14ac:dyDescent="0.3">
      <c r="A11" s="360"/>
      <c r="B11" s="363"/>
      <c r="C11" s="363"/>
      <c r="D11" s="363"/>
      <c r="E11" s="363"/>
      <c r="F11" s="363"/>
      <c r="G11" s="363"/>
      <c r="H11" s="363"/>
      <c r="I11" s="363"/>
      <c r="J11" s="361"/>
      <c r="K11" s="355"/>
      <c r="L11" s="356"/>
      <c r="M11" s="356"/>
      <c r="N11" s="357"/>
      <c r="O11" s="355"/>
      <c r="P11" s="356"/>
      <c r="Q11" s="356"/>
      <c r="R11" s="356"/>
      <c r="S11" s="356"/>
      <c r="T11" s="356"/>
      <c r="U11" s="357"/>
      <c r="V11" s="350"/>
      <c r="W11" s="351"/>
      <c r="X11" s="360"/>
      <c r="Y11" s="361"/>
      <c r="Z11" s="360"/>
      <c r="AA11" s="363"/>
      <c r="AB11" s="361"/>
      <c r="AP11" s="37" t="s">
        <v>184</v>
      </c>
      <c r="AQ11" s="37">
        <f ca="1">DAY(EOMONTH(AQ10,COUNTA($AP$2:AP11)-1))</f>
        <v>31</v>
      </c>
      <c r="BF11" s="41" t="str">
        <f>[1]TablaComparativa!A16</f>
        <v>Técnico No Formado Salud</v>
      </c>
      <c r="BJ11" s="37" t="s">
        <v>185</v>
      </c>
      <c r="BK11" s="37" t="s">
        <v>186</v>
      </c>
      <c r="BL11" s="37">
        <v>31</v>
      </c>
      <c r="BN11" s="37" t="str">
        <f t="shared" si="0"/>
        <v>PRI</v>
      </c>
      <c r="BO11" s="41" t="s">
        <v>187</v>
      </c>
      <c r="BP11" s="41" t="s">
        <v>188</v>
      </c>
      <c r="BQ11" s="41" t="s">
        <v>189</v>
      </c>
      <c r="BR11" s="37">
        <v>21</v>
      </c>
      <c r="BT11" s="38" t="str">
        <f>IF(O11="","",INDEX(BQ:BQ,MATCH(O11,BP:BP,0)))</f>
        <v/>
      </c>
      <c r="BU11" s="37" t="s">
        <v>190</v>
      </c>
      <c r="BW11" s="63">
        <v>37</v>
      </c>
      <c r="BX11" s="37" t="e">
        <f>#REF!</f>
        <v>#REF!</v>
      </c>
      <c r="BY11" s="37" t="e">
        <f t="shared" si="9"/>
        <v>#VALUE!</v>
      </c>
      <c r="BZ11" s="37" t="e">
        <f t="shared" si="10"/>
        <v>#VALUE!</v>
      </c>
      <c r="CA11" s="37" t="e">
        <f t="shared" si="19"/>
        <v>#VALUE!</v>
      </c>
      <c r="CB11" s="37" t="e">
        <f t="shared" si="20"/>
        <v>#VALUE!</v>
      </c>
      <c r="CC11" s="37" t="e">
        <f t="shared" si="21"/>
        <v>#VALUE!</v>
      </c>
      <c r="CD11" s="37" t="e">
        <f t="shared" si="22"/>
        <v>#VALUE!</v>
      </c>
      <c r="CE11" s="37" t="e">
        <f t="shared" si="23"/>
        <v>#VALUE!</v>
      </c>
      <c r="CF11" s="37" t="e">
        <f t="shared" si="24"/>
        <v>#VALUE!</v>
      </c>
      <c r="CG11" s="63" t="e">
        <f t="shared" si="1"/>
        <v>#VALUE!</v>
      </c>
      <c r="CH11" s="64" t="e">
        <f t="shared" si="2"/>
        <v>#VALUE!</v>
      </c>
      <c r="CI11" s="37" t="e">
        <f t="shared" si="3"/>
        <v>#VALUE!</v>
      </c>
      <c r="CJ11" s="64" t="e">
        <f t="shared" si="4"/>
        <v>#VALUE!</v>
      </c>
      <c r="CL11" s="63">
        <v>31</v>
      </c>
      <c r="CM11" s="37" t="s">
        <v>181</v>
      </c>
      <c r="CN11" s="38"/>
      <c r="CO11" s="38"/>
      <c r="CP11" s="38"/>
      <c r="CQ11" s="38"/>
      <c r="CR11" s="38"/>
      <c r="CS11" s="38"/>
      <c r="CT11" s="38"/>
      <c r="CU11" s="93"/>
      <c r="CV11" s="63" t="e">
        <f t="shared" si="5"/>
        <v>#VALUE!</v>
      </c>
      <c r="CW11" s="37" t="e">
        <f t="shared" si="6"/>
        <v>#VALUE!</v>
      </c>
      <c r="CX11" s="37" t="e">
        <f t="shared" si="7"/>
        <v>#VALUE!</v>
      </c>
      <c r="CY11" s="64" t="e">
        <f t="shared" si="8"/>
        <v>#VALUE!</v>
      </c>
      <c r="DB11" s="67"/>
      <c r="DC11" s="103" t="s">
        <v>191</v>
      </c>
      <c r="DD11" s="104" t="s">
        <v>192</v>
      </c>
      <c r="DE11" s="105" t="s">
        <v>193</v>
      </c>
      <c r="DF11" s="103" t="s">
        <v>194</v>
      </c>
      <c r="DG11" s="104" t="s">
        <v>195</v>
      </c>
      <c r="DH11" s="105" t="s">
        <v>196</v>
      </c>
      <c r="DI11" s="71"/>
      <c r="DJ11" s="73"/>
      <c r="DK11" s="71"/>
      <c r="DL11" s="73"/>
      <c r="DM11" s="71"/>
      <c r="DN11" s="73"/>
      <c r="DO11" s="71"/>
      <c r="DP11" s="73"/>
      <c r="DQ11" s="71"/>
      <c r="DR11" s="73"/>
      <c r="DS11" s="71"/>
      <c r="DT11" s="73"/>
    </row>
    <row r="12" spans="1:124" ht="16.5" customHeight="1" thickBot="1" x14ac:dyDescent="0.3">
      <c r="A12" s="429"/>
      <c r="B12" s="430"/>
      <c r="C12" s="430"/>
      <c r="D12" s="430"/>
      <c r="E12" s="430"/>
      <c r="F12" s="430"/>
      <c r="G12" s="430"/>
      <c r="H12" s="430"/>
      <c r="I12" s="430"/>
      <c r="J12" s="430"/>
      <c r="K12" s="430"/>
      <c r="L12" s="430"/>
      <c r="M12" s="430"/>
      <c r="N12" s="430"/>
      <c r="O12" s="430"/>
      <c r="P12" s="430"/>
      <c r="Q12" s="430"/>
      <c r="R12" s="430"/>
      <c r="S12" s="430"/>
      <c r="T12" s="430"/>
      <c r="U12" s="430"/>
      <c r="V12" s="430"/>
      <c r="W12" s="430"/>
      <c r="X12" s="430"/>
      <c r="Y12" s="430"/>
      <c r="Z12" s="430"/>
      <c r="AA12" s="430"/>
      <c r="AB12" s="431"/>
      <c r="AP12" s="37" t="s">
        <v>197</v>
      </c>
      <c r="AQ12" s="37">
        <f ca="1">DAY(EOMONTH(AQ11,COUNTA($AP$2:AP12)-1))</f>
        <v>30</v>
      </c>
      <c r="BF12" s="41" t="str">
        <f>[1]TablaComparativa!A17</f>
        <v>Otros No Técnicos</v>
      </c>
      <c r="BJ12" s="37" t="s">
        <v>198</v>
      </c>
      <c r="BK12" s="37" t="s">
        <v>199</v>
      </c>
      <c r="BL12" s="37">
        <v>25</v>
      </c>
      <c r="BN12" s="37" t="str">
        <f t="shared" si="0"/>
        <v>PRI</v>
      </c>
      <c r="BO12" s="41" t="s">
        <v>200</v>
      </c>
      <c r="BP12" s="41" t="s">
        <v>201</v>
      </c>
      <c r="BQ12" s="41" t="s">
        <v>202</v>
      </c>
      <c r="BR12" s="37">
        <v>21</v>
      </c>
      <c r="BT12" s="37" t="s">
        <v>126</v>
      </c>
      <c r="BU12" s="37" t="e">
        <f>COUNTIF([1]Unidades!B:B,BT11)</f>
        <v>#VALUE!</v>
      </c>
      <c r="BW12" s="63">
        <v>38</v>
      </c>
      <c r="BX12" s="37" t="e">
        <f>#REF!</f>
        <v>#REF!</v>
      </c>
      <c r="BY12" s="37" t="e">
        <f t="shared" si="9"/>
        <v>#VALUE!</v>
      </c>
      <c r="BZ12" s="37" t="e">
        <f t="shared" si="10"/>
        <v>#VALUE!</v>
      </c>
      <c r="CA12" s="37" t="e">
        <f t="shared" si="19"/>
        <v>#VALUE!</v>
      </c>
      <c r="CB12" s="37" t="e">
        <f t="shared" si="20"/>
        <v>#VALUE!</v>
      </c>
      <c r="CC12" s="37" t="e">
        <f t="shared" si="21"/>
        <v>#VALUE!</v>
      </c>
      <c r="CD12" s="37" t="e">
        <f t="shared" si="22"/>
        <v>#VALUE!</v>
      </c>
      <c r="CE12" s="37" t="e">
        <f t="shared" si="23"/>
        <v>#VALUE!</v>
      </c>
      <c r="CF12" s="37" t="e">
        <f t="shared" si="24"/>
        <v>#VALUE!</v>
      </c>
      <c r="CG12" s="63" t="e">
        <f t="shared" si="1"/>
        <v>#VALUE!</v>
      </c>
      <c r="CH12" s="64" t="e">
        <f t="shared" si="2"/>
        <v>#VALUE!</v>
      </c>
      <c r="CI12" s="37" t="e">
        <f t="shared" si="3"/>
        <v>#VALUE!</v>
      </c>
      <c r="CJ12" s="64" t="e">
        <f t="shared" si="4"/>
        <v>#VALUE!</v>
      </c>
      <c r="CL12" s="83">
        <v>31</v>
      </c>
      <c r="CM12" s="84" t="s">
        <v>203</v>
      </c>
      <c r="CN12" s="37" t="e">
        <f>SUM(CP12,CR12,CT12,CV12,CX12)</f>
        <v>#VALUE!</v>
      </c>
      <c r="CO12" s="37" t="e">
        <f>SUM(CQ12,CS12,CU12,CW12,CY12)</f>
        <v>#VALUE!</v>
      </c>
      <c r="CP12" s="38" t="e">
        <f>COUNTIFS(ranPerfilTM,$CM12,ranProf241,$BF$10,ranCatOcup,$BB$4)</f>
        <v>#VALUE!</v>
      </c>
      <c r="CQ12" s="37" t="e">
        <f>COUNTIFS(ranPerfilTM,$CM12,ranProf241,$BF$10,ranCatOcup,$BB$4,ranSexo,$AT$1)</f>
        <v>#VALUE!</v>
      </c>
      <c r="CR12" s="65" t="e">
        <f>COUNTIFS(ranPerfilTM,$CM12,ranProf241,$BF$5,ranCatOcup,$BB$4)</f>
        <v>#VALUE!</v>
      </c>
      <c r="CS12" s="37" t="e">
        <f>COUNTIFS(ranPerfilTM,$CM12,ranProf241,$BF$5,ranCatOcup,$BB$4,ranSexo,$AT$1)</f>
        <v>#VALUE!</v>
      </c>
      <c r="CT12" s="66" t="e">
        <f>COUNTIFS(ranPerfilTM,$CM12,ranProf241,$BF$7,ranCatOcup,$BB$4)</f>
        <v>#VALUE!</v>
      </c>
      <c r="CU12" s="64" t="e">
        <f>COUNTIFS(ranPerfilTM,$CM12,ranProf241,$BF$7,ranCatOcup,$BB$4,ranSexo,$AT$1)</f>
        <v>#VALUE!</v>
      </c>
      <c r="CV12" s="63" t="e">
        <f t="shared" si="5"/>
        <v>#VALUE!</v>
      </c>
      <c r="CW12" s="37" t="e">
        <f t="shared" si="6"/>
        <v>#VALUE!</v>
      </c>
      <c r="CX12" s="37" t="e">
        <f t="shared" si="7"/>
        <v>#VALUE!</v>
      </c>
      <c r="CY12" s="64" t="e">
        <f t="shared" si="8"/>
        <v>#VALUE!</v>
      </c>
      <c r="DB12" s="106" t="str">
        <f>BF5</f>
        <v>Lic. en Tecnología de la Salud</v>
      </c>
      <c r="DC12" s="97" t="e">
        <f>COUNTIFS(ranProf241,pfLTS,ranCatOcup,coC)</f>
        <v>#VALUE!</v>
      </c>
      <c r="DD12" s="40" t="e">
        <f>COUNTIFS(ranProf241,pfLTS,ranCatOcup,coC,ranSexo,$AT$1)</f>
        <v>#VALUE!</v>
      </c>
      <c r="DE12" s="98" t="e">
        <f>COUNTIFS(ranProf241,pfLTS,ranCatOcup,coC,ranAgRTS,DE$1,ranTrabajador,"&lt;&gt;"&amp;"")</f>
        <v>#VALUE!</v>
      </c>
      <c r="DF12" s="97" t="e">
        <f>COUNTIFS(ranProf241,pfLTS,ranCatOcup,coTNS)</f>
        <v>#VALUE!</v>
      </c>
      <c r="DG12" s="40" t="e">
        <f>COUNTIFS(ranProf241,pfLTS,ranCatOcup,coTNS,ranSexo,$AT$1)</f>
        <v>#VALUE!</v>
      </c>
      <c r="DH12" s="98" t="e">
        <f>COUNTIFS(ranProf241,pfLTS,ranCatOcup,coTNS,ranAgRTS,DE$1,ranTrabajador,"&lt;&gt;"&amp;"")</f>
        <v>#VALUE!</v>
      </c>
      <c r="DI12" s="97" t="e">
        <f>COUNTIFS(ranProf241,pfLTS,ranCatOcup,coTNM)</f>
        <v>#VALUE!</v>
      </c>
      <c r="DJ12" s="98" t="e">
        <f>COUNTIFS(ranProf241,pfLTS,ranCatOcup,coTNM,ranAgRTS,DE$1,ranTrabajador,"&lt;&gt;"&amp;"")</f>
        <v>#VALUE!</v>
      </c>
      <c r="DK12" s="97" t="e">
        <f>COUNTIFS(ranProf241,pfLTS,ranCatOcup,coTNB)</f>
        <v>#VALUE!</v>
      </c>
      <c r="DL12" s="98" t="e">
        <f>COUNTIFS(ranProf241,pfLTS,ranCatOcup,coTNB,ranAgRTS,DE$1,ranTrabajador,"&lt;&gt;"&amp;"")</f>
        <v>#VALUE!</v>
      </c>
      <c r="DM12" s="97" t="e">
        <f>COUNTIFS(ranProf241,pfLTS,ranCatOcup,coA)</f>
        <v>#VALUE!</v>
      </c>
      <c r="DN12" s="98" t="e">
        <f>COUNTIFS(ranProf241,pfLTS,ranCatOcup,coA,ranAgRTS,DE$1,ranTrabajador,"&lt;&gt;"&amp;"")</f>
        <v>#VALUE!</v>
      </c>
      <c r="DO12" s="97" t="e">
        <f>COUNTIFS(ranProf241,pfLTS,ranCatOcup,coO)</f>
        <v>#VALUE!</v>
      </c>
      <c r="DP12" s="98" t="e">
        <f>COUNTIFS(ranProf241,pfLTS,ranCatOcup,coO,ranAgRTS,DE$1,ranTrabajador,"&lt;&gt;"&amp;"")</f>
        <v>#VALUE!</v>
      </c>
      <c r="DQ12" s="97" t="e">
        <f>COUNTIFS(ranProf241,pfLTS,ranCatOcup,coS)</f>
        <v>#VALUE!</v>
      </c>
      <c r="DR12" s="98" t="e">
        <f>COUNTIFS(ranProf241,pfLTS,ranCatOcup,coS,ranAgRTS,DE$1,ranTrabajador,"&lt;&gt;"&amp;"")</f>
        <v>#VALUE!</v>
      </c>
      <c r="DS12" s="97" t="e">
        <f>SUM(DE12,DH12,DJ12,DL12,DN12,DP12,DR12)</f>
        <v>#VALUE!</v>
      </c>
      <c r="DT12" s="98"/>
    </row>
    <row r="13" spans="1:124" ht="25.5" customHeight="1" thickBot="1" x14ac:dyDescent="0.3">
      <c r="A13" s="423" t="s">
        <v>10</v>
      </c>
      <c r="B13" s="424"/>
      <c r="C13" s="424"/>
      <c r="D13" s="424"/>
      <c r="E13" s="424"/>
      <c r="F13" s="424"/>
      <c r="G13" s="424"/>
      <c r="H13" s="424"/>
      <c r="I13" s="424"/>
      <c r="J13" s="424"/>
      <c r="K13" s="425"/>
      <c r="L13" s="9" t="s">
        <v>11</v>
      </c>
      <c r="M13" s="26" t="s">
        <v>12</v>
      </c>
      <c r="N13" s="27" t="s">
        <v>13</v>
      </c>
      <c r="O13" s="423" t="s">
        <v>10</v>
      </c>
      <c r="P13" s="424"/>
      <c r="Q13" s="424"/>
      <c r="R13" s="424"/>
      <c r="S13" s="424"/>
      <c r="T13" s="424"/>
      <c r="U13" s="424"/>
      <c r="V13" s="424"/>
      <c r="W13" s="424"/>
      <c r="X13" s="424"/>
      <c r="Y13" s="425"/>
      <c r="Z13" s="10" t="s">
        <v>11</v>
      </c>
      <c r="AA13" s="28" t="s">
        <v>12</v>
      </c>
      <c r="AB13" s="107" t="s">
        <v>13</v>
      </c>
      <c r="AP13" s="37" t="s">
        <v>204</v>
      </c>
      <c r="AQ13" s="37">
        <f ca="1">DAY(EOMONTH(AQ12,COUNTA($AP$2:AP13)-1))</f>
        <v>31</v>
      </c>
      <c r="BJ13" s="37" t="s">
        <v>205</v>
      </c>
      <c r="BK13" s="37" t="s">
        <v>206</v>
      </c>
      <c r="BL13" s="37">
        <v>24</v>
      </c>
      <c r="BN13" s="37" t="str">
        <f t="shared" si="0"/>
        <v>ART</v>
      </c>
      <c r="BO13" s="41" t="s">
        <v>111</v>
      </c>
      <c r="BP13" s="41" t="s">
        <v>207</v>
      </c>
      <c r="BQ13" s="41" t="s">
        <v>208</v>
      </c>
      <c r="BR13" s="37">
        <v>22</v>
      </c>
      <c r="BT13" s="37" t="s">
        <v>135</v>
      </c>
      <c r="BU13" s="37">
        <f>IF(BT11="",11,MATCH(BT11,[1]Unidades!B:B,0))</f>
        <v>11</v>
      </c>
      <c r="BW13" s="63">
        <v>39</v>
      </c>
      <c r="BX13" s="37" t="str">
        <f t="shared" ref="BX13:BX21" si="27">Q17</f>
        <v>Laboratorio clínico, microbiológico</v>
      </c>
      <c r="BY13" s="37" t="e">
        <f t="shared" si="9"/>
        <v>#VALUE!</v>
      </c>
      <c r="BZ13" s="37" t="e">
        <f t="shared" si="10"/>
        <v>#VALUE!</v>
      </c>
      <c r="CA13" s="37" t="e">
        <f t="shared" si="19"/>
        <v>#VALUE!</v>
      </c>
      <c r="CB13" s="37" t="e">
        <f t="shared" si="20"/>
        <v>#VALUE!</v>
      </c>
      <c r="CC13" s="37" t="e">
        <f t="shared" si="21"/>
        <v>#VALUE!</v>
      </c>
      <c r="CD13" s="37" t="e">
        <f t="shared" si="22"/>
        <v>#VALUE!</v>
      </c>
      <c r="CE13" s="37" t="e">
        <f t="shared" si="23"/>
        <v>#VALUE!</v>
      </c>
      <c r="CF13" s="37" t="e">
        <f t="shared" si="24"/>
        <v>#VALUE!</v>
      </c>
      <c r="CG13" s="63" t="e">
        <f t="shared" si="1"/>
        <v>#VALUE!</v>
      </c>
      <c r="CH13" s="64" t="e">
        <f t="shared" si="2"/>
        <v>#VALUE!</v>
      </c>
      <c r="CI13" s="37" t="e">
        <f t="shared" si="3"/>
        <v>#VALUE!</v>
      </c>
      <c r="CJ13" s="64" t="e">
        <f t="shared" si="4"/>
        <v>#VALUE!</v>
      </c>
      <c r="CL13" s="63">
        <v>31</v>
      </c>
      <c r="CM13" s="37" t="s">
        <v>203</v>
      </c>
      <c r="CN13" s="38"/>
      <c r="CO13" s="38"/>
      <c r="CP13" s="38"/>
      <c r="CQ13" s="38"/>
      <c r="CR13" s="38"/>
      <c r="CS13" s="38"/>
      <c r="CT13" s="38"/>
      <c r="CU13" s="93"/>
      <c r="CV13" s="63" t="e">
        <f t="shared" si="5"/>
        <v>#VALUE!</v>
      </c>
      <c r="CW13" s="37" t="e">
        <f t="shared" si="6"/>
        <v>#VALUE!</v>
      </c>
      <c r="CX13" s="37" t="e">
        <f t="shared" si="7"/>
        <v>#VALUE!</v>
      </c>
      <c r="CY13" s="64" t="e">
        <f t="shared" si="8"/>
        <v>#VALUE!</v>
      </c>
      <c r="CZ13" s="41"/>
      <c r="DA13" s="41"/>
      <c r="DB13" s="108" t="str">
        <f>CONCATENATE(DB12," - ",DB1)</f>
        <v>Lic. en Tecnología de la Salud - Otros Licenciados de la Salud</v>
      </c>
      <c r="DC13" s="109" t="e">
        <f t="shared" ref="DC13:DT13" si="28">IF(DC10&gt;DC12,0,DC12-DC10)</f>
        <v>#VALUE!</v>
      </c>
      <c r="DD13" s="110" t="e">
        <f t="shared" si="28"/>
        <v>#VALUE!</v>
      </c>
      <c r="DE13" s="111" t="e">
        <f t="shared" si="28"/>
        <v>#VALUE!</v>
      </c>
      <c r="DF13" s="109" t="e">
        <f t="shared" si="28"/>
        <v>#VALUE!</v>
      </c>
      <c r="DG13" s="110" t="e">
        <f t="shared" si="28"/>
        <v>#VALUE!</v>
      </c>
      <c r="DH13" s="111" t="e">
        <f t="shared" si="28"/>
        <v>#VALUE!</v>
      </c>
      <c r="DI13" s="109" t="e">
        <f t="shared" si="28"/>
        <v>#VALUE!</v>
      </c>
      <c r="DJ13" s="111" t="e">
        <f t="shared" si="28"/>
        <v>#VALUE!</v>
      </c>
      <c r="DK13" s="109" t="e">
        <f t="shared" si="28"/>
        <v>#VALUE!</v>
      </c>
      <c r="DL13" s="111" t="e">
        <f t="shared" si="28"/>
        <v>#VALUE!</v>
      </c>
      <c r="DM13" s="109" t="e">
        <f t="shared" si="28"/>
        <v>#VALUE!</v>
      </c>
      <c r="DN13" s="111" t="e">
        <f t="shared" si="28"/>
        <v>#VALUE!</v>
      </c>
      <c r="DO13" s="109" t="e">
        <f t="shared" si="28"/>
        <v>#VALUE!</v>
      </c>
      <c r="DP13" s="111" t="e">
        <f t="shared" si="28"/>
        <v>#VALUE!</v>
      </c>
      <c r="DQ13" s="109" t="e">
        <f t="shared" si="28"/>
        <v>#VALUE!</v>
      </c>
      <c r="DR13" s="111" t="e">
        <f t="shared" si="28"/>
        <v>#VALUE!</v>
      </c>
      <c r="DS13" s="109" t="e">
        <f t="shared" si="28"/>
        <v>#VALUE!</v>
      </c>
      <c r="DT13" s="111">
        <f t="shared" si="28"/>
        <v>0</v>
      </c>
    </row>
    <row r="14" spans="1:124" ht="15.75" thickBot="1" x14ac:dyDescent="0.3">
      <c r="A14" s="426" t="s">
        <v>14</v>
      </c>
      <c r="B14" s="427"/>
      <c r="C14" s="427"/>
      <c r="D14" s="427"/>
      <c r="E14" s="427"/>
      <c r="F14" s="427"/>
      <c r="G14" s="427"/>
      <c r="H14" s="427"/>
      <c r="I14" s="427"/>
      <c r="J14" s="427"/>
      <c r="K14" s="428"/>
      <c r="L14" s="11" t="s">
        <v>15</v>
      </c>
      <c r="M14" s="30">
        <v>1</v>
      </c>
      <c r="N14" s="30">
        <v>2</v>
      </c>
      <c r="O14" s="426" t="s">
        <v>16</v>
      </c>
      <c r="P14" s="427"/>
      <c r="Q14" s="427"/>
      <c r="R14" s="427"/>
      <c r="S14" s="427"/>
      <c r="T14" s="427"/>
      <c r="U14" s="427"/>
      <c r="V14" s="427"/>
      <c r="W14" s="427"/>
      <c r="X14" s="427"/>
      <c r="Y14" s="428"/>
      <c r="Z14" s="12" t="s">
        <v>15</v>
      </c>
      <c r="AA14" s="31">
        <v>1</v>
      </c>
      <c r="AB14" s="112">
        <v>2</v>
      </c>
      <c r="BJ14" s="37" t="s">
        <v>171</v>
      </c>
      <c r="BK14" s="37" t="s">
        <v>172</v>
      </c>
      <c r="BL14" s="37">
        <v>21</v>
      </c>
      <c r="BN14" s="37" t="str">
        <f t="shared" si="0"/>
        <v>ART</v>
      </c>
      <c r="BO14" s="41" t="s">
        <v>123</v>
      </c>
      <c r="BP14" s="41" t="s">
        <v>209</v>
      </c>
      <c r="BQ14" s="41" t="s">
        <v>210</v>
      </c>
      <c r="BR14" s="37">
        <v>22</v>
      </c>
      <c r="BT14" s="37" t="s">
        <v>143</v>
      </c>
      <c r="BU14" s="37">
        <f>IF(BT11="",11,SUM(BU13,BU12-1))</f>
        <v>11</v>
      </c>
      <c r="BW14" s="63">
        <v>40</v>
      </c>
      <c r="BX14" s="37" t="str">
        <f t="shared" si="27"/>
        <v>Banco de sangre</v>
      </c>
      <c r="BY14" s="37" t="e">
        <f t="shared" si="9"/>
        <v>#VALUE!</v>
      </c>
      <c r="BZ14" s="37" t="e">
        <f t="shared" si="10"/>
        <v>#VALUE!</v>
      </c>
      <c r="CA14" s="37" t="e">
        <f t="shared" si="19"/>
        <v>#VALUE!</v>
      </c>
      <c r="CB14" s="37" t="e">
        <f t="shared" si="20"/>
        <v>#VALUE!</v>
      </c>
      <c r="CC14" s="37" t="e">
        <f t="shared" si="21"/>
        <v>#VALUE!</v>
      </c>
      <c r="CD14" s="37" t="e">
        <f t="shared" si="22"/>
        <v>#VALUE!</v>
      </c>
      <c r="CE14" s="37" t="e">
        <f t="shared" si="23"/>
        <v>#VALUE!</v>
      </c>
      <c r="CF14" s="37" t="e">
        <f t="shared" si="24"/>
        <v>#VALUE!</v>
      </c>
      <c r="CG14" s="63" t="e">
        <f t="shared" si="1"/>
        <v>#VALUE!</v>
      </c>
      <c r="CH14" s="64" t="e">
        <f t="shared" si="2"/>
        <v>#VALUE!</v>
      </c>
      <c r="CI14" s="37" t="e">
        <f t="shared" si="3"/>
        <v>#VALUE!</v>
      </c>
      <c r="CJ14" s="64" t="e">
        <f t="shared" si="4"/>
        <v>#VALUE!</v>
      </c>
      <c r="CL14" s="63">
        <v>31</v>
      </c>
      <c r="CM14" s="37" t="s">
        <v>211</v>
      </c>
      <c r="CN14" s="37" t="e">
        <f t="shared" ref="CN14:CO16" si="29">SUM(CP14,CR14,CT14,CV14,CX14)</f>
        <v>#VALUE!</v>
      </c>
      <c r="CO14" s="37" t="e">
        <f t="shared" si="29"/>
        <v>#VALUE!</v>
      </c>
      <c r="CP14" s="38" t="e">
        <f>COUNTIFS(ranPerfilTM,$CM14,ranProf241,$BF$10,ranCatOcup,$BB$4)</f>
        <v>#VALUE!</v>
      </c>
      <c r="CQ14" s="37" t="e">
        <f>COUNTIFS(ranPerfilTM,$CM14,ranProf241,$BF$10,ranCatOcup,$BB$4,ranSexo,$AT$1)</f>
        <v>#VALUE!</v>
      </c>
      <c r="CR14" s="65" t="e">
        <f>COUNTIFS(ranPerfilTM,$CM14,ranProf241,$BF$5,ranCatOcup,$BB$4)</f>
        <v>#VALUE!</v>
      </c>
      <c r="CS14" s="37" t="e">
        <f>COUNTIFS(ranPerfilTM,$CM14,ranProf241,$BF$5,ranCatOcup,$BB$4,ranSexo,$AT$1)</f>
        <v>#VALUE!</v>
      </c>
      <c r="CT14" s="66" t="e">
        <f>COUNTIFS(ranPerfilTM,$CM14,ranProf241,$BF$7,ranCatOcup,$BB$4)</f>
        <v>#VALUE!</v>
      </c>
      <c r="CU14" s="64" t="e">
        <f>COUNTIFS(ranPerfilTM,$CM14,ranProf241,$BF$7,ranCatOcup,$BB$4,ranSexo,$AT$1)</f>
        <v>#VALUE!</v>
      </c>
      <c r="CV14" s="63" t="e">
        <f t="shared" si="5"/>
        <v>#VALUE!</v>
      </c>
      <c r="CW14" s="37" t="e">
        <f t="shared" si="6"/>
        <v>#VALUE!</v>
      </c>
      <c r="CX14" s="37" t="e">
        <f t="shared" si="7"/>
        <v>#VALUE!</v>
      </c>
      <c r="CY14" s="64" t="e">
        <f t="shared" si="8"/>
        <v>#VALUE!</v>
      </c>
      <c r="DB14" s="38" t="s">
        <v>212</v>
      </c>
    </row>
    <row r="15" spans="1:124" ht="27" customHeight="1" thickBot="1" x14ac:dyDescent="0.3">
      <c r="A15" s="432" t="s">
        <v>17</v>
      </c>
      <c r="B15" s="433"/>
      <c r="C15" s="433"/>
      <c r="D15" s="433"/>
      <c r="E15" s="433"/>
      <c r="F15" s="433"/>
      <c r="G15" s="433"/>
      <c r="H15" s="433"/>
      <c r="I15" s="433"/>
      <c r="J15" s="433"/>
      <c r="K15" s="437"/>
      <c r="L15" s="13">
        <v>1</v>
      </c>
      <c r="M15" s="30">
        <f>+M16+M27+AA30</f>
        <v>0</v>
      </c>
      <c r="N15" s="30">
        <f>+N16+N27+AB30</f>
        <v>0</v>
      </c>
      <c r="O15" s="270" t="s">
        <v>18</v>
      </c>
      <c r="P15" s="432"/>
      <c r="Q15" s="433"/>
      <c r="R15" s="433"/>
      <c r="S15" s="433"/>
      <c r="T15" s="433"/>
      <c r="U15" s="433"/>
      <c r="V15" s="433"/>
      <c r="W15" s="433"/>
      <c r="X15" s="433"/>
      <c r="Y15" s="433"/>
      <c r="Z15" s="176">
        <v>27</v>
      </c>
      <c r="AA15" s="186"/>
      <c r="AB15" s="186"/>
      <c r="BJ15" s="37" t="s">
        <v>213</v>
      </c>
      <c r="BK15" s="37" t="s">
        <v>214</v>
      </c>
      <c r="BL15" s="37">
        <v>28</v>
      </c>
      <c r="BN15" s="37" t="str">
        <f t="shared" si="0"/>
        <v>ART</v>
      </c>
      <c r="BO15" s="41" t="s">
        <v>132</v>
      </c>
      <c r="BP15" s="41" t="s">
        <v>215</v>
      </c>
      <c r="BQ15" s="41" t="s">
        <v>216</v>
      </c>
      <c r="BR15" s="37">
        <v>22</v>
      </c>
      <c r="BW15" s="63">
        <v>41</v>
      </c>
      <c r="BX15" s="37" t="str">
        <f t="shared" si="27"/>
        <v>Rayos X</v>
      </c>
      <c r="BY15" s="37" t="e">
        <f t="shared" si="9"/>
        <v>#VALUE!</v>
      </c>
      <c r="BZ15" s="37" t="e">
        <f t="shared" si="10"/>
        <v>#VALUE!</v>
      </c>
      <c r="CA15" s="37" t="e">
        <f t="shared" si="19"/>
        <v>#VALUE!</v>
      </c>
      <c r="CB15" s="37" t="e">
        <f t="shared" si="20"/>
        <v>#VALUE!</v>
      </c>
      <c r="CC15" s="37" t="e">
        <f t="shared" si="21"/>
        <v>#VALUE!</v>
      </c>
      <c r="CD15" s="37" t="e">
        <f t="shared" si="22"/>
        <v>#VALUE!</v>
      </c>
      <c r="CE15" s="37" t="e">
        <f t="shared" si="23"/>
        <v>#VALUE!</v>
      </c>
      <c r="CF15" s="37" t="e">
        <f t="shared" si="24"/>
        <v>#VALUE!</v>
      </c>
      <c r="CG15" s="63" t="e">
        <f t="shared" si="1"/>
        <v>#VALUE!</v>
      </c>
      <c r="CH15" s="64" t="e">
        <f t="shared" si="2"/>
        <v>#VALUE!</v>
      </c>
      <c r="CI15" s="37" t="e">
        <f t="shared" si="3"/>
        <v>#VALUE!</v>
      </c>
      <c r="CJ15" s="64" t="e">
        <f t="shared" si="4"/>
        <v>#VALUE!</v>
      </c>
      <c r="CL15" s="63">
        <v>32</v>
      </c>
      <c r="CM15" s="37" t="s">
        <v>217</v>
      </c>
      <c r="CN15" s="37" t="e">
        <f t="shared" si="29"/>
        <v>#VALUE!</v>
      </c>
      <c r="CO15" s="37" t="e">
        <f t="shared" si="29"/>
        <v>#VALUE!</v>
      </c>
      <c r="CP15" s="38" t="e">
        <f>COUNTIFS(ranPerfilTM,$CM15,ranProf241,$BF$10,ranCatOcup,$BB$4)</f>
        <v>#VALUE!</v>
      </c>
      <c r="CQ15" s="37" t="e">
        <f>COUNTIFS(ranPerfilTM,$CM15,ranProf241,$BF$10,ranCatOcup,$BB$4,ranSexo,$AT$1)</f>
        <v>#VALUE!</v>
      </c>
      <c r="CR15" s="65" t="e">
        <f>COUNTIFS(ranPerfilTM,$CM15,ranProf241,$BF$5,ranCatOcup,$BB$4)</f>
        <v>#VALUE!</v>
      </c>
      <c r="CS15" s="37" t="e">
        <f>COUNTIFS(ranPerfilTM,$CM15,ranProf241,$BF$5,ranCatOcup,$BB$4,ranSexo,$AT$1)</f>
        <v>#VALUE!</v>
      </c>
      <c r="CT15" s="66" t="e">
        <f>COUNTIFS(ranPerfilTM,$CM15,ranProf241,$BF$7,ranCatOcup,$BB$4)</f>
        <v>#VALUE!</v>
      </c>
      <c r="CU15" s="64" t="e">
        <f>COUNTIFS(ranPerfilTM,$CM15,ranProf241,$BF$7,ranCatOcup,$BB$4,ranSexo,$AT$1)</f>
        <v>#VALUE!</v>
      </c>
      <c r="CV15" s="63" t="e">
        <f t="shared" si="5"/>
        <v>#VALUE!</v>
      </c>
      <c r="CW15" s="37" t="e">
        <f t="shared" si="6"/>
        <v>#VALUE!</v>
      </c>
      <c r="CX15" s="37" t="e">
        <f t="shared" si="7"/>
        <v>#VALUE!</v>
      </c>
      <c r="CY15" s="64" t="e">
        <f t="shared" si="8"/>
        <v>#VALUE!</v>
      </c>
      <c r="DB15" s="113" t="str">
        <f>BF10</f>
        <v>Técnico Formado Salud</v>
      </c>
      <c r="DF15" s="37" t="e">
        <f>COUNTIFS(ranProf241,pfTF,ranCatOcup,coTNS)</f>
        <v>#VALUE!</v>
      </c>
      <c r="DG15" s="37" t="e">
        <f>COUNTIFS(ranProf241,pfTF,ranCatOcup,coTNS,ranSexo,$AT$1)</f>
        <v>#VALUE!</v>
      </c>
    </row>
    <row r="16" spans="1:124" s="84" customFormat="1" ht="15.75" customHeight="1" thickBot="1" x14ac:dyDescent="0.3">
      <c r="A16" s="420" t="s">
        <v>639</v>
      </c>
      <c r="B16" s="421"/>
      <c r="C16" s="421"/>
      <c r="D16" s="421"/>
      <c r="E16" s="421"/>
      <c r="F16" s="421"/>
      <c r="G16" s="421"/>
      <c r="H16" s="421"/>
      <c r="I16" s="421"/>
      <c r="J16" s="421"/>
      <c r="K16" s="434"/>
      <c r="L16" s="14">
        <v>2</v>
      </c>
      <c r="M16" s="26">
        <f>+M17+M18+M19+M20+M21+M22+M23+M24+M25+M26</f>
        <v>0</v>
      </c>
      <c r="N16" s="26">
        <f>+N17+N18+N19+N20+N21+N22+N23+N24+N25+N26</f>
        <v>0</v>
      </c>
      <c r="O16" s="271"/>
      <c r="P16" s="293" t="s">
        <v>18</v>
      </c>
      <c r="Q16" s="280" t="s">
        <v>35</v>
      </c>
      <c r="R16" s="281"/>
      <c r="S16" s="281"/>
      <c r="T16" s="281"/>
      <c r="U16" s="281"/>
      <c r="V16" s="281"/>
      <c r="W16" s="281"/>
      <c r="X16" s="281"/>
      <c r="Y16" s="282"/>
      <c r="Z16" s="115">
        <v>28</v>
      </c>
      <c r="AA16" s="114"/>
      <c r="AB16" s="115"/>
      <c r="AC16" s="2"/>
      <c r="AD16" s="116"/>
      <c r="AE16" s="116"/>
      <c r="AF16" s="116"/>
      <c r="AG16" s="116"/>
      <c r="AH16" s="116"/>
      <c r="BB16" s="37"/>
      <c r="BC16" s="37"/>
      <c r="BD16" s="37"/>
      <c r="BE16" s="37"/>
      <c r="BF16" s="37"/>
      <c r="BG16" s="37"/>
      <c r="BH16" s="37"/>
      <c r="BI16" s="37"/>
      <c r="BJ16" s="37" t="s">
        <v>182</v>
      </c>
      <c r="BK16" s="37" t="s">
        <v>218</v>
      </c>
      <c r="BL16" s="37">
        <v>34</v>
      </c>
      <c r="BM16" s="37"/>
      <c r="BN16" s="37" t="str">
        <f t="shared" si="0"/>
        <v>ART</v>
      </c>
      <c r="BO16" s="41" t="s">
        <v>140</v>
      </c>
      <c r="BP16" s="41" t="s">
        <v>219</v>
      </c>
      <c r="BQ16" s="41" t="s">
        <v>220</v>
      </c>
      <c r="BR16" s="37">
        <v>22</v>
      </c>
      <c r="BS16" s="37"/>
      <c r="BT16" s="37" t="s">
        <v>221</v>
      </c>
      <c r="BU16" s="37">
        <f ca="1">IF(O11="",MATCH(BT7,1:1,0),MATCH(BT16,[1]Unidades!1:1,0))</f>
        <v>73</v>
      </c>
      <c r="BV16" s="37"/>
      <c r="BW16" s="63">
        <v>42</v>
      </c>
      <c r="BX16" s="37" t="str">
        <f t="shared" si="27"/>
        <v>Higiene y epidemiología</v>
      </c>
      <c r="BY16" s="84" t="e">
        <f t="shared" si="9"/>
        <v>#VALUE!</v>
      </c>
      <c r="BZ16" s="84" t="e">
        <f t="shared" si="10"/>
        <v>#VALUE!</v>
      </c>
      <c r="CA16" s="38"/>
      <c r="CB16" s="38"/>
      <c r="CC16" s="38"/>
      <c r="CD16" s="38"/>
      <c r="CE16" s="38"/>
      <c r="CF16" s="38"/>
      <c r="CG16" s="63" t="e">
        <f t="shared" si="1"/>
        <v>#VALUE!</v>
      </c>
      <c r="CH16" s="64" t="e">
        <f t="shared" si="2"/>
        <v>#VALUE!</v>
      </c>
      <c r="CI16" s="37" t="e">
        <f t="shared" si="3"/>
        <v>#VALUE!</v>
      </c>
      <c r="CJ16" s="64" t="e">
        <f t="shared" si="4"/>
        <v>#VALUE!</v>
      </c>
      <c r="CL16" s="83">
        <v>32</v>
      </c>
      <c r="CM16" s="84" t="s">
        <v>222</v>
      </c>
      <c r="CN16" s="37" t="e">
        <f t="shared" si="29"/>
        <v>#VALUE!</v>
      </c>
      <c r="CO16" s="37" t="e">
        <f t="shared" si="29"/>
        <v>#VALUE!</v>
      </c>
      <c r="CP16" s="38" t="e">
        <f>COUNTIFS(ranPerfilTM,$CM16,ranProf241,$BF$10,ranCatOcup,$BB$4)</f>
        <v>#VALUE!</v>
      </c>
      <c r="CQ16" s="37" t="e">
        <f>COUNTIFS(ranPerfilTM,$CM16,ranProf241,$BF$10,ranCatOcup,$BB$4,ranSexo,$AT$1)</f>
        <v>#VALUE!</v>
      </c>
      <c r="CR16" s="65" t="e">
        <f>COUNTIFS(ranPerfilTM,$CM16,ranProf241,$BF$5,ranCatOcup,$BB$4)</f>
        <v>#VALUE!</v>
      </c>
      <c r="CS16" s="37" t="e">
        <f>COUNTIFS(ranPerfilTM,$CM16,ranProf241,$BF$5,ranCatOcup,$BB$4,ranSexo,$AT$1)</f>
        <v>#VALUE!</v>
      </c>
      <c r="CT16" s="66" t="e">
        <f>COUNTIFS(ranPerfilTM,$CM16,ranProf241,$BF$7,ranCatOcup,$BB$4)</f>
        <v>#VALUE!</v>
      </c>
      <c r="CU16" s="64" t="e">
        <f>COUNTIFS(ranPerfilTM,$CM16,ranProf241,$BF$7,ranCatOcup,$BB$4,ranSexo,$AT$1)</f>
        <v>#VALUE!</v>
      </c>
      <c r="CV16" s="63" t="e">
        <f t="shared" si="5"/>
        <v>#VALUE!</v>
      </c>
      <c r="CW16" s="37" t="e">
        <f t="shared" si="6"/>
        <v>#VALUE!</v>
      </c>
      <c r="CX16" s="37" t="e">
        <f t="shared" si="7"/>
        <v>#VALUE!</v>
      </c>
      <c r="CY16" s="64" t="e">
        <f t="shared" si="8"/>
        <v>#VALUE!</v>
      </c>
      <c r="DB16" s="117"/>
    </row>
    <row r="17" spans="1:111" s="84" customFormat="1" ht="15" customHeight="1" x14ac:dyDescent="0.25">
      <c r="A17" s="270" t="s">
        <v>20</v>
      </c>
      <c r="B17" s="435" t="s">
        <v>21</v>
      </c>
      <c r="C17" s="435"/>
      <c r="D17" s="435"/>
      <c r="E17" s="435"/>
      <c r="F17" s="435"/>
      <c r="G17" s="435"/>
      <c r="H17" s="435"/>
      <c r="I17" s="435"/>
      <c r="J17" s="435"/>
      <c r="K17" s="436"/>
      <c r="L17" s="16">
        <v>3</v>
      </c>
      <c r="M17" s="29"/>
      <c r="N17" s="29"/>
      <c r="O17" s="271"/>
      <c r="P17" s="294"/>
      <c r="Q17" s="302" t="s">
        <v>36</v>
      </c>
      <c r="R17" s="302"/>
      <c r="S17" s="302"/>
      <c r="T17" s="302"/>
      <c r="U17" s="302"/>
      <c r="V17" s="302"/>
      <c r="W17" s="302"/>
      <c r="X17" s="302"/>
      <c r="Y17" s="303"/>
      <c r="Z17" s="176">
        <v>29</v>
      </c>
      <c r="AA17" s="114"/>
      <c r="AB17" s="115"/>
      <c r="AC17" s="2"/>
      <c r="AD17" s="116"/>
      <c r="AE17" s="116"/>
      <c r="AF17" s="116"/>
      <c r="AG17" s="116"/>
      <c r="AH17" s="116"/>
      <c r="BB17" s="37"/>
      <c r="BC17" s="37"/>
      <c r="BD17" s="37"/>
      <c r="BE17" s="37"/>
      <c r="BF17" s="37"/>
      <c r="BG17" s="37"/>
      <c r="BH17" s="37"/>
      <c r="BI17" s="37"/>
      <c r="BJ17" s="37" t="s">
        <v>223</v>
      </c>
      <c r="BK17" s="37" t="s">
        <v>224</v>
      </c>
      <c r="BL17" s="37">
        <v>26</v>
      </c>
      <c r="BM17" s="37"/>
      <c r="BN17" s="37" t="str">
        <f t="shared" si="0"/>
        <v>ART</v>
      </c>
      <c r="BO17" s="41" t="s">
        <v>148</v>
      </c>
      <c r="BP17" s="41" t="s">
        <v>225</v>
      </c>
      <c r="BQ17" s="41" t="s">
        <v>226</v>
      </c>
      <c r="BR17" s="37">
        <v>22</v>
      </c>
      <c r="BS17" s="37"/>
      <c r="BT17" s="37" t="str">
        <f ca="1">IF(BT11="",ADDRESS(BU13,BU16),CONCATENATE(ADDRESS(BU13,BU16,,,"Unidades"),":",ADDRESS(BU14,BU16)))</f>
        <v>$BU$11</v>
      </c>
      <c r="BU17" s="37"/>
      <c r="BV17" s="37"/>
      <c r="BW17" s="63">
        <v>43</v>
      </c>
      <c r="BX17" s="37" t="str">
        <f t="shared" si="27"/>
        <v>Oftalmología</v>
      </c>
      <c r="BY17" s="84" t="e">
        <f t="shared" si="9"/>
        <v>#VALUE!</v>
      </c>
      <c r="BZ17" s="84" t="e">
        <f t="shared" si="10"/>
        <v>#VALUE!</v>
      </c>
      <c r="CA17" s="37" t="e">
        <f>COUNTIFS(ranPerfilTM,$BX17,ranProf241,$BF$10,ranCatOcup,$BB$4)</f>
        <v>#VALUE!</v>
      </c>
      <c r="CB17" s="37" t="e">
        <f>COUNTIFS(ranPerfilTM,$BX17,ranProf241,$BF$10,ranCatOcup,$BB$4,ranSexo,$AT$1)</f>
        <v>#VALUE!</v>
      </c>
      <c r="CC17" s="37" t="e">
        <f>COUNTIFS(ranPerfilTM,$BX17,ranProf241,$BF$5,ranCatOcup,$BB$4)</f>
        <v>#VALUE!</v>
      </c>
      <c r="CD17" s="37" t="e">
        <f>COUNTIFS(ranPerfilTM,$BX17,ranProf241,$BF$5,ranCatOcup,$BB$4,ranSexo,$AT$1)</f>
        <v>#VALUE!</v>
      </c>
      <c r="CE17" s="37" t="e">
        <f>COUNTIFS(ranPerfilTM,$BX17,ranProf241,$BF$7,ranCatOcup,$BB$4)</f>
        <v>#VALUE!</v>
      </c>
      <c r="CF17" s="37" t="e">
        <f>COUNTIFS(ranPerfilTM,$BX17,ranProf241,$BF$7,ranCatOcup,$BB$4,ranSexo,$AT$1)</f>
        <v>#VALUE!</v>
      </c>
      <c r="CG17" s="63" t="e">
        <f t="shared" si="1"/>
        <v>#VALUE!</v>
      </c>
      <c r="CH17" s="64" t="e">
        <f t="shared" si="2"/>
        <v>#VALUE!</v>
      </c>
      <c r="CI17" s="37" t="e">
        <f t="shared" si="3"/>
        <v>#VALUE!</v>
      </c>
      <c r="CJ17" s="64" t="e">
        <f t="shared" si="4"/>
        <v>#VALUE!</v>
      </c>
      <c r="CL17" s="63">
        <v>32</v>
      </c>
      <c r="CM17" s="37" t="s">
        <v>222</v>
      </c>
      <c r="CN17" s="38"/>
      <c r="CO17" s="38"/>
      <c r="CP17" s="38"/>
      <c r="CQ17" s="38"/>
      <c r="CR17" s="38"/>
      <c r="CS17" s="38"/>
      <c r="CT17" s="38"/>
      <c r="CU17" s="93"/>
      <c r="CV17" s="63" t="e">
        <f t="shared" si="5"/>
        <v>#VALUE!</v>
      </c>
      <c r="CW17" s="37" t="e">
        <f t="shared" si="6"/>
        <v>#VALUE!</v>
      </c>
      <c r="CX17" s="37" t="e">
        <f t="shared" si="7"/>
        <v>#VALUE!</v>
      </c>
      <c r="CY17" s="64" t="e">
        <f t="shared" si="8"/>
        <v>#VALUE!</v>
      </c>
      <c r="DB17" s="118" t="s">
        <v>227</v>
      </c>
      <c r="DF17" s="84" t="e">
        <f>SUM(DF13,DF15)</f>
        <v>#VALUE!</v>
      </c>
      <c r="DG17" s="84" t="e">
        <f>SUM(DG13,DG15)</f>
        <v>#VALUE!</v>
      </c>
    </row>
    <row r="18" spans="1:111" s="84" customFormat="1" ht="15" customHeight="1" x14ac:dyDescent="0.25">
      <c r="A18" s="271"/>
      <c r="B18" s="302" t="s">
        <v>23</v>
      </c>
      <c r="C18" s="302"/>
      <c r="D18" s="302"/>
      <c r="E18" s="302"/>
      <c r="F18" s="302"/>
      <c r="G18" s="302"/>
      <c r="H18" s="302"/>
      <c r="I18" s="302"/>
      <c r="J18" s="302"/>
      <c r="K18" s="303"/>
      <c r="L18" s="17">
        <v>4</v>
      </c>
      <c r="M18" s="119"/>
      <c r="N18" s="119"/>
      <c r="O18" s="271"/>
      <c r="P18" s="294"/>
      <c r="Q18" s="279" t="s">
        <v>38</v>
      </c>
      <c r="R18" s="279"/>
      <c r="S18" s="279"/>
      <c r="T18" s="279"/>
      <c r="U18" s="279"/>
      <c r="V18" s="279"/>
      <c r="W18" s="279"/>
      <c r="X18" s="279"/>
      <c r="Y18" s="419"/>
      <c r="Z18" s="115">
        <v>30</v>
      </c>
      <c r="AA18" s="114"/>
      <c r="AB18" s="115"/>
      <c r="AC18" s="2"/>
      <c r="AD18" s="116"/>
      <c r="AE18" s="116"/>
      <c r="AF18" s="116"/>
      <c r="AG18" s="116"/>
      <c r="AH18" s="116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 t="str">
        <f t="shared" si="0"/>
        <v>ART</v>
      </c>
      <c r="BO18" s="41" t="s">
        <v>155</v>
      </c>
      <c r="BP18" s="41" t="s">
        <v>228</v>
      </c>
      <c r="BQ18" s="41" t="s">
        <v>229</v>
      </c>
      <c r="BR18" s="37">
        <v>22</v>
      </c>
      <c r="BS18" s="37"/>
      <c r="BT18" s="37"/>
      <c r="BU18" s="37"/>
      <c r="BV18" s="37"/>
      <c r="BW18" s="63">
        <v>44</v>
      </c>
      <c r="BX18" s="37" t="str">
        <f t="shared" si="27"/>
        <v>Logopedia y Foniatría</v>
      </c>
      <c r="BY18" s="84" t="e">
        <f t="shared" si="9"/>
        <v>#VALUE!</v>
      </c>
      <c r="BZ18" s="84" t="e">
        <f t="shared" si="10"/>
        <v>#VALUE!</v>
      </c>
      <c r="CA18" s="37" t="e">
        <f>COUNTIFS(ranPerfilTM,$BX18,ranProf241,$BF$10,ranCatOcup,$BB$4)</f>
        <v>#VALUE!</v>
      </c>
      <c r="CB18" s="37" t="e">
        <f>COUNTIFS(ranPerfilTM,$BX18,ranProf241,$BF$10,ranCatOcup,$BB$4,ranSexo,$AT$1)</f>
        <v>#VALUE!</v>
      </c>
      <c r="CC18" s="37" t="e">
        <f>COUNTIFS(ranPerfilTM,$BX18,ranProf241,$BF$5,ranCatOcup,$BB$4)</f>
        <v>#VALUE!</v>
      </c>
      <c r="CD18" s="37" t="e">
        <f>COUNTIFS(ranPerfilTM,$BX18,ranProf241,$BF$5,ranCatOcup,$BB$4,ranSexo,$AT$1)</f>
        <v>#VALUE!</v>
      </c>
      <c r="CE18" s="37" t="e">
        <f>COUNTIFS(ranPerfilTM,$BX18,ranProf241,$BF$7,ranCatOcup,$BB$4)</f>
        <v>#VALUE!</v>
      </c>
      <c r="CF18" s="37" t="e">
        <f>COUNTIFS(ranPerfilTM,$BX18,ranProf241,$BF$7,ranCatOcup,$BB$4,ranSexo,$AT$1)</f>
        <v>#VALUE!</v>
      </c>
      <c r="CG18" s="63" t="e">
        <f t="shared" si="1"/>
        <v>#VALUE!</v>
      </c>
      <c r="CH18" s="64" t="e">
        <f t="shared" si="2"/>
        <v>#VALUE!</v>
      </c>
      <c r="CI18" s="37" t="e">
        <f t="shared" si="3"/>
        <v>#VALUE!</v>
      </c>
      <c r="CJ18" s="64" t="e">
        <f t="shared" si="4"/>
        <v>#VALUE!</v>
      </c>
      <c r="CL18" s="63">
        <v>32</v>
      </c>
      <c r="CM18" s="37" t="s">
        <v>230</v>
      </c>
      <c r="CN18" s="37" t="e">
        <f t="shared" ref="CN18:CO23" si="30">SUM(CP18,CR18,CT18,CV18,CX18)</f>
        <v>#VALUE!</v>
      </c>
      <c r="CO18" s="37" t="e">
        <f t="shared" si="30"/>
        <v>#VALUE!</v>
      </c>
      <c r="CP18" s="38" t="e">
        <f t="shared" ref="CP18:CP23" si="31">COUNTIFS(ranPerfilTM,$CM18,ranProf241,$BF$10,ranCatOcup,$BB$4)</f>
        <v>#VALUE!</v>
      </c>
      <c r="CQ18" s="37" t="e">
        <f t="shared" ref="CQ18:CQ23" si="32">COUNTIFS(ranPerfilTM,$CM18,ranProf241,$BF$10,ranCatOcup,$BB$4,ranSexo,$AT$1)</f>
        <v>#VALUE!</v>
      </c>
      <c r="CR18" s="65" t="e">
        <f t="shared" ref="CR18:CR23" si="33">COUNTIFS(ranPerfilTM,$CM18,ranProf241,$BF$5,ranCatOcup,$BB$4)</f>
        <v>#VALUE!</v>
      </c>
      <c r="CS18" s="37" t="e">
        <f t="shared" ref="CS18:CS23" si="34">COUNTIFS(ranPerfilTM,$CM18,ranProf241,$BF$5,ranCatOcup,$BB$4,ranSexo,$AT$1)</f>
        <v>#VALUE!</v>
      </c>
      <c r="CT18" s="66" t="e">
        <f t="shared" ref="CT18:CT23" si="35">COUNTIFS(ranPerfilTM,$CM18,ranProf241,$BF$7,ranCatOcup,$BB$4)</f>
        <v>#VALUE!</v>
      </c>
      <c r="CU18" s="64" t="e">
        <f t="shared" ref="CU18:CU23" si="36">COUNTIFS(ranPerfilTM,$CM18,ranProf241,$BF$7,ranCatOcup,$BB$4,ranSexo,$AT$1)</f>
        <v>#VALUE!</v>
      </c>
      <c r="CV18" s="63" t="e">
        <f t="shared" si="5"/>
        <v>#VALUE!</v>
      </c>
      <c r="CW18" s="37" t="e">
        <f t="shared" si="6"/>
        <v>#VALUE!</v>
      </c>
      <c r="CX18" s="37" t="e">
        <f t="shared" si="7"/>
        <v>#VALUE!</v>
      </c>
      <c r="CY18" s="64" t="e">
        <f t="shared" si="8"/>
        <v>#VALUE!</v>
      </c>
    </row>
    <row r="19" spans="1:111" s="84" customFormat="1" ht="15" customHeight="1" x14ac:dyDescent="0.25">
      <c r="A19" s="271"/>
      <c r="B19" s="302" t="s">
        <v>24</v>
      </c>
      <c r="C19" s="302"/>
      <c r="D19" s="302"/>
      <c r="E19" s="302"/>
      <c r="F19" s="302"/>
      <c r="G19" s="302"/>
      <c r="H19" s="302"/>
      <c r="I19" s="302"/>
      <c r="J19" s="302"/>
      <c r="K19" s="303"/>
      <c r="L19" s="17">
        <v>5</v>
      </c>
      <c r="M19" s="119"/>
      <c r="N19" s="119"/>
      <c r="O19" s="271"/>
      <c r="P19" s="294"/>
      <c r="Q19" s="279" t="s">
        <v>40</v>
      </c>
      <c r="R19" s="279"/>
      <c r="S19" s="279"/>
      <c r="T19" s="279"/>
      <c r="U19" s="279"/>
      <c r="V19" s="279"/>
      <c r="W19" s="279"/>
      <c r="X19" s="279"/>
      <c r="Y19" s="419"/>
      <c r="Z19" s="176">
        <v>31</v>
      </c>
      <c r="AA19" s="114"/>
      <c r="AB19" s="115"/>
      <c r="AC19" s="2"/>
      <c r="AD19" s="116"/>
      <c r="AE19" s="116"/>
      <c r="AF19" s="116"/>
      <c r="AG19" s="116"/>
      <c r="AH19" s="116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 t="str">
        <f t="shared" si="0"/>
        <v>ART</v>
      </c>
      <c r="BO19" s="41" t="s">
        <v>163</v>
      </c>
      <c r="BP19" s="41" t="s">
        <v>231</v>
      </c>
      <c r="BQ19" s="41" t="s">
        <v>232</v>
      </c>
      <c r="BR19" s="37">
        <v>22</v>
      </c>
      <c r="BS19" s="37"/>
      <c r="BT19" s="37"/>
      <c r="BU19" s="37"/>
      <c r="BV19" s="37"/>
      <c r="BW19" s="63">
        <v>45</v>
      </c>
      <c r="BX19" s="37" t="str">
        <f t="shared" si="27"/>
        <v>Radiofísica médica</v>
      </c>
      <c r="BY19" s="84" t="e">
        <f t="shared" si="9"/>
        <v>#VALUE!</v>
      </c>
      <c r="BZ19" s="84" t="e">
        <f t="shared" si="10"/>
        <v>#VALUE!</v>
      </c>
      <c r="CA19" s="37" t="e">
        <f>COUNTIFS(ranPerfilTM,$BX19,ranProf241,$BF$10,ranCatOcup,$BB$4)</f>
        <v>#VALUE!</v>
      </c>
      <c r="CB19" s="37" t="e">
        <f>COUNTIFS(ranPerfilTM,$BX19,ranProf241,$BF$10,ranCatOcup,$BB$4,ranSexo,$AT$1)</f>
        <v>#VALUE!</v>
      </c>
      <c r="CC19" s="37" t="e">
        <f>COUNTIFS(ranPerfilTM,$BX19,ranProf241,$BF$5,ranCatOcup,$BB$4)</f>
        <v>#VALUE!</v>
      </c>
      <c r="CD19" s="37" t="e">
        <f>COUNTIFS(ranPerfilTM,$BX19,ranProf241,$BF$5,ranCatOcup,$BB$4,ranSexo,$AT$1)</f>
        <v>#VALUE!</v>
      </c>
      <c r="CE19" s="37" t="e">
        <f>COUNTIFS(ranPerfilTM,$BX19,ranProf241,$BF$7,ranCatOcup,$BB$4)</f>
        <v>#VALUE!</v>
      </c>
      <c r="CF19" s="37" t="e">
        <f>COUNTIFS(ranPerfilTM,$BX19,ranProf241,$BF$7,ranCatOcup,$BB$4,ranSexo,$AT$1)</f>
        <v>#VALUE!</v>
      </c>
      <c r="CG19" s="63" t="e">
        <f t="shared" si="1"/>
        <v>#VALUE!</v>
      </c>
      <c r="CH19" s="64" t="e">
        <f t="shared" si="2"/>
        <v>#VALUE!</v>
      </c>
      <c r="CI19" s="37" t="e">
        <f t="shared" si="3"/>
        <v>#VALUE!</v>
      </c>
      <c r="CJ19" s="64" t="e">
        <f t="shared" si="4"/>
        <v>#VALUE!</v>
      </c>
      <c r="CL19" s="63">
        <v>32</v>
      </c>
      <c r="CM19" s="37" t="s">
        <v>233</v>
      </c>
      <c r="CN19" s="37" t="e">
        <f t="shared" si="30"/>
        <v>#VALUE!</v>
      </c>
      <c r="CO19" s="37" t="e">
        <f t="shared" si="30"/>
        <v>#VALUE!</v>
      </c>
      <c r="CP19" s="38" t="e">
        <f t="shared" si="31"/>
        <v>#VALUE!</v>
      </c>
      <c r="CQ19" s="37" t="e">
        <f t="shared" si="32"/>
        <v>#VALUE!</v>
      </c>
      <c r="CR19" s="65" t="e">
        <f t="shared" si="33"/>
        <v>#VALUE!</v>
      </c>
      <c r="CS19" s="37" t="e">
        <f t="shared" si="34"/>
        <v>#VALUE!</v>
      </c>
      <c r="CT19" s="66" t="e">
        <f t="shared" si="35"/>
        <v>#VALUE!</v>
      </c>
      <c r="CU19" s="64" t="e">
        <f t="shared" si="36"/>
        <v>#VALUE!</v>
      </c>
      <c r="CV19" s="63" t="e">
        <f t="shared" si="5"/>
        <v>#VALUE!</v>
      </c>
      <c r="CW19" s="37" t="e">
        <f t="shared" si="6"/>
        <v>#VALUE!</v>
      </c>
      <c r="CX19" s="37" t="e">
        <f t="shared" si="7"/>
        <v>#VALUE!</v>
      </c>
      <c r="CY19" s="64" t="e">
        <f t="shared" si="8"/>
        <v>#VALUE!</v>
      </c>
    </row>
    <row r="20" spans="1:111" s="84" customFormat="1" ht="15" customHeight="1" x14ac:dyDescent="0.25">
      <c r="A20" s="271"/>
      <c r="B20" s="302" t="s">
        <v>25</v>
      </c>
      <c r="C20" s="302"/>
      <c r="D20" s="302"/>
      <c r="E20" s="302"/>
      <c r="F20" s="302"/>
      <c r="G20" s="302"/>
      <c r="H20" s="302"/>
      <c r="I20" s="302"/>
      <c r="J20" s="302"/>
      <c r="K20" s="303"/>
      <c r="L20" s="17">
        <v>6</v>
      </c>
      <c r="M20" s="119"/>
      <c r="N20" s="119"/>
      <c r="O20" s="271"/>
      <c r="P20" s="294"/>
      <c r="Q20" s="279" t="s">
        <v>41</v>
      </c>
      <c r="R20" s="279"/>
      <c r="S20" s="279"/>
      <c r="T20" s="279"/>
      <c r="U20" s="279"/>
      <c r="V20" s="279"/>
      <c r="W20" s="279"/>
      <c r="X20" s="279"/>
      <c r="Y20" s="419"/>
      <c r="Z20" s="115">
        <v>32</v>
      </c>
      <c r="AA20" s="114"/>
      <c r="AB20" s="115"/>
      <c r="AC20" s="2"/>
      <c r="AD20" s="116"/>
      <c r="AE20" s="116"/>
      <c r="AF20" s="116"/>
      <c r="AG20" s="116"/>
      <c r="AH20" s="116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 t="str">
        <f t="shared" si="0"/>
        <v>ART</v>
      </c>
      <c r="BO20" s="41" t="s">
        <v>170</v>
      </c>
      <c r="BP20" s="41" t="s">
        <v>234</v>
      </c>
      <c r="BQ20" s="41" t="s">
        <v>235</v>
      </c>
      <c r="BR20" s="37">
        <v>22</v>
      </c>
      <c r="BS20" s="37"/>
      <c r="BT20" s="37"/>
      <c r="BU20" s="37"/>
      <c r="BV20" s="37"/>
      <c r="BW20" s="63">
        <v>46</v>
      </c>
      <c r="BX20" s="37" t="str">
        <f t="shared" si="27"/>
        <v>Citohistopatología</v>
      </c>
      <c r="BY20" s="84" t="e">
        <f t="shared" si="9"/>
        <v>#VALUE!</v>
      </c>
      <c r="BZ20" s="84" t="e">
        <f t="shared" si="10"/>
        <v>#VALUE!</v>
      </c>
      <c r="CA20" s="37" t="e">
        <f>COUNTIFS(ranPerfilTM,$BX20,ranProf241,$BF$10,ranCatOcup,$BB$4)</f>
        <v>#VALUE!</v>
      </c>
      <c r="CB20" s="37" t="e">
        <f>COUNTIFS(ranPerfilTM,$BX20,ranProf241,$BF$10,ranCatOcup,$BB$4,ranSexo,$AT$1)</f>
        <v>#VALUE!</v>
      </c>
      <c r="CC20" s="37" t="e">
        <f>COUNTIFS(ranPerfilTM,$BX20,ranProf241,$BF$5,ranCatOcup,$BB$4)</f>
        <v>#VALUE!</v>
      </c>
      <c r="CD20" s="37" t="e">
        <f>COUNTIFS(ranPerfilTM,$BX20,ranProf241,$BF$5,ranCatOcup,$BB$4,ranSexo,$AT$1)</f>
        <v>#VALUE!</v>
      </c>
      <c r="CE20" s="37" t="e">
        <f>COUNTIFS(ranPerfilTM,$BX20,ranProf241,$BF$7,ranCatOcup,$BB$4)</f>
        <v>#VALUE!</v>
      </c>
      <c r="CF20" s="37" t="e">
        <f>COUNTIFS(ranPerfilTM,$BX20,ranProf241,$BF$7,ranCatOcup,$BB$4,ranSexo,$AT$1)</f>
        <v>#VALUE!</v>
      </c>
      <c r="CG20" s="63" t="e">
        <f t="shared" si="1"/>
        <v>#VALUE!</v>
      </c>
      <c r="CH20" s="64" t="e">
        <f t="shared" si="2"/>
        <v>#VALUE!</v>
      </c>
      <c r="CI20" s="37" t="e">
        <f t="shared" si="3"/>
        <v>#VALUE!</v>
      </c>
      <c r="CJ20" s="64" t="e">
        <f t="shared" si="4"/>
        <v>#VALUE!</v>
      </c>
      <c r="CL20" s="63">
        <v>33</v>
      </c>
      <c r="CM20" s="37" t="s">
        <v>236</v>
      </c>
      <c r="CN20" s="37" t="e">
        <f t="shared" si="30"/>
        <v>#VALUE!</v>
      </c>
      <c r="CO20" s="37" t="e">
        <f t="shared" si="30"/>
        <v>#VALUE!</v>
      </c>
      <c r="CP20" s="38" t="e">
        <f t="shared" si="31"/>
        <v>#VALUE!</v>
      </c>
      <c r="CQ20" s="37" t="e">
        <f t="shared" si="32"/>
        <v>#VALUE!</v>
      </c>
      <c r="CR20" s="65" t="e">
        <f t="shared" si="33"/>
        <v>#VALUE!</v>
      </c>
      <c r="CS20" s="37" t="e">
        <f t="shared" si="34"/>
        <v>#VALUE!</v>
      </c>
      <c r="CT20" s="66" t="e">
        <f t="shared" si="35"/>
        <v>#VALUE!</v>
      </c>
      <c r="CU20" s="64" t="e">
        <f t="shared" si="36"/>
        <v>#VALUE!</v>
      </c>
      <c r="CV20" s="63" t="e">
        <f t="shared" si="5"/>
        <v>#VALUE!</v>
      </c>
      <c r="CW20" s="37" t="e">
        <f t="shared" si="6"/>
        <v>#VALUE!</v>
      </c>
      <c r="CX20" s="37" t="e">
        <f t="shared" si="7"/>
        <v>#VALUE!</v>
      </c>
      <c r="CY20" s="64" t="e">
        <f t="shared" si="8"/>
        <v>#VALUE!</v>
      </c>
    </row>
    <row r="21" spans="1:111" s="84" customFormat="1" ht="15" customHeight="1" x14ac:dyDescent="0.25">
      <c r="A21" s="271"/>
      <c r="B21" s="302" t="s">
        <v>27</v>
      </c>
      <c r="C21" s="302"/>
      <c r="D21" s="302"/>
      <c r="E21" s="302"/>
      <c r="F21" s="302"/>
      <c r="G21" s="302"/>
      <c r="H21" s="302"/>
      <c r="I21" s="302"/>
      <c r="J21" s="302"/>
      <c r="K21" s="303"/>
      <c r="L21" s="17">
        <v>7</v>
      </c>
      <c r="M21" s="119"/>
      <c r="N21" s="119"/>
      <c r="O21" s="271"/>
      <c r="P21" s="294"/>
      <c r="Q21" s="279" t="s">
        <v>42</v>
      </c>
      <c r="R21" s="279"/>
      <c r="S21" s="279"/>
      <c r="T21" s="279"/>
      <c r="U21" s="279"/>
      <c r="V21" s="279"/>
      <c r="W21" s="279"/>
      <c r="X21" s="279"/>
      <c r="Y21" s="419"/>
      <c r="Z21" s="176">
        <v>33</v>
      </c>
      <c r="AA21" s="114"/>
      <c r="AB21" s="115"/>
      <c r="AC21" s="2"/>
      <c r="AD21" s="116"/>
      <c r="AE21" s="116"/>
      <c r="AF21" s="116"/>
      <c r="AG21" s="116"/>
      <c r="AH21" s="116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 t="str">
        <f t="shared" si="0"/>
        <v>ART</v>
      </c>
      <c r="BO21" s="120" t="s">
        <v>178</v>
      </c>
      <c r="BP21" s="120" t="s">
        <v>109</v>
      </c>
      <c r="BQ21" s="120" t="s">
        <v>110</v>
      </c>
      <c r="BR21" s="84">
        <v>22</v>
      </c>
      <c r="BS21" s="37"/>
      <c r="BT21" s="37"/>
      <c r="BU21" s="37"/>
      <c r="BV21" s="37"/>
      <c r="BW21" s="121">
        <v>47</v>
      </c>
      <c r="BX21" s="122" t="str">
        <f t="shared" si="27"/>
        <v>Podología</v>
      </c>
      <c r="BY21" s="123" t="e">
        <f t="shared" si="9"/>
        <v>#VALUE!</v>
      </c>
      <c r="BZ21" s="123" t="e">
        <f t="shared" si="10"/>
        <v>#VALUE!</v>
      </c>
      <c r="CA21" s="37" t="e">
        <f>COUNTIFS(ranPerfilTM,$BX21,ranProf241,$BF$10,ranCatOcup,$BB$4)</f>
        <v>#VALUE!</v>
      </c>
      <c r="CB21" s="37" t="e">
        <f>COUNTIFS(ranPerfilTM,$BX21,ranProf241,$BF$10,ranCatOcup,$BB$4,ranSexo,$AT$1)</f>
        <v>#VALUE!</v>
      </c>
      <c r="CC21" s="37" t="e">
        <f>COUNTIFS(ranPerfilTM,$BX21,ranProf241,$BF$5,ranCatOcup,$BB$4)</f>
        <v>#VALUE!</v>
      </c>
      <c r="CD21" s="37" t="e">
        <f>COUNTIFS(ranPerfilTM,$BX21,ranProf241,$BF$5,ranCatOcup,$BB$4,ranSexo,$AT$1)</f>
        <v>#VALUE!</v>
      </c>
      <c r="CE21" s="37" t="e">
        <f>COUNTIFS(ranPerfilTM,$BX21,ranProf241,$BF$7,ranCatOcup,$BB$4)</f>
        <v>#VALUE!</v>
      </c>
      <c r="CF21" s="37" t="e">
        <f>COUNTIFS(ranPerfilTM,$BX21,ranProf241,$BF$7,ranCatOcup,$BB$4,ranSexo,$AT$1)</f>
        <v>#VALUE!</v>
      </c>
      <c r="CG21" s="121" t="e">
        <f t="shared" si="1"/>
        <v>#VALUE!</v>
      </c>
      <c r="CH21" s="124" t="e">
        <f t="shared" si="2"/>
        <v>#VALUE!</v>
      </c>
      <c r="CI21" s="37" t="e">
        <f t="shared" si="3"/>
        <v>#VALUE!</v>
      </c>
      <c r="CJ21" s="64" t="e">
        <f t="shared" si="4"/>
        <v>#VALUE!</v>
      </c>
      <c r="CL21" s="83">
        <v>34</v>
      </c>
      <c r="CM21" s="84" t="s">
        <v>30</v>
      </c>
      <c r="CN21" s="37" t="e">
        <f t="shared" si="30"/>
        <v>#VALUE!</v>
      </c>
      <c r="CO21" s="37" t="e">
        <f t="shared" si="30"/>
        <v>#VALUE!</v>
      </c>
      <c r="CP21" s="38" t="e">
        <f t="shared" si="31"/>
        <v>#VALUE!</v>
      </c>
      <c r="CQ21" s="37" t="e">
        <f t="shared" si="32"/>
        <v>#VALUE!</v>
      </c>
      <c r="CR21" s="65" t="e">
        <f t="shared" si="33"/>
        <v>#VALUE!</v>
      </c>
      <c r="CS21" s="37" t="e">
        <f t="shared" si="34"/>
        <v>#VALUE!</v>
      </c>
      <c r="CT21" s="66" t="e">
        <f t="shared" si="35"/>
        <v>#VALUE!</v>
      </c>
      <c r="CU21" s="64" t="e">
        <f t="shared" si="36"/>
        <v>#VALUE!</v>
      </c>
      <c r="CV21" s="63" t="e">
        <f t="shared" si="5"/>
        <v>#VALUE!</v>
      </c>
      <c r="CW21" s="37" t="e">
        <f t="shared" si="6"/>
        <v>#VALUE!</v>
      </c>
      <c r="CX21" s="37" t="e">
        <f t="shared" si="7"/>
        <v>#VALUE!</v>
      </c>
      <c r="CY21" s="64" t="e">
        <f t="shared" si="8"/>
        <v>#VALUE!</v>
      </c>
    </row>
    <row r="22" spans="1:111" s="84" customFormat="1" ht="15" customHeight="1" x14ac:dyDescent="0.25">
      <c r="A22" s="271"/>
      <c r="B22" s="302" t="s">
        <v>29</v>
      </c>
      <c r="C22" s="302"/>
      <c r="D22" s="302"/>
      <c r="E22" s="302"/>
      <c r="F22" s="302"/>
      <c r="G22" s="302"/>
      <c r="H22" s="302"/>
      <c r="I22" s="302"/>
      <c r="J22" s="302"/>
      <c r="K22" s="303"/>
      <c r="L22" s="17">
        <v>8</v>
      </c>
      <c r="M22" s="119"/>
      <c r="N22" s="119"/>
      <c r="O22" s="271"/>
      <c r="P22" s="294"/>
      <c r="Q22" s="279" t="s">
        <v>43</v>
      </c>
      <c r="R22" s="279"/>
      <c r="S22" s="279"/>
      <c r="T22" s="279"/>
      <c r="U22" s="279"/>
      <c r="V22" s="279"/>
      <c r="W22" s="279"/>
      <c r="X22" s="279"/>
      <c r="Y22" s="419"/>
      <c r="Z22" s="115">
        <v>34</v>
      </c>
      <c r="AA22" s="114"/>
      <c r="AB22" s="115"/>
      <c r="AC22" s="2"/>
      <c r="AD22" s="116"/>
      <c r="AE22" s="116"/>
      <c r="AF22" s="116"/>
      <c r="AG22" s="116"/>
      <c r="AH22" s="116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 t="str">
        <f t="shared" si="0"/>
        <v>ART</v>
      </c>
      <c r="BO22" s="120" t="s">
        <v>187</v>
      </c>
      <c r="BP22" s="120" t="s">
        <v>237</v>
      </c>
      <c r="BQ22" s="120" t="s">
        <v>238</v>
      </c>
      <c r="BR22" s="84">
        <v>22</v>
      </c>
      <c r="BS22" s="37"/>
      <c r="BT22" s="37"/>
      <c r="BU22" s="37"/>
      <c r="BV22" s="37"/>
      <c r="BW22" s="48"/>
      <c r="BX22" s="55" t="s">
        <v>116</v>
      </c>
      <c r="BY22" s="91"/>
      <c r="BZ22" s="91"/>
      <c r="CA22" s="91"/>
      <c r="CB22" s="91"/>
      <c r="CC22" s="91"/>
      <c r="CD22" s="91"/>
      <c r="CE22" s="91"/>
      <c r="CF22" s="91"/>
      <c r="CG22" s="91"/>
      <c r="CH22" s="91"/>
      <c r="CI22" s="91"/>
      <c r="CJ22" s="92"/>
      <c r="CL22" s="63">
        <v>35</v>
      </c>
      <c r="CM22" s="37" t="s">
        <v>239</v>
      </c>
      <c r="CN22" s="37" t="e">
        <f t="shared" si="30"/>
        <v>#VALUE!</v>
      </c>
      <c r="CO22" s="37" t="e">
        <f t="shared" si="30"/>
        <v>#VALUE!</v>
      </c>
      <c r="CP22" s="38" t="e">
        <f t="shared" si="31"/>
        <v>#VALUE!</v>
      </c>
      <c r="CQ22" s="37" t="e">
        <f t="shared" si="32"/>
        <v>#VALUE!</v>
      </c>
      <c r="CR22" s="65" t="e">
        <f t="shared" si="33"/>
        <v>#VALUE!</v>
      </c>
      <c r="CS22" s="37" t="e">
        <f t="shared" si="34"/>
        <v>#VALUE!</v>
      </c>
      <c r="CT22" s="66" t="e">
        <f t="shared" si="35"/>
        <v>#VALUE!</v>
      </c>
      <c r="CU22" s="64" t="e">
        <f t="shared" si="36"/>
        <v>#VALUE!</v>
      </c>
      <c r="CV22" s="63" t="e">
        <f t="shared" si="5"/>
        <v>#VALUE!</v>
      </c>
      <c r="CW22" s="37" t="e">
        <f t="shared" si="6"/>
        <v>#VALUE!</v>
      </c>
      <c r="CX22" s="37" t="e">
        <f t="shared" si="7"/>
        <v>#VALUE!</v>
      </c>
      <c r="CY22" s="64" t="e">
        <f t="shared" si="8"/>
        <v>#VALUE!</v>
      </c>
    </row>
    <row r="23" spans="1:111" s="84" customFormat="1" ht="15" customHeight="1" x14ac:dyDescent="0.25">
      <c r="A23" s="271"/>
      <c r="B23" s="279" t="s">
        <v>33</v>
      </c>
      <c r="C23" s="279"/>
      <c r="D23" s="279"/>
      <c r="E23" s="279"/>
      <c r="F23" s="279"/>
      <c r="G23" s="279"/>
      <c r="H23" s="279"/>
      <c r="I23" s="279"/>
      <c r="J23" s="279"/>
      <c r="K23" s="419"/>
      <c r="L23" s="17">
        <v>9</v>
      </c>
      <c r="M23" s="119"/>
      <c r="N23" s="119"/>
      <c r="O23" s="271"/>
      <c r="P23" s="294"/>
      <c r="Q23" s="279" t="s">
        <v>44</v>
      </c>
      <c r="R23" s="279"/>
      <c r="S23" s="279"/>
      <c r="T23" s="279"/>
      <c r="U23" s="279"/>
      <c r="V23" s="279"/>
      <c r="W23" s="279"/>
      <c r="X23" s="279"/>
      <c r="Y23" s="419"/>
      <c r="Z23" s="176">
        <v>35</v>
      </c>
      <c r="AA23" s="114"/>
      <c r="AB23" s="115"/>
      <c r="AC23" s="2"/>
      <c r="AD23" s="116"/>
      <c r="AE23" s="116"/>
      <c r="AF23" s="116"/>
      <c r="AG23" s="116"/>
      <c r="AH23" s="116"/>
      <c r="BB23" s="37"/>
      <c r="BF23" s="37"/>
      <c r="BG23" s="37"/>
      <c r="BH23" s="37"/>
      <c r="BI23" s="37"/>
      <c r="BJ23" s="37"/>
      <c r="BK23" s="37"/>
      <c r="BL23" s="37"/>
      <c r="BM23" s="37"/>
      <c r="BN23" s="37" t="str">
        <f t="shared" si="0"/>
        <v>ART</v>
      </c>
      <c r="BO23" s="120" t="s">
        <v>200</v>
      </c>
      <c r="BP23" s="120" t="s">
        <v>240</v>
      </c>
      <c r="BQ23" s="120" t="s">
        <v>241</v>
      </c>
      <c r="BR23" s="84">
        <v>22</v>
      </c>
      <c r="BW23" s="80"/>
      <c r="BX23" s="47" t="s">
        <v>242</v>
      </c>
      <c r="CL23" s="83">
        <v>35</v>
      </c>
      <c r="CM23" s="84" t="s">
        <v>243</v>
      </c>
      <c r="CN23" s="37" t="e">
        <f t="shared" si="30"/>
        <v>#VALUE!</v>
      </c>
      <c r="CO23" s="37" t="e">
        <f t="shared" si="30"/>
        <v>#VALUE!</v>
      </c>
      <c r="CP23" s="38" t="e">
        <f t="shared" si="31"/>
        <v>#VALUE!</v>
      </c>
      <c r="CQ23" s="37" t="e">
        <f t="shared" si="32"/>
        <v>#VALUE!</v>
      </c>
      <c r="CR23" s="65" t="e">
        <f t="shared" si="33"/>
        <v>#VALUE!</v>
      </c>
      <c r="CS23" s="37" t="e">
        <f t="shared" si="34"/>
        <v>#VALUE!</v>
      </c>
      <c r="CT23" s="66" t="e">
        <f t="shared" si="35"/>
        <v>#VALUE!</v>
      </c>
      <c r="CU23" s="64" t="e">
        <f t="shared" si="36"/>
        <v>#VALUE!</v>
      </c>
      <c r="CV23" s="63" t="e">
        <f t="shared" si="5"/>
        <v>#VALUE!</v>
      </c>
      <c r="CW23" s="37" t="e">
        <f t="shared" si="6"/>
        <v>#VALUE!</v>
      </c>
      <c r="CX23" s="37" t="e">
        <f t="shared" si="7"/>
        <v>#VALUE!</v>
      </c>
      <c r="CY23" s="64" t="e">
        <f t="shared" si="8"/>
        <v>#VALUE!</v>
      </c>
    </row>
    <row r="24" spans="1:111" s="84" customFormat="1" ht="24.75" customHeight="1" x14ac:dyDescent="0.25">
      <c r="A24" s="271"/>
      <c r="B24" s="442" t="s">
        <v>640</v>
      </c>
      <c r="C24" s="442"/>
      <c r="D24" s="442"/>
      <c r="E24" s="442"/>
      <c r="F24" s="442"/>
      <c r="G24" s="442"/>
      <c r="H24" s="442"/>
      <c r="I24" s="442"/>
      <c r="J24" s="442"/>
      <c r="K24" s="443"/>
      <c r="L24" s="17">
        <v>10</v>
      </c>
      <c r="M24" s="119"/>
      <c r="N24" s="119"/>
      <c r="O24" s="271"/>
      <c r="P24" s="294"/>
      <c r="Q24" s="279" t="s">
        <v>45</v>
      </c>
      <c r="R24" s="279"/>
      <c r="S24" s="279"/>
      <c r="T24" s="279"/>
      <c r="U24" s="279"/>
      <c r="V24" s="279"/>
      <c r="W24" s="279"/>
      <c r="X24" s="279"/>
      <c r="Y24" s="419"/>
      <c r="Z24" s="115">
        <v>36</v>
      </c>
      <c r="AA24" s="114"/>
      <c r="AB24" s="115"/>
      <c r="AC24" s="2"/>
      <c r="AD24" s="116"/>
      <c r="AE24" s="116"/>
      <c r="AF24" s="116"/>
      <c r="AG24" s="116"/>
      <c r="AH24" s="116"/>
      <c r="BB24" s="37"/>
      <c r="BF24" s="37"/>
      <c r="BG24" s="37"/>
      <c r="BH24" s="37"/>
      <c r="BI24" s="37"/>
      <c r="BJ24" s="37"/>
      <c r="BK24" s="37"/>
      <c r="BL24" s="37"/>
      <c r="BM24" s="37"/>
      <c r="BN24" s="37" t="str">
        <f t="shared" si="0"/>
        <v>HAB</v>
      </c>
      <c r="BO24" s="41" t="s">
        <v>111</v>
      </c>
      <c r="BP24" s="41" t="s">
        <v>244</v>
      </c>
      <c r="BQ24" s="41" t="s">
        <v>245</v>
      </c>
      <c r="BR24" s="37">
        <v>23</v>
      </c>
      <c r="BW24" s="83"/>
      <c r="BX24" s="64" t="s">
        <v>246</v>
      </c>
      <c r="CL24" s="63">
        <v>35</v>
      </c>
      <c r="CM24" s="37" t="s">
        <v>243</v>
      </c>
      <c r="CN24" s="38"/>
      <c r="CO24" s="38"/>
      <c r="CP24" s="38"/>
      <c r="CQ24" s="38"/>
      <c r="CR24" s="38"/>
      <c r="CS24" s="38"/>
      <c r="CT24" s="38"/>
      <c r="CU24" s="93"/>
      <c r="CV24" s="63" t="e">
        <f t="shared" si="5"/>
        <v>#VALUE!</v>
      </c>
      <c r="CW24" s="37" t="e">
        <f t="shared" si="6"/>
        <v>#VALUE!</v>
      </c>
      <c r="CX24" s="37" t="e">
        <f t="shared" si="7"/>
        <v>#VALUE!</v>
      </c>
      <c r="CY24" s="64" t="e">
        <f t="shared" si="8"/>
        <v>#VALUE!</v>
      </c>
    </row>
    <row r="25" spans="1:111" s="84" customFormat="1" ht="15" customHeight="1" x14ac:dyDescent="0.25">
      <c r="A25" s="271"/>
      <c r="B25" s="440" t="s">
        <v>37</v>
      </c>
      <c r="C25" s="440"/>
      <c r="D25" s="440"/>
      <c r="E25" s="440"/>
      <c r="F25" s="440"/>
      <c r="G25" s="440"/>
      <c r="H25" s="440"/>
      <c r="I25" s="440"/>
      <c r="J25" s="440"/>
      <c r="K25" s="441"/>
      <c r="L25" s="17">
        <v>11</v>
      </c>
      <c r="M25" s="119"/>
      <c r="N25" s="119"/>
      <c r="O25" s="271"/>
      <c r="P25" s="294"/>
      <c r="Q25" s="279" t="s">
        <v>46</v>
      </c>
      <c r="R25" s="279"/>
      <c r="S25" s="279"/>
      <c r="T25" s="279"/>
      <c r="U25" s="279"/>
      <c r="V25" s="279"/>
      <c r="W25" s="279"/>
      <c r="X25" s="279"/>
      <c r="Y25" s="419"/>
      <c r="Z25" s="176">
        <v>37</v>
      </c>
      <c r="AA25" s="114"/>
      <c r="AB25" s="115"/>
      <c r="AC25" s="2"/>
      <c r="AD25" s="116"/>
      <c r="AE25" s="116"/>
      <c r="AF25" s="116"/>
      <c r="AG25" s="116"/>
      <c r="AH25" s="116"/>
      <c r="BB25" s="37"/>
      <c r="BF25" s="37"/>
      <c r="BG25" s="37"/>
      <c r="BH25" s="37"/>
      <c r="BI25" s="37"/>
      <c r="BJ25" s="37"/>
      <c r="BK25" s="37"/>
      <c r="BL25" s="37"/>
      <c r="BM25" s="37"/>
      <c r="BN25" s="37" t="str">
        <f t="shared" si="0"/>
        <v>HAB</v>
      </c>
      <c r="BO25" s="41" t="s">
        <v>123</v>
      </c>
      <c r="BP25" s="41" t="s">
        <v>247</v>
      </c>
      <c r="BQ25" s="41" t="s">
        <v>248</v>
      </c>
      <c r="BR25" s="37">
        <v>23</v>
      </c>
      <c r="BW25" s="83"/>
      <c r="BX25" s="64" t="s">
        <v>249</v>
      </c>
      <c r="CL25" s="83">
        <v>35</v>
      </c>
      <c r="CM25" s="84" t="s">
        <v>250</v>
      </c>
      <c r="CN25" s="37" t="e">
        <f>SUM(CP25,CR25,CT25,CV25,CX25)</f>
        <v>#VALUE!</v>
      </c>
      <c r="CO25" s="37" t="e">
        <f>SUM(CQ25,CS25,CU25,CW25,CY25)</f>
        <v>#VALUE!</v>
      </c>
      <c r="CP25" s="38" t="e">
        <f>COUNTIFS(ranPerfilTM,$CM25,ranProf241,$BF$10,ranCatOcup,$BB$4)</f>
        <v>#VALUE!</v>
      </c>
      <c r="CQ25" s="37" t="e">
        <f>COUNTIFS(ranPerfilTM,$CM25,ranProf241,$BF$10,ranCatOcup,$BB$4,ranSexo,$AT$1)</f>
        <v>#VALUE!</v>
      </c>
      <c r="CR25" s="65" t="e">
        <f>COUNTIFS(ranPerfilTM,$CM25,ranProf241,$BF$5,ranCatOcup,$BB$4)</f>
        <v>#VALUE!</v>
      </c>
      <c r="CS25" s="37" t="e">
        <f>COUNTIFS(ranPerfilTM,$CM25,ranProf241,$BF$5,ranCatOcup,$BB$4,ranSexo,$AT$1)</f>
        <v>#VALUE!</v>
      </c>
      <c r="CT25" s="66" t="e">
        <f>COUNTIFS(ranPerfilTM,$CM25,ranProf241,$BF$7,ranCatOcup,$BB$4)</f>
        <v>#VALUE!</v>
      </c>
      <c r="CU25" s="64" t="e">
        <f>COUNTIFS(ranPerfilTM,$CM25,ranProf241,$BF$7,ranCatOcup,$BB$4,ranSexo,$AT$1)</f>
        <v>#VALUE!</v>
      </c>
      <c r="CV25" s="63" t="e">
        <f t="shared" si="5"/>
        <v>#VALUE!</v>
      </c>
      <c r="CW25" s="37" t="e">
        <f t="shared" si="6"/>
        <v>#VALUE!</v>
      </c>
      <c r="CX25" s="37" t="e">
        <f t="shared" si="7"/>
        <v>#VALUE!</v>
      </c>
      <c r="CY25" s="64" t="e">
        <f t="shared" si="8"/>
        <v>#VALUE!</v>
      </c>
    </row>
    <row r="26" spans="1:111" s="84" customFormat="1" ht="16.5" customHeight="1" thickBot="1" x14ac:dyDescent="0.3">
      <c r="A26" s="272"/>
      <c r="B26" s="279" t="s">
        <v>39</v>
      </c>
      <c r="C26" s="279"/>
      <c r="D26" s="279"/>
      <c r="E26" s="279"/>
      <c r="F26" s="279"/>
      <c r="G26" s="279"/>
      <c r="H26" s="279"/>
      <c r="I26" s="279"/>
      <c r="J26" s="279"/>
      <c r="K26" s="419"/>
      <c r="L26" s="173">
        <v>12</v>
      </c>
      <c r="M26" s="125"/>
      <c r="N26" s="125"/>
      <c r="O26" s="271"/>
      <c r="P26" s="294"/>
      <c r="Q26" s="285" t="s">
        <v>47</v>
      </c>
      <c r="R26" s="285"/>
      <c r="S26" s="285"/>
      <c r="T26" s="285"/>
      <c r="U26" s="285"/>
      <c r="V26" s="285"/>
      <c r="W26" s="285"/>
      <c r="X26" s="285"/>
      <c r="Y26" s="287"/>
      <c r="Z26" s="128">
        <v>38</v>
      </c>
      <c r="AA26" s="127"/>
      <c r="AB26" s="128"/>
      <c r="AC26" s="2"/>
      <c r="AD26" s="116"/>
      <c r="AE26" s="116"/>
      <c r="AF26" s="116"/>
      <c r="AG26" s="116"/>
      <c r="AH26" s="116"/>
      <c r="BB26" s="37"/>
      <c r="BF26" s="37"/>
      <c r="BG26" s="37"/>
      <c r="BH26" s="37"/>
      <c r="BI26" s="37"/>
      <c r="BJ26" s="37"/>
      <c r="BK26" s="37"/>
      <c r="BL26" s="37"/>
      <c r="BM26" s="37"/>
      <c r="BN26" s="37" t="str">
        <f t="shared" si="0"/>
        <v>HAB</v>
      </c>
      <c r="BO26" s="41" t="s">
        <v>132</v>
      </c>
      <c r="BP26" s="41" t="s">
        <v>251</v>
      </c>
      <c r="BQ26" s="41" t="s">
        <v>252</v>
      </c>
      <c r="BR26" s="37">
        <v>23</v>
      </c>
      <c r="BW26" s="83"/>
      <c r="BX26" s="64" t="s">
        <v>253</v>
      </c>
      <c r="CL26" s="63">
        <v>35</v>
      </c>
      <c r="CM26" s="37" t="s">
        <v>250</v>
      </c>
      <c r="CN26" s="38"/>
      <c r="CO26" s="38"/>
      <c r="CP26" s="38"/>
      <c r="CQ26" s="38"/>
      <c r="CR26" s="38"/>
      <c r="CS26" s="38"/>
      <c r="CT26" s="38"/>
      <c r="CU26" s="93"/>
      <c r="CV26" s="63" t="e">
        <f t="shared" si="5"/>
        <v>#VALUE!</v>
      </c>
      <c r="CW26" s="37" t="e">
        <f t="shared" si="6"/>
        <v>#VALUE!</v>
      </c>
      <c r="CX26" s="37" t="e">
        <f t="shared" si="7"/>
        <v>#VALUE!</v>
      </c>
      <c r="CY26" s="64" t="e">
        <f t="shared" si="8"/>
        <v>#VALUE!</v>
      </c>
    </row>
    <row r="27" spans="1:111" s="84" customFormat="1" ht="24.75" customHeight="1" thickBot="1" x14ac:dyDescent="0.3">
      <c r="A27" s="420" t="s">
        <v>642</v>
      </c>
      <c r="B27" s="421"/>
      <c r="C27" s="421"/>
      <c r="D27" s="421"/>
      <c r="E27" s="421"/>
      <c r="F27" s="421"/>
      <c r="G27" s="421"/>
      <c r="H27" s="421"/>
      <c r="I27" s="421"/>
      <c r="J27" s="421"/>
      <c r="K27" s="422"/>
      <c r="L27" s="129">
        <v>13</v>
      </c>
      <c r="M27" s="177">
        <f>+M28+M29+M30+M31+M32+M33+M34+M35+AA29</f>
        <v>0</v>
      </c>
      <c r="N27" s="177">
        <f>+N28+N29+N30+N31+N32+N33+N34+N35+AB29</f>
        <v>0</v>
      </c>
      <c r="O27" s="295"/>
      <c r="P27" s="288" t="s">
        <v>667</v>
      </c>
      <c r="Q27" s="289"/>
      <c r="R27" s="289"/>
      <c r="S27" s="289"/>
      <c r="T27" s="289"/>
      <c r="U27" s="289"/>
      <c r="V27" s="289"/>
      <c r="W27" s="289"/>
      <c r="X27" s="289"/>
      <c r="Y27" s="290"/>
      <c r="Z27" s="129">
        <v>39</v>
      </c>
      <c r="AA27" s="10">
        <f>+AA28</f>
        <v>0</v>
      </c>
      <c r="AB27" s="10">
        <f>+AB28</f>
        <v>0</v>
      </c>
      <c r="AC27" s="2"/>
      <c r="AD27" s="116"/>
      <c r="AE27" s="116"/>
      <c r="AF27" s="116"/>
      <c r="AG27" s="116"/>
      <c r="AH27" s="116"/>
      <c r="BB27" s="37"/>
      <c r="BF27" s="37"/>
      <c r="BG27" s="37"/>
      <c r="BH27" s="37"/>
      <c r="BI27" s="37"/>
      <c r="BJ27" s="37"/>
      <c r="BK27" s="37"/>
      <c r="BL27" s="37"/>
      <c r="BM27" s="37"/>
      <c r="BN27" s="37"/>
      <c r="BO27" s="41"/>
      <c r="BP27" s="41"/>
      <c r="BQ27" s="41"/>
      <c r="BR27" s="37"/>
      <c r="BW27" s="83"/>
      <c r="BX27" s="64"/>
      <c r="CL27" s="63"/>
      <c r="CM27" s="37"/>
      <c r="CN27" s="38"/>
      <c r="CO27" s="38"/>
      <c r="CP27" s="38"/>
      <c r="CQ27" s="38"/>
      <c r="CR27" s="38"/>
      <c r="CS27" s="38"/>
      <c r="CT27" s="38"/>
      <c r="CU27" s="93"/>
      <c r="CV27" s="63"/>
      <c r="CW27" s="37"/>
      <c r="CX27" s="37"/>
      <c r="CY27" s="64"/>
    </row>
    <row r="28" spans="1:111" s="84" customFormat="1" ht="16.5" customHeight="1" thickBot="1" x14ac:dyDescent="0.3">
      <c r="A28" s="277" t="s">
        <v>20</v>
      </c>
      <c r="B28" s="273" t="s">
        <v>21</v>
      </c>
      <c r="C28" s="274"/>
      <c r="D28" s="274"/>
      <c r="E28" s="274"/>
      <c r="F28" s="274"/>
      <c r="G28" s="274"/>
      <c r="H28" s="274"/>
      <c r="I28" s="274"/>
      <c r="J28" s="274"/>
      <c r="K28" s="274"/>
      <c r="L28" s="176">
        <v>14</v>
      </c>
      <c r="M28" s="178"/>
      <c r="N28" s="174"/>
      <c r="O28" s="271"/>
      <c r="P28" s="291" t="s">
        <v>668</v>
      </c>
      <c r="Q28" s="291"/>
      <c r="R28" s="291"/>
      <c r="S28" s="291"/>
      <c r="T28" s="291"/>
      <c r="U28" s="291"/>
      <c r="V28" s="291"/>
      <c r="W28" s="291"/>
      <c r="X28" s="291"/>
      <c r="Y28" s="292"/>
      <c r="Z28" s="130">
        <v>40</v>
      </c>
      <c r="AA28" s="172"/>
      <c r="AB28" s="176"/>
      <c r="AC28" s="2"/>
      <c r="AD28" s="116"/>
      <c r="AE28" s="116"/>
      <c r="AF28" s="116"/>
      <c r="AG28" s="116"/>
      <c r="AH28" s="116"/>
      <c r="BB28" s="37"/>
      <c r="BF28" s="37"/>
      <c r="BG28" s="37"/>
      <c r="BH28" s="37"/>
      <c r="BI28" s="37"/>
      <c r="BJ28" s="37"/>
      <c r="BK28" s="37"/>
      <c r="BL28" s="37"/>
      <c r="BM28" s="37"/>
      <c r="BN28" s="37"/>
      <c r="BO28" s="41"/>
      <c r="BP28" s="41"/>
      <c r="BQ28" s="41"/>
      <c r="BR28" s="37"/>
      <c r="BW28" s="83"/>
      <c r="BX28" s="64"/>
      <c r="CL28" s="63"/>
      <c r="CM28" s="37"/>
      <c r="CN28" s="38"/>
      <c r="CO28" s="38"/>
      <c r="CP28" s="38"/>
      <c r="CQ28" s="38"/>
      <c r="CR28" s="38"/>
      <c r="CS28" s="38"/>
      <c r="CT28" s="38"/>
      <c r="CU28" s="93"/>
      <c r="CV28" s="63"/>
      <c r="CW28" s="37"/>
      <c r="CX28" s="37"/>
      <c r="CY28" s="64"/>
    </row>
    <row r="29" spans="1:111" s="84" customFormat="1" ht="17.25" customHeight="1" thickBot="1" x14ac:dyDescent="0.3">
      <c r="A29" s="278"/>
      <c r="B29" s="275" t="s">
        <v>23</v>
      </c>
      <c r="C29" s="276"/>
      <c r="D29" s="276"/>
      <c r="E29" s="276"/>
      <c r="F29" s="276"/>
      <c r="G29" s="276"/>
      <c r="H29" s="276"/>
      <c r="I29" s="276"/>
      <c r="J29" s="276"/>
      <c r="K29" s="276"/>
      <c r="L29" s="115">
        <v>15</v>
      </c>
      <c r="M29" s="178"/>
      <c r="N29" s="174"/>
      <c r="O29" s="272"/>
      <c r="P29" s="280" t="s">
        <v>669</v>
      </c>
      <c r="Q29" s="281"/>
      <c r="R29" s="281"/>
      <c r="S29" s="281"/>
      <c r="T29" s="281"/>
      <c r="U29" s="281"/>
      <c r="V29" s="281"/>
      <c r="W29" s="281"/>
      <c r="X29" s="281"/>
      <c r="Y29" s="281"/>
      <c r="Z29" s="187">
        <v>41</v>
      </c>
      <c r="AA29" s="127"/>
      <c r="AB29" s="128"/>
      <c r="AC29" s="2"/>
      <c r="AD29" s="116"/>
      <c r="AE29" s="116"/>
      <c r="AF29" s="116"/>
      <c r="AG29" s="116"/>
      <c r="AH29" s="116"/>
      <c r="BB29" s="37"/>
      <c r="BF29" s="37"/>
      <c r="BG29" s="37"/>
      <c r="BH29" s="37"/>
      <c r="BI29" s="37"/>
      <c r="BJ29" s="37"/>
      <c r="BK29" s="37"/>
      <c r="BL29" s="37"/>
      <c r="BM29" s="37"/>
      <c r="BN29" s="37"/>
      <c r="BO29" s="41"/>
      <c r="BP29" s="41"/>
      <c r="BQ29" s="41"/>
      <c r="BR29" s="37"/>
      <c r="BW29" s="83"/>
      <c r="BX29" s="64"/>
      <c r="CL29" s="63"/>
      <c r="CM29" s="37"/>
      <c r="CN29" s="38"/>
      <c r="CO29" s="38"/>
      <c r="CP29" s="38"/>
      <c r="CQ29" s="38"/>
      <c r="CR29" s="38"/>
      <c r="CS29" s="38"/>
      <c r="CT29" s="38"/>
      <c r="CU29" s="93"/>
      <c r="CV29" s="63"/>
      <c r="CW29" s="37"/>
      <c r="CX29" s="37"/>
      <c r="CY29" s="64"/>
    </row>
    <row r="30" spans="1:111" s="84" customFormat="1" ht="15.75" thickBot="1" x14ac:dyDescent="0.3">
      <c r="A30" s="278"/>
      <c r="B30" s="275" t="s">
        <v>24</v>
      </c>
      <c r="C30" s="276"/>
      <c r="D30" s="276"/>
      <c r="E30" s="276"/>
      <c r="F30" s="276"/>
      <c r="G30" s="276"/>
      <c r="H30" s="276"/>
      <c r="I30" s="276"/>
      <c r="J30" s="276"/>
      <c r="K30" s="276"/>
      <c r="L30" s="188">
        <v>16</v>
      </c>
      <c r="M30" s="171"/>
      <c r="N30" s="115"/>
      <c r="O30" s="296" t="s">
        <v>643</v>
      </c>
      <c r="P30" s="297"/>
      <c r="Q30" s="297"/>
      <c r="R30" s="297"/>
      <c r="S30" s="297"/>
      <c r="T30" s="297"/>
      <c r="U30" s="297"/>
      <c r="V30" s="297"/>
      <c r="W30" s="297"/>
      <c r="X30" s="297"/>
      <c r="Y30" s="298"/>
      <c r="Z30" s="115">
        <v>42</v>
      </c>
      <c r="AA30" s="184"/>
      <c r="AB30" s="184"/>
      <c r="AC30" s="2"/>
      <c r="AD30" s="116"/>
      <c r="AE30" s="116"/>
      <c r="AF30" s="116"/>
      <c r="AG30" s="116"/>
      <c r="AH30" s="116"/>
      <c r="BB30" s="37"/>
      <c r="BF30" s="37"/>
      <c r="BG30" s="37"/>
      <c r="BH30" s="37"/>
      <c r="BI30" s="37"/>
      <c r="BJ30" s="37"/>
      <c r="BK30" s="37"/>
      <c r="BL30" s="37"/>
      <c r="BM30" s="37"/>
      <c r="BN30" s="37" t="str">
        <f t="shared" si="0"/>
        <v>HAB</v>
      </c>
      <c r="BO30" s="41" t="s">
        <v>140</v>
      </c>
      <c r="BP30" s="41" t="s">
        <v>254</v>
      </c>
      <c r="BQ30" s="41" t="s">
        <v>255</v>
      </c>
      <c r="BR30" s="37">
        <v>23</v>
      </c>
      <c r="BS30" s="37"/>
      <c r="BT30" s="37"/>
      <c r="BU30" s="37"/>
      <c r="BW30" s="83"/>
      <c r="BX30" s="64" t="s">
        <v>256</v>
      </c>
      <c r="CL30" s="63">
        <v>35</v>
      </c>
      <c r="CM30" s="37" t="s">
        <v>257</v>
      </c>
      <c r="CN30" s="37" t="e">
        <f t="shared" ref="CN30:CO36" si="37">SUM(CP30,CR30,CT30,CV30,CX30)</f>
        <v>#VALUE!</v>
      </c>
      <c r="CO30" s="37" t="e">
        <f t="shared" si="37"/>
        <v>#VALUE!</v>
      </c>
      <c r="CP30" s="38" t="e">
        <f t="shared" ref="CP30:CP36" si="38">COUNTIFS(ranPerfilTM,$CM30,ranProf241,$BF$10,ranCatOcup,$BB$4)</f>
        <v>#VALUE!</v>
      </c>
      <c r="CQ30" s="37" t="e">
        <f t="shared" ref="CQ30:CQ36" si="39">COUNTIFS(ranPerfilTM,$CM30,ranProf241,$BF$10,ranCatOcup,$BB$4,ranSexo,$AT$1)</f>
        <v>#VALUE!</v>
      </c>
      <c r="CR30" s="65" t="e">
        <f t="shared" ref="CR30:CR36" si="40">COUNTIFS(ranPerfilTM,$CM30,ranProf241,$BF$5,ranCatOcup,$BB$4)</f>
        <v>#VALUE!</v>
      </c>
      <c r="CS30" s="37" t="e">
        <f t="shared" ref="CS30:CS36" si="41">COUNTIFS(ranPerfilTM,$CM30,ranProf241,$BF$5,ranCatOcup,$BB$4,ranSexo,$AT$1)</f>
        <v>#VALUE!</v>
      </c>
      <c r="CT30" s="66" t="e">
        <f t="shared" ref="CT30:CT36" si="42">COUNTIFS(ranPerfilTM,$CM30,ranProf241,$BF$7,ranCatOcup,$BB$4)</f>
        <v>#VALUE!</v>
      </c>
      <c r="CU30" s="64" t="e">
        <f t="shared" ref="CU30:CU36" si="43">COUNTIFS(ranPerfilTM,$CM30,ranProf241,$BF$7,ranCatOcup,$BB$4,ranSexo,$AT$1)</f>
        <v>#VALUE!</v>
      </c>
      <c r="CV30" s="63" t="e">
        <f t="shared" si="5"/>
        <v>#VALUE!</v>
      </c>
      <c r="CW30" s="37" t="e">
        <f t="shared" si="6"/>
        <v>#VALUE!</v>
      </c>
      <c r="CX30" s="37" t="e">
        <f t="shared" si="7"/>
        <v>#VALUE!</v>
      </c>
      <c r="CY30" s="64" t="e">
        <f t="shared" si="8"/>
        <v>#VALUE!</v>
      </c>
    </row>
    <row r="31" spans="1:111" s="84" customFormat="1" ht="15" customHeight="1" thickBot="1" x14ac:dyDescent="0.3">
      <c r="A31" s="278"/>
      <c r="B31" s="275" t="s">
        <v>25</v>
      </c>
      <c r="C31" s="276"/>
      <c r="D31" s="276"/>
      <c r="E31" s="276"/>
      <c r="F31" s="276"/>
      <c r="G31" s="276"/>
      <c r="H31" s="276"/>
      <c r="I31" s="276"/>
      <c r="J31" s="276"/>
      <c r="K31" s="276"/>
      <c r="L31" s="115">
        <v>17</v>
      </c>
      <c r="M31" s="171"/>
      <c r="N31" s="115"/>
      <c r="O31" s="299" t="s">
        <v>666</v>
      </c>
      <c r="P31" s="300"/>
      <c r="Q31" s="300"/>
      <c r="R31" s="300"/>
      <c r="S31" s="300"/>
      <c r="T31" s="300"/>
      <c r="U31" s="300"/>
      <c r="V31" s="300"/>
      <c r="W31" s="300"/>
      <c r="X31" s="300"/>
      <c r="Y31" s="301"/>
      <c r="Z31" s="128">
        <v>43</v>
      </c>
      <c r="AA31" s="175"/>
      <c r="AB31" s="185"/>
      <c r="AC31" s="2"/>
      <c r="AD31" s="116"/>
      <c r="AE31" s="116"/>
      <c r="AF31" s="116"/>
      <c r="AG31" s="116"/>
      <c r="AH31" s="116"/>
      <c r="BB31" s="37"/>
      <c r="BF31" s="37"/>
      <c r="BG31" s="37"/>
      <c r="BH31" s="37"/>
      <c r="BI31" s="37"/>
      <c r="BJ31" s="37"/>
      <c r="BK31" s="37"/>
      <c r="BL31" s="37"/>
      <c r="BM31" s="37"/>
      <c r="BN31" s="37" t="str">
        <f t="shared" si="0"/>
        <v>HAB</v>
      </c>
      <c r="BO31" s="41" t="s">
        <v>148</v>
      </c>
      <c r="BP31" s="41" t="s">
        <v>258</v>
      </c>
      <c r="BQ31" s="41" t="s">
        <v>259</v>
      </c>
      <c r="BR31" s="37">
        <v>23</v>
      </c>
      <c r="BS31" s="37"/>
      <c r="BT31" s="37"/>
      <c r="BU31" s="37"/>
      <c r="BW31" s="83"/>
      <c r="BX31" s="64" t="s">
        <v>260</v>
      </c>
      <c r="CL31" s="63">
        <v>35</v>
      </c>
      <c r="CM31" s="37" t="s">
        <v>261</v>
      </c>
      <c r="CN31" s="37" t="e">
        <f t="shared" si="37"/>
        <v>#VALUE!</v>
      </c>
      <c r="CO31" s="37" t="e">
        <f t="shared" si="37"/>
        <v>#VALUE!</v>
      </c>
      <c r="CP31" s="38" t="e">
        <f t="shared" si="38"/>
        <v>#VALUE!</v>
      </c>
      <c r="CQ31" s="37" t="e">
        <f t="shared" si="39"/>
        <v>#VALUE!</v>
      </c>
      <c r="CR31" s="65" t="e">
        <f t="shared" si="40"/>
        <v>#VALUE!</v>
      </c>
      <c r="CS31" s="37" t="e">
        <f t="shared" si="41"/>
        <v>#VALUE!</v>
      </c>
      <c r="CT31" s="66" t="e">
        <f t="shared" si="42"/>
        <v>#VALUE!</v>
      </c>
      <c r="CU31" s="64" t="e">
        <f t="shared" si="43"/>
        <v>#VALUE!</v>
      </c>
      <c r="CV31" s="63" t="e">
        <f t="shared" si="5"/>
        <v>#VALUE!</v>
      </c>
      <c r="CW31" s="37" t="e">
        <f t="shared" si="6"/>
        <v>#VALUE!</v>
      </c>
      <c r="CX31" s="37" t="e">
        <f t="shared" si="7"/>
        <v>#VALUE!</v>
      </c>
      <c r="CY31" s="64" t="e">
        <f t="shared" si="8"/>
        <v>#VALUE!</v>
      </c>
    </row>
    <row r="32" spans="1:111" s="84" customFormat="1" ht="15.75" customHeight="1" x14ac:dyDescent="0.25">
      <c r="A32" s="278"/>
      <c r="B32" s="275" t="s">
        <v>27</v>
      </c>
      <c r="C32" s="276"/>
      <c r="D32" s="276"/>
      <c r="E32" s="276"/>
      <c r="F32" s="276"/>
      <c r="G32" s="276"/>
      <c r="H32" s="276"/>
      <c r="I32" s="276"/>
      <c r="J32" s="276"/>
      <c r="K32" s="276"/>
      <c r="L32" s="115">
        <v>18</v>
      </c>
      <c r="M32" s="171"/>
      <c r="N32" s="115"/>
      <c r="O32" s="444"/>
      <c r="P32" s="277"/>
      <c r="Q32" s="277"/>
      <c r="R32" s="277"/>
      <c r="S32" s="277"/>
      <c r="T32" s="277"/>
      <c r="U32" s="277"/>
      <c r="V32" s="277"/>
      <c r="W32" s="277"/>
      <c r="X32" s="277"/>
      <c r="Y32" s="277"/>
      <c r="Z32" s="277"/>
      <c r="AA32" s="277"/>
      <c r="AB32" s="445"/>
      <c r="AC32" s="2"/>
      <c r="AD32" s="116"/>
      <c r="AE32" s="116"/>
      <c r="AF32" s="116"/>
      <c r="AG32" s="116"/>
      <c r="AH32" s="116"/>
      <c r="BB32" s="37"/>
      <c r="BF32" s="37"/>
      <c r="BG32" s="37"/>
      <c r="BH32" s="37"/>
      <c r="BI32" s="37"/>
      <c r="BJ32" s="37"/>
      <c r="BK32" s="37"/>
      <c r="BL32" s="37"/>
      <c r="BM32" s="37"/>
      <c r="BN32" s="37" t="str">
        <f t="shared" si="0"/>
        <v>HAB</v>
      </c>
      <c r="BO32" s="41" t="s">
        <v>155</v>
      </c>
      <c r="BP32" s="41" t="s">
        <v>262</v>
      </c>
      <c r="BQ32" s="41" t="s">
        <v>263</v>
      </c>
      <c r="BR32" s="37">
        <v>23</v>
      </c>
      <c r="BS32" s="37"/>
      <c r="BT32" s="37"/>
      <c r="BU32" s="37"/>
      <c r="BW32" s="83"/>
      <c r="BX32" s="64" t="s">
        <v>264</v>
      </c>
      <c r="CL32" s="63">
        <v>36</v>
      </c>
      <c r="CM32" s="37" t="s">
        <v>265</v>
      </c>
      <c r="CN32" s="37" t="e">
        <f t="shared" si="37"/>
        <v>#VALUE!</v>
      </c>
      <c r="CO32" s="37" t="e">
        <f t="shared" si="37"/>
        <v>#VALUE!</v>
      </c>
      <c r="CP32" s="38" t="e">
        <f t="shared" si="38"/>
        <v>#VALUE!</v>
      </c>
      <c r="CQ32" s="37" t="e">
        <f t="shared" si="39"/>
        <v>#VALUE!</v>
      </c>
      <c r="CR32" s="65" t="e">
        <f t="shared" si="40"/>
        <v>#VALUE!</v>
      </c>
      <c r="CS32" s="37" t="e">
        <f t="shared" si="41"/>
        <v>#VALUE!</v>
      </c>
      <c r="CT32" s="66" t="e">
        <f t="shared" si="42"/>
        <v>#VALUE!</v>
      </c>
      <c r="CU32" s="64" t="e">
        <f t="shared" si="43"/>
        <v>#VALUE!</v>
      </c>
      <c r="CV32" s="63" t="e">
        <f t="shared" si="5"/>
        <v>#VALUE!</v>
      </c>
      <c r="CW32" s="37" t="e">
        <f t="shared" si="6"/>
        <v>#VALUE!</v>
      </c>
      <c r="CX32" s="37" t="e">
        <f t="shared" si="7"/>
        <v>#VALUE!</v>
      </c>
      <c r="CY32" s="64" t="e">
        <f t="shared" si="8"/>
        <v>#VALUE!</v>
      </c>
    </row>
    <row r="33" spans="1:103" s="84" customFormat="1" ht="15.75" customHeight="1" x14ac:dyDescent="0.25">
      <c r="A33" s="278"/>
      <c r="B33" s="275" t="s">
        <v>29</v>
      </c>
      <c r="C33" s="276"/>
      <c r="D33" s="276"/>
      <c r="E33" s="276"/>
      <c r="F33" s="276"/>
      <c r="G33" s="276"/>
      <c r="H33" s="276"/>
      <c r="I33" s="276"/>
      <c r="J33" s="276"/>
      <c r="K33" s="276"/>
      <c r="L33" s="188">
        <v>19</v>
      </c>
      <c r="M33" s="181"/>
      <c r="N33" s="179"/>
      <c r="O33" s="295"/>
      <c r="P33" s="278"/>
      <c r="Q33" s="278"/>
      <c r="R33" s="278"/>
      <c r="S33" s="278"/>
      <c r="T33" s="278"/>
      <c r="U33" s="278"/>
      <c r="V33" s="278"/>
      <c r="W33" s="278"/>
      <c r="X33" s="278"/>
      <c r="Y33" s="278"/>
      <c r="Z33" s="278"/>
      <c r="AA33" s="278"/>
      <c r="AB33" s="446"/>
      <c r="AC33" s="2"/>
      <c r="AD33" s="116"/>
      <c r="AE33" s="116"/>
      <c r="AF33" s="116"/>
      <c r="AG33" s="116"/>
      <c r="AH33" s="116"/>
      <c r="BB33" s="37"/>
      <c r="BF33" s="37"/>
      <c r="BG33" s="37"/>
      <c r="BH33" s="37"/>
      <c r="BI33" s="37"/>
      <c r="BJ33" s="37"/>
      <c r="BK33" s="37"/>
      <c r="BL33" s="37"/>
      <c r="BM33" s="37"/>
      <c r="BN33" s="37" t="str">
        <f t="shared" si="0"/>
        <v>HAB</v>
      </c>
      <c r="BO33" s="41" t="s">
        <v>163</v>
      </c>
      <c r="BP33" s="41" t="s">
        <v>266</v>
      </c>
      <c r="BQ33" s="41" t="s">
        <v>267</v>
      </c>
      <c r="BR33" s="37">
        <v>23</v>
      </c>
      <c r="BS33" s="37"/>
      <c r="BT33" s="37"/>
      <c r="BU33" s="37"/>
      <c r="BW33" s="126"/>
      <c r="BX33" s="124" t="s">
        <v>217</v>
      </c>
      <c r="CL33" s="83">
        <v>36</v>
      </c>
      <c r="CM33" s="84" t="s">
        <v>268</v>
      </c>
      <c r="CN33" s="37" t="e">
        <f t="shared" si="37"/>
        <v>#VALUE!</v>
      </c>
      <c r="CO33" s="37" t="e">
        <f t="shared" si="37"/>
        <v>#VALUE!</v>
      </c>
      <c r="CP33" s="38" t="e">
        <f t="shared" si="38"/>
        <v>#VALUE!</v>
      </c>
      <c r="CQ33" s="37" t="e">
        <f t="shared" si="39"/>
        <v>#VALUE!</v>
      </c>
      <c r="CR33" s="65" t="e">
        <f t="shared" si="40"/>
        <v>#VALUE!</v>
      </c>
      <c r="CS33" s="37" t="e">
        <f t="shared" si="41"/>
        <v>#VALUE!</v>
      </c>
      <c r="CT33" s="66" t="e">
        <f t="shared" si="42"/>
        <v>#VALUE!</v>
      </c>
      <c r="CU33" s="64" t="e">
        <f t="shared" si="43"/>
        <v>#VALUE!</v>
      </c>
      <c r="CV33" s="63" t="e">
        <f t="shared" si="5"/>
        <v>#VALUE!</v>
      </c>
      <c r="CW33" s="37" t="e">
        <f t="shared" si="6"/>
        <v>#VALUE!</v>
      </c>
      <c r="CX33" s="37" t="e">
        <f t="shared" si="7"/>
        <v>#VALUE!</v>
      </c>
      <c r="CY33" s="64" t="e">
        <f t="shared" si="8"/>
        <v>#VALUE!</v>
      </c>
    </row>
    <row r="34" spans="1:103" s="84" customFormat="1" ht="15" customHeight="1" x14ac:dyDescent="0.25">
      <c r="A34" s="278"/>
      <c r="B34" s="280" t="s">
        <v>33</v>
      </c>
      <c r="C34" s="281"/>
      <c r="D34" s="281"/>
      <c r="E34" s="281"/>
      <c r="F34" s="281"/>
      <c r="G34" s="281"/>
      <c r="H34" s="281"/>
      <c r="I34" s="281"/>
      <c r="J34" s="281"/>
      <c r="K34" s="281"/>
      <c r="L34" s="115">
        <v>20</v>
      </c>
      <c r="M34" s="171"/>
      <c r="N34" s="115"/>
      <c r="O34" s="295"/>
      <c r="P34" s="278"/>
      <c r="Q34" s="278"/>
      <c r="R34" s="278"/>
      <c r="S34" s="278"/>
      <c r="T34" s="278"/>
      <c r="U34" s="278"/>
      <c r="V34" s="278"/>
      <c r="W34" s="278"/>
      <c r="X34" s="278"/>
      <c r="Y34" s="278"/>
      <c r="Z34" s="278"/>
      <c r="AA34" s="278"/>
      <c r="AB34" s="446"/>
      <c r="AC34" s="2"/>
      <c r="AD34" s="116"/>
      <c r="AE34" s="116"/>
      <c r="AF34" s="116"/>
      <c r="AG34" s="116"/>
      <c r="AH34" s="116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 t="str">
        <f t="shared" si="0"/>
        <v>HAB</v>
      </c>
      <c r="BO34" s="41" t="s">
        <v>170</v>
      </c>
      <c r="BP34" s="41" t="s">
        <v>269</v>
      </c>
      <c r="BQ34" s="41" t="s">
        <v>270</v>
      </c>
      <c r="BR34" s="37">
        <v>23</v>
      </c>
      <c r="BS34" s="37"/>
      <c r="BT34" s="37"/>
      <c r="BU34" s="37"/>
      <c r="BV34" s="37"/>
      <c r="BW34" s="37"/>
      <c r="BX34" s="37"/>
      <c r="CL34" s="63">
        <v>36</v>
      </c>
      <c r="CM34" s="37" t="s">
        <v>271</v>
      </c>
      <c r="CN34" s="37" t="e">
        <f t="shared" si="37"/>
        <v>#VALUE!</v>
      </c>
      <c r="CO34" s="37" t="e">
        <f t="shared" si="37"/>
        <v>#VALUE!</v>
      </c>
      <c r="CP34" s="38" t="e">
        <f t="shared" si="38"/>
        <v>#VALUE!</v>
      </c>
      <c r="CQ34" s="37" t="e">
        <f t="shared" si="39"/>
        <v>#VALUE!</v>
      </c>
      <c r="CR34" s="65" t="e">
        <f t="shared" si="40"/>
        <v>#VALUE!</v>
      </c>
      <c r="CS34" s="37" t="e">
        <f t="shared" si="41"/>
        <v>#VALUE!</v>
      </c>
      <c r="CT34" s="66" t="e">
        <f t="shared" si="42"/>
        <v>#VALUE!</v>
      </c>
      <c r="CU34" s="64" t="e">
        <f t="shared" si="43"/>
        <v>#VALUE!</v>
      </c>
      <c r="CV34" s="63" t="e">
        <f t="shared" si="5"/>
        <v>#VALUE!</v>
      </c>
      <c r="CW34" s="37" t="e">
        <f t="shared" si="6"/>
        <v>#VALUE!</v>
      </c>
      <c r="CX34" s="37" t="e">
        <f t="shared" si="7"/>
        <v>#VALUE!</v>
      </c>
      <c r="CY34" s="64" t="e">
        <f t="shared" si="8"/>
        <v>#VALUE!</v>
      </c>
    </row>
    <row r="35" spans="1:103" s="84" customFormat="1" ht="24.75" customHeight="1" x14ac:dyDescent="0.25">
      <c r="A35" s="278"/>
      <c r="B35" s="438" t="s">
        <v>641</v>
      </c>
      <c r="C35" s="438"/>
      <c r="D35" s="438"/>
      <c r="E35" s="438"/>
      <c r="F35" s="438"/>
      <c r="G35" s="438"/>
      <c r="H35" s="438"/>
      <c r="I35" s="438"/>
      <c r="J35" s="438"/>
      <c r="K35" s="439"/>
      <c r="L35" s="115">
        <v>21</v>
      </c>
      <c r="M35" s="182">
        <f>+M36+M37+M38+M39+M40+M41+M42+M43+AA16+AA17+AA18+AA19+AA20+AA21+AA22+AA23+AA24+AA25+AA26+AA27</f>
        <v>0</v>
      </c>
      <c r="N35" s="182">
        <f>+N36+N37+N38+N39+N40+N41+N42+N43+AB16+AB17+AB18+AB19+AB20+AB21+AB22+AB23+AB24+AB25+AB26+AB27</f>
        <v>0</v>
      </c>
      <c r="O35" s="295"/>
      <c r="P35" s="278"/>
      <c r="Q35" s="278"/>
      <c r="R35" s="278"/>
      <c r="S35" s="278"/>
      <c r="T35" s="278"/>
      <c r="U35" s="278"/>
      <c r="V35" s="278"/>
      <c r="W35" s="278"/>
      <c r="X35" s="278"/>
      <c r="Y35" s="278"/>
      <c r="Z35" s="278"/>
      <c r="AA35" s="278"/>
      <c r="AB35" s="446"/>
      <c r="AC35" s="2"/>
      <c r="AD35" s="116"/>
      <c r="AE35" s="116"/>
      <c r="AF35" s="116"/>
      <c r="AG35" s="116"/>
      <c r="AH35" s="116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 t="str">
        <f t="shared" si="0"/>
        <v>HAB</v>
      </c>
      <c r="BO35" s="41" t="s">
        <v>178</v>
      </c>
      <c r="BP35" s="41" t="s">
        <v>272</v>
      </c>
      <c r="BQ35" s="41" t="s">
        <v>273</v>
      </c>
      <c r="BR35" s="37">
        <v>23</v>
      </c>
      <c r="BS35" s="37"/>
      <c r="BT35" s="37"/>
      <c r="BU35" s="37"/>
      <c r="BV35" s="37"/>
      <c r="BW35" s="37"/>
      <c r="BX35" s="37"/>
      <c r="CL35" s="63">
        <v>37</v>
      </c>
      <c r="CM35" s="37" t="s">
        <v>274</v>
      </c>
      <c r="CN35" s="37" t="e">
        <f t="shared" si="37"/>
        <v>#VALUE!</v>
      </c>
      <c r="CO35" s="37" t="e">
        <f t="shared" si="37"/>
        <v>#VALUE!</v>
      </c>
      <c r="CP35" s="38" t="e">
        <f t="shared" si="38"/>
        <v>#VALUE!</v>
      </c>
      <c r="CQ35" s="37" t="e">
        <f t="shared" si="39"/>
        <v>#VALUE!</v>
      </c>
      <c r="CR35" s="65" t="e">
        <f t="shared" si="40"/>
        <v>#VALUE!</v>
      </c>
      <c r="CS35" s="37" t="e">
        <f t="shared" si="41"/>
        <v>#VALUE!</v>
      </c>
      <c r="CT35" s="66" t="e">
        <f t="shared" si="42"/>
        <v>#VALUE!</v>
      </c>
      <c r="CU35" s="64" t="e">
        <f t="shared" si="43"/>
        <v>#VALUE!</v>
      </c>
      <c r="CV35" s="63" t="e">
        <f t="shared" si="5"/>
        <v>#VALUE!</v>
      </c>
      <c r="CW35" s="37" t="e">
        <f t="shared" si="6"/>
        <v>#VALUE!</v>
      </c>
      <c r="CX35" s="37" t="e">
        <f t="shared" si="7"/>
        <v>#VALUE!</v>
      </c>
      <c r="CY35" s="64" t="e">
        <f t="shared" si="8"/>
        <v>#VALUE!</v>
      </c>
    </row>
    <row r="36" spans="1:103" s="84" customFormat="1" ht="15" customHeight="1" x14ac:dyDescent="0.25">
      <c r="A36" s="278"/>
      <c r="B36" s="275" t="s">
        <v>19</v>
      </c>
      <c r="C36" s="276"/>
      <c r="D36" s="276"/>
      <c r="E36" s="276"/>
      <c r="F36" s="276"/>
      <c r="G36" s="276"/>
      <c r="H36" s="276"/>
      <c r="I36" s="276"/>
      <c r="J36" s="276"/>
      <c r="K36" s="276"/>
      <c r="L36" s="188">
        <v>22</v>
      </c>
      <c r="M36" s="171"/>
      <c r="N36" s="115"/>
      <c r="O36" s="295"/>
      <c r="P36" s="278"/>
      <c r="Q36" s="278"/>
      <c r="R36" s="278"/>
      <c r="S36" s="278"/>
      <c r="T36" s="278"/>
      <c r="U36" s="278"/>
      <c r="V36" s="278"/>
      <c r="W36" s="278"/>
      <c r="X36" s="278"/>
      <c r="Y36" s="278"/>
      <c r="Z36" s="278"/>
      <c r="AA36" s="278"/>
      <c r="AB36" s="446"/>
      <c r="AC36" s="2"/>
      <c r="AD36" s="116"/>
      <c r="AE36" s="116"/>
      <c r="AF36" s="116"/>
      <c r="AG36" s="116"/>
      <c r="AH36" s="116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 t="str">
        <f t="shared" si="0"/>
        <v>HAB</v>
      </c>
      <c r="BO36" s="41" t="s">
        <v>187</v>
      </c>
      <c r="BP36" s="41" t="s">
        <v>275</v>
      </c>
      <c r="BQ36" s="41" t="s">
        <v>276</v>
      </c>
      <c r="BR36" s="37">
        <v>23</v>
      </c>
      <c r="BS36" s="37"/>
      <c r="BT36" s="37"/>
      <c r="BU36" s="37"/>
      <c r="BV36" s="37"/>
      <c r="BW36" s="37"/>
      <c r="BX36" s="37"/>
      <c r="CL36" s="83">
        <v>37</v>
      </c>
      <c r="CM36" s="84" t="s">
        <v>277</v>
      </c>
      <c r="CN36" s="37" t="e">
        <f t="shared" si="37"/>
        <v>#VALUE!</v>
      </c>
      <c r="CO36" s="37" t="e">
        <f t="shared" si="37"/>
        <v>#VALUE!</v>
      </c>
      <c r="CP36" s="38" t="e">
        <f t="shared" si="38"/>
        <v>#VALUE!</v>
      </c>
      <c r="CQ36" s="37" t="e">
        <f t="shared" si="39"/>
        <v>#VALUE!</v>
      </c>
      <c r="CR36" s="65" t="e">
        <f t="shared" si="40"/>
        <v>#VALUE!</v>
      </c>
      <c r="CS36" s="37" t="e">
        <f t="shared" si="41"/>
        <v>#VALUE!</v>
      </c>
      <c r="CT36" s="66" t="e">
        <f t="shared" si="42"/>
        <v>#VALUE!</v>
      </c>
      <c r="CU36" s="64" t="e">
        <f t="shared" si="43"/>
        <v>#VALUE!</v>
      </c>
      <c r="CV36" s="63" t="e">
        <f t="shared" si="5"/>
        <v>#VALUE!</v>
      </c>
      <c r="CW36" s="37" t="e">
        <f t="shared" si="6"/>
        <v>#VALUE!</v>
      </c>
      <c r="CX36" s="37" t="e">
        <f t="shared" si="7"/>
        <v>#VALUE!</v>
      </c>
      <c r="CY36" s="64" t="e">
        <f t="shared" si="8"/>
        <v>#VALUE!</v>
      </c>
    </row>
    <row r="37" spans="1:103" s="84" customFormat="1" ht="15" customHeight="1" x14ac:dyDescent="0.25">
      <c r="A37" s="278"/>
      <c r="B37" s="275" t="s">
        <v>22</v>
      </c>
      <c r="C37" s="276"/>
      <c r="D37" s="276"/>
      <c r="E37" s="276"/>
      <c r="F37" s="276"/>
      <c r="G37" s="276"/>
      <c r="H37" s="276"/>
      <c r="I37" s="276"/>
      <c r="J37" s="276"/>
      <c r="K37" s="276"/>
      <c r="L37" s="115">
        <v>23</v>
      </c>
      <c r="M37" s="171"/>
      <c r="N37" s="115"/>
      <c r="O37" s="295"/>
      <c r="P37" s="278"/>
      <c r="Q37" s="278"/>
      <c r="R37" s="278"/>
      <c r="S37" s="278"/>
      <c r="T37" s="278"/>
      <c r="U37" s="278"/>
      <c r="V37" s="278"/>
      <c r="W37" s="278"/>
      <c r="X37" s="278"/>
      <c r="Y37" s="278"/>
      <c r="Z37" s="278"/>
      <c r="AA37" s="278"/>
      <c r="AB37" s="446"/>
      <c r="AC37" s="2"/>
      <c r="AD37" s="116"/>
      <c r="AE37" s="116"/>
      <c r="AF37" s="116"/>
      <c r="AG37" s="116"/>
      <c r="AH37" s="116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 t="str">
        <f t="shared" si="0"/>
        <v>HAB</v>
      </c>
      <c r="BO37" s="41" t="s">
        <v>200</v>
      </c>
      <c r="BP37" s="41" t="s">
        <v>278</v>
      </c>
      <c r="BQ37" s="41" t="s">
        <v>279</v>
      </c>
      <c r="BR37" s="37">
        <v>23</v>
      </c>
      <c r="BS37" s="37"/>
      <c r="BT37" s="37"/>
      <c r="BU37" s="37"/>
      <c r="BV37" s="37"/>
      <c r="BW37" s="37"/>
      <c r="BX37" s="37"/>
      <c r="CL37" s="63">
        <v>37</v>
      </c>
      <c r="CM37" s="37" t="s">
        <v>277</v>
      </c>
      <c r="CN37" s="38"/>
      <c r="CO37" s="38"/>
      <c r="CP37" s="38"/>
      <c r="CQ37" s="38"/>
      <c r="CR37" s="38"/>
      <c r="CS37" s="38"/>
      <c r="CT37" s="38"/>
      <c r="CU37" s="93"/>
      <c r="CV37" s="63" t="e">
        <f t="shared" ref="CV37:CV63" si="44">COUNTIFS(ranPerfilTM,$CM37,ranProf241,$BF$2,ranCatOcup,$BB$4)</f>
        <v>#VALUE!</v>
      </c>
      <c r="CW37" s="37" t="e">
        <f t="shared" ref="CW37:CW63" si="45">COUNTIFS(ranPerfilTM,$CM37,ranProf241,$BF$2,ranCatOcup,$BB$4,ranSexo,$AT$1)</f>
        <v>#VALUE!</v>
      </c>
      <c r="CX37" s="37" t="e">
        <f t="shared" ref="CX37:CX63" si="46">COUNTIFS(ranPerfilTM,$CM37,ranProf241,$BF$3,ranCatOcup,$BB$4)</f>
        <v>#VALUE!</v>
      </c>
      <c r="CY37" s="64" t="e">
        <f t="shared" ref="CY37:CY63" si="47">COUNTIFS(ranPerfilTM,$CM37,ranProf241,$BF$3,ranCatOcup,$BB$4,ranSexo,$AT$1)</f>
        <v>#VALUE!</v>
      </c>
    </row>
    <row r="38" spans="1:103" s="84" customFormat="1" ht="15" customHeight="1" x14ac:dyDescent="0.25">
      <c r="A38" s="278"/>
      <c r="B38" s="279" t="s">
        <v>26</v>
      </c>
      <c r="C38" s="279"/>
      <c r="D38" s="279"/>
      <c r="E38" s="279"/>
      <c r="F38" s="279"/>
      <c r="G38" s="279"/>
      <c r="H38" s="279"/>
      <c r="I38" s="279"/>
      <c r="J38" s="279"/>
      <c r="K38" s="280"/>
      <c r="L38" s="115">
        <v>24</v>
      </c>
      <c r="M38" s="171"/>
      <c r="N38" s="115"/>
      <c r="O38" s="295"/>
      <c r="P38" s="278"/>
      <c r="Q38" s="278"/>
      <c r="R38" s="278"/>
      <c r="S38" s="278"/>
      <c r="T38" s="278"/>
      <c r="U38" s="278"/>
      <c r="V38" s="278"/>
      <c r="W38" s="278"/>
      <c r="X38" s="278"/>
      <c r="Y38" s="278"/>
      <c r="Z38" s="278"/>
      <c r="AA38" s="278"/>
      <c r="AB38" s="446"/>
      <c r="AC38" s="2"/>
      <c r="AD38" s="36"/>
      <c r="AE38" s="116"/>
      <c r="AF38" s="116"/>
      <c r="AG38" s="116"/>
      <c r="AH38" s="116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 t="str">
        <f t="shared" si="0"/>
        <v>HAB</v>
      </c>
      <c r="BO38" s="41" t="s">
        <v>280</v>
      </c>
      <c r="BP38" s="41" t="s">
        <v>281</v>
      </c>
      <c r="BQ38" s="41" t="s">
        <v>282</v>
      </c>
      <c r="BR38" s="37">
        <v>23</v>
      </c>
      <c r="BS38" s="37"/>
      <c r="BT38" s="37"/>
      <c r="BU38" s="37"/>
      <c r="BV38" s="37"/>
      <c r="BW38" s="37"/>
      <c r="BX38" s="37"/>
      <c r="CL38" s="63">
        <v>37</v>
      </c>
      <c r="CM38" s="37" t="s">
        <v>283</v>
      </c>
      <c r="CN38" s="37" t="e">
        <f t="shared" ref="CN38:CO42" si="48">SUM(CP38,CR38,CT38,CV38,CX38)</f>
        <v>#VALUE!</v>
      </c>
      <c r="CO38" s="37" t="e">
        <f t="shared" si="48"/>
        <v>#VALUE!</v>
      </c>
      <c r="CP38" s="38" t="e">
        <f>COUNTIFS(ranPerfilTM,$CM38,ranProf241,$BF$10,ranCatOcup,$BB$4)</f>
        <v>#VALUE!</v>
      </c>
      <c r="CQ38" s="37" t="e">
        <f>COUNTIFS(ranPerfilTM,$CM38,ranProf241,$BF$10,ranCatOcup,$BB$4,ranSexo,$AT$1)</f>
        <v>#VALUE!</v>
      </c>
      <c r="CR38" s="65" t="e">
        <f>COUNTIFS(ranPerfilTM,$CM38,ranProf241,$BF$5,ranCatOcup,$BB$4)</f>
        <v>#VALUE!</v>
      </c>
      <c r="CS38" s="37" t="e">
        <f>COUNTIFS(ranPerfilTM,$CM38,ranProf241,$BF$5,ranCatOcup,$BB$4,ranSexo,$AT$1)</f>
        <v>#VALUE!</v>
      </c>
      <c r="CT38" s="66" t="e">
        <f>COUNTIFS(ranPerfilTM,$CM38,ranProf241,$BF$7,ranCatOcup,$BB$4)</f>
        <v>#VALUE!</v>
      </c>
      <c r="CU38" s="64" t="e">
        <f>COUNTIFS(ranPerfilTM,$CM38,ranProf241,$BF$7,ranCatOcup,$BB$4,ranSexo,$AT$1)</f>
        <v>#VALUE!</v>
      </c>
      <c r="CV38" s="63" t="e">
        <f t="shared" si="44"/>
        <v>#VALUE!</v>
      </c>
      <c r="CW38" s="37" t="e">
        <f t="shared" si="45"/>
        <v>#VALUE!</v>
      </c>
      <c r="CX38" s="37" t="e">
        <f t="shared" si="46"/>
        <v>#VALUE!</v>
      </c>
      <c r="CY38" s="64" t="e">
        <f t="shared" si="47"/>
        <v>#VALUE!</v>
      </c>
    </row>
    <row r="39" spans="1:103" s="84" customFormat="1" ht="15" customHeight="1" x14ac:dyDescent="0.25">
      <c r="A39" s="278"/>
      <c r="B39" s="280" t="s">
        <v>28</v>
      </c>
      <c r="C39" s="281"/>
      <c r="D39" s="281"/>
      <c r="E39" s="281"/>
      <c r="F39" s="281"/>
      <c r="G39" s="281"/>
      <c r="H39" s="281"/>
      <c r="I39" s="281"/>
      <c r="J39" s="281"/>
      <c r="K39" s="281"/>
      <c r="L39" s="188">
        <v>25</v>
      </c>
      <c r="M39" s="171"/>
      <c r="N39" s="115"/>
      <c r="O39" s="295"/>
      <c r="P39" s="278"/>
      <c r="Q39" s="278"/>
      <c r="R39" s="278"/>
      <c r="S39" s="278"/>
      <c r="T39" s="278"/>
      <c r="U39" s="278"/>
      <c r="V39" s="278"/>
      <c r="W39" s="278"/>
      <c r="X39" s="278"/>
      <c r="Y39" s="278"/>
      <c r="Z39" s="278"/>
      <c r="AA39" s="278"/>
      <c r="AB39" s="446"/>
      <c r="AC39" s="2"/>
      <c r="AD39" s="36"/>
      <c r="AE39" s="116"/>
      <c r="AF39" s="116"/>
      <c r="AG39" s="116"/>
      <c r="AH39" s="116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 t="str">
        <f t="shared" si="0"/>
        <v>HAB</v>
      </c>
      <c r="BO39" s="41" t="s">
        <v>284</v>
      </c>
      <c r="BP39" s="41" t="s">
        <v>285</v>
      </c>
      <c r="BQ39" s="41" t="s">
        <v>286</v>
      </c>
      <c r="BR39" s="37">
        <v>23</v>
      </c>
      <c r="BS39" s="37"/>
      <c r="BT39" s="37"/>
      <c r="BU39" s="37"/>
      <c r="BV39" s="37"/>
      <c r="BW39" s="37"/>
      <c r="BX39" s="37"/>
      <c r="CL39" s="63">
        <v>37</v>
      </c>
      <c r="CM39" s="37" t="s">
        <v>287</v>
      </c>
      <c r="CN39" s="37" t="e">
        <f t="shared" si="48"/>
        <v>#VALUE!</v>
      </c>
      <c r="CO39" s="37" t="e">
        <f t="shared" si="48"/>
        <v>#VALUE!</v>
      </c>
      <c r="CP39" s="38" t="e">
        <f>COUNTIFS(ranPerfilTM,$CM39,ranProf241,$BF$10,ranCatOcup,$BB$4)</f>
        <v>#VALUE!</v>
      </c>
      <c r="CQ39" s="37" t="e">
        <f>COUNTIFS(ranPerfilTM,$CM39,ranProf241,$BF$10,ranCatOcup,$BB$4,ranSexo,$AT$1)</f>
        <v>#VALUE!</v>
      </c>
      <c r="CR39" s="65" t="e">
        <f>COUNTIFS(ranPerfilTM,$CM39,ranProf241,$BF$5,ranCatOcup,$BB$4)</f>
        <v>#VALUE!</v>
      </c>
      <c r="CS39" s="37" t="e">
        <f>COUNTIFS(ranPerfilTM,$CM39,ranProf241,$BF$5,ranCatOcup,$BB$4,ranSexo,$AT$1)</f>
        <v>#VALUE!</v>
      </c>
      <c r="CT39" s="66" t="e">
        <f>COUNTIFS(ranPerfilTM,$CM39,ranProf241,$BF$7,ranCatOcup,$BB$4)</f>
        <v>#VALUE!</v>
      </c>
      <c r="CU39" s="64" t="e">
        <f>COUNTIFS(ranPerfilTM,$CM39,ranProf241,$BF$7,ranCatOcup,$BB$4,ranSexo,$AT$1)</f>
        <v>#VALUE!</v>
      </c>
      <c r="CV39" s="63" t="e">
        <f t="shared" si="44"/>
        <v>#VALUE!</v>
      </c>
      <c r="CW39" s="37" t="e">
        <f t="shared" si="45"/>
        <v>#VALUE!</v>
      </c>
      <c r="CX39" s="37" t="e">
        <f t="shared" si="46"/>
        <v>#VALUE!</v>
      </c>
      <c r="CY39" s="64" t="e">
        <f t="shared" si="47"/>
        <v>#VALUE!</v>
      </c>
    </row>
    <row r="40" spans="1:103" s="84" customFormat="1" ht="15" customHeight="1" x14ac:dyDescent="0.25">
      <c r="A40" s="278"/>
      <c r="B40" s="279" t="s">
        <v>30</v>
      </c>
      <c r="C40" s="279"/>
      <c r="D40" s="279"/>
      <c r="E40" s="279"/>
      <c r="F40" s="279"/>
      <c r="G40" s="279"/>
      <c r="H40" s="279"/>
      <c r="I40" s="279"/>
      <c r="J40" s="279"/>
      <c r="K40" s="280"/>
      <c r="L40" s="115">
        <v>26</v>
      </c>
      <c r="M40" s="171"/>
      <c r="N40" s="115"/>
      <c r="O40" s="295"/>
      <c r="P40" s="278"/>
      <c r="Q40" s="278"/>
      <c r="R40" s="278"/>
      <c r="S40" s="278"/>
      <c r="T40" s="278"/>
      <c r="U40" s="278"/>
      <c r="V40" s="278"/>
      <c r="W40" s="278"/>
      <c r="X40" s="278"/>
      <c r="Y40" s="278"/>
      <c r="Z40" s="278"/>
      <c r="AA40" s="278"/>
      <c r="AB40" s="446"/>
      <c r="AC40" s="2"/>
      <c r="AD40" s="36"/>
      <c r="AE40" s="116"/>
      <c r="AF40" s="116"/>
      <c r="AG40" s="116"/>
      <c r="AH40" s="116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 t="str">
        <f t="shared" si="0"/>
        <v>HAB</v>
      </c>
      <c r="BO40" s="41" t="s">
        <v>288</v>
      </c>
      <c r="BP40" s="41" t="s">
        <v>289</v>
      </c>
      <c r="BQ40" s="41" t="s">
        <v>290</v>
      </c>
      <c r="BR40" s="37">
        <v>23</v>
      </c>
      <c r="BS40" s="37"/>
      <c r="BT40" s="37"/>
      <c r="BU40" s="37"/>
      <c r="BV40" s="37"/>
      <c r="BW40" s="37"/>
      <c r="BX40" s="37"/>
      <c r="CL40" s="63">
        <v>37</v>
      </c>
      <c r="CM40" s="37" t="s">
        <v>291</v>
      </c>
      <c r="CN40" s="37" t="e">
        <f t="shared" si="48"/>
        <v>#VALUE!</v>
      </c>
      <c r="CO40" s="37" t="e">
        <f t="shared" si="48"/>
        <v>#VALUE!</v>
      </c>
      <c r="CP40" s="38" t="e">
        <f>COUNTIFS(ranPerfilTM,$CM40,ranProf241,$BF$10,ranCatOcup,$BB$4)</f>
        <v>#VALUE!</v>
      </c>
      <c r="CQ40" s="37" t="e">
        <f>COUNTIFS(ranPerfilTM,$CM40,ranProf241,$BF$10,ranCatOcup,$BB$4,ranSexo,$AT$1)</f>
        <v>#VALUE!</v>
      </c>
      <c r="CR40" s="65" t="e">
        <f>COUNTIFS(ranPerfilTM,$CM40,ranProf241,$BF$5,ranCatOcup,$BB$4)</f>
        <v>#VALUE!</v>
      </c>
      <c r="CS40" s="37" t="e">
        <f>COUNTIFS(ranPerfilTM,$CM40,ranProf241,$BF$5,ranCatOcup,$BB$4,ranSexo,$AT$1)</f>
        <v>#VALUE!</v>
      </c>
      <c r="CT40" s="66" t="e">
        <f>COUNTIFS(ranPerfilTM,$CM40,ranProf241,$BF$7,ranCatOcup,$BB$4)</f>
        <v>#VALUE!</v>
      </c>
      <c r="CU40" s="64" t="e">
        <f>COUNTIFS(ranPerfilTM,$CM40,ranProf241,$BF$7,ranCatOcup,$BB$4,ranSexo,$AT$1)</f>
        <v>#VALUE!</v>
      </c>
      <c r="CV40" s="63" t="e">
        <f t="shared" si="44"/>
        <v>#VALUE!</v>
      </c>
      <c r="CW40" s="37" t="e">
        <f t="shared" si="45"/>
        <v>#VALUE!</v>
      </c>
      <c r="CX40" s="37" t="e">
        <f t="shared" si="46"/>
        <v>#VALUE!</v>
      </c>
      <c r="CY40" s="64" t="e">
        <f t="shared" si="47"/>
        <v>#VALUE!</v>
      </c>
    </row>
    <row r="41" spans="1:103" s="84" customFormat="1" ht="15" customHeight="1" x14ac:dyDescent="0.25">
      <c r="A41" s="278"/>
      <c r="B41" s="280" t="s">
        <v>31</v>
      </c>
      <c r="C41" s="281"/>
      <c r="D41" s="281"/>
      <c r="E41" s="281"/>
      <c r="F41" s="281"/>
      <c r="G41" s="281"/>
      <c r="H41" s="281"/>
      <c r="I41" s="281"/>
      <c r="J41" s="281"/>
      <c r="K41" s="282"/>
      <c r="L41" s="115">
        <v>27</v>
      </c>
      <c r="M41" s="171"/>
      <c r="N41" s="115"/>
      <c r="O41" s="295"/>
      <c r="P41" s="278"/>
      <c r="Q41" s="278"/>
      <c r="R41" s="278"/>
      <c r="S41" s="278"/>
      <c r="T41" s="278"/>
      <c r="U41" s="278"/>
      <c r="V41" s="278"/>
      <c r="W41" s="278"/>
      <c r="X41" s="278"/>
      <c r="Y41" s="278"/>
      <c r="Z41" s="278"/>
      <c r="AA41" s="278"/>
      <c r="AB41" s="446"/>
      <c r="AC41" s="2"/>
      <c r="AD41" s="36"/>
      <c r="AE41" s="116"/>
      <c r="AF41" s="116"/>
      <c r="AG41" s="116"/>
      <c r="AH41" s="116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 t="str">
        <f t="shared" si="0"/>
        <v>HAB</v>
      </c>
      <c r="BO41" s="41" t="s">
        <v>292</v>
      </c>
      <c r="BP41" s="41" t="s">
        <v>293</v>
      </c>
      <c r="BQ41" s="41" t="s">
        <v>294</v>
      </c>
      <c r="BR41" s="37">
        <v>23</v>
      </c>
      <c r="BS41" s="37"/>
      <c r="BT41" s="37"/>
      <c r="BU41" s="37"/>
      <c r="BV41" s="37"/>
      <c r="BW41" s="37"/>
      <c r="BX41" s="37"/>
      <c r="CL41" s="63">
        <v>38</v>
      </c>
      <c r="CM41" s="37" t="s">
        <v>249</v>
      </c>
      <c r="CN41" s="37" t="e">
        <f t="shared" si="48"/>
        <v>#VALUE!</v>
      </c>
      <c r="CO41" s="37" t="e">
        <f t="shared" si="48"/>
        <v>#VALUE!</v>
      </c>
      <c r="CP41" s="38" t="e">
        <f>COUNTIFS(ranPerfilTM,$CM41,ranProf241,$BF$10,ranCatOcup,$BB$4)</f>
        <v>#VALUE!</v>
      </c>
      <c r="CQ41" s="37" t="e">
        <f>COUNTIFS(ranPerfilTM,$CM41,ranProf241,$BF$10,ranCatOcup,$BB$4,ranSexo,$AT$1)</f>
        <v>#VALUE!</v>
      </c>
      <c r="CR41" s="65" t="e">
        <f>COUNTIFS(ranPerfilTM,$CM41,ranProf241,$BF$5,ranCatOcup,$BB$4)</f>
        <v>#VALUE!</v>
      </c>
      <c r="CS41" s="37" t="e">
        <f>COUNTIFS(ranPerfilTM,$CM41,ranProf241,$BF$5,ranCatOcup,$BB$4,ranSexo,$AT$1)</f>
        <v>#VALUE!</v>
      </c>
      <c r="CT41" s="66" t="e">
        <f>COUNTIFS(ranPerfilTM,$CM41,ranProf241,$BF$7,ranCatOcup,$BB$4)</f>
        <v>#VALUE!</v>
      </c>
      <c r="CU41" s="64" t="e">
        <f>COUNTIFS(ranPerfilTM,$CM41,ranProf241,$BF$7,ranCatOcup,$BB$4,ranSexo,$AT$1)</f>
        <v>#VALUE!</v>
      </c>
      <c r="CV41" s="63" t="e">
        <f t="shared" si="44"/>
        <v>#VALUE!</v>
      </c>
      <c r="CW41" s="37" t="e">
        <f t="shared" si="45"/>
        <v>#VALUE!</v>
      </c>
      <c r="CX41" s="37" t="e">
        <f t="shared" si="46"/>
        <v>#VALUE!</v>
      </c>
      <c r="CY41" s="64" t="e">
        <f t="shared" si="47"/>
        <v>#VALUE!</v>
      </c>
    </row>
    <row r="42" spans="1:103" s="84" customFormat="1" ht="15.75" customHeight="1" x14ac:dyDescent="0.25">
      <c r="A42" s="278"/>
      <c r="B42" s="283" t="s">
        <v>32</v>
      </c>
      <c r="C42" s="284"/>
      <c r="D42" s="284"/>
      <c r="E42" s="284"/>
      <c r="F42" s="284"/>
      <c r="G42" s="284"/>
      <c r="H42" s="284"/>
      <c r="I42" s="284"/>
      <c r="J42" s="284"/>
      <c r="K42" s="284"/>
      <c r="L42" s="188">
        <v>28</v>
      </c>
      <c r="M42" s="171"/>
      <c r="N42" s="115"/>
      <c r="O42" s="295"/>
      <c r="P42" s="278"/>
      <c r="Q42" s="278"/>
      <c r="R42" s="278"/>
      <c r="S42" s="278"/>
      <c r="T42" s="278"/>
      <c r="U42" s="278"/>
      <c r="V42" s="278"/>
      <c r="W42" s="278"/>
      <c r="X42" s="278"/>
      <c r="Y42" s="278"/>
      <c r="Z42" s="278"/>
      <c r="AA42" s="278"/>
      <c r="AB42" s="446"/>
      <c r="AC42" s="2"/>
      <c r="AD42" s="36"/>
      <c r="AE42" s="116"/>
      <c r="AF42" s="116"/>
      <c r="AG42" s="116"/>
      <c r="AH42" s="116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 t="str">
        <f t="shared" si="0"/>
        <v>MAY</v>
      </c>
      <c r="BO42" s="41" t="s">
        <v>111</v>
      </c>
      <c r="BP42" s="41" t="s">
        <v>295</v>
      </c>
      <c r="BQ42" s="41" t="s">
        <v>296</v>
      </c>
      <c r="BR42" s="37">
        <v>24</v>
      </c>
      <c r="BS42" s="37"/>
      <c r="BT42" s="37"/>
      <c r="BU42" s="37"/>
      <c r="BV42" s="37"/>
      <c r="BW42" s="37"/>
      <c r="BX42" s="37"/>
      <c r="CL42" s="83">
        <v>38</v>
      </c>
      <c r="CM42" s="84" t="s">
        <v>297</v>
      </c>
      <c r="CN42" s="37" t="e">
        <f t="shared" si="48"/>
        <v>#VALUE!</v>
      </c>
      <c r="CO42" s="37" t="e">
        <f t="shared" si="48"/>
        <v>#VALUE!</v>
      </c>
      <c r="CP42" s="38" t="e">
        <f>COUNTIFS(ranPerfilTM,$CM42,ranProf241,$BF$10,ranCatOcup,$BB$4)</f>
        <v>#VALUE!</v>
      </c>
      <c r="CQ42" s="37" t="e">
        <f>COUNTIFS(ranPerfilTM,$CM42,ranProf241,$BF$10,ranCatOcup,$BB$4,ranSexo,$AT$1)</f>
        <v>#VALUE!</v>
      </c>
      <c r="CR42" s="65" t="e">
        <f>COUNTIFS(ranPerfilTM,$CM42,ranProf241,$BF$5,ranCatOcup,$BB$4)</f>
        <v>#VALUE!</v>
      </c>
      <c r="CS42" s="37" t="e">
        <f>COUNTIFS(ranPerfilTM,$CM42,ranProf241,$BF$5,ranCatOcup,$BB$4,ranSexo,$AT$1)</f>
        <v>#VALUE!</v>
      </c>
      <c r="CT42" s="66" t="e">
        <f>COUNTIFS(ranPerfilTM,$CM42,ranProf241,$BF$7,ranCatOcup,$BB$4)</f>
        <v>#VALUE!</v>
      </c>
      <c r="CU42" s="64" t="e">
        <f>COUNTIFS(ranPerfilTM,$CM42,ranProf241,$BF$7,ranCatOcup,$BB$4,ranSexo,$AT$1)</f>
        <v>#VALUE!</v>
      </c>
      <c r="CV42" s="63" t="e">
        <f t="shared" si="44"/>
        <v>#VALUE!</v>
      </c>
      <c r="CW42" s="37" t="e">
        <f t="shared" si="45"/>
        <v>#VALUE!</v>
      </c>
      <c r="CX42" s="37" t="e">
        <f t="shared" si="46"/>
        <v>#VALUE!</v>
      </c>
      <c r="CY42" s="64" t="e">
        <f t="shared" si="47"/>
        <v>#VALUE!</v>
      </c>
    </row>
    <row r="43" spans="1:103" s="84" customFormat="1" ht="15.75" customHeight="1" thickBot="1" x14ac:dyDescent="0.3">
      <c r="A43" s="278"/>
      <c r="B43" s="285" t="s">
        <v>34</v>
      </c>
      <c r="C43" s="285"/>
      <c r="D43" s="285"/>
      <c r="E43" s="285"/>
      <c r="F43" s="285"/>
      <c r="G43" s="285"/>
      <c r="H43" s="285"/>
      <c r="I43" s="285"/>
      <c r="J43" s="285"/>
      <c r="K43" s="286"/>
      <c r="L43" s="128">
        <v>29</v>
      </c>
      <c r="M43" s="183"/>
      <c r="N43" s="180"/>
      <c r="O43" s="447"/>
      <c r="P43" s="448"/>
      <c r="Q43" s="448"/>
      <c r="R43" s="448"/>
      <c r="S43" s="448"/>
      <c r="T43" s="448"/>
      <c r="U43" s="448"/>
      <c r="V43" s="448"/>
      <c r="W43" s="448"/>
      <c r="X43" s="448"/>
      <c r="Y43" s="448"/>
      <c r="Z43" s="448"/>
      <c r="AA43" s="448"/>
      <c r="AB43" s="449"/>
      <c r="AC43" s="18"/>
      <c r="AD43" s="36"/>
      <c r="AE43" s="116"/>
      <c r="AF43" s="116"/>
      <c r="AG43" s="116"/>
      <c r="AH43" s="116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7"/>
      <c r="BM43" s="37"/>
      <c r="BN43" s="37" t="str">
        <f t="shared" si="0"/>
        <v>MAY</v>
      </c>
      <c r="BO43" s="41" t="s">
        <v>123</v>
      </c>
      <c r="BP43" s="41" t="s">
        <v>298</v>
      </c>
      <c r="BQ43" s="41" t="s">
        <v>299</v>
      </c>
      <c r="BR43" s="37">
        <v>24</v>
      </c>
      <c r="BS43" s="37"/>
      <c r="BT43" s="37"/>
      <c r="BU43" s="37"/>
      <c r="BV43" s="37"/>
      <c r="BW43" s="37"/>
      <c r="BX43" s="37"/>
      <c r="CL43" s="63">
        <v>38</v>
      </c>
      <c r="CM43" s="37" t="s">
        <v>297</v>
      </c>
      <c r="CN43" s="38"/>
      <c r="CO43" s="38"/>
      <c r="CP43" s="38"/>
      <c r="CQ43" s="38"/>
      <c r="CR43" s="38"/>
      <c r="CS43" s="38"/>
      <c r="CT43" s="38"/>
      <c r="CU43" s="93"/>
      <c r="CV43" s="63" t="e">
        <f t="shared" si="44"/>
        <v>#VALUE!</v>
      </c>
      <c r="CW43" s="37" t="e">
        <f t="shared" si="45"/>
        <v>#VALUE!</v>
      </c>
      <c r="CX43" s="37" t="e">
        <f t="shared" si="46"/>
        <v>#VALUE!</v>
      </c>
      <c r="CY43" s="64" t="e">
        <f t="shared" si="47"/>
        <v>#VALUE!</v>
      </c>
    </row>
    <row r="44" spans="1:103" s="84" customFormat="1" ht="15.75" customHeight="1" x14ac:dyDescent="0.25">
      <c r="A44" s="264"/>
      <c r="B44" s="265"/>
      <c r="C44" s="265"/>
      <c r="D44" s="265"/>
      <c r="E44" s="265"/>
      <c r="F44" s="265"/>
      <c r="G44" s="265"/>
      <c r="H44" s="265"/>
      <c r="I44" s="265"/>
      <c r="J44" s="265"/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5"/>
      <c r="V44" s="265"/>
      <c r="W44" s="265"/>
      <c r="X44" s="265"/>
      <c r="Y44" s="265"/>
      <c r="Z44" s="265"/>
      <c r="AA44" s="265"/>
      <c r="AB44" s="266"/>
      <c r="AC44" s="2"/>
      <c r="AD44" s="36"/>
      <c r="AE44" s="116"/>
      <c r="AF44" s="116"/>
      <c r="AG44" s="116"/>
      <c r="AH44" s="116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7"/>
      <c r="BN44" s="37" t="str">
        <f t="shared" si="0"/>
        <v>MAY</v>
      </c>
      <c r="BO44" s="41" t="s">
        <v>132</v>
      </c>
      <c r="BP44" s="41" t="s">
        <v>300</v>
      </c>
      <c r="BQ44" s="41" t="s">
        <v>301</v>
      </c>
      <c r="BR44" s="37">
        <v>24</v>
      </c>
      <c r="BS44" s="37"/>
      <c r="BT44" s="37"/>
      <c r="BU44" s="37"/>
      <c r="BV44" s="37"/>
      <c r="BW44" s="37"/>
      <c r="BX44" s="37"/>
      <c r="CL44" s="63">
        <v>38</v>
      </c>
      <c r="CM44" s="37" t="s">
        <v>302</v>
      </c>
      <c r="CN44" s="37" t="e">
        <f t="shared" ref="CN44:CO47" si="49">SUM(CP44,CR44,CT44,CV44,CX44)</f>
        <v>#VALUE!</v>
      </c>
      <c r="CO44" s="37" t="e">
        <f t="shared" si="49"/>
        <v>#VALUE!</v>
      </c>
      <c r="CP44" s="38" t="e">
        <f>COUNTIFS(ranPerfilTM,$CM44,ranProf241,$BF$10,ranCatOcup,$BB$4)</f>
        <v>#VALUE!</v>
      </c>
      <c r="CQ44" s="37" t="e">
        <f>COUNTIFS(ranPerfilTM,$CM44,ranProf241,$BF$10,ranCatOcup,$BB$4,ranSexo,$AT$1)</f>
        <v>#VALUE!</v>
      </c>
      <c r="CR44" s="65" t="e">
        <f>COUNTIFS(ranPerfilTM,$CM44,ranProf241,$BF$5,ranCatOcup,$BB$4)</f>
        <v>#VALUE!</v>
      </c>
      <c r="CS44" s="37" t="e">
        <f>COUNTIFS(ranPerfilTM,$CM44,ranProf241,$BF$5,ranCatOcup,$BB$4,ranSexo,$AT$1)</f>
        <v>#VALUE!</v>
      </c>
      <c r="CT44" s="66" t="e">
        <f>COUNTIFS(ranPerfilTM,$CM44,ranProf241,$BF$7,ranCatOcup,$BB$4)</f>
        <v>#VALUE!</v>
      </c>
      <c r="CU44" s="64" t="e">
        <f>COUNTIFS(ranPerfilTM,$CM44,ranProf241,$BF$7,ranCatOcup,$BB$4,ranSexo,$AT$1)</f>
        <v>#VALUE!</v>
      </c>
      <c r="CV44" s="63" t="e">
        <f t="shared" si="44"/>
        <v>#VALUE!</v>
      </c>
      <c r="CW44" s="37" t="e">
        <f t="shared" si="45"/>
        <v>#VALUE!</v>
      </c>
      <c r="CX44" s="37" t="e">
        <f t="shared" si="46"/>
        <v>#VALUE!</v>
      </c>
      <c r="CY44" s="64" t="e">
        <f t="shared" si="47"/>
        <v>#VALUE!</v>
      </c>
    </row>
    <row r="45" spans="1:103" s="84" customFormat="1" ht="15.75" customHeight="1" thickBot="1" x14ac:dyDescent="0.3">
      <c r="A45" s="267"/>
      <c r="B45" s="268"/>
      <c r="C45" s="268"/>
      <c r="D45" s="268"/>
      <c r="E45" s="268"/>
      <c r="F45" s="268"/>
      <c r="G45" s="268"/>
      <c r="H45" s="268"/>
      <c r="I45" s="268"/>
      <c r="J45" s="268"/>
      <c r="K45" s="268"/>
      <c r="L45" s="268"/>
      <c r="M45" s="268"/>
      <c r="N45" s="268"/>
      <c r="O45" s="268"/>
      <c r="P45" s="268"/>
      <c r="Q45" s="268"/>
      <c r="R45" s="268"/>
      <c r="S45" s="268"/>
      <c r="T45" s="268"/>
      <c r="U45" s="268"/>
      <c r="V45" s="268"/>
      <c r="W45" s="268"/>
      <c r="X45" s="268"/>
      <c r="Y45" s="268"/>
      <c r="Z45" s="268"/>
      <c r="AA45" s="268"/>
      <c r="AB45" s="269"/>
      <c r="AC45" s="2"/>
      <c r="AD45" s="36"/>
      <c r="AE45" s="116"/>
      <c r="AF45" s="116"/>
      <c r="AG45" s="116"/>
      <c r="AH45" s="116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  <c r="BM45" s="37"/>
      <c r="BN45" s="37" t="str">
        <f t="shared" si="0"/>
        <v>MAY</v>
      </c>
      <c r="BO45" s="41" t="s">
        <v>140</v>
      </c>
      <c r="BP45" s="41" t="s">
        <v>303</v>
      </c>
      <c r="BQ45" s="41" t="s">
        <v>304</v>
      </c>
      <c r="BR45" s="37">
        <v>24</v>
      </c>
      <c r="BS45" s="37"/>
      <c r="BT45" s="37"/>
      <c r="BU45" s="37"/>
      <c r="BV45" s="37"/>
      <c r="BW45" s="37"/>
      <c r="BX45" s="37"/>
      <c r="CL45" s="63">
        <v>39</v>
      </c>
      <c r="CM45" s="37" t="s">
        <v>305</v>
      </c>
      <c r="CN45" s="37" t="e">
        <f t="shared" si="49"/>
        <v>#VALUE!</v>
      </c>
      <c r="CO45" s="37" t="e">
        <f t="shared" si="49"/>
        <v>#VALUE!</v>
      </c>
      <c r="CP45" s="38" t="e">
        <f>COUNTIFS(ranPerfilTM,$CM45,ranProf241,$BF$10,ranCatOcup,$BB$4)</f>
        <v>#VALUE!</v>
      </c>
      <c r="CQ45" s="37" t="e">
        <f>COUNTIFS(ranPerfilTM,$CM45,ranProf241,$BF$10,ranCatOcup,$BB$4,ranSexo,$AT$1)</f>
        <v>#VALUE!</v>
      </c>
      <c r="CR45" s="65" t="e">
        <f>COUNTIFS(ranPerfilTM,$CM45,ranProf241,$BF$5,ranCatOcup,$BB$4)</f>
        <v>#VALUE!</v>
      </c>
      <c r="CS45" s="37" t="e">
        <f>COUNTIFS(ranPerfilTM,$CM45,ranProf241,$BF$5,ranCatOcup,$BB$4,ranSexo,$AT$1)</f>
        <v>#VALUE!</v>
      </c>
      <c r="CT45" s="66" t="e">
        <f>COUNTIFS(ranPerfilTM,$CM45,ranProf241,$BF$7,ranCatOcup,$BB$4)</f>
        <v>#VALUE!</v>
      </c>
      <c r="CU45" s="64" t="e">
        <f>COUNTIFS(ranPerfilTM,$CM45,ranProf241,$BF$7,ranCatOcup,$BB$4,ranSexo,$AT$1)</f>
        <v>#VALUE!</v>
      </c>
      <c r="CV45" s="63" t="e">
        <f t="shared" si="44"/>
        <v>#VALUE!</v>
      </c>
      <c r="CW45" s="37" t="e">
        <f t="shared" si="45"/>
        <v>#VALUE!</v>
      </c>
      <c r="CX45" s="37" t="e">
        <f t="shared" si="46"/>
        <v>#VALUE!</v>
      </c>
      <c r="CY45" s="64" t="e">
        <f t="shared" si="47"/>
        <v>#VALUE!</v>
      </c>
    </row>
    <row r="46" spans="1:103" s="84" customFormat="1" ht="15.75" thickBot="1" x14ac:dyDescent="0.3">
      <c r="A46" s="304" t="s">
        <v>48</v>
      </c>
      <c r="B46" s="305"/>
      <c r="C46" s="305"/>
      <c r="D46" s="305"/>
      <c r="E46" s="305"/>
      <c r="F46" s="305"/>
      <c r="G46" s="305"/>
      <c r="H46" s="305"/>
      <c r="I46" s="305"/>
      <c r="J46" s="305"/>
      <c r="K46" s="305"/>
      <c r="L46" s="305"/>
      <c r="M46" s="305"/>
      <c r="N46" s="305"/>
      <c r="O46" s="305"/>
      <c r="P46" s="305"/>
      <c r="Q46" s="305"/>
      <c r="R46" s="305"/>
      <c r="S46" s="305"/>
      <c r="T46" s="305"/>
      <c r="U46" s="305"/>
      <c r="V46" s="305"/>
      <c r="W46" s="305"/>
      <c r="X46" s="305"/>
      <c r="Y46" s="305"/>
      <c r="Z46" s="305"/>
      <c r="AA46" s="305"/>
      <c r="AB46" s="306"/>
      <c r="AC46" s="2"/>
      <c r="AD46" s="36"/>
      <c r="AE46" s="116"/>
      <c r="AF46" s="116"/>
      <c r="AG46" s="116"/>
      <c r="AH46" s="116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 t="str">
        <f t="shared" si="0"/>
        <v>MAY</v>
      </c>
      <c r="BO46" s="41" t="s">
        <v>148</v>
      </c>
      <c r="BP46" s="41" t="s">
        <v>306</v>
      </c>
      <c r="BQ46" s="41" t="s">
        <v>307</v>
      </c>
      <c r="BR46" s="37">
        <v>24</v>
      </c>
      <c r="BS46" s="37"/>
      <c r="BT46" s="37"/>
      <c r="BU46" s="37"/>
      <c r="BV46" s="37"/>
      <c r="BW46" s="37"/>
      <c r="BX46" s="37"/>
      <c r="CL46" s="63">
        <v>39</v>
      </c>
      <c r="CM46" s="37" t="s">
        <v>242</v>
      </c>
      <c r="CN46" s="37" t="e">
        <f t="shared" si="49"/>
        <v>#VALUE!</v>
      </c>
      <c r="CO46" s="37" t="e">
        <f t="shared" si="49"/>
        <v>#VALUE!</v>
      </c>
      <c r="CP46" s="38" t="e">
        <f>COUNTIFS(ranPerfilTM,$CM46,ranProf241,$BF$10,ranCatOcup,$BB$4)</f>
        <v>#VALUE!</v>
      </c>
      <c r="CQ46" s="37" t="e">
        <f>COUNTIFS(ranPerfilTM,$CM46,ranProf241,$BF$10,ranCatOcup,$BB$4,ranSexo,$AT$1)</f>
        <v>#VALUE!</v>
      </c>
      <c r="CR46" s="65" t="e">
        <f>COUNTIFS(ranPerfilTM,$CM46,ranProf241,$BF$5,ranCatOcup,$BB$4)</f>
        <v>#VALUE!</v>
      </c>
      <c r="CS46" s="37" t="e">
        <f>COUNTIFS(ranPerfilTM,$CM46,ranProf241,$BF$5,ranCatOcup,$BB$4,ranSexo,$AT$1)</f>
        <v>#VALUE!</v>
      </c>
      <c r="CT46" s="66" t="e">
        <f>COUNTIFS(ranPerfilTM,$CM46,ranProf241,$BF$7,ranCatOcup,$BB$4)</f>
        <v>#VALUE!</v>
      </c>
      <c r="CU46" s="64" t="e">
        <f>COUNTIFS(ranPerfilTM,$CM46,ranProf241,$BF$7,ranCatOcup,$BB$4,ranSexo,$AT$1)</f>
        <v>#VALUE!</v>
      </c>
      <c r="CV46" s="63" t="e">
        <f t="shared" si="44"/>
        <v>#VALUE!</v>
      </c>
      <c r="CW46" s="37" t="e">
        <f t="shared" si="45"/>
        <v>#VALUE!</v>
      </c>
      <c r="CX46" s="37" t="e">
        <f t="shared" si="46"/>
        <v>#VALUE!</v>
      </c>
      <c r="CY46" s="64" t="e">
        <f t="shared" si="47"/>
        <v>#VALUE!</v>
      </c>
    </row>
    <row r="47" spans="1:103" s="84" customFormat="1" ht="15" customHeight="1" x14ac:dyDescent="0.25">
      <c r="A47" s="325" t="s">
        <v>49</v>
      </c>
      <c r="B47" s="326"/>
      <c r="C47" s="327"/>
      <c r="D47" s="334" t="s">
        <v>50</v>
      </c>
      <c r="E47" s="317"/>
      <c r="F47" s="317"/>
      <c r="G47" s="317"/>
      <c r="H47" s="317"/>
      <c r="I47" s="317"/>
      <c r="J47" s="317"/>
      <c r="K47" s="335"/>
      <c r="L47" s="19">
        <v>44</v>
      </c>
      <c r="M47" s="131"/>
      <c r="N47" s="32"/>
      <c r="O47" s="307" t="s">
        <v>647</v>
      </c>
      <c r="P47" s="308"/>
      <c r="Q47" s="309"/>
      <c r="R47" s="316" t="s">
        <v>648</v>
      </c>
      <c r="S47" s="317"/>
      <c r="T47" s="317"/>
      <c r="U47" s="317"/>
      <c r="V47" s="317"/>
      <c r="W47" s="317"/>
      <c r="X47" s="317"/>
      <c r="Y47" s="318"/>
      <c r="Z47" s="19">
        <v>48</v>
      </c>
      <c r="AA47" s="132"/>
      <c r="AB47" s="133"/>
      <c r="AC47" s="2"/>
      <c r="AD47" s="36"/>
      <c r="AE47" s="116"/>
      <c r="AF47" s="116"/>
      <c r="AG47" s="116"/>
      <c r="AH47" s="116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 t="str">
        <f t="shared" si="0"/>
        <v>MAY</v>
      </c>
      <c r="BO47" s="41" t="s">
        <v>155</v>
      </c>
      <c r="BP47" s="41" t="s">
        <v>308</v>
      </c>
      <c r="BQ47" s="41" t="s">
        <v>309</v>
      </c>
      <c r="BR47" s="37">
        <v>24</v>
      </c>
      <c r="BS47" s="37"/>
      <c r="BT47" s="37"/>
      <c r="BU47" s="37"/>
      <c r="BV47" s="37"/>
      <c r="BW47" s="37"/>
      <c r="BX47" s="37"/>
      <c r="CL47" s="83">
        <v>39</v>
      </c>
      <c r="CM47" s="84" t="s">
        <v>310</v>
      </c>
      <c r="CN47" s="37" t="e">
        <f t="shared" si="49"/>
        <v>#VALUE!</v>
      </c>
      <c r="CO47" s="37" t="e">
        <f t="shared" si="49"/>
        <v>#VALUE!</v>
      </c>
      <c r="CP47" s="38" t="e">
        <f>COUNTIFS(ranPerfilTM,$CM47,ranProf241,$BF$10,ranCatOcup,$BB$4)</f>
        <v>#VALUE!</v>
      </c>
      <c r="CQ47" s="37" t="e">
        <f>COUNTIFS(ranPerfilTM,$CM47,ranProf241,$BF$10,ranCatOcup,$BB$4,ranSexo,$AT$1)</f>
        <v>#VALUE!</v>
      </c>
      <c r="CR47" s="65" t="e">
        <f>COUNTIFS(ranPerfilTM,$CM47,ranProf241,$BF$5,ranCatOcup,$BB$4)</f>
        <v>#VALUE!</v>
      </c>
      <c r="CS47" s="37" t="e">
        <f>COUNTIFS(ranPerfilTM,$CM47,ranProf241,$BF$5,ranCatOcup,$BB$4,ranSexo,$AT$1)</f>
        <v>#VALUE!</v>
      </c>
      <c r="CT47" s="66" t="e">
        <f>COUNTIFS(ranPerfilTM,$CM47,ranProf241,$BF$7,ranCatOcup,$BB$4)</f>
        <v>#VALUE!</v>
      </c>
      <c r="CU47" s="64" t="e">
        <f>COUNTIFS(ranPerfilTM,$CM47,ranProf241,$BF$7,ranCatOcup,$BB$4,ranSexo,$AT$1)</f>
        <v>#VALUE!</v>
      </c>
      <c r="CV47" s="63" t="e">
        <f t="shared" si="44"/>
        <v>#VALUE!</v>
      </c>
      <c r="CW47" s="37" t="e">
        <f t="shared" si="45"/>
        <v>#VALUE!</v>
      </c>
      <c r="CX47" s="37" t="e">
        <f t="shared" si="46"/>
        <v>#VALUE!</v>
      </c>
      <c r="CY47" s="64" t="e">
        <f t="shared" si="47"/>
        <v>#VALUE!</v>
      </c>
    </row>
    <row r="48" spans="1:103" s="84" customFormat="1" x14ac:dyDescent="0.25">
      <c r="A48" s="328"/>
      <c r="B48" s="329"/>
      <c r="C48" s="330"/>
      <c r="D48" s="336" t="s">
        <v>51</v>
      </c>
      <c r="E48" s="320"/>
      <c r="F48" s="320"/>
      <c r="G48" s="320"/>
      <c r="H48" s="320"/>
      <c r="I48" s="320"/>
      <c r="J48" s="320"/>
      <c r="K48" s="337"/>
      <c r="L48" s="15">
        <v>45</v>
      </c>
      <c r="M48" s="119"/>
      <c r="N48" s="34"/>
      <c r="O48" s="310"/>
      <c r="P48" s="311"/>
      <c r="Q48" s="312"/>
      <c r="R48" s="319" t="s">
        <v>649</v>
      </c>
      <c r="S48" s="320"/>
      <c r="T48" s="320"/>
      <c r="U48" s="320"/>
      <c r="V48" s="320"/>
      <c r="W48" s="320"/>
      <c r="X48" s="320"/>
      <c r="Y48" s="321"/>
      <c r="Z48" s="15">
        <v>49</v>
      </c>
      <c r="AA48" s="114"/>
      <c r="AB48" s="134"/>
      <c r="AC48" s="2"/>
      <c r="AD48" s="36"/>
      <c r="AE48" s="116"/>
      <c r="AF48" s="116"/>
      <c r="AG48" s="116"/>
      <c r="AH48" s="116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7"/>
      <c r="BN48" s="37" t="str">
        <f t="shared" si="0"/>
        <v>MAY</v>
      </c>
      <c r="BO48" s="41" t="s">
        <v>163</v>
      </c>
      <c r="BP48" s="41" t="s">
        <v>311</v>
      </c>
      <c r="BQ48" s="41" t="s">
        <v>312</v>
      </c>
      <c r="BR48" s="37">
        <v>24</v>
      </c>
      <c r="BS48" s="37"/>
      <c r="BT48" s="37"/>
      <c r="BU48" s="37"/>
      <c r="BV48" s="37"/>
      <c r="BW48" s="37"/>
      <c r="BX48" s="37"/>
      <c r="CL48" s="63">
        <v>39</v>
      </c>
      <c r="CM48" s="37" t="s">
        <v>310</v>
      </c>
      <c r="CN48" s="38"/>
      <c r="CO48" s="38"/>
      <c r="CP48" s="38"/>
      <c r="CQ48" s="38"/>
      <c r="CR48" s="38"/>
      <c r="CS48" s="38"/>
      <c r="CT48" s="38"/>
      <c r="CU48" s="93"/>
      <c r="CV48" s="63" t="e">
        <f t="shared" si="44"/>
        <v>#VALUE!</v>
      </c>
      <c r="CW48" s="37" t="e">
        <f t="shared" si="45"/>
        <v>#VALUE!</v>
      </c>
      <c r="CX48" s="37" t="e">
        <f t="shared" si="46"/>
        <v>#VALUE!</v>
      </c>
      <c r="CY48" s="64" t="e">
        <f t="shared" si="47"/>
        <v>#VALUE!</v>
      </c>
    </row>
    <row r="49" spans="1:103" s="84" customFormat="1" ht="15.75" thickBot="1" x14ac:dyDescent="0.3">
      <c r="A49" s="328"/>
      <c r="B49" s="329"/>
      <c r="C49" s="330"/>
      <c r="D49" s="336" t="s">
        <v>52</v>
      </c>
      <c r="E49" s="320"/>
      <c r="F49" s="320"/>
      <c r="G49" s="320"/>
      <c r="H49" s="320"/>
      <c r="I49" s="320"/>
      <c r="J49" s="320"/>
      <c r="K49" s="337"/>
      <c r="L49" s="15">
        <v>46</v>
      </c>
      <c r="M49" s="119"/>
      <c r="N49" s="34"/>
      <c r="O49" s="313"/>
      <c r="P49" s="314"/>
      <c r="Q49" s="315"/>
      <c r="R49" s="322"/>
      <c r="S49" s="323"/>
      <c r="T49" s="323"/>
      <c r="U49" s="323"/>
      <c r="V49" s="323"/>
      <c r="W49" s="323"/>
      <c r="X49" s="323"/>
      <c r="Y49" s="324"/>
      <c r="Z49" s="20"/>
      <c r="AA49" s="135"/>
      <c r="AB49" s="136"/>
      <c r="AC49" s="2"/>
      <c r="AD49" s="36"/>
      <c r="AE49" s="116"/>
      <c r="AF49" s="116"/>
      <c r="AG49" s="116"/>
      <c r="AH49" s="116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  <c r="BM49" s="37"/>
      <c r="BN49" s="37" t="str">
        <f t="shared" si="0"/>
        <v>MAY</v>
      </c>
      <c r="BO49" s="41" t="s">
        <v>170</v>
      </c>
      <c r="BP49" s="41" t="s">
        <v>313</v>
      </c>
      <c r="BQ49" s="41" t="s">
        <v>314</v>
      </c>
      <c r="BR49" s="37">
        <v>24</v>
      </c>
      <c r="BS49" s="37"/>
      <c r="BT49" s="37"/>
      <c r="BU49" s="37"/>
      <c r="BV49" s="37"/>
      <c r="BW49" s="37"/>
      <c r="BX49" s="37"/>
      <c r="CL49" s="83">
        <v>39</v>
      </c>
      <c r="CM49" s="84" t="s">
        <v>315</v>
      </c>
      <c r="CN49" s="37" t="e">
        <f>SUM(CP49,CR49,CT49,CV49,CX49)</f>
        <v>#VALUE!</v>
      </c>
      <c r="CO49" s="37" t="e">
        <f>SUM(CQ49,CS49,CU49,CW49,CY49)</f>
        <v>#VALUE!</v>
      </c>
      <c r="CP49" s="38" t="e">
        <f>COUNTIFS(ranPerfilTM,$CM49,ranProf241,$BF$10,ranCatOcup,$BB$4)</f>
        <v>#VALUE!</v>
      </c>
      <c r="CQ49" s="37" t="e">
        <f>COUNTIFS(ranPerfilTM,$CM49,ranProf241,$BF$10,ranCatOcup,$BB$4,ranSexo,$AT$1)</f>
        <v>#VALUE!</v>
      </c>
      <c r="CR49" s="65" t="e">
        <f>COUNTIFS(ranPerfilTM,$CM49,ranProf241,$BF$5,ranCatOcup,$BB$4)</f>
        <v>#VALUE!</v>
      </c>
      <c r="CS49" s="37" t="e">
        <f>COUNTIFS(ranPerfilTM,$CM49,ranProf241,$BF$5,ranCatOcup,$BB$4,ranSexo,$AT$1)</f>
        <v>#VALUE!</v>
      </c>
      <c r="CT49" s="66" t="e">
        <f>COUNTIFS(ranPerfilTM,$CM49,ranProf241,$BF$7,ranCatOcup,$BB$4)</f>
        <v>#VALUE!</v>
      </c>
      <c r="CU49" s="64" t="e">
        <f>COUNTIFS(ranPerfilTM,$CM49,ranProf241,$BF$7,ranCatOcup,$BB$4,ranSexo,$AT$1)</f>
        <v>#VALUE!</v>
      </c>
      <c r="CV49" s="63" t="e">
        <f t="shared" si="44"/>
        <v>#VALUE!</v>
      </c>
      <c r="CW49" s="37" t="e">
        <f t="shared" si="45"/>
        <v>#VALUE!</v>
      </c>
      <c r="CX49" s="37" t="e">
        <f t="shared" si="46"/>
        <v>#VALUE!</v>
      </c>
      <c r="CY49" s="64" t="e">
        <f t="shared" si="47"/>
        <v>#VALUE!</v>
      </c>
    </row>
    <row r="50" spans="1:103" ht="15.75" thickBot="1" x14ac:dyDescent="0.3">
      <c r="A50" s="331"/>
      <c r="B50" s="332"/>
      <c r="C50" s="333"/>
      <c r="D50" s="338" t="s">
        <v>53</v>
      </c>
      <c r="E50" s="323"/>
      <c r="F50" s="323"/>
      <c r="G50" s="323"/>
      <c r="H50" s="323"/>
      <c r="I50" s="323"/>
      <c r="J50" s="323"/>
      <c r="K50" s="339"/>
      <c r="L50" s="20">
        <v>47</v>
      </c>
      <c r="M50" s="137"/>
      <c r="N50" s="33"/>
      <c r="O50" s="340" t="s">
        <v>54</v>
      </c>
      <c r="P50" s="341"/>
      <c r="Q50" s="341"/>
      <c r="R50" s="341"/>
      <c r="S50" s="341"/>
      <c r="T50" s="341"/>
      <c r="U50" s="341"/>
      <c r="V50" s="341"/>
      <c r="W50" s="341"/>
      <c r="X50" s="341"/>
      <c r="Y50" s="342"/>
      <c r="Z50" s="139">
        <v>50</v>
      </c>
      <c r="AA50" s="138">
        <f>+AA48+AA47+AA49</f>
        <v>0</v>
      </c>
      <c r="AB50" s="139">
        <f>SUM(M47:M50)</f>
        <v>0</v>
      </c>
      <c r="BN50" s="37" t="str">
        <f t="shared" si="0"/>
        <v>MAY</v>
      </c>
      <c r="BO50" s="41" t="s">
        <v>178</v>
      </c>
      <c r="BP50" s="41" t="s">
        <v>316</v>
      </c>
      <c r="BQ50" s="41" t="s">
        <v>317</v>
      </c>
      <c r="BR50" s="37">
        <v>24</v>
      </c>
      <c r="CL50" s="63">
        <v>39</v>
      </c>
      <c r="CM50" s="37" t="s">
        <v>315</v>
      </c>
      <c r="CN50" s="38"/>
      <c r="CO50" s="38"/>
      <c r="CP50" s="38"/>
      <c r="CQ50" s="38"/>
      <c r="CR50" s="38"/>
      <c r="CS50" s="38"/>
      <c r="CT50" s="38"/>
      <c r="CU50" s="93"/>
      <c r="CV50" s="63" t="e">
        <f t="shared" si="44"/>
        <v>#VALUE!</v>
      </c>
      <c r="CW50" s="37" t="e">
        <f t="shared" si="45"/>
        <v>#VALUE!</v>
      </c>
      <c r="CX50" s="37" t="e">
        <f t="shared" si="46"/>
        <v>#VALUE!</v>
      </c>
      <c r="CY50" s="64" t="e">
        <f t="shared" si="47"/>
        <v>#VALUE!</v>
      </c>
    </row>
    <row r="51" spans="1:103" ht="15" customHeight="1" x14ac:dyDescent="0.25">
      <c r="A51" s="450" t="s">
        <v>55</v>
      </c>
      <c r="B51" s="451"/>
      <c r="C51" s="451"/>
      <c r="D51" s="451"/>
      <c r="E51" s="451"/>
      <c r="F51" s="451"/>
      <c r="G51" s="451"/>
      <c r="H51" s="451"/>
      <c r="I51" s="451"/>
      <c r="J51" s="451"/>
      <c r="K51" s="451"/>
      <c r="L51" s="451"/>
      <c r="M51" s="451"/>
      <c r="N51" s="451"/>
      <c r="O51" s="451"/>
      <c r="P51" s="451"/>
      <c r="Q51" s="451"/>
      <c r="R51" s="451"/>
      <c r="S51" s="451"/>
      <c r="T51" s="451"/>
      <c r="U51" s="451"/>
      <c r="V51" s="451"/>
      <c r="W51" s="451"/>
      <c r="X51" s="451"/>
      <c r="Y51" s="451"/>
      <c r="Z51" s="451"/>
      <c r="AA51" s="451"/>
      <c r="AB51" s="452"/>
      <c r="BN51" s="37" t="str">
        <f t="shared" si="0"/>
        <v>MAY</v>
      </c>
      <c r="BO51" s="41" t="s">
        <v>187</v>
      </c>
      <c r="BP51" s="41" t="s">
        <v>318</v>
      </c>
      <c r="BQ51" s="41" t="s">
        <v>319</v>
      </c>
      <c r="BR51" s="37">
        <v>24</v>
      </c>
      <c r="CL51" s="83">
        <v>39</v>
      </c>
      <c r="CM51" s="84" t="s">
        <v>320</v>
      </c>
      <c r="CN51" s="37" t="e">
        <f>SUM(CP51,CR51,CT51,CV51,CX51)</f>
        <v>#VALUE!</v>
      </c>
      <c r="CO51" s="37" t="e">
        <f>SUM(CQ51,CS51,CU51,CW51,CY51)</f>
        <v>#VALUE!</v>
      </c>
      <c r="CP51" s="38" t="e">
        <f>COUNTIFS(ranPerfilTM,$CM51,ranProf241,$BF$10,ranCatOcup,$BB$4)</f>
        <v>#VALUE!</v>
      </c>
      <c r="CQ51" s="37" t="e">
        <f>COUNTIFS(ranPerfilTM,$CM51,ranProf241,$BF$10,ranCatOcup,$BB$4,ranSexo,$AT$1)</f>
        <v>#VALUE!</v>
      </c>
      <c r="CR51" s="65" t="e">
        <f>COUNTIFS(ranPerfilTM,$CM51,ranProf241,$BF$5,ranCatOcup,$BB$4)</f>
        <v>#VALUE!</v>
      </c>
      <c r="CS51" s="37" t="e">
        <f>COUNTIFS(ranPerfilTM,$CM51,ranProf241,$BF$5,ranCatOcup,$BB$4,ranSexo,$AT$1)</f>
        <v>#VALUE!</v>
      </c>
      <c r="CT51" s="66" t="e">
        <f>COUNTIFS(ranPerfilTM,$CM51,ranProf241,$BF$7,ranCatOcup,$BB$4)</f>
        <v>#VALUE!</v>
      </c>
      <c r="CU51" s="64" t="e">
        <f>COUNTIFS(ranPerfilTM,$CM51,ranProf241,$BF$7,ranCatOcup,$BB$4,ranSexo,$AT$1)</f>
        <v>#VALUE!</v>
      </c>
      <c r="CV51" s="63" t="e">
        <f t="shared" si="44"/>
        <v>#VALUE!</v>
      </c>
      <c r="CW51" s="37" t="e">
        <f t="shared" si="45"/>
        <v>#VALUE!</v>
      </c>
      <c r="CX51" s="37" t="e">
        <f t="shared" si="46"/>
        <v>#VALUE!</v>
      </c>
      <c r="CY51" s="64" t="e">
        <f t="shared" si="47"/>
        <v>#VALUE!</v>
      </c>
    </row>
    <row r="52" spans="1:103" ht="11.25" customHeight="1" x14ac:dyDescent="0.25">
      <c r="A52" s="453"/>
      <c r="B52" s="454"/>
      <c r="C52" s="454"/>
      <c r="D52" s="454"/>
      <c r="E52" s="454"/>
      <c r="F52" s="454"/>
      <c r="G52" s="454"/>
      <c r="H52" s="454"/>
      <c r="I52" s="454"/>
      <c r="J52" s="454"/>
      <c r="K52" s="454"/>
      <c r="L52" s="454"/>
      <c r="M52" s="454"/>
      <c r="N52" s="454"/>
      <c r="O52" s="454"/>
      <c r="P52" s="454"/>
      <c r="Q52" s="454"/>
      <c r="R52" s="454"/>
      <c r="S52" s="454"/>
      <c r="T52" s="454"/>
      <c r="U52" s="454"/>
      <c r="V52" s="454"/>
      <c r="W52" s="454"/>
      <c r="X52" s="454"/>
      <c r="Y52" s="454"/>
      <c r="Z52" s="454"/>
      <c r="AA52" s="454"/>
      <c r="AB52" s="455"/>
      <c r="BN52" s="37" t="str">
        <f t="shared" si="0"/>
        <v>MAY</v>
      </c>
      <c r="BO52" s="41" t="s">
        <v>200</v>
      </c>
      <c r="BP52" s="41" t="s">
        <v>321</v>
      </c>
      <c r="BQ52" s="41" t="s">
        <v>322</v>
      </c>
      <c r="BR52" s="37">
        <v>24</v>
      </c>
      <c r="CL52" s="63">
        <v>39</v>
      </c>
      <c r="CM52" s="37" t="s">
        <v>320</v>
      </c>
      <c r="CN52" s="38"/>
      <c r="CO52" s="38"/>
      <c r="CP52" s="38"/>
      <c r="CQ52" s="38"/>
      <c r="CR52" s="38"/>
      <c r="CS52" s="38"/>
      <c r="CT52" s="38"/>
      <c r="CU52" s="93"/>
      <c r="CV52" s="63" t="e">
        <f t="shared" si="44"/>
        <v>#VALUE!</v>
      </c>
      <c r="CW52" s="37" t="e">
        <f t="shared" si="45"/>
        <v>#VALUE!</v>
      </c>
      <c r="CX52" s="37" t="e">
        <f t="shared" si="46"/>
        <v>#VALUE!</v>
      </c>
      <c r="CY52" s="64" t="e">
        <f t="shared" si="47"/>
        <v>#VALUE!</v>
      </c>
    </row>
    <row r="53" spans="1:103" ht="12" customHeight="1" thickBot="1" x14ac:dyDescent="0.3">
      <c r="A53" s="456"/>
      <c r="B53" s="457"/>
      <c r="C53" s="457"/>
      <c r="D53" s="457"/>
      <c r="E53" s="457"/>
      <c r="F53" s="457"/>
      <c r="G53" s="457"/>
      <c r="H53" s="457"/>
      <c r="I53" s="457"/>
      <c r="J53" s="457"/>
      <c r="K53" s="457"/>
      <c r="L53" s="457"/>
      <c r="M53" s="457"/>
      <c r="N53" s="457"/>
      <c r="O53" s="457"/>
      <c r="P53" s="457"/>
      <c r="Q53" s="457"/>
      <c r="R53" s="457"/>
      <c r="S53" s="457"/>
      <c r="T53" s="457"/>
      <c r="U53" s="457"/>
      <c r="V53" s="457"/>
      <c r="W53" s="457"/>
      <c r="X53" s="457"/>
      <c r="Y53" s="457"/>
      <c r="Z53" s="457"/>
      <c r="AA53" s="457"/>
      <c r="AB53" s="458"/>
      <c r="AE53" s="116"/>
      <c r="BN53" s="37" t="str">
        <f t="shared" si="0"/>
        <v>MTZ</v>
      </c>
      <c r="BO53" s="41" t="s">
        <v>111</v>
      </c>
      <c r="BP53" s="41" t="s">
        <v>198</v>
      </c>
      <c r="BQ53" s="41" t="s">
        <v>199</v>
      </c>
      <c r="BR53" s="37">
        <v>25</v>
      </c>
      <c r="CL53" s="83">
        <v>39</v>
      </c>
      <c r="CM53" s="84" t="s">
        <v>323</v>
      </c>
      <c r="CN53" s="37" t="e">
        <f>SUM(CP53,CR53,CT53,CV53,CX53)</f>
        <v>#VALUE!</v>
      </c>
      <c r="CO53" s="37" t="e">
        <f>SUM(CQ53,CS53,CU53,CW53,CY53)</f>
        <v>#VALUE!</v>
      </c>
      <c r="CP53" s="38" t="e">
        <f>COUNTIFS(ranPerfilTM,$CM53,ranProf241,$BF$10,ranCatOcup,$BB$4)</f>
        <v>#VALUE!</v>
      </c>
      <c r="CQ53" s="37" t="e">
        <f>COUNTIFS(ranPerfilTM,$CM53,ranProf241,$BF$10,ranCatOcup,$BB$4,ranSexo,$AT$1)</f>
        <v>#VALUE!</v>
      </c>
      <c r="CR53" s="65" t="e">
        <f>COUNTIFS(ranPerfilTM,$CM53,ranProf241,$BF$5,ranCatOcup,$BB$4)</f>
        <v>#VALUE!</v>
      </c>
      <c r="CS53" s="37" t="e">
        <f>COUNTIFS(ranPerfilTM,$CM53,ranProf241,$BF$5,ranCatOcup,$BB$4,ranSexo,$AT$1)</f>
        <v>#VALUE!</v>
      </c>
      <c r="CT53" s="66" t="e">
        <f>COUNTIFS(ranPerfilTM,$CM53,ranProf241,$BF$7,ranCatOcup,$BB$4)</f>
        <v>#VALUE!</v>
      </c>
      <c r="CU53" s="64" t="e">
        <f>COUNTIFS(ranPerfilTM,$CM53,ranProf241,$BF$7,ranCatOcup,$BB$4,ranSexo,$AT$1)</f>
        <v>#VALUE!</v>
      </c>
      <c r="CV53" s="63" t="e">
        <f t="shared" si="44"/>
        <v>#VALUE!</v>
      </c>
      <c r="CW53" s="37" t="e">
        <f t="shared" si="45"/>
        <v>#VALUE!</v>
      </c>
      <c r="CX53" s="37" t="e">
        <f t="shared" si="46"/>
        <v>#VALUE!</v>
      </c>
      <c r="CY53" s="64" t="e">
        <f t="shared" si="47"/>
        <v>#VALUE!</v>
      </c>
    </row>
    <row r="54" spans="1:103" ht="15" customHeight="1" x14ac:dyDescent="0.25">
      <c r="A54" s="466" t="s">
        <v>56</v>
      </c>
      <c r="B54" s="467"/>
      <c r="C54" s="467"/>
      <c r="D54" s="467"/>
      <c r="E54" s="467"/>
      <c r="F54" s="467"/>
      <c r="G54" s="467"/>
      <c r="H54" s="467"/>
      <c r="I54" s="467"/>
      <c r="J54" s="467"/>
      <c r="K54" s="468"/>
      <c r="L54" s="459" t="s">
        <v>644</v>
      </c>
      <c r="M54" s="460"/>
      <c r="N54" s="460"/>
      <c r="O54" s="460"/>
      <c r="P54" s="460"/>
      <c r="Q54" s="460"/>
      <c r="R54" s="460"/>
      <c r="S54" s="461"/>
      <c r="T54" s="459" t="s">
        <v>645</v>
      </c>
      <c r="U54" s="460"/>
      <c r="V54" s="460"/>
      <c r="W54" s="460"/>
      <c r="X54" s="460"/>
      <c r="Y54" s="460"/>
      <c r="Z54" s="460"/>
      <c r="AA54" s="460"/>
      <c r="AB54" s="461"/>
      <c r="BN54" s="37" t="str">
        <f t="shared" si="0"/>
        <v>MTZ</v>
      </c>
      <c r="BO54" s="41" t="s">
        <v>123</v>
      </c>
      <c r="BP54" s="41" t="s">
        <v>324</v>
      </c>
      <c r="BQ54" s="41" t="s">
        <v>325</v>
      </c>
      <c r="BR54" s="37">
        <v>25</v>
      </c>
      <c r="CL54" s="63">
        <v>39</v>
      </c>
      <c r="CM54" s="37" t="s">
        <v>323</v>
      </c>
      <c r="CN54" s="38"/>
      <c r="CO54" s="38"/>
      <c r="CP54" s="38"/>
      <c r="CQ54" s="38"/>
      <c r="CR54" s="38"/>
      <c r="CS54" s="38"/>
      <c r="CT54" s="38"/>
      <c r="CU54" s="93"/>
      <c r="CV54" s="63" t="e">
        <f t="shared" si="44"/>
        <v>#VALUE!</v>
      </c>
      <c r="CW54" s="37" t="e">
        <f t="shared" si="45"/>
        <v>#VALUE!</v>
      </c>
      <c r="CX54" s="37" t="e">
        <f t="shared" si="46"/>
        <v>#VALUE!</v>
      </c>
      <c r="CY54" s="64" t="e">
        <f t="shared" si="47"/>
        <v>#VALUE!</v>
      </c>
    </row>
    <row r="55" spans="1:103" x14ac:dyDescent="0.25">
      <c r="A55" s="466"/>
      <c r="B55" s="467"/>
      <c r="C55" s="467"/>
      <c r="D55" s="467"/>
      <c r="E55" s="467"/>
      <c r="F55" s="467"/>
      <c r="G55" s="467"/>
      <c r="H55" s="467"/>
      <c r="I55" s="467"/>
      <c r="J55" s="467"/>
      <c r="K55" s="468"/>
      <c r="L55" s="140"/>
      <c r="M55" s="469"/>
      <c r="N55" s="469"/>
      <c r="O55" s="469"/>
      <c r="P55" s="469"/>
      <c r="Q55" s="469"/>
      <c r="R55" s="469"/>
      <c r="S55" s="141"/>
      <c r="T55" s="140"/>
      <c r="U55" s="469"/>
      <c r="V55" s="469"/>
      <c r="W55" s="469"/>
      <c r="X55" s="469"/>
      <c r="Y55" s="469"/>
      <c r="Z55" s="469"/>
      <c r="AA55" s="469"/>
      <c r="AB55" s="142"/>
      <c r="BN55" s="37" t="str">
        <f t="shared" si="0"/>
        <v>MTZ</v>
      </c>
      <c r="BO55" s="41" t="s">
        <v>132</v>
      </c>
      <c r="BP55" s="41" t="s">
        <v>326</v>
      </c>
      <c r="BQ55" s="41" t="s">
        <v>327</v>
      </c>
      <c r="BR55" s="37">
        <v>25</v>
      </c>
      <c r="CL55" s="63">
        <v>39</v>
      </c>
      <c r="CM55" s="37" t="s">
        <v>328</v>
      </c>
      <c r="CN55" s="37" t="e">
        <f t="shared" ref="CN55:CO60" si="50">SUM(CP55,CR55,CT55,CV55,CX55)</f>
        <v>#VALUE!</v>
      </c>
      <c r="CO55" s="37" t="e">
        <f t="shared" si="50"/>
        <v>#VALUE!</v>
      </c>
      <c r="CP55" s="38" t="e">
        <f t="shared" ref="CP55:CP60" si="51">COUNTIFS(ranPerfilTM,$CM55,ranProf241,$BF$10,ranCatOcup,$BB$4)</f>
        <v>#VALUE!</v>
      </c>
      <c r="CQ55" s="37" t="e">
        <f t="shared" ref="CQ55:CQ60" si="52">COUNTIFS(ranPerfilTM,$CM55,ranProf241,$BF$10,ranCatOcup,$BB$4,ranSexo,$AT$1)</f>
        <v>#VALUE!</v>
      </c>
      <c r="CR55" s="65" t="e">
        <f t="shared" ref="CR55:CR60" si="53">COUNTIFS(ranPerfilTM,$CM55,ranProf241,$BF$5,ranCatOcup,$BB$4)</f>
        <v>#VALUE!</v>
      </c>
      <c r="CS55" s="37" t="e">
        <f t="shared" ref="CS55:CS60" si="54">COUNTIFS(ranPerfilTM,$CM55,ranProf241,$BF$5,ranCatOcup,$BB$4,ranSexo,$AT$1)</f>
        <v>#VALUE!</v>
      </c>
      <c r="CT55" s="66" t="e">
        <f t="shared" ref="CT55:CT60" si="55">COUNTIFS(ranPerfilTM,$CM55,ranProf241,$BF$7,ranCatOcup,$BB$4)</f>
        <v>#VALUE!</v>
      </c>
      <c r="CU55" s="64" t="e">
        <f t="shared" ref="CU55:CU60" si="56">COUNTIFS(ranPerfilTM,$CM55,ranProf241,$BF$7,ranCatOcup,$BB$4,ranSexo,$AT$1)</f>
        <v>#VALUE!</v>
      </c>
      <c r="CV55" s="63" t="e">
        <f t="shared" si="44"/>
        <v>#VALUE!</v>
      </c>
      <c r="CW55" s="37" t="e">
        <f t="shared" si="45"/>
        <v>#VALUE!</v>
      </c>
      <c r="CX55" s="37" t="e">
        <f t="shared" si="46"/>
        <v>#VALUE!</v>
      </c>
      <c r="CY55" s="64" t="e">
        <f t="shared" si="47"/>
        <v>#VALUE!</v>
      </c>
    </row>
    <row r="56" spans="1:103" x14ac:dyDescent="0.25">
      <c r="A56" s="466"/>
      <c r="B56" s="467"/>
      <c r="C56" s="467"/>
      <c r="D56" s="467"/>
      <c r="E56" s="467"/>
      <c r="F56" s="467"/>
      <c r="G56" s="467"/>
      <c r="H56" s="467"/>
      <c r="I56" s="467"/>
      <c r="J56" s="467"/>
      <c r="K56" s="468"/>
      <c r="L56" s="459" t="s">
        <v>57</v>
      </c>
      <c r="M56" s="460"/>
      <c r="N56" s="460"/>
      <c r="O56" s="460"/>
      <c r="P56" s="460"/>
      <c r="Q56" s="460"/>
      <c r="R56" s="460"/>
      <c r="S56" s="461"/>
      <c r="T56" s="459" t="s">
        <v>57</v>
      </c>
      <c r="U56" s="460"/>
      <c r="V56" s="460"/>
      <c r="W56" s="460"/>
      <c r="X56" s="460"/>
      <c r="Y56" s="460"/>
      <c r="Z56" s="460"/>
      <c r="AA56" s="460"/>
      <c r="AB56" s="461"/>
      <c r="BN56" s="37" t="str">
        <f t="shared" si="0"/>
        <v>MTZ</v>
      </c>
      <c r="BO56" s="41" t="s">
        <v>140</v>
      </c>
      <c r="BP56" s="41" t="s">
        <v>329</v>
      </c>
      <c r="BQ56" s="41" t="s">
        <v>330</v>
      </c>
      <c r="BR56" s="37">
        <v>25</v>
      </c>
      <c r="CL56" s="63">
        <v>39</v>
      </c>
      <c r="CM56" s="37" t="s">
        <v>331</v>
      </c>
      <c r="CN56" s="37" t="e">
        <f t="shared" si="50"/>
        <v>#VALUE!</v>
      </c>
      <c r="CO56" s="37" t="e">
        <f t="shared" si="50"/>
        <v>#VALUE!</v>
      </c>
      <c r="CP56" s="38" t="e">
        <f t="shared" si="51"/>
        <v>#VALUE!</v>
      </c>
      <c r="CQ56" s="37" t="e">
        <f t="shared" si="52"/>
        <v>#VALUE!</v>
      </c>
      <c r="CR56" s="65" t="e">
        <f t="shared" si="53"/>
        <v>#VALUE!</v>
      </c>
      <c r="CS56" s="37" t="e">
        <f t="shared" si="54"/>
        <v>#VALUE!</v>
      </c>
      <c r="CT56" s="66" t="e">
        <f t="shared" si="55"/>
        <v>#VALUE!</v>
      </c>
      <c r="CU56" s="64" t="e">
        <f t="shared" si="56"/>
        <v>#VALUE!</v>
      </c>
      <c r="CV56" s="63" t="e">
        <f t="shared" si="44"/>
        <v>#VALUE!</v>
      </c>
      <c r="CW56" s="37" t="e">
        <f t="shared" si="45"/>
        <v>#VALUE!</v>
      </c>
      <c r="CX56" s="37" t="e">
        <f t="shared" si="46"/>
        <v>#VALUE!</v>
      </c>
      <c r="CY56" s="64" t="e">
        <f t="shared" si="47"/>
        <v>#VALUE!</v>
      </c>
    </row>
    <row r="57" spans="1:103" ht="15.75" thickBot="1" x14ac:dyDescent="0.3">
      <c r="A57" s="466"/>
      <c r="B57" s="467"/>
      <c r="C57" s="467"/>
      <c r="D57" s="467"/>
      <c r="E57" s="467"/>
      <c r="F57" s="467"/>
      <c r="G57" s="467"/>
      <c r="H57" s="467"/>
      <c r="I57" s="467"/>
      <c r="J57" s="467"/>
      <c r="K57" s="468"/>
      <c r="L57" s="140"/>
      <c r="M57" s="143"/>
      <c r="N57" s="143"/>
      <c r="O57" s="143"/>
      <c r="P57" s="143"/>
      <c r="Q57" s="143"/>
      <c r="R57" s="143"/>
      <c r="S57" s="141"/>
      <c r="T57" s="140"/>
      <c r="U57" s="143"/>
      <c r="V57" s="143"/>
      <c r="W57" s="143"/>
      <c r="X57" s="143"/>
      <c r="Y57" s="143"/>
      <c r="Z57" s="143"/>
      <c r="AA57" s="143"/>
      <c r="AB57" s="142"/>
      <c r="BN57" s="37" t="str">
        <f t="shared" si="0"/>
        <v>MTZ</v>
      </c>
      <c r="BO57" s="41" t="s">
        <v>148</v>
      </c>
      <c r="BP57" s="41" t="s">
        <v>332</v>
      </c>
      <c r="BQ57" s="41" t="s">
        <v>333</v>
      </c>
      <c r="BR57" s="37">
        <v>25</v>
      </c>
      <c r="CL57" s="63">
        <v>39</v>
      </c>
      <c r="CM57" s="37" t="s">
        <v>334</v>
      </c>
      <c r="CN57" s="37" t="e">
        <f t="shared" si="50"/>
        <v>#VALUE!</v>
      </c>
      <c r="CO57" s="37" t="e">
        <f t="shared" si="50"/>
        <v>#VALUE!</v>
      </c>
      <c r="CP57" s="38" t="e">
        <f t="shared" si="51"/>
        <v>#VALUE!</v>
      </c>
      <c r="CQ57" s="37" t="e">
        <f t="shared" si="52"/>
        <v>#VALUE!</v>
      </c>
      <c r="CR57" s="65" t="e">
        <f t="shared" si="53"/>
        <v>#VALUE!</v>
      </c>
      <c r="CS57" s="37" t="e">
        <f t="shared" si="54"/>
        <v>#VALUE!</v>
      </c>
      <c r="CT57" s="66" t="e">
        <f t="shared" si="55"/>
        <v>#VALUE!</v>
      </c>
      <c r="CU57" s="64" t="e">
        <f t="shared" si="56"/>
        <v>#VALUE!</v>
      </c>
      <c r="CV57" s="63" t="e">
        <f t="shared" si="44"/>
        <v>#VALUE!</v>
      </c>
      <c r="CW57" s="37" t="e">
        <f t="shared" si="45"/>
        <v>#VALUE!</v>
      </c>
      <c r="CX57" s="37" t="e">
        <f t="shared" si="46"/>
        <v>#VALUE!</v>
      </c>
      <c r="CY57" s="64" t="e">
        <f t="shared" si="47"/>
        <v>#VALUE!</v>
      </c>
    </row>
    <row r="58" spans="1:103" ht="15.75" customHeight="1" thickBot="1" x14ac:dyDescent="0.3">
      <c r="A58" s="462"/>
      <c r="B58" s="463"/>
      <c r="C58" s="144"/>
      <c r="D58" s="145" t="str">
        <f>IF(X6="","",LOWER(LEFT(X6,3)))</f>
        <v/>
      </c>
      <c r="E58" s="145"/>
      <c r="F58" s="470"/>
      <c r="G58" s="471"/>
      <c r="H58" s="471"/>
      <c r="I58" s="471"/>
      <c r="J58" s="471"/>
      <c r="K58" s="472"/>
      <c r="L58" s="459" t="s">
        <v>58</v>
      </c>
      <c r="M58" s="460"/>
      <c r="N58" s="460"/>
      <c r="O58" s="460"/>
      <c r="P58" s="460"/>
      <c r="Q58" s="460"/>
      <c r="R58" s="460"/>
      <c r="S58" s="461"/>
      <c r="T58" s="459" t="s">
        <v>58</v>
      </c>
      <c r="U58" s="460"/>
      <c r="V58" s="460"/>
      <c r="W58" s="460"/>
      <c r="X58" s="460"/>
      <c r="Y58" s="460"/>
      <c r="Z58" s="460"/>
      <c r="AA58" s="460"/>
      <c r="AB58" s="461"/>
      <c r="BN58" s="37" t="str">
        <f t="shared" si="0"/>
        <v>MTZ</v>
      </c>
      <c r="BO58" s="41" t="s">
        <v>155</v>
      </c>
      <c r="BP58" s="41" t="s">
        <v>335</v>
      </c>
      <c r="BQ58" s="41" t="s">
        <v>336</v>
      </c>
      <c r="BR58" s="37">
        <v>25</v>
      </c>
      <c r="CL58" s="63">
        <v>39</v>
      </c>
      <c r="CM58" s="37" t="s">
        <v>337</v>
      </c>
      <c r="CN58" s="37" t="e">
        <f t="shared" si="50"/>
        <v>#VALUE!</v>
      </c>
      <c r="CO58" s="37" t="e">
        <f t="shared" si="50"/>
        <v>#VALUE!</v>
      </c>
      <c r="CP58" s="38" t="e">
        <f t="shared" si="51"/>
        <v>#VALUE!</v>
      </c>
      <c r="CQ58" s="37" t="e">
        <f t="shared" si="52"/>
        <v>#VALUE!</v>
      </c>
      <c r="CR58" s="65" t="e">
        <f t="shared" si="53"/>
        <v>#VALUE!</v>
      </c>
      <c r="CS58" s="37" t="e">
        <f t="shared" si="54"/>
        <v>#VALUE!</v>
      </c>
      <c r="CT58" s="66" t="e">
        <f t="shared" si="55"/>
        <v>#VALUE!</v>
      </c>
      <c r="CU58" s="64" t="e">
        <f t="shared" si="56"/>
        <v>#VALUE!</v>
      </c>
      <c r="CV58" s="63" t="e">
        <f t="shared" si="44"/>
        <v>#VALUE!</v>
      </c>
      <c r="CW58" s="37" t="e">
        <f t="shared" si="45"/>
        <v>#VALUE!</v>
      </c>
      <c r="CX58" s="37" t="e">
        <f t="shared" si="46"/>
        <v>#VALUE!</v>
      </c>
      <c r="CY58" s="64" t="e">
        <f t="shared" si="47"/>
        <v>#VALUE!</v>
      </c>
    </row>
    <row r="59" spans="1:103" ht="24" customHeight="1" thickBot="1" x14ac:dyDescent="0.3">
      <c r="A59" s="464"/>
      <c r="B59" s="465"/>
      <c r="C59" s="145" t="s">
        <v>646</v>
      </c>
      <c r="D59" s="145" t="s">
        <v>59</v>
      </c>
      <c r="E59" s="145" t="s">
        <v>60</v>
      </c>
      <c r="F59" s="473"/>
      <c r="G59" s="474"/>
      <c r="H59" s="474"/>
      <c r="I59" s="474"/>
      <c r="J59" s="474"/>
      <c r="K59" s="475"/>
      <c r="L59" s="146"/>
      <c r="M59" s="147"/>
      <c r="N59" s="147"/>
      <c r="O59" s="147"/>
      <c r="P59" s="147"/>
      <c r="Q59" s="147"/>
      <c r="R59" s="147"/>
      <c r="S59" s="148"/>
      <c r="T59" s="146"/>
      <c r="U59" s="147"/>
      <c r="V59" s="147"/>
      <c r="W59" s="147"/>
      <c r="X59" s="147"/>
      <c r="Y59" s="147"/>
      <c r="Z59" s="147"/>
      <c r="AA59" s="147"/>
      <c r="AB59" s="149"/>
      <c r="BN59" s="37" t="str">
        <f t="shared" si="0"/>
        <v>MTZ</v>
      </c>
      <c r="BO59" s="41" t="s">
        <v>163</v>
      </c>
      <c r="BP59" s="41" t="s">
        <v>338</v>
      </c>
      <c r="BQ59" s="41" t="s">
        <v>339</v>
      </c>
      <c r="BR59" s="37">
        <v>25</v>
      </c>
      <c r="CL59" s="63">
        <v>41</v>
      </c>
      <c r="CM59" s="37" t="s">
        <v>340</v>
      </c>
      <c r="CN59" s="37" t="e">
        <f t="shared" si="50"/>
        <v>#VALUE!</v>
      </c>
      <c r="CO59" s="37" t="e">
        <f t="shared" si="50"/>
        <v>#VALUE!</v>
      </c>
      <c r="CP59" s="37" t="e">
        <f t="shared" si="51"/>
        <v>#VALUE!</v>
      </c>
      <c r="CQ59" s="37" t="e">
        <f t="shared" si="52"/>
        <v>#VALUE!</v>
      </c>
      <c r="CR59" s="37" t="e">
        <f t="shared" si="53"/>
        <v>#VALUE!</v>
      </c>
      <c r="CS59" s="37" t="e">
        <f t="shared" si="54"/>
        <v>#VALUE!</v>
      </c>
      <c r="CT59" s="37" t="e">
        <f t="shared" si="55"/>
        <v>#VALUE!</v>
      </c>
      <c r="CU59" s="64" t="e">
        <f t="shared" si="56"/>
        <v>#VALUE!</v>
      </c>
      <c r="CV59" s="63" t="e">
        <f t="shared" si="44"/>
        <v>#VALUE!</v>
      </c>
      <c r="CW59" s="37" t="e">
        <f t="shared" si="45"/>
        <v>#VALUE!</v>
      </c>
      <c r="CX59" s="37" t="e">
        <f t="shared" si="46"/>
        <v>#VALUE!</v>
      </c>
      <c r="CY59" s="64" t="e">
        <f t="shared" si="47"/>
        <v>#VALUE!</v>
      </c>
    </row>
    <row r="60" spans="1:103" x14ac:dyDescent="0.25">
      <c r="BN60" s="37" t="str">
        <f t="shared" si="0"/>
        <v>MTZ</v>
      </c>
      <c r="BO60" s="41" t="s">
        <v>170</v>
      </c>
      <c r="BP60" s="41" t="s">
        <v>341</v>
      </c>
      <c r="BQ60" s="41" t="s">
        <v>342</v>
      </c>
      <c r="BR60" s="37">
        <v>25</v>
      </c>
      <c r="CL60" s="83">
        <v>41</v>
      </c>
      <c r="CM60" s="84" t="s">
        <v>343</v>
      </c>
      <c r="CN60" s="37" t="e">
        <f t="shared" si="50"/>
        <v>#VALUE!</v>
      </c>
      <c r="CO60" s="37" t="e">
        <f t="shared" si="50"/>
        <v>#VALUE!</v>
      </c>
      <c r="CP60" s="38" t="e">
        <f t="shared" si="51"/>
        <v>#VALUE!</v>
      </c>
      <c r="CQ60" s="37" t="e">
        <f t="shared" si="52"/>
        <v>#VALUE!</v>
      </c>
      <c r="CR60" s="65" t="e">
        <f t="shared" si="53"/>
        <v>#VALUE!</v>
      </c>
      <c r="CS60" s="37" t="e">
        <f t="shared" si="54"/>
        <v>#VALUE!</v>
      </c>
      <c r="CT60" s="66" t="e">
        <f t="shared" si="55"/>
        <v>#VALUE!</v>
      </c>
      <c r="CU60" s="64" t="e">
        <f t="shared" si="56"/>
        <v>#VALUE!</v>
      </c>
      <c r="CV60" s="63" t="e">
        <f t="shared" si="44"/>
        <v>#VALUE!</v>
      </c>
      <c r="CW60" s="37" t="e">
        <f t="shared" si="45"/>
        <v>#VALUE!</v>
      </c>
      <c r="CX60" s="37" t="e">
        <f t="shared" si="46"/>
        <v>#VALUE!</v>
      </c>
      <c r="CY60" s="64" t="e">
        <f t="shared" si="47"/>
        <v>#VALUE!</v>
      </c>
    </row>
    <row r="61" spans="1:103" x14ac:dyDescent="0.25">
      <c r="BN61" s="37" t="str">
        <f t="shared" si="0"/>
        <v>MTZ</v>
      </c>
      <c r="BO61" s="41" t="s">
        <v>178</v>
      </c>
      <c r="BP61" s="41" t="s">
        <v>344</v>
      </c>
      <c r="BQ61" s="41" t="s">
        <v>345</v>
      </c>
      <c r="BR61" s="37">
        <v>25</v>
      </c>
      <c r="CL61" s="63">
        <v>41</v>
      </c>
      <c r="CM61" s="37" t="s">
        <v>343</v>
      </c>
      <c r="CN61" s="38"/>
      <c r="CO61" s="38"/>
      <c r="CP61" s="38"/>
      <c r="CQ61" s="38"/>
      <c r="CR61" s="38"/>
      <c r="CS61" s="38"/>
      <c r="CT61" s="38"/>
      <c r="CU61" s="93"/>
      <c r="CV61" s="63" t="e">
        <f t="shared" si="44"/>
        <v>#VALUE!</v>
      </c>
      <c r="CW61" s="37" t="e">
        <f t="shared" si="45"/>
        <v>#VALUE!</v>
      </c>
      <c r="CX61" s="37" t="e">
        <f t="shared" si="46"/>
        <v>#VALUE!</v>
      </c>
      <c r="CY61" s="64" t="e">
        <f t="shared" si="47"/>
        <v>#VALUE!</v>
      </c>
    </row>
    <row r="62" spans="1:103" x14ac:dyDescent="0.25">
      <c r="BN62" s="37" t="str">
        <f t="shared" si="0"/>
        <v>MTZ</v>
      </c>
      <c r="BO62" s="41" t="s">
        <v>187</v>
      </c>
      <c r="BP62" s="41" t="s">
        <v>346</v>
      </c>
      <c r="BQ62" s="41" t="s">
        <v>347</v>
      </c>
      <c r="BR62" s="37">
        <v>25</v>
      </c>
      <c r="CL62" s="63">
        <v>41</v>
      </c>
      <c r="CM62" s="37" t="s">
        <v>348</v>
      </c>
      <c r="CN62" s="37" t="e">
        <f t="shared" ref="CN62:CO66" si="57">SUM(CP62,CR62,CT62,CV62,CX62)</f>
        <v>#VALUE!</v>
      </c>
      <c r="CO62" s="37" t="e">
        <f t="shared" si="57"/>
        <v>#VALUE!</v>
      </c>
      <c r="CP62" s="38" t="e">
        <f>COUNTIFS(ranPerfilTM,$CM62,ranProf241,$BF$10,ranCatOcup,$BB$4)</f>
        <v>#VALUE!</v>
      </c>
      <c r="CQ62" s="37" t="e">
        <f>COUNTIFS(ranPerfilTM,$CM62,ranProf241,$BF$10,ranCatOcup,$BB$4,ranSexo,$AT$1)</f>
        <v>#VALUE!</v>
      </c>
      <c r="CR62" s="65" t="e">
        <f>COUNTIFS(ranPerfilTM,$CM62,ranProf241,$BF$5,ranCatOcup,$BB$4)</f>
        <v>#VALUE!</v>
      </c>
      <c r="CS62" s="37" t="e">
        <f>COUNTIFS(ranPerfilTM,$CM62,ranProf241,$BF$5,ranCatOcup,$BB$4,ranSexo,$AT$1)</f>
        <v>#VALUE!</v>
      </c>
      <c r="CT62" s="66" t="e">
        <f>COUNTIFS(ranPerfilTM,$CM62,ranProf241,$BF$7,ranCatOcup,$BB$4)</f>
        <v>#VALUE!</v>
      </c>
      <c r="CU62" s="64" t="e">
        <f>COUNTIFS(ranPerfilTM,$CM62,ranProf241,$BF$7,ranCatOcup,$BB$4,ranSexo,$AT$1)</f>
        <v>#VALUE!</v>
      </c>
      <c r="CV62" s="63" t="e">
        <f t="shared" si="44"/>
        <v>#VALUE!</v>
      </c>
      <c r="CW62" s="37" t="e">
        <f t="shared" si="45"/>
        <v>#VALUE!</v>
      </c>
      <c r="CX62" s="37" t="e">
        <f t="shared" si="46"/>
        <v>#VALUE!</v>
      </c>
      <c r="CY62" s="64" t="e">
        <f t="shared" si="47"/>
        <v>#VALUE!</v>
      </c>
    </row>
    <row r="63" spans="1:103" x14ac:dyDescent="0.25">
      <c r="AE63" s="116"/>
      <c r="BN63" s="37" t="str">
        <f t="shared" si="0"/>
        <v>MTZ</v>
      </c>
      <c r="BO63" s="41" t="s">
        <v>200</v>
      </c>
      <c r="BP63" s="41" t="s">
        <v>349</v>
      </c>
      <c r="BQ63" s="41" t="s">
        <v>350</v>
      </c>
      <c r="BR63" s="37">
        <v>25</v>
      </c>
      <c r="CL63" s="63">
        <v>41</v>
      </c>
      <c r="CM63" s="37" t="s">
        <v>351</v>
      </c>
      <c r="CN63" s="37" t="e">
        <f t="shared" si="57"/>
        <v>#VALUE!</v>
      </c>
      <c r="CO63" s="37" t="e">
        <f t="shared" si="57"/>
        <v>#VALUE!</v>
      </c>
      <c r="CP63" s="38" t="e">
        <f>COUNTIFS(ranPerfilTM,$CM63,ranProf241,$BF$10,ranCatOcup,$BB$4)</f>
        <v>#VALUE!</v>
      </c>
      <c r="CQ63" s="37" t="e">
        <f>COUNTIFS(ranPerfilTM,$CM63,ranProf241,$BF$10,ranCatOcup,$BB$4,ranSexo,$AT$1)</f>
        <v>#VALUE!</v>
      </c>
      <c r="CR63" s="65" t="e">
        <f>COUNTIFS(ranPerfilTM,$CM63,ranProf241,$BF$5,ranCatOcup,$BB$4)</f>
        <v>#VALUE!</v>
      </c>
      <c r="CS63" s="37" t="e">
        <f>COUNTIFS(ranPerfilTM,$CM63,ranProf241,$BF$5,ranCatOcup,$BB$4,ranSexo,$AT$1)</f>
        <v>#VALUE!</v>
      </c>
      <c r="CT63" s="66" t="e">
        <f>COUNTIFS(ranPerfilTM,$CM63,ranProf241,$BF$7,ranCatOcup,$BB$4)</f>
        <v>#VALUE!</v>
      </c>
      <c r="CU63" s="64" t="e">
        <f>COUNTIFS(ranPerfilTM,$CM63,ranProf241,$BF$7,ranCatOcup,$BB$4,ranSexo,$AT$1)</f>
        <v>#VALUE!</v>
      </c>
      <c r="CV63" s="63" t="e">
        <f t="shared" si="44"/>
        <v>#VALUE!</v>
      </c>
      <c r="CW63" s="37" t="e">
        <f t="shared" si="45"/>
        <v>#VALUE!</v>
      </c>
      <c r="CX63" s="37" t="e">
        <f t="shared" si="46"/>
        <v>#VALUE!</v>
      </c>
      <c r="CY63" s="64" t="e">
        <f t="shared" si="47"/>
        <v>#VALUE!</v>
      </c>
    </row>
    <row r="64" spans="1:103" x14ac:dyDescent="0.25">
      <c r="BN64" s="37" t="str">
        <f t="shared" si="0"/>
        <v>MTZ</v>
      </c>
      <c r="BO64" s="41" t="s">
        <v>280</v>
      </c>
      <c r="BP64" s="41" t="s">
        <v>352</v>
      </c>
      <c r="BQ64" s="41" t="s">
        <v>353</v>
      </c>
      <c r="BR64" s="37">
        <v>25</v>
      </c>
      <c r="CL64" s="63">
        <v>42</v>
      </c>
      <c r="CM64" s="37" t="s">
        <v>354</v>
      </c>
      <c r="CN64" s="37" t="e">
        <f t="shared" si="57"/>
        <v>#VALUE!</v>
      </c>
      <c r="CO64" s="37" t="e">
        <f t="shared" si="57"/>
        <v>#VALUE!</v>
      </c>
      <c r="CP64" s="38" t="e">
        <f>COUNTIFS(ranPerfilTM,$CM64,ranProf241,$BF$10,ranCatOcup,$BB$4)</f>
        <v>#VALUE!</v>
      </c>
      <c r="CQ64" s="37" t="e">
        <f>COUNTIFS(ranPerfilTM,$CM64,ranProf241,$BF$10,ranCatOcup,$BB$4,ranSexo,$AT$1)</f>
        <v>#VALUE!</v>
      </c>
      <c r="CR64" s="65" t="e">
        <f>COUNTIFS(ranPerfilTM,$CM64,ranProf241,$BF$5,ranCatOcup,$BB$4)</f>
        <v>#VALUE!</v>
      </c>
      <c r="CS64" s="37" t="e">
        <f>COUNTIFS(ranPerfilTM,$CM64,ranProf241,$BF$5,ranCatOcup,$BB$4,ranSexo,$AT$1)</f>
        <v>#VALUE!</v>
      </c>
      <c r="CT64" s="66" t="e">
        <f>COUNTIFS(ranPerfilTM,$CM64,ranProf241,$BF$7,ranCatOcup,$BB$4)</f>
        <v>#VALUE!</v>
      </c>
      <c r="CU64" s="64" t="e">
        <f>COUNTIFS(ranPerfilTM,$CM64,ranProf241,$BF$7,ranCatOcup,$BB$4,ranSexo,$AT$1)</f>
        <v>#VALUE!</v>
      </c>
      <c r="CV64" s="63"/>
      <c r="CY64" s="64"/>
    </row>
    <row r="65" spans="6:103" x14ac:dyDescent="0.25">
      <c r="F65" s="22"/>
      <c r="BN65" s="37" t="str">
        <f t="shared" si="0"/>
        <v>MTZ</v>
      </c>
      <c r="BO65" s="41" t="s">
        <v>284</v>
      </c>
      <c r="BP65" s="41" t="s">
        <v>355</v>
      </c>
      <c r="BQ65" s="41" t="s">
        <v>356</v>
      </c>
      <c r="BR65" s="37">
        <v>25</v>
      </c>
      <c r="CL65" s="63">
        <v>42</v>
      </c>
      <c r="CM65" s="37" t="s">
        <v>253</v>
      </c>
      <c r="CN65" s="37" t="e">
        <f t="shared" si="57"/>
        <v>#VALUE!</v>
      </c>
      <c r="CO65" s="37" t="e">
        <f t="shared" si="57"/>
        <v>#VALUE!</v>
      </c>
      <c r="CP65" s="38" t="e">
        <f>COUNTIFS(ranPerfilTM,$CM65,ranProf241,$BF$10,ranCatOcup,$BB$4)</f>
        <v>#VALUE!</v>
      </c>
      <c r="CQ65" s="37" t="e">
        <f>COUNTIFS(ranPerfilTM,$CM65,ranProf241,$BF$10,ranCatOcup,$BB$4,ranSexo,$AT$1)</f>
        <v>#VALUE!</v>
      </c>
      <c r="CR65" s="65" t="e">
        <f>COUNTIFS(ranPerfilTM,$CM65,ranProf241,$BF$5,ranCatOcup,$BB$4)</f>
        <v>#VALUE!</v>
      </c>
      <c r="CS65" s="37" t="e">
        <f>COUNTIFS(ranPerfilTM,$CM65,ranProf241,$BF$5,ranCatOcup,$BB$4,ranSexo,$AT$1)</f>
        <v>#VALUE!</v>
      </c>
      <c r="CT65" s="66" t="e">
        <f>COUNTIFS(ranPerfilTM,$CM65,ranProf241,$BF$7,ranCatOcup,$BB$4)</f>
        <v>#VALUE!</v>
      </c>
      <c r="CU65" s="64" t="e">
        <f>COUNTIFS(ranPerfilTM,$CM65,ranProf241,$BF$7,ranCatOcup,$BB$4,ranSexo,$AT$1)</f>
        <v>#VALUE!</v>
      </c>
      <c r="CV65" s="63" t="e">
        <f t="shared" ref="CV65:CV96" si="58">COUNTIFS(ranPerfilTM,$CM65,ranProf241,$BF$2,ranCatOcup,$BB$4)</f>
        <v>#VALUE!</v>
      </c>
      <c r="CW65" s="37" t="e">
        <f t="shared" ref="CW65:CW96" si="59">COUNTIFS(ranPerfilTM,$CM65,ranProf241,$BF$2,ranCatOcup,$BB$4,ranSexo,$AT$1)</f>
        <v>#VALUE!</v>
      </c>
      <c r="CX65" s="37" t="e">
        <f t="shared" ref="CX65:CX96" si="60">COUNTIFS(ranPerfilTM,$CM65,ranProf241,$BF$3,ranCatOcup,$BB$4)</f>
        <v>#VALUE!</v>
      </c>
      <c r="CY65" s="64" t="e">
        <f t="shared" ref="CY65:CY96" si="61">COUNTIFS(ranPerfilTM,$CM65,ranProf241,$BF$3,ranCatOcup,$BB$4,ranSexo,$AT$1)</f>
        <v>#VALUE!</v>
      </c>
    </row>
    <row r="66" spans="6:103" x14ac:dyDescent="0.25">
      <c r="BN66" s="37" t="str">
        <f t="shared" si="0"/>
        <v>VCL</v>
      </c>
      <c r="BO66" s="41" t="s">
        <v>111</v>
      </c>
      <c r="BP66" s="41" t="s">
        <v>357</v>
      </c>
      <c r="BQ66" s="41" t="s">
        <v>358</v>
      </c>
      <c r="BR66" s="37">
        <v>26</v>
      </c>
      <c r="CL66" s="83">
        <v>42</v>
      </c>
      <c r="CM66" s="84" t="s">
        <v>359</v>
      </c>
      <c r="CN66" s="37" t="e">
        <f t="shared" si="57"/>
        <v>#VALUE!</v>
      </c>
      <c r="CO66" s="37" t="e">
        <f t="shared" si="57"/>
        <v>#VALUE!</v>
      </c>
      <c r="CP66" s="38" t="e">
        <f>COUNTIFS(ranPerfilTM,$CM66,ranProf241,$BF$10,ranCatOcup,$BB$4)</f>
        <v>#VALUE!</v>
      </c>
      <c r="CQ66" s="37" t="e">
        <f>COUNTIFS(ranPerfilTM,$CM66,ranProf241,$BF$10,ranCatOcup,$BB$4,ranSexo,$AT$1)</f>
        <v>#VALUE!</v>
      </c>
      <c r="CR66" s="65" t="e">
        <f>COUNTIFS(ranPerfilTM,$CM66,ranProf241,$BF$5,ranCatOcup,$BB$4)</f>
        <v>#VALUE!</v>
      </c>
      <c r="CS66" s="37" t="e">
        <f>COUNTIFS(ranPerfilTM,$CM66,ranProf241,$BF$5,ranCatOcup,$BB$4,ranSexo,$AT$1)</f>
        <v>#VALUE!</v>
      </c>
      <c r="CT66" s="66" t="e">
        <f>COUNTIFS(ranPerfilTM,$CM66,ranProf241,$BF$7,ranCatOcup,$BB$4)</f>
        <v>#VALUE!</v>
      </c>
      <c r="CU66" s="64" t="e">
        <f>COUNTIFS(ranPerfilTM,$CM66,ranProf241,$BF$7,ranCatOcup,$BB$4,ranSexo,$AT$1)</f>
        <v>#VALUE!</v>
      </c>
      <c r="CV66" s="63" t="e">
        <f t="shared" si="58"/>
        <v>#VALUE!</v>
      </c>
      <c r="CW66" s="37" t="e">
        <f t="shared" si="59"/>
        <v>#VALUE!</v>
      </c>
      <c r="CX66" s="37" t="e">
        <f t="shared" si="60"/>
        <v>#VALUE!</v>
      </c>
      <c r="CY66" s="64" t="e">
        <f t="shared" si="61"/>
        <v>#VALUE!</v>
      </c>
    </row>
    <row r="67" spans="6:103" x14ac:dyDescent="0.25">
      <c r="BN67" s="37" t="str">
        <f t="shared" si="0"/>
        <v>VCL</v>
      </c>
      <c r="BO67" s="41" t="s">
        <v>123</v>
      </c>
      <c r="BP67" s="41" t="s">
        <v>360</v>
      </c>
      <c r="BQ67" s="41" t="s">
        <v>361</v>
      </c>
      <c r="BR67" s="37">
        <v>26</v>
      </c>
      <c r="CL67" s="63">
        <v>42</v>
      </c>
      <c r="CM67" s="37" t="s">
        <v>359</v>
      </c>
      <c r="CN67" s="38"/>
      <c r="CO67" s="38"/>
      <c r="CP67" s="38"/>
      <c r="CQ67" s="38"/>
      <c r="CR67" s="38"/>
      <c r="CS67" s="38"/>
      <c r="CT67" s="38"/>
      <c r="CU67" s="93"/>
      <c r="CV67" s="63" t="e">
        <f t="shared" si="58"/>
        <v>#VALUE!</v>
      </c>
      <c r="CW67" s="37" t="e">
        <f t="shared" si="59"/>
        <v>#VALUE!</v>
      </c>
      <c r="CX67" s="37" t="e">
        <f t="shared" si="60"/>
        <v>#VALUE!</v>
      </c>
      <c r="CY67" s="64" t="e">
        <f t="shared" si="61"/>
        <v>#VALUE!</v>
      </c>
    </row>
    <row r="68" spans="6:103" x14ac:dyDescent="0.25">
      <c r="BN68" s="37" t="str">
        <f t="shared" si="0"/>
        <v>VCL</v>
      </c>
      <c r="BO68" s="41" t="s">
        <v>132</v>
      </c>
      <c r="BP68" s="41" t="s">
        <v>362</v>
      </c>
      <c r="BQ68" s="41" t="s">
        <v>363</v>
      </c>
      <c r="BR68" s="37">
        <v>26</v>
      </c>
      <c r="CL68" s="63">
        <v>42</v>
      </c>
      <c r="CM68" s="37" t="s">
        <v>364</v>
      </c>
      <c r="CN68" s="37" t="e">
        <f t="shared" ref="CN68:CO71" si="62">SUM(CP68,CR68,CT68,CV68,CX68)</f>
        <v>#VALUE!</v>
      </c>
      <c r="CO68" s="37" t="e">
        <f t="shared" si="62"/>
        <v>#VALUE!</v>
      </c>
      <c r="CP68" s="38" t="e">
        <f>COUNTIFS(ranPerfilTM,$CM68,ranProf241,$BF$10,ranCatOcup,$BB$4)</f>
        <v>#VALUE!</v>
      </c>
      <c r="CQ68" s="37" t="e">
        <f>COUNTIFS(ranPerfilTM,$CM68,ranProf241,$BF$10,ranCatOcup,$BB$4,ranSexo,$AT$1)</f>
        <v>#VALUE!</v>
      </c>
      <c r="CR68" s="65" t="e">
        <f>COUNTIFS(ranPerfilTM,$CM68,ranProf241,$BF$5,ranCatOcup,$BB$4)</f>
        <v>#VALUE!</v>
      </c>
      <c r="CS68" s="37" t="e">
        <f>COUNTIFS(ranPerfilTM,$CM68,ranProf241,$BF$5,ranCatOcup,$BB$4,ranSexo,$AT$1)</f>
        <v>#VALUE!</v>
      </c>
      <c r="CT68" s="66" t="e">
        <f>COUNTIFS(ranPerfilTM,$CM68,ranProf241,$BF$7,ranCatOcup,$BB$4)</f>
        <v>#VALUE!</v>
      </c>
      <c r="CU68" s="64" t="e">
        <f>COUNTIFS(ranPerfilTM,$CM68,ranProf241,$BF$7,ranCatOcup,$BB$4,ranSexo,$AT$1)</f>
        <v>#VALUE!</v>
      </c>
      <c r="CV68" s="63" t="e">
        <f t="shared" si="58"/>
        <v>#VALUE!</v>
      </c>
      <c r="CW68" s="37" t="e">
        <f t="shared" si="59"/>
        <v>#VALUE!</v>
      </c>
      <c r="CX68" s="37" t="e">
        <f t="shared" si="60"/>
        <v>#VALUE!</v>
      </c>
      <c r="CY68" s="64" t="e">
        <f t="shared" si="61"/>
        <v>#VALUE!</v>
      </c>
    </row>
    <row r="69" spans="6:103" x14ac:dyDescent="0.25">
      <c r="BN69" s="37" t="str">
        <f t="shared" ref="BN69:BN132" si="63">INDEX($BK$2:$BK$17,MATCH(BR69,$BL$2:$BL$17,0))</f>
        <v>VCL</v>
      </c>
      <c r="BO69" s="41" t="s">
        <v>140</v>
      </c>
      <c r="BP69" s="41" t="s">
        <v>365</v>
      </c>
      <c r="BQ69" s="41" t="s">
        <v>366</v>
      </c>
      <c r="BR69" s="37">
        <v>26</v>
      </c>
      <c r="CL69" s="63">
        <v>42</v>
      </c>
      <c r="CM69" s="37" t="s">
        <v>367</v>
      </c>
      <c r="CN69" s="37" t="e">
        <f t="shared" si="62"/>
        <v>#VALUE!</v>
      </c>
      <c r="CO69" s="37" t="e">
        <f t="shared" si="62"/>
        <v>#VALUE!</v>
      </c>
      <c r="CP69" s="38" t="e">
        <f>COUNTIFS(ranPerfilTM,$CM69,ranProf241,$BF$10,ranCatOcup,$BB$4)</f>
        <v>#VALUE!</v>
      </c>
      <c r="CQ69" s="37" t="e">
        <f>COUNTIFS(ranPerfilTM,$CM69,ranProf241,$BF$10,ranCatOcup,$BB$4,ranSexo,$AT$1)</f>
        <v>#VALUE!</v>
      </c>
      <c r="CR69" s="65" t="e">
        <f>COUNTIFS(ranPerfilTM,$CM69,ranProf241,$BF$5,ranCatOcup,$BB$4)</f>
        <v>#VALUE!</v>
      </c>
      <c r="CS69" s="37" t="e">
        <f>COUNTIFS(ranPerfilTM,$CM69,ranProf241,$BF$5,ranCatOcup,$BB$4,ranSexo,$AT$1)</f>
        <v>#VALUE!</v>
      </c>
      <c r="CT69" s="66" t="e">
        <f>COUNTIFS(ranPerfilTM,$CM69,ranProf241,$BF$7,ranCatOcup,$BB$4)</f>
        <v>#VALUE!</v>
      </c>
      <c r="CU69" s="64" t="e">
        <f>COUNTIFS(ranPerfilTM,$CM69,ranProf241,$BF$7,ranCatOcup,$BB$4,ranSexo,$AT$1)</f>
        <v>#VALUE!</v>
      </c>
      <c r="CV69" s="63" t="e">
        <f t="shared" si="58"/>
        <v>#VALUE!</v>
      </c>
      <c r="CW69" s="37" t="e">
        <f t="shared" si="59"/>
        <v>#VALUE!</v>
      </c>
      <c r="CX69" s="37" t="e">
        <f t="shared" si="60"/>
        <v>#VALUE!</v>
      </c>
      <c r="CY69" s="64" t="e">
        <f t="shared" si="61"/>
        <v>#VALUE!</v>
      </c>
    </row>
    <row r="70" spans="6:103" x14ac:dyDescent="0.25">
      <c r="BN70" s="37" t="str">
        <f t="shared" si="63"/>
        <v>VCL</v>
      </c>
      <c r="BO70" s="41" t="s">
        <v>148</v>
      </c>
      <c r="BP70" s="41" t="s">
        <v>368</v>
      </c>
      <c r="BQ70" s="41" t="s">
        <v>369</v>
      </c>
      <c r="BR70" s="37">
        <v>26</v>
      </c>
      <c r="CL70" s="63">
        <v>43</v>
      </c>
      <c r="CM70" s="37" t="s">
        <v>246</v>
      </c>
      <c r="CN70" s="37" t="e">
        <f t="shared" si="62"/>
        <v>#VALUE!</v>
      </c>
      <c r="CO70" s="37" t="e">
        <f t="shared" si="62"/>
        <v>#VALUE!</v>
      </c>
      <c r="CP70" s="38" t="e">
        <f>COUNTIFS(ranPerfilTM,$CM70,ranProf241,$BF$10,ranCatOcup,$BB$4)</f>
        <v>#VALUE!</v>
      </c>
      <c r="CQ70" s="37" t="e">
        <f>COUNTIFS(ranPerfilTM,$CM70,ranProf241,$BF$10,ranCatOcup,$BB$4,ranSexo,$AT$1)</f>
        <v>#VALUE!</v>
      </c>
      <c r="CR70" s="65" t="e">
        <f>COUNTIFS(ranPerfilTM,$CM70,ranProf241,$BF$5,ranCatOcup,$BB$4)</f>
        <v>#VALUE!</v>
      </c>
      <c r="CS70" s="37" t="e">
        <f>COUNTIFS(ranPerfilTM,$CM70,ranProf241,$BF$5,ranCatOcup,$BB$4,ranSexo,$AT$1)</f>
        <v>#VALUE!</v>
      </c>
      <c r="CT70" s="66" t="e">
        <f>COUNTIFS(ranPerfilTM,$CM70,ranProf241,$BF$7,ranCatOcup,$BB$4)</f>
        <v>#VALUE!</v>
      </c>
      <c r="CU70" s="64" t="e">
        <f>COUNTIFS(ranPerfilTM,$CM70,ranProf241,$BF$7,ranCatOcup,$BB$4,ranSexo,$AT$1)</f>
        <v>#VALUE!</v>
      </c>
      <c r="CV70" s="63" t="e">
        <f t="shared" si="58"/>
        <v>#VALUE!</v>
      </c>
      <c r="CW70" s="37" t="e">
        <f t="shared" si="59"/>
        <v>#VALUE!</v>
      </c>
      <c r="CX70" s="37" t="e">
        <f t="shared" si="60"/>
        <v>#VALUE!</v>
      </c>
      <c r="CY70" s="64" t="e">
        <f t="shared" si="61"/>
        <v>#VALUE!</v>
      </c>
    </row>
    <row r="71" spans="6:103" x14ac:dyDescent="0.25">
      <c r="BN71" s="37" t="str">
        <f t="shared" si="63"/>
        <v>VCL</v>
      </c>
      <c r="BO71" s="41" t="s">
        <v>155</v>
      </c>
      <c r="BP71" s="41" t="s">
        <v>370</v>
      </c>
      <c r="BQ71" s="41" t="s">
        <v>371</v>
      </c>
      <c r="BR71" s="37">
        <v>26</v>
      </c>
      <c r="CL71" s="83">
        <v>43</v>
      </c>
      <c r="CM71" s="84" t="s">
        <v>372</v>
      </c>
      <c r="CN71" s="37" t="e">
        <f t="shared" si="62"/>
        <v>#VALUE!</v>
      </c>
      <c r="CO71" s="37" t="e">
        <f t="shared" si="62"/>
        <v>#VALUE!</v>
      </c>
      <c r="CP71" s="38" t="e">
        <f>COUNTIFS(ranPerfilTM,$CM71,ranProf241,$BF$10,ranCatOcup,$BB$4)</f>
        <v>#VALUE!</v>
      </c>
      <c r="CQ71" s="37" t="e">
        <f>COUNTIFS(ranPerfilTM,$CM71,ranProf241,$BF$10,ranCatOcup,$BB$4,ranSexo,$AT$1)</f>
        <v>#VALUE!</v>
      </c>
      <c r="CR71" s="65" t="e">
        <f>COUNTIFS(ranPerfilTM,$CM71,ranProf241,$BF$5,ranCatOcup,$BB$4)</f>
        <v>#VALUE!</v>
      </c>
      <c r="CS71" s="37" t="e">
        <f>COUNTIFS(ranPerfilTM,$CM71,ranProf241,$BF$5,ranCatOcup,$BB$4,ranSexo,$AT$1)</f>
        <v>#VALUE!</v>
      </c>
      <c r="CT71" s="66" t="e">
        <f>COUNTIFS(ranPerfilTM,$CM71,ranProf241,$BF$7,ranCatOcup,$BB$4)</f>
        <v>#VALUE!</v>
      </c>
      <c r="CU71" s="64" t="e">
        <f>COUNTIFS(ranPerfilTM,$CM71,ranProf241,$BF$7,ranCatOcup,$BB$4,ranSexo,$AT$1)</f>
        <v>#VALUE!</v>
      </c>
      <c r="CV71" s="63" t="e">
        <f t="shared" si="58"/>
        <v>#VALUE!</v>
      </c>
      <c r="CW71" s="37" t="e">
        <f t="shared" si="59"/>
        <v>#VALUE!</v>
      </c>
      <c r="CX71" s="37" t="e">
        <f t="shared" si="60"/>
        <v>#VALUE!</v>
      </c>
      <c r="CY71" s="64" t="e">
        <f t="shared" si="61"/>
        <v>#VALUE!</v>
      </c>
    </row>
    <row r="72" spans="6:103" x14ac:dyDescent="0.25">
      <c r="BN72" s="37" t="str">
        <f t="shared" si="63"/>
        <v>VCL</v>
      </c>
      <c r="BO72" s="41" t="s">
        <v>163</v>
      </c>
      <c r="BP72" s="41" t="s">
        <v>373</v>
      </c>
      <c r="BQ72" s="41" t="s">
        <v>374</v>
      </c>
      <c r="BR72" s="37">
        <v>26</v>
      </c>
      <c r="CL72" s="63">
        <v>43</v>
      </c>
      <c r="CM72" s="37" t="s">
        <v>372</v>
      </c>
      <c r="CN72" s="38"/>
      <c r="CO72" s="38"/>
      <c r="CP72" s="38"/>
      <c r="CQ72" s="38"/>
      <c r="CR72" s="38"/>
      <c r="CS72" s="38"/>
      <c r="CT72" s="38"/>
      <c r="CU72" s="93"/>
      <c r="CV72" s="63" t="e">
        <f t="shared" si="58"/>
        <v>#VALUE!</v>
      </c>
      <c r="CW72" s="37" t="e">
        <f t="shared" si="59"/>
        <v>#VALUE!</v>
      </c>
      <c r="CX72" s="37" t="e">
        <f t="shared" si="60"/>
        <v>#VALUE!</v>
      </c>
      <c r="CY72" s="64" t="e">
        <f t="shared" si="61"/>
        <v>#VALUE!</v>
      </c>
    </row>
    <row r="73" spans="6:103" x14ac:dyDescent="0.25">
      <c r="BN73" s="37" t="str">
        <f t="shared" si="63"/>
        <v>VCL</v>
      </c>
      <c r="BO73" s="41" t="s">
        <v>170</v>
      </c>
      <c r="BP73" s="41" t="s">
        <v>375</v>
      </c>
      <c r="BQ73" s="41" t="s">
        <v>376</v>
      </c>
      <c r="BR73" s="37">
        <v>26</v>
      </c>
      <c r="CL73" s="63">
        <v>43</v>
      </c>
      <c r="CM73" s="37" t="s">
        <v>377</v>
      </c>
      <c r="CN73" s="37" t="e">
        <f t="shared" ref="CN73:CO75" si="64">SUM(CP73,CR73,CT73,CV73,CX73)</f>
        <v>#VALUE!</v>
      </c>
      <c r="CO73" s="37" t="e">
        <f t="shared" si="64"/>
        <v>#VALUE!</v>
      </c>
      <c r="CP73" s="38" t="e">
        <f>COUNTIFS(ranPerfilTM,$CM73,ranProf241,$BF$10,ranCatOcup,$BB$4)</f>
        <v>#VALUE!</v>
      </c>
      <c r="CQ73" s="37" t="e">
        <f>COUNTIFS(ranPerfilTM,$CM73,ranProf241,$BF$10,ranCatOcup,$BB$4,ranSexo,$AT$1)</f>
        <v>#VALUE!</v>
      </c>
      <c r="CR73" s="65" t="e">
        <f>COUNTIFS(ranPerfilTM,$CM73,ranProf241,$BF$5,ranCatOcup,$BB$4)</f>
        <v>#VALUE!</v>
      </c>
      <c r="CS73" s="37" t="e">
        <f>COUNTIFS(ranPerfilTM,$CM73,ranProf241,$BF$5,ranCatOcup,$BB$4,ranSexo,$AT$1)</f>
        <v>#VALUE!</v>
      </c>
      <c r="CT73" s="66" t="e">
        <f>COUNTIFS(ranPerfilTM,$CM73,ranProf241,$BF$7,ranCatOcup,$BB$4)</f>
        <v>#VALUE!</v>
      </c>
      <c r="CU73" s="64" t="e">
        <f>COUNTIFS(ranPerfilTM,$CM73,ranProf241,$BF$7,ranCatOcup,$BB$4,ranSexo,$AT$1)</f>
        <v>#VALUE!</v>
      </c>
      <c r="CV73" s="63" t="e">
        <f t="shared" si="58"/>
        <v>#VALUE!</v>
      </c>
      <c r="CW73" s="37" t="e">
        <f t="shared" si="59"/>
        <v>#VALUE!</v>
      </c>
      <c r="CX73" s="37" t="e">
        <f t="shared" si="60"/>
        <v>#VALUE!</v>
      </c>
      <c r="CY73" s="64" t="e">
        <f t="shared" si="61"/>
        <v>#VALUE!</v>
      </c>
    </row>
    <row r="74" spans="6:103" x14ac:dyDescent="0.25">
      <c r="BN74" s="37" t="str">
        <f t="shared" si="63"/>
        <v>VCL</v>
      </c>
      <c r="BO74" s="41" t="s">
        <v>178</v>
      </c>
      <c r="BP74" s="41" t="s">
        <v>378</v>
      </c>
      <c r="BQ74" s="41" t="s">
        <v>379</v>
      </c>
      <c r="BR74" s="37">
        <v>26</v>
      </c>
      <c r="CL74" s="63">
        <v>44</v>
      </c>
      <c r="CM74" s="37" t="s">
        <v>264</v>
      </c>
      <c r="CN74" s="37" t="e">
        <f t="shared" si="64"/>
        <v>#VALUE!</v>
      </c>
      <c r="CO74" s="37" t="e">
        <f t="shared" si="64"/>
        <v>#VALUE!</v>
      </c>
      <c r="CP74" s="38" t="e">
        <f>COUNTIFS(ranPerfilTM,$CM74,ranProf241,$BF$10,ranCatOcup,$BB$4)</f>
        <v>#VALUE!</v>
      </c>
      <c r="CQ74" s="37" t="e">
        <f>COUNTIFS(ranPerfilTM,$CM74,ranProf241,$BF$10,ranCatOcup,$BB$4,ranSexo,$AT$1)</f>
        <v>#VALUE!</v>
      </c>
      <c r="CR74" s="65" t="e">
        <f>COUNTIFS(ranPerfilTM,$CM74,ranProf241,$BF$5,ranCatOcup,$BB$4)</f>
        <v>#VALUE!</v>
      </c>
      <c r="CS74" s="37" t="e">
        <f>COUNTIFS(ranPerfilTM,$CM74,ranProf241,$BF$5,ranCatOcup,$BB$4,ranSexo,$AT$1)</f>
        <v>#VALUE!</v>
      </c>
      <c r="CT74" s="66" t="e">
        <f>COUNTIFS(ranPerfilTM,$CM74,ranProf241,$BF$7,ranCatOcup,$BB$4)</f>
        <v>#VALUE!</v>
      </c>
      <c r="CU74" s="64" t="e">
        <f>COUNTIFS(ranPerfilTM,$CM74,ranProf241,$BF$7,ranCatOcup,$BB$4,ranSexo,$AT$1)</f>
        <v>#VALUE!</v>
      </c>
      <c r="CV74" s="63" t="e">
        <f t="shared" si="58"/>
        <v>#VALUE!</v>
      </c>
      <c r="CW74" s="37" t="e">
        <f t="shared" si="59"/>
        <v>#VALUE!</v>
      </c>
      <c r="CX74" s="37" t="e">
        <f t="shared" si="60"/>
        <v>#VALUE!</v>
      </c>
      <c r="CY74" s="64" t="e">
        <f t="shared" si="61"/>
        <v>#VALUE!</v>
      </c>
    </row>
    <row r="75" spans="6:103" x14ac:dyDescent="0.25">
      <c r="BN75" s="37" t="str">
        <f t="shared" si="63"/>
        <v>VCL</v>
      </c>
      <c r="BO75" s="41" t="s">
        <v>187</v>
      </c>
      <c r="BP75" s="41" t="s">
        <v>380</v>
      </c>
      <c r="BQ75" s="41" t="s">
        <v>381</v>
      </c>
      <c r="BR75" s="37">
        <v>26</v>
      </c>
      <c r="CL75" s="83">
        <v>44</v>
      </c>
      <c r="CM75" s="84" t="s">
        <v>382</v>
      </c>
      <c r="CN75" s="37" t="e">
        <f t="shared" si="64"/>
        <v>#VALUE!</v>
      </c>
      <c r="CO75" s="37" t="e">
        <f t="shared" si="64"/>
        <v>#VALUE!</v>
      </c>
      <c r="CP75" s="38" t="e">
        <f>COUNTIFS(ranPerfilTM,$CM75,ranProf241,$BF$10,ranCatOcup,$BB$4)</f>
        <v>#VALUE!</v>
      </c>
      <c r="CQ75" s="37" t="e">
        <f>COUNTIFS(ranPerfilTM,$CM75,ranProf241,$BF$10,ranCatOcup,$BB$4,ranSexo,$AT$1)</f>
        <v>#VALUE!</v>
      </c>
      <c r="CR75" s="65" t="e">
        <f>COUNTIFS(ranPerfilTM,$CM75,ranProf241,$BF$5,ranCatOcup,$BB$4)</f>
        <v>#VALUE!</v>
      </c>
      <c r="CS75" s="37" t="e">
        <f>COUNTIFS(ranPerfilTM,$CM75,ranProf241,$BF$5,ranCatOcup,$BB$4,ranSexo,$AT$1)</f>
        <v>#VALUE!</v>
      </c>
      <c r="CT75" s="66" t="e">
        <f>COUNTIFS(ranPerfilTM,$CM75,ranProf241,$BF$7,ranCatOcup,$BB$4)</f>
        <v>#VALUE!</v>
      </c>
      <c r="CU75" s="64" t="e">
        <f>COUNTIFS(ranPerfilTM,$CM75,ranProf241,$BF$7,ranCatOcup,$BB$4,ranSexo,$AT$1)</f>
        <v>#VALUE!</v>
      </c>
      <c r="CV75" s="63" t="e">
        <f t="shared" si="58"/>
        <v>#VALUE!</v>
      </c>
      <c r="CW75" s="37" t="e">
        <f t="shared" si="59"/>
        <v>#VALUE!</v>
      </c>
      <c r="CX75" s="37" t="e">
        <f t="shared" si="60"/>
        <v>#VALUE!</v>
      </c>
      <c r="CY75" s="64" t="e">
        <f t="shared" si="61"/>
        <v>#VALUE!</v>
      </c>
    </row>
    <row r="76" spans="6:103" x14ac:dyDescent="0.25">
      <c r="BN76" s="37" t="str">
        <f t="shared" si="63"/>
        <v>VCL</v>
      </c>
      <c r="BO76" s="41" t="s">
        <v>200</v>
      </c>
      <c r="BP76" s="41" t="s">
        <v>383</v>
      </c>
      <c r="BQ76" s="41" t="s">
        <v>384</v>
      </c>
      <c r="BR76" s="37">
        <v>26</v>
      </c>
      <c r="CL76" s="63">
        <v>44</v>
      </c>
      <c r="CM76" s="37" t="s">
        <v>382</v>
      </c>
      <c r="CN76" s="38"/>
      <c r="CO76" s="38"/>
      <c r="CP76" s="38"/>
      <c r="CQ76" s="38"/>
      <c r="CR76" s="38"/>
      <c r="CS76" s="38"/>
      <c r="CT76" s="38"/>
      <c r="CU76" s="93"/>
      <c r="CV76" s="63" t="e">
        <f t="shared" si="58"/>
        <v>#VALUE!</v>
      </c>
      <c r="CW76" s="37" t="e">
        <f t="shared" si="59"/>
        <v>#VALUE!</v>
      </c>
      <c r="CX76" s="37" t="e">
        <f t="shared" si="60"/>
        <v>#VALUE!</v>
      </c>
      <c r="CY76" s="64" t="e">
        <f t="shared" si="61"/>
        <v>#VALUE!</v>
      </c>
    </row>
    <row r="77" spans="6:103" x14ac:dyDescent="0.25">
      <c r="BN77" s="37" t="str">
        <f t="shared" si="63"/>
        <v>VCL</v>
      </c>
      <c r="BO77" s="41" t="s">
        <v>280</v>
      </c>
      <c r="BP77" s="41" t="s">
        <v>385</v>
      </c>
      <c r="BQ77" s="41" t="s">
        <v>386</v>
      </c>
      <c r="BR77" s="37">
        <v>26</v>
      </c>
      <c r="CL77" s="63">
        <v>44</v>
      </c>
      <c r="CM77" s="37" t="s">
        <v>387</v>
      </c>
      <c r="CN77" s="37" t="e">
        <f t="shared" ref="CN77:CO79" si="65">SUM(CP77,CR77,CT77,CV77,CX77)</f>
        <v>#VALUE!</v>
      </c>
      <c r="CO77" s="37" t="e">
        <f t="shared" si="65"/>
        <v>#VALUE!</v>
      </c>
      <c r="CP77" s="38" t="e">
        <f>COUNTIFS(ranPerfilTM,$CM77,ranProf241,$BF$10,ranCatOcup,$BB$4)</f>
        <v>#VALUE!</v>
      </c>
      <c r="CQ77" s="37" t="e">
        <f>COUNTIFS(ranPerfilTM,$CM77,ranProf241,$BF$10,ranCatOcup,$BB$4,ranSexo,$AT$1)</f>
        <v>#VALUE!</v>
      </c>
      <c r="CR77" s="65" t="e">
        <f>COUNTIFS(ranPerfilTM,$CM77,ranProf241,$BF$5,ranCatOcup,$BB$4)</f>
        <v>#VALUE!</v>
      </c>
      <c r="CS77" s="37" t="e">
        <f>COUNTIFS(ranPerfilTM,$CM77,ranProf241,$BF$5,ranCatOcup,$BB$4,ranSexo,$AT$1)</f>
        <v>#VALUE!</v>
      </c>
      <c r="CT77" s="66" t="e">
        <f>COUNTIFS(ranPerfilTM,$CM77,ranProf241,$BF$7,ranCatOcup,$BB$4)</f>
        <v>#VALUE!</v>
      </c>
      <c r="CU77" s="64" t="e">
        <f>COUNTIFS(ranPerfilTM,$CM77,ranProf241,$BF$7,ranCatOcup,$BB$4,ranSexo,$AT$1)</f>
        <v>#VALUE!</v>
      </c>
      <c r="CV77" s="63" t="e">
        <f t="shared" si="58"/>
        <v>#VALUE!</v>
      </c>
      <c r="CW77" s="37" t="e">
        <f t="shared" si="59"/>
        <v>#VALUE!</v>
      </c>
      <c r="CX77" s="37" t="e">
        <f t="shared" si="60"/>
        <v>#VALUE!</v>
      </c>
      <c r="CY77" s="64" t="e">
        <f t="shared" si="61"/>
        <v>#VALUE!</v>
      </c>
    </row>
    <row r="78" spans="6:103" x14ac:dyDescent="0.25">
      <c r="BN78" s="37" t="str">
        <f t="shared" si="63"/>
        <v>VCL</v>
      </c>
      <c r="BO78" s="41" t="s">
        <v>284</v>
      </c>
      <c r="BP78" s="41" t="s">
        <v>388</v>
      </c>
      <c r="BQ78" s="41" t="s">
        <v>389</v>
      </c>
      <c r="BR78" s="37">
        <v>26</v>
      </c>
      <c r="CL78" s="63">
        <v>44</v>
      </c>
      <c r="CM78" s="37" t="s">
        <v>390</v>
      </c>
      <c r="CN78" s="37" t="e">
        <f t="shared" si="65"/>
        <v>#VALUE!</v>
      </c>
      <c r="CO78" s="37" t="e">
        <f t="shared" si="65"/>
        <v>#VALUE!</v>
      </c>
      <c r="CP78" s="38" t="e">
        <f>COUNTIFS(ranPerfilTM,$CM78,ranProf241,$BF$10,ranCatOcup,$BB$4)</f>
        <v>#VALUE!</v>
      </c>
      <c r="CQ78" s="37" t="e">
        <f>COUNTIFS(ranPerfilTM,$CM78,ranProf241,$BF$10,ranCatOcup,$BB$4,ranSexo,$AT$1)</f>
        <v>#VALUE!</v>
      </c>
      <c r="CR78" s="65" t="e">
        <f>COUNTIFS(ranPerfilTM,$CM78,ranProf241,$BF$5,ranCatOcup,$BB$4)</f>
        <v>#VALUE!</v>
      </c>
      <c r="CS78" s="37" t="e">
        <f>COUNTIFS(ranPerfilTM,$CM78,ranProf241,$BF$5,ranCatOcup,$BB$4,ranSexo,$AT$1)</f>
        <v>#VALUE!</v>
      </c>
      <c r="CT78" s="66" t="e">
        <f>COUNTIFS(ranPerfilTM,$CM78,ranProf241,$BF$7,ranCatOcup,$BB$4)</f>
        <v>#VALUE!</v>
      </c>
      <c r="CU78" s="64" t="e">
        <f>COUNTIFS(ranPerfilTM,$CM78,ranProf241,$BF$7,ranCatOcup,$BB$4,ranSexo,$AT$1)</f>
        <v>#VALUE!</v>
      </c>
      <c r="CV78" s="63" t="e">
        <f t="shared" si="58"/>
        <v>#VALUE!</v>
      </c>
      <c r="CW78" s="37" t="e">
        <f t="shared" si="59"/>
        <v>#VALUE!</v>
      </c>
      <c r="CX78" s="37" t="e">
        <f t="shared" si="60"/>
        <v>#VALUE!</v>
      </c>
      <c r="CY78" s="64" t="e">
        <f t="shared" si="61"/>
        <v>#VALUE!</v>
      </c>
    </row>
    <row r="79" spans="6:103" x14ac:dyDescent="0.25">
      <c r="BN79" s="37" t="str">
        <f t="shared" si="63"/>
        <v>CFG</v>
      </c>
      <c r="BO79" s="41" t="s">
        <v>111</v>
      </c>
      <c r="BP79" s="41" t="s">
        <v>391</v>
      </c>
      <c r="BQ79" s="41" t="s">
        <v>392</v>
      </c>
      <c r="BR79" s="37">
        <v>27</v>
      </c>
      <c r="CL79" s="83">
        <v>45</v>
      </c>
      <c r="CM79" s="84" t="s">
        <v>393</v>
      </c>
      <c r="CN79" s="37" t="e">
        <f t="shared" si="65"/>
        <v>#VALUE!</v>
      </c>
      <c r="CO79" s="37" t="e">
        <f t="shared" si="65"/>
        <v>#VALUE!</v>
      </c>
      <c r="CP79" s="38" t="e">
        <f>COUNTIFS(ranPerfilTM,$CM79,ranProf241,$BF$10,ranCatOcup,$BB$4)</f>
        <v>#VALUE!</v>
      </c>
      <c r="CQ79" s="37" t="e">
        <f>COUNTIFS(ranPerfilTM,$CM79,ranProf241,$BF$10,ranCatOcup,$BB$4,ranSexo,$AT$1)</f>
        <v>#VALUE!</v>
      </c>
      <c r="CR79" s="65" t="e">
        <f>COUNTIFS(ranPerfilTM,$CM79,ranProf241,$BF$5,ranCatOcup,$BB$4)</f>
        <v>#VALUE!</v>
      </c>
      <c r="CS79" s="37" t="e">
        <f>COUNTIFS(ranPerfilTM,$CM79,ranProf241,$BF$5,ranCatOcup,$BB$4,ranSexo,$AT$1)</f>
        <v>#VALUE!</v>
      </c>
      <c r="CT79" s="66" t="e">
        <f>COUNTIFS(ranPerfilTM,$CM79,ranProf241,$BF$7,ranCatOcup,$BB$4)</f>
        <v>#VALUE!</v>
      </c>
      <c r="CU79" s="64" t="e">
        <f>COUNTIFS(ranPerfilTM,$CM79,ranProf241,$BF$7,ranCatOcup,$BB$4,ranSexo,$AT$1)</f>
        <v>#VALUE!</v>
      </c>
      <c r="CV79" s="63" t="e">
        <f t="shared" si="58"/>
        <v>#VALUE!</v>
      </c>
      <c r="CW79" s="37" t="e">
        <f t="shared" si="59"/>
        <v>#VALUE!</v>
      </c>
      <c r="CX79" s="37" t="e">
        <f t="shared" si="60"/>
        <v>#VALUE!</v>
      </c>
      <c r="CY79" s="64" t="e">
        <f t="shared" si="61"/>
        <v>#VALUE!</v>
      </c>
    </row>
    <row r="80" spans="6:103" x14ac:dyDescent="0.25">
      <c r="BN80" s="37" t="str">
        <f t="shared" si="63"/>
        <v>CFG</v>
      </c>
      <c r="BO80" s="41" t="s">
        <v>123</v>
      </c>
      <c r="BP80" s="41" t="s">
        <v>394</v>
      </c>
      <c r="BQ80" s="41" t="s">
        <v>395</v>
      </c>
      <c r="BR80" s="37">
        <v>27</v>
      </c>
      <c r="CL80" s="63">
        <v>45</v>
      </c>
      <c r="CM80" s="37" t="s">
        <v>393</v>
      </c>
      <c r="CN80" s="38"/>
      <c r="CO80" s="38"/>
      <c r="CP80" s="38"/>
      <c r="CQ80" s="38"/>
      <c r="CR80" s="38"/>
      <c r="CS80" s="38"/>
      <c r="CT80" s="38"/>
      <c r="CU80" s="93"/>
      <c r="CV80" s="63" t="e">
        <f t="shared" si="58"/>
        <v>#VALUE!</v>
      </c>
      <c r="CW80" s="37" t="e">
        <f t="shared" si="59"/>
        <v>#VALUE!</v>
      </c>
      <c r="CX80" s="37" t="e">
        <f t="shared" si="60"/>
        <v>#VALUE!</v>
      </c>
      <c r="CY80" s="64" t="e">
        <f t="shared" si="61"/>
        <v>#VALUE!</v>
      </c>
    </row>
    <row r="81" spans="66:103" x14ac:dyDescent="0.25">
      <c r="BN81" s="37" t="str">
        <f t="shared" si="63"/>
        <v>CFG</v>
      </c>
      <c r="BO81" s="41" t="s">
        <v>132</v>
      </c>
      <c r="BP81" s="41" t="s">
        <v>396</v>
      </c>
      <c r="BQ81" s="41" t="s">
        <v>397</v>
      </c>
      <c r="BR81" s="37">
        <v>27</v>
      </c>
      <c r="CL81" s="63">
        <v>45</v>
      </c>
      <c r="CM81" s="37" t="s">
        <v>398</v>
      </c>
      <c r="CN81" s="37" t="e">
        <f>SUM(CP81,CR81,CT81,CV81,CX81)</f>
        <v>#VALUE!</v>
      </c>
      <c r="CO81" s="37" t="e">
        <f>SUM(CQ81,CS81,CU81,CW81,CY81)</f>
        <v>#VALUE!</v>
      </c>
      <c r="CP81" s="38" t="e">
        <f>COUNTIFS(ranPerfilTM,$CM81,ranProf241,$BF$10,ranCatOcup,$BB$4)</f>
        <v>#VALUE!</v>
      </c>
      <c r="CQ81" s="37" t="e">
        <f>COUNTIFS(ranPerfilTM,$CM81,ranProf241,$BF$10,ranCatOcup,$BB$4,ranSexo,$AT$1)</f>
        <v>#VALUE!</v>
      </c>
      <c r="CR81" s="65" t="e">
        <f>COUNTIFS(ranPerfilTM,$CM81,ranProf241,$BF$5,ranCatOcup,$BB$4)</f>
        <v>#VALUE!</v>
      </c>
      <c r="CS81" s="37" t="e">
        <f>COUNTIFS(ranPerfilTM,$CM81,ranProf241,$BF$5,ranCatOcup,$BB$4,ranSexo,$AT$1)</f>
        <v>#VALUE!</v>
      </c>
      <c r="CT81" s="66" t="e">
        <f>COUNTIFS(ranPerfilTM,$CM81,ranProf241,$BF$7,ranCatOcup,$BB$4)</f>
        <v>#VALUE!</v>
      </c>
      <c r="CU81" s="64" t="e">
        <f>COUNTIFS(ranPerfilTM,$CM81,ranProf241,$BF$7,ranCatOcup,$BB$4,ranSexo,$AT$1)</f>
        <v>#VALUE!</v>
      </c>
      <c r="CV81" s="63" t="e">
        <f t="shared" si="58"/>
        <v>#VALUE!</v>
      </c>
      <c r="CW81" s="37" t="e">
        <f t="shared" si="59"/>
        <v>#VALUE!</v>
      </c>
      <c r="CX81" s="37" t="e">
        <f t="shared" si="60"/>
        <v>#VALUE!</v>
      </c>
      <c r="CY81" s="64" t="e">
        <f t="shared" si="61"/>
        <v>#VALUE!</v>
      </c>
    </row>
    <row r="82" spans="66:103" x14ac:dyDescent="0.25">
      <c r="BN82" s="37" t="str">
        <f t="shared" si="63"/>
        <v>CFG</v>
      </c>
      <c r="BO82" s="41" t="s">
        <v>140</v>
      </c>
      <c r="BP82" s="41" t="s">
        <v>399</v>
      </c>
      <c r="BQ82" s="41" t="s">
        <v>400</v>
      </c>
      <c r="BR82" s="37">
        <v>27</v>
      </c>
      <c r="CL82" s="83">
        <v>46</v>
      </c>
      <c r="CM82" s="84" t="s">
        <v>401</v>
      </c>
      <c r="CN82" s="37" t="e">
        <f>SUM(CP82,CR82,CT82,CV82,CX82)</f>
        <v>#VALUE!</v>
      </c>
      <c r="CO82" s="37" t="e">
        <f>SUM(CQ82,CS82,CU82,CW82,CY82)</f>
        <v>#VALUE!</v>
      </c>
      <c r="CP82" s="38" t="e">
        <f>COUNTIFS(ranPerfilTM,$CM82,ranProf241,$BF$10,ranCatOcup,$BB$4)</f>
        <v>#VALUE!</v>
      </c>
      <c r="CQ82" s="37" t="e">
        <f>COUNTIFS(ranPerfilTM,$CM82,ranProf241,$BF$10,ranCatOcup,$BB$4,ranSexo,$AT$1)</f>
        <v>#VALUE!</v>
      </c>
      <c r="CR82" s="65" t="e">
        <f>COUNTIFS(ranPerfilTM,$CM82,ranProf241,$BF$5,ranCatOcup,$BB$4)</f>
        <v>#VALUE!</v>
      </c>
      <c r="CS82" s="37" t="e">
        <f>COUNTIFS(ranPerfilTM,$CM82,ranProf241,$BF$5,ranCatOcup,$BB$4,ranSexo,$AT$1)</f>
        <v>#VALUE!</v>
      </c>
      <c r="CT82" s="66" t="e">
        <f>COUNTIFS(ranPerfilTM,$CM82,ranProf241,$BF$7,ranCatOcup,$BB$4)</f>
        <v>#VALUE!</v>
      </c>
      <c r="CU82" s="64" t="e">
        <f>COUNTIFS(ranPerfilTM,$CM82,ranProf241,$BF$7,ranCatOcup,$BB$4,ranSexo,$AT$1)</f>
        <v>#VALUE!</v>
      </c>
      <c r="CV82" s="63" t="e">
        <f t="shared" si="58"/>
        <v>#VALUE!</v>
      </c>
      <c r="CW82" s="37" t="e">
        <f t="shared" si="59"/>
        <v>#VALUE!</v>
      </c>
      <c r="CX82" s="37" t="e">
        <f t="shared" si="60"/>
        <v>#VALUE!</v>
      </c>
      <c r="CY82" s="64" t="e">
        <f t="shared" si="61"/>
        <v>#VALUE!</v>
      </c>
    </row>
    <row r="83" spans="66:103" x14ac:dyDescent="0.25">
      <c r="BN83" s="37" t="str">
        <f t="shared" si="63"/>
        <v>CFG</v>
      </c>
      <c r="BO83" s="41" t="s">
        <v>148</v>
      </c>
      <c r="BP83" s="41" t="s">
        <v>402</v>
      </c>
      <c r="BQ83" s="41" t="s">
        <v>403</v>
      </c>
      <c r="BR83" s="37">
        <v>27</v>
      </c>
      <c r="CL83" s="63">
        <v>46</v>
      </c>
      <c r="CM83" s="37" t="s">
        <v>401</v>
      </c>
      <c r="CN83" s="38"/>
      <c r="CO83" s="38"/>
      <c r="CP83" s="38"/>
      <c r="CQ83" s="38"/>
      <c r="CR83" s="38"/>
      <c r="CS83" s="38"/>
      <c r="CT83" s="38"/>
      <c r="CU83" s="93"/>
      <c r="CV83" s="63" t="e">
        <f t="shared" si="58"/>
        <v>#VALUE!</v>
      </c>
      <c r="CW83" s="37" t="e">
        <f t="shared" si="59"/>
        <v>#VALUE!</v>
      </c>
      <c r="CX83" s="37" t="e">
        <f t="shared" si="60"/>
        <v>#VALUE!</v>
      </c>
      <c r="CY83" s="64" t="e">
        <f t="shared" si="61"/>
        <v>#VALUE!</v>
      </c>
    </row>
    <row r="84" spans="66:103" x14ac:dyDescent="0.25">
      <c r="BN84" s="37" t="str">
        <f t="shared" si="63"/>
        <v>CFG</v>
      </c>
      <c r="BO84" s="41" t="s">
        <v>155</v>
      </c>
      <c r="BP84" s="41" t="s">
        <v>404</v>
      </c>
      <c r="BQ84" s="41" t="s">
        <v>405</v>
      </c>
      <c r="BR84" s="37">
        <v>27</v>
      </c>
      <c r="CL84" s="63">
        <v>46</v>
      </c>
      <c r="CM84" s="37" t="s">
        <v>406</v>
      </c>
      <c r="CN84" s="37" t="e">
        <f t="shared" ref="CN84:CO86" si="66">SUM(CP84,CR84,CT84,CV84,CX84)</f>
        <v>#VALUE!</v>
      </c>
      <c r="CO84" s="37" t="e">
        <f t="shared" si="66"/>
        <v>#VALUE!</v>
      </c>
      <c r="CP84" s="38" t="e">
        <f>COUNTIFS(ranPerfilTM,$CM84,ranProf241,$BF$10,ranCatOcup,$BB$4)</f>
        <v>#VALUE!</v>
      </c>
      <c r="CQ84" s="37" t="e">
        <f>COUNTIFS(ranPerfilTM,$CM84,ranProf241,$BF$10,ranCatOcup,$BB$4,ranSexo,$AT$1)</f>
        <v>#VALUE!</v>
      </c>
      <c r="CR84" s="65" t="e">
        <f>COUNTIFS(ranPerfilTM,$CM84,ranProf241,$BF$5,ranCatOcup,$BB$4)</f>
        <v>#VALUE!</v>
      </c>
      <c r="CS84" s="37" t="e">
        <f>COUNTIFS(ranPerfilTM,$CM84,ranProf241,$BF$5,ranCatOcup,$BB$4,ranSexo,$AT$1)</f>
        <v>#VALUE!</v>
      </c>
      <c r="CT84" s="66" t="e">
        <f>COUNTIFS(ranPerfilTM,$CM84,ranProf241,$BF$7,ranCatOcup,$BB$4)</f>
        <v>#VALUE!</v>
      </c>
      <c r="CU84" s="64" t="e">
        <f>COUNTIFS(ranPerfilTM,$CM84,ranProf241,$BF$7,ranCatOcup,$BB$4,ranSexo,$AT$1)</f>
        <v>#VALUE!</v>
      </c>
      <c r="CV84" s="63" t="e">
        <f t="shared" si="58"/>
        <v>#VALUE!</v>
      </c>
      <c r="CW84" s="37" t="e">
        <f t="shared" si="59"/>
        <v>#VALUE!</v>
      </c>
      <c r="CX84" s="37" t="e">
        <f t="shared" si="60"/>
        <v>#VALUE!</v>
      </c>
      <c r="CY84" s="64" t="e">
        <f t="shared" si="61"/>
        <v>#VALUE!</v>
      </c>
    </row>
    <row r="85" spans="66:103" x14ac:dyDescent="0.25">
      <c r="BN85" s="37" t="str">
        <f t="shared" si="63"/>
        <v>CFG</v>
      </c>
      <c r="BO85" s="41" t="s">
        <v>163</v>
      </c>
      <c r="BP85" s="41" t="s">
        <v>138</v>
      </c>
      <c r="BQ85" s="41" t="s">
        <v>139</v>
      </c>
      <c r="BR85" s="37">
        <v>27</v>
      </c>
      <c r="CL85" s="63">
        <v>46</v>
      </c>
      <c r="CM85" s="37" t="s">
        <v>407</v>
      </c>
      <c r="CN85" s="37" t="e">
        <f t="shared" si="66"/>
        <v>#VALUE!</v>
      </c>
      <c r="CO85" s="37" t="e">
        <f t="shared" si="66"/>
        <v>#VALUE!</v>
      </c>
      <c r="CP85" s="38" t="e">
        <f>COUNTIFS(ranPerfilTM,$CM85,ranProf241,$BF$10,ranCatOcup,$BB$4)</f>
        <v>#VALUE!</v>
      </c>
      <c r="CQ85" s="37" t="e">
        <f>COUNTIFS(ranPerfilTM,$CM85,ranProf241,$BF$10,ranCatOcup,$BB$4,ranSexo,$AT$1)</f>
        <v>#VALUE!</v>
      </c>
      <c r="CR85" s="65" t="e">
        <f>COUNTIFS(ranPerfilTM,$CM85,ranProf241,$BF$5,ranCatOcup,$BB$4)</f>
        <v>#VALUE!</v>
      </c>
      <c r="CS85" s="37" t="e">
        <f>COUNTIFS(ranPerfilTM,$CM85,ranProf241,$BF$5,ranCatOcup,$BB$4,ranSexo,$AT$1)</f>
        <v>#VALUE!</v>
      </c>
      <c r="CT85" s="66" t="e">
        <f>COUNTIFS(ranPerfilTM,$CM85,ranProf241,$BF$7,ranCatOcup,$BB$4)</f>
        <v>#VALUE!</v>
      </c>
      <c r="CU85" s="64" t="e">
        <f>COUNTIFS(ranPerfilTM,$CM85,ranProf241,$BF$7,ranCatOcup,$BB$4,ranSexo,$AT$1)</f>
        <v>#VALUE!</v>
      </c>
      <c r="CV85" s="63" t="e">
        <f t="shared" si="58"/>
        <v>#VALUE!</v>
      </c>
      <c r="CW85" s="37" t="e">
        <f t="shared" si="59"/>
        <v>#VALUE!</v>
      </c>
      <c r="CX85" s="37" t="e">
        <f t="shared" si="60"/>
        <v>#VALUE!</v>
      </c>
      <c r="CY85" s="64" t="e">
        <f t="shared" si="61"/>
        <v>#VALUE!</v>
      </c>
    </row>
    <row r="86" spans="66:103" x14ac:dyDescent="0.25">
      <c r="BN86" s="37" t="str">
        <f t="shared" si="63"/>
        <v>CFG</v>
      </c>
      <c r="BO86" s="41" t="s">
        <v>170</v>
      </c>
      <c r="BP86" s="41" t="s">
        <v>408</v>
      </c>
      <c r="BQ86" s="41" t="s">
        <v>409</v>
      </c>
      <c r="BR86" s="37">
        <v>27</v>
      </c>
      <c r="CL86" s="83">
        <v>47</v>
      </c>
      <c r="CM86" s="84" t="s">
        <v>410</v>
      </c>
      <c r="CN86" s="37" t="e">
        <f t="shared" si="66"/>
        <v>#VALUE!</v>
      </c>
      <c r="CO86" s="37" t="e">
        <f t="shared" si="66"/>
        <v>#VALUE!</v>
      </c>
      <c r="CP86" s="38" t="e">
        <f>COUNTIFS(ranPerfilTM,$CM86,ranProf241,$BF$10,ranCatOcup,$BB$4)</f>
        <v>#VALUE!</v>
      </c>
      <c r="CQ86" s="37" t="e">
        <f>COUNTIFS(ranPerfilTM,$CM86,ranProf241,$BF$10,ranCatOcup,$BB$4,ranSexo,$AT$1)</f>
        <v>#VALUE!</v>
      </c>
      <c r="CR86" s="65" t="e">
        <f>COUNTIFS(ranPerfilTM,$CM86,ranProf241,$BF$5,ranCatOcup,$BB$4)</f>
        <v>#VALUE!</v>
      </c>
      <c r="CS86" s="37" t="e">
        <f>COUNTIFS(ranPerfilTM,$CM86,ranProf241,$BF$5,ranCatOcup,$BB$4,ranSexo,$AT$1)</f>
        <v>#VALUE!</v>
      </c>
      <c r="CT86" s="66" t="e">
        <f>COUNTIFS(ranPerfilTM,$CM86,ranProf241,$BF$7,ranCatOcup,$BB$4)</f>
        <v>#VALUE!</v>
      </c>
      <c r="CU86" s="64" t="e">
        <f>COUNTIFS(ranPerfilTM,$CM86,ranProf241,$BF$7,ranCatOcup,$BB$4,ranSexo,$AT$1)</f>
        <v>#VALUE!</v>
      </c>
      <c r="CV86" s="63" t="e">
        <f t="shared" si="58"/>
        <v>#VALUE!</v>
      </c>
      <c r="CW86" s="37" t="e">
        <f t="shared" si="59"/>
        <v>#VALUE!</v>
      </c>
      <c r="CX86" s="37" t="e">
        <f t="shared" si="60"/>
        <v>#VALUE!</v>
      </c>
      <c r="CY86" s="64" t="e">
        <f t="shared" si="61"/>
        <v>#VALUE!</v>
      </c>
    </row>
    <row r="87" spans="66:103" x14ac:dyDescent="0.25">
      <c r="BN87" s="37" t="str">
        <f t="shared" si="63"/>
        <v>SSP</v>
      </c>
      <c r="BO87" s="41" t="s">
        <v>111</v>
      </c>
      <c r="BP87" s="41" t="s">
        <v>411</v>
      </c>
      <c r="BQ87" s="41" t="s">
        <v>412</v>
      </c>
      <c r="BR87" s="37">
        <v>28</v>
      </c>
      <c r="CL87" s="63">
        <v>47</v>
      </c>
      <c r="CM87" s="37" t="s">
        <v>410</v>
      </c>
      <c r="CN87" s="38"/>
      <c r="CO87" s="38"/>
      <c r="CP87" s="38"/>
      <c r="CQ87" s="38"/>
      <c r="CR87" s="38"/>
      <c r="CS87" s="38"/>
      <c r="CT87" s="38"/>
      <c r="CU87" s="93"/>
      <c r="CV87" s="63" t="e">
        <f t="shared" si="58"/>
        <v>#VALUE!</v>
      </c>
      <c r="CW87" s="37" t="e">
        <f t="shared" si="59"/>
        <v>#VALUE!</v>
      </c>
      <c r="CX87" s="37" t="e">
        <f t="shared" si="60"/>
        <v>#VALUE!</v>
      </c>
      <c r="CY87" s="64" t="e">
        <f t="shared" si="61"/>
        <v>#VALUE!</v>
      </c>
    </row>
    <row r="88" spans="66:103" x14ac:dyDescent="0.25">
      <c r="BN88" s="37" t="str">
        <f t="shared" si="63"/>
        <v>SSP</v>
      </c>
      <c r="BO88" s="41" t="s">
        <v>123</v>
      </c>
      <c r="BP88" s="41" t="s">
        <v>413</v>
      </c>
      <c r="BQ88" s="41" t="s">
        <v>414</v>
      </c>
      <c r="BR88" s="37">
        <v>28</v>
      </c>
      <c r="CL88" s="63">
        <v>47</v>
      </c>
      <c r="CM88" s="37" t="s">
        <v>415</v>
      </c>
      <c r="CN88" s="37" t="e">
        <f t="shared" ref="CN88:CO102" si="67">SUM(CP88,CR88,CT88,CV88,CX88)</f>
        <v>#VALUE!</v>
      </c>
      <c r="CO88" s="37" t="e">
        <f t="shared" si="67"/>
        <v>#VALUE!</v>
      </c>
      <c r="CP88" s="38" t="e">
        <f t="shared" ref="CP88:CP102" si="68">COUNTIFS(ranPerfilTM,$CM88,ranProf241,$BF$10,ranCatOcup,$BB$4)</f>
        <v>#VALUE!</v>
      </c>
      <c r="CQ88" s="37" t="e">
        <f t="shared" ref="CQ88:CQ102" si="69">COUNTIFS(ranPerfilTM,$CM88,ranProf241,$BF$10,ranCatOcup,$BB$4,ranSexo,$AT$1)</f>
        <v>#VALUE!</v>
      </c>
      <c r="CR88" s="65" t="e">
        <f t="shared" ref="CR88:CR102" si="70">COUNTIFS(ranPerfilTM,$CM88,ranProf241,$BF$5,ranCatOcup,$BB$4)</f>
        <v>#VALUE!</v>
      </c>
      <c r="CS88" s="37" t="e">
        <f t="shared" ref="CS88:CS102" si="71">COUNTIFS(ranPerfilTM,$CM88,ranProf241,$BF$5,ranCatOcup,$BB$4,ranSexo,$AT$1)</f>
        <v>#VALUE!</v>
      </c>
      <c r="CT88" s="66" t="e">
        <f t="shared" ref="CT88:CT102" si="72">COUNTIFS(ranPerfilTM,$CM88,ranProf241,$BF$7,ranCatOcup,$BB$4)</f>
        <v>#VALUE!</v>
      </c>
      <c r="CU88" s="64" t="e">
        <f t="shared" ref="CU88:CU102" si="73">COUNTIFS(ranPerfilTM,$CM88,ranProf241,$BF$7,ranCatOcup,$BB$4,ranSexo,$AT$1)</f>
        <v>#VALUE!</v>
      </c>
      <c r="CV88" s="63" t="e">
        <f t="shared" si="58"/>
        <v>#VALUE!</v>
      </c>
      <c r="CW88" s="37" t="e">
        <f t="shared" si="59"/>
        <v>#VALUE!</v>
      </c>
      <c r="CX88" s="37" t="e">
        <f t="shared" si="60"/>
        <v>#VALUE!</v>
      </c>
      <c r="CY88" s="64" t="e">
        <f t="shared" si="61"/>
        <v>#VALUE!</v>
      </c>
    </row>
    <row r="89" spans="66:103" x14ac:dyDescent="0.25">
      <c r="BN89" s="37" t="str">
        <f t="shared" si="63"/>
        <v>SSP</v>
      </c>
      <c r="BO89" s="41" t="s">
        <v>132</v>
      </c>
      <c r="BP89" s="41" t="s">
        <v>416</v>
      </c>
      <c r="BQ89" s="41" t="s">
        <v>417</v>
      </c>
      <c r="BR89" s="37">
        <v>28</v>
      </c>
      <c r="CL89" s="63">
        <v>48</v>
      </c>
      <c r="CM89" s="37" t="s">
        <v>418</v>
      </c>
      <c r="CN89" s="37" t="e">
        <f t="shared" si="67"/>
        <v>#VALUE!</v>
      </c>
      <c r="CO89" s="37" t="e">
        <f t="shared" si="67"/>
        <v>#VALUE!</v>
      </c>
      <c r="CP89" s="37" t="e">
        <f t="shared" si="68"/>
        <v>#VALUE!</v>
      </c>
      <c r="CQ89" s="37" t="e">
        <f t="shared" si="69"/>
        <v>#VALUE!</v>
      </c>
      <c r="CR89" s="37" t="e">
        <f t="shared" si="70"/>
        <v>#VALUE!</v>
      </c>
      <c r="CS89" s="37" t="e">
        <f t="shared" si="71"/>
        <v>#VALUE!</v>
      </c>
      <c r="CT89" s="37" t="e">
        <f t="shared" si="72"/>
        <v>#VALUE!</v>
      </c>
      <c r="CU89" s="64" t="e">
        <f t="shared" si="73"/>
        <v>#VALUE!</v>
      </c>
      <c r="CV89" s="63" t="e">
        <f t="shared" si="58"/>
        <v>#VALUE!</v>
      </c>
      <c r="CW89" s="37" t="e">
        <f t="shared" si="59"/>
        <v>#VALUE!</v>
      </c>
      <c r="CX89" s="37" t="e">
        <f t="shared" si="60"/>
        <v>#VALUE!</v>
      </c>
      <c r="CY89" s="64" t="e">
        <f t="shared" si="61"/>
        <v>#VALUE!</v>
      </c>
    </row>
    <row r="90" spans="66:103" x14ac:dyDescent="0.25">
      <c r="BN90" s="37" t="str">
        <f t="shared" si="63"/>
        <v>SSP</v>
      </c>
      <c r="BO90" s="41" t="s">
        <v>140</v>
      </c>
      <c r="BP90" s="41" t="s">
        <v>419</v>
      </c>
      <c r="BQ90" s="41" t="s">
        <v>420</v>
      </c>
      <c r="BR90" s="37">
        <v>28</v>
      </c>
      <c r="CL90" s="63">
        <v>48</v>
      </c>
      <c r="CM90" s="37" t="s">
        <v>421</v>
      </c>
      <c r="CN90" s="37" t="e">
        <f t="shared" si="67"/>
        <v>#VALUE!</v>
      </c>
      <c r="CO90" s="37" t="e">
        <f t="shared" si="67"/>
        <v>#VALUE!</v>
      </c>
      <c r="CP90" s="38" t="e">
        <f t="shared" si="68"/>
        <v>#VALUE!</v>
      </c>
      <c r="CQ90" s="37" t="e">
        <f t="shared" si="69"/>
        <v>#VALUE!</v>
      </c>
      <c r="CR90" s="65" t="e">
        <f t="shared" si="70"/>
        <v>#VALUE!</v>
      </c>
      <c r="CS90" s="37" t="e">
        <f t="shared" si="71"/>
        <v>#VALUE!</v>
      </c>
      <c r="CT90" s="66" t="e">
        <f t="shared" si="72"/>
        <v>#VALUE!</v>
      </c>
      <c r="CU90" s="64" t="e">
        <f t="shared" si="73"/>
        <v>#VALUE!</v>
      </c>
      <c r="CV90" s="63" t="e">
        <f t="shared" si="58"/>
        <v>#VALUE!</v>
      </c>
      <c r="CW90" s="37" t="e">
        <f t="shared" si="59"/>
        <v>#VALUE!</v>
      </c>
      <c r="CX90" s="37" t="e">
        <f t="shared" si="60"/>
        <v>#VALUE!</v>
      </c>
      <c r="CY90" s="64" t="e">
        <f t="shared" si="61"/>
        <v>#VALUE!</v>
      </c>
    </row>
    <row r="91" spans="66:103" x14ac:dyDescent="0.25">
      <c r="BN91" s="37" t="str">
        <f t="shared" si="63"/>
        <v>SSP</v>
      </c>
      <c r="BO91" s="41" t="s">
        <v>148</v>
      </c>
      <c r="BP91" s="41" t="s">
        <v>422</v>
      </c>
      <c r="BQ91" s="41" t="s">
        <v>423</v>
      </c>
      <c r="BR91" s="37">
        <v>28</v>
      </c>
      <c r="CL91" s="63">
        <v>48</v>
      </c>
      <c r="CM91" s="37" t="s">
        <v>424</v>
      </c>
      <c r="CN91" s="37" t="e">
        <f t="shared" si="67"/>
        <v>#VALUE!</v>
      </c>
      <c r="CO91" s="37" t="e">
        <f t="shared" si="67"/>
        <v>#VALUE!</v>
      </c>
      <c r="CP91" s="38" t="e">
        <f t="shared" si="68"/>
        <v>#VALUE!</v>
      </c>
      <c r="CQ91" s="37" t="e">
        <f t="shared" si="69"/>
        <v>#VALUE!</v>
      </c>
      <c r="CR91" s="65" t="e">
        <f t="shared" si="70"/>
        <v>#VALUE!</v>
      </c>
      <c r="CS91" s="37" t="e">
        <f t="shared" si="71"/>
        <v>#VALUE!</v>
      </c>
      <c r="CT91" s="66" t="e">
        <f t="shared" si="72"/>
        <v>#VALUE!</v>
      </c>
      <c r="CU91" s="64" t="e">
        <f t="shared" si="73"/>
        <v>#VALUE!</v>
      </c>
      <c r="CV91" s="63" t="e">
        <f t="shared" si="58"/>
        <v>#VALUE!</v>
      </c>
      <c r="CW91" s="37" t="e">
        <f t="shared" si="59"/>
        <v>#VALUE!</v>
      </c>
      <c r="CX91" s="37" t="e">
        <f t="shared" si="60"/>
        <v>#VALUE!</v>
      </c>
      <c r="CY91" s="64" t="e">
        <f t="shared" si="61"/>
        <v>#VALUE!</v>
      </c>
    </row>
    <row r="92" spans="66:103" x14ac:dyDescent="0.25">
      <c r="BN92" s="37" t="str">
        <f t="shared" si="63"/>
        <v>SSP</v>
      </c>
      <c r="BO92" s="41" t="s">
        <v>155</v>
      </c>
      <c r="BP92" s="41" t="s">
        <v>425</v>
      </c>
      <c r="BQ92" s="41" t="s">
        <v>426</v>
      </c>
      <c r="BR92" s="37">
        <v>28</v>
      </c>
      <c r="CL92" s="63">
        <v>48</v>
      </c>
      <c r="CM92" s="37" t="s">
        <v>427</v>
      </c>
      <c r="CN92" s="37" t="e">
        <f t="shared" si="67"/>
        <v>#VALUE!</v>
      </c>
      <c r="CO92" s="37" t="e">
        <f t="shared" si="67"/>
        <v>#VALUE!</v>
      </c>
      <c r="CP92" s="38" t="e">
        <f t="shared" si="68"/>
        <v>#VALUE!</v>
      </c>
      <c r="CQ92" s="37" t="e">
        <f t="shared" si="69"/>
        <v>#VALUE!</v>
      </c>
      <c r="CR92" s="65" t="e">
        <f t="shared" si="70"/>
        <v>#VALUE!</v>
      </c>
      <c r="CS92" s="37" t="e">
        <f t="shared" si="71"/>
        <v>#VALUE!</v>
      </c>
      <c r="CT92" s="66" t="e">
        <f t="shared" si="72"/>
        <v>#VALUE!</v>
      </c>
      <c r="CU92" s="64" t="e">
        <f t="shared" si="73"/>
        <v>#VALUE!</v>
      </c>
      <c r="CV92" s="63" t="e">
        <f t="shared" si="58"/>
        <v>#VALUE!</v>
      </c>
      <c r="CW92" s="37" t="e">
        <f t="shared" si="59"/>
        <v>#VALUE!</v>
      </c>
      <c r="CX92" s="37" t="e">
        <f t="shared" si="60"/>
        <v>#VALUE!</v>
      </c>
      <c r="CY92" s="64" t="e">
        <f t="shared" si="61"/>
        <v>#VALUE!</v>
      </c>
    </row>
    <row r="93" spans="66:103" x14ac:dyDescent="0.25">
      <c r="BN93" s="37" t="str">
        <f t="shared" si="63"/>
        <v>SSP</v>
      </c>
      <c r="BO93" s="41" t="s">
        <v>163</v>
      </c>
      <c r="BP93" s="41" t="s">
        <v>213</v>
      </c>
      <c r="BQ93" s="41" t="s">
        <v>214</v>
      </c>
      <c r="BR93" s="37">
        <v>28</v>
      </c>
      <c r="CL93" s="63">
        <v>48</v>
      </c>
      <c r="CM93" s="37" t="s">
        <v>428</v>
      </c>
      <c r="CN93" s="37" t="e">
        <f t="shared" si="67"/>
        <v>#VALUE!</v>
      </c>
      <c r="CO93" s="37" t="e">
        <f t="shared" si="67"/>
        <v>#VALUE!</v>
      </c>
      <c r="CP93" s="38" t="e">
        <f t="shared" si="68"/>
        <v>#VALUE!</v>
      </c>
      <c r="CQ93" s="37" t="e">
        <f t="shared" si="69"/>
        <v>#VALUE!</v>
      </c>
      <c r="CR93" s="65" t="e">
        <f t="shared" si="70"/>
        <v>#VALUE!</v>
      </c>
      <c r="CS93" s="37" t="e">
        <f t="shared" si="71"/>
        <v>#VALUE!</v>
      </c>
      <c r="CT93" s="66" t="e">
        <f t="shared" si="72"/>
        <v>#VALUE!</v>
      </c>
      <c r="CU93" s="64" t="e">
        <f t="shared" si="73"/>
        <v>#VALUE!</v>
      </c>
      <c r="CV93" s="63" t="e">
        <f t="shared" si="58"/>
        <v>#VALUE!</v>
      </c>
      <c r="CW93" s="37" t="e">
        <f t="shared" si="59"/>
        <v>#VALUE!</v>
      </c>
      <c r="CX93" s="37" t="e">
        <f t="shared" si="60"/>
        <v>#VALUE!</v>
      </c>
      <c r="CY93" s="64" t="e">
        <f t="shared" si="61"/>
        <v>#VALUE!</v>
      </c>
    </row>
    <row r="94" spans="66:103" x14ac:dyDescent="0.25">
      <c r="BN94" s="37" t="str">
        <f t="shared" si="63"/>
        <v>SSP</v>
      </c>
      <c r="BO94" s="41" t="s">
        <v>170</v>
      </c>
      <c r="BP94" s="41" t="s">
        <v>429</v>
      </c>
      <c r="BQ94" s="41" t="s">
        <v>430</v>
      </c>
      <c r="BR94" s="37">
        <v>28</v>
      </c>
      <c r="CL94" s="63">
        <v>48</v>
      </c>
      <c r="CM94" s="41" t="s">
        <v>431</v>
      </c>
      <c r="CN94" s="37" t="e">
        <f t="shared" si="67"/>
        <v>#VALUE!</v>
      </c>
      <c r="CO94" s="37" t="e">
        <f t="shared" si="67"/>
        <v>#VALUE!</v>
      </c>
      <c r="CP94" s="38" t="e">
        <f t="shared" si="68"/>
        <v>#VALUE!</v>
      </c>
      <c r="CQ94" s="37" t="e">
        <f t="shared" si="69"/>
        <v>#VALUE!</v>
      </c>
      <c r="CR94" s="65" t="e">
        <f t="shared" si="70"/>
        <v>#VALUE!</v>
      </c>
      <c r="CS94" s="37" t="e">
        <f t="shared" si="71"/>
        <v>#VALUE!</v>
      </c>
      <c r="CT94" s="66" t="e">
        <f t="shared" si="72"/>
        <v>#VALUE!</v>
      </c>
      <c r="CU94" s="64" t="e">
        <f t="shared" si="73"/>
        <v>#VALUE!</v>
      </c>
      <c r="CV94" s="63" t="e">
        <f t="shared" si="58"/>
        <v>#VALUE!</v>
      </c>
      <c r="CW94" s="37" t="e">
        <f t="shared" si="59"/>
        <v>#VALUE!</v>
      </c>
      <c r="CX94" s="37" t="e">
        <f t="shared" si="60"/>
        <v>#VALUE!</v>
      </c>
      <c r="CY94" s="64" t="e">
        <f t="shared" si="61"/>
        <v>#VALUE!</v>
      </c>
    </row>
    <row r="95" spans="66:103" x14ac:dyDescent="0.25">
      <c r="BN95" s="37" t="str">
        <f t="shared" si="63"/>
        <v>CAV</v>
      </c>
      <c r="BO95" s="41" t="s">
        <v>111</v>
      </c>
      <c r="BP95" s="41" t="s">
        <v>432</v>
      </c>
      <c r="BQ95" s="41" t="s">
        <v>433</v>
      </c>
      <c r="BR95" s="37">
        <v>29</v>
      </c>
      <c r="CL95" s="63">
        <v>48</v>
      </c>
      <c r="CM95" s="37" t="s">
        <v>434</v>
      </c>
      <c r="CN95" s="37" t="e">
        <f t="shared" si="67"/>
        <v>#VALUE!</v>
      </c>
      <c r="CO95" s="37" t="e">
        <f t="shared" si="67"/>
        <v>#VALUE!</v>
      </c>
      <c r="CP95" s="38" t="e">
        <f t="shared" si="68"/>
        <v>#VALUE!</v>
      </c>
      <c r="CQ95" s="37" t="e">
        <f t="shared" si="69"/>
        <v>#VALUE!</v>
      </c>
      <c r="CR95" s="65" t="e">
        <f t="shared" si="70"/>
        <v>#VALUE!</v>
      </c>
      <c r="CS95" s="37" t="e">
        <f t="shared" si="71"/>
        <v>#VALUE!</v>
      </c>
      <c r="CT95" s="66" t="e">
        <f t="shared" si="72"/>
        <v>#VALUE!</v>
      </c>
      <c r="CU95" s="64" t="e">
        <f t="shared" si="73"/>
        <v>#VALUE!</v>
      </c>
      <c r="CV95" s="63" t="e">
        <f t="shared" si="58"/>
        <v>#VALUE!</v>
      </c>
      <c r="CW95" s="37" t="e">
        <f t="shared" si="59"/>
        <v>#VALUE!</v>
      </c>
      <c r="CX95" s="37" t="e">
        <f t="shared" si="60"/>
        <v>#VALUE!</v>
      </c>
      <c r="CY95" s="64" t="e">
        <f t="shared" si="61"/>
        <v>#VALUE!</v>
      </c>
    </row>
    <row r="96" spans="66:103" x14ac:dyDescent="0.25">
      <c r="BN96" s="37" t="str">
        <f t="shared" si="63"/>
        <v>CAV</v>
      </c>
      <c r="BO96" s="41" t="s">
        <v>123</v>
      </c>
      <c r="BP96" s="41" t="s">
        <v>435</v>
      </c>
      <c r="BQ96" s="41" t="s">
        <v>436</v>
      </c>
      <c r="BR96" s="37">
        <v>29</v>
      </c>
      <c r="CL96" s="63">
        <v>48</v>
      </c>
      <c r="CM96" s="37" t="s">
        <v>437</v>
      </c>
      <c r="CN96" s="37" t="e">
        <f t="shared" si="67"/>
        <v>#VALUE!</v>
      </c>
      <c r="CO96" s="37" t="e">
        <f t="shared" si="67"/>
        <v>#VALUE!</v>
      </c>
      <c r="CP96" s="38" t="e">
        <f t="shared" si="68"/>
        <v>#VALUE!</v>
      </c>
      <c r="CQ96" s="37" t="e">
        <f t="shared" si="69"/>
        <v>#VALUE!</v>
      </c>
      <c r="CR96" s="65" t="e">
        <f t="shared" si="70"/>
        <v>#VALUE!</v>
      </c>
      <c r="CS96" s="37" t="e">
        <f t="shared" si="71"/>
        <v>#VALUE!</v>
      </c>
      <c r="CT96" s="66" t="e">
        <f t="shared" si="72"/>
        <v>#VALUE!</v>
      </c>
      <c r="CU96" s="64" t="e">
        <f t="shared" si="73"/>
        <v>#VALUE!</v>
      </c>
      <c r="CV96" s="63" t="e">
        <f t="shared" si="58"/>
        <v>#VALUE!</v>
      </c>
      <c r="CW96" s="37" t="e">
        <f t="shared" si="59"/>
        <v>#VALUE!</v>
      </c>
      <c r="CX96" s="37" t="e">
        <f t="shared" si="60"/>
        <v>#VALUE!</v>
      </c>
      <c r="CY96" s="64" t="e">
        <f t="shared" si="61"/>
        <v>#VALUE!</v>
      </c>
    </row>
    <row r="97" spans="66:103" x14ac:dyDescent="0.25">
      <c r="BN97" s="37" t="str">
        <f t="shared" si="63"/>
        <v>CAV</v>
      </c>
      <c r="BO97" s="41" t="s">
        <v>132</v>
      </c>
      <c r="BP97" s="41" t="s">
        <v>438</v>
      </c>
      <c r="BQ97" s="41" t="s">
        <v>439</v>
      </c>
      <c r="BR97" s="37">
        <v>29</v>
      </c>
      <c r="CL97" s="63">
        <v>48</v>
      </c>
      <c r="CM97" s="37" t="s">
        <v>260</v>
      </c>
      <c r="CN97" s="37" t="e">
        <f t="shared" si="67"/>
        <v>#VALUE!</v>
      </c>
      <c r="CO97" s="37" t="e">
        <f t="shared" si="67"/>
        <v>#VALUE!</v>
      </c>
      <c r="CP97" s="38" t="e">
        <f t="shared" si="68"/>
        <v>#VALUE!</v>
      </c>
      <c r="CQ97" s="37" t="e">
        <f t="shared" si="69"/>
        <v>#VALUE!</v>
      </c>
      <c r="CR97" s="65" t="e">
        <f t="shared" si="70"/>
        <v>#VALUE!</v>
      </c>
      <c r="CS97" s="37" t="e">
        <f t="shared" si="71"/>
        <v>#VALUE!</v>
      </c>
      <c r="CT97" s="66" t="e">
        <f t="shared" si="72"/>
        <v>#VALUE!</v>
      </c>
      <c r="CU97" s="64" t="e">
        <f t="shared" si="73"/>
        <v>#VALUE!</v>
      </c>
      <c r="CV97" s="63" t="e">
        <f t="shared" ref="CV97:CV129" si="74">COUNTIFS(ranPerfilTM,$CM97,ranProf241,$BF$2,ranCatOcup,$BB$4)</f>
        <v>#VALUE!</v>
      </c>
      <c r="CW97" s="37" t="e">
        <f t="shared" ref="CW97:CW129" si="75">COUNTIFS(ranPerfilTM,$CM97,ranProf241,$BF$2,ranCatOcup,$BB$4,ranSexo,$AT$1)</f>
        <v>#VALUE!</v>
      </c>
      <c r="CX97" s="37" t="e">
        <f t="shared" ref="CX97:CX129" si="76">COUNTIFS(ranPerfilTM,$CM97,ranProf241,$BF$3,ranCatOcup,$BB$4)</f>
        <v>#VALUE!</v>
      </c>
      <c r="CY97" s="64" t="e">
        <f t="shared" ref="CY97:CY129" si="77">COUNTIFS(ranPerfilTM,$CM97,ranProf241,$BF$3,ranCatOcup,$BB$4,ranSexo,$AT$1)</f>
        <v>#VALUE!</v>
      </c>
    </row>
    <row r="98" spans="66:103" x14ac:dyDescent="0.25">
      <c r="BN98" s="37" t="str">
        <f t="shared" si="63"/>
        <v>CAV</v>
      </c>
      <c r="BO98" s="41" t="s">
        <v>140</v>
      </c>
      <c r="BP98" s="41" t="s">
        <v>440</v>
      </c>
      <c r="BQ98" s="41" t="s">
        <v>441</v>
      </c>
      <c r="BR98" s="37">
        <v>29</v>
      </c>
      <c r="CL98" s="63">
        <v>48</v>
      </c>
      <c r="CM98" s="37" t="s">
        <v>256</v>
      </c>
      <c r="CN98" s="37" t="e">
        <f t="shared" si="67"/>
        <v>#VALUE!</v>
      </c>
      <c r="CO98" s="37" t="e">
        <f t="shared" si="67"/>
        <v>#VALUE!</v>
      </c>
      <c r="CP98" s="38" t="e">
        <f t="shared" si="68"/>
        <v>#VALUE!</v>
      </c>
      <c r="CQ98" s="37" t="e">
        <f t="shared" si="69"/>
        <v>#VALUE!</v>
      </c>
      <c r="CR98" s="65" t="e">
        <f t="shared" si="70"/>
        <v>#VALUE!</v>
      </c>
      <c r="CS98" s="37" t="e">
        <f t="shared" si="71"/>
        <v>#VALUE!</v>
      </c>
      <c r="CT98" s="66" t="e">
        <f t="shared" si="72"/>
        <v>#VALUE!</v>
      </c>
      <c r="CU98" s="64" t="e">
        <f t="shared" si="73"/>
        <v>#VALUE!</v>
      </c>
      <c r="CV98" s="63" t="e">
        <f t="shared" si="74"/>
        <v>#VALUE!</v>
      </c>
      <c r="CW98" s="37" t="e">
        <f t="shared" si="75"/>
        <v>#VALUE!</v>
      </c>
      <c r="CX98" s="37" t="e">
        <f t="shared" si="76"/>
        <v>#VALUE!</v>
      </c>
      <c r="CY98" s="64" t="e">
        <f t="shared" si="77"/>
        <v>#VALUE!</v>
      </c>
    </row>
    <row r="99" spans="66:103" x14ac:dyDescent="0.25">
      <c r="BN99" s="37" t="str">
        <f t="shared" si="63"/>
        <v>CAV</v>
      </c>
      <c r="BO99" s="41" t="s">
        <v>148</v>
      </c>
      <c r="BP99" s="41" t="s">
        <v>442</v>
      </c>
      <c r="BQ99" s="41" t="s">
        <v>443</v>
      </c>
      <c r="BR99" s="37">
        <v>29</v>
      </c>
      <c r="CL99" s="83">
        <v>48</v>
      </c>
      <c r="CM99" s="84" t="s">
        <v>444</v>
      </c>
      <c r="CN99" s="37" t="e">
        <f t="shared" si="67"/>
        <v>#VALUE!</v>
      </c>
      <c r="CO99" s="37" t="e">
        <f t="shared" si="67"/>
        <v>#VALUE!</v>
      </c>
      <c r="CP99" s="38" t="e">
        <f t="shared" si="68"/>
        <v>#VALUE!</v>
      </c>
      <c r="CQ99" s="37" t="e">
        <f t="shared" si="69"/>
        <v>#VALUE!</v>
      </c>
      <c r="CR99" s="65" t="e">
        <f t="shared" si="70"/>
        <v>#VALUE!</v>
      </c>
      <c r="CS99" s="37" t="e">
        <f t="shared" si="71"/>
        <v>#VALUE!</v>
      </c>
      <c r="CT99" s="66" t="e">
        <f t="shared" si="72"/>
        <v>#VALUE!</v>
      </c>
      <c r="CU99" s="64" t="e">
        <f t="shared" si="73"/>
        <v>#VALUE!</v>
      </c>
      <c r="CV99" s="63" t="e">
        <f t="shared" si="74"/>
        <v>#VALUE!</v>
      </c>
      <c r="CW99" s="37" t="e">
        <f t="shared" si="75"/>
        <v>#VALUE!</v>
      </c>
      <c r="CX99" s="37" t="e">
        <f t="shared" si="76"/>
        <v>#VALUE!</v>
      </c>
      <c r="CY99" s="64" t="e">
        <f t="shared" si="77"/>
        <v>#VALUE!</v>
      </c>
    </row>
    <row r="100" spans="66:103" x14ac:dyDescent="0.25">
      <c r="BN100" s="37" t="str">
        <f t="shared" si="63"/>
        <v>CAV</v>
      </c>
      <c r="BO100" s="41" t="s">
        <v>155</v>
      </c>
      <c r="BP100" s="41" t="s">
        <v>445</v>
      </c>
      <c r="BQ100" s="41" t="s">
        <v>446</v>
      </c>
      <c r="BR100" s="37">
        <v>29</v>
      </c>
      <c r="CL100" s="63">
        <v>48</v>
      </c>
      <c r="CM100" s="37" t="s">
        <v>447</v>
      </c>
      <c r="CN100" s="37" t="e">
        <f t="shared" si="67"/>
        <v>#VALUE!</v>
      </c>
      <c r="CO100" s="37" t="e">
        <f t="shared" si="67"/>
        <v>#VALUE!</v>
      </c>
      <c r="CP100" s="38" t="e">
        <f t="shared" si="68"/>
        <v>#VALUE!</v>
      </c>
      <c r="CQ100" s="37" t="e">
        <f t="shared" si="69"/>
        <v>#VALUE!</v>
      </c>
      <c r="CR100" s="65" t="e">
        <f t="shared" si="70"/>
        <v>#VALUE!</v>
      </c>
      <c r="CS100" s="37" t="e">
        <f t="shared" si="71"/>
        <v>#VALUE!</v>
      </c>
      <c r="CT100" s="66" t="e">
        <f t="shared" si="72"/>
        <v>#VALUE!</v>
      </c>
      <c r="CU100" s="64" t="e">
        <f t="shared" si="73"/>
        <v>#VALUE!</v>
      </c>
      <c r="CV100" s="63" t="e">
        <f t="shared" si="74"/>
        <v>#VALUE!</v>
      </c>
      <c r="CW100" s="37" t="e">
        <f t="shared" si="75"/>
        <v>#VALUE!</v>
      </c>
      <c r="CX100" s="37" t="e">
        <f t="shared" si="76"/>
        <v>#VALUE!</v>
      </c>
      <c r="CY100" s="64" t="e">
        <f t="shared" si="77"/>
        <v>#VALUE!</v>
      </c>
    </row>
    <row r="101" spans="66:103" x14ac:dyDescent="0.25">
      <c r="BN101" s="37" t="str">
        <f t="shared" si="63"/>
        <v>CAV</v>
      </c>
      <c r="BO101" s="41" t="s">
        <v>163</v>
      </c>
      <c r="BP101" s="41" t="s">
        <v>448</v>
      </c>
      <c r="BQ101" s="41" t="s">
        <v>449</v>
      </c>
      <c r="BR101" s="37">
        <v>29</v>
      </c>
      <c r="CL101" s="63">
        <v>48</v>
      </c>
      <c r="CM101" s="37" t="s">
        <v>450</v>
      </c>
      <c r="CN101" s="37" t="e">
        <f t="shared" si="67"/>
        <v>#VALUE!</v>
      </c>
      <c r="CO101" s="37" t="e">
        <f t="shared" si="67"/>
        <v>#VALUE!</v>
      </c>
      <c r="CP101" s="37" t="e">
        <f t="shared" si="68"/>
        <v>#VALUE!</v>
      </c>
      <c r="CQ101" s="37" t="e">
        <f t="shared" si="69"/>
        <v>#VALUE!</v>
      </c>
      <c r="CR101" s="37" t="e">
        <f t="shared" si="70"/>
        <v>#VALUE!</v>
      </c>
      <c r="CS101" s="37" t="e">
        <f t="shared" si="71"/>
        <v>#VALUE!</v>
      </c>
      <c r="CT101" s="37" t="e">
        <f t="shared" si="72"/>
        <v>#VALUE!</v>
      </c>
      <c r="CU101" s="64" t="e">
        <f t="shared" si="73"/>
        <v>#VALUE!</v>
      </c>
      <c r="CV101" s="63" t="e">
        <f t="shared" si="74"/>
        <v>#VALUE!</v>
      </c>
      <c r="CW101" s="37" t="e">
        <f t="shared" si="75"/>
        <v>#VALUE!</v>
      </c>
      <c r="CX101" s="37" t="e">
        <f t="shared" si="76"/>
        <v>#VALUE!</v>
      </c>
      <c r="CY101" s="64" t="e">
        <f t="shared" si="77"/>
        <v>#VALUE!</v>
      </c>
    </row>
    <row r="102" spans="66:103" x14ac:dyDescent="0.25">
      <c r="BN102" s="37" t="str">
        <f t="shared" si="63"/>
        <v>CAV</v>
      </c>
      <c r="BO102" s="41" t="s">
        <v>170</v>
      </c>
      <c r="BP102" s="41" t="s">
        <v>130</v>
      </c>
      <c r="BQ102" s="41" t="s">
        <v>131</v>
      </c>
      <c r="BR102" s="37">
        <v>29</v>
      </c>
      <c r="CL102" s="83">
        <v>48</v>
      </c>
      <c r="CM102" s="84" t="s">
        <v>451</v>
      </c>
      <c r="CN102" s="37" t="e">
        <f t="shared" si="67"/>
        <v>#VALUE!</v>
      </c>
      <c r="CO102" s="37" t="e">
        <f t="shared" si="67"/>
        <v>#VALUE!</v>
      </c>
      <c r="CP102" s="38" t="e">
        <f t="shared" si="68"/>
        <v>#VALUE!</v>
      </c>
      <c r="CQ102" s="37" t="e">
        <f t="shared" si="69"/>
        <v>#VALUE!</v>
      </c>
      <c r="CR102" s="65" t="e">
        <f t="shared" si="70"/>
        <v>#VALUE!</v>
      </c>
      <c r="CS102" s="37" t="e">
        <f t="shared" si="71"/>
        <v>#VALUE!</v>
      </c>
      <c r="CT102" s="66" t="e">
        <f t="shared" si="72"/>
        <v>#VALUE!</v>
      </c>
      <c r="CU102" s="64" t="e">
        <f t="shared" si="73"/>
        <v>#VALUE!</v>
      </c>
      <c r="CV102" s="63" t="e">
        <f t="shared" si="74"/>
        <v>#VALUE!</v>
      </c>
      <c r="CW102" s="37" t="e">
        <f t="shared" si="75"/>
        <v>#VALUE!</v>
      </c>
      <c r="CX102" s="37" t="e">
        <f t="shared" si="76"/>
        <v>#VALUE!</v>
      </c>
      <c r="CY102" s="64" t="e">
        <f t="shared" si="77"/>
        <v>#VALUE!</v>
      </c>
    </row>
    <row r="103" spans="66:103" x14ac:dyDescent="0.25">
      <c r="BN103" s="37" t="str">
        <f t="shared" si="63"/>
        <v>CAV</v>
      </c>
      <c r="BO103" s="41" t="s">
        <v>178</v>
      </c>
      <c r="BP103" s="41" t="s">
        <v>452</v>
      </c>
      <c r="BQ103" s="41" t="s">
        <v>453</v>
      </c>
      <c r="BR103" s="37">
        <v>29</v>
      </c>
      <c r="CL103" s="63">
        <v>48</v>
      </c>
      <c r="CM103" s="37" t="s">
        <v>451</v>
      </c>
      <c r="CN103" s="38"/>
      <c r="CO103" s="38"/>
      <c r="CP103" s="38"/>
      <c r="CQ103" s="38"/>
      <c r="CR103" s="38"/>
      <c r="CS103" s="38"/>
      <c r="CT103" s="38"/>
      <c r="CU103" s="93"/>
      <c r="CV103" s="63" t="e">
        <f t="shared" si="74"/>
        <v>#VALUE!</v>
      </c>
      <c r="CW103" s="37" t="e">
        <f t="shared" si="75"/>
        <v>#VALUE!</v>
      </c>
      <c r="CX103" s="37" t="e">
        <f t="shared" si="76"/>
        <v>#VALUE!</v>
      </c>
      <c r="CY103" s="64" t="e">
        <f t="shared" si="77"/>
        <v>#VALUE!</v>
      </c>
    </row>
    <row r="104" spans="66:103" x14ac:dyDescent="0.25">
      <c r="BN104" s="37" t="str">
        <f t="shared" si="63"/>
        <v>CAV</v>
      </c>
      <c r="BO104" s="41" t="s">
        <v>187</v>
      </c>
      <c r="BP104" s="41" t="s">
        <v>454</v>
      </c>
      <c r="BQ104" s="41" t="s">
        <v>455</v>
      </c>
      <c r="BR104" s="37">
        <v>29</v>
      </c>
      <c r="CL104" s="83">
        <v>48</v>
      </c>
      <c r="CM104" s="84" t="s">
        <v>456</v>
      </c>
      <c r="CN104" s="37" t="e">
        <f>SUM(CP104,CR104,CT104,CV104,CX104)</f>
        <v>#VALUE!</v>
      </c>
      <c r="CO104" s="37" t="e">
        <f>SUM(CQ104,CS104,CU104,CW104,CY104)</f>
        <v>#VALUE!</v>
      </c>
      <c r="CP104" s="38" t="e">
        <f>COUNTIFS(ranPerfilTM,$CM104,ranProf241,$BF$10,ranCatOcup,$BB$4)</f>
        <v>#VALUE!</v>
      </c>
      <c r="CQ104" s="37" t="e">
        <f>COUNTIFS(ranPerfilTM,$CM104,ranProf241,$BF$10,ranCatOcup,$BB$4,ranSexo,$AT$1)</f>
        <v>#VALUE!</v>
      </c>
      <c r="CR104" s="65" t="e">
        <f>COUNTIFS(ranPerfilTM,$CM104,ranProf241,$BF$5,ranCatOcup,$BB$4)</f>
        <v>#VALUE!</v>
      </c>
      <c r="CS104" s="37" t="e">
        <f>COUNTIFS(ranPerfilTM,$CM104,ranProf241,$BF$5,ranCatOcup,$BB$4,ranSexo,$AT$1)</f>
        <v>#VALUE!</v>
      </c>
      <c r="CT104" s="66" t="e">
        <f>COUNTIFS(ranPerfilTM,$CM104,ranProf241,$BF$7,ranCatOcup,$BB$4)</f>
        <v>#VALUE!</v>
      </c>
      <c r="CU104" s="64" t="e">
        <f>COUNTIFS(ranPerfilTM,$CM104,ranProf241,$BF$7,ranCatOcup,$BB$4,ranSexo,$AT$1)</f>
        <v>#VALUE!</v>
      </c>
      <c r="CV104" s="63" t="e">
        <f t="shared" si="74"/>
        <v>#VALUE!</v>
      </c>
      <c r="CW104" s="37" t="e">
        <f t="shared" si="75"/>
        <v>#VALUE!</v>
      </c>
      <c r="CX104" s="37" t="e">
        <f t="shared" si="76"/>
        <v>#VALUE!</v>
      </c>
      <c r="CY104" s="64" t="e">
        <f t="shared" si="77"/>
        <v>#VALUE!</v>
      </c>
    </row>
    <row r="105" spans="66:103" x14ac:dyDescent="0.25">
      <c r="BN105" s="37" t="str">
        <f t="shared" si="63"/>
        <v>CMG</v>
      </c>
      <c r="BO105" s="41" t="s">
        <v>111</v>
      </c>
      <c r="BP105" s="41" t="s">
        <v>457</v>
      </c>
      <c r="BQ105" s="41" t="s">
        <v>458</v>
      </c>
      <c r="BR105" s="37">
        <v>30</v>
      </c>
      <c r="CL105" s="63">
        <v>48</v>
      </c>
      <c r="CM105" s="37" t="s">
        <v>456</v>
      </c>
      <c r="CN105" s="38"/>
      <c r="CO105" s="38"/>
      <c r="CP105" s="38"/>
      <c r="CQ105" s="38"/>
      <c r="CR105" s="38"/>
      <c r="CS105" s="38"/>
      <c r="CT105" s="38"/>
      <c r="CU105" s="93"/>
      <c r="CV105" s="63" t="e">
        <f t="shared" si="74"/>
        <v>#VALUE!</v>
      </c>
      <c r="CW105" s="37" t="e">
        <f t="shared" si="75"/>
        <v>#VALUE!</v>
      </c>
      <c r="CX105" s="37" t="e">
        <f t="shared" si="76"/>
        <v>#VALUE!</v>
      </c>
      <c r="CY105" s="64" t="e">
        <f t="shared" si="77"/>
        <v>#VALUE!</v>
      </c>
    </row>
    <row r="106" spans="66:103" x14ac:dyDescent="0.25">
      <c r="BN106" s="37" t="str">
        <f t="shared" si="63"/>
        <v>CMG</v>
      </c>
      <c r="BO106" s="41" t="s">
        <v>123</v>
      </c>
      <c r="BP106" s="41" t="s">
        <v>459</v>
      </c>
      <c r="BQ106" s="41" t="s">
        <v>460</v>
      </c>
      <c r="BR106" s="37">
        <v>30</v>
      </c>
      <c r="CL106" s="83">
        <v>48</v>
      </c>
      <c r="CM106" s="84" t="s">
        <v>461</v>
      </c>
      <c r="CN106" s="37" t="e">
        <f>SUM(CP106,CR106,CT106,CV106,CX106)</f>
        <v>#VALUE!</v>
      </c>
      <c r="CO106" s="37" t="e">
        <f>SUM(CQ106,CS106,CU106,CW106,CY106)</f>
        <v>#VALUE!</v>
      </c>
      <c r="CP106" s="38" t="e">
        <f>COUNTIFS(ranPerfilTM,$CM106,ranProf241,$BF$10,ranCatOcup,$BB$4)</f>
        <v>#VALUE!</v>
      </c>
      <c r="CQ106" s="37" t="e">
        <f>COUNTIFS(ranPerfilTM,$CM106,ranProf241,$BF$10,ranCatOcup,$BB$4,ranSexo,$AT$1)</f>
        <v>#VALUE!</v>
      </c>
      <c r="CR106" s="65" t="e">
        <f>COUNTIFS(ranPerfilTM,$CM106,ranProf241,$BF$5,ranCatOcup,$BB$4)</f>
        <v>#VALUE!</v>
      </c>
      <c r="CS106" s="37" t="e">
        <f>COUNTIFS(ranPerfilTM,$CM106,ranProf241,$BF$5,ranCatOcup,$BB$4,ranSexo,$AT$1)</f>
        <v>#VALUE!</v>
      </c>
      <c r="CT106" s="66" t="e">
        <f>COUNTIFS(ranPerfilTM,$CM106,ranProf241,$BF$7,ranCatOcup,$BB$4)</f>
        <v>#VALUE!</v>
      </c>
      <c r="CU106" s="64" t="e">
        <f>COUNTIFS(ranPerfilTM,$CM106,ranProf241,$BF$7,ranCatOcup,$BB$4,ranSexo,$AT$1)</f>
        <v>#VALUE!</v>
      </c>
      <c r="CV106" s="63" t="e">
        <f t="shared" si="74"/>
        <v>#VALUE!</v>
      </c>
      <c r="CW106" s="37" t="e">
        <f t="shared" si="75"/>
        <v>#VALUE!</v>
      </c>
      <c r="CX106" s="37" t="e">
        <f t="shared" si="76"/>
        <v>#VALUE!</v>
      </c>
      <c r="CY106" s="64" t="e">
        <f t="shared" si="77"/>
        <v>#VALUE!</v>
      </c>
    </row>
    <row r="107" spans="66:103" x14ac:dyDescent="0.25">
      <c r="BN107" s="37" t="str">
        <f t="shared" si="63"/>
        <v>CMG</v>
      </c>
      <c r="BO107" s="41" t="s">
        <v>132</v>
      </c>
      <c r="BP107" s="41" t="s">
        <v>462</v>
      </c>
      <c r="BQ107" s="41" t="s">
        <v>463</v>
      </c>
      <c r="BR107" s="37">
        <v>30</v>
      </c>
      <c r="CL107" s="63">
        <v>48</v>
      </c>
      <c r="CM107" s="37" t="s">
        <v>461</v>
      </c>
      <c r="CN107" s="38"/>
      <c r="CO107" s="38"/>
      <c r="CP107" s="38"/>
      <c r="CQ107" s="38"/>
      <c r="CR107" s="38"/>
      <c r="CS107" s="38"/>
      <c r="CT107" s="38"/>
      <c r="CU107" s="93"/>
      <c r="CV107" s="63" t="e">
        <f t="shared" si="74"/>
        <v>#VALUE!</v>
      </c>
      <c r="CW107" s="37" t="e">
        <f t="shared" si="75"/>
        <v>#VALUE!</v>
      </c>
      <c r="CX107" s="37" t="e">
        <f t="shared" si="76"/>
        <v>#VALUE!</v>
      </c>
      <c r="CY107" s="64" t="e">
        <f t="shared" si="77"/>
        <v>#VALUE!</v>
      </c>
    </row>
    <row r="108" spans="66:103" x14ac:dyDescent="0.25">
      <c r="BN108" s="37" t="str">
        <f t="shared" si="63"/>
        <v>CMG</v>
      </c>
      <c r="BO108" s="41" t="s">
        <v>140</v>
      </c>
      <c r="BP108" s="41" t="s">
        <v>464</v>
      </c>
      <c r="BQ108" s="41" t="s">
        <v>465</v>
      </c>
      <c r="BR108" s="37">
        <v>30</v>
      </c>
      <c r="CL108" s="83">
        <v>48</v>
      </c>
      <c r="CM108" s="84" t="s">
        <v>466</v>
      </c>
      <c r="CN108" s="37" t="e">
        <f>SUM(CP108,CR108,CT108,CV108,CX108)</f>
        <v>#VALUE!</v>
      </c>
      <c r="CO108" s="37" t="e">
        <f>SUM(CQ108,CS108,CU108,CW108,CY108)</f>
        <v>#VALUE!</v>
      </c>
      <c r="CP108" s="38" t="e">
        <f>COUNTIFS(ranPerfilTM,$CM108,ranProf241,$BF$10,ranCatOcup,$BB$4)</f>
        <v>#VALUE!</v>
      </c>
      <c r="CQ108" s="37" t="e">
        <f>COUNTIFS(ranPerfilTM,$CM108,ranProf241,$BF$10,ranCatOcup,$BB$4,ranSexo,$AT$1)</f>
        <v>#VALUE!</v>
      </c>
      <c r="CR108" s="65" t="e">
        <f>COUNTIFS(ranPerfilTM,$CM108,ranProf241,$BF$5,ranCatOcup,$BB$4)</f>
        <v>#VALUE!</v>
      </c>
      <c r="CS108" s="37" t="e">
        <f>COUNTIFS(ranPerfilTM,$CM108,ranProf241,$BF$5,ranCatOcup,$BB$4,ranSexo,$AT$1)</f>
        <v>#VALUE!</v>
      </c>
      <c r="CT108" s="66" t="e">
        <f>COUNTIFS(ranPerfilTM,$CM108,ranProf241,$BF$7,ranCatOcup,$BB$4)</f>
        <v>#VALUE!</v>
      </c>
      <c r="CU108" s="64" t="e">
        <f>COUNTIFS(ranPerfilTM,$CM108,ranProf241,$BF$7,ranCatOcup,$BB$4,ranSexo,$AT$1)</f>
        <v>#VALUE!</v>
      </c>
      <c r="CV108" s="63" t="e">
        <f t="shared" si="74"/>
        <v>#VALUE!</v>
      </c>
      <c r="CW108" s="37" t="e">
        <f t="shared" si="75"/>
        <v>#VALUE!</v>
      </c>
      <c r="CX108" s="37" t="e">
        <f t="shared" si="76"/>
        <v>#VALUE!</v>
      </c>
      <c r="CY108" s="64" t="e">
        <f t="shared" si="77"/>
        <v>#VALUE!</v>
      </c>
    </row>
    <row r="109" spans="66:103" x14ac:dyDescent="0.25">
      <c r="BN109" s="37" t="str">
        <f t="shared" si="63"/>
        <v>CMG</v>
      </c>
      <c r="BO109" s="41" t="s">
        <v>148</v>
      </c>
      <c r="BP109" s="41" t="s">
        <v>467</v>
      </c>
      <c r="BQ109" s="41" t="s">
        <v>468</v>
      </c>
      <c r="BR109" s="37">
        <v>30</v>
      </c>
      <c r="CL109" s="63">
        <v>48</v>
      </c>
      <c r="CM109" s="37" t="s">
        <v>466</v>
      </c>
      <c r="CN109" s="38"/>
      <c r="CO109" s="38"/>
      <c r="CP109" s="38"/>
      <c r="CQ109" s="38"/>
      <c r="CR109" s="38"/>
      <c r="CS109" s="38"/>
      <c r="CT109" s="38"/>
      <c r="CU109" s="93"/>
      <c r="CV109" s="63" t="e">
        <f t="shared" si="74"/>
        <v>#VALUE!</v>
      </c>
      <c r="CW109" s="37" t="e">
        <f t="shared" si="75"/>
        <v>#VALUE!</v>
      </c>
      <c r="CX109" s="37" t="e">
        <f t="shared" si="76"/>
        <v>#VALUE!</v>
      </c>
      <c r="CY109" s="64" t="e">
        <f t="shared" si="77"/>
        <v>#VALUE!</v>
      </c>
    </row>
    <row r="110" spans="66:103" x14ac:dyDescent="0.25">
      <c r="BN110" s="37" t="str">
        <f t="shared" si="63"/>
        <v>CMG</v>
      </c>
      <c r="BO110" s="41" t="s">
        <v>155</v>
      </c>
      <c r="BP110" s="41" t="s">
        <v>469</v>
      </c>
      <c r="BQ110" s="41" t="s">
        <v>470</v>
      </c>
      <c r="BR110" s="37">
        <v>30</v>
      </c>
      <c r="CL110" s="83">
        <v>48</v>
      </c>
      <c r="CM110" s="84" t="s">
        <v>471</v>
      </c>
      <c r="CN110" s="37" t="e">
        <f>SUM(CP110,CR110,CT110,CV110,CX110)</f>
        <v>#VALUE!</v>
      </c>
      <c r="CO110" s="37" t="e">
        <f>SUM(CQ110,CS110,CU110,CW110,CY110)</f>
        <v>#VALUE!</v>
      </c>
      <c r="CP110" s="38" t="e">
        <f>COUNTIFS(ranPerfilTM,$CM110,ranProf241,$BF$10,ranCatOcup,$BB$4)</f>
        <v>#VALUE!</v>
      </c>
      <c r="CQ110" s="37" t="e">
        <f>COUNTIFS(ranPerfilTM,$CM110,ranProf241,$BF$10,ranCatOcup,$BB$4,ranSexo,$AT$1)</f>
        <v>#VALUE!</v>
      </c>
      <c r="CR110" s="65" t="e">
        <f>COUNTIFS(ranPerfilTM,$CM110,ranProf241,$BF$5,ranCatOcup,$BB$4)</f>
        <v>#VALUE!</v>
      </c>
      <c r="CS110" s="37" t="e">
        <f>COUNTIFS(ranPerfilTM,$CM110,ranProf241,$BF$5,ranCatOcup,$BB$4,ranSexo,$AT$1)</f>
        <v>#VALUE!</v>
      </c>
      <c r="CT110" s="66" t="e">
        <f>COUNTIFS(ranPerfilTM,$CM110,ranProf241,$BF$7,ranCatOcup,$BB$4)</f>
        <v>#VALUE!</v>
      </c>
      <c r="CU110" s="64" t="e">
        <f>COUNTIFS(ranPerfilTM,$CM110,ranProf241,$BF$7,ranCatOcup,$BB$4,ranSexo,$AT$1)</f>
        <v>#VALUE!</v>
      </c>
      <c r="CV110" s="63" t="e">
        <f t="shared" si="74"/>
        <v>#VALUE!</v>
      </c>
      <c r="CW110" s="37" t="e">
        <f t="shared" si="75"/>
        <v>#VALUE!</v>
      </c>
      <c r="CX110" s="37" t="e">
        <f t="shared" si="76"/>
        <v>#VALUE!</v>
      </c>
      <c r="CY110" s="64" t="e">
        <f t="shared" si="77"/>
        <v>#VALUE!</v>
      </c>
    </row>
    <row r="111" spans="66:103" x14ac:dyDescent="0.25">
      <c r="BN111" s="37" t="str">
        <f t="shared" si="63"/>
        <v>CMG</v>
      </c>
      <c r="BO111" s="41" t="s">
        <v>163</v>
      </c>
      <c r="BP111" s="41" t="s">
        <v>472</v>
      </c>
      <c r="BQ111" s="41" t="s">
        <v>473</v>
      </c>
      <c r="BR111" s="37">
        <v>30</v>
      </c>
      <c r="CL111" s="83">
        <v>48</v>
      </c>
      <c r="CM111" s="84" t="s">
        <v>474</v>
      </c>
      <c r="CN111" s="37" t="e">
        <f>SUM(CP111,CR111,CT111,CV111,CX111)</f>
        <v>#VALUE!</v>
      </c>
      <c r="CO111" s="37" t="e">
        <f>SUM(CQ111,CS111,CU111,CW111,CY111)</f>
        <v>#VALUE!</v>
      </c>
      <c r="CP111" s="38" t="e">
        <f>COUNTIFS(ranPerfilTM,$CM111,ranProf241,$BF$10,ranCatOcup,$BB$4)</f>
        <v>#VALUE!</v>
      </c>
      <c r="CQ111" s="37" t="e">
        <f>COUNTIFS(ranPerfilTM,$CM111,ranProf241,$BF$10,ranCatOcup,$BB$4,ranSexo,$AT$1)</f>
        <v>#VALUE!</v>
      </c>
      <c r="CR111" s="65" t="e">
        <f>COUNTIFS(ranPerfilTM,$CM111,ranProf241,$BF$5,ranCatOcup,$BB$4)</f>
        <v>#VALUE!</v>
      </c>
      <c r="CS111" s="37" t="e">
        <f>COUNTIFS(ranPerfilTM,$CM111,ranProf241,$BF$5,ranCatOcup,$BB$4,ranSexo,$AT$1)</f>
        <v>#VALUE!</v>
      </c>
      <c r="CT111" s="66" t="e">
        <f>COUNTIFS(ranPerfilTM,$CM111,ranProf241,$BF$7,ranCatOcup,$BB$4)</f>
        <v>#VALUE!</v>
      </c>
      <c r="CU111" s="64" t="e">
        <f>COUNTIFS(ranPerfilTM,$CM111,ranProf241,$BF$7,ranCatOcup,$BB$4,ranSexo,$AT$1)</f>
        <v>#VALUE!</v>
      </c>
      <c r="CV111" s="63" t="e">
        <f t="shared" si="74"/>
        <v>#VALUE!</v>
      </c>
      <c r="CW111" s="37" t="e">
        <f t="shared" si="75"/>
        <v>#VALUE!</v>
      </c>
      <c r="CX111" s="37" t="e">
        <f t="shared" si="76"/>
        <v>#VALUE!</v>
      </c>
      <c r="CY111" s="64" t="e">
        <f t="shared" si="77"/>
        <v>#VALUE!</v>
      </c>
    </row>
    <row r="112" spans="66:103" x14ac:dyDescent="0.25">
      <c r="BN112" s="37" t="str">
        <f t="shared" si="63"/>
        <v>CMG</v>
      </c>
      <c r="BO112" s="41" t="s">
        <v>170</v>
      </c>
      <c r="BP112" s="41" t="s">
        <v>121</v>
      </c>
      <c r="BQ112" s="41" t="s">
        <v>122</v>
      </c>
      <c r="BR112" s="37">
        <v>30</v>
      </c>
      <c r="CL112" s="63">
        <v>48</v>
      </c>
      <c r="CM112" s="37" t="s">
        <v>474</v>
      </c>
      <c r="CN112" s="38"/>
      <c r="CO112" s="38"/>
      <c r="CP112" s="38"/>
      <c r="CQ112" s="38"/>
      <c r="CR112" s="38"/>
      <c r="CS112" s="38"/>
      <c r="CT112" s="38"/>
      <c r="CU112" s="93"/>
      <c r="CV112" s="63" t="e">
        <f t="shared" si="74"/>
        <v>#VALUE!</v>
      </c>
      <c r="CW112" s="37" t="e">
        <f t="shared" si="75"/>
        <v>#VALUE!</v>
      </c>
      <c r="CX112" s="37" t="e">
        <f t="shared" si="76"/>
        <v>#VALUE!</v>
      </c>
      <c r="CY112" s="64" t="e">
        <f t="shared" si="77"/>
        <v>#VALUE!</v>
      </c>
    </row>
    <row r="113" spans="66:103" x14ac:dyDescent="0.25">
      <c r="BN113" s="37" t="str">
        <f t="shared" si="63"/>
        <v>CMG</v>
      </c>
      <c r="BO113" s="41" t="s">
        <v>178</v>
      </c>
      <c r="BP113" s="41" t="s">
        <v>475</v>
      </c>
      <c r="BQ113" s="41" t="s">
        <v>476</v>
      </c>
      <c r="BR113" s="37">
        <v>30</v>
      </c>
      <c r="CL113" s="63">
        <v>48</v>
      </c>
      <c r="CM113" s="37" t="s">
        <v>477</v>
      </c>
      <c r="CN113" s="37" t="e">
        <f t="shared" ref="CN113:CO130" si="78">SUM(CP113,CR113,CT113,CV113,CX113)</f>
        <v>#VALUE!</v>
      </c>
      <c r="CO113" s="37" t="e">
        <f t="shared" si="78"/>
        <v>#VALUE!</v>
      </c>
      <c r="CP113" s="38" t="e">
        <f t="shared" ref="CP113:CP129" si="79">COUNTIFS(ranPerfilTM,$CM113,ranProf241,$BF$10,ranCatOcup,$BB$4)</f>
        <v>#VALUE!</v>
      </c>
      <c r="CQ113" s="37" t="e">
        <f t="shared" ref="CQ113:CQ129" si="80">COUNTIFS(ranPerfilTM,$CM113,ranProf241,$BF$10,ranCatOcup,$BB$4,ranSexo,$AT$1)</f>
        <v>#VALUE!</v>
      </c>
      <c r="CR113" s="65" t="e">
        <f t="shared" ref="CR113:CR129" si="81">COUNTIFS(ranPerfilTM,$CM113,ranProf241,$BF$5,ranCatOcup,$BB$4)</f>
        <v>#VALUE!</v>
      </c>
      <c r="CS113" s="37" t="e">
        <f t="shared" ref="CS113:CS129" si="82">COUNTIFS(ranPerfilTM,$CM113,ranProf241,$BF$5,ranCatOcup,$BB$4,ranSexo,$AT$1)</f>
        <v>#VALUE!</v>
      </c>
      <c r="CT113" s="66" t="e">
        <f t="shared" ref="CT113:CT129" si="83">COUNTIFS(ranPerfilTM,$CM113,ranProf241,$BF$7,ranCatOcup,$BB$4)</f>
        <v>#VALUE!</v>
      </c>
      <c r="CU113" s="64" t="e">
        <f t="shared" ref="CU113:CU129" si="84">COUNTIFS(ranPerfilTM,$CM113,ranProf241,$BF$7,ranCatOcup,$BB$4,ranSexo,$AT$1)</f>
        <v>#VALUE!</v>
      </c>
      <c r="CV113" s="63" t="e">
        <f t="shared" si="74"/>
        <v>#VALUE!</v>
      </c>
      <c r="CW113" s="37" t="e">
        <f t="shared" si="75"/>
        <v>#VALUE!</v>
      </c>
      <c r="CX113" s="37" t="e">
        <f t="shared" si="76"/>
        <v>#VALUE!</v>
      </c>
      <c r="CY113" s="64" t="e">
        <f t="shared" si="77"/>
        <v>#VALUE!</v>
      </c>
    </row>
    <row r="114" spans="66:103" x14ac:dyDescent="0.25">
      <c r="BN114" s="37" t="str">
        <f t="shared" si="63"/>
        <v>CMG</v>
      </c>
      <c r="BO114" s="41" t="s">
        <v>187</v>
      </c>
      <c r="BP114" s="41" t="s">
        <v>478</v>
      </c>
      <c r="BQ114" s="41" t="s">
        <v>479</v>
      </c>
      <c r="BR114" s="37">
        <v>30</v>
      </c>
      <c r="CL114" s="63">
        <v>48</v>
      </c>
      <c r="CM114" s="37" t="s">
        <v>480</v>
      </c>
      <c r="CN114" s="37" t="e">
        <f t="shared" si="78"/>
        <v>#VALUE!</v>
      </c>
      <c r="CO114" s="37" t="e">
        <f t="shared" si="78"/>
        <v>#VALUE!</v>
      </c>
      <c r="CP114" s="38" t="e">
        <f t="shared" si="79"/>
        <v>#VALUE!</v>
      </c>
      <c r="CQ114" s="37" t="e">
        <f t="shared" si="80"/>
        <v>#VALUE!</v>
      </c>
      <c r="CR114" s="65" t="e">
        <f t="shared" si="81"/>
        <v>#VALUE!</v>
      </c>
      <c r="CS114" s="37" t="e">
        <f t="shared" si="82"/>
        <v>#VALUE!</v>
      </c>
      <c r="CT114" s="66" t="e">
        <f t="shared" si="83"/>
        <v>#VALUE!</v>
      </c>
      <c r="CU114" s="64" t="e">
        <f t="shared" si="84"/>
        <v>#VALUE!</v>
      </c>
      <c r="CV114" s="63" t="e">
        <f t="shared" si="74"/>
        <v>#VALUE!</v>
      </c>
      <c r="CW114" s="37" t="e">
        <f t="shared" si="75"/>
        <v>#VALUE!</v>
      </c>
      <c r="CX114" s="37" t="e">
        <f t="shared" si="76"/>
        <v>#VALUE!</v>
      </c>
      <c r="CY114" s="64" t="e">
        <f t="shared" si="77"/>
        <v>#VALUE!</v>
      </c>
    </row>
    <row r="115" spans="66:103" x14ac:dyDescent="0.25">
      <c r="BN115" s="37" t="str">
        <f t="shared" si="63"/>
        <v>CMG</v>
      </c>
      <c r="BO115" s="41" t="s">
        <v>200</v>
      </c>
      <c r="BP115" s="41" t="s">
        <v>481</v>
      </c>
      <c r="BQ115" s="41" t="s">
        <v>482</v>
      </c>
      <c r="BR115" s="37">
        <v>30</v>
      </c>
      <c r="CL115" s="63">
        <v>48</v>
      </c>
      <c r="CM115" s="37" t="s">
        <v>483</v>
      </c>
      <c r="CN115" s="37" t="e">
        <f t="shared" si="78"/>
        <v>#VALUE!</v>
      </c>
      <c r="CO115" s="37" t="e">
        <f t="shared" si="78"/>
        <v>#VALUE!</v>
      </c>
      <c r="CP115" s="38" t="e">
        <f t="shared" si="79"/>
        <v>#VALUE!</v>
      </c>
      <c r="CQ115" s="37" t="e">
        <f t="shared" si="80"/>
        <v>#VALUE!</v>
      </c>
      <c r="CR115" s="65" t="e">
        <f t="shared" si="81"/>
        <v>#VALUE!</v>
      </c>
      <c r="CS115" s="37" t="e">
        <f t="shared" si="82"/>
        <v>#VALUE!</v>
      </c>
      <c r="CT115" s="66" t="e">
        <f t="shared" si="83"/>
        <v>#VALUE!</v>
      </c>
      <c r="CU115" s="64" t="e">
        <f t="shared" si="84"/>
        <v>#VALUE!</v>
      </c>
      <c r="CV115" s="63" t="e">
        <f t="shared" si="74"/>
        <v>#VALUE!</v>
      </c>
      <c r="CW115" s="37" t="e">
        <f t="shared" si="75"/>
        <v>#VALUE!</v>
      </c>
      <c r="CX115" s="37" t="e">
        <f t="shared" si="76"/>
        <v>#VALUE!</v>
      </c>
      <c r="CY115" s="64" t="e">
        <f t="shared" si="77"/>
        <v>#VALUE!</v>
      </c>
    </row>
    <row r="116" spans="66:103" x14ac:dyDescent="0.25">
      <c r="BN116" s="37" t="str">
        <f t="shared" si="63"/>
        <v>CMG</v>
      </c>
      <c r="BO116" s="41" t="s">
        <v>280</v>
      </c>
      <c r="BP116" s="41" t="s">
        <v>484</v>
      </c>
      <c r="BQ116" s="41" t="s">
        <v>485</v>
      </c>
      <c r="BR116" s="37">
        <v>30</v>
      </c>
      <c r="CL116" s="63">
        <v>48</v>
      </c>
      <c r="CM116" s="37" t="s">
        <v>486</v>
      </c>
      <c r="CN116" s="37" t="e">
        <f t="shared" si="78"/>
        <v>#VALUE!</v>
      </c>
      <c r="CO116" s="37" t="e">
        <f t="shared" si="78"/>
        <v>#VALUE!</v>
      </c>
      <c r="CP116" s="38" t="e">
        <f t="shared" si="79"/>
        <v>#VALUE!</v>
      </c>
      <c r="CQ116" s="37" t="e">
        <f t="shared" si="80"/>
        <v>#VALUE!</v>
      </c>
      <c r="CR116" s="65" t="e">
        <f t="shared" si="81"/>
        <v>#VALUE!</v>
      </c>
      <c r="CS116" s="37" t="e">
        <f t="shared" si="82"/>
        <v>#VALUE!</v>
      </c>
      <c r="CT116" s="66" t="e">
        <f t="shared" si="83"/>
        <v>#VALUE!</v>
      </c>
      <c r="CU116" s="64" t="e">
        <f t="shared" si="84"/>
        <v>#VALUE!</v>
      </c>
      <c r="CV116" s="63" t="e">
        <f t="shared" si="74"/>
        <v>#VALUE!</v>
      </c>
      <c r="CW116" s="37" t="e">
        <f t="shared" si="75"/>
        <v>#VALUE!</v>
      </c>
      <c r="CX116" s="37" t="e">
        <f t="shared" si="76"/>
        <v>#VALUE!</v>
      </c>
      <c r="CY116" s="64" t="e">
        <f t="shared" si="77"/>
        <v>#VALUE!</v>
      </c>
    </row>
    <row r="117" spans="66:103" x14ac:dyDescent="0.25">
      <c r="BN117" s="37" t="str">
        <f t="shared" si="63"/>
        <v>CMG</v>
      </c>
      <c r="BO117" s="41" t="s">
        <v>284</v>
      </c>
      <c r="BP117" s="41" t="s">
        <v>487</v>
      </c>
      <c r="BQ117" s="41" t="s">
        <v>488</v>
      </c>
      <c r="BR117" s="37">
        <v>30</v>
      </c>
      <c r="CL117" s="83">
        <v>48</v>
      </c>
      <c r="CM117" s="84" t="s">
        <v>489</v>
      </c>
      <c r="CN117" s="37" t="e">
        <f t="shared" si="78"/>
        <v>#VALUE!</v>
      </c>
      <c r="CO117" s="37" t="e">
        <f t="shared" si="78"/>
        <v>#VALUE!</v>
      </c>
      <c r="CP117" s="38" t="e">
        <f t="shared" si="79"/>
        <v>#VALUE!</v>
      </c>
      <c r="CQ117" s="37" t="e">
        <f t="shared" si="80"/>
        <v>#VALUE!</v>
      </c>
      <c r="CR117" s="65" t="e">
        <f t="shared" si="81"/>
        <v>#VALUE!</v>
      </c>
      <c r="CS117" s="37" t="e">
        <f t="shared" si="82"/>
        <v>#VALUE!</v>
      </c>
      <c r="CT117" s="66" t="e">
        <f t="shared" si="83"/>
        <v>#VALUE!</v>
      </c>
      <c r="CU117" s="64" t="e">
        <f t="shared" si="84"/>
        <v>#VALUE!</v>
      </c>
      <c r="CV117" s="63" t="e">
        <f t="shared" si="74"/>
        <v>#VALUE!</v>
      </c>
      <c r="CW117" s="37" t="e">
        <f t="shared" si="75"/>
        <v>#VALUE!</v>
      </c>
      <c r="CX117" s="37" t="e">
        <f t="shared" si="76"/>
        <v>#VALUE!</v>
      </c>
      <c r="CY117" s="64" t="e">
        <f t="shared" si="77"/>
        <v>#VALUE!</v>
      </c>
    </row>
    <row r="118" spans="66:103" x14ac:dyDescent="0.25">
      <c r="BN118" s="37" t="str">
        <f t="shared" si="63"/>
        <v>TUN</v>
      </c>
      <c r="BO118" s="41" t="s">
        <v>111</v>
      </c>
      <c r="BP118" s="41" t="s">
        <v>490</v>
      </c>
      <c r="BQ118" s="41" t="s">
        <v>491</v>
      </c>
      <c r="BR118" s="37">
        <v>31</v>
      </c>
      <c r="CL118" s="63">
        <v>48</v>
      </c>
      <c r="CM118" s="37" t="s">
        <v>492</v>
      </c>
      <c r="CN118" s="37" t="e">
        <f t="shared" si="78"/>
        <v>#VALUE!</v>
      </c>
      <c r="CO118" s="37" t="e">
        <f t="shared" si="78"/>
        <v>#VALUE!</v>
      </c>
      <c r="CP118" s="38" t="e">
        <f t="shared" si="79"/>
        <v>#VALUE!</v>
      </c>
      <c r="CQ118" s="37" t="e">
        <f t="shared" si="80"/>
        <v>#VALUE!</v>
      </c>
      <c r="CR118" s="65" t="e">
        <f t="shared" si="81"/>
        <v>#VALUE!</v>
      </c>
      <c r="CS118" s="37" t="e">
        <f t="shared" si="82"/>
        <v>#VALUE!</v>
      </c>
      <c r="CT118" s="66" t="e">
        <f t="shared" si="83"/>
        <v>#VALUE!</v>
      </c>
      <c r="CU118" s="64" t="e">
        <f t="shared" si="84"/>
        <v>#VALUE!</v>
      </c>
      <c r="CV118" s="63" t="e">
        <f t="shared" si="74"/>
        <v>#VALUE!</v>
      </c>
      <c r="CW118" s="37" t="e">
        <f t="shared" si="75"/>
        <v>#VALUE!</v>
      </c>
      <c r="CX118" s="37" t="e">
        <f t="shared" si="76"/>
        <v>#VALUE!</v>
      </c>
      <c r="CY118" s="64" t="e">
        <f t="shared" si="77"/>
        <v>#VALUE!</v>
      </c>
    </row>
    <row r="119" spans="66:103" x14ac:dyDescent="0.25">
      <c r="BN119" s="37" t="str">
        <f t="shared" si="63"/>
        <v>TUN</v>
      </c>
      <c r="BO119" s="41" t="s">
        <v>123</v>
      </c>
      <c r="BP119" s="41" t="s">
        <v>493</v>
      </c>
      <c r="BQ119" s="41" t="s">
        <v>494</v>
      </c>
      <c r="BR119" s="37">
        <v>31</v>
      </c>
      <c r="CL119" s="63">
        <v>48</v>
      </c>
      <c r="CM119" s="37" t="s">
        <v>495</v>
      </c>
      <c r="CN119" s="37" t="e">
        <f t="shared" si="78"/>
        <v>#VALUE!</v>
      </c>
      <c r="CO119" s="37" t="e">
        <f t="shared" si="78"/>
        <v>#VALUE!</v>
      </c>
      <c r="CP119" s="38" t="e">
        <f t="shared" si="79"/>
        <v>#VALUE!</v>
      </c>
      <c r="CQ119" s="37" t="e">
        <f t="shared" si="80"/>
        <v>#VALUE!</v>
      </c>
      <c r="CR119" s="65" t="e">
        <f t="shared" si="81"/>
        <v>#VALUE!</v>
      </c>
      <c r="CS119" s="37" t="e">
        <f t="shared" si="82"/>
        <v>#VALUE!</v>
      </c>
      <c r="CT119" s="66" t="e">
        <f t="shared" si="83"/>
        <v>#VALUE!</v>
      </c>
      <c r="CU119" s="64" t="e">
        <f t="shared" si="84"/>
        <v>#VALUE!</v>
      </c>
      <c r="CV119" s="63" t="e">
        <f t="shared" si="74"/>
        <v>#VALUE!</v>
      </c>
      <c r="CW119" s="37" t="e">
        <f t="shared" si="75"/>
        <v>#VALUE!</v>
      </c>
      <c r="CX119" s="37" t="e">
        <f t="shared" si="76"/>
        <v>#VALUE!</v>
      </c>
      <c r="CY119" s="64" t="e">
        <f t="shared" si="77"/>
        <v>#VALUE!</v>
      </c>
    </row>
    <row r="120" spans="66:103" x14ac:dyDescent="0.25">
      <c r="BN120" s="37" t="str">
        <f t="shared" si="63"/>
        <v>TUN</v>
      </c>
      <c r="BO120" s="41" t="s">
        <v>132</v>
      </c>
      <c r="BP120" s="41" t="s">
        <v>496</v>
      </c>
      <c r="BQ120" s="41" t="s">
        <v>497</v>
      </c>
      <c r="BR120" s="37">
        <v>31</v>
      </c>
      <c r="CL120" s="63">
        <v>48</v>
      </c>
      <c r="CM120" s="37" t="s">
        <v>498</v>
      </c>
      <c r="CN120" s="37" t="e">
        <f t="shared" si="78"/>
        <v>#VALUE!</v>
      </c>
      <c r="CO120" s="37" t="e">
        <f t="shared" si="78"/>
        <v>#VALUE!</v>
      </c>
      <c r="CP120" s="38" t="e">
        <f t="shared" si="79"/>
        <v>#VALUE!</v>
      </c>
      <c r="CQ120" s="37" t="e">
        <f t="shared" si="80"/>
        <v>#VALUE!</v>
      </c>
      <c r="CR120" s="65" t="e">
        <f t="shared" si="81"/>
        <v>#VALUE!</v>
      </c>
      <c r="CS120" s="37" t="e">
        <f t="shared" si="82"/>
        <v>#VALUE!</v>
      </c>
      <c r="CT120" s="66" t="e">
        <f t="shared" si="83"/>
        <v>#VALUE!</v>
      </c>
      <c r="CU120" s="64" t="e">
        <f t="shared" si="84"/>
        <v>#VALUE!</v>
      </c>
      <c r="CV120" s="63" t="e">
        <f t="shared" si="74"/>
        <v>#VALUE!</v>
      </c>
      <c r="CW120" s="37" t="e">
        <f t="shared" si="75"/>
        <v>#VALUE!</v>
      </c>
      <c r="CX120" s="37" t="e">
        <f t="shared" si="76"/>
        <v>#VALUE!</v>
      </c>
      <c r="CY120" s="64" t="e">
        <f t="shared" si="77"/>
        <v>#VALUE!</v>
      </c>
    </row>
    <row r="121" spans="66:103" x14ac:dyDescent="0.25">
      <c r="BN121" s="37" t="str">
        <f t="shared" si="63"/>
        <v>TUN</v>
      </c>
      <c r="BO121" s="41" t="s">
        <v>140</v>
      </c>
      <c r="BP121" s="41" t="s">
        <v>499</v>
      </c>
      <c r="BQ121" s="41" t="s">
        <v>500</v>
      </c>
      <c r="BR121" s="37">
        <v>31</v>
      </c>
      <c r="CL121" s="63">
        <v>48</v>
      </c>
      <c r="CM121" s="37" t="s">
        <v>501</v>
      </c>
      <c r="CN121" s="37" t="e">
        <f t="shared" si="78"/>
        <v>#VALUE!</v>
      </c>
      <c r="CO121" s="37" t="e">
        <f t="shared" si="78"/>
        <v>#VALUE!</v>
      </c>
      <c r="CP121" s="38" t="e">
        <f t="shared" si="79"/>
        <v>#VALUE!</v>
      </c>
      <c r="CQ121" s="37" t="e">
        <f t="shared" si="80"/>
        <v>#VALUE!</v>
      </c>
      <c r="CR121" s="65" t="e">
        <f t="shared" si="81"/>
        <v>#VALUE!</v>
      </c>
      <c r="CS121" s="37" t="e">
        <f t="shared" si="82"/>
        <v>#VALUE!</v>
      </c>
      <c r="CT121" s="66" t="e">
        <f t="shared" si="83"/>
        <v>#VALUE!</v>
      </c>
      <c r="CU121" s="64" t="e">
        <f t="shared" si="84"/>
        <v>#VALUE!</v>
      </c>
      <c r="CV121" s="63" t="e">
        <f t="shared" si="74"/>
        <v>#VALUE!</v>
      </c>
      <c r="CW121" s="37" t="e">
        <f t="shared" si="75"/>
        <v>#VALUE!</v>
      </c>
      <c r="CX121" s="37" t="e">
        <f t="shared" si="76"/>
        <v>#VALUE!</v>
      </c>
      <c r="CY121" s="64" t="e">
        <f t="shared" si="77"/>
        <v>#VALUE!</v>
      </c>
    </row>
    <row r="122" spans="66:103" x14ac:dyDescent="0.25">
      <c r="BN122" s="37" t="str">
        <f t="shared" si="63"/>
        <v>TUN</v>
      </c>
      <c r="BO122" s="41" t="s">
        <v>148</v>
      </c>
      <c r="BP122" s="41" t="s">
        <v>185</v>
      </c>
      <c r="BQ122" s="41" t="s">
        <v>502</v>
      </c>
      <c r="BR122" s="37">
        <v>31</v>
      </c>
      <c r="CL122" s="63">
        <v>48</v>
      </c>
      <c r="CM122" s="37" t="s">
        <v>503</v>
      </c>
      <c r="CN122" s="37" t="e">
        <f t="shared" si="78"/>
        <v>#VALUE!</v>
      </c>
      <c r="CO122" s="37" t="e">
        <f t="shared" si="78"/>
        <v>#VALUE!</v>
      </c>
      <c r="CP122" s="38" t="e">
        <f t="shared" si="79"/>
        <v>#VALUE!</v>
      </c>
      <c r="CQ122" s="37" t="e">
        <f t="shared" si="80"/>
        <v>#VALUE!</v>
      </c>
      <c r="CR122" s="65" t="e">
        <f t="shared" si="81"/>
        <v>#VALUE!</v>
      </c>
      <c r="CS122" s="37" t="e">
        <f t="shared" si="82"/>
        <v>#VALUE!</v>
      </c>
      <c r="CT122" s="66" t="e">
        <f t="shared" si="83"/>
        <v>#VALUE!</v>
      </c>
      <c r="CU122" s="64" t="e">
        <f t="shared" si="84"/>
        <v>#VALUE!</v>
      </c>
      <c r="CV122" s="63" t="e">
        <f t="shared" si="74"/>
        <v>#VALUE!</v>
      </c>
      <c r="CW122" s="37" t="e">
        <f t="shared" si="75"/>
        <v>#VALUE!</v>
      </c>
      <c r="CX122" s="37" t="e">
        <f t="shared" si="76"/>
        <v>#VALUE!</v>
      </c>
      <c r="CY122" s="64" t="e">
        <f t="shared" si="77"/>
        <v>#VALUE!</v>
      </c>
    </row>
    <row r="123" spans="66:103" x14ac:dyDescent="0.25">
      <c r="BN123" s="37" t="str">
        <f t="shared" si="63"/>
        <v>TUN</v>
      </c>
      <c r="BO123" s="41" t="s">
        <v>155</v>
      </c>
      <c r="BP123" s="41" t="s">
        <v>504</v>
      </c>
      <c r="BQ123" s="41" t="s">
        <v>505</v>
      </c>
      <c r="BR123" s="37">
        <v>31</v>
      </c>
      <c r="CL123" s="63">
        <v>48</v>
      </c>
      <c r="CM123" s="37" t="s">
        <v>506</v>
      </c>
      <c r="CN123" s="37" t="e">
        <f t="shared" si="78"/>
        <v>#VALUE!</v>
      </c>
      <c r="CO123" s="37" t="e">
        <f t="shared" si="78"/>
        <v>#VALUE!</v>
      </c>
      <c r="CP123" s="38" t="e">
        <f t="shared" si="79"/>
        <v>#VALUE!</v>
      </c>
      <c r="CQ123" s="37" t="e">
        <f t="shared" si="80"/>
        <v>#VALUE!</v>
      </c>
      <c r="CR123" s="65" t="e">
        <f t="shared" si="81"/>
        <v>#VALUE!</v>
      </c>
      <c r="CS123" s="37" t="e">
        <f t="shared" si="82"/>
        <v>#VALUE!</v>
      </c>
      <c r="CT123" s="66" t="e">
        <f t="shared" si="83"/>
        <v>#VALUE!</v>
      </c>
      <c r="CU123" s="64" t="e">
        <f t="shared" si="84"/>
        <v>#VALUE!</v>
      </c>
      <c r="CV123" s="63" t="e">
        <f t="shared" si="74"/>
        <v>#VALUE!</v>
      </c>
      <c r="CW123" s="37" t="e">
        <f t="shared" si="75"/>
        <v>#VALUE!</v>
      </c>
      <c r="CX123" s="37" t="e">
        <f t="shared" si="76"/>
        <v>#VALUE!</v>
      </c>
      <c r="CY123" s="64" t="e">
        <f t="shared" si="77"/>
        <v>#VALUE!</v>
      </c>
    </row>
    <row r="124" spans="66:103" x14ac:dyDescent="0.25">
      <c r="BN124" s="37" t="str">
        <f t="shared" si="63"/>
        <v>TUN</v>
      </c>
      <c r="BO124" s="41" t="s">
        <v>163</v>
      </c>
      <c r="BP124" s="41" t="s">
        <v>507</v>
      </c>
      <c r="BQ124" s="41" t="s">
        <v>508</v>
      </c>
      <c r="BR124" s="37">
        <v>31</v>
      </c>
      <c r="CL124" s="63">
        <v>48</v>
      </c>
      <c r="CM124" s="37" t="s">
        <v>509</v>
      </c>
      <c r="CN124" s="37" t="e">
        <f t="shared" si="78"/>
        <v>#VALUE!</v>
      </c>
      <c r="CO124" s="37" t="e">
        <f t="shared" si="78"/>
        <v>#VALUE!</v>
      </c>
      <c r="CP124" s="38" t="e">
        <f t="shared" si="79"/>
        <v>#VALUE!</v>
      </c>
      <c r="CQ124" s="37" t="e">
        <f t="shared" si="80"/>
        <v>#VALUE!</v>
      </c>
      <c r="CR124" s="65" t="e">
        <f t="shared" si="81"/>
        <v>#VALUE!</v>
      </c>
      <c r="CS124" s="37" t="e">
        <f t="shared" si="82"/>
        <v>#VALUE!</v>
      </c>
      <c r="CT124" s="66" t="e">
        <f t="shared" si="83"/>
        <v>#VALUE!</v>
      </c>
      <c r="CU124" s="64" t="e">
        <f t="shared" si="84"/>
        <v>#VALUE!</v>
      </c>
      <c r="CV124" s="63" t="e">
        <f t="shared" si="74"/>
        <v>#VALUE!</v>
      </c>
      <c r="CW124" s="37" t="e">
        <f t="shared" si="75"/>
        <v>#VALUE!</v>
      </c>
      <c r="CX124" s="37" t="e">
        <f t="shared" si="76"/>
        <v>#VALUE!</v>
      </c>
      <c r="CY124" s="64" t="e">
        <f t="shared" si="77"/>
        <v>#VALUE!</v>
      </c>
    </row>
    <row r="125" spans="66:103" x14ac:dyDescent="0.25">
      <c r="BN125" s="37" t="str">
        <f t="shared" si="63"/>
        <v>TUN</v>
      </c>
      <c r="BO125" s="41" t="s">
        <v>170</v>
      </c>
      <c r="BP125" s="41" t="s">
        <v>510</v>
      </c>
      <c r="BQ125" s="41" t="s">
        <v>511</v>
      </c>
      <c r="BR125" s="37">
        <v>31</v>
      </c>
      <c r="CL125" s="63">
        <v>48</v>
      </c>
      <c r="CM125" s="37" t="s">
        <v>512</v>
      </c>
      <c r="CN125" s="37" t="e">
        <f t="shared" si="78"/>
        <v>#VALUE!</v>
      </c>
      <c r="CO125" s="37" t="e">
        <f t="shared" si="78"/>
        <v>#VALUE!</v>
      </c>
      <c r="CP125" s="38" t="e">
        <f t="shared" si="79"/>
        <v>#VALUE!</v>
      </c>
      <c r="CQ125" s="37" t="e">
        <f t="shared" si="80"/>
        <v>#VALUE!</v>
      </c>
      <c r="CR125" s="65" t="e">
        <f t="shared" si="81"/>
        <v>#VALUE!</v>
      </c>
      <c r="CS125" s="37" t="e">
        <f t="shared" si="82"/>
        <v>#VALUE!</v>
      </c>
      <c r="CT125" s="66" t="e">
        <f t="shared" si="83"/>
        <v>#VALUE!</v>
      </c>
      <c r="CU125" s="64" t="e">
        <f t="shared" si="84"/>
        <v>#VALUE!</v>
      </c>
      <c r="CV125" s="63" t="e">
        <f t="shared" si="74"/>
        <v>#VALUE!</v>
      </c>
      <c r="CW125" s="37" t="e">
        <f t="shared" si="75"/>
        <v>#VALUE!</v>
      </c>
      <c r="CX125" s="37" t="e">
        <f t="shared" si="76"/>
        <v>#VALUE!</v>
      </c>
      <c r="CY125" s="64" t="e">
        <f t="shared" si="77"/>
        <v>#VALUE!</v>
      </c>
    </row>
    <row r="126" spans="66:103" x14ac:dyDescent="0.25">
      <c r="BN126" s="37" t="str">
        <f t="shared" si="63"/>
        <v>HLG</v>
      </c>
      <c r="BO126" s="41" t="s">
        <v>111</v>
      </c>
      <c r="BP126" s="41" t="s">
        <v>513</v>
      </c>
      <c r="BQ126" s="41" t="s">
        <v>514</v>
      </c>
      <c r="BR126" s="37">
        <v>32</v>
      </c>
      <c r="CL126" s="63">
        <v>48</v>
      </c>
      <c r="CM126" s="37" t="s">
        <v>515</v>
      </c>
      <c r="CN126" s="37" t="e">
        <f t="shared" si="78"/>
        <v>#VALUE!</v>
      </c>
      <c r="CO126" s="37" t="e">
        <f t="shared" si="78"/>
        <v>#VALUE!</v>
      </c>
      <c r="CP126" s="38" t="e">
        <f t="shared" si="79"/>
        <v>#VALUE!</v>
      </c>
      <c r="CQ126" s="37" t="e">
        <f t="shared" si="80"/>
        <v>#VALUE!</v>
      </c>
      <c r="CR126" s="65" t="e">
        <f t="shared" si="81"/>
        <v>#VALUE!</v>
      </c>
      <c r="CS126" s="37" t="e">
        <f t="shared" si="82"/>
        <v>#VALUE!</v>
      </c>
      <c r="CT126" s="66" t="e">
        <f t="shared" si="83"/>
        <v>#VALUE!</v>
      </c>
      <c r="CU126" s="64" t="e">
        <f t="shared" si="84"/>
        <v>#VALUE!</v>
      </c>
      <c r="CV126" s="63" t="e">
        <f t="shared" si="74"/>
        <v>#VALUE!</v>
      </c>
      <c r="CW126" s="37" t="e">
        <f t="shared" si="75"/>
        <v>#VALUE!</v>
      </c>
      <c r="CX126" s="37" t="e">
        <f t="shared" si="76"/>
        <v>#VALUE!</v>
      </c>
      <c r="CY126" s="64" t="e">
        <f t="shared" si="77"/>
        <v>#VALUE!</v>
      </c>
    </row>
    <row r="127" spans="66:103" x14ac:dyDescent="0.25">
      <c r="BN127" s="37" t="str">
        <f t="shared" si="63"/>
        <v>HLG</v>
      </c>
      <c r="BO127" s="41" t="s">
        <v>123</v>
      </c>
      <c r="BP127" s="41" t="s">
        <v>516</v>
      </c>
      <c r="BQ127" s="41" t="s">
        <v>517</v>
      </c>
      <c r="BR127" s="37">
        <v>32</v>
      </c>
      <c r="CL127" s="63">
        <v>48</v>
      </c>
      <c r="CM127" s="37" t="s">
        <v>518</v>
      </c>
      <c r="CN127" s="37" t="e">
        <f t="shared" si="78"/>
        <v>#VALUE!</v>
      </c>
      <c r="CO127" s="37" t="e">
        <f t="shared" si="78"/>
        <v>#VALUE!</v>
      </c>
      <c r="CP127" s="38" t="e">
        <f t="shared" si="79"/>
        <v>#VALUE!</v>
      </c>
      <c r="CQ127" s="37" t="e">
        <f t="shared" si="80"/>
        <v>#VALUE!</v>
      </c>
      <c r="CR127" s="65" t="e">
        <f t="shared" si="81"/>
        <v>#VALUE!</v>
      </c>
      <c r="CS127" s="37" t="e">
        <f t="shared" si="82"/>
        <v>#VALUE!</v>
      </c>
      <c r="CT127" s="66" t="e">
        <f t="shared" si="83"/>
        <v>#VALUE!</v>
      </c>
      <c r="CU127" s="64" t="e">
        <f t="shared" si="84"/>
        <v>#VALUE!</v>
      </c>
      <c r="CV127" s="63" t="e">
        <f t="shared" si="74"/>
        <v>#VALUE!</v>
      </c>
      <c r="CW127" s="37" t="e">
        <f t="shared" si="75"/>
        <v>#VALUE!</v>
      </c>
      <c r="CX127" s="37" t="e">
        <f t="shared" si="76"/>
        <v>#VALUE!</v>
      </c>
      <c r="CY127" s="64" t="e">
        <f t="shared" si="77"/>
        <v>#VALUE!</v>
      </c>
    </row>
    <row r="128" spans="66:103" x14ac:dyDescent="0.25">
      <c r="BN128" s="37" t="str">
        <f t="shared" si="63"/>
        <v>HLG</v>
      </c>
      <c r="BO128" s="41" t="s">
        <v>132</v>
      </c>
      <c r="BP128" s="41" t="s">
        <v>519</v>
      </c>
      <c r="BQ128" s="41" t="s">
        <v>520</v>
      </c>
      <c r="BR128" s="37">
        <v>32</v>
      </c>
      <c r="CL128" s="63">
        <v>48</v>
      </c>
      <c r="CM128" s="37" t="s">
        <v>521</v>
      </c>
      <c r="CN128" s="37" t="e">
        <f t="shared" si="78"/>
        <v>#VALUE!</v>
      </c>
      <c r="CO128" s="37" t="e">
        <f t="shared" si="78"/>
        <v>#VALUE!</v>
      </c>
      <c r="CP128" s="38" t="e">
        <f t="shared" si="79"/>
        <v>#VALUE!</v>
      </c>
      <c r="CQ128" s="37" t="e">
        <f t="shared" si="80"/>
        <v>#VALUE!</v>
      </c>
      <c r="CR128" s="65" t="e">
        <f t="shared" si="81"/>
        <v>#VALUE!</v>
      </c>
      <c r="CS128" s="37" t="e">
        <f t="shared" si="82"/>
        <v>#VALUE!</v>
      </c>
      <c r="CT128" s="66" t="e">
        <f t="shared" si="83"/>
        <v>#VALUE!</v>
      </c>
      <c r="CU128" s="64" t="e">
        <f t="shared" si="84"/>
        <v>#VALUE!</v>
      </c>
      <c r="CV128" s="63" t="e">
        <f t="shared" si="74"/>
        <v>#VALUE!</v>
      </c>
      <c r="CW128" s="37" t="e">
        <f t="shared" si="75"/>
        <v>#VALUE!</v>
      </c>
      <c r="CX128" s="37" t="e">
        <f t="shared" si="76"/>
        <v>#VALUE!</v>
      </c>
      <c r="CY128" s="64" t="e">
        <f t="shared" si="77"/>
        <v>#VALUE!</v>
      </c>
    </row>
    <row r="129" spans="66:103" x14ac:dyDescent="0.25">
      <c r="BN129" s="37" t="str">
        <f t="shared" si="63"/>
        <v>HLG</v>
      </c>
      <c r="BO129" s="41" t="s">
        <v>140</v>
      </c>
      <c r="BP129" s="41" t="s">
        <v>522</v>
      </c>
      <c r="BQ129" s="41" t="s">
        <v>523</v>
      </c>
      <c r="BR129" s="37">
        <v>32</v>
      </c>
      <c r="CL129" s="63">
        <v>48</v>
      </c>
      <c r="CM129" s="37" t="s">
        <v>524</v>
      </c>
      <c r="CN129" s="37" t="e">
        <f t="shared" si="78"/>
        <v>#VALUE!</v>
      </c>
      <c r="CO129" s="37" t="e">
        <f t="shared" si="78"/>
        <v>#VALUE!</v>
      </c>
      <c r="CP129" s="37" t="e">
        <f t="shared" si="79"/>
        <v>#VALUE!</v>
      </c>
      <c r="CQ129" s="37" t="e">
        <f t="shared" si="80"/>
        <v>#VALUE!</v>
      </c>
      <c r="CR129" s="37" t="e">
        <f t="shared" si="81"/>
        <v>#VALUE!</v>
      </c>
      <c r="CS129" s="37" t="e">
        <f t="shared" si="82"/>
        <v>#VALUE!</v>
      </c>
      <c r="CT129" s="37" t="e">
        <f t="shared" si="83"/>
        <v>#VALUE!</v>
      </c>
      <c r="CU129" s="64" t="e">
        <f t="shared" si="84"/>
        <v>#VALUE!</v>
      </c>
      <c r="CV129" s="63" t="e">
        <f t="shared" si="74"/>
        <v>#VALUE!</v>
      </c>
      <c r="CW129" s="37" t="e">
        <f t="shared" si="75"/>
        <v>#VALUE!</v>
      </c>
      <c r="CX129" s="37" t="e">
        <f t="shared" si="76"/>
        <v>#VALUE!</v>
      </c>
      <c r="CY129" s="64" t="e">
        <f t="shared" si="77"/>
        <v>#VALUE!</v>
      </c>
    </row>
    <row r="130" spans="66:103" x14ac:dyDescent="0.25">
      <c r="BN130" s="37" t="str">
        <f t="shared" si="63"/>
        <v>HLG</v>
      </c>
      <c r="BO130" s="41" t="s">
        <v>148</v>
      </c>
      <c r="BP130" s="41" t="s">
        <v>525</v>
      </c>
      <c r="BQ130" s="41" t="s">
        <v>526</v>
      </c>
      <c r="BR130" s="37">
        <v>32</v>
      </c>
      <c r="CL130" s="121">
        <v>48</v>
      </c>
      <c r="CM130" s="122"/>
      <c r="CN130" s="150" t="e">
        <f t="shared" si="78"/>
        <v>#VALUE!</v>
      </c>
      <c r="CO130" s="150" t="e">
        <f t="shared" si="78"/>
        <v>#VALUE!</v>
      </c>
      <c r="CP130" s="150" t="e">
        <f>COUNTIFS(ranPerfilTM,"",ranProf241,$BF$10,ranCatOcup,$BB$4)</f>
        <v>#VALUE!</v>
      </c>
      <c r="CQ130" s="150" t="e">
        <f>COUNTIFS(ranPerfilTM,"",ranProf241,$BF$10,ranCatOcup,$BB$4,ranSexo,$AT$1)</f>
        <v>#VALUE!</v>
      </c>
      <c r="CR130" s="150" t="e">
        <f>COUNTIFS(ranPerfilTM,"",ranProf241,$BF$5,ranCatOcup,$BB$4)</f>
        <v>#VALUE!</v>
      </c>
      <c r="CS130" s="150" t="e">
        <f>COUNTIFS(ranPerfilTM,"",ranProf241,$BF$5,ranCatOcup,$BB$4,ranSexo,$AT$1)</f>
        <v>#VALUE!</v>
      </c>
      <c r="CT130" s="150" t="e">
        <f>COUNTIFS(ranPerfilTM,"",ranProf241,$BF$7,ranCatOcup,$BB$4)</f>
        <v>#VALUE!</v>
      </c>
      <c r="CU130" s="151" t="e">
        <f>COUNTIFS(ranPerfilTM,"",ranProf241,$BF$7,ranCatOcup,$BB$4,ranSexo,$AT$1)</f>
        <v>#VALUE!</v>
      </c>
      <c r="CV130" s="121" t="e">
        <f>COUNTIFS(ranPerfilTM,"",ranProf241,$BF$2,ranCatOcup,$BB$4)</f>
        <v>#VALUE!</v>
      </c>
      <c r="CW130" s="122" t="e">
        <f>COUNTIFS(ranPerfilTM,"",ranProf241,$BF$2,ranCatOcup,$BB$4,ranSexo,$AT$1)</f>
        <v>#VALUE!</v>
      </c>
      <c r="CX130" s="122" t="e">
        <f>COUNTIFS(ranPerfilTM,"",ranProf241,$BF$3,ranCatOcup,$BB$4)</f>
        <v>#VALUE!</v>
      </c>
      <c r="CY130" s="124" t="e">
        <f>COUNTIFS(ranPerfilTM,"",ranProf241,$BF$3,ranCatOcup,$BB$4,ranSexo,$AT$1)</f>
        <v>#VALUE!</v>
      </c>
    </row>
    <row r="131" spans="66:103" x14ac:dyDescent="0.25">
      <c r="BN131" s="37" t="str">
        <f t="shared" si="63"/>
        <v>HLG</v>
      </c>
      <c r="BO131" s="41" t="s">
        <v>155</v>
      </c>
      <c r="BP131" s="41" t="s">
        <v>161</v>
      </c>
      <c r="BQ131" s="41" t="s">
        <v>527</v>
      </c>
      <c r="BR131" s="37">
        <v>32</v>
      </c>
    </row>
    <row r="132" spans="66:103" x14ac:dyDescent="0.25">
      <c r="BN132" s="37" t="str">
        <f t="shared" si="63"/>
        <v>HLG</v>
      </c>
      <c r="BO132" s="41" t="s">
        <v>163</v>
      </c>
      <c r="BP132" s="41" t="s">
        <v>528</v>
      </c>
      <c r="BQ132" s="41" t="s">
        <v>529</v>
      </c>
      <c r="BR132" s="37">
        <v>32</v>
      </c>
    </row>
    <row r="133" spans="66:103" x14ac:dyDescent="0.25">
      <c r="BN133" s="37" t="str">
        <f t="shared" ref="BN133:BN172" si="85">INDEX($BK$2:$BK$17,MATCH(BR133,$BL$2:$BL$17,0))</f>
        <v>HLG</v>
      </c>
      <c r="BO133" s="41" t="s">
        <v>170</v>
      </c>
      <c r="BP133" s="41" t="s">
        <v>530</v>
      </c>
      <c r="BQ133" s="41" t="s">
        <v>531</v>
      </c>
      <c r="BR133" s="37">
        <v>32</v>
      </c>
    </row>
    <row r="134" spans="66:103" x14ac:dyDescent="0.25">
      <c r="BN134" s="37" t="str">
        <f t="shared" si="85"/>
        <v>HLG</v>
      </c>
      <c r="BO134" s="41" t="s">
        <v>178</v>
      </c>
      <c r="BP134" s="41" t="s">
        <v>532</v>
      </c>
      <c r="BQ134" s="41" t="s">
        <v>533</v>
      </c>
      <c r="BR134" s="37">
        <v>32</v>
      </c>
    </row>
    <row r="135" spans="66:103" x14ac:dyDescent="0.25">
      <c r="BN135" s="37" t="str">
        <f t="shared" si="85"/>
        <v>HLG</v>
      </c>
      <c r="BO135" s="41" t="s">
        <v>187</v>
      </c>
      <c r="BP135" s="41" t="s">
        <v>534</v>
      </c>
      <c r="BQ135" s="41" t="s">
        <v>535</v>
      </c>
      <c r="BR135" s="37">
        <v>32</v>
      </c>
    </row>
    <row r="136" spans="66:103" x14ac:dyDescent="0.25">
      <c r="BN136" s="37" t="str">
        <f t="shared" si="85"/>
        <v>HLG</v>
      </c>
      <c r="BO136" s="41" t="s">
        <v>200</v>
      </c>
      <c r="BP136" s="41" t="s">
        <v>536</v>
      </c>
      <c r="BQ136" s="41" t="s">
        <v>206</v>
      </c>
      <c r="BR136" s="37">
        <v>32</v>
      </c>
    </row>
    <row r="137" spans="66:103" x14ac:dyDescent="0.25">
      <c r="BN137" s="37" t="str">
        <f t="shared" si="85"/>
        <v>HLG</v>
      </c>
      <c r="BO137" s="41" t="s">
        <v>280</v>
      </c>
      <c r="BP137" s="41" t="s">
        <v>537</v>
      </c>
      <c r="BQ137" s="41" t="s">
        <v>538</v>
      </c>
      <c r="BR137" s="37">
        <v>32</v>
      </c>
    </row>
    <row r="138" spans="66:103" x14ac:dyDescent="0.25">
      <c r="BN138" s="37" t="str">
        <f t="shared" si="85"/>
        <v>HLG</v>
      </c>
      <c r="BO138" s="41" t="s">
        <v>284</v>
      </c>
      <c r="BP138" s="41" t="s">
        <v>539</v>
      </c>
      <c r="BQ138" s="41" t="s">
        <v>540</v>
      </c>
      <c r="BR138" s="37">
        <v>32</v>
      </c>
    </row>
    <row r="139" spans="66:103" x14ac:dyDescent="0.25">
      <c r="BN139" s="37" t="str">
        <f t="shared" si="85"/>
        <v>HLG</v>
      </c>
      <c r="BO139" s="41" t="s">
        <v>288</v>
      </c>
      <c r="BP139" s="41" t="s">
        <v>541</v>
      </c>
      <c r="BQ139" s="41" t="s">
        <v>542</v>
      </c>
      <c r="BR139" s="37">
        <v>32</v>
      </c>
    </row>
    <row r="140" spans="66:103" x14ac:dyDescent="0.25">
      <c r="BN140" s="37" t="str">
        <f t="shared" si="85"/>
        <v>GRM</v>
      </c>
      <c r="BO140" s="41" t="s">
        <v>111</v>
      </c>
      <c r="BP140" s="41" t="s">
        <v>543</v>
      </c>
      <c r="BQ140" s="41" t="s">
        <v>544</v>
      </c>
      <c r="BR140" s="37">
        <v>33</v>
      </c>
    </row>
    <row r="141" spans="66:103" x14ac:dyDescent="0.25">
      <c r="BN141" s="37" t="str">
        <f t="shared" si="85"/>
        <v>GRM</v>
      </c>
      <c r="BO141" s="41" t="s">
        <v>123</v>
      </c>
      <c r="BP141" s="41" t="s">
        <v>545</v>
      </c>
      <c r="BQ141" s="41" t="s">
        <v>546</v>
      </c>
      <c r="BR141" s="37">
        <v>33</v>
      </c>
    </row>
    <row r="142" spans="66:103" x14ac:dyDescent="0.25">
      <c r="BN142" s="37" t="str">
        <f t="shared" si="85"/>
        <v>GRM</v>
      </c>
      <c r="BO142" s="41" t="s">
        <v>132</v>
      </c>
      <c r="BP142" s="41" t="s">
        <v>547</v>
      </c>
      <c r="BQ142" s="41" t="s">
        <v>548</v>
      </c>
      <c r="BR142" s="37">
        <v>33</v>
      </c>
    </row>
    <row r="143" spans="66:103" x14ac:dyDescent="0.25">
      <c r="BN143" s="37" t="str">
        <f t="shared" si="85"/>
        <v>GRM</v>
      </c>
      <c r="BO143" s="41" t="s">
        <v>140</v>
      </c>
      <c r="BP143" s="41" t="s">
        <v>549</v>
      </c>
      <c r="BQ143" s="41" t="s">
        <v>550</v>
      </c>
      <c r="BR143" s="37">
        <v>33</v>
      </c>
    </row>
    <row r="144" spans="66:103" x14ac:dyDescent="0.25">
      <c r="BN144" s="37" t="str">
        <f t="shared" si="85"/>
        <v>GRM</v>
      </c>
      <c r="BO144" s="41" t="s">
        <v>148</v>
      </c>
      <c r="BP144" s="41" t="s">
        <v>551</v>
      </c>
      <c r="BQ144" s="41" t="s">
        <v>552</v>
      </c>
      <c r="BR144" s="37">
        <v>33</v>
      </c>
    </row>
    <row r="145" spans="66:70" x14ac:dyDescent="0.25">
      <c r="BN145" s="37" t="str">
        <f t="shared" si="85"/>
        <v>GRM</v>
      </c>
      <c r="BO145" s="41" t="s">
        <v>155</v>
      </c>
      <c r="BP145" s="41" t="s">
        <v>553</v>
      </c>
      <c r="BQ145" s="41" t="s">
        <v>554</v>
      </c>
      <c r="BR145" s="37">
        <v>33</v>
      </c>
    </row>
    <row r="146" spans="66:70" x14ac:dyDescent="0.25">
      <c r="BN146" s="37" t="str">
        <f t="shared" si="85"/>
        <v>GRM</v>
      </c>
      <c r="BO146" s="41" t="s">
        <v>163</v>
      </c>
      <c r="BP146" s="41" t="s">
        <v>555</v>
      </c>
      <c r="BQ146" s="41" t="s">
        <v>556</v>
      </c>
      <c r="BR146" s="37">
        <v>33</v>
      </c>
    </row>
    <row r="147" spans="66:70" x14ac:dyDescent="0.25">
      <c r="BN147" s="37" t="str">
        <f t="shared" si="85"/>
        <v>GRM</v>
      </c>
      <c r="BO147" s="41" t="s">
        <v>170</v>
      </c>
      <c r="BP147" s="41" t="s">
        <v>557</v>
      </c>
      <c r="BQ147" s="41" t="s">
        <v>558</v>
      </c>
      <c r="BR147" s="37">
        <v>33</v>
      </c>
    </row>
    <row r="148" spans="66:70" x14ac:dyDescent="0.25">
      <c r="BN148" s="37" t="str">
        <f t="shared" si="85"/>
        <v>GRM</v>
      </c>
      <c r="BO148" s="41" t="s">
        <v>178</v>
      </c>
      <c r="BP148" s="41" t="s">
        <v>559</v>
      </c>
      <c r="BQ148" s="41" t="s">
        <v>560</v>
      </c>
      <c r="BR148" s="37">
        <v>33</v>
      </c>
    </row>
    <row r="149" spans="66:70" x14ac:dyDescent="0.25">
      <c r="BN149" s="37" t="str">
        <f t="shared" si="85"/>
        <v>GRM</v>
      </c>
      <c r="BO149" s="41" t="s">
        <v>187</v>
      </c>
      <c r="BP149" s="41" t="s">
        <v>561</v>
      </c>
      <c r="BQ149" s="41" t="s">
        <v>562</v>
      </c>
      <c r="BR149" s="37">
        <v>33</v>
      </c>
    </row>
    <row r="150" spans="66:70" x14ac:dyDescent="0.25">
      <c r="BN150" s="37" t="str">
        <f t="shared" si="85"/>
        <v>GRM</v>
      </c>
      <c r="BO150" s="41" t="s">
        <v>200</v>
      </c>
      <c r="BP150" s="41" t="s">
        <v>563</v>
      </c>
      <c r="BQ150" s="41" t="s">
        <v>564</v>
      </c>
      <c r="BR150" s="37">
        <v>33</v>
      </c>
    </row>
    <row r="151" spans="66:70" x14ac:dyDescent="0.25">
      <c r="BN151" s="37" t="str">
        <f t="shared" si="85"/>
        <v>GRM</v>
      </c>
      <c r="BO151" s="41" t="s">
        <v>280</v>
      </c>
      <c r="BP151" s="41" t="s">
        <v>565</v>
      </c>
      <c r="BQ151" s="41" t="s">
        <v>566</v>
      </c>
      <c r="BR151" s="37">
        <v>33</v>
      </c>
    </row>
    <row r="152" spans="66:70" x14ac:dyDescent="0.25">
      <c r="BN152" s="37" t="str">
        <f t="shared" si="85"/>
        <v>GRM</v>
      </c>
      <c r="BO152" s="41" t="s">
        <v>284</v>
      </c>
      <c r="BP152" s="41" t="s">
        <v>567</v>
      </c>
      <c r="BQ152" s="41" t="s">
        <v>568</v>
      </c>
      <c r="BR152" s="37">
        <v>33</v>
      </c>
    </row>
    <row r="153" spans="66:70" x14ac:dyDescent="0.25">
      <c r="BN153" s="37" t="str">
        <f t="shared" si="85"/>
        <v>SCU</v>
      </c>
      <c r="BO153" s="41" t="s">
        <v>111</v>
      </c>
      <c r="BP153" s="41" t="s">
        <v>569</v>
      </c>
      <c r="BQ153" s="41" t="s">
        <v>570</v>
      </c>
      <c r="BR153" s="37">
        <v>34</v>
      </c>
    </row>
    <row r="154" spans="66:70" x14ac:dyDescent="0.25">
      <c r="BN154" s="37" t="str">
        <f t="shared" si="85"/>
        <v>SCU</v>
      </c>
      <c r="BO154" s="41" t="s">
        <v>123</v>
      </c>
      <c r="BP154" s="41" t="s">
        <v>571</v>
      </c>
      <c r="BQ154" s="41" t="s">
        <v>572</v>
      </c>
      <c r="BR154" s="37">
        <v>34</v>
      </c>
    </row>
    <row r="155" spans="66:70" x14ac:dyDescent="0.25">
      <c r="BN155" s="37" t="str">
        <f t="shared" si="85"/>
        <v>SCU</v>
      </c>
      <c r="BO155" s="41" t="s">
        <v>132</v>
      </c>
      <c r="BP155" s="41" t="s">
        <v>179</v>
      </c>
      <c r="BQ155" s="41" t="s">
        <v>573</v>
      </c>
      <c r="BR155" s="37">
        <v>34</v>
      </c>
    </row>
    <row r="156" spans="66:70" x14ac:dyDescent="0.25">
      <c r="BN156" s="37" t="str">
        <f t="shared" si="85"/>
        <v>SCU</v>
      </c>
      <c r="BO156" s="41" t="s">
        <v>140</v>
      </c>
      <c r="BP156" s="41" t="s">
        <v>574</v>
      </c>
      <c r="BQ156" s="41" t="s">
        <v>575</v>
      </c>
      <c r="BR156" s="37">
        <v>34</v>
      </c>
    </row>
    <row r="157" spans="66:70" x14ac:dyDescent="0.25">
      <c r="BN157" s="37" t="str">
        <f t="shared" si="85"/>
        <v>SCU</v>
      </c>
      <c r="BO157" s="41" t="s">
        <v>148</v>
      </c>
      <c r="BP157" s="41" t="s">
        <v>183</v>
      </c>
      <c r="BQ157" s="41" t="s">
        <v>576</v>
      </c>
      <c r="BR157" s="37">
        <v>34</v>
      </c>
    </row>
    <row r="158" spans="66:70" x14ac:dyDescent="0.25">
      <c r="BN158" s="37" t="str">
        <f t="shared" si="85"/>
        <v>SCU</v>
      </c>
      <c r="BO158" s="41" t="s">
        <v>155</v>
      </c>
      <c r="BP158" s="41" t="s">
        <v>182</v>
      </c>
      <c r="BQ158" s="41" t="s">
        <v>218</v>
      </c>
      <c r="BR158" s="37">
        <v>34</v>
      </c>
    </row>
    <row r="159" spans="66:70" x14ac:dyDescent="0.25">
      <c r="BN159" s="37" t="str">
        <f t="shared" si="85"/>
        <v>SCU</v>
      </c>
      <c r="BO159" s="41" t="s">
        <v>163</v>
      </c>
      <c r="BP159" s="41" t="s">
        <v>577</v>
      </c>
      <c r="BQ159" s="41" t="s">
        <v>578</v>
      </c>
      <c r="BR159" s="37">
        <v>34</v>
      </c>
    </row>
    <row r="160" spans="66:70" x14ac:dyDescent="0.25">
      <c r="BN160" s="37" t="str">
        <f t="shared" si="85"/>
        <v>SCU</v>
      </c>
      <c r="BO160" s="41" t="s">
        <v>170</v>
      </c>
      <c r="BP160" s="41" t="s">
        <v>579</v>
      </c>
      <c r="BQ160" s="41" t="s">
        <v>580</v>
      </c>
      <c r="BR160" s="37">
        <v>34</v>
      </c>
    </row>
    <row r="161" spans="66:70" x14ac:dyDescent="0.25">
      <c r="BN161" s="37" t="str">
        <f t="shared" si="85"/>
        <v>SCU</v>
      </c>
      <c r="BO161" s="41" t="s">
        <v>178</v>
      </c>
      <c r="BP161" s="41" t="s">
        <v>581</v>
      </c>
      <c r="BQ161" s="41" t="s">
        <v>582</v>
      </c>
      <c r="BR161" s="37">
        <v>34</v>
      </c>
    </row>
    <row r="162" spans="66:70" x14ac:dyDescent="0.25">
      <c r="BN162" s="37" t="str">
        <f t="shared" si="85"/>
        <v>GTM</v>
      </c>
      <c r="BO162" s="41" t="s">
        <v>111</v>
      </c>
      <c r="BP162" s="41" t="s">
        <v>583</v>
      </c>
      <c r="BQ162" s="41" t="s">
        <v>584</v>
      </c>
      <c r="BR162" s="37">
        <v>35</v>
      </c>
    </row>
    <row r="163" spans="66:70" x14ac:dyDescent="0.25">
      <c r="BN163" s="37" t="str">
        <f t="shared" si="85"/>
        <v>GTM</v>
      </c>
      <c r="BO163" s="41" t="s">
        <v>123</v>
      </c>
      <c r="BP163" s="41" t="s">
        <v>585</v>
      </c>
      <c r="BQ163" s="41" t="s">
        <v>586</v>
      </c>
      <c r="BR163" s="37">
        <v>35</v>
      </c>
    </row>
    <row r="164" spans="66:70" x14ac:dyDescent="0.25">
      <c r="BN164" s="37" t="str">
        <f t="shared" si="85"/>
        <v>GTM</v>
      </c>
      <c r="BO164" s="41" t="s">
        <v>132</v>
      </c>
      <c r="BP164" s="41" t="s">
        <v>587</v>
      </c>
      <c r="BQ164" s="41" t="s">
        <v>588</v>
      </c>
      <c r="BR164" s="37">
        <v>35</v>
      </c>
    </row>
    <row r="165" spans="66:70" x14ac:dyDescent="0.25">
      <c r="BN165" s="37" t="str">
        <f t="shared" si="85"/>
        <v>GTM</v>
      </c>
      <c r="BO165" s="41" t="s">
        <v>140</v>
      </c>
      <c r="BP165" s="41" t="s">
        <v>589</v>
      </c>
      <c r="BQ165" s="41" t="s">
        <v>590</v>
      </c>
      <c r="BR165" s="37">
        <v>35</v>
      </c>
    </row>
    <row r="166" spans="66:70" x14ac:dyDescent="0.25">
      <c r="BN166" s="37" t="str">
        <f t="shared" si="85"/>
        <v>GTM</v>
      </c>
      <c r="BO166" s="41" t="s">
        <v>148</v>
      </c>
      <c r="BP166" s="41" t="s">
        <v>591</v>
      </c>
      <c r="BQ166" s="41" t="s">
        <v>592</v>
      </c>
      <c r="BR166" s="37">
        <v>35</v>
      </c>
    </row>
    <row r="167" spans="66:70" x14ac:dyDescent="0.25">
      <c r="BN167" s="37" t="str">
        <f t="shared" si="85"/>
        <v>GTM</v>
      </c>
      <c r="BO167" s="41" t="s">
        <v>155</v>
      </c>
      <c r="BP167" s="41" t="s">
        <v>593</v>
      </c>
      <c r="BQ167" s="41" t="s">
        <v>594</v>
      </c>
      <c r="BR167" s="37">
        <v>35</v>
      </c>
    </row>
    <row r="168" spans="66:70" x14ac:dyDescent="0.25">
      <c r="BN168" s="37" t="str">
        <f t="shared" si="85"/>
        <v>GTM</v>
      </c>
      <c r="BO168" s="41" t="s">
        <v>163</v>
      </c>
      <c r="BP168" s="41" t="s">
        <v>595</v>
      </c>
      <c r="BQ168" s="41" t="s">
        <v>596</v>
      </c>
      <c r="BR168" s="37">
        <v>35</v>
      </c>
    </row>
    <row r="169" spans="66:70" x14ac:dyDescent="0.25">
      <c r="BN169" s="37" t="str">
        <f t="shared" si="85"/>
        <v>GTM</v>
      </c>
      <c r="BO169" s="41" t="s">
        <v>170</v>
      </c>
      <c r="BP169" s="41" t="s">
        <v>597</v>
      </c>
      <c r="BQ169" s="41" t="s">
        <v>598</v>
      </c>
      <c r="BR169" s="37">
        <v>35</v>
      </c>
    </row>
    <row r="170" spans="66:70" x14ac:dyDescent="0.25">
      <c r="BN170" s="37" t="str">
        <f t="shared" si="85"/>
        <v>GTM</v>
      </c>
      <c r="BO170" s="41" t="s">
        <v>178</v>
      </c>
      <c r="BP170" s="41" t="s">
        <v>599</v>
      </c>
      <c r="BQ170" s="41" t="s">
        <v>154</v>
      </c>
      <c r="BR170" s="37">
        <v>35</v>
      </c>
    </row>
    <row r="171" spans="66:70" x14ac:dyDescent="0.25">
      <c r="BN171" s="37" t="str">
        <f t="shared" si="85"/>
        <v>GTM</v>
      </c>
      <c r="BO171" s="41" t="s">
        <v>187</v>
      </c>
      <c r="BP171" s="41" t="s">
        <v>600</v>
      </c>
      <c r="BQ171" s="41" t="s">
        <v>601</v>
      </c>
      <c r="BR171" s="37">
        <v>35</v>
      </c>
    </row>
    <row r="172" spans="66:70" x14ac:dyDescent="0.25">
      <c r="BN172" s="37" t="str">
        <f t="shared" si="85"/>
        <v>IJV</v>
      </c>
      <c r="BO172" s="41" t="s">
        <v>111</v>
      </c>
      <c r="BP172" s="41" t="s">
        <v>168</v>
      </c>
      <c r="BQ172" s="41" t="s">
        <v>169</v>
      </c>
      <c r="BR172" s="37">
        <v>40</v>
      </c>
    </row>
    <row r="174" spans="66:70" x14ac:dyDescent="0.25">
      <c r="BO174" s="120"/>
      <c r="BP174" s="120"/>
      <c r="BQ174" s="120"/>
      <c r="BR174" s="84"/>
    </row>
  </sheetData>
  <mergeCells count="109">
    <mergeCell ref="A51:AB53"/>
    <mergeCell ref="L54:S54"/>
    <mergeCell ref="T54:AB54"/>
    <mergeCell ref="A58:B59"/>
    <mergeCell ref="A54:K57"/>
    <mergeCell ref="M55:R55"/>
    <mergeCell ref="U55:AA55"/>
    <mergeCell ref="L56:S56"/>
    <mergeCell ref="T56:AB56"/>
    <mergeCell ref="F58:K59"/>
    <mergeCell ref="L58:S58"/>
    <mergeCell ref="T58:AB58"/>
    <mergeCell ref="B35:K35"/>
    <mergeCell ref="B36:K36"/>
    <mergeCell ref="B32:K32"/>
    <mergeCell ref="B37:K37"/>
    <mergeCell ref="B33:K33"/>
    <mergeCell ref="B34:K34"/>
    <mergeCell ref="Q21:Y21"/>
    <mergeCell ref="Q22:Y22"/>
    <mergeCell ref="Q23:Y23"/>
    <mergeCell ref="Q24:Y24"/>
    <mergeCell ref="Q25:Y25"/>
    <mergeCell ref="B22:K22"/>
    <mergeCell ref="B21:K21"/>
    <mergeCell ref="B23:K23"/>
    <mergeCell ref="B25:K25"/>
    <mergeCell ref="B24:K24"/>
    <mergeCell ref="O32:AB43"/>
    <mergeCell ref="Q18:Y18"/>
    <mergeCell ref="A27:K27"/>
    <mergeCell ref="B26:K26"/>
    <mergeCell ref="Q19:Y19"/>
    <mergeCell ref="Q20:Y20"/>
    <mergeCell ref="A13:K13"/>
    <mergeCell ref="A14:K14"/>
    <mergeCell ref="A12:AB12"/>
    <mergeCell ref="O13:Y13"/>
    <mergeCell ref="O14:Y14"/>
    <mergeCell ref="P15:Y15"/>
    <mergeCell ref="Q16:Y16"/>
    <mergeCell ref="B18:K18"/>
    <mergeCell ref="A16:K16"/>
    <mergeCell ref="B17:K17"/>
    <mergeCell ref="A15:K15"/>
    <mergeCell ref="A1:H1"/>
    <mergeCell ref="A2:H5"/>
    <mergeCell ref="A6:H7"/>
    <mergeCell ref="I1:R7"/>
    <mergeCell ref="S1:Y2"/>
    <mergeCell ref="Z1:AB1"/>
    <mergeCell ref="Z2:AB2"/>
    <mergeCell ref="X3:Y3"/>
    <mergeCell ref="Z3:AB3"/>
    <mergeCell ref="X4:Y4"/>
    <mergeCell ref="Z4:AB4"/>
    <mergeCell ref="X5:Y5"/>
    <mergeCell ref="Z5:AB5"/>
    <mergeCell ref="X6:Y7"/>
    <mergeCell ref="Z6:AB6"/>
    <mergeCell ref="S7:W7"/>
    <mergeCell ref="G8:U8"/>
    <mergeCell ref="V8:W11"/>
    <mergeCell ref="X8:AB8"/>
    <mergeCell ref="G9:U9"/>
    <mergeCell ref="X9:AB9"/>
    <mergeCell ref="K10:N10"/>
    <mergeCell ref="O10:U10"/>
    <mergeCell ref="X10:Y11"/>
    <mergeCell ref="Z10:AB11"/>
    <mergeCell ref="K11:N11"/>
    <mergeCell ref="O11:U11"/>
    <mergeCell ref="A10:J11"/>
    <mergeCell ref="A8:F9"/>
    <mergeCell ref="A46:AB46"/>
    <mergeCell ref="O47:Q49"/>
    <mergeCell ref="R47:Y47"/>
    <mergeCell ref="R48:Y48"/>
    <mergeCell ref="R49:Y49"/>
    <mergeCell ref="A47:C50"/>
    <mergeCell ref="D47:K47"/>
    <mergeCell ref="D48:K48"/>
    <mergeCell ref="D50:K50"/>
    <mergeCell ref="D49:K49"/>
    <mergeCell ref="O50:Y50"/>
    <mergeCell ref="A44:AB45"/>
    <mergeCell ref="A17:A26"/>
    <mergeCell ref="B28:K28"/>
    <mergeCell ref="B29:K29"/>
    <mergeCell ref="B30:K30"/>
    <mergeCell ref="B31:K31"/>
    <mergeCell ref="A28:A43"/>
    <mergeCell ref="B38:K38"/>
    <mergeCell ref="B41:K41"/>
    <mergeCell ref="B42:K42"/>
    <mergeCell ref="B40:K40"/>
    <mergeCell ref="B43:K43"/>
    <mergeCell ref="B39:K39"/>
    <mergeCell ref="Q26:Y26"/>
    <mergeCell ref="P27:Y27"/>
    <mergeCell ref="P28:Y28"/>
    <mergeCell ref="P16:P26"/>
    <mergeCell ref="P29:Y29"/>
    <mergeCell ref="O15:O29"/>
    <mergeCell ref="O30:Y30"/>
    <mergeCell ref="O31:Y31"/>
    <mergeCell ref="B20:K20"/>
    <mergeCell ref="B19:K19"/>
    <mergeCell ref="Q17:Y17"/>
  </mergeCells>
  <conditionalFormatting sqref="A12:AB12">
    <cfRule type="expression" dxfId="10" priority="9">
      <formula>$AS$2&gt;$M$15</formula>
    </cfRule>
    <cfRule type="expression" dxfId="9" priority="10">
      <formula>$M$15&gt;$AS$2</formula>
    </cfRule>
  </conditionalFormatting>
  <conditionalFormatting sqref="M15:N15">
    <cfRule type="cellIs" dxfId="8" priority="8" operator="notEqual">
      <formula>$AS$2</formula>
    </cfRule>
  </conditionalFormatting>
  <conditionalFormatting sqref="M16:N16">
    <cfRule type="cellIs" dxfId="7" priority="12" operator="notEqual">
      <formula>$BA$2</formula>
    </cfRule>
  </conditionalFormatting>
  <conditionalFormatting sqref="M27:N27">
    <cfRule type="cellIs" dxfId="6" priority="11" operator="notEqual">
      <formula>$AZ$3</formula>
    </cfRule>
  </conditionalFormatting>
  <conditionalFormatting sqref="AA50:AB50">
    <cfRule type="cellIs" dxfId="5" priority="13" operator="notEqual">
      <formula>$M$15</formula>
    </cfRule>
  </conditionalFormatting>
  <conditionalFormatting sqref="AC1:AC1048576">
    <cfRule type="cellIs" dxfId="4" priority="5" operator="notEqual">
      <formula>""</formula>
    </cfRule>
  </conditionalFormatting>
  <conditionalFormatting sqref="BQ1:BQ1048576">
    <cfRule type="duplicateValues" dxfId="3" priority="1"/>
  </conditionalFormatting>
  <conditionalFormatting sqref="CL2:CY25 CL30:CY129">
    <cfRule type="expression" dxfId="2" priority="4">
      <formula>$CL2&lt;&gt;$CL3</formula>
    </cfRule>
  </conditionalFormatting>
  <conditionalFormatting sqref="CL26:CY29">
    <cfRule type="expression" dxfId="1" priority="18">
      <formula>$CL26&lt;&gt;$CL30</formula>
    </cfRule>
  </conditionalFormatting>
  <conditionalFormatting sqref="CM1:CM1048576">
    <cfRule type="duplicateValues" dxfId="0" priority="6"/>
  </conditionalFormatting>
  <dataValidations count="3">
    <dataValidation type="list" allowBlank="1" showInputMessage="1" showErrorMessage="1" sqref="O11:U11" xr:uid="{00000000-0002-0000-0000-000000000000}">
      <formula1>INDIRECT(ranLstMcpios)</formula1>
    </dataValidation>
    <dataValidation type="list" allowBlank="1" showInputMessage="1" showErrorMessage="1" sqref="K11:N11" xr:uid="{00000000-0002-0000-0000-000001000000}">
      <formula1>ranProvincias</formula1>
    </dataValidation>
    <dataValidation type="list" allowBlank="1" showInputMessage="1" showErrorMessage="1" sqref="X6:Y7" xr:uid="{00000000-0002-0000-0000-000002000000}">
      <formula1>"Enero,Febrero,Marzo,Abril,Mayo,Junio,Julio,Agosto,Septiembre,Octubre,Noviembre,Diciembre"</formula1>
    </dataValidation>
  </dataValidations>
  <pageMargins left="0.18" right="0.41" top="0.74803149606299213" bottom="0.74803149606299213" header="0.31496062992125984" footer="0.31496062992125984"/>
  <pageSetup scale="75"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PBrush" shapeId="1026" r:id="rId4">
          <objectPr defaultSize="0" autoPict="0" r:id="rId5">
            <anchor moveWithCells="1" sizeWithCells="1">
              <from>
                <xdr:col>1</xdr:col>
                <xdr:colOff>47625</xdr:colOff>
                <xdr:row>1</xdr:row>
                <xdr:rowOff>47625</xdr:rowOff>
              </from>
              <to>
                <xdr:col>6</xdr:col>
                <xdr:colOff>266700</xdr:colOff>
                <xdr:row>5</xdr:row>
                <xdr:rowOff>85725</xdr:rowOff>
              </to>
            </anchor>
          </objectPr>
        </oleObject>
      </mc:Choice>
      <mc:Fallback>
        <oleObject progId="PBrush" shapeId="1026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0"/>
  <sheetViews>
    <sheetView zoomScalePageLayoutView="89" workbookViewId="0">
      <selection activeCell="B11" sqref="B11"/>
    </sheetView>
  </sheetViews>
  <sheetFormatPr baseColWidth="10" defaultRowHeight="15" x14ac:dyDescent="0.25"/>
  <cols>
    <col min="1" max="1" width="21.5703125" customWidth="1"/>
    <col min="2" max="2" width="10.5703125" customWidth="1"/>
    <col min="3" max="3" width="10.28515625" customWidth="1"/>
    <col min="4" max="9" width="10.140625" customWidth="1"/>
    <col min="10" max="10" width="12.5703125" customWidth="1"/>
    <col min="11" max="11" width="10.140625" customWidth="1"/>
    <col min="12" max="12" width="10" customWidth="1"/>
    <col min="13" max="13" width="10.140625" customWidth="1"/>
    <col min="14" max="14" width="8.7109375" customWidth="1"/>
    <col min="15" max="15" width="10.140625" customWidth="1"/>
    <col min="16" max="16" width="10.28515625" customWidth="1"/>
    <col min="17" max="17" width="9.5703125" customWidth="1"/>
    <col min="18" max="18" width="12.28515625" customWidth="1"/>
    <col min="19" max="19" width="13" customWidth="1"/>
  </cols>
  <sheetData>
    <row r="1" spans="1:19" ht="15" customHeight="1" x14ac:dyDescent="0.25">
      <c r="A1" s="476" t="s">
        <v>619</v>
      </c>
      <c r="B1" s="476"/>
      <c r="C1" s="476"/>
      <c r="D1" s="476"/>
      <c r="E1" s="476"/>
      <c r="F1" s="476"/>
      <c r="G1" s="476"/>
      <c r="H1" s="476"/>
      <c r="I1" s="476"/>
      <c r="J1" s="476"/>
      <c r="K1" s="476"/>
      <c r="L1" s="476"/>
      <c r="M1" s="476"/>
      <c r="N1" s="476"/>
      <c r="O1" s="476"/>
      <c r="P1" s="476"/>
    </row>
    <row r="2" spans="1:19" ht="15.75" customHeight="1" thickBot="1" x14ac:dyDescent="0.3">
      <c r="A2" s="477" t="s">
        <v>620</v>
      </c>
      <c r="B2" s="477"/>
      <c r="C2" s="477"/>
      <c r="D2" s="477"/>
      <c r="E2" s="161"/>
      <c r="F2" s="161"/>
      <c r="G2" s="161"/>
      <c r="H2" s="161"/>
      <c r="I2" s="161"/>
      <c r="J2" s="161"/>
      <c r="K2" s="478" t="s">
        <v>621</v>
      </c>
      <c r="L2" s="478"/>
      <c r="M2" s="478"/>
      <c r="N2" s="478"/>
      <c r="O2" s="478"/>
    </row>
    <row r="3" spans="1:19" ht="31.5" customHeight="1" thickBot="1" x14ac:dyDescent="0.3">
      <c r="A3" s="170" t="s">
        <v>631</v>
      </c>
      <c r="B3" s="485" t="s">
        <v>682</v>
      </c>
      <c r="C3" s="486"/>
      <c r="D3" s="487"/>
      <c r="E3" s="485" t="s">
        <v>683</v>
      </c>
      <c r="F3" s="486"/>
      <c r="G3" s="487"/>
      <c r="H3" s="482" t="s">
        <v>628</v>
      </c>
      <c r="I3" s="483"/>
      <c r="J3" s="484"/>
      <c r="K3" s="479" t="s">
        <v>622</v>
      </c>
      <c r="L3" s="480"/>
      <c r="M3" s="481"/>
      <c r="N3" s="479" t="s">
        <v>665</v>
      </c>
      <c r="O3" s="480"/>
      <c r="P3" s="481"/>
      <c r="Q3" s="480" t="s">
        <v>61</v>
      </c>
      <c r="R3" s="480"/>
      <c r="S3" s="481"/>
    </row>
    <row r="4" spans="1:19" ht="15" customHeight="1" thickBot="1" x14ac:dyDescent="0.3">
      <c r="A4" s="499" t="s">
        <v>62</v>
      </c>
      <c r="B4" s="501" t="s">
        <v>63</v>
      </c>
      <c r="C4" s="502"/>
      <c r="D4" s="503"/>
      <c r="E4" s="501" t="s">
        <v>63</v>
      </c>
      <c r="F4" s="502"/>
      <c r="G4" s="503"/>
      <c r="H4" s="501" t="s">
        <v>63</v>
      </c>
      <c r="I4" s="502"/>
      <c r="J4" s="503"/>
      <c r="K4" s="501" t="s">
        <v>63</v>
      </c>
      <c r="L4" s="502"/>
      <c r="M4" s="503"/>
      <c r="N4" s="501" t="s">
        <v>63</v>
      </c>
      <c r="O4" s="502"/>
      <c r="P4" s="503"/>
      <c r="Q4" s="504" t="s">
        <v>63</v>
      </c>
      <c r="R4" s="502"/>
      <c r="S4" s="503"/>
    </row>
    <row r="5" spans="1:19" ht="17.25" customHeight="1" thickBot="1" x14ac:dyDescent="0.3">
      <c r="A5" s="500"/>
      <c r="B5" s="27" t="s">
        <v>64</v>
      </c>
      <c r="C5" s="167" t="s">
        <v>65</v>
      </c>
      <c r="D5" s="168" t="s">
        <v>66</v>
      </c>
      <c r="E5" s="27" t="s">
        <v>64</v>
      </c>
      <c r="F5" s="167" t="s">
        <v>65</v>
      </c>
      <c r="G5" s="168" t="s">
        <v>66</v>
      </c>
      <c r="H5" s="27" t="s">
        <v>64</v>
      </c>
      <c r="I5" s="167" t="s">
        <v>626</v>
      </c>
      <c r="J5" s="168" t="s">
        <v>627</v>
      </c>
      <c r="K5" s="27" t="s">
        <v>64</v>
      </c>
      <c r="L5" s="167" t="s">
        <v>65</v>
      </c>
      <c r="M5" s="168" t="s">
        <v>66</v>
      </c>
      <c r="N5" s="27" t="s">
        <v>64</v>
      </c>
      <c r="O5" s="167" t="s">
        <v>65</v>
      </c>
      <c r="P5" s="168" t="s">
        <v>66</v>
      </c>
      <c r="Q5" s="224" t="s">
        <v>64</v>
      </c>
      <c r="R5" s="167" t="s">
        <v>65</v>
      </c>
      <c r="S5" s="168" t="s">
        <v>66</v>
      </c>
    </row>
    <row r="6" spans="1:19" x14ac:dyDescent="0.25">
      <c r="A6" s="250" t="s">
        <v>623</v>
      </c>
      <c r="B6" s="243">
        <f>C6+D6</f>
        <v>0</v>
      </c>
      <c r="C6" s="152"/>
      <c r="D6" s="165"/>
      <c r="E6" s="245">
        <f>+F6+G6</f>
        <v>0</v>
      </c>
      <c r="F6" s="152"/>
      <c r="G6" s="165"/>
      <c r="H6" s="245">
        <f>+I6+J6</f>
        <v>0</v>
      </c>
      <c r="I6" s="152"/>
      <c r="J6" s="165"/>
      <c r="K6" s="243">
        <f t="shared" ref="K6:K20" si="0">+L6+M6</f>
        <v>0</v>
      </c>
      <c r="L6" s="152"/>
      <c r="M6" s="165"/>
      <c r="N6" s="243">
        <f>+O6+P6</f>
        <v>0</v>
      </c>
      <c r="O6" s="152"/>
      <c r="P6" s="165"/>
      <c r="Q6" s="166">
        <f>+N6+K6+H6+B6</f>
        <v>0</v>
      </c>
      <c r="R6" s="23">
        <f>+O6+L6+I6+C6</f>
        <v>0</v>
      </c>
      <c r="S6" s="162">
        <f>+P6+M6+J6+D6</f>
        <v>0</v>
      </c>
    </row>
    <row r="7" spans="1:19" x14ac:dyDescent="0.25">
      <c r="A7" s="251" t="s">
        <v>670</v>
      </c>
      <c r="B7" s="248">
        <f>C7+D7</f>
        <v>0</v>
      </c>
      <c r="C7" s="169"/>
      <c r="D7" s="239"/>
      <c r="E7" s="246">
        <f t="shared" ref="E7:E20" si="1">+F7+G7</f>
        <v>0</v>
      </c>
      <c r="F7" s="169"/>
      <c r="G7" s="239"/>
      <c r="H7" s="245">
        <f t="shared" ref="H7:H20" si="2">+I7+J7</f>
        <v>0</v>
      </c>
      <c r="I7" s="169"/>
      <c r="J7" s="239"/>
      <c r="K7" s="243">
        <f t="shared" si="0"/>
        <v>0</v>
      </c>
      <c r="L7" s="169"/>
      <c r="M7" s="239"/>
      <c r="N7" s="243">
        <f t="shared" ref="N7:N20" si="3">+O7+P7</f>
        <v>0</v>
      </c>
      <c r="O7" s="169"/>
      <c r="P7" s="239"/>
      <c r="Q7" s="166">
        <f t="shared" ref="Q7:Q20" si="4">+N7+K7+H7+B7</f>
        <v>0</v>
      </c>
      <c r="R7" s="23">
        <f t="shared" ref="R7:R20" si="5">+O7+L7+I7+C7</f>
        <v>0</v>
      </c>
      <c r="S7" s="162">
        <f t="shared" ref="S7:S20" si="6">+P7+M7+J7+D7</f>
        <v>0</v>
      </c>
    </row>
    <row r="8" spans="1:19" s="37" customFormat="1" x14ac:dyDescent="0.25">
      <c r="A8" s="252" t="s">
        <v>671</v>
      </c>
      <c r="B8" s="248">
        <f>C8+D8</f>
        <v>0</v>
      </c>
      <c r="C8" s="169"/>
      <c r="D8" s="239"/>
      <c r="E8" s="246">
        <f t="shared" si="1"/>
        <v>0</v>
      </c>
      <c r="F8" s="169"/>
      <c r="G8" s="239"/>
      <c r="H8" s="245">
        <f t="shared" si="2"/>
        <v>0</v>
      </c>
      <c r="I8" s="169"/>
      <c r="J8" s="239"/>
      <c r="K8" s="243">
        <f t="shared" si="0"/>
        <v>0</v>
      </c>
      <c r="L8" s="169"/>
      <c r="M8" s="239"/>
      <c r="N8" s="243">
        <f t="shared" si="3"/>
        <v>0</v>
      </c>
      <c r="O8" s="169"/>
      <c r="P8" s="239"/>
      <c r="Q8" s="166">
        <f t="shared" si="4"/>
        <v>0</v>
      </c>
      <c r="R8" s="23">
        <f t="shared" si="5"/>
        <v>0</v>
      </c>
      <c r="S8" s="162">
        <f t="shared" si="6"/>
        <v>0</v>
      </c>
    </row>
    <row r="9" spans="1:19" s="37" customFormat="1" x14ac:dyDescent="0.25">
      <c r="A9" s="253" t="s">
        <v>672</v>
      </c>
      <c r="B9" s="248">
        <f>C9+D9</f>
        <v>0</v>
      </c>
      <c r="C9" s="169"/>
      <c r="D9" s="239"/>
      <c r="E9" s="246">
        <f t="shared" si="1"/>
        <v>0</v>
      </c>
      <c r="F9" s="169"/>
      <c r="G9" s="239"/>
      <c r="H9" s="245">
        <f t="shared" si="2"/>
        <v>0</v>
      </c>
      <c r="I9" s="169"/>
      <c r="J9" s="239"/>
      <c r="K9" s="243">
        <f t="shared" si="0"/>
        <v>0</v>
      </c>
      <c r="L9" s="169"/>
      <c r="M9" s="239"/>
      <c r="N9" s="243">
        <f t="shared" si="3"/>
        <v>0</v>
      </c>
      <c r="O9" s="169"/>
      <c r="P9" s="239"/>
      <c r="Q9" s="166">
        <f t="shared" si="4"/>
        <v>0</v>
      </c>
      <c r="R9" s="23">
        <f t="shared" si="5"/>
        <v>0</v>
      </c>
      <c r="S9" s="162">
        <f t="shared" si="6"/>
        <v>0</v>
      </c>
    </row>
    <row r="10" spans="1:19" s="37" customFormat="1" x14ac:dyDescent="0.25">
      <c r="A10" s="252" t="s">
        <v>673</v>
      </c>
      <c r="B10" s="248">
        <f t="shared" ref="B10:B20" si="7">C10+D10</f>
        <v>0</v>
      </c>
      <c r="C10" s="169"/>
      <c r="D10" s="239"/>
      <c r="E10" s="246">
        <f t="shared" si="1"/>
        <v>0</v>
      </c>
      <c r="F10" s="169"/>
      <c r="G10" s="239"/>
      <c r="H10" s="245">
        <f t="shared" si="2"/>
        <v>0</v>
      </c>
      <c r="I10" s="169"/>
      <c r="J10" s="239"/>
      <c r="K10" s="243">
        <f t="shared" si="0"/>
        <v>0</v>
      </c>
      <c r="L10" s="169"/>
      <c r="M10" s="239"/>
      <c r="N10" s="243">
        <f t="shared" si="3"/>
        <v>0</v>
      </c>
      <c r="O10" s="169"/>
      <c r="P10" s="239"/>
      <c r="Q10" s="166">
        <f t="shared" si="4"/>
        <v>0</v>
      </c>
      <c r="R10" s="23">
        <f t="shared" si="5"/>
        <v>0</v>
      </c>
      <c r="S10" s="162">
        <f t="shared" si="6"/>
        <v>0</v>
      </c>
    </row>
    <row r="11" spans="1:19" s="37" customFormat="1" x14ac:dyDescent="0.25">
      <c r="A11" s="252" t="s">
        <v>624</v>
      </c>
      <c r="B11" s="248">
        <f t="shared" si="7"/>
        <v>0</v>
      </c>
      <c r="C11" s="169"/>
      <c r="D11" s="239"/>
      <c r="E11" s="246">
        <f t="shared" si="1"/>
        <v>0</v>
      </c>
      <c r="F11" s="169"/>
      <c r="G11" s="239"/>
      <c r="H11" s="245">
        <f t="shared" si="2"/>
        <v>0</v>
      </c>
      <c r="I11" s="169"/>
      <c r="J11" s="239"/>
      <c r="K11" s="243">
        <f t="shared" si="0"/>
        <v>0</v>
      </c>
      <c r="L11" s="169"/>
      <c r="M11" s="239"/>
      <c r="N11" s="243">
        <f t="shared" si="3"/>
        <v>0</v>
      </c>
      <c r="O11" s="169"/>
      <c r="P11" s="239"/>
      <c r="Q11" s="166">
        <f t="shared" si="4"/>
        <v>0</v>
      </c>
      <c r="R11" s="23">
        <f t="shared" si="5"/>
        <v>0</v>
      </c>
      <c r="S11" s="162">
        <f t="shared" si="6"/>
        <v>0</v>
      </c>
    </row>
    <row r="12" spans="1:19" s="37" customFormat="1" x14ac:dyDescent="0.25">
      <c r="A12" s="252" t="s">
        <v>674</v>
      </c>
      <c r="B12" s="248">
        <f t="shared" si="7"/>
        <v>0</v>
      </c>
      <c r="C12" s="169"/>
      <c r="D12" s="239"/>
      <c r="E12" s="246">
        <f t="shared" si="1"/>
        <v>0</v>
      </c>
      <c r="F12" s="169"/>
      <c r="G12" s="239"/>
      <c r="H12" s="245">
        <f t="shared" si="2"/>
        <v>0</v>
      </c>
      <c r="I12" s="169"/>
      <c r="J12" s="239"/>
      <c r="K12" s="243">
        <f t="shared" si="0"/>
        <v>0</v>
      </c>
      <c r="L12" s="169"/>
      <c r="M12" s="239"/>
      <c r="N12" s="243">
        <f t="shared" si="3"/>
        <v>0</v>
      </c>
      <c r="O12" s="169"/>
      <c r="P12" s="239"/>
      <c r="Q12" s="166">
        <f t="shared" si="4"/>
        <v>0</v>
      </c>
      <c r="R12" s="23">
        <f t="shared" si="5"/>
        <v>0</v>
      </c>
      <c r="S12" s="162">
        <f t="shared" si="6"/>
        <v>0</v>
      </c>
    </row>
    <row r="13" spans="1:19" s="37" customFormat="1" x14ac:dyDescent="0.25">
      <c r="A13" s="252" t="s">
        <v>675</v>
      </c>
      <c r="B13" s="248">
        <f t="shared" si="7"/>
        <v>0</v>
      </c>
      <c r="C13" s="169"/>
      <c r="D13" s="239"/>
      <c r="E13" s="246">
        <f t="shared" si="1"/>
        <v>0</v>
      </c>
      <c r="F13" s="169"/>
      <c r="G13" s="239"/>
      <c r="H13" s="245">
        <f t="shared" si="2"/>
        <v>0</v>
      </c>
      <c r="I13" s="169"/>
      <c r="J13" s="239"/>
      <c r="K13" s="243">
        <f t="shared" si="0"/>
        <v>0</v>
      </c>
      <c r="L13" s="169"/>
      <c r="M13" s="239"/>
      <c r="N13" s="243">
        <f t="shared" si="3"/>
        <v>0</v>
      </c>
      <c r="O13" s="169"/>
      <c r="P13" s="239"/>
      <c r="Q13" s="166">
        <f t="shared" si="4"/>
        <v>0</v>
      </c>
      <c r="R13" s="23">
        <f t="shared" si="5"/>
        <v>0</v>
      </c>
      <c r="S13" s="162">
        <f t="shared" si="6"/>
        <v>0</v>
      </c>
    </row>
    <row r="14" spans="1:19" s="37" customFormat="1" x14ac:dyDescent="0.25">
      <c r="A14" s="252" t="s">
        <v>676</v>
      </c>
      <c r="B14" s="248">
        <f t="shared" si="7"/>
        <v>0</v>
      </c>
      <c r="C14" s="169"/>
      <c r="D14" s="239"/>
      <c r="E14" s="246">
        <f t="shared" si="1"/>
        <v>0</v>
      </c>
      <c r="F14" s="169"/>
      <c r="G14" s="239"/>
      <c r="H14" s="245">
        <f t="shared" si="2"/>
        <v>0</v>
      </c>
      <c r="I14" s="169"/>
      <c r="J14" s="239"/>
      <c r="K14" s="243">
        <f t="shared" si="0"/>
        <v>0</v>
      </c>
      <c r="L14" s="169"/>
      <c r="M14" s="239"/>
      <c r="N14" s="243">
        <f t="shared" si="3"/>
        <v>0</v>
      </c>
      <c r="O14" s="169"/>
      <c r="P14" s="239"/>
      <c r="Q14" s="166">
        <f t="shared" si="4"/>
        <v>0</v>
      </c>
      <c r="R14" s="23">
        <f t="shared" si="5"/>
        <v>0</v>
      </c>
      <c r="S14" s="162">
        <f t="shared" si="6"/>
        <v>0</v>
      </c>
    </row>
    <row r="15" spans="1:19" s="37" customFormat="1" x14ac:dyDescent="0.25">
      <c r="A15" s="252" t="s">
        <v>677</v>
      </c>
      <c r="B15" s="248">
        <f t="shared" si="7"/>
        <v>0</v>
      </c>
      <c r="C15" s="169"/>
      <c r="D15" s="239"/>
      <c r="E15" s="246">
        <f t="shared" si="1"/>
        <v>0</v>
      </c>
      <c r="F15" s="169"/>
      <c r="G15" s="239"/>
      <c r="H15" s="245">
        <f t="shared" si="2"/>
        <v>0</v>
      </c>
      <c r="I15" s="169"/>
      <c r="J15" s="239"/>
      <c r="K15" s="243">
        <f t="shared" si="0"/>
        <v>0</v>
      </c>
      <c r="L15" s="169"/>
      <c r="M15" s="239"/>
      <c r="N15" s="243">
        <f t="shared" si="3"/>
        <v>0</v>
      </c>
      <c r="O15" s="169"/>
      <c r="P15" s="239"/>
      <c r="Q15" s="166">
        <f t="shared" si="4"/>
        <v>0</v>
      </c>
      <c r="R15" s="23">
        <f t="shared" si="5"/>
        <v>0</v>
      </c>
      <c r="S15" s="162">
        <f t="shared" si="6"/>
        <v>0</v>
      </c>
    </row>
    <row r="16" spans="1:19" s="37" customFormat="1" x14ac:dyDescent="0.25">
      <c r="A16" s="252" t="s">
        <v>625</v>
      </c>
      <c r="B16" s="248">
        <f t="shared" si="7"/>
        <v>0</v>
      </c>
      <c r="C16" s="169"/>
      <c r="D16" s="239"/>
      <c r="E16" s="246">
        <f t="shared" si="1"/>
        <v>0</v>
      </c>
      <c r="F16" s="169"/>
      <c r="G16" s="239"/>
      <c r="H16" s="245">
        <f t="shared" si="2"/>
        <v>0</v>
      </c>
      <c r="I16" s="169"/>
      <c r="J16" s="239"/>
      <c r="K16" s="243">
        <f t="shared" si="0"/>
        <v>0</v>
      </c>
      <c r="L16" s="169"/>
      <c r="M16" s="239"/>
      <c r="N16" s="243">
        <f t="shared" si="3"/>
        <v>0</v>
      </c>
      <c r="O16" s="169"/>
      <c r="P16" s="239"/>
      <c r="Q16" s="166">
        <f t="shared" si="4"/>
        <v>0</v>
      </c>
      <c r="R16" s="23">
        <f t="shared" si="5"/>
        <v>0</v>
      </c>
      <c r="S16" s="162">
        <f t="shared" si="6"/>
        <v>0</v>
      </c>
    </row>
    <row r="17" spans="1:19" s="37" customFormat="1" x14ac:dyDescent="0.25">
      <c r="A17" s="252" t="s">
        <v>678</v>
      </c>
      <c r="B17" s="248">
        <f t="shared" si="7"/>
        <v>0</v>
      </c>
      <c r="C17" s="169"/>
      <c r="D17" s="239"/>
      <c r="E17" s="246">
        <f t="shared" si="1"/>
        <v>0</v>
      </c>
      <c r="F17" s="169"/>
      <c r="G17" s="239"/>
      <c r="H17" s="245">
        <f t="shared" si="2"/>
        <v>0</v>
      </c>
      <c r="I17" s="169"/>
      <c r="J17" s="239"/>
      <c r="K17" s="243">
        <f t="shared" si="0"/>
        <v>0</v>
      </c>
      <c r="L17" s="169"/>
      <c r="M17" s="239"/>
      <c r="N17" s="243">
        <f t="shared" si="3"/>
        <v>0</v>
      </c>
      <c r="O17" s="169"/>
      <c r="P17" s="239"/>
      <c r="Q17" s="166">
        <f t="shared" si="4"/>
        <v>0</v>
      </c>
      <c r="R17" s="23">
        <f t="shared" si="5"/>
        <v>0</v>
      </c>
      <c r="S17" s="162">
        <f t="shared" si="6"/>
        <v>0</v>
      </c>
    </row>
    <row r="18" spans="1:19" s="37" customFormat="1" x14ac:dyDescent="0.25">
      <c r="A18" s="252" t="s">
        <v>679</v>
      </c>
      <c r="B18" s="248">
        <f t="shared" si="7"/>
        <v>0</v>
      </c>
      <c r="C18" s="169"/>
      <c r="D18" s="239"/>
      <c r="E18" s="246">
        <f t="shared" si="1"/>
        <v>0</v>
      </c>
      <c r="F18" s="169"/>
      <c r="G18" s="239"/>
      <c r="H18" s="245">
        <f t="shared" si="2"/>
        <v>0</v>
      </c>
      <c r="I18" s="169"/>
      <c r="J18" s="239"/>
      <c r="K18" s="243">
        <f t="shared" si="0"/>
        <v>0</v>
      </c>
      <c r="L18" s="169"/>
      <c r="M18" s="239"/>
      <c r="N18" s="243">
        <f t="shared" si="3"/>
        <v>0</v>
      </c>
      <c r="O18" s="169"/>
      <c r="P18" s="239"/>
      <c r="Q18" s="166">
        <f t="shared" si="4"/>
        <v>0</v>
      </c>
      <c r="R18" s="23">
        <f t="shared" si="5"/>
        <v>0</v>
      </c>
      <c r="S18" s="162">
        <f t="shared" si="6"/>
        <v>0</v>
      </c>
    </row>
    <row r="19" spans="1:19" s="37" customFormat="1" x14ac:dyDescent="0.25">
      <c r="A19" s="252" t="s">
        <v>680</v>
      </c>
      <c r="B19" s="248">
        <f t="shared" si="7"/>
        <v>0</v>
      </c>
      <c r="C19" s="169"/>
      <c r="D19" s="239"/>
      <c r="E19" s="246">
        <f t="shared" si="1"/>
        <v>0</v>
      </c>
      <c r="F19" s="169"/>
      <c r="G19" s="239"/>
      <c r="H19" s="245">
        <f t="shared" si="2"/>
        <v>0</v>
      </c>
      <c r="I19" s="169"/>
      <c r="J19" s="239"/>
      <c r="K19" s="243">
        <f t="shared" si="0"/>
        <v>0</v>
      </c>
      <c r="L19" s="169"/>
      <c r="M19" s="239"/>
      <c r="N19" s="243">
        <f t="shared" si="3"/>
        <v>0</v>
      </c>
      <c r="O19" s="169"/>
      <c r="P19" s="239"/>
      <c r="Q19" s="166">
        <f t="shared" si="4"/>
        <v>0</v>
      </c>
      <c r="R19" s="23">
        <f t="shared" si="5"/>
        <v>0</v>
      </c>
      <c r="S19" s="162">
        <f t="shared" si="6"/>
        <v>0</v>
      </c>
    </row>
    <row r="20" spans="1:19" s="37" customFormat="1" ht="15.75" thickBot="1" x14ac:dyDescent="0.3">
      <c r="A20" s="254" t="s">
        <v>681</v>
      </c>
      <c r="B20" s="249">
        <f t="shared" si="7"/>
        <v>0</v>
      </c>
      <c r="C20" s="240"/>
      <c r="D20" s="241"/>
      <c r="E20" s="247">
        <f t="shared" si="1"/>
        <v>0</v>
      </c>
      <c r="F20" s="240"/>
      <c r="G20" s="241"/>
      <c r="H20" s="242">
        <f t="shared" si="2"/>
        <v>0</v>
      </c>
      <c r="I20" s="240"/>
      <c r="J20" s="241"/>
      <c r="K20" s="244">
        <f t="shared" si="0"/>
        <v>0</v>
      </c>
      <c r="L20" s="240"/>
      <c r="M20" s="241"/>
      <c r="N20" s="244">
        <f t="shared" si="3"/>
        <v>0</v>
      </c>
      <c r="O20" s="240"/>
      <c r="P20" s="241"/>
      <c r="Q20" s="225">
        <f t="shared" si="4"/>
        <v>0</v>
      </c>
      <c r="R20" s="226">
        <f t="shared" si="5"/>
        <v>0</v>
      </c>
      <c r="S20" s="227">
        <f t="shared" si="6"/>
        <v>0</v>
      </c>
    </row>
    <row r="21" spans="1:19" ht="15.75" thickBot="1" x14ac:dyDescent="0.3">
      <c r="A21" s="25" t="s">
        <v>64</v>
      </c>
      <c r="B21" s="163">
        <f>SUM(B6:B20)</f>
        <v>0</v>
      </c>
      <c r="C21" s="164">
        <f t="shared" ref="C21:S21" si="8">SUM(C6:C20)</f>
        <v>0</v>
      </c>
      <c r="D21" s="164">
        <f t="shared" si="8"/>
        <v>0</v>
      </c>
      <c r="E21" s="164">
        <f t="shared" si="8"/>
        <v>0</v>
      </c>
      <c r="F21" s="164">
        <f t="shared" si="8"/>
        <v>0</v>
      </c>
      <c r="G21" s="164">
        <f t="shared" si="8"/>
        <v>0</v>
      </c>
      <c r="H21" s="164">
        <f t="shared" si="8"/>
        <v>0</v>
      </c>
      <c r="I21" s="164">
        <f t="shared" si="8"/>
        <v>0</v>
      </c>
      <c r="J21" s="164">
        <f t="shared" si="8"/>
        <v>0</v>
      </c>
      <c r="K21" s="164">
        <f t="shared" si="8"/>
        <v>0</v>
      </c>
      <c r="L21" s="164">
        <f t="shared" si="8"/>
        <v>0</v>
      </c>
      <c r="M21" s="164">
        <f t="shared" si="8"/>
        <v>0</v>
      </c>
      <c r="N21" s="164">
        <f t="shared" si="8"/>
        <v>0</v>
      </c>
      <c r="O21" s="164">
        <f t="shared" si="8"/>
        <v>0</v>
      </c>
      <c r="P21" s="164">
        <f t="shared" si="8"/>
        <v>0</v>
      </c>
      <c r="Q21" s="164">
        <f t="shared" si="8"/>
        <v>0</v>
      </c>
      <c r="R21" s="164">
        <f t="shared" si="8"/>
        <v>0</v>
      </c>
      <c r="S21" s="164">
        <f t="shared" si="8"/>
        <v>0</v>
      </c>
    </row>
    <row r="22" spans="1:19" ht="15" customHeight="1" x14ac:dyDescent="0.25">
      <c r="A22" s="534" t="s">
        <v>650</v>
      </c>
      <c r="B22" s="535"/>
      <c r="C22" s="535"/>
      <c r="D22" s="535"/>
      <c r="E22" s="535"/>
      <c r="F22" s="535"/>
      <c r="G22" s="535"/>
      <c r="H22" s="535"/>
      <c r="I22" s="535"/>
      <c r="J22" s="535"/>
      <c r="K22" s="535"/>
      <c r="L22" s="535"/>
      <c r="M22" s="535"/>
      <c r="N22" s="535"/>
      <c r="O22" s="535"/>
      <c r="P22" s="535"/>
      <c r="Q22" s="535"/>
      <c r="R22" s="535"/>
      <c r="S22" s="536"/>
    </row>
    <row r="23" spans="1:19" x14ac:dyDescent="0.25">
      <c r="A23" s="537"/>
      <c r="B23" s="535"/>
      <c r="C23" s="535"/>
      <c r="D23" s="535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6"/>
    </row>
    <row r="24" spans="1:19" x14ac:dyDescent="0.25">
      <c r="A24" s="538"/>
      <c r="B24" s="488"/>
      <c r="C24" s="488"/>
      <c r="D24" s="488"/>
      <c r="E24" s="488"/>
      <c r="F24" s="488"/>
      <c r="G24" s="488"/>
      <c r="H24" s="488"/>
      <c r="I24" s="488"/>
      <c r="J24" s="488"/>
      <c r="K24" s="488"/>
      <c r="L24" s="488"/>
      <c r="M24" s="488"/>
      <c r="N24" s="488"/>
      <c r="O24" s="488"/>
      <c r="P24" s="488"/>
      <c r="Q24" s="488"/>
      <c r="R24" s="488"/>
      <c r="S24" s="539"/>
    </row>
    <row r="25" spans="1:19" ht="15" customHeight="1" x14ac:dyDescent="0.25">
      <c r="A25" s="540" t="s">
        <v>630</v>
      </c>
      <c r="B25" s="490"/>
      <c r="C25" s="491"/>
      <c r="D25" s="494" t="s">
        <v>67</v>
      </c>
      <c r="E25" s="495"/>
      <c r="F25" s="495"/>
      <c r="G25" s="495"/>
      <c r="H25" s="495"/>
      <c r="I25" s="495"/>
      <c r="J25" s="495"/>
      <c r="K25" s="495"/>
      <c r="L25" s="496"/>
      <c r="M25" s="489" t="s">
        <v>629</v>
      </c>
      <c r="N25" s="490"/>
      <c r="O25" s="490"/>
      <c r="P25" s="490"/>
      <c r="Q25" s="490"/>
      <c r="R25" s="490"/>
      <c r="S25" s="541"/>
    </row>
    <row r="26" spans="1:19" x14ac:dyDescent="0.25">
      <c r="A26" s="542"/>
      <c r="B26" s="543"/>
      <c r="C26" s="493"/>
      <c r="D26" s="497"/>
      <c r="E26" s="544"/>
      <c r="F26" s="544"/>
      <c r="G26" s="544"/>
      <c r="H26" s="544"/>
      <c r="I26" s="544"/>
      <c r="J26" s="544"/>
      <c r="K26" s="544"/>
      <c r="L26" s="498"/>
      <c r="M26" s="492"/>
      <c r="N26" s="543"/>
      <c r="O26" s="543"/>
      <c r="P26" s="543"/>
      <c r="Q26" s="543"/>
      <c r="R26" s="543"/>
      <c r="S26" s="545"/>
    </row>
    <row r="27" spans="1:19" x14ac:dyDescent="0.25">
      <c r="A27" s="542"/>
      <c r="B27" s="543"/>
      <c r="C27" s="493"/>
      <c r="D27" s="497"/>
      <c r="E27" s="544"/>
      <c r="F27" s="544"/>
      <c r="G27" s="544"/>
      <c r="H27" s="544"/>
      <c r="I27" s="544"/>
      <c r="J27" s="544"/>
      <c r="K27" s="544"/>
      <c r="L27" s="498"/>
      <c r="M27" s="492"/>
      <c r="N27" s="543"/>
      <c r="O27" s="543"/>
      <c r="P27" s="543"/>
      <c r="Q27" s="543"/>
      <c r="R27" s="543"/>
      <c r="S27" s="545"/>
    </row>
    <row r="28" spans="1:19" x14ac:dyDescent="0.25">
      <c r="A28" s="542"/>
      <c r="B28" s="543"/>
      <c r="C28" s="493"/>
      <c r="D28" s="497"/>
      <c r="E28" s="544"/>
      <c r="F28" s="544"/>
      <c r="G28" s="544"/>
      <c r="H28" s="544"/>
      <c r="I28" s="544"/>
      <c r="J28" s="544"/>
      <c r="K28" s="544"/>
      <c r="L28" s="498"/>
      <c r="M28" s="492"/>
      <c r="N28" s="543"/>
      <c r="O28" s="543"/>
      <c r="P28" s="543"/>
      <c r="Q28" s="543"/>
      <c r="R28" s="543"/>
      <c r="S28" s="545"/>
    </row>
    <row r="29" spans="1:19" x14ac:dyDescent="0.25">
      <c r="A29" s="542"/>
      <c r="B29" s="543"/>
      <c r="C29" s="493"/>
      <c r="D29" s="497"/>
      <c r="E29" s="544"/>
      <c r="F29" s="544"/>
      <c r="G29" s="544"/>
      <c r="H29" s="544"/>
      <c r="I29" s="544"/>
      <c r="J29" s="544"/>
      <c r="K29" s="544"/>
      <c r="L29" s="498"/>
      <c r="M29" s="492"/>
      <c r="N29" s="543"/>
      <c r="O29" s="543"/>
      <c r="P29" s="543"/>
      <c r="Q29" s="543"/>
      <c r="R29" s="543"/>
      <c r="S29" s="545"/>
    </row>
    <row r="30" spans="1:19" ht="15.75" thickBot="1" x14ac:dyDescent="0.3">
      <c r="A30" s="546"/>
      <c r="B30" s="547"/>
      <c r="C30" s="548"/>
      <c r="D30" s="549"/>
      <c r="E30" s="550"/>
      <c r="F30" s="550"/>
      <c r="G30" s="550"/>
      <c r="H30" s="550"/>
      <c r="I30" s="550"/>
      <c r="J30" s="550"/>
      <c r="K30" s="550"/>
      <c r="L30" s="551"/>
      <c r="M30" s="552"/>
      <c r="N30" s="547"/>
      <c r="O30" s="547"/>
      <c r="P30" s="547"/>
      <c r="Q30" s="547"/>
      <c r="R30" s="547"/>
      <c r="S30" s="553"/>
    </row>
  </sheetData>
  <mergeCells count="20">
    <mergeCell ref="A22:S24"/>
    <mergeCell ref="A25:C30"/>
    <mergeCell ref="D25:L30"/>
    <mergeCell ref="Q3:S3"/>
    <mergeCell ref="A4:A5"/>
    <mergeCell ref="B4:D4"/>
    <mergeCell ref="K4:M4"/>
    <mergeCell ref="N4:P4"/>
    <mergeCell ref="Q4:S4"/>
    <mergeCell ref="H4:J4"/>
    <mergeCell ref="M25:S30"/>
    <mergeCell ref="E3:G3"/>
    <mergeCell ref="E4:G4"/>
    <mergeCell ref="A1:P1"/>
    <mergeCell ref="A2:D2"/>
    <mergeCell ref="K2:O2"/>
    <mergeCell ref="K3:M3"/>
    <mergeCell ref="N3:P3"/>
    <mergeCell ref="H3:J3"/>
    <mergeCell ref="B3:D3"/>
  </mergeCells>
  <pageMargins left="0.21875" right="0.18" top="1.0236220472440944" bottom="0.74803149606299213" header="0.31496062992125984" footer="0.31496062992125984"/>
  <pageSetup scale="75" orientation="landscape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6"/>
  <sheetViews>
    <sheetView tabSelected="1" workbookViewId="0">
      <selection activeCell="J4" sqref="J4"/>
    </sheetView>
  </sheetViews>
  <sheetFormatPr baseColWidth="10" defaultRowHeight="24" customHeight="1" x14ac:dyDescent="0.25"/>
  <cols>
    <col min="1" max="1" width="27.42578125" customWidth="1"/>
    <col min="2" max="2" width="17.5703125" customWidth="1"/>
    <col min="3" max="3" width="17.7109375" customWidth="1"/>
    <col min="4" max="4" width="18.42578125" customWidth="1"/>
    <col min="5" max="5" width="24.42578125" customWidth="1"/>
  </cols>
  <sheetData>
    <row r="1" spans="1:5" ht="24" customHeight="1" thickBot="1" x14ac:dyDescent="0.3"/>
    <row r="2" spans="1:5" ht="24" customHeight="1" thickBot="1" x14ac:dyDescent="0.3">
      <c r="A2" s="505" t="s">
        <v>651</v>
      </c>
      <c r="B2" s="506"/>
      <c r="C2" s="506"/>
      <c r="D2" s="507"/>
      <c r="E2" s="191" t="s">
        <v>621</v>
      </c>
    </row>
    <row r="3" spans="1:5" ht="24" customHeight="1" thickBot="1" x14ac:dyDescent="0.3">
      <c r="A3" s="508" t="s">
        <v>687</v>
      </c>
      <c r="B3" s="509"/>
      <c r="C3" s="509"/>
      <c r="D3" s="510" t="s">
        <v>654</v>
      </c>
      <c r="E3" s="511"/>
    </row>
    <row r="4" spans="1:5" ht="24" customHeight="1" thickBot="1" x14ac:dyDescent="0.3">
      <c r="A4" s="258" t="s">
        <v>72</v>
      </c>
      <c r="B4" s="259" t="s">
        <v>68</v>
      </c>
      <c r="C4" s="260" t="s">
        <v>69</v>
      </c>
      <c r="D4" s="261" t="s">
        <v>70</v>
      </c>
      <c r="E4" s="262" t="s">
        <v>658</v>
      </c>
    </row>
    <row r="5" spans="1:5" ht="24" customHeight="1" x14ac:dyDescent="0.25">
      <c r="A5" s="255" t="s">
        <v>684</v>
      </c>
      <c r="B5" s="230"/>
      <c r="C5" s="230"/>
      <c r="D5" s="236">
        <f>+B5-C5</f>
        <v>0</v>
      </c>
      <c r="E5" s="231"/>
    </row>
    <row r="6" spans="1:5" ht="24" customHeight="1" x14ac:dyDescent="0.25">
      <c r="A6" s="256" t="s">
        <v>685</v>
      </c>
      <c r="B6" s="228"/>
      <c r="C6" s="228"/>
      <c r="D6" s="237">
        <f t="shared" ref="D6:D22" si="0">+B6-C6</f>
        <v>0</v>
      </c>
      <c r="E6" s="232"/>
    </row>
    <row r="7" spans="1:5" ht="24" customHeight="1" x14ac:dyDescent="0.25">
      <c r="A7" s="256" t="s">
        <v>623</v>
      </c>
      <c r="B7" s="228"/>
      <c r="C7" s="228"/>
      <c r="D7" s="237">
        <f t="shared" si="0"/>
        <v>0</v>
      </c>
      <c r="E7" s="232"/>
    </row>
    <row r="8" spans="1:5" ht="24" customHeight="1" x14ac:dyDescent="0.25">
      <c r="A8" s="256" t="s">
        <v>670</v>
      </c>
      <c r="B8" s="228"/>
      <c r="C8" s="228"/>
      <c r="D8" s="237">
        <f t="shared" si="0"/>
        <v>0</v>
      </c>
      <c r="E8" s="232"/>
    </row>
    <row r="9" spans="1:5" ht="24" customHeight="1" x14ac:dyDescent="0.25">
      <c r="A9" s="256" t="s">
        <v>671</v>
      </c>
      <c r="B9" s="228"/>
      <c r="C9" s="228"/>
      <c r="D9" s="237">
        <f t="shared" si="0"/>
        <v>0</v>
      </c>
      <c r="E9" s="232"/>
    </row>
    <row r="10" spans="1:5" ht="24" customHeight="1" x14ac:dyDescent="0.25">
      <c r="A10" s="256" t="s">
        <v>672</v>
      </c>
      <c r="B10" s="228"/>
      <c r="C10" s="228"/>
      <c r="D10" s="237">
        <f t="shared" si="0"/>
        <v>0</v>
      </c>
      <c r="E10" s="232"/>
    </row>
    <row r="11" spans="1:5" ht="24" customHeight="1" x14ac:dyDescent="0.25">
      <c r="A11" s="256" t="s">
        <v>673</v>
      </c>
      <c r="B11" s="228"/>
      <c r="C11" s="228"/>
      <c r="D11" s="237">
        <f t="shared" si="0"/>
        <v>0</v>
      </c>
      <c r="E11" s="232"/>
    </row>
    <row r="12" spans="1:5" ht="24" customHeight="1" x14ac:dyDescent="0.25">
      <c r="A12" s="256" t="s">
        <v>624</v>
      </c>
      <c r="B12" s="228"/>
      <c r="C12" s="228"/>
      <c r="D12" s="237">
        <f t="shared" si="0"/>
        <v>0</v>
      </c>
      <c r="E12" s="232"/>
    </row>
    <row r="13" spans="1:5" ht="24" customHeight="1" x14ac:dyDescent="0.25">
      <c r="A13" s="256" t="s">
        <v>674</v>
      </c>
      <c r="B13" s="228"/>
      <c r="C13" s="228"/>
      <c r="D13" s="237">
        <f t="shared" si="0"/>
        <v>0</v>
      </c>
      <c r="E13" s="232"/>
    </row>
    <row r="14" spans="1:5" ht="24" customHeight="1" x14ac:dyDescent="0.25">
      <c r="A14" s="256" t="s">
        <v>675</v>
      </c>
      <c r="B14" s="228"/>
      <c r="C14" s="228"/>
      <c r="D14" s="237">
        <f t="shared" si="0"/>
        <v>0</v>
      </c>
      <c r="E14" s="232"/>
    </row>
    <row r="15" spans="1:5" ht="24" customHeight="1" x14ac:dyDescent="0.25">
      <c r="A15" s="256" t="s">
        <v>676</v>
      </c>
      <c r="B15" s="228"/>
      <c r="C15" s="228"/>
      <c r="D15" s="237">
        <f t="shared" si="0"/>
        <v>0</v>
      </c>
      <c r="E15" s="232"/>
    </row>
    <row r="16" spans="1:5" ht="24" customHeight="1" x14ac:dyDescent="0.25">
      <c r="A16" s="256" t="s">
        <v>677</v>
      </c>
      <c r="B16" s="228"/>
      <c r="C16" s="228"/>
      <c r="D16" s="237">
        <f t="shared" si="0"/>
        <v>0</v>
      </c>
      <c r="E16" s="232"/>
    </row>
    <row r="17" spans="1:8" ht="24" customHeight="1" x14ac:dyDescent="0.25">
      <c r="A17" s="256" t="s">
        <v>625</v>
      </c>
      <c r="B17" s="228"/>
      <c r="C17" s="228"/>
      <c r="D17" s="237">
        <f t="shared" si="0"/>
        <v>0</v>
      </c>
      <c r="E17" s="232"/>
    </row>
    <row r="18" spans="1:8" ht="24" customHeight="1" x14ac:dyDescent="0.25">
      <c r="A18" s="256" t="s">
        <v>678</v>
      </c>
      <c r="B18" s="228"/>
      <c r="C18" s="228"/>
      <c r="D18" s="237">
        <f t="shared" si="0"/>
        <v>0</v>
      </c>
      <c r="E18" s="232"/>
    </row>
    <row r="19" spans="1:8" ht="24" customHeight="1" x14ac:dyDescent="0.25">
      <c r="A19" s="256" t="s">
        <v>679</v>
      </c>
      <c r="B19" s="228"/>
      <c r="C19" s="228"/>
      <c r="D19" s="237">
        <f t="shared" si="0"/>
        <v>0</v>
      </c>
      <c r="E19" s="232"/>
    </row>
    <row r="20" spans="1:8" ht="24" customHeight="1" x14ac:dyDescent="0.25">
      <c r="A20" s="256" t="s">
        <v>680</v>
      </c>
      <c r="B20" s="228"/>
      <c r="C20" s="228"/>
      <c r="D20" s="237">
        <f t="shared" si="0"/>
        <v>0</v>
      </c>
      <c r="E20" s="232"/>
    </row>
    <row r="21" spans="1:8" ht="24" customHeight="1" thickBot="1" x14ac:dyDescent="0.3">
      <c r="A21" s="257" t="s">
        <v>681</v>
      </c>
      <c r="B21" s="229"/>
      <c r="C21" s="229"/>
      <c r="D21" s="238">
        <f t="shared" si="0"/>
        <v>0</v>
      </c>
      <c r="E21" s="233"/>
    </row>
    <row r="22" spans="1:8" ht="24" customHeight="1" thickBot="1" x14ac:dyDescent="0.3">
      <c r="A22" s="190" t="s">
        <v>71</v>
      </c>
      <c r="B22" s="189">
        <f>SUM(B5:B21)</f>
        <v>0</v>
      </c>
      <c r="C22" s="189">
        <f t="shared" ref="C22:E22" si="1">SUM(C5:C21)</f>
        <v>0</v>
      </c>
      <c r="D22" s="235">
        <f t="shared" si="0"/>
        <v>0</v>
      </c>
      <c r="E22" s="234">
        <f t="shared" si="1"/>
        <v>0</v>
      </c>
    </row>
    <row r="23" spans="1:8" ht="24" customHeight="1" x14ac:dyDescent="0.25">
      <c r="A23" s="517" t="s">
        <v>653</v>
      </c>
      <c r="B23" s="518"/>
      <c r="C23" s="518"/>
      <c r="D23" s="518"/>
      <c r="E23" s="519"/>
    </row>
    <row r="24" spans="1:8" ht="24" customHeight="1" thickBot="1" x14ac:dyDescent="0.3">
      <c r="A24" s="520"/>
      <c r="B24" s="521"/>
      <c r="C24" s="521"/>
      <c r="D24" s="521"/>
      <c r="E24" s="522"/>
      <c r="H24" t="s">
        <v>73</v>
      </c>
    </row>
    <row r="25" spans="1:8" ht="24" customHeight="1" thickBot="1" x14ac:dyDescent="0.3">
      <c r="A25" s="512" t="s">
        <v>74</v>
      </c>
      <c r="B25" s="513"/>
      <c r="C25" s="514"/>
      <c r="D25" s="515" t="s">
        <v>652</v>
      </c>
      <c r="E25" s="516"/>
    </row>
    <row r="26" spans="1:8" ht="24" customHeight="1" x14ac:dyDescent="0.25">
      <c r="F26" t="s">
        <v>75</v>
      </c>
    </row>
    <row r="28" spans="1:8" ht="24" customHeight="1" x14ac:dyDescent="0.25">
      <c r="D28" t="s">
        <v>76</v>
      </c>
    </row>
    <row r="31" spans="1:8" ht="24" customHeight="1" x14ac:dyDescent="0.25">
      <c r="B31" s="160"/>
    </row>
    <row r="32" spans="1:8" ht="24" customHeight="1" x14ac:dyDescent="0.25">
      <c r="B32" s="160"/>
      <c r="F32" s="24"/>
    </row>
    <row r="33" spans="2:2" ht="24" customHeight="1" x14ac:dyDescent="0.25">
      <c r="B33" s="160"/>
    </row>
    <row r="34" spans="2:2" ht="24" customHeight="1" x14ac:dyDescent="0.25">
      <c r="B34" s="160"/>
    </row>
    <row r="35" spans="2:2" ht="24" customHeight="1" x14ac:dyDescent="0.25">
      <c r="B35" s="160"/>
    </row>
    <row r="36" spans="2:2" ht="24" customHeight="1" x14ac:dyDescent="0.25">
      <c r="B36" s="160"/>
    </row>
  </sheetData>
  <mergeCells count="6">
    <mergeCell ref="A2:D2"/>
    <mergeCell ref="A3:C3"/>
    <mergeCell ref="D3:E3"/>
    <mergeCell ref="A25:C25"/>
    <mergeCell ref="D25:E25"/>
    <mergeCell ref="A23:E24"/>
  </mergeCells>
  <phoneticPr fontId="37" type="noConversion"/>
  <pageMargins left="0.28000000000000003" right="0.57999999999999996" top="0.74803149606299213" bottom="0.74803149606299213" header="0.31496062992125984" footer="0.31496062992125984"/>
  <pageSetup orientation="landscape" horizontalDpi="120" verticalDpi="7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I26"/>
  <sheetViews>
    <sheetView workbookViewId="0">
      <selection activeCell="B1" sqref="B1:H15"/>
    </sheetView>
  </sheetViews>
  <sheetFormatPr baseColWidth="10" defaultRowHeight="15" x14ac:dyDescent="0.25"/>
  <cols>
    <col min="1" max="1" width="2.42578125" customWidth="1"/>
    <col min="2" max="2" width="26.85546875" customWidth="1"/>
    <col min="3" max="3" width="11.85546875" customWidth="1"/>
    <col min="4" max="4" width="12.7109375" customWidth="1"/>
    <col min="5" max="5" width="15.28515625" customWidth="1"/>
    <col min="6" max="6" width="13.42578125" customWidth="1"/>
    <col min="7" max="7" width="13" customWidth="1"/>
    <col min="8" max="8" width="15.140625" customWidth="1"/>
  </cols>
  <sheetData>
    <row r="1" spans="2:8" ht="29.25" customHeight="1" thickBot="1" x14ac:dyDescent="0.3">
      <c r="B1" s="523" t="s">
        <v>655</v>
      </c>
      <c r="C1" s="523"/>
      <c r="D1" s="523"/>
      <c r="E1" s="523"/>
      <c r="F1" s="523"/>
      <c r="G1" s="523"/>
      <c r="H1" s="523"/>
    </row>
    <row r="2" spans="2:8" ht="18.75" thickBot="1" x14ac:dyDescent="0.3">
      <c r="B2" s="526"/>
      <c r="C2" s="527"/>
      <c r="D2" s="527"/>
      <c r="E2" s="527"/>
      <c r="F2" s="208"/>
      <c r="G2" s="209"/>
      <c r="H2" s="210"/>
    </row>
    <row r="3" spans="2:8" ht="16.5" thickBot="1" x14ac:dyDescent="0.3">
      <c r="B3" s="203" t="s">
        <v>656</v>
      </c>
      <c r="C3" s="204"/>
      <c r="D3" s="204"/>
      <c r="E3" s="204"/>
      <c r="F3" s="205"/>
      <c r="G3" s="206"/>
      <c r="H3" s="207"/>
    </row>
    <row r="4" spans="2:8" ht="14.25" customHeight="1" x14ac:dyDescent="0.25">
      <c r="B4" s="528" t="s">
        <v>602</v>
      </c>
      <c r="C4" s="530" t="s">
        <v>603</v>
      </c>
      <c r="D4" s="530"/>
      <c r="E4" s="530"/>
      <c r="F4" s="532" t="s">
        <v>604</v>
      </c>
      <c r="G4" s="532" t="s">
        <v>605</v>
      </c>
      <c r="H4" s="524" t="s">
        <v>606</v>
      </c>
    </row>
    <row r="5" spans="2:8" ht="3.75" customHeight="1" x14ac:dyDescent="0.25">
      <c r="B5" s="529"/>
      <c r="C5" s="531"/>
      <c r="D5" s="531"/>
      <c r="E5" s="531"/>
      <c r="F5" s="533"/>
      <c r="G5" s="533"/>
      <c r="H5" s="525"/>
    </row>
    <row r="6" spans="2:8" ht="43.5" customHeight="1" x14ac:dyDescent="0.25">
      <c r="B6" s="529"/>
      <c r="C6" s="263" t="s">
        <v>659</v>
      </c>
      <c r="D6" s="263" t="s">
        <v>607</v>
      </c>
      <c r="E6" s="263" t="s">
        <v>608</v>
      </c>
      <c r="F6" s="533"/>
      <c r="G6" s="533"/>
      <c r="H6" s="525"/>
    </row>
    <row r="7" spans="2:8" ht="16.5" customHeight="1" x14ac:dyDescent="0.25">
      <c r="B7" s="529"/>
      <c r="C7" s="202">
        <v>1</v>
      </c>
      <c r="D7" s="202">
        <v>2</v>
      </c>
      <c r="E7" s="202">
        <v>3</v>
      </c>
      <c r="F7" s="202" t="s">
        <v>609</v>
      </c>
      <c r="G7" s="202">
        <v>5</v>
      </c>
      <c r="H7" s="211" t="s">
        <v>610</v>
      </c>
    </row>
    <row r="8" spans="2:8" ht="16.5" customHeight="1" x14ac:dyDescent="0.25">
      <c r="B8" s="154" t="s">
        <v>663</v>
      </c>
      <c r="C8" s="202"/>
      <c r="D8" s="202"/>
      <c r="E8" s="202"/>
      <c r="F8" s="199" t="e">
        <f>E8/D8*100</f>
        <v>#DIV/0!</v>
      </c>
      <c r="G8" s="202"/>
      <c r="H8" s="201" t="e">
        <f>G8/E8</f>
        <v>#DIV/0!</v>
      </c>
    </row>
    <row r="9" spans="2:8" ht="19.5" customHeight="1" thickBot="1" x14ac:dyDescent="0.3">
      <c r="B9" s="154" t="s">
        <v>21</v>
      </c>
      <c r="C9" s="155"/>
      <c r="D9" s="155"/>
      <c r="E9" s="155"/>
      <c r="F9" s="199" t="e">
        <f>E9/D9*100</f>
        <v>#DIV/0!</v>
      </c>
      <c r="G9" s="200"/>
      <c r="H9" s="201" t="e">
        <f>G9/E9</f>
        <v>#DIV/0!</v>
      </c>
    </row>
    <row r="10" spans="2:8" ht="19.5" customHeight="1" thickBot="1" x14ac:dyDescent="0.3">
      <c r="B10" s="154" t="s">
        <v>611</v>
      </c>
      <c r="C10" s="155"/>
      <c r="D10" s="153"/>
      <c r="E10" s="153"/>
      <c r="F10" s="192" t="e">
        <f t="shared" ref="F10:F15" si="0">E10/D10*100</f>
        <v>#DIV/0!</v>
      </c>
      <c r="G10" s="193"/>
      <c r="H10" s="194" t="e">
        <f t="shared" ref="H10:H15" si="1">G10/E10</f>
        <v>#DIV/0!</v>
      </c>
    </row>
    <row r="11" spans="2:8" ht="21" customHeight="1" thickBot="1" x14ac:dyDescent="0.3">
      <c r="B11" s="156" t="s">
        <v>612</v>
      </c>
      <c r="C11" s="153"/>
      <c r="D11" s="153"/>
      <c r="E11" s="153"/>
      <c r="F11" s="192" t="e">
        <f t="shared" si="0"/>
        <v>#DIV/0!</v>
      </c>
      <c r="G11" s="193"/>
      <c r="H11" s="194" t="e">
        <f t="shared" si="1"/>
        <v>#DIV/0!</v>
      </c>
    </row>
    <row r="12" spans="2:8" ht="19.5" customHeight="1" thickBot="1" x14ac:dyDescent="0.3">
      <c r="B12" s="156" t="s">
        <v>657</v>
      </c>
      <c r="C12" s="153"/>
      <c r="D12" s="153"/>
      <c r="E12" s="153"/>
      <c r="F12" s="192" t="e">
        <f t="shared" si="0"/>
        <v>#DIV/0!</v>
      </c>
      <c r="G12" s="193"/>
      <c r="H12" s="194" t="e">
        <f t="shared" si="1"/>
        <v>#DIV/0!</v>
      </c>
    </row>
    <row r="13" spans="2:8" ht="21" customHeight="1" thickBot="1" x14ac:dyDescent="0.3">
      <c r="B13" s="212" t="s">
        <v>658</v>
      </c>
      <c r="C13" s="218"/>
      <c r="D13" s="218"/>
      <c r="E13" s="218"/>
      <c r="F13" s="219" t="e">
        <f t="shared" si="0"/>
        <v>#DIV/0!</v>
      </c>
      <c r="G13" s="220"/>
      <c r="H13" s="221" t="e">
        <f t="shared" si="1"/>
        <v>#DIV/0!</v>
      </c>
    </row>
    <row r="14" spans="2:8" ht="21" customHeight="1" thickBot="1" x14ac:dyDescent="0.3">
      <c r="B14" s="213" t="s">
        <v>664</v>
      </c>
      <c r="C14" s="222"/>
      <c r="D14" s="222"/>
      <c r="E14" s="222"/>
      <c r="F14" s="219" t="e">
        <f t="shared" si="0"/>
        <v>#DIV/0!</v>
      </c>
      <c r="G14" s="223"/>
      <c r="H14" s="221" t="e">
        <f t="shared" si="1"/>
        <v>#DIV/0!</v>
      </c>
    </row>
    <row r="15" spans="2:8" ht="24" customHeight="1" thickBot="1" x14ac:dyDescent="0.3">
      <c r="B15" s="213" t="s">
        <v>77</v>
      </c>
      <c r="C15" s="214">
        <f>SUM(C8:C14)</f>
        <v>0</v>
      </c>
      <c r="D15" s="214">
        <f t="shared" ref="D15:E15" si="2">SUM(D8:D14)</f>
        <v>0</v>
      </c>
      <c r="E15" s="214">
        <f t="shared" si="2"/>
        <v>0</v>
      </c>
      <c r="F15" s="215" t="e">
        <f t="shared" si="0"/>
        <v>#DIV/0!</v>
      </c>
      <c r="G15" s="216">
        <f>SUM(G8:G14)</f>
        <v>0</v>
      </c>
      <c r="H15" s="217" t="e">
        <f t="shared" si="1"/>
        <v>#DIV/0!</v>
      </c>
    </row>
    <row r="16" spans="2:8" ht="24" customHeight="1" x14ac:dyDescent="0.25">
      <c r="B16" s="195"/>
      <c r="C16" s="196"/>
      <c r="D16" s="196"/>
      <c r="E16" s="196"/>
      <c r="F16" s="197"/>
      <c r="G16" s="198"/>
      <c r="H16" s="197"/>
    </row>
    <row r="17" spans="2:9" ht="15.75" x14ac:dyDescent="0.25">
      <c r="B17" s="157" t="s">
        <v>613</v>
      </c>
      <c r="C17" s="158"/>
      <c r="D17" s="158"/>
      <c r="E17" s="158"/>
      <c r="F17" s="158"/>
      <c r="G17" s="158"/>
      <c r="H17" s="158"/>
      <c r="I17" s="158"/>
    </row>
    <row r="18" spans="2:9" ht="15.75" x14ac:dyDescent="0.25">
      <c r="B18" s="159" t="s">
        <v>660</v>
      </c>
      <c r="C18" s="158"/>
      <c r="D18" s="158"/>
      <c r="E18" s="158"/>
      <c r="F18" s="158"/>
      <c r="G18" s="158"/>
      <c r="H18" s="158"/>
      <c r="I18" s="158"/>
    </row>
    <row r="19" spans="2:9" ht="15.75" x14ac:dyDescent="0.25">
      <c r="B19" s="159" t="s">
        <v>614</v>
      </c>
      <c r="C19" s="158"/>
      <c r="D19" s="158"/>
      <c r="E19" s="158"/>
      <c r="F19" s="158"/>
      <c r="G19" s="158"/>
      <c r="H19" s="158"/>
      <c r="I19" s="158"/>
    </row>
    <row r="20" spans="2:9" ht="15.75" x14ac:dyDescent="0.25">
      <c r="B20" s="159" t="s">
        <v>661</v>
      </c>
      <c r="C20" s="158"/>
      <c r="D20" s="158"/>
      <c r="E20" s="158"/>
      <c r="F20" s="158"/>
      <c r="G20" s="158"/>
      <c r="H20" s="158"/>
      <c r="I20" s="158"/>
    </row>
    <row r="21" spans="2:9" ht="15.75" x14ac:dyDescent="0.25">
      <c r="B21" s="157" t="s">
        <v>615</v>
      </c>
      <c r="C21" s="158"/>
      <c r="D21" s="158"/>
      <c r="E21" s="158"/>
      <c r="F21" s="158"/>
      <c r="G21" s="158"/>
      <c r="H21" s="158"/>
      <c r="I21" s="158"/>
    </row>
    <row r="22" spans="2:9" ht="15.75" x14ac:dyDescent="0.25">
      <c r="B22" s="159" t="s">
        <v>616</v>
      </c>
      <c r="C22" s="158"/>
      <c r="D22" s="158"/>
      <c r="E22" s="158"/>
      <c r="F22" s="158"/>
      <c r="G22" s="158"/>
      <c r="H22" s="158"/>
      <c r="I22" s="158"/>
    </row>
    <row r="23" spans="2:9" ht="15.75" x14ac:dyDescent="0.25">
      <c r="B23" s="159" t="s">
        <v>662</v>
      </c>
      <c r="C23" s="158"/>
      <c r="D23" s="158"/>
      <c r="E23" s="158"/>
      <c r="F23" s="158"/>
      <c r="G23" s="158"/>
      <c r="H23" s="158"/>
      <c r="I23" s="158"/>
    </row>
    <row r="24" spans="2:9" ht="15.75" x14ac:dyDescent="0.25">
      <c r="B24" s="159" t="s">
        <v>617</v>
      </c>
      <c r="C24" s="158"/>
      <c r="D24" s="158"/>
      <c r="E24" s="158"/>
      <c r="F24" s="158"/>
      <c r="G24" s="158"/>
      <c r="H24" s="158"/>
      <c r="I24" s="158"/>
    </row>
    <row r="25" spans="2:9" ht="15.75" x14ac:dyDescent="0.25">
      <c r="B25" s="158" t="s">
        <v>618</v>
      </c>
      <c r="C25" s="158"/>
      <c r="D25" s="158"/>
      <c r="E25" s="158"/>
      <c r="F25" s="158"/>
      <c r="G25" s="158"/>
      <c r="H25" s="158"/>
      <c r="I25" s="158"/>
    </row>
    <row r="26" spans="2:9" ht="15.75" x14ac:dyDescent="0.25">
      <c r="B26" s="159" t="s">
        <v>688</v>
      </c>
      <c r="C26" s="158"/>
    </row>
  </sheetData>
  <mergeCells count="7">
    <mergeCell ref="B1:H1"/>
    <mergeCell ref="H4:H6"/>
    <mergeCell ref="B2:E2"/>
    <mergeCell ref="B4:B7"/>
    <mergeCell ref="C4:E5"/>
    <mergeCell ref="F4:F6"/>
    <mergeCell ref="G4:G6"/>
  </mergeCells>
  <pageMargins left="0.15" right="0.39370078740157483" top="0.74803149606299213" bottom="0.74803149606299213" header="0.31496062992125984" footer="0.31496062992125984"/>
  <pageSetup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Total de Trabajadores </vt:lpstr>
      <vt:lpstr>adjunto</vt:lpstr>
      <vt:lpstr>Fuerza de Trabajo</vt:lpstr>
      <vt:lpstr>Pago Guardia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2023-07-18T10:59:28Z</dcterms:modified>
</cp:coreProperties>
</file>